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drawings/drawing2.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drawings/drawing3.xml" ContentType="application/vnd.openxmlformats-officedocument.drawing+xml"/>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drawings/drawing4.xml" ContentType="application/vnd.openxmlformats-officedocument.drawing+xml"/>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drawings/drawing5.xml" ContentType="application/vnd.openxmlformats-officedocument.drawing+xml"/>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drawings/drawing7.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8.xml" ContentType="application/vnd.openxmlformats-officedocument.drawing+xml"/>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drawings/drawing9.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drawings/drawing10.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drawings/drawing11.xml" ContentType="application/vnd.openxmlformats-officedocument.drawing+xml"/>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drawings/drawing12.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drawings/drawing13.xml" ContentType="application/vnd.openxmlformats-officedocument.drawing+xml"/>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
    </mc:Choice>
  </mc:AlternateContent>
  <xr:revisionPtr revIDLastSave="4" documentId="13_ncr:1_{32C3145E-6E40-4A32-88CE-F24A86FCC53D}" xr6:coauthVersionLast="47" xr6:coauthVersionMax="47" xr10:uidLastSave="{75C8FB78-9E41-4E4F-8142-40E03A9DE0C1}"/>
  <bookViews>
    <workbookView xWindow="53880" yWindow="-120" windowWidth="29040" windowHeight="15720" tabRatio="779" firstSheet="1" activeTab="10" xr2:uid="{00000000-000D-0000-FFFF-FFFF00000000}"/>
  </bookViews>
  <sheets>
    <sheet name="ANSv6.1-Commodities" sheetId="1" state="veryHidden" r:id="rId1"/>
    <sheet name="Commodities" sheetId="10" r:id="rId2"/>
    <sheet name="ANSv6.1-Technologies" sheetId="2" state="veryHidden" r:id="rId3"/>
    <sheet name="Technologies" sheetId="11" r:id="rId4"/>
    <sheet name="ANSv6.1-Constraints" sheetId="7" state="veryHidden" r:id="rId5"/>
    <sheet name="ANSv6.1-CommData" sheetId="4" state="veryHidden" r:id="rId6"/>
    <sheet name="ANSv6.1-TechData" sheetId="3" state="veryHidden" r:id="rId7"/>
    <sheet name="TechData_R0" sheetId="12" r:id="rId8"/>
    <sheet name="TechData_DelNGA" sheetId="15" r:id="rId9"/>
    <sheet name="TechData_ExIm" sheetId="13" r:id="rId10"/>
    <sheet name="Domestic NG CUM" sheetId="106" r:id="rId11"/>
    <sheet name="NGACap" sheetId="41" r:id="rId12"/>
    <sheet name="Domestic NG Production" sheetId="105" r:id="rId13"/>
    <sheet name="ANSv6.1-ConstrData" sheetId="8" state="veryHidden" r:id="rId14"/>
    <sheet name="Domestic NG Prices" sheetId="99" r:id="rId15"/>
    <sheet name="AEO NG Imports" sheetId="102" r:id="rId16"/>
    <sheet name="LNG Export Regions" sheetId="110" r:id="rId17"/>
    <sheet name="NGExpansion" sheetId="42" r:id="rId18"/>
    <sheet name="DelivNGA" sheetId="40" r:id="rId19"/>
    <sheet name="ANSv6.0-ConstrData" sheetId="46" state="veryHidden" r:id="rId20"/>
    <sheet name="ANSv6.0-TechData" sheetId="39" state="veryHidden" r:id="rId21"/>
    <sheet name="ANSv6.0-CommData" sheetId="38" state="veryHidden" r:id="rId22"/>
    <sheet name="ANSv6.0-Constraints" sheetId="37" state="veryHidden" r:id="rId23"/>
    <sheet name="ANSv6.0-Technologies" sheetId="36" state="veryHidden" r:id="rId24"/>
    <sheet name="ANSv6.0-Commodities" sheetId="35" state="veryHidden" r:id="rId25"/>
    <sheet name="Emissions" sheetId="98" r:id="rId26"/>
    <sheet name="Conv vs Shale" sheetId="108" r:id="rId27"/>
    <sheet name="Conv" sheetId="19" r:id="rId28"/>
  </sheets>
  <externalReferences>
    <externalReference r:id="rId29"/>
    <externalReference r:id="rId30"/>
    <externalReference r:id="rId31"/>
    <externalReference r:id="rId32"/>
    <externalReference r:id="rId33"/>
  </externalReferences>
  <definedNames>
    <definedName name="AnswerData" localSheetId="27">#REF!</definedName>
    <definedName name="AnswerData">#REF!</definedName>
    <definedName name="bprint">#REF!</definedName>
    <definedName name="btu_per_watthr">'[1]Conversion Factors'!$B$5</definedName>
    <definedName name="CMM_SUPPLY_CRV_TABLE">[2]cum2025curves!#REF!</definedName>
    <definedName name="cprint">#REF!</definedName>
    <definedName name="days_per_year">'[1]Conversion Factors'!$B$3</definedName>
    <definedName name="dollar____per__m">'[1]Conversion Factors'!$B$7</definedName>
    <definedName name="exch_rate" localSheetId="27">#REF!</definedName>
    <definedName name="exch_rate">#REF!</definedName>
    <definedName name="fitfile">[3]MODEL!$D$38</definedName>
    <definedName name="hours_per_day">'[1]Conversion Factors'!$B$2</definedName>
    <definedName name="INF">[3]MODEL!$H$14</definedName>
    <definedName name="j_per_btu">'[1]Conversion Factors'!$B$4</definedName>
    <definedName name="j_per_pj">'[1]Conversion Factors'!$B$6</definedName>
    <definedName name="lumens_per_billion_lumens">'[1]Conversion Factors'!$B$9</definedName>
    <definedName name="MAXREC">#REF!</definedName>
    <definedName name="million_short_tons_to_short_ton">[4]Steps!$Y$5</definedName>
    <definedName name="MMBTU_to_PJ">[4]Steps!$Y$6</definedName>
    <definedName name="PPP">[3]MODEL!$D$12</definedName>
    <definedName name="PPPEX">[3]MODEL!$D$13</definedName>
    <definedName name="rail_coal" localSheetId="27">#REF!</definedName>
    <definedName name="rail_coal">#REF!</definedName>
    <definedName name="region1">[5]Regions!$B$3:$C$61</definedName>
    <definedName name="TECHNAME">#REF!</definedName>
    <definedName name="TRND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 i="15" l="1"/>
  <c r="K62" i="15"/>
  <c r="L62" i="15"/>
  <c r="M62" i="15"/>
  <c r="N62" i="15"/>
  <c r="O62" i="15"/>
  <c r="P62" i="15"/>
  <c r="Q62" i="15"/>
  <c r="R62" i="15"/>
  <c r="J63" i="15"/>
  <c r="K63" i="15"/>
  <c r="L63" i="15"/>
  <c r="M63" i="15"/>
  <c r="N63" i="15"/>
  <c r="O63" i="15"/>
  <c r="P63" i="15"/>
  <c r="Q63" i="15"/>
  <c r="R63" i="15"/>
  <c r="I62" i="15"/>
  <c r="I63" i="15"/>
  <c r="D125" i="40"/>
  <c r="B98" i="15"/>
  <c r="B99" i="15" s="1"/>
  <c r="J99" i="15"/>
  <c r="J100" i="15"/>
  <c r="J98" i="15"/>
  <c r="D16" i="19"/>
  <c r="K51" i="15"/>
  <c r="K48" i="15"/>
  <c r="K47" i="15"/>
  <c r="K46" i="15"/>
  <c r="K44" i="15"/>
  <c r="AE60" i="15" l="1"/>
  <c r="P51" i="12"/>
  <c r="O51" i="12"/>
  <c r="O50" i="12" s="1"/>
  <c r="N51" i="12"/>
  <c r="N50" i="12" s="1"/>
  <c r="N55" i="12"/>
  <c r="N54" i="12"/>
  <c r="N53" i="12"/>
  <c r="N52" i="12"/>
  <c r="K138" i="15" l="1"/>
  <c r="B100" i="15"/>
  <c r="D53" i="15"/>
  <c r="D52" i="15"/>
  <c r="D51" i="15"/>
  <c r="D39" i="15"/>
  <c r="D38" i="15"/>
  <c r="D37" i="15"/>
  <c r="D49" i="15"/>
  <c r="D48" i="15"/>
  <c r="D47" i="15"/>
  <c r="D46" i="15"/>
  <c r="D45" i="15"/>
  <c r="D44" i="15"/>
  <c r="D35" i="15"/>
  <c r="D34" i="15"/>
  <c r="D33" i="15"/>
  <c r="D32" i="15"/>
  <c r="D31" i="15"/>
  <c r="D30" i="15"/>
  <c r="C53" i="15"/>
  <c r="C52" i="15"/>
  <c r="C51" i="15"/>
  <c r="C39" i="15"/>
  <c r="C38" i="15"/>
  <c r="C37" i="15"/>
  <c r="C49" i="15"/>
  <c r="C48" i="15"/>
  <c r="C47" i="15"/>
  <c r="C46" i="15"/>
  <c r="C45" i="15"/>
  <c r="C44" i="15"/>
  <c r="C35" i="15"/>
  <c r="C34" i="15"/>
  <c r="C33" i="15"/>
  <c r="C32" i="15"/>
  <c r="C31" i="15"/>
  <c r="C30" i="15"/>
  <c r="B53" i="15"/>
  <c r="B52" i="15"/>
  <c r="B51" i="15"/>
  <c r="B39" i="15"/>
  <c r="B38" i="15"/>
  <c r="B37" i="15"/>
  <c r="B49" i="15"/>
  <c r="B48" i="15"/>
  <c r="B47" i="15"/>
  <c r="B46" i="15"/>
  <c r="B45" i="15"/>
  <c r="B44" i="15"/>
  <c r="B35" i="15"/>
  <c r="B34" i="15"/>
  <c r="B33" i="15"/>
  <c r="B32" i="15"/>
  <c r="B31" i="15"/>
  <c r="B30" i="15"/>
  <c r="I30" i="15" l="1"/>
  <c r="B23" i="15"/>
  <c r="B24" i="15" s="1"/>
  <c r="B20" i="15"/>
  <c r="B21" i="15" s="1"/>
  <c r="B17" i="15"/>
  <c r="B18" i="15" s="1"/>
  <c r="B14" i="15"/>
  <c r="B15" i="15" s="1"/>
  <c r="B11" i="15"/>
  <c r="B12" i="15" s="1"/>
  <c r="B8" i="15"/>
  <c r="B9" i="15" s="1"/>
  <c r="F17" i="15"/>
  <c r="F20" i="15"/>
  <c r="F23" i="15"/>
  <c r="F14" i="15"/>
  <c r="F11" i="15"/>
  <c r="F8" i="15"/>
  <c r="A78" i="12" l="1"/>
  <c r="A79" i="12" s="1"/>
  <c r="A80" i="12" s="1"/>
  <c r="K96" i="12" l="1"/>
  <c r="H96" i="12"/>
  <c r="F8" i="13"/>
  <c r="B73" i="105"/>
  <c r="B71" i="105"/>
  <c r="B79" i="105" s="1"/>
  <c r="R10" i="106"/>
  <c r="R9" i="106"/>
  <c r="R8" i="106"/>
  <c r="R7" i="106"/>
  <c r="R6" i="106"/>
  <c r="U16" i="12" l="1"/>
  <c r="M20" i="102"/>
  <c r="Y18" i="102"/>
  <c r="Y16" i="102"/>
  <c r="AC16" i="102"/>
  <c r="R63" i="12" s="1"/>
  <c r="Q63" i="12"/>
  <c r="K17" i="102"/>
  <c r="W11" i="102"/>
  <c r="W14" i="102"/>
  <c r="L20" i="102"/>
  <c r="X18" i="102" s="1"/>
  <c r="B20" i="102"/>
  <c r="K20" i="102"/>
  <c r="W18" i="102" s="1"/>
  <c r="W16" i="102" s="1"/>
  <c r="B88" i="105"/>
  <c r="B86" i="105"/>
  <c r="B94" i="105"/>
  <c r="Q9" i="12"/>
  <c r="B41" i="105"/>
  <c r="B40" i="105"/>
  <c r="B46" i="105"/>
  <c r="T64" i="12" l="1"/>
  <c r="T65" i="12"/>
  <c r="T63" i="12"/>
  <c r="W20" i="12"/>
  <c r="U42" i="12"/>
  <c r="U35" i="12"/>
  <c r="U28" i="12"/>
  <c r="U41" i="12"/>
  <c r="U40" i="12"/>
  <c r="U39" i="12"/>
  <c r="U38" i="12"/>
  <c r="U37" i="12"/>
  <c r="U34" i="12"/>
  <c r="U33" i="12"/>
  <c r="U32" i="12"/>
  <c r="U31" i="12"/>
  <c r="U30" i="12"/>
  <c r="U27" i="12"/>
  <c r="U26" i="12"/>
  <c r="U25" i="12"/>
  <c r="U24" i="12"/>
  <c r="U23" i="12"/>
  <c r="U18" i="12"/>
  <c r="U19" i="12"/>
  <c r="U20" i="12"/>
  <c r="U21" i="12"/>
  <c r="U17" i="12"/>
  <c r="Q16" i="12"/>
  <c r="B87" i="105" l="1"/>
  <c r="B96" i="105" s="1"/>
  <c r="Q11" i="12" s="1"/>
  <c r="B47" i="105"/>
  <c r="B42" i="105"/>
  <c r="B39" i="105"/>
  <c r="B38" i="105"/>
  <c r="B37" i="105"/>
  <c r="B36" i="105"/>
  <c r="B35" i="105"/>
  <c r="B34" i="105"/>
  <c r="B89" i="105" l="1"/>
  <c r="B90" i="105"/>
  <c r="B95" i="105"/>
  <c r="Q10" i="12" s="1"/>
  <c r="B91" i="105"/>
  <c r="Q42" i="12"/>
  <c r="Q41" i="12"/>
  <c r="Q40" i="12"/>
  <c r="Q39" i="12"/>
  <c r="Q38" i="12"/>
  <c r="Q37" i="12"/>
  <c r="Q35" i="12"/>
  <c r="Q34" i="12"/>
  <c r="Q33" i="12"/>
  <c r="Q32" i="12"/>
  <c r="Q31" i="12"/>
  <c r="Q30" i="12"/>
  <c r="Q28" i="12"/>
  <c r="Q27" i="12"/>
  <c r="Q26" i="12"/>
  <c r="Q25" i="12"/>
  <c r="Q24" i="12"/>
  <c r="Q23" i="12"/>
  <c r="Q20" i="12"/>
  <c r="Q21" i="12"/>
  <c r="I111" i="41"/>
  <c r="I110" i="41"/>
  <c r="J113" i="41"/>
  <c r="K113" i="41" s="1"/>
  <c r="L113" i="41" s="1"/>
  <c r="J112" i="41"/>
  <c r="K112" i="41" s="1"/>
  <c r="L112" i="41" s="1"/>
  <c r="S67" i="41"/>
  <c r="I71" i="41"/>
  <c r="I70" i="41"/>
  <c r="J73" i="41"/>
  <c r="K73" i="41" s="1"/>
  <c r="L73" i="41" s="1"/>
  <c r="J72" i="41"/>
  <c r="K72" i="41" s="1"/>
  <c r="L72" i="41" s="1"/>
  <c r="I90" i="41"/>
  <c r="I89" i="41"/>
  <c r="J92" i="41"/>
  <c r="K92" i="41" s="1"/>
  <c r="L92" i="41" s="1"/>
  <c r="J91" i="41"/>
  <c r="K91" i="41" s="1"/>
  <c r="L91" i="41" s="1"/>
  <c r="I79" i="41"/>
  <c r="B99" i="105" l="1"/>
  <c r="B97" i="105"/>
  <c r="Q12" i="12" s="1"/>
  <c r="B98" i="105"/>
  <c r="D31" i="41"/>
  <c r="D32" i="41" s="1"/>
  <c r="C31" i="41" l="1"/>
  <c r="C32" i="41" s="1"/>
  <c r="D111" i="12" l="1"/>
  <c r="C111" i="12"/>
  <c r="B111" i="12"/>
  <c r="A111" i="12"/>
  <c r="AQ51" i="12" l="1"/>
  <c r="AN51" i="12"/>
  <c r="AO50" i="12" l="1"/>
  <c r="B254" i="11"/>
  <c r="B253" i="11"/>
  <c r="B252" i="11"/>
  <c r="D64" i="15" l="1"/>
  <c r="D69" i="15" s="1"/>
  <c r="D74" i="15" s="1"/>
  <c r="D79" i="15" s="1"/>
  <c r="D84" i="15" s="1"/>
  <c r="D89" i="15" s="1"/>
  <c r="C64" i="15"/>
  <c r="C69" i="15" s="1"/>
  <c r="C74" i="15" s="1"/>
  <c r="C79" i="15" s="1"/>
  <c r="C84" i="15" s="1"/>
  <c r="C89" i="15" s="1"/>
  <c r="D63" i="15"/>
  <c r="D68" i="15" s="1"/>
  <c r="D73" i="15" s="1"/>
  <c r="D78" i="15" s="1"/>
  <c r="D83" i="15" s="1"/>
  <c r="D88" i="15" s="1"/>
  <c r="C63" i="15"/>
  <c r="C68" i="15" s="1"/>
  <c r="C73" i="15" s="1"/>
  <c r="C78" i="15" s="1"/>
  <c r="C83" i="15" s="1"/>
  <c r="C88" i="15" s="1"/>
  <c r="D62" i="15"/>
  <c r="D67" i="15" s="1"/>
  <c r="D72" i="15" s="1"/>
  <c r="D77" i="15" s="1"/>
  <c r="D82" i="15" s="1"/>
  <c r="D87" i="15" s="1"/>
  <c r="C62" i="15"/>
  <c r="C67" i="15" s="1"/>
  <c r="C72" i="15" s="1"/>
  <c r="C77" i="15" s="1"/>
  <c r="C82" i="15" s="1"/>
  <c r="C87" i="15" s="1"/>
  <c r="D61" i="15"/>
  <c r="D66" i="15" s="1"/>
  <c r="D71" i="15" s="1"/>
  <c r="D76" i="15" s="1"/>
  <c r="D81" i="15" s="1"/>
  <c r="D86" i="15" s="1"/>
  <c r="C61" i="15"/>
  <c r="C66" i="15" s="1"/>
  <c r="C71" i="15" s="1"/>
  <c r="C76" i="15" s="1"/>
  <c r="C81" i="15" s="1"/>
  <c r="C86" i="15" s="1"/>
  <c r="D60" i="15"/>
  <c r="D65" i="15" s="1"/>
  <c r="D70" i="15" s="1"/>
  <c r="D75" i="15" s="1"/>
  <c r="D80" i="15" s="1"/>
  <c r="D85" i="15" s="1"/>
  <c r="C60" i="15"/>
  <c r="C65" i="15" s="1"/>
  <c r="C70" i="15" s="1"/>
  <c r="C75" i="15" s="1"/>
  <c r="C80" i="15" s="1"/>
  <c r="C85" i="15" s="1"/>
  <c r="E13" i="13" l="1"/>
  <c r="E12" i="13"/>
  <c r="E11" i="13"/>
  <c r="E10" i="13"/>
  <c r="E9" i="13"/>
  <c r="E8" i="13"/>
  <c r="A87" i="12" l="1"/>
  <c r="A86" i="12"/>
  <c r="A85" i="12"/>
  <c r="A84" i="12"/>
  <c r="A83" i="12"/>
  <c r="A82" i="12"/>
  <c r="AO55" i="110" l="1"/>
  <c r="AN55" i="110"/>
  <c r="AU36" i="110"/>
  <c r="AT36" i="110"/>
  <c r="AU35" i="110"/>
  <c r="AT35" i="110"/>
  <c r="AU34" i="110"/>
  <c r="AT34" i="110"/>
  <c r="AU33" i="110"/>
  <c r="AT33" i="110"/>
  <c r="AU32" i="110"/>
  <c r="AT32" i="110"/>
  <c r="AU31" i="110"/>
  <c r="AT31" i="110"/>
  <c r="AU30" i="110"/>
  <c r="AT30" i="110"/>
  <c r="AU29" i="110"/>
  <c r="AT29" i="110"/>
  <c r="AU28" i="110"/>
  <c r="AT28" i="110"/>
  <c r="AU27" i="110"/>
  <c r="AT27" i="110"/>
  <c r="AU26" i="110"/>
  <c r="AT26" i="110"/>
  <c r="AU25" i="110"/>
  <c r="AT25" i="110"/>
  <c r="AV36" i="110"/>
  <c r="AV35" i="110"/>
  <c r="AV34" i="110"/>
  <c r="AV33" i="110"/>
  <c r="AV32" i="110"/>
  <c r="AV31" i="110"/>
  <c r="AV30" i="110"/>
  <c r="AV29" i="110"/>
  <c r="AV28" i="110"/>
  <c r="AV27" i="110"/>
  <c r="AV26" i="110"/>
  <c r="AV25" i="110"/>
  <c r="AS36" i="110"/>
  <c r="AS35" i="110"/>
  <c r="AS34" i="110"/>
  <c r="AS33" i="110"/>
  <c r="AS32" i="110"/>
  <c r="AS31" i="110"/>
  <c r="AS30" i="110"/>
  <c r="AS29" i="110"/>
  <c r="AS28" i="110"/>
  <c r="AS27" i="110"/>
  <c r="AS26" i="110"/>
  <c r="AS25" i="110"/>
  <c r="AR26" i="110"/>
  <c r="AR27" i="110" s="1"/>
  <c r="AR28" i="110" s="1"/>
  <c r="AR29" i="110" s="1"/>
  <c r="AR30" i="110" s="1"/>
  <c r="AR31" i="110" s="1"/>
  <c r="AR32" i="110" s="1"/>
  <c r="AR33" i="110" s="1"/>
  <c r="AR34" i="110" s="1"/>
  <c r="AR35" i="110" s="1"/>
  <c r="AR36" i="110" s="1"/>
  <c r="AQ26" i="110"/>
  <c r="AP26" i="110"/>
  <c r="AP27" i="110" s="1"/>
  <c r="AP28" i="110" s="1"/>
  <c r="AP29" i="110" s="1"/>
  <c r="AP30" i="110" s="1"/>
  <c r="AP31" i="110" s="1"/>
  <c r="AP32" i="110" s="1"/>
  <c r="AP33" i="110" s="1"/>
  <c r="AP34" i="110" s="1"/>
  <c r="AP35" i="110" s="1"/>
  <c r="AP36" i="110" s="1"/>
  <c r="AO26" i="110"/>
  <c r="AO27" i="110" s="1"/>
  <c r="AO28" i="110" s="1"/>
  <c r="AO29" i="110" s="1"/>
  <c r="AO30" i="110" s="1"/>
  <c r="AO31" i="110" s="1"/>
  <c r="AO32" i="110" s="1"/>
  <c r="AO33" i="110" s="1"/>
  <c r="AO34" i="110" s="1"/>
  <c r="AO35" i="110" s="1"/>
  <c r="AO36" i="110" s="1"/>
  <c r="B37" i="110"/>
  <c r="AN36" i="110"/>
  <c r="AN35" i="110"/>
  <c r="AN34" i="110"/>
  <c r="AN33" i="110"/>
  <c r="AN32" i="110"/>
  <c r="AN31" i="110"/>
  <c r="AN30" i="110"/>
  <c r="AN29" i="110"/>
  <c r="AN28" i="110"/>
  <c r="AN27" i="110"/>
  <c r="AN26" i="110"/>
  <c r="AN25" i="110"/>
  <c r="AT37" i="110" l="1"/>
  <c r="AU37" i="110"/>
  <c r="AN37" i="110"/>
  <c r="AS37" i="110"/>
  <c r="AQ27" i="110"/>
  <c r="AV37" i="110"/>
  <c r="AR37" i="110"/>
  <c r="AW37" i="110" l="1"/>
  <c r="B52" i="110"/>
  <c r="B47" i="110"/>
  <c r="B42" i="110"/>
  <c r="B51" i="110"/>
  <c r="B46" i="110"/>
  <c r="B41" i="110"/>
  <c r="B50" i="110"/>
  <c r="B45" i="110"/>
  <c r="B40" i="110"/>
  <c r="B53" i="110"/>
  <c r="B48" i="110"/>
  <c r="B43" i="110"/>
  <c r="AQ28" i="110"/>
  <c r="F156" i="15"/>
  <c r="F155" i="15"/>
  <c r="F154" i="15"/>
  <c r="F153" i="15"/>
  <c r="F152" i="15"/>
  <c r="F151" i="15"/>
  <c r="F150" i="15"/>
  <c r="F149" i="15"/>
  <c r="F148" i="15"/>
  <c r="F147" i="15"/>
  <c r="F146" i="15"/>
  <c r="F145" i="15"/>
  <c r="F144" i="15"/>
  <c r="F143" i="15"/>
  <c r="F142" i="15"/>
  <c r="F141" i="15"/>
  <c r="F140" i="15"/>
  <c r="F139" i="15"/>
  <c r="F138" i="15"/>
  <c r="F130" i="15"/>
  <c r="F129" i="15"/>
  <c r="F128" i="15"/>
  <c r="F127" i="15"/>
  <c r="F126" i="15"/>
  <c r="F125" i="15"/>
  <c r="F124" i="15"/>
  <c r="F123" i="15"/>
  <c r="F122" i="15"/>
  <c r="F121" i="15"/>
  <c r="F120" i="15"/>
  <c r="F119" i="15"/>
  <c r="F118" i="15"/>
  <c r="F117" i="15"/>
  <c r="F116" i="15"/>
  <c r="F115" i="15"/>
  <c r="F114" i="15"/>
  <c r="F113" i="15"/>
  <c r="F112" i="15"/>
  <c r="B55" i="110" l="1"/>
  <c r="AQ29" i="110"/>
  <c r="E130" i="15"/>
  <c r="E156" i="15" s="1"/>
  <c r="E129" i="15"/>
  <c r="E155" i="15" s="1"/>
  <c r="E128" i="15"/>
  <c r="E154" i="15" s="1"/>
  <c r="E127" i="15"/>
  <c r="E153" i="15" s="1"/>
  <c r="E126" i="15"/>
  <c r="E152" i="15" s="1"/>
  <c r="E125" i="15"/>
  <c r="E151" i="15" s="1"/>
  <c r="E124" i="15"/>
  <c r="E150" i="15" s="1"/>
  <c r="E123" i="15"/>
  <c r="E149" i="15" s="1"/>
  <c r="E122" i="15"/>
  <c r="E148" i="15" s="1"/>
  <c r="E121" i="15"/>
  <c r="E147" i="15" s="1"/>
  <c r="E120" i="15"/>
  <c r="E146" i="15" s="1"/>
  <c r="E119" i="15"/>
  <c r="E145" i="15" s="1"/>
  <c r="E118" i="15"/>
  <c r="E144" i="15" s="1"/>
  <c r="E117" i="15"/>
  <c r="E143" i="15" s="1"/>
  <c r="E116" i="15"/>
  <c r="E142" i="15" s="1"/>
  <c r="E115" i="15"/>
  <c r="E141" i="15" s="1"/>
  <c r="E114" i="15"/>
  <c r="E140" i="15" s="1"/>
  <c r="E113" i="15"/>
  <c r="E139" i="15" s="1"/>
  <c r="E112" i="15"/>
  <c r="E138" i="15" s="1"/>
  <c r="D156" i="15"/>
  <c r="C156" i="15"/>
  <c r="D155" i="15"/>
  <c r="C155" i="15"/>
  <c r="D154" i="15"/>
  <c r="C154" i="15"/>
  <c r="D153" i="15"/>
  <c r="C153" i="15"/>
  <c r="D152" i="15"/>
  <c r="C152" i="15"/>
  <c r="D151" i="15"/>
  <c r="C151" i="15"/>
  <c r="D150" i="15"/>
  <c r="C150" i="15"/>
  <c r="D149" i="15"/>
  <c r="C149" i="15"/>
  <c r="D148" i="15"/>
  <c r="C148" i="15"/>
  <c r="D147" i="15"/>
  <c r="C147" i="15"/>
  <c r="D146" i="15"/>
  <c r="C146" i="15"/>
  <c r="D145" i="15"/>
  <c r="C145" i="15"/>
  <c r="D144" i="15"/>
  <c r="C144" i="15"/>
  <c r="D143" i="15"/>
  <c r="C143" i="15"/>
  <c r="D142" i="15"/>
  <c r="C142" i="15"/>
  <c r="D141" i="15"/>
  <c r="C141" i="15"/>
  <c r="D140" i="15"/>
  <c r="C140" i="15"/>
  <c r="D139" i="15"/>
  <c r="C139" i="15"/>
  <c r="D138" i="15"/>
  <c r="C138" i="15"/>
  <c r="D130" i="15"/>
  <c r="C130" i="15"/>
  <c r="B130" i="15"/>
  <c r="D129" i="15"/>
  <c r="C129" i="15"/>
  <c r="B129" i="15"/>
  <c r="D128" i="15"/>
  <c r="C128" i="15"/>
  <c r="B128" i="15"/>
  <c r="D127" i="15"/>
  <c r="C127" i="15"/>
  <c r="B127" i="15"/>
  <c r="D126" i="15"/>
  <c r="C126" i="15"/>
  <c r="B126" i="15"/>
  <c r="D125" i="15"/>
  <c r="C125" i="15"/>
  <c r="B125" i="15"/>
  <c r="D124" i="15"/>
  <c r="C124" i="15"/>
  <c r="B124" i="15"/>
  <c r="D123" i="15"/>
  <c r="C123" i="15"/>
  <c r="B123" i="15"/>
  <c r="D122" i="15"/>
  <c r="C122" i="15"/>
  <c r="B122" i="15"/>
  <c r="D121" i="15"/>
  <c r="C121" i="15"/>
  <c r="B121" i="15"/>
  <c r="D120" i="15"/>
  <c r="C120" i="15"/>
  <c r="B120" i="15"/>
  <c r="D119" i="15"/>
  <c r="C119" i="15"/>
  <c r="B119" i="15"/>
  <c r="D118" i="15"/>
  <c r="C118" i="15"/>
  <c r="B118" i="15"/>
  <c r="D117" i="15"/>
  <c r="C117" i="15"/>
  <c r="B117" i="15"/>
  <c r="D116" i="15"/>
  <c r="C116" i="15"/>
  <c r="B116" i="15"/>
  <c r="D115" i="15"/>
  <c r="C115" i="15"/>
  <c r="B115" i="15"/>
  <c r="D114" i="15"/>
  <c r="C114" i="15"/>
  <c r="B114" i="15"/>
  <c r="D113" i="15"/>
  <c r="C113" i="15"/>
  <c r="B113" i="15"/>
  <c r="D112" i="15"/>
  <c r="B112" i="15"/>
  <c r="C112" i="15"/>
  <c r="B121" i="11"/>
  <c r="B156" i="15" s="1"/>
  <c r="B120" i="11"/>
  <c r="B155" i="15" s="1"/>
  <c r="B119" i="11"/>
  <c r="B154" i="15" s="1"/>
  <c r="B118" i="11"/>
  <c r="B153" i="15" s="1"/>
  <c r="B117" i="11"/>
  <c r="B152" i="15" s="1"/>
  <c r="B116" i="11"/>
  <c r="B151" i="15" s="1"/>
  <c r="B115" i="11"/>
  <c r="B150" i="15" s="1"/>
  <c r="B114" i="11"/>
  <c r="B149" i="15" s="1"/>
  <c r="B113" i="11"/>
  <c r="B148" i="15" s="1"/>
  <c r="B112" i="11"/>
  <c r="B147" i="15" s="1"/>
  <c r="B111" i="11"/>
  <c r="B146" i="15" s="1"/>
  <c r="B110" i="11"/>
  <c r="B145" i="15" s="1"/>
  <c r="B109" i="11"/>
  <c r="B144" i="15" s="1"/>
  <c r="B108" i="11"/>
  <c r="B143" i="15" s="1"/>
  <c r="B107" i="11"/>
  <c r="B142" i="15" s="1"/>
  <c r="B106" i="11"/>
  <c r="B141" i="15" s="1"/>
  <c r="B105" i="11"/>
  <c r="B140" i="15" s="1"/>
  <c r="B104" i="11"/>
  <c r="B139" i="15" s="1"/>
  <c r="B103" i="11"/>
  <c r="B138" i="15" s="1"/>
  <c r="C243" i="11"/>
  <c r="C244" i="11"/>
  <c r="C254" i="11"/>
  <c r="C253" i="11"/>
  <c r="F13" i="13"/>
  <c r="F12" i="13"/>
  <c r="F11" i="13"/>
  <c r="F10" i="13"/>
  <c r="F9" i="13"/>
  <c r="D8" i="13"/>
  <c r="C8" i="13"/>
  <c r="B8" i="13"/>
  <c r="D9" i="13"/>
  <c r="B9" i="13"/>
  <c r="C9" i="13"/>
  <c r="E49" i="15"/>
  <c r="F49" i="15"/>
  <c r="E35" i="15"/>
  <c r="F35" i="15"/>
  <c r="E22" i="15"/>
  <c r="E19" i="15"/>
  <c r="E16" i="15"/>
  <c r="E13" i="15"/>
  <c r="E10" i="15"/>
  <c r="E7" i="15"/>
  <c r="D22" i="15"/>
  <c r="D19" i="15"/>
  <c r="D16" i="15"/>
  <c r="D13" i="15"/>
  <c r="D10" i="15"/>
  <c r="D7" i="15"/>
  <c r="C22" i="15"/>
  <c r="C19" i="15"/>
  <c r="C16" i="15"/>
  <c r="C13" i="15"/>
  <c r="C10" i="15"/>
  <c r="C7" i="15"/>
  <c r="D101" i="12"/>
  <c r="D100" i="12"/>
  <c r="D99" i="12"/>
  <c r="D98" i="12"/>
  <c r="D97" i="12"/>
  <c r="D96" i="12"/>
  <c r="C101" i="12"/>
  <c r="C100" i="12"/>
  <c r="C99" i="12"/>
  <c r="C98" i="12"/>
  <c r="C97" i="12"/>
  <c r="C96" i="12"/>
  <c r="B101" i="12"/>
  <c r="B100" i="12"/>
  <c r="B99" i="12"/>
  <c r="B98" i="12"/>
  <c r="B97" i="12"/>
  <c r="B96" i="12"/>
  <c r="C87" i="12"/>
  <c r="C86" i="12"/>
  <c r="C85" i="12"/>
  <c r="C84" i="12"/>
  <c r="C83" i="12"/>
  <c r="C82" i="12"/>
  <c r="E87" i="12"/>
  <c r="B87" i="12"/>
  <c r="E86" i="12"/>
  <c r="E85" i="12"/>
  <c r="E84" i="12"/>
  <c r="E83" i="12"/>
  <c r="E82" i="12"/>
  <c r="B86" i="12"/>
  <c r="B85" i="12"/>
  <c r="B84" i="12"/>
  <c r="B83" i="12"/>
  <c r="B82" i="12"/>
  <c r="E55" i="12"/>
  <c r="E54" i="12"/>
  <c r="E53" i="12"/>
  <c r="E52" i="12"/>
  <c r="E51" i="12"/>
  <c r="E50" i="12"/>
  <c r="D42" i="12"/>
  <c r="D41" i="12"/>
  <c r="D40" i="12"/>
  <c r="D39" i="12"/>
  <c r="D38" i="12"/>
  <c r="D37" i="12"/>
  <c r="D35" i="12"/>
  <c r="D34" i="12"/>
  <c r="D33" i="12"/>
  <c r="D32" i="12"/>
  <c r="D31" i="12"/>
  <c r="D30" i="12"/>
  <c r="D28" i="12"/>
  <c r="D27" i="12"/>
  <c r="D26" i="12"/>
  <c r="D25" i="12"/>
  <c r="D24" i="12"/>
  <c r="D23" i="12"/>
  <c r="D21" i="12"/>
  <c r="D20" i="12"/>
  <c r="D19" i="12"/>
  <c r="D18" i="12"/>
  <c r="D17" i="12"/>
  <c r="D16" i="12"/>
  <c r="D14" i="12"/>
  <c r="D13" i="12"/>
  <c r="D12" i="12"/>
  <c r="D11" i="12"/>
  <c r="D10" i="12"/>
  <c r="D9" i="12"/>
  <c r="C251" i="11"/>
  <c r="B251" i="11" s="1"/>
  <c r="C250" i="11"/>
  <c r="B250" i="11" s="1"/>
  <c r="C249" i="11"/>
  <c r="B249" i="11" s="1"/>
  <c r="C248" i="11"/>
  <c r="B248" i="11" s="1"/>
  <c r="C241" i="11"/>
  <c r="D241" i="11" s="1"/>
  <c r="C240" i="11"/>
  <c r="C239" i="11"/>
  <c r="C238" i="11"/>
  <c r="D251" i="11" l="1"/>
  <c r="AQ30" i="110"/>
  <c r="AQ31" i="110" l="1"/>
  <c r="P125" i="98"/>
  <c r="P124" i="98"/>
  <c r="P123" i="98"/>
  <c r="P122" i="98"/>
  <c r="P121" i="98"/>
  <c r="P120" i="98"/>
  <c r="P119" i="98"/>
  <c r="O118" i="98"/>
  <c r="O126" i="98" s="1"/>
  <c r="P118" i="98" l="1"/>
  <c r="P126" i="98" s="1"/>
  <c r="L105" i="98" s="1"/>
  <c r="AQ32" i="110"/>
  <c r="AQ33" i="110" l="1"/>
  <c r="K90" i="98"/>
  <c r="E124" i="98"/>
  <c r="E129" i="98" s="1"/>
  <c r="E131" i="98" s="1"/>
  <c r="E128" i="98"/>
  <c r="C129" i="98"/>
  <c r="C131" i="98" s="1"/>
  <c r="D129" i="98"/>
  <c r="D131" i="98" s="1"/>
  <c r="D128" i="98"/>
  <c r="C128" i="98"/>
  <c r="C132" i="98" l="1"/>
  <c r="C133" i="98" s="1"/>
  <c r="AQ34" i="110"/>
  <c r="E132" i="98"/>
  <c r="D132" i="98"/>
  <c r="D133" i="98" s="1"/>
  <c r="AQ35" i="110" l="1"/>
  <c r="E133" i="98"/>
  <c r="O39" i="12"/>
  <c r="N39" i="12"/>
  <c r="M39" i="12"/>
  <c r="O32" i="12"/>
  <c r="N32" i="12"/>
  <c r="M32" i="12"/>
  <c r="O25" i="12"/>
  <c r="N25" i="12"/>
  <c r="M25" i="12"/>
  <c r="O18" i="12"/>
  <c r="N18" i="12"/>
  <c r="M18" i="12"/>
  <c r="O11" i="12"/>
  <c r="N11" i="12"/>
  <c r="M11" i="12"/>
  <c r="AQ36" i="110" l="1"/>
  <c r="M34" i="105" l="1"/>
  <c r="E172" i="40" l="1"/>
  <c r="F172" i="40"/>
  <c r="G172" i="40"/>
  <c r="H172" i="40"/>
  <c r="I172" i="40"/>
  <c r="E173" i="40"/>
  <c r="F173" i="40"/>
  <c r="G173" i="40"/>
  <c r="H173" i="40"/>
  <c r="I173" i="40"/>
  <c r="E174" i="40"/>
  <c r="F174" i="40"/>
  <c r="G174" i="40"/>
  <c r="H174" i="40"/>
  <c r="I174" i="40"/>
  <c r="E175" i="40"/>
  <c r="F175" i="40"/>
  <c r="G175" i="40"/>
  <c r="H175" i="40"/>
  <c r="I175" i="40"/>
  <c r="E176" i="40"/>
  <c r="F176" i="40"/>
  <c r="G176" i="40"/>
  <c r="H176" i="40"/>
  <c r="I176" i="40"/>
  <c r="E166" i="40"/>
  <c r="F166" i="40"/>
  <c r="G166" i="40"/>
  <c r="H166" i="40"/>
  <c r="I166" i="40"/>
  <c r="E167" i="40"/>
  <c r="F167" i="40"/>
  <c r="G167" i="40"/>
  <c r="H167" i="40"/>
  <c r="I167" i="40"/>
  <c r="E168" i="40"/>
  <c r="F168" i="40"/>
  <c r="G168" i="40"/>
  <c r="H168" i="40"/>
  <c r="I168" i="40"/>
  <c r="E169" i="40"/>
  <c r="F169" i="40"/>
  <c r="G169" i="40"/>
  <c r="H169" i="40"/>
  <c r="I169" i="40"/>
  <c r="E170" i="40"/>
  <c r="F170" i="40"/>
  <c r="G170" i="40"/>
  <c r="H170" i="40"/>
  <c r="I170" i="40"/>
  <c r="E160" i="40"/>
  <c r="F160" i="40"/>
  <c r="G160" i="40"/>
  <c r="H160" i="40"/>
  <c r="I160" i="40"/>
  <c r="E161" i="40"/>
  <c r="F161" i="40"/>
  <c r="G161" i="40"/>
  <c r="H161" i="40"/>
  <c r="I161" i="40"/>
  <c r="E162" i="40"/>
  <c r="F162" i="40"/>
  <c r="G162" i="40"/>
  <c r="H162" i="40"/>
  <c r="I162" i="40"/>
  <c r="E163" i="40"/>
  <c r="F163" i="40"/>
  <c r="G163" i="40"/>
  <c r="H163" i="40"/>
  <c r="I163" i="40"/>
  <c r="E164" i="40"/>
  <c r="F164" i="40"/>
  <c r="G164" i="40"/>
  <c r="H164" i="40"/>
  <c r="I164" i="40"/>
  <c r="E154" i="40"/>
  <c r="F154" i="40"/>
  <c r="G154" i="40"/>
  <c r="H154" i="40"/>
  <c r="I154" i="40"/>
  <c r="E155" i="40"/>
  <c r="F155" i="40"/>
  <c r="G155" i="40"/>
  <c r="H155" i="40"/>
  <c r="I155" i="40"/>
  <c r="E156" i="40"/>
  <c r="F156" i="40"/>
  <c r="G156" i="40"/>
  <c r="H156" i="40"/>
  <c r="I156" i="40"/>
  <c r="E157" i="40"/>
  <c r="F157" i="40"/>
  <c r="G157" i="40"/>
  <c r="H157" i="40"/>
  <c r="I157" i="40"/>
  <c r="E158" i="40"/>
  <c r="F158" i="40"/>
  <c r="G158" i="40"/>
  <c r="H158" i="40"/>
  <c r="I158" i="40"/>
  <c r="E148" i="40"/>
  <c r="F148" i="40"/>
  <c r="G148" i="40"/>
  <c r="H148" i="40"/>
  <c r="I148" i="40"/>
  <c r="E149" i="40"/>
  <c r="F149" i="40"/>
  <c r="G149" i="40"/>
  <c r="H149" i="40"/>
  <c r="I149" i="40"/>
  <c r="E150" i="40"/>
  <c r="F150" i="40"/>
  <c r="G150" i="40"/>
  <c r="H150" i="40"/>
  <c r="I150" i="40"/>
  <c r="E151" i="40"/>
  <c r="F151" i="40"/>
  <c r="G151" i="40"/>
  <c r="H151" i="40"/>
  <c r="I151" i="40"/>
  <c r="E152" i="40"/>
  <c r="F152" i="40"/>
  <c r="G152" i="40"/>
  <c r="H152" i="40"/>
  <c r="I152" i="40"/>
  <c r="E142" i="40"/>
  <c r="F142" i="40"/>
  <c r="G142" i="40"/>
  <c r="H142" i="40"/>
  <c r="I142" i="40"/>
  <c r="E143" i="40"/>
  <c r="F143" i="40"/>
  <c r="G143" i="40"/>
  <c r="H143" i="40"/>
  <c r="I143" i="40"/>
  <c r="E144" i="40"/>
  <c r="F144" i="40"/>
  <c r="G144" i="40"/>
  <c r="H144" i="40"/>
  <c r="I144" i="40"/>
  <c r="E145" i="40"/>
  <c r="F145" i="40"/>
  <c r="G145" i="40"/>
  <c r="H145" i="40"/>
  <c r="I145" i="40"/>
  <c r="E146" i="40"/>
  <c r="F146" i="40"/>
  <c r="G146" i="40"/>
  <c r="H146" i="40"/>
  <c r="I146" i="40"/>
  <c r="E136" i="40"/>
  <c r="F136" i="40"/>
  <c r="G136" i="40"/>
  <c r="H136" i="40"/>
  <c r="I136" i="40"/>
  <c r="E137" i="40"/>
  <c r="F137" i="40"/>
  <c r="G137" i="40"/>
  <c r="H137" i="40"/>
  <c r="I137" i="40"/>
  <c r="E138" i="40"/>
  <c r="F138" i="40"/>
  <c r="G138" i="40"/>
  <c r="H138" i="40"/>
  <c r="I138" i="40"/>
  <c r="E139" i="40"/>
  <c r="F139" i="40"/>
  <c r="G139" i="40"/>
  <c r="H139" i="40"/>
  <c r="I139" i="40"/>
  <c r="E140" i="40"/>
  <c r="F140" i="40"/>
  <c r="G140" i="40"/>
  <c r="H140" i="40"/>
  <c r="I140" i="40"/>
  <c r="E130" i="40"/>
  <c r="F130" i="40"/>
  <c r="G130" i="40"/>
  <c r="H130" i="40"/>
  <c r="I130" i="40"/>
  <c r="J130" i="40" s="1"/>
  <c r="K130" i="40" s="1"/>
  <c r="L130" i="40" s="1"/>
  <c r="E131" i="40"/>
  <c r="F131" i="40"/>
  <c r="G131" i="40"/>
  <c r="H131" i="40"/>
  <c r="I131" i="40"/>
  <c r="E132" i="40"/>
  <c r="F132" i="40"/>
  <c r="G132" i="40"/>
  <c r="H132" i="40"/>
  <c r="I132" i="40"/>
  <c r="J132" i="40" s="1"/>
  <c r="K132" i="40" s="1"/>
  <c r="L132" i="40" s="1"/>
  <c r="E133" i="40"/>
  <c r="F133" i="40"/>
  <c r="G133" i="40"/>
  <c r="H133" i="40"/>
  <c r="I133" i="40"/>
  <c r="J133" i="40" s="1"/>
  <c r="K133" i="40" s="1"/>
  <c r="L133" i="40" s="1"/>
  <c r="E134" i="40"/>
  <c r="F134" i="40"/>
  <c r="G134" i="40"/>
  <c r="H134" i="40"/>
  <c r="I134" i="40"/>
  <c r="J134" i="40" s="1"/>
  <c r="K134" i="40" s="1"/>
  <c r="L134" i="40" s="1"/>
  <c r="J131" i="40"/>
  <c r="K131" i="40" s="1"/>
  <c r="L131" i="40" s="1"/>
  <c r="D176" i="40"/>
  <c r="D175" i="40"/>
  <c r="D174" i="40"/>
  <c r="D173" i="40"/>
  <c r="D172" i="40"/>
  <c r="D170" i="40"/>
  <c r="D169" i="40"/>
  <c r="D168" i="40"/>
  <c r="D167" i="40"/>
  <c r="D166" i="40"/>
  <c r="D164" i="40"/>
  <c r="D163" i="40"/>
  <c r="D162" i="40"/>
  <c r="D161" i="40"/>
  <c r="D160" i="40"/>
  <c r="D158" i="40"/>
  <c r="D157" i="40"/>
  <c r="D156" i="40"/>
  <c r="D155" i="40"/>
  <c r="D154" i="40"/>
  <c r="D152" i="40"/>
  <c r="D151" i="40"/>
  <c r="D150" i="40"/>
  <c r="D149" i="40"/>
  <c r="D148" i="40"/>
  <c r="D146" i="40"/>
  <c r="D145" i="40"/>
  <c r="D144" i="40"/>
  <c r="D143" i="40"/>
  <c r="D142" i="40"/>
  <c r="D140" i="40"/>
  <c r="D139" i="40"/>
  <c r="D138" i="40"/>
  <c r="D137" i="40"/>
  <c r="D136" i="40"/>
  <c r="D134" i="40"/>
  <c r="D133" i="40"/>
  <c r="D132" i="40"/>
  <c r="D131" i="40"/>
  <c r="D130" i="40"/>
  <c r="D127" i="40"/>
  <c r="E127" i="40"/>
  <c r="F127" i="40"/>
  <c r="G127" i="40"/>
  <c r="H127" i="40"/>
  <c r="I127" i="40"/>
  <c r="J127" i="40" s="1"/>
  <c r="K127" i="40" s="1"/>
  <c r="L127" i="40" s="1"/>
  <c r="I128" i="40"/>
  <c r="J128" i="40" s="1"/>
  <c r="K128" i="40" s="1"/>
  <c r="L128" i="40" s="1"/>
  <c r="H128" i="40"/>
  <c r="G128" i="40"/>
  <c r="F128" i="40"/>
  <c r="E128" i="40"/>
  <c r="I126" i="40"/>
  <c r="J126" i="40" s="1"/>
  <c r="K126" i="40" s="1"/>
  <c r="L126" i="40" s="1"/>
  <c r="H126" i="40"/>
  <c r="G126" i="40"/>
  <c r="F126" i="40"/>
  <c r="E126" i="40"/>
  <c r="I125" i="40"/>
  <c r="J125" i="40" s="1"/>
  <c r="K125" i="40" s="1"/>
  <c r="L125" i="40" s="1"/>
  <c r="H125" i="40"/>
  <c r="G125" i="40"/>
  <c r="F125" i="40"/>
  <c r="E125" i="40"/>
  <c r="I124" i="40"/>
  <c r="J124" i="40" s="1"/>
  <c r="K124" i="40" s="1"/>
  <c r="L124" i="40" s="1"/>
  <c r="H124" i="40"/>
  <c r="G124" i="40"/>
  <c r="F124" i="40"/>
  <c r="E124" i="40"/>
  <c r="D128" i="40"/>
  <c r="D126" i="40"/>
  <c r="D124" i="40"/>
  <c r="C2" i="108"/>
  <c r="B2" i="108"/>
  <c r="T35" i="41" l="1"/>
  <c r="T30" i="41" l="1"/>
  <c r="U30" i="41"/>
  <c r="V30" i="41"/>
  <c r="W30" i="41"/>
  <c r="X30" i="41"/>
  <c r="Y30" i="41"/>
  <c r="T33" i="41"/>
  <c r="U33" i="41"/>
  <c r="V33" i="41"/>
  <c r="W33" i="41"/>
  <c r="X33" i="41"/>
  <c r="Y33" i="41"/>
  <c r="T34" i="41"/>
  <c r="U34" i="41"/>
  <c r="V34" i="41"/>
  <c r="W34" i="41"/>
  <c r="X34" i="41"/>
  <c r="Y34" i="41"/>
  <c r="U35" i="41"/>
  <c r="V35" i="41"/>
  <c r="W35" i="41"/>
  <c r="X35" i="41"/>
  <c r="Y35" i="41"/>
  <c r="T36" i="41"/>
  <c r="U36" i="41"/>
  <c r="V36" i="41"/>
  <c r="D11" i="41" s="1"/>
  <c r="W36" i="41"/>
  <c r="E11" i="41" s="1"/>
  <c r="X36" i="41"/>
  <c r="F11" i="41" s="1"/>
  <c r="Y36" i="41"/>
  <c r="T37" i="41"/>
  <c r="U37" i="41"/>
  <c r="C13" i="41" s="1"/>
  <c r="V37" i="41"/>
  <c r="D13" i="41" s="1"/>
  <c r="W37" i="41"/>
  <c r="E13" i="41" s="1"/>
  <c r="X37" i="41"/>
  <c r="Y37" i="41"/>
  <c r="G13" i="41" s="1"/>
  <c r="T38" i="41"/>
  <c r="U38" i="41"/>
  <c r="V38" i="41"/>
  <c r="W38" i="41"/>
  <c r="X38" i="41"/>
  <c r="Y38" i="41"/>
  <c r="T39" i="41"/>
  <c r="U39" i="41"/>
  <c r="C14" i="41" s="1"/>
  <c r="V39" i="41"/>
  <c r="D14" i="41" s="1"/>
  <c r="W39" i="41"/>
  <c r="X39" i="41"/>
  <c r="Y39" i="41"/>
  <c r="G14" i="41" s="1"/>
  <c r="T40" i="41"/>
  <c r="U40" i="41"/>
  <c r="V40" i="41"/>
  <c r="W40" i="41"/>
  <c r="X40" i="41"/>
  <c r="Y40" i="41"/>
  <c r="T41" i="41"/>
  <c r="U41" i="41"/>
  <c r="V41" i="41"/>
  <c r="W41" i="41"/>
  <c r="X41" i="41"/>
  <c r="Y41" i="41"/>
  <c r="U29" i="41"/>
  <c r="C3" i="41" s="1"/>
  <c r="V29" i="41"/>
  <c r="D3" i="41" s="1"/>
  <c r="W29" i="41"/>
  <c r="E3" i="41" s="1"/>
  <c r="X29" i="41"/>
  <c r="F3" i="41" s="1"/>
  <c r="Y29" i="41"/>
  <c r="G3" i="41" s="1"/>
  <c r="T29" i="41"/>
  <c r="B3" i="41" s="1"/>
  <c r="C11" i="41"/>
  <c r="G11" i="41"/>
  <c r="F13" i="41"/>
  <c r="E14" i="41"/>
  <c r="F14" i="41"/>
  <c r="O77" i="41"/>
  <c r="P77" i="41"/>
  <c r="Q77" i="41"/>
  <c r="R77" i="41"/>
  <c r="S77" i="41"/>
  <c r="T77" i="41"/>
  <c r="U77" i="41"/>
  <c r="O78" i="41"/>
  <c r="C7" i="41" s="1"/>
  <c r="P78" i="41"/>
  <c r="Q78" i="41"/>
  <c r="R78" i="41"/>
  <c r="S78" i="41"/>
  <c r="G7" i="41" s="1"/>
  <c r="T78" i="41"/>
  <c r="U78" i="41"/>
  <c r="O83" i="41"/>
  <c r="P83" i="41"/>
  <c r="D6" i="41" s="1"/>
  <c r="Q83" i="41"/>
  <c r="R83" i="41"/>
  <c r="S83" i="41"/>
  <c r="T83" i="41"/>
  <c r="U83" i="41"/>
  <c r="O84" i="41"/>
  <c r="P84" i="41"/>
  <c r="D8" i="41" s="1"/>
  <c r="Q84" i="41"/>
  <c r="E8" i="41" s="1"/>
  <c r="R84" i="41"/>
  <c r="S84" i="41"/>
  <c r="T84" i="41"/>
  <c r="U84" i="41"/>
  <c r="O87" i="41"/>
  <c r="P87" i="41"/>
  <c r="Q87" i="41"/>
  <c r="R87" i="41"/>
  <c r="S87" i="41"/>
  <c r="T87" i="41"/>
  <c r="U87" i="41"/>
  <c r="O88" i="41"/>
  <c r="C12" i="41" s="1"/>
  <c r="P88" i="41"/>
  <c r="Q88" i="41"/>
  <c r="R88" i="41"/>
  <c r="S88" i="41"/>
  <c r="T88" i="41"/>
  <c r="U88" i="41"/>
  <c r="O95" i="41"/>
  <c r="P95" i="41"/>
  <c r="Q95" i="41"/>
  <c r="E5" i="41" s="1"/>
  <c r="R95" i="41"/>
  <c r="F5" i="41" s="1"/>
  <c r="S95" i="41"/>
  <c r="G5" i="41" s="1"/>
  <c r="T95" i="41"/>
  <c r="U95" i="41"/>
  <c r="O96" i="41"/>
  <c r="P96" i="41"/>
  <c r="Q96" i="41"/>
  <c r="R96" i="41"/>
  <c r="S96" i="41"/>
  <c r="T96" i="41"/>
  <c r="U96" i="41"/>
  <c r="C5" i="41" l="1"/>
  <c r="G12" i="41"/>
  <c r="F6" i="41"/>
  <c r="G10" i="41"/>
  <c r="C10" i="41"/>
  <c r="E6" i="41"/>
  <c r="G4" i="41"/>
  <c r="C4" i="41"/>
  <c r="D4" i="41"/>
  <c r="D9" i="41"/>
  <c r="E10" i="41"/>
  <c r="E4" i="41"/>
  <c r="D5" i="41"/>
  <c r="G8" i="41"/>
  <c r="C8" i="41"/>
  <c r="D10" i="41"/>
  <c r="G6" i="41"/>
  <c r="E12" i="41"/>
  <c r="E7" i="41"/>
  <c r="F8" i="41"/>
  <c r="C6" i="41"/>
  <c r="D7" i="41"/>
  <c r="F9" i="41"/>
  <c r="F10" i="41"/>
  <c r="F4" i="41"/>
  <c r="F7" i="41"/>
  <c r="F12" i="41"/>
  <c r="D12" i="41"/>
  <c r="G9" i="41"/>
  <c r="E9" i="41"/>
  <c r="C9" i="41"/>
  <c r="B124" i="40" l="1"/>
  <c r="B11" i="41"/>
  <c r="B13" i="41"/>
  <c r="B14" i="41"/>
  <c r="N88" i="41" l="1"/>
  <c r="N87" i="41"/>
  <c r="N78" i="41"/>
  <c r="N77" i="41"/>
  <c r="N96" i="41"/>
  <c r="N95" i="41"/>
  <c r="N84" i="41"/>
  <c r="N83" i="41"/>
  <c r="B131" i="41"/>
  <c r="P110" i="41" l="1"/>
  <c r="D20" i="41" s="1"/>
  <c r="T110" i="41"/>
  <c r="P106" i="41"/>
  <c r="D19" i="41" s="1"/>
  <c r="T106" i="41"/>
  <c r="P89" i="41"/>
  <c r="D18" i="41" s="1"/>
  <c r="T89" i="41"/>
  <c r="P79" i="41"/>
  <c r="D17" i="41" s="1"/>
  <c r="T79" i="41"/>
  <c r="P71" i="41"/>
  <c r="D16" i="41" s="1"/>
  <c r="T71" i="41"/>
  <c r="S110" i="41"/>
  <c r="G20" i="41" s="1"/>
  <c r="O89" i="41"/>
  <c r="C18" i="41" s="1"/>
  <c r="S79" i="41"/>
  <c r="G17" i="41" s="1"/>
  <c r="S71" i="41"/>
  <c r="G16" i="41" s="1"/>
  <c r="Q110" i="41"/>
  <c r="E20" i="41" s="1"/>
  <c r="U110" i="41"/>
  <c r="Q106" i="41"/>
  <c r="E19" i="41" s="1"/>
  <c r="U106" i="41"/>
  <c r="Q89" i="41"/>
  <c r="E18" i="41" s="1"/>
  <c r="Q79" i="41"/>
  <c r="E17" i="41" s="1"/>
  <c r="U79" i="41"/>
  <c r="Q71" i="41"/>
  <c r="E16" i="41" s="1"/>
  <c r="U71" i="41"/>
  <c r="O110" i="41"/>
  <c r="C20" i="41" s="1"/>
  <c r="S106" i="41"/>
  <c r="G19" i="41" s="1"/>
  <c r="S89" i="41"/>
  <c r="G18" i="41" s="1"/>
  <c r="O71" i="41"/>
  <c r="C16" i="41" s="1"/>
  <c r="R110" i="41"/>
  <c r="F20" i="41" s="1"/>
  <c r="N110" i="41"/>
  <c r="B20" i="41" s="1"/>
  <c r="R106" i="41"/>
  <c r="F19" i="41" s="1"/>
  <c r="N106" i="41"/>
  <c r="B19" i="41" s="1"/>
  <c r="R89" i="41"/>
  <c r="F18" i="41" s="1"/>
  <c r="N89" i="41"/>
  <c r="B18" i="41" s="1"/>
  <c r="R79" i="41"/>
  <c r="F17" i="41" s="1"/>
  <c r="N79" i="41"/>
  <c r="B17" i="41" s="1"/>
  <c r="R71" i="41"/>
  <c r="F16" i="41" s="1"/>
  <c r="N71" i="41"/>
  <c r="B16" i="41" s="1"/>
  <c r="O106" i="41"/>
  <c r="C19" i="41" s="1"/>
  <c r="O79" i="41"/>
  <c r="C17" i="41" s="1"/>
  <c r="B8" i="41"/>
  <c r="B9" i="41"/>
  <c r="B7" i="41"/>
  <c r="B12" i="41"/>
  <c r="B6" i="41"/>
  <c r="B5" i="41"/>
  <c r="B4" i="41"/>
  <c r="B10" i="41"/>
  <c r="J124" i="41" l="1"/>
  <c r="K124" i="41" s="1"/>
  <c r="L124" i="41" s="1"/>
  <c r="J123" i="41"/>
  <c r="K123" i="41" s="1"/>
  <c r="L123" i="41" s="1"/>
  <c r="J122" i="41"/>
  <c r="K122" i="41" s="1"/>
  <c r="L122" i="41" s="1"/>
  <c r="J119" i="41"/>
  <c r="K119" i="41" s="1"/>
  <c r="L119" i="41" s="1"/>
  <c r="J116" i="41"/>
  <c r="K116" i="41" s="1"/>
  <c r="L116" i="41" s="1"/>
  <c r="J111" i="41"/>
  <c r="K111" i="41" s="1"/>
  <c r="L111" i="41" s="1"/>
  <c r="J110" i="41"/>
  <c r="K110" i="41" s="1"/>
  <c r="L110" i="41" s="1"/>
  <c r="J109" i="41"/>
  <c r="K109" i="41" s="1"/>
  <c r="L109" i="41" s="1"/>
  <c r="J106" i="41"/>
  <c r="K106" i="41" s="1"/>
  <c r="L106" i="41" s="1"/>
  <c r="J103" i="41"/>
  <c r="K103" i="41" s="1"/>
  <c r="L103" i="41" s="1"/>
  <c r="J102" i="41"/>
  <c r="K102" i="41" s="1"/>
  <c r="L102" i="41" s="1"/>
  <c r="J99" i="41"/>
  <c r="K99" i="41" s="1"/>
  <c r="L99" i="41" s="1"/>
  <c r="J96" i="41"/>
  <c r="K96" i="41" s="1"/>
  <c r="L96" i="41" s="1"/>
  <c r="J95" i="41"/>
  <c r="K95" i="41" s="1"/>
  <c r="L95" i="41" s="1"/>
  <c r="J90" i="41"/>
  <c r="K90" i="41" s="1"/>
  <c r="L90" i="41" s="1"/>
  <c r="J88" i="41"/>
  <c r="K88" i="41" s="1"/>
  <c r="L88" i="41" s="1"/>
  <c r="J87" i="41"/>
  <c r="K87" i="41" s="1"/>
  <c r="L87" i="41" s="1"/>
  <c r="J84" i="41"/>
  <c r="K84" i="41" s="1"/>
  <c r="L84" i="41" s="1"/>
  <c r="J83" i="41"/>
  <c r="K83" i="41" s="1"/>
  <c r="L83" i="41" s="1"/>
  <c r="J79" i="41"/>
  <c r="K79" i="41" s="1"/>
  <c r="L79" i="41" s="1"/>
  <c r="J78" i="41"/>
  <c r="K78" i="41" s="1"/>
  <c r="L78" i="41" s="1"/>
  <c r="J77" i="41"/>
  <c r="K77" i="41" s="1"/>
  <c r="L77" i="41" s="1"/>
  <c r="J71" i="41"/>
  <c r="K71" i="41" s="1"/>
  <c r="L71" i="41" s="1"/>
  <c r="J70" i="41"/>
  <c r="K70" i="41" s="1"/>
  <c r="L70" i="41" s="1"/>
  <c r="AO14" i="110" l="1"/>
  <c r="AS18" i="110" l="1"/>
  <c r="AR18" i="110"/>
  <c r="AO16" i="110"/>
  <c r="AP16" i="110" s="1"/>
  <c r="AO15" i="110"/>
  <c r="B17" i="102"/>
  <c r="B18" i="102"/>
  <c r="B16" i="102"/>
  <c r="AQ16" i="110" l="1"/>
  <c r="AO19" i="110"/>
  <c r="AP19" i="110" l="1"/>
  <c r="AR16" i="110"/>
  <c r="AR19" i="110"/>
  <c r="AQ19" i="110"/>
  <c r="AS16" i="110" l="1"/>
  <c r="AS19" i="110" l="1"/>
  <c r="J26" i="99" l="1"/>
  <c r="M35" i="105" l="1"/>
  <c r="M36" i="105"/>
  <c r="M37" i="105"/>
  <c r="M38" i="105"/>
  <c r="M39" i="105"/>
  <c r="M40" i="105"/>
  <c r="M41" i="105"/>
  <c r="M42" i="105"/>
  <c r="T35" i="105"/>
  <c r="T36" i="105"/>
  <c r="T37" i="105"/>
  <c r="T38" i="105"/>
  <c r="T39" i="105"/>
  <c r="T40" i="105"/>
  <c r="T41" i="105"/>
  <c r="T42" i="105"/>
  <c r="T34" i="105"/>
  <c r="S35" i="105"/>
  <c r="S36" i="105"/>
  <c r="S37" i="105"/>
  <c r="S38" i="105"/>
  <c r="S39" i="105"/>
  <c r="S40" i="105"/>
  <c r="S41" i="105"/>
  <c r="S42" i="105"/>
  <c r="S34" i="105"/>
  <c r="R35" i="105"/>
  <c r="R36" i="105"/>
  <c r="R37" i="105"/>
  <c r="R38" i="105"/>
  <c r="R39" i="105"/>
  <c r="R40" i="105"/>
  <c r="R41" i="105"/>
  <c r="R42" i="105"/>
  <c r="R34" i="105"/>
  <c r="Q35" i="105"/>
  <c r="Q36" i="105"/>
  <c r="Q37" i="105"/>
  <c r="Q38" i="105"/>
  <c r="Q39" i="105"/>
  <c r="Q40" i="105"/>
  <c r="Q41" i="105"/>
  <c r="Q42" i="105"/>
  <c r="Q34" i="105"/>
  <c r="P35" i="105"/>
  <c r="P36" i="105"/>
  <c r="P37" i="105"/>
  <c r="P38" i="105"/>
  <c r="P39" i="105"/>
  <c r="P40" i="105"/>
  <c r="P41" i="105"/>
  <c r="P42" i="105"/>
  <c r="P34" i="105"/>
  <c r="O35" i="105"/>
  <c r="O36" i="105"/>
  <c r="O37" i="105"/>
  <c r="O38" i="105"/>
  <c r="O39" i="105"/>
  <c r="O40" i="105"/>
  <c r="O41" i="105"/>
  <c r="O42" i="105"/>
  <c r="O34" i="105"/>
  <c r="N35" i="105"/>
  <c r="N36" i="105"/>
  <c r="N37" i="105"/>
  <c r="N38" i="105"/>
  <c r="N39" i="105"/>
  <c r="N40" i="105"/>
  <c r="N41" i="105"/>
  <c r="N42" i="105"/>
  <c r="N34" i="105"/>
  <c r="C42" i="105"/>
  <c r="D42" i="105"/>
  <c r="E42" i="105"/>
  <c r="F42" i="105"/>
  <c r="G42" i="105"/>
  <c r="H42" i="105"/>
  <c r="S54" i="105" s="1"/>
  <c r="I42" i="105"/>
  <c r="I35" i="105"/>
  <c r="I36" i="105"/>
  <c r="I37" i="105"/>
  <c r="I38" i="105"/>
  <c r="I39" i="105"/>
  <c r="I40" i="105"/>
  <c r="I41" i="105"/>
  <c r="I34" i="105"/>
  <c r="H35" i="105"/>
  <c r="H36" i="105"/>
  <c r="H37" i="105"/>
  <c r="H38" i="105"/>
  <c r="S50" i="105" s="1"/>
  <c r="H39" i="105"/>
  <c r="H40" i="105"/>
  <c r="H41" i="105"/>
  <c r="H34" i="105"/>
  <c r="G35" i="105"/>
  <c r="G36" i="105"/>
  <c r="G37" i="105"/>
  <c r="G38" i="105"/>
  <c r="G39" i="105"/>
  <c r="G40" i="105"/>
  <c r="G41" i="105"/>
  <c r="G34" i="105"/>
  <c r="F36" i="105"/>
  <c r="F37" i="105"/>
  <c r="F38" i="105"/>
  <c r="F39" i="105"/>
  <c r="F40" i="105"/>
  <c r="Q52" i="105" s="1"/>
  <c r="F41" i="105"/>
  <c r="F35" i="105"/>
  <c r="F34" i="105"/>
  <c r="E35" i="105"/>
  <c r="E36" i="105"/>
  <c r="E37" i="105"/>
  <c r="E38" i="105"/>
  <c r="E39" i="105"/>
  <c r="E40" i="105"/>
  <c r="E41" i="105"/>
  <c r="E34" i="105"/>
  <c r="D35" i="105"/>
  <c r="D36" i="105"/>
  <c r="D37" i="105"/>
  <c r="D38" i="105"/>
  <c r="D39" i="105"/>
  <c r="D40" i="105"/>
  <c r="D41" i="105"/>
  <c r="D34" i="105"/>
  <c r="C35" i="105"/>
  <c r="C36" i="105"/>
  <c r="C37" i="105"/>
  <c r="C38" i="105"/>
  <c r="C39" i="105"/>
  <c r="C40" i="105"/>
  <c r="C41" i="105"/>
  <c r="C34" i="105"/>
  <c r="M48" i="105"/>
  <c r="M50" i="105"/>
  <c r="M52" i="105"/>
  <c r="M46" i="105"/>
  <c r="EI29" i="105"/>
  <c r="ED29" i="105"/>
  <c r="EE29" i="105" s="1"/>
  <c r="EC29" i="105"/>
  <c r="DY29" i="105"/>
  <c r="DS29" i="105"/>
  <c r="DU29" i="105" s="1"/>
  <c r="DQ29" i="105"/>
  <c r="DM29" i="105"/>
  <c r="DG29" i="105"/>
  <c r="DI29" i="105" s="1"/>
  <c r="DE29" i="105"/>
  <c r="DA29" i="105"/>
  <c r="CU29" i="105"/>
  <c r="CW29" i="105" s="1"/>
  <c r="CS29" i="105"/>
  <c r="CO29" i="105"/>
  <c r="CK29" i="105"/>
  <c r="CE29" i="105"/>
  <c r="CG29" i="105" s="1"/>
  <c r="CA29" i="105"/>
  <c r="CC29" i="105" s="1"/>
  <c r="BY29" i="105"/>
  <c r="BU29" i="105"/>
  <c r="BO29" i="105"/>
  <c r="BQ29" i="105" s="1"/>
  <c r="BK29" i="105"/>
  <c r="BM29" i="105" s="1"/>
  <c r="BI29" i="105"/>
  <c r="BE29" i="105"/>
  <c r="BA29" i="105"/>
  <c r="AU29" i="105"/>
  <c r="AW29" i="105" s="1"/>
  <c r="AS29" i="105"/>
  <c r="AO29" i="105"/>
  <c r="AK29" i="105"/>
  <c r="AE29" i="105"/>
  <c r="AG29" i="105" s="1"/>
  <c r="AA29" i="105"/>
  <c r="AC29" i="105" s="1"/>
  <c r="W29" i="105"/>
  <c r="Y29" i="105" s="1"/>
  <c r="S29" i="105"/>
  <c r="U29" i="105" s="1"/>
  <c r="O29" i="105"/>
  <c r="Q29" i="105" s="1"/>
  <c r="K29" i="105"/>
  <c r="M29" i="105" s="1"/>
  <c r="I29" i="105"/>
  <c r="E29" i="105"/>
  <c r="EI28" i="105"/>
  <c r="ED28" i="105"/>
  <c r="EE28" i="105" s="1"/>
  <c r="EC28" i="105"/>
  <c r="DY28" i="105"/>
  <c r="DU28" i="105"/>
  <c r="DQ28" i="105"/>
  <c r="DM28" i="105"/>
  <c r="DI28" i="105"/>
  <c r="DE28" i="105"/>
  <c r="DA28" i="105"/>
  <c r="CW28" i="105"/>
  <c r="CS28" i="105"/>
  <c r="CO28" i="105"/>
  <c r="CK28" i="105"/>
  <c r="CG28" i="105"/>
  <c r="CC28" i="105"/>
  <c r="BY28" i="105"/>
  <c r="BU28" i="105"/>
  <c r="BQ28" i="105"/>
  <c r="BM28" i="105"/>
  <c r="BI28" i="105"/>
  <c r="BE28" i="105"/>
  <c r="BA28" i="105"/>
  <c r="AW28" i="105"/>
  <c r="AS28" i="105"/>
  <c r="AO28" i="105"/>
  <c r="AK28" i="105"/>
  <c r="AG28" i="105"/>
  <c r="AC28" i="105"/>
  <c r="Y28" i="105"/>
  <c r="U28" i="105"/>
  <c r="Q28" i="105"/>
  <c r="M28" i="105"/>
  <c r="I28" i="105"/>
  <c r="E28" i="105"/>
  <c r="EI27" i="105"/>
  <c r="ED27" i="105"/>
  <c r="EE27" i="105" s="1"/>
  <c r="EC27" i="105"/>
  <c r="DY27" i="105"/>
  <c r="DU27" i="105"/>
  <c r="DQ27" i="105"/>
  <c r="DM27" i="105"/>
  <c r="DI27" i="105"/>
  <c r="DE27" i="105"/>
  <c r="DA27" i="105"/>
  <c r="CW27" i="105"/>
  <c r="CS27" i="105"/>
  <c r="CO27" i="105"/>
  <c r="CK27" i="105"/>
  <c r="CG27" i="105"/>
  <c r="CC27" i="105"/>
  <c r="BY27" i="105"/>
  <c r="BU27" i="105"/>
  <c r="BQ27" i="105"/>
  <c r="BM27" i="105"/>
  <c r="BI27" i="105"/>
  <c r="BE27" i="105"/>
  <c r="BA27" i="105"/>
  <c r="AW27" i="105"/>
  <c r="AS27" i="105"/>
  <c r="AO27" i="105"/>
  <c r="AK27" i="105"/>
  <c r="AG27" i="105"/>
  <c r="AC27" i="105"/>
  <c r="Y27" i="105"/>
  <c r="U27" i="105"/>
  <c r="Q27" i="105"/>
  <c r="M27" i="105"/>
  <c r="I27" i="105"/>
  <c r="E27" i="105"/>
  <c r="EI26" i="105"/>
  <c r="ED26" i="105"/>
  <c r="EE26" i="105" s="1"/>
  <c r="EC26" i="105"/>
  <c r="DY26" i="105"/>
  <c r="DU26" i="105"/>
  <c r="DQ26" i="105"/>
  <c r="DM26" i="105"/>
  <c r="DI26" i="105"/>
  <c r="DE26" i="105"/>
  <c r="DA26" i="105"/>
  <c r="CW26" i="105"/>
  <c r="CS26" i="105"/>
  <c r="CO26" i="105"/>
  <c r="CK26" i="105"/>
  <c r="CG26" i="105"/>
  <c r="CC26" i="105"/>
  <c r="BY26" i="105"/>
  <c r="BU26" i="105"/>
  <c r="BQ26" i="105"/>
  <c r="BM26" i="105"/>
  <c r="BI26" i="105"/>
  <c r="BE26" i="105"/>
  <c r="BA26" i="105"/>
  <c r="AW26" i="105"/>
  <c r="AS26" i="105"/>
  <c r="AO26" i="105"/>
  <c r="AK26" i="105"/>
  <c r="AG26" i="105"/>
  <c r="AC26" i="105"/>
  <c r="Y26" i="105"/>
  <c r="U26" i="105"/>
  <c r="Q26" i="105"/>
  <c r="M26" i="105"/>
  <c r="I26" i="105"/>
  <c r="E26" i="105"/>
  <c r="EI25" i="105"/>
  <c r="ED25" i="105"/>
  <c r="EE25" i="105" s="1"/>
  <c r="EC25" i="105"/>
  <c r="DY25" i="105"/>
  <c r="DU25" i="105"/>
  <c r="DQ25" i="105"/>
  <c r="DM25" i="105"/>
  <c r="DI25" i="105"/>
  <c r="DE25" i="105"/>
  <c r="DA25" i="105"/>
  <c r="CW25" i="105"/>
  <c r="CS25" i="105"/>
  <c r="CO25" i="105"/>
  <c r="CK25" i="105"/>
  <c r="CG25" i="105"/>
  <c r="CC25" i="105"/>
  <c r="BY25" i="105"/>
  <c r="BU25" i="105"/>
  <c r="BQ25" i="105"/>
  <c r="BM25" i="105"/>
  <c r="BI25" i="105"/>
  <c r="BE25" i="105"/>
  <c r="BA25" i="105"/>
  <c r="AW25" i="105"/>
  <c r="AS25" i="105"/>
  <c r="AO25" i="105"/>
  <c r="AK25" i="105"/>
  <c r="AG25" i="105"/>
  <c r="AC25" i="105"/>
  <c r="Y25" i="105"/>
  <c r="U25" i="105"/>
  <c r="Q25" i="105"/>
  <c r="M25" i="105"/>
  <c r="I25" i="105"/>
  <c r="E25" i="105"/>
  <c r="EI24" i="105"/>
  <c r="ED24" i="105"/>
  <c r="EE24" i="105" s="1"/>
  <c r="EC24" i="105"/>
  <c r="DY24" i="105"/>
  <c r="DU24" i="105"/>
  <c r="DQ24" i="105"/>
  <c r="DM24" i="105"/>
  <c r="DI24" i="105"/>
  <c r="DE24" i="105"/>
  <c r="DA24" i="105"/>
  <c r="CW24" i="105"/>
  <c r="CS24" i="105"/>
  <c r="CO24" i="105"/>
  <c r="CK24" i="105"/>
  <c r="CG24" i="105"/>
  <c r="CC24" i="105"/>
  <c r="BY24" i="105"/>
  <c r="BU24" i="105"/>
  <c r="BQ24" i="105"/>
  <c r="BM24" i="105"/>
  <c r="BI24" i="105"/>
  <c r="BE24" i="105"/>
  <c r="BA24" i="105"/>
  <c r="AW24" i="105"/>
  <c r="AS24" i="105"/>
  <c r="AO24" i="105"/>
  <c r="AK24" i="105"/>
  <c r="AG24" i="105"/>
  <c r="AC24" i="105"/>
  <c r="Y24" i="105"/>
  <c r="U24" i="105"/>
  <c r="Q24" i="105"/>
  <c r="M24" i="105"/>
  <c r="I24" i="105"/>
  <c r="E24" i="105"/>
  <c r="EI23" i="105"/>
  <c r="ED23" i="105"/>
  <c r="EE23" i="105" s="1"/>
  <c r="EC23" i="105"/>
  <c r="DY23" i="105"/>
  <c r="DU23" i="105"/>
  <c r="DQ23" i="105"/>
  <c r="DM23" i="105"/>
  <c r="DI23" i="105"/>
  <c r="DE23" i="105"/>
  <c r="DA23" i="105"/>
  <c r="CW23" i="105"/>
  <c r="CS23" i="105"/>
  <c r="CO23" i="105"/>
  <c r="CK23" i="105"/>
  <c r="CG23" i="105"/>
  <c r="CC23" i="105"/>
  <c r="BY23" i="105"/>
  <c r="BU23" i="105"/>
  <c r="BQ23" i="105"/>
  <c r="BM23" i="105"/>
  <c r="BI23" i="105"/>
  <c r="BE23" i="105"/>
  <c r="BA23" i="105"/>
  <c r="AW23" i="105"/>
  <c r="AS23" i="105"/>
  <c r="AO23" i="105"/>
  <c r="AK23" i="105"/>
  <c r="AG23" i="105"/>
  <c r="AC23" i="105"/>
  <c r="Y23" i="105"/>
  <c r="U23" i="105"/>
  <c r="Q23" i="105"/>
  <c r="M23" i="105"/>
  <c r="I23" i="105"/>
  <c r="E23" i="105"/>
  <c r="EI22" i="105"/>
  <c r="ED22" i="105"/>
  <c r="EE22" i="105" s="1"/>
  <c r="EC22" i="105"/>
  <c r="DY22" i="105"/>
  <c r="DU22" i="105"/>
  <c r="DQ22" i="105"/>
  <c r="DM22" i="105"/>
  <c r="DI22" i="105"/>
  <c r="DE22" i="105"/>
  <c r="DA22" i="105"/>
  <c r="CW22" i="105"/>
  <c r="CS22" i="105"/>
  <c r="CO22" i="105"/>
  <c r="CK22" i="105"/>
  <c r="CG22" i="105"/>
  <c r="CC22" i="105"/>
  <c r="BY22" i="105"/>
  <c r="BU22" i="105"/>
  <c r="BQ22" i="105"/>
  <c r="BM22" i="105"/>
  <c r="BI22" i="105"/>
  <c r="BE22" i="105"/>
  <c r="BA22" i="105"/>
  <c r="AW22" i="105"/>
  <c r="AS22" i="105"/>
  <c r="AO22" i="105"/>
  <c r="AK22" i="105"/>
  <c r="AG22" i="105"/>
  <c r="AC22" i="105"/>
  <c r="Y22" i="105"/>
  <c r="U22" i="105"/>
  <c r="Q22" i="105"/>
  <c r="M22" i="105"/>
  <c r="I22" i="105"/>
  <c r="E22" i="105"/>
  <c r="EI21" i="105"/>
  <c r="ED21" i="105"/>
  <c r="EE21" i="105" s="1"/>
  <c r="EC21" i="105"/>
  <c r="DY21" i="105"/>
  <c r="DU21" i="105"/>
  <c r="DQ21" i="105"/>
  <c r="DM21" i="105"/>
  <c r="DI21" i="105"/>
  <c r="DE21" i="105"/>
  <c r="DA21" i="105"/>
  <c r="CW21" i="105"/>
  <c r="CS21" i="105"/>
  <c r="CO21" i="105"/>
  <c r="CK21" i="105"/>
  <c r="CG21" i="105"/>
  <c r="CC21" i="105"/>
  <c r="BY21" i="105"/>
  <c r="BU21" i="105"/>
  <c r="BQ21" i="105"/>
  <c r="BM21" i="105"/>
  <c r="BI21" i="105"/>
  <c r="BE21" i="105"/>
  <c r="BA21" i="105"/>
  <c r="AW21" i="105"/>
  <c r="AS21" i="105"/>
  <c r="AO21" i="105"/>
  <c r="AK21" i="105"/>
  <c r="AG21" i="105"/>
  <c r="AC21" i="105"/>
  <c r="Y21" i="105"/>
  <c r="U21" i="105"/>
  <c r="Q21" i="105"/>
  <c r="M21" i="105"/>
  <c r="I21" i="105"/>
  <c r="E21" i="105"/>
  <c r="EI20" i="105"/>
  <c r="ED20" i="105"/>
  <c r="EE20" i="105" s="1"/>
  <c r="EC20" i="105"/>
  <c r="DY20" i="105"/>
  <c r="DU20" i="105"/>
  <c r="DQ20" i="105"/>
  <c r="DM20" i="105"/>
  <c r="DI20" i="105"/>
  <c r="DE20" i="105"/>
  <c r="DA20" i="105"/>
  <c r="CW20" i="105"/>
  <c r="CS20" i="105"/>
  <c r="CO20" i="105"/>
  <c r="CK20" i="105"/>
  <c r="CG20" i="105"/>
  <c r="CC20" i="105"/>
  <c r="BY20" i="105"/>
  <c r="BU20" i="105"/>
  <c r="BQ20" i="105"/>
  <c r="BM20" i="105"/>
  <c r="BI20" i="105"/>
  <c r="BE20" i="105"/>
  <c r="BA20" i="105"/>
  <c r="AW20" i="105"/>
  <c r="AS20" i="105"/>
  <c r="AO20" i="105"/>
  <c r="AK20" i="105"/>
  <c r="AG20" i="105"/>
  <c r="AC20" i="105"/>
  <c r="Y20" i="105"/>
  <c r="U20" i="105"/>
  <c r="Q20" i="105"/>
  <c r="M20" i="105"/>
  <c r="I20" i="105"/>
  <c r="E20" i="105"/>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N54" i="105" l="1"/>
  <c r="N50" i="105"/>
  <c r="O46" i="105"/>
  <c r="P52" i="105"/>
  <c r="P48" i="105"/>
  <c r="Q53" i="105"/>
  <c r="Q49" i="105"/>
  <c r="R54" i="105"/>
  <c r="R50" i="105"/>
  <c r="S46" i="105"/>
  <c r="T52" i="105"/>
  <c r="T48" i="105"/>
  <c r="R42" i="99"/>
  <c r="S42" i="99"/>
  <c r="T42" i="99"/>
  <c r="Q42" i="99"/>
  <c r="P42" i="99"/>
  <c r="O42" i="99"/>
  <c r="O40" i="99"/>
  <c r="S52" i="105"/>
  <c r="S57" i="105" s="1"/>
  <c r="S48" i="105"/>
  <c r="B27" i="99"/>
  <c r="M42" i="99"/>
  <c r="C27" i="99"/>
  <c r="N42" i="99"/>
  <c r="J105" i="40"/>
  <c r="B101" i="40"/>
  <c r="Q54" i="105"/>
  <c r="Q57" i="105" s="1"/>
  <c r="M54" i="105"/>
  <c r="N52" i="105"/>
  <c r="N48" i="105"/>
  <c r="P54" i="105"/>
  <c r="P50" i="105"/>
  <c r="Q46" i="105"/>
  <c r="Q51" i="105"/>
  <c r="R52" i="105"/>
  <c r="R57" i="105" s="1"/>
  <c r="R48" i="105"/>
  <c r="T54" i="105"/>
  <c r="T50" i="105"/>
  <c r="E27" i="99"/>
  <c r="G27" i="99"/>
  <c r="I27" i="99"/>
  <c r="F27" i="99"/>
  <c r="H27" i="99"/>
  <c r="D27" i="99"/>
  <c r="O53" i="105"/>
  <c r="O51" i="105"/>
  <c r="O49" i="105"/>
  <c r="O47" i="105"/>
  <c r="Q47" i="105"/>
  <c r="S53" i="105"/>
  <c r="S51" i="105"/>
  <c r="S49" i="105"/>
  <c r="S47" i="105"/>
  <c r="M53" i="105"/>
  <c r="M51" i="105"/>
  <c r="M49" i="105"/>
  <c r="M47" i="105"/>
  <c r="B45" i="105"/>
  <c r="C46" i="105"/>
  <c r="D46" i="105"/>
  <c r="E46" i="105"/>
  <c r="G46" i="105"/>
  <c r="I46" i="105"/>
  <c r="N46" i="105"/>
  <c r="N53" i="105"/>
  <c r="N57" i="105" s="1"/>
  <c r="N51" i="105"/>
  <c r="N49" i="105"/>
  <c r="N47" i="105"/>
  <c r="O54" i="105"/>
  <c r="O52" i="105"/>
  <c r="O57" i="105" s="1"/>
  <c r="O50" i="105"/>
  <c r="O58" i="105" s="1"/>
  <c r="O59" i="105" s="1"/>
  <c r="O48" i="105"/>
  <c r="P46" i="105"/>
  <c r="P53" i="105"/>
  <c r="P57" i="105" s="1"/>
  <c r="P51" i="105"/>
  <c r="P49" i="105"/>
  <c r="P47" i="105"/>
  <c r="Q50" i="105"/>
  <c r="Q56" i="105" s="1"/>
  <c r="Q48" i="105"/>
  <c r="R46" i="105"/>
  <c r="R53" i="105"/>
  <c r="R51" i="105"/>
  <c r="R49" i="105"/>
  <c r="R47" i="105"/>
  <c r="T46" i="105"/>
  <c r="T53" i="105"/>
  <c r="T51" i="105"/>
  <c r="T49" i="105"/>
  <c r="T47" i="105"/>
  <c r="J42" i="105"/>
  <c r="H46" i="105"/>
  <c r="F46" i="105"/>
  <c r="U42" i="105"/>
  <c r="U40" i="105"/>
  <c r="U38" i="105"/>
  <c r="U36" i="105"/>
  <c r="U34" i="105"/>
  <c r="U41" i="105"/>
  <c r="U39" i="105"/>
  <c r="U37" i="105"/>
  <c r="U35" i="105"/>
  <c r="B172" i="40"/>
  <c r="B166" i="40"/>
  <c r="B160" i="40"/>
  <c r="B154" i="40"/>
  <c r="B148" i="40"/>
  <c r="B142" i="40"/>
  <c r="B136" i="40"/>
  <c r="B130" i="40"/>
  <c r="B175" i="40"/>
  <c r="B174" i="40"/>
  <c r="B173" i="40"/>
  <c r="B170" i="40"/>
  <c r="B169" i="40"/>
  <c r="B168" i="40"/>
  <c r="B167" i="40"/>
  <c r="B164" i="40"/>
  <c r="B163" i="40"/>
  <c r="B162" i="40"/>
  <c r="B161" i="40"/>
  <c r="B158" i="40"/>
  <c r="B157" i="40"/>
  <c r="B156" i="40"/>
  <c r="B155" i="40"/>
  <c r="B152" i="40"/>
  <c r="B151" i="40"/>
  <c r="B150" i="40"/>
  <c r="B149" i="40"/>
  <c r="B146" i="40"/>
  <c r="B145" i="40"/>
  <c r="B144" i="40"/>
  <c r="B143" i="40"/>
  <c r="B140" i="40"/>
  <c r="B139" i="40"/>
  <c r="B138" i="40"/>
  <c r="B137" i="40"/>
  <c r="B134" i="40"/>
  <c r="B133" i="40"/>
  <c r="B132" i="40"/>
  <c r="B131" i="40"/>
  <c r="B128" i="40"/>
  <c r="B127" i="40"/>
  <c r="B126" i="40"/>
  <c r="B125" i="40"/>
  <c r="B176" i="40"/>
  <c r="U42" i="99" l="1"/>
  <c r="T57" i="105"/>
  <c r="R58" i="105"/>
  <c r="R59" i="105" s="1"/>
  <c r="N58" i="105"/>
  <c r="N59" i="105" s="1"/>
  <c r="M56" i="105"/>
  <c r="S58" i="105"/>
  <c r="S59" i="105" s="1"/>
  <c r="P58" i="105"/>
  <c r="P59" i="105" s="1"/>
  <c r="P60" i="105" s="1"/>
  <c r="M58" i="105"/>
  <c r="M59" i="105" s="1"/>
  <c r="M60" i="105" s="1"/>
  <c r="I9" i="15" s="1"/>
  <c r="I12" i="15" s="1"/>
  <c r="I15" i="15" s="1"/>
  <c r="I18" i="15" s="1"/>
  <c r="I21" i="15" s="1"/>
  <c r="I24" i="15" s="1"/>
  <c r="M57" i="105"/>
  <c r="F110" i="40"/>
  <c r="J110" i="40"/>
  <c r="C110" i="40"/>
  <c r="G110" i="40"/>
  <c r="B110" i="40"/>
  <c r="E110" i="40"/>
  <c r="D110" i="40"/>
  <c r="H110" i="40"/>
  <c r="I110" i="40"/>
  <c r="T56" i="105"/>
  <c r="R56" i="105"/>
  <c r="P56" i="105"/>
  <c r="N56" i="105"/>
  <c r="T58" i="105"/>
  <c r="T59" i="105" s="1"/>
  <c r="Q58" i="105"/>
  <c r="Q59" i="105" s="1"/>
  <c r="Q60" i="105" s="1"/>
  <c r="S56" i="105"/>
  <c r="O56" i="105"/>
  <c r="T60" i="105"/>
  <c r="R60" i="105"/>
  <c r="N60" i="105"/>
  <c r="I8" i="15"/>
  <c r="S60" i="105"/>
  <c r="O60" i="105"/>
  <c r="V37" i="105"/>
  <c r="V41" i="105"/>
  <c r="V36" i="105"/>
  <c r="V40" i="105"/>
  <c r="V35" i="105"/>
  <c r="V39" i="105"/>
  <c r="V34" i="105"/>
  <c r="V38" i="105"/>
  <c r="V42" i="105"/>
  <c r="U54" i="105"/>
  <c r="AK51" i="12"/>
  <c r="AL51" i="12"/>
  <c r="AM51" i="12"/>
  <c r="AE51" i="12"/>
  <c r="AF51" i="12"/>
  <c r="AG51" i="12"/>
  <c r="AB51" i="12"/>
  <c r="AC51" i="12"/>
  <c r="AD51" i="12"/>
  <c r="Y51" i="12"/>
  <c r="Z51" i="12"/>
  <c r="AA51" i="12"/>
  <c r="AA50" i="12" s="1"/>
  <c r="V51" i="12"/>
  <c r="W51" i="12"/>
  <c r="X51" i="12"/>
  <c r="S51" i="12"/>
  <c r="T51" i="12"/>
  <c r="U51" i="12"/>
  <c r="Q51" i="12"/>
  <c r="R51" i="12"/>
  <c r="G93" i="108"/>
  <c r="F93" i="108"/>
  <c r="G92" i="108"/>
  <c r="F92" i="108"/>
  <c r="G91" i="108"/>
  <c r="F91" i="108"/>
  <c r="G90" i="108"/>
  <c r="F90" i="108"/>
  <c r="G89" i="108"/>
  <c r="F89" i="108"/>
  <c r="G88" i="108"/>
  <c r="F88" i="108"/>
  <c r="G87" i="108"/>
  <c r="F87" i="108"/>
  <c r="G86" i="108"/>
  <c r="F86" i="108"/>
  <c r="G85" i="108"/>
  <c r="F85" i="108"/>
  <c r="G84" i="108"/>
  <c r="C3" i="108" s="1"/>
  <c r="F84" i="108"/>
  <c r="G83" i="108"/>
  <c r="F83" i="108"/>
  <c r="G82" i="108"/>
  <c r="F82" i="108"/>
  <c r="G81" i="108"/>
  <c r="F81" i="108"/>
  <c r="G80" i="108"/>
  <c r="F80" i="108"/>
  <c r="G79" i="108"/>
  <c r="F79" i="108"/>
  <c r="G78" i="108"/>
  <c r="F78" i="108"/>
  <c r="G77" i="108"/>
  <c r="F77" i="108"/>
  <c r="G76" i="108"/>
  <c r="C7" i="108" s="1"/>
  <c r="F76" i="108"/>
  <c r="G75" i="108"/>
  <c r="F75" i="108"/>
  <c r="G74" i="108"/>
  <c r="F74" i="108"/>
  <c r="G73" i="108"/>
  <c r="F73" i="108"/>
  <c r="G72" i="108"/>
  <c r="F72" i="108"/>
  <c r="G71" i="108"/>
  <c r="F71" i="108"/>
  <c r="G66" i="108"/>
  <c r="C10" i="108" s="1"/>
  <c r="F66" i="108"/>
  <c r="G65" i="108"/>
  <c r="F65" i="108"/>
  <c r="G64" i="108"/>
  <c r="F64" i="108"/>
  <c r="G60" i="108"/>
  <c r="F60" i="108"/>
  <c r="G58" i="108"/>
  <c r="F58" i="108"/>
  <c r="G54" i="108"/>
  <c r="F54" i="108"/>
  <c r="G53" i="108"/>
  <c r="F53" i="108"/>
  <c r="G52" i="108"/>
  <c r="F52" i="108"/>
  <c r="G48" i="108"/>
  <c r="F48" i="108"/>
  <c r="F44" i="108"/>
  <c r="F40" i="108"/>
  <c r="D35" i="108"/>
  <c r="I102" i="98"/>
  <c r="I105" i="98" s="1"/>
  <c r="F102" i="98"/>
  <c r="F105" i="98" s="1"/>
  <c r="C102" i="98"/>
  <c r="C105" i="98" s="1"/>
  <c r="K101" i="98"/>
  <c r="K102" i="98" s="1"/>
  <c r="K105" i="98" s="1"/>
  <c r="H101" i="98"/>
  <c r="H102" i="98" s="1"/>
  <c r="H105" i="98" s="1"/>
  <c r="E101" i="98"/>
  <c r="E102" i="98" s="1"/>
  <c r="E105" i="98" s="1"/>
  <c r="J100" i="98"/>
  <c r="J102" i="98" s="1"/>
  <c r="J105" i="98" s="1"/>
  <c r="G100" i="98"/>
  <c r="G102" i="98" s="1"/>
  <c r="G105" i="98" s="1"/>
  <c r="D100" i="98"/>
  <c r="D102" i="98" s="1"/>
  <c r="D105" i="98" s="1"/>
  <c r="I99" i="98"/>
  <c r="F99" i="98"/>
  <c r="C99" i="98"/>
  <c r="K98" i="98"/>
  <c r="H98" i="98"/>
  <c r="E98" i="98"/>
  <c r="K97" i="98"/>
  <c r="H97" i="98"/>
  <c r="K96" i="98"/>
  <c r="H96" i="98"/>
  <c r="E96" i="98"/>
  <c r="K95" i="98"/>
  <c r="H95" i="98"/>
  <c r="E95" i="98"/>
  <c r="J94" i="98"/>
  <c r="G94" i="98"/>
  <c r="D94" i="98"/>
  <c r="J93" i="98"/>
  <c r="G93" i="98"/>
  <c r="D93" i="98"/>
  <c r="J92" i="98"/>
  <c r="G92" i="98"/>
  <c r="D92" i="98"/>
  <c r="I91" i="98"/>
  <c r="F91" i="98"/>
  <c r="C91" i="98"/>
  <c r="K91" i="98"/>
  <c r="H90" i="98"/>
  <c r="H91" i="98" s="1"/>
  <c r="E90" i="98"/>
  <c r="E91" i="98" s="1"/>
  <c r="J89" i="98"/>
  <c r="G89" i="98"/>
  <c r="J88" i="98"/>
  <c r="G88" i="98"/>
  <c r="J87" i="98"/>
  <c r="G87" i="98"/>
  <c r="D87" i="98"/>
  <c r="J86" i="98"/>
  <c r="G86" i="98"/>
  <c r="D86" i="98"/>
  <c r="AO51" i="12" l="1"/>
  <c r="AS51" i="12"/>
  <c r="I11" i="15"/>
  <c r="I14" i="15" s="1"/>
  <c r="I17" i="15" s="1"/>
  <c r="I20" i="15" s="1"/>
  <c r="I23" i="15" s="1"/>
  <c r="G11" i="12"/>
  <c r="G9" i="12" s="1"/>
  <c r="B6" i="108"/>
  <c r="C6" i="108"/>
  <c r="C8" i="108"/>
  <c r="I104" i="98"/>
  <c r="B3" i="108"/>
  <c r="B5" i="108"/>
  <c r="F104" i="98"/>
  <c r="B7" i="108"/>
  <c r="D7" i="108" s="1"/>
  <c r="D113" i="98" s="1"/>
  <c r="C103" i="98"/>
  <c r="G99" i="98"/>
  <c r="E99" i="98"/>
  <c r="B10" i="108"/>
  <c r="D10" i="108" s="1"/>
  <c r="D116" i="98" s="1"/>
  <c r="E116" i="98" s="1"/>
  <c r="B9" i="108"/>
  <c r="D9" i="108" s="1"/>
  <c r="D115" i="98" s="1"/>
  <c r="E115" i="98" s="1"/>
  <c r="B4" i="108"/>
  <c r="D4" i="108" s="1"/>
  <c r="D110" i="98" s="1"/>
  <c r="E110" i="98" s="1"/>
  <c r="AR51" i="12"/>
  <c r="AP51" i="12"/>
  <c r="G91" i="98"/>
  <c r="E103" i="98"/>
  <c r="B8" i="108"/>
  <c r="C9" i="108"/>
  <c r="C4" i="108"/>
  <c r="C5" i="108"/>
  <c r="K99" i="98"/>
  <c r="AA52" i="12"/>
  <c r="AA53" i="12" s="1"/>
  <c r="AA54" i="12" s="1"/>
  <c r="AA55" i="12" s="1"/>
  <c r="V52" i="12"/>
  <c r="V53" i="12" s="1"/>
  <c r="V54" i="12" s="1"/>
  <c r="V55" i="12" s="1"/>
  <c r="V50" i="12"/>
  <c r="AB52" i="12"/>
  <c r="AB53" i="12" s="1"/>
  <c r="AB54" i="12" s="1"/>
  <c r="AB55" i="12" s="1"/>
  <c r="AB50" i="12"/>
  <c r="AK52" i="12"/>
  <c r="AK53" i="12" s="1"/>
  <c r="AK54" i="12" s="1"/>
  <c r="AK55" i="12" s="1"/>
  <c r="AK50" i="12"/>
  <c r="R52" i="12"/>
  <c r="R53" i="12" s="1"/>
  <c r="R54" i="12" s="1"/>
  <c r="R55" i="12" s="1"/>
  <c r="R50" i="12"/>
  <c r="Q52" i="12"/>
  <c r="Q53" i="12" s="1"/>
  <c r="Q54" i="12" s="1"/>
  <c r="Q55" i="12" s="1"/>
  <c r="Q50" i="12"/>
  <c r="T52" i="12"/>
  <c r="T53" i="12" s="1"/>
  <c r="T54" i="12" s="1"/>
  <c r="T55" i="12" s="1"/>
  <c r="T50" i="12"/>
  <c r="X52" i="12"/>
  <c r="X53" i="12" s="1"/>
  <c r="X54" i="12" s="1"/>
  <c r="X55" i="12" s="1"/>
  <c r="X50" i="12"/>
  <c r="AD52" i="12"/>
  <c r="AD53" i="12" s="1"/>
  <c r="AD54" i="12" s="1"/>
  <c r="AD55" i="12" s="1"/>
  <c r="AD50" i="12"/>
  <c r="AG52" i="12"/>
  <c r="AG53" i="12" s="1"/>
  <c r="AG54" i="12" s="1"/>
  <c r="AG55" i="12" s="1"/>
  <c r="AG50" i="12"/>
  <c r="AM52" i="12"/>
  <c r="AM53" i="12" s="1"/>
  <c r="AM54" i="12" s="1"/>
  <c r="AM55" i="12" s="1"/>
  <c r="AM50" i="12"/>
  <c r="Y52" i="12"/>
  <c r="Y53" i="12" s="1"/>
  <c r="Y54" i="12" s="1"/>
  <c r="Y55" i="12" s="1"/>
  <c r="Y50" i="12"/>
  <c r="AE52" i="12"/>
  <c r="AE53" i="12" s="1"/>
  <c r="AE54" i="12" s="1"/>
  <c r="AE55" i="12" s="1"/>
  <c r="AE50" i="12"/>
  <c r="U52" i="12"/>
  <c r="U53" i="12" s="1"/>
  <c r="U54" i="12" s="1"/>
  <c r="U55" i="12" s="1"/>
  <c r="U50" i="12"/>
  <c r="P52" i="12"/>
  <c r="P53" i="12" s="1"/>
  <c r="P54" i="12" s="1"/>
  <c r="P55" i="12" s="1"/>
  <c r="P50" i="12"/>
  <c r="S52" i="12"/>
  <c r="S53" i="12" s="1"/>
  <c r="S54" i="12" s="1"/>
  <c r="S55" i="12" s="1"/>
  <c r="S50" i="12"/>
  <c r="W52" i="12"/>
  <c r="W53" i="12" s="1"/>
  <c r="W54" i="12" s="1"/>
  <c r="W55" i="12" s="1"/>
  <c r="W50" i="12"/>
  <c r="Z52" i="12"/>
  <c r="Z53" i="12" s="1"/>
  <c r="Z54" i="12" s="1"/>
  <c r="Z55" i="12" s="1"/>
  <c r="Z50" i="12"/>
  <c r="AC52" i="12"/>
  <c r="AC53" i="12" s="1"/>
  <c r="AC54" i="12" s="1"/>
  <c r="AC55" i="12" s="1"/>
  <c r="AC50" i="12"/>
  <c r="AF52" i="12"/>
  <c r="AF53" i="12" s="1"/>
  <c r="AF54" i="12" s="1"/>
  <c r="AF55" i="12" s="1"/>
  <c r="AF50" i="12"/>
  <c r="AL52" i="12"/>
  <c r="AL53" i="12" s="1"/>
  <c r="AL54" i="12" s="1"/>
  <c r="AL55" i="12" s="1"/>
  <c r="AL50" i="12"/>
  <c r="I11" i="12"/>
  <c r="J11" i="12"/>
  <c r="K11" i="12"/>
  <c r="H11" i="12"/>
  <c r="L11" i="12"/>
  <c r="F11" i="12"/>
  <c r="D91" i="98"/>
  <c r="J91" i="98"/>
  <c r="D99" i="98"/>
  <c r="J99" i="98"/>
  <c r="H99" i="98"/>
  <c r="H103" i="98" s="1"/>
  <c r="I103" i="98"/>
  <c r="D5" i="108"/>
  <c r="D111" i="98" s="1"/>
  <c r="D3" i="108"/>
  <c r="D109" i="98" s="1"/>
  <c r="D8" i="108"/>
  <c r="D114" i="98" s="1"/>
  <c r="E114" i="98" s="1"/>
  <c r="D6" i="108"/>
  <c r="D112" i="98" s="1"/>
  <c r="J103" i="98"/>
  <c r="J104" i="98"/>
  <c r="K104" i="98"/>
  <c r="F103" i="98"/>
  <c r="E104" i="98"/>
  <c r="C104" i="98"/>
  <c r="K103" i="98"/>
  <c r="L39" i="12" l="1"/>
  <c r="H39" i="12"/>
  <c r="K32" i="12"/>
  <c r="L25" i="12"/>
  <c r="K25" i="12"/>
  <c r="K39" i="12"/>
  <c r="J39" i="12"/>
  <c r="H25" i="12"/>
  <c r="I39" i="12"/>
  <c r="J25" i="12"/>
  <c r="I25" i="12"/>
  <c r="L32" i="12"/>
  <c r="F39" i="12"/>
  <c r="G39" i="12"/>
  <c r="F18" i="12"/>
  <c r="G18" i="12"/>
  <c r="I18" i="12"/>
  <c r="L18" i="12"/>
  <c r="H18" i="12"/>
  <c r="K18" i="12"/>
  <c r="G25" i="12"/>
  <c r="I32" i="12"/>
  <c r="J18" i="12"/>
  <c r="J32" i="12"/>
  <c r="G32" i="12"/>
  <c r="H32" i="12"/>
  <c r="F32" i="12"/>
  <c r="F25" i="12"/>
  <c r="G103" i="98"/>
  <c r="D103" i="98"/>
  <c r="G104" i="98"/>
  <c r="D104" i="98"/>
  <c r="F109" i="98" s="1"/>
  <c r="H104" i="98"/>
  <c r="J110" i="98" s="1"/>
  <c r="AH52" i="12" s="1"/>
  <c r="K115" i="98"/>
  <c r="K114" i="98"/>
  <c r="K110" i="98"/>
  <c r="AI52" i="12" s="1"/>
  <c r="AJ52" i="12" s="1"/>
  <c r="J114" i="98"/>
  <c r="K116" i="98"/>
  <c r="I109" i="98"/>
  <c r="J113" i="98"/>
  <c r="AH55" i="12" s="1"/>
  <c r="J112" i="98"/>
  <c r="AH54" i="12" s="1"/>
  <c r="J115" i="98"/>
  <c r="J116" i="98"/>
  <c r="J109" i="98"/>
  <c r="AH51" i="12" s="1"/>
  <c r="AH50" i="12" s="1"/>
  <c r="E109" i="98"/>
  <c r="K109" i="98" s="1"/>
  <c r="AI51" i="12" s="1"/>
  <c r="AJ51" i="12" s="1"/>
  <c r="G109" i="98"/>
  <c r="F112" i="98"/>
  <c r="G112" i="98"/>
  <c r="G115" i="98"/>
  <c r="I110" i="98"/>
  <c r="I112" i="98"/>
  <c r="I114" i="98"/>
  <c r="I116" i="98"/>
  <c r="I111" i="98"/>
  <c r="I115" i="98"/>
  <c r="I113" i="98"/>
  <c r="H114" i="98"/>
  <c r="H116" i="98"/>
  <c r="G116" i="98"/>
  <c r="G110" i="98"/>
  <c r="H115" i="98"/>
  <c r="G113" i="98"/>
  <c r="G111" i="98"/>
  <c r="E111" i="98"/>
  <c r="K111" i="98" s="1"/>
  <c r="E113" i="98"/>
  <c r="G114" i="98"/>
  <c r="E112" i="98"/>
  <c r="H110" i="98"/>
  <c r="O52" i="12" s="1"/>
  <c r="F113" i="98" l="1"/>
  <c r="H109" i="98"/>
  <c r="F115" i="98"/>
  <c r="L104" i="98"/>
  <c r="H113" i="98"/>
  <c r="O55" i="12" s="1"/>
  <c r="F116" i="98"/>
  <c r="F114" i="98"/>
  <c r="F111" i="98"/>
  <c r="F110" i="98"/>
  <c r="J111" i="98"/>
  <c r="AH53" i="12" s="1"/>
  <c r="K112" i="98"/>
  <c r="AI54" i="12" s="1"/>
  <c r="AJ54" i="12" s="1"/>
  <c r="K113" i="98"/>
  <c r="AI55" i="12" s="1"/>
  <c r="AJ55" i="12" s="1"/>
  <c r="AJ50" i="12"/>
  <c r="AI50" i="12"/>
  <c r="H111" i="98"/>
  <c r="O53" i="12" s="1"/>
  <c r="AI53" i="12"/>
  <c r="AJ53" i="12" s="1"/>
  <c r="H112" i="98"/>
  <c r="O54" i="12" s="1"/>
  <c r="F105" i="15" l="1"/>
  <c r="E105" i="15"/>
  <c r="F104" i="15"/>
  <c r="E104" i="15"/>
  <c r="F103" i="15"/>
  <c r="E103" i="15"/>
  <c r="D103" i="15"/>
  <c r="D104" i="15"/>
  <c r="D105" i="15"/>
  <c r="C104" i="15"/>
  <c r="C105" i="15"/>
  <c r="C103" i="15"/>
  <c r="F100" i="15"/>
  <c r="F99" i="15"/>
  <c r="F98" i="15"/>
  <c r="F101" i="15"/>
  <c r="E101" i="15"/>
  <c r="D101" i="15"/>
  <c r="C101" i="15"/>
  <c r="F102" i="15"/>
  <c r="E102" i="15"/>
  <c r="D102" i="15"/>
  <c r="C102" i="15"/>
  <c r="D97" i="15"/>
  <c r="C97" i="15"/>
  <c r="R13" i="106" l="1"/>
  <c r="R12" i="106"/>
  <c r="R11" i="106"/>
  <c r="M61" i="106"/>
  <c r="H45" i="105"/>
  <c r="F45" i="105"/>
  <c r="D45" i="105"/>
  <c r="I45" i="105"/>
  <c r="E45" i="105"/>
  <c r="R14" i="106" l="1"/>
  <c r="AS52" i="12"/>
  <c r="AS53" i="12" s="1"/>
  <c r="AS54" i="12" s="1"/>
  <c r="AS55" i="12" s="1"/>
  <c r="AS50" i="12"/>
  <c r="AO52" i="12"/>
  <c r="AO53" i="12" s="1"/>
  <c r="AO54" i="12" s="1"/>
  <c r="AO55" i="12" s="1"/>
  <c r="AQ52" i="12"/>
  <c r="AQ53" i="12" s="1"/>
  <c r="AQ54" i="12" s="1"/>
  <c r="AQ55" i="12" s="1"/>
  <c r="AQ50" i="12"/>
  <c r="AN52" i="12"/>
  <c r="AN53" i="12" s="1"/>
  <c r="AN54" i="12" s="1"/>
  <c r="AN55" i="12" s="1"/>
  <c r="AN50" i="12"/>
  <c r="AR52" i="12"/>
  <c r="AR53" i="12" s="1"/>
  <c r="AR54" i="12" s="1"/>
  <c r="AR55" i="12" s="1"/>
  <c r="AR50" i="12"/>
  <c r="AP52" i="12"/>
  <c r="AP53" i="12" s="1"/>
  <c r="AP54" i="12" s="1"/>
  <c r="AP55" i="12" s="1"/>
  <c r="AP50" i="12"/>
  <c r="J39" i="105"/>
  <c r="U51" i="105" s="1"/>
  <c r="C45" i="105"/>
  <c r="G45" i="105"/>
  <c r="J35" i="105"/>
  <c r="U47" i="105" s="1"/>
  <c r="J41" i="105"/>
  <c r="U53" i="105" s="1"/>
  <c r="J37" i="105"/>
  <c r="U49" i="105" s="1"/>
  <c r="J38" i="105"/>
  <c r="U50" i="105" s="1"/>
  <c r="J34" i="105"/>
  <c r="U46" i="105" s="1"/>
  <c r="J40" i="105"/>
  <c r="U52" i="105" s="1"/>
  <c r="J36" i="105"/>
  <c r="U48" i="105" s="1"/>
  <c r="S6" i="106"/>
  <c r="J46" i="105"/>
  <c r="B49" i="105" s="1"/>
  <c r="J45" i="105" l="1"/>
  <c r="F48" i="105" s="1"/>
  <c r="S9" i="106"/>
  <c r="S13" i="106"/>
  <c r="S10" i="106"/>
  <c r="S7" i="106"/>
  <c r="S11" i="106"/>
  <c r="S8" i="106"/>
  <c r="S12" i="106"/>
  <c r="D48" i="105"/>
  <c r="C48" i="105"/>
  <c r="E48" i="105"/>
  <c r="I48" i="105"/>
  <c r="C49" i="105"/>
  <c r="G49" i="105"/>
  <c r="D49" i="105"/>
  <c r="H49" i="105"/>
  <c r="E49" i="105"/>
  <c r="I49" i="105"/>
  <c r="F49" i="105"/>
  <c r="G48" i="105" l="1"/>
  <c r="B48" i="105"/>
  <c r="H48" i="105"/>
  <c r="S14" i="106"/>
  <c r="D55" i="98" l="1"/>
  <c r="D54" i="98"/>
  <c r="AD60" i="15" l="1"/>
  <c r="AB60" i="15"/>
  <c r="AA60" i="15"/>
  <c r="Z60" i="15"/>
  <c r="Y60" i="15"/>
  <c r="X60" i="15"/>
  <c r="W60" i="15"/>
  <c r="W61" i="15" s="1"/>
  <c r="F40" i="98"/>
  <c r="F39" i="98"/>
  <c r="F38" i="98"/>
  <c r="F37" i="98"/>
  <c r="F36" i="98"/>
  <c r="F35" i="98"/>
  <c r="F34" i="98"/>
  <c r="F33" i="98"/>
  <c r="F32" i="98"/>
  <c r="F31" i="98"/>
  <c r="G46" i="98" l="1"/>
  <c r="AC60" i="15" s="1"/>
  <c r="AC66" i="15" s="1"/>
  <c r="X61" i="15"/>
  <c r="Z61" i="15"/>
  <c r="AB61" i="15"/>
  <c r="AD61" i="15"/>
  <c r="W62" i="15"/>
  <c r="Y62" i="15"/>
  <c r="AA62" i="15"/>
  <c r="AC62" i="15"/>
  <c r="AE62" i="15"/>
  <c r="X63" i="15"/>
  <c r="Z63" i="15"/>
  <c r="AB63" i="15"/>
  <c r="AD63" i="15"/>
  <c r="W64" i="15"/>
  <c r="Y64" i="15"/>
  <c r="AA64" i="15"/>
  <c r="AE64" i="15"/>
  <c r="X65" i="15"/>
  <c r="Z65" i="15"/>
  <c r="AB65" i="15"/>
  <c r="AD65" i="15"/>
  <c r="W66" i="15"/>
  <c r="Y66" i="15"/>
  <c r="AA66" i="15"/>
  <c r="AE66" i="15"/>
  <c r="X67" i="15"/>
  <c r="Z67" i="15"/>
  <c r="AB67" i="15"/>
  <c r="AD67" i="15"/>
  <c r="W68" i="15"/>
  <c r="Y68" i="15"/>
  <c r="AA68" i="15"/>
  <c r="AE68" i="15"/>
  <c r="X69" i="15"/>
  <c r="Z69" i="15"/>
  <c r="AB69" i="15"/>
  <c r="AD69" i="15"/>
  <c r="W70" i="15"/>
  <c r="Y70" i="15"/>
  <c r="AA70" i="15"/>
  <c r="AE70" i="15"/>
  <c r="X71" i="15"/>
  <c r="Z71" i="15"/>
  <c r="AB71" i="15"/>
  <c r="AD71" i="15"/>
  <c r="W72" i="15"/>
  <c r="Y72" i="15"/>
  <c r="AA72" i="15"/>
  <c r="AE72" i="15"/>
  <c r="X73" i="15"/>
  <c r="Z73" i="15"/>
  <c r="AB73" i="15"/>
  <c r="AD73" i="15"/>
  <c r="W74" i="15"/>
  <c r="Y74" i="15"/>
  <c r="AA74" i="15"/>
  <c r="AE74" i="15"/>
  <c r="X75" i="15"/>
  <c r="Z75" i="15"/>
  <c r="AB75" i="15"/>
  <c r="AD75" i="15"/>
  <c r="W76" i="15"/>
  <c r="Y76" i="15"/>
  <c r="AA76" i="15"/>
  <c r="AE76" i="15"/>
  <c r="X77" i="15"/>
  <c r="Z77" i="15"/>
  <c r="AB77" i="15"/>
  <c r="AD77" i="15"/>
  <c r="W78" i="15"/>
  <c r="Y78" i="15"/>
  <c r="AA78" i="15"/>
  <c r="AC78" i="15"/>
  <c r="AE78" i="15"/>
  <c r="X79" i="15"/>
  <c r="Z79" i="15"/>
  <c r="AB79" i="15"/>
  <c r="AD79" i="15"/>
  <c r="W80" i="15"/>
  <c r="Y80" i="15"/>
  <c r="AA80" i="15"/>
  <c r="AE80" i="15"/>
  <c r="X81" i="15"/>
  <c r="Z81" i="15"/>
  <c r="AB81" i="15"/>
  <c r="AD81" i="15"/>
  <c r="W82" i="15"/>
  <c r="Y82" i="15"/>
  <c r="AA82" i="15"/>
  <c r="AC82" i="15"/>
  <c r="AE82" i="15"/>
  <c r="X83" i="15"/>
  <c r="Z83" i="15"/>
  <c r="AB83" i="15"/>
  <c r="AD83" i="15"/>
  <c r="W84" i="15"/>
  <c r="Y84" i="15"/>
  <c r="AA84" i="15"/>
  <c r="AE84" i="15"/>
  <c r="X85" i="15"/>
  <c r="Z85" i="15"/>
  <c r="AB85" i="15"/>
  <c r="AD85" i="15"/>
  <c r="W86" i="15"/>
  <c r="Y86" i="15"/>
  <c r="AA86" i="15"/>
  <c r="AE86" i="15"/>
  <c r="X87" i="15"/>
  <c r="Z87" i="15"/>
  <c r="AB87" i="15"/>
  <c r="AD87" i="15"/>
  <c r="W88" i="15"/>
  <c r="Y88" i="15"/>
  <c r="AA88" i="15"/>
  <c r="AE88" i="15"/>
  <c r="X89" i="15"/>
  <c r="AA97" i="15" s="1"/>
  <c r="Z89" i="15"/>
  <c r="AC97" i="15" s="1"/>
  <c r="AB89" i="15"/>
  <c r="AE97" i="15" s="1"/>
  <c r="AD89" i="15"/>
  <c r="AG97" i="15" s="1"/>
  <c r="Y61" i="15"/>
  <c r="AA61" i="15"/>
  <c r="AE61" i="15"/>
  <c r="X62" i="15"/>
  <c r="Z62" i="15"/>
  <c r="AB62" i="15"/>
  <c r="AD62" i="15"/>
  <c r="W63" i="15"/>
  <c r="Y63" i="15"/>
  <c r="AA63" i="15"/>
  <c r="AE63" i="15"/>
  <c r="X64" i="15"/>
  <c r="Z64" i="15"/>
  <c r="AB64" i="15"/>
  <c r="AD64" i="15"/>
  <c r="W65" i="15"/>
  <c r="Y65" i="15"/>
  <c r="AA65" i="15"/>
  <c r="AE65" i="15"/>
  <c r="X66" i="15"/>
  <c r="Z66" i="15"/>
  <c r="AB66" i="15"/>
  <c r="AD66" i="15"/>
  <c r="W67" i="15"/>
  <c r="Y67" i="15"/>
  <c r="AA67" i="15"/>
  <c r="AE67" i="15"/>
  <c r="X68" i="15"/>
  <c r="Z68" i="15"/>
  <c r="AB68" i="15"/>
  <c r="AD68" i="15"/>
  <c r="W69" i="15"/>
  <c r="Y69" i="15"/>
  <c r="AA69" i="15"/>
  <c r="AC69" i="15"/>
  <c r="AE69" i="15"/>
  <c r="X70" i="15"/>
  <c r="Z70" i="15"/>
  <c r="AB70" i="15"/>
  <c r="AD70" i="15"/>
  <c r="W71" i="15"/>
  <c r="Y71" i="15"/>
  <c r="AA71" i="15"/>
  <c r="AE71" i="15"/>
  <c r="X72" i="15"/>
  <c r="Z72" i="15"/>
  <c r="AB72" i="15"/>
  <c r="AD72" i="15"/>
  <c r="W73" i="15"/>
  <c r="Y73" i="15"/>
  <c r="AA73" i="15"/>
  <c r="AC73" i="15"/>
  <c r="AE73" i="15"/>
  <c r="X74" i="15"/>
  <c r="Z74" i="15"/>
  <c r="AB74" i="15"/>
  <c r="AD74" i="15"/>
  <c r="W75" i="15"/>
  <c r="Y75" i="15"/>
  <c r="AA75" i="15"/>
  <c r="AE75" i="15"/>
  <c r="X76" i="15"/>
  <c r="Z76" i="15"/>
  <c r="AB76" i="15"/>
  <c r="AD76" i="15"/>
  <c r="W77" i="15"/>
  <c r="Y77" i="15"/>
  <c r="AA77" i="15"/>
  <c r="AE77" i="15"/>
  <c r="X78" i="15"/>
  <c r="Z78" i="15"/>
  <c r="AB78" i="15"/>
  <c r="AD78" i="15"/>
  <c r="W79" i="15"/>
  <c r="Y79" i="15"/>
  <c r="AA79" i="15"/>
  <c r="AE79" i="15"/>
  <c r="X80" i="15"/>
  <c r="Z80" i="15"/>
  <c r="AB80" i="15"/>
  <c r="AD80" i="15"/>
  <c r="W81" i="15"/>
  <c r="Y81" i="15"/>
  <c r="AA81" i="15"/>
  <c r="AE81" i="15"/>
  <c r="X82" i="15"/>
  <c r="Z82" i="15"/>
  <c r="AB82" i="15"/>
  <c r="AD82" i="15"/>
  <c r="W83" i="15"/>
  <c r="Y83" i="15"/>
  <c r="AA83" i="15"/>
  <c r="AE83" i="15"/>
  <c r="X84" i="15"/>
  <c r="Z84" i="15"/>
  <c r="AB84" i="15"/>
  <c r="AD84" i="15"/>
  <c r="W85" i="15"/>
  <c r="Y85" i="15"/>
  <c r="AA85" i="15"/>
  <c r="AC85" i="15"/>
  <c r="AE85" i="15"/>
  <c r="X86" i="15"/>
  <c r="Z86" i="15"/>
  <c r="AB86" i="15"/>
  <c r="AD86" i="15"/>
  <c r="W87" i="15"/>
  <c r="Y87" i="15"/>
  <c r="AA87" i="15"/>
  <c r="AE87" i="15"/>
  <c r="X88" i="15"/>
  <c r="Z88" i="15"/>
  <c r="AB88" i="15"/>
  <c r="AD88" i="15"/>
  <c r="W89" i="15"/>
  <c r="Z97" i="15" s="1"/>
  <c r="Y89" i="15"/>
  <c r="AB97" i="15" s="1"/>
  <c r="AA89" i="15"/>
  <c r="AD97" i="15" s="1"/>
  <c r="AC89" i="15"/>
  <c r="AF97" i="15" s="1"/>
  <c r="AE89" i="15"/>
  <c r="AH97" i="15" s="1"/>
  <c r="AC74" i="15" l="1"/>
  <c r="AC77" i="15"/>
  <c r="AC61" i="15"/>
  <c r="AC86" i="15"/>
  <c r="AC70" i="15"/>
  <c r="AC81" i="15"/>
  <c r="AC65" i="15"/>
  <c r="AC87" i="15"/>
  <c r="AC83" i="15"/>
  <c r="AC79" i="15"/>
  <c r="AC75" i="15"/>
  <c r="AC71" i="15"/>
  <c r="AC67" i="15"/>
  <c r="AC63" i="15"/>
  <c r="AC88" i="15"/>
  <c r="AC84" i="15"/>
  <c r="AC80" i="15"/>
  <c r="AC76" i="15"/>
  <c r="AC72" i="15"/>
  <c r="AC68" i="15"/>
  <c r="AC64" i="15"/>
  <c r="D66" i="12"/>
  <c r="D67" i="12"/>
  <c r="D68" i="12"/>
  <c r="D69" i="12"/>
  <c r="D70" i="12"/>
  <c r="D71" i="12"/>
  <c r="C71" i="12"/>
  <c r="B71" i="12"/>
  <c r="C70" i="12"/>
  <c r="B70" i="12"/>
  <c r="C69" i="12"/>
  <c r="B69" i="12"/>
  <c r="C68" i="12"/>
  <c r="B68" i="12"/>
  <c r="C67" i="12"/>
  <c r="B67" i="12"/>
  <c r="C66" i="12"/>
  <c r="B66" i="12"/>
  <c r="H41" i="42"/>
  <c r="I41" i="42" s="1"/>
  <c r="M41" i="42" s="1"/>
  <c r="J41" i="42"/>
  <c r="K41" i="42"/>
  <c r="H42" i="42"/>
  <c r="I42" i="42" s="1"/>
  <c r="M42" i="42" s="1"/>
  <c r="J42" i="42"/>
  <c r="K42" i="42"/>
  <c r="H43" i="42"/>
  <c r="I43" i="42" s="1"/>
  <c r="M43" i="42" s="1"/>
  <c r="J43" i="42"/>
  <c r="K43" i="42"/>
  <c r="H44" i="42"/>
  <c r="I44" i="42" s="1"/>
  <c r="M44" i="42" s="1"/>
  <c r="J44" i="42"/>
  <c r="K44" i="42"/>
  <c r="H45" i="42"/>
  <c r="I45" i="42" s="1"/>
  <c r="M45" i="42" s="1"/>
  <c r="J45" i="42"/>
  <c r="K45" i="42"/>
  <c r="H46" i="42"/>
  <c r="I46" i="42" s="1"/>
  <c r="M46" i="42" s="1"/>
  <c r="J46" i="42"/>
  <c r="K46" i="42"/>
  <c r="H47" i="42"/>
  <c r="I47" i="42" s="1"/>
  <c r="M47" i="42" s="1"/>
  <c r="J47" i="42"/>
  <c r="K47" i="42"/>
  <c r="H48" i="42"/>
  <c r="I48" i="42" s="1"/>
  <c r="M48" i="42" s="1"/>
  <c r="J48" i="42"/>
  <c r="K48" i="42"/>
  <c r="H49" i="42"/>
  <c r="I49" i="42" s="1"/>
  <c r="M49" i="42" s="1"/>
  <c r="J49" i="42"/>
  <c r="K49" i="42"/>
  <c r="H50" i="42"/>
  <c r="I50" i="42" s="1"/>
  <c r="M50" i="42" s="1"/>
  <c r="J50" i="42"/>
  <c r="K50" i="42"/>
  <c r="H51" i="42"/>
  <c r="I51" i="42" s="1"/>
  <c r="M51" i="42" s="1"/>
  <c r="J51" i="42"/>
  <c r="K51" i="42"/>
  <c r="H52" i="42"/>
  <c r="I52" i="42" s="1"/>
  <c r="M52" i="42" s="1"/>
  <c r="J52" i="42"/>
  <c r="K52" i="42"/>
  <c r="H53" i="42"/>
  <c r="I53" i="42" s="1"/>
  <c r="M53" i="42" s="1"/>
  <c r="J53" i="42"/>
  <c r="K53" i="42"/>
  <c r="H54" i="42"/>
  <c r="I54" i="42" s="1"/>
  <c r="M54" i="42" s="1"/>
  <c r="J54" i="42"/>
  <c r="K54" i="42"/>
  <c r="H55" i="42"/>
  <c r="I55" i="42" s="1"/>
  <c r="M55" i="42" s="1"/>
  <c r="J55" i="42"/>
  <c r="K55" i="42"/>
  <c r="H56" i="42"/>
  <c r="I56" i="42" s="1"/>
  <c r="M56" i="42" s="1"/>
  <c r="J56" i="42"/>
  <c r="K56" i="42"/>
  <c r="H57" i="42"/>
  <c r="I57" i="42" s="1"/>
  <c r="M57" i="42" s="1"/>
  <c r="J57" i="42"/>
  <c r="K57" i="42"/>
  <c r="H58" i="42"/>
  <c r="I58" i="42" s="1"/>
  <c r="M58" i="42" s="1"/>
  <c r="J58" i="42"/>
  <c r="K58" i="42"/>
  <c r="H59" i="42"/>
  <c r="I59" i="42" s="1"/>
  <c r="M59" i="42" s="1"/>
  <c r="J59" i="42"/>
  <c r="K59" i="42"/>
  <c r="H60" i="42"/>
  <c r="I60" i="42" s="1"/>
  <c r="M60" i="42" s="1"/>
  <c r="J60" i="42"/>
  <c r="K60" i="42"/>
  <c r="H61" i="42"/>
  <c r="I61" i="42" s="1"/>
  <c r="M61" i="42" s="1"/>
  <c r="J61" i="42"/>
  <c r="K61" i="42"/>
  <c r="H62" i="42"/>
  <c r="I62" i="42" s="1"/>
  <c r="M62" i="42" s="1"/>
  <c r="J62" i="42"/>
  <c r="K62" i="42"/>
  <c r="H63" i="42"/>
  <c r="I63" i="42" s="1"/>
  <c r="M63" i="42" s="1"/>
  <c r="J63" i="42"/>
  <c r="K63" i="42"/>
  <c r="H64" i="42"/>
  <c r="I64" i="42" s="1"/>
  <c r="M64" i="42" s="1"/>
  <c r="J64" i="42"/>
  <c r="K64" i="42"/>
  <c r="H65" i="42"/>
  <c r="I65" i="42" s="1"/>
  <c r="M65" i="42" s="1"/>
  <c r="J65" i="42"/>
  <c r="K65" i="42"/>
  <c r="H66" i="42"/>
  <c r="I66" i="42" s="1"/>
  <c r="M66" i="42" s="1"/>
  <c r="J66" i="42"/>
  <c r="K66" i="42"/>
  <c r="H67" i="42"/>
  <c r="I67" i="42" s="1"/>
  <c r="M67" i="42" s="1"/>
  <c r="J67" i="42"/>
  <c r="K67" i="42"/>
  <c r="H68" i="42"/>
  <c r="I68" i="42" s="1"/>
  <c r="M68" i="42" s="1"/>
  <c r="J68" i="42"/>
  <c r="K68" i="42"/>
  <c r="H69" i="42"/>
  <c r="I69" i="42" s="1"/>
  <c r="M69" i="42" s="1"/>
  <c r="J69" i="42"/>
  <c r="K69" i="42"/>
  <c r="H70" i="42"/>
  <c r="I70" i="42" s="1"/>
  <c r="M70" i="42" s="1"/>
  <c r="J70" i="42"/>
  <c r="K70" i="42"/>
  <c r="H71" i="42"/>
  <c r="I71" i="42" s="1"/>
  <c r="M71" i="42" s="1"/>
  <c r="J71" i="42"/>
  <c r="K71" i="42"/>
  <c r="H72" i="42"/>
  <c r="I72" i="42" s="1"/>
  <c r="M72" i="42" s="1"/>
  <c r="J72" i="42"/>
  <c r="K72" i="42"/>
  <c r="H73" i="42"/>
  <c r="I73" i="42" s="1"/>
  <c r="M73" i="42" s="1"/>
  <c r="K45" i="15" s="1"/>
  <c r="J73" i="42"/>
  <c r="K73" i="42"/>
  <c r="H74" i="42"/>
  <c r="I74" i="42" s="1"/>
  <c r="M74" i="42" s="1"/>
  <c r="J74" i="42"/>
  <c r="K74" i="42"/>
  <c r="H75" i="42"/>
  <c r="I75" i="42" s="1"/>
  <c r="M75" i="42" s="1"/>
  <c r="J75" i="42"/>
  <c r="K75" i="42"/>
  <c r="H76" i="42"/>
  <c r="I76" i="42" s="1"/>
  <c r="M76" i="42" s="1"/>
  <c r="J76" i="42"/>
  <c r="K76" i="42"/>
  <c r="H77" i="42"/>
  <c r="I77" i="42" s="1"/>
  <c r="M77" i="42" s="1"/>
  <c r="J77" i="42"/>
  <c r="K77" i="42"/>
  <c r="H78" i="42"/>
  <c r="I78" i="42" s="1"/>
  <c r="M78" i="42" s="1"/>
  <c r="J78" i="42"/>
  <c r="K78" i="42"/>
  <c r="H79" i="42"/>
  <c r="I79" i="42" s="1"/>
  <c r="M79" i="42" s="1"/>
  <c r="J79" i="42"/>
  <c r="K79" i="42"/>
  <c r="A124" i="40"/>
  <c r="A130" i="40" s="1"/>
  <c r="A136" i="40" s="1"/>
  <c r="A142" i="40" s="1"/>
  <c r="A148" i="40" s="1"/>
  <c r="A154" i="40" s="1"/>
  <c r="A160" i="40" s="1"/>
  <c r="A166" i="40" s="1"/>
  <c r="A172" i="40" s="1"/>
  <c r="A125" i="40"/>
  <c r="A131" i="40" s="1"/>
  <c r="A137" i="40" s="1"/>
  <c r="A143" i="40" s="1"/>
  <c r="A149" i="40" s="1"/>
  <c r="A155" i="40" s="1"/>
  <c r="A161" i="40" s="1"/>
  <c r="A167" i="40" s="1"/>
  <c r="A173" i="40" s="1"/>
  <c r="A126" i="40"/>
  <c r="A132" i="40" s="1"/>
  <c r="A138" i="40" s="1"/>
  <c r="A144" i="40" s="1"/>
  <c r="A150" i="40" s="1"/>
  <c r="A156" i="40" s="1"/>
  <c r="A162" i="40" s="1"/>
  <c r="A168" i="40" s="1"/>
  <c r="A174" i="40" s="1"/>
  <c r="A127" i="40"/>
  <c r="A133" i="40" s="1"/>
  <c r="A139" i="40" s="1"/>
  <c r="A145" i="40" s="1"/>
  <c r="A151" i="40" s="1"/>
  <c r="A157" i="40" s="1"/>
  <c r="A163" i="40" s="1"/>
  <c r="A169" i="40" s="1"/>
  <c r="A175" i="40" s="1"/>
  <c r="A128" i="40"/>
  <c r="A134" i="40" s="1"/>
  <c r="A140" i="40" s="1"/>
  <c r="A146" i="40" s="1"/>
  <c r="A152" i="40" s="1"/>
  <c r="A158" i="40" s="1"/>
  <c r="A164" i="40" s="1"/>
  <c r="A170" i="40" s="1"/>
  <c r="A176" i="40" s="1"/>
  <c r="E60" i="15"/>
  <c r="F60" i="15"/>
  <c r="E61" i="15"/>
  <c r="F61" i="15"/>
  <c r="E62" i="15"/>
  <c r="F62" i="15"/>
  <c r="E63" i="15"/>
  <c r="F63" i="15"/>
  <c r="E64" i="15"/>
  <c r="F64" i="15"/>
  <c r="E65" i="15"/>
  <c r="F65" i="15"/>
  <c r="E66" i="15"/>
  <c r="F66" i="15"/>
  <c r="E67" i="15"/>
  <c r="F67" i="15"/>
  <c r="E68" i="15"/>
  <c r="F68" i="15"/>
  <c r="E69" i="15"/>
  <c r="F69" i="15"/>
  <c r="E70" i="15"/>
  <c r="F70" i="15"/>
  <c r="E71" i="15"/>
  <c r="F71" i="15"/>
  <c r="E72" i="15"/>
  <c r="F72" i="15"/>
  <c r="E73" i="15"/>
  <c r="F73" i="15"/>
  <c r="E74" i="15"/>
  <c r="F74" i="15"/>
  <c r="E75" i="15"/>
  <c r="F75" i="15"/>
  <c r="E76" i="15"/>
  <c r="F76" i="15"/>
  <c r="E77" i="15"/>
  <c r="F77" i="15"/>
  <c r="E78" i="15"/>
  <c r="F78" i="15"/>
  <c r="E79" i="15"/>
  <c r="F79" i="15"/>
  <c r="E80" i="15"/>
  <c r="F80" i="15"/>
  <c r="E81" i="15"/>
  <c r="F81" i="15"/>
  <c r="E82" i="15"/>
  <c r="F82" i="15"/>
  <c r="E83" i="15"/>
  <c r="F83" i="15"/>
  <c r="E84" i="15"/>
  <c r="F84" i="15"/>
  <c r="E85" i="15"/>
  <c r="F85" i="15"/>
  <c r="E86" i="15"/>
  <c r="F86" i="15"/>
  <c r="E87" i="15"/>
  <c r="F87" i="15"/>
  <c r="E88" i="15"/>
  <c r="F88" i="15"/>
  <c r="E89" i="15"/>
  <c r="F89" i="15"/>
  <c r="F30" i="15"/>
  <c r="F31" i="15"/>
  <c r="F32" i="15"/>
  <c r="F33" i="15"/>
  <c r="F34" i="15"/>
  <c r="F37" i="15"/>
  <c r="F38" i="15"/>
  <c r="F39" i="15"/>
  <c r="F44" i="15"/>
  <c r="F45" i="15"/>
  <c r="F46" i="15"/>
  <c r="F47" i="15"/>
  <c r="F48" i="15"/>
  <c r="F51" i="15"/>
  <c r="F52" i="15"/>
  <c r="F53" i="15"/>
  <c r="B63" i="12"/>
  <c r="C63" i="12"/>
  <c r="D63" i="12"/>
  <c r="B64" i="12"/>
  <c r="C64" i="12"/>
  <c r="D64" i="12"/>
  <c r="B65" i="12"/>
  <c r="C65" i="12"/>
  <c r="D65" i="12"/>
  <c r="C236" i="11"/>
  <c r="D238" i="11"/>
  <c r="D240" i="11"/>
  <c r="C242" i="11"/>
  <c r="E48" i="15"/>
  <c r="D252" i="11"/>
  <c r="E31" i="15"/>
  <c r="E51" i="15"/>
  <c r="K155" i="15" l="1"/>
  <c r="K151" i="15"/>
  <c r="K147" i="15"/>
  <c r="K143" i="15"/>
  <c r="K139" i="15"/>
  <c r="K150" i="15"/>
  <c r="K146" i="15"/>
  <c r="K142" i="15"/>
  <c r="K153" i="15"/>
  <c r="K149" i="15"/>
  <c r="K141" i="15"/>
  <c r="K154" i="15"/>
  <c r="K145" i="15"/>
  <c r="K144" i="15"/>
  <c r="K156" i="15"/>
  <c r="K152" i="15"/>
  <c r="K148" i="15"/>
  <c r="K140" i="15"/>
  <c r="E37" i="15"/>
  <c r="E45" i="15"/>
  <c r="C247" i="11"/>
  <c r="B247" i="11" s="1"/>
  <c r="C237" i="11"/>
  <c r="C246" i="11"/>
  <c r="E32" i="15"/>
  <c r="H105" i="40"/>
  <c r="F105" i="40"/>
  <c r="D105" i="40"/>
  <c r="B105" i="40"/>
  <c r="I104" i="40"/>
  <c r="G104" i="40"/>
  <c r="E104" i="40"/>
  <c r="C104" i="40"/>
  <c r="J103" i="40"/>
  <c r="H103" i="40"/>
  <c r="F103" i="40"/>
  <c r="D103" i="40"/>
  <c r="B103" i="40"/>
  <c r="I102" i="40"/>
  <c r="G102" i="40"/>
  <c r="E102" i="40"/>
  <c r="C102" i="40"/>
  <c r="J101" i="40"/>
  <c r="H101" i="40"/>
  <c r="F101" i="40"/>
  <c r="D101" i="40"/>
  <c r="I105" i="40"/>
  <c r="G105" i="40"/>
  <c r="E105" i="40"/>
  <c r="C105" i="40"/>
  <c r="J104" i="40"/>
  <c r="H104" i="40"/>
  <c r="F104" i="40"/>
  <c r="D104" i="40"/>
  <c r="B104" i="40"/>
  <c r="I103" i="40"/>
  <c r="G103" i="40"/>
  <c r="E103" i="40"/>
  <c r="C103" i="40"/>
  <c r="J102" i="40"/>
  <c r="H102" i="40"/>
  <c r="F102" i="40"/>
  <c r="D102" i="40"/>
  <c r="B102" i="40"/>
  <c r="I101" i="40"/>
  <c r="G101" i="40"/>
  <c r="E101" i="40"/>
  <c r="C101" i="40"/>
  <c r="N29" i="102"/>
  <c r="H65" i="12" s="1"/>
  <c r="H111" i="12" s="1"/>
  <c r="P29" i="102"/>
  <c r="J65" i="12" s="1"/>
  <c r="J111" i="12" s="1"/>
  <c r="R29" i="102"/>
  <c r="L65" i="12" s="1"/>
  <c r="L111" i="12" s="1"/>
  <c r="L29" i="102"/>
  <c r="F65" i="12" s="1"/>
  <c r="F111" i="12" s="1"/>
  <c r="N26" i="102"/>
  <c r="H68" i="12" s="1"/>
  <c r="P26" i="102"/>
  <c r="J68" i="12" s="1"/>
  <c r="R26" i="102"/>
  <c r="L68" i="12" s="1"/>
  <c r="L26" i="102"/>
  <c r="F68" i="12" s="1"/>
  <c r="R17" i="102"/>
  <c r="R20" i="102"/>
  <c r="O29" i="102"/>
  <c r="I65" i="12" s="1"/>
  <c r="I111" i="12" s="1"/>
  <c r="Q29" i="102"/>
  <c r="K65" i="12" s="1"/>
  <c r="K111" i="12" s="1"/>
  <c r="M29" i="102"/>
  <c r="G65" i="12" s="1"/>
  <c r="G111" i="12" s="1"/>
  <c r="K29" i="102"/>
  <c r="O26" i="102"/>
  <c r="I68" i="12" s="1"/>
  <c r="Q26" i="102"/>
  <c r="K68" i="12" s="1"/>
  <c r="M26" i="102"/>
  <c r="G68" i="12" s="1"/>
  <c r="K26" i="102"/>
  <c r="R18" i="102"/>
  <c r="M38" i="99"/>
  <c r="M36" i="99"/>
  <c r="M34" i="99"/>
  <c r="M39" i="99"/>
  <c r="M37" i="99"/>
  <c r="M35" i="99"/>
  <c r="M33" i="99"/>
  <c r="I30" i="99"/>
  <c r="G30" i="99"/>
  <c r="E30" i="99"/>
  <c r="C30" i="99"/>
  <c r="T40" i="99"/>
  <c r="R40" i="99"/>
  <c r="P40" i="99"/>
  <c r="T39" i="99"/>
  <c r="R39" i="99"/>
  <c r="P39" i="99"/>
  <c r="T38" i="99"/>
  <c r="R38" i="99"/>
  <c r="P38" i="99"/>
  <c r="T37" i="99"/>
  <c r="R37" i="99"/>
  <c r="P37" i="99"/>
  <c r="T36" i="99"/>
  <c r="R36" i="99"/>
  <c r="P36" i="99"/>
  <c r="T35" i="99"/>
  <c r="R35" i="99"/>
  <c r="P35" i="99"/>
  <c r="T34" i="99"/>
  <c r="R34" i="99"/>
  <c r="P34" i="99"/>
  <c r="T33" i="99"/>
  <c r="R33" i="99"/>
  <c r="P33" i="99"/>
  <c r="T32" i="99"/>
  <c r="R32" i="99"/>
  <c r="P32" i="99"/>
  <c r="N40" i="99"/>
  <c r="N38" i="99"/>
  <c r="N36" i="99"/>
  <c r="N34" i="99"/>
  <c r="N32" i="99"/>
  <c r="H30" i="99"/>
  <c r="F30" i="99"/>
  <c r="D30" i="99"/>
  <c r="B30" i="99"/>
  <c r="S40" i="99"/>
  <c r="Q40" i="99"/>
  <c r="S39" i="99"/>
  <c r="Q39" i="99"/>
  <c r="O39" i="99"/>
  <c r="S38" i="99"/>
  <c r="Q38" i="99"/>
  <c r="O38" i="99"/>
  <c r="S37" i="99"/>
  <c r="Q37" i="99"/>
  <c r="O37" i="99"/>
  <c r="S36" i="99"/>
  <c r="Q36" i="99"/>
  <c r="O36" i="99"/>
  <c r="S35" i="99"/>
  <c r="Q35" i="99"/>
  <c r="O35" i="99"/>
  <c r="S34" i="99"/>
  <c r="Q34" i="99"/>
  <c r="O34" i="99"/>
  <c r="S33" i="99"/>
  <c r="Q33" i="99"/>
  <c r="O33" i="99"/>
  <c r="S32" i="99"/>
  <c r="Q32" i="99"/>
  <c r="O32" i="99"/>
  <c r="N39" i="99"/>
  <c r="N37" i="99"/>
  <c r="N35" i="99"/>
  <c r="N33" i="99"/>
  <c r="M40" i="99"/>
  <c r="M32" i="99"/>
  <c r="L18" i="102"/>
  <c r="N18" i="102"/>
  <c r="P18" i="102"/>
  <c r="L17" i="102"/>
  <c r="X11" i="102" s="1"/>
  <c r="N17" i="102"/>
  <c r="P17" i="102"/>
  <c r="K18" i="102"/>
  <c r="M18" i="102"/>
  <c r="O18" i="102"/>
  <c r="Q18" i="102"/>
  <c r="M17" i="102"/>
  <c r="O17" i="102"/>
  <c r="Q17" i="102"/>
  <c r="O20" i="102"/>
  <c r="Q20" i="102"/>
  <c r="N20" i="102"/>
  <c r="P20" i="102"/>
  <c r="C73" i="105"/>
  <c r="E73" i="105"/>
  <c r="G73" i="105"/>
  <c r="I73" i="105"/>
  <c r="D73" i="105"/>
  <c r="F73" i="105"/>
  <c r="H73" i="105"/>
  <c r="E56" i="105"/>
  <c r="H56" i="105"/>
  <c r="T9" i="106"/>
  <c r="T13" i="106"/>
  <c r="F56" i="105"/>
  <c r="T10" i="106"/>
  <c r="T6" i="106"/>
  <c r="D56" i="105"/>
  <c r="T7" i="106"/>
  <c r="T11" i="106"/>
  <c r="I56" i="105"/>
  <c r="T8" i="106"/>
  <c r="T12" i="106"/>
  <c r="B56" i="105"/>
  <c r="G56" i="105"/>
  <c r="C56" i="105"/>
  <c r="J167" i="40"/>
  <c r="J152" i="40"/>
  <c r="J176" i="40"/>
  <c r="J172" i="40"/>
  <c r="J170" i="40"/>
  <c r="K170" i="40" s="1"/>
  <c r="J164" i="40"/>
  <c r="J155" i="40"/>
  <c r="J145" i="40"/>
  <c r="J138" i="40"/>
  <c r="K138" i="40" s="1"/>
  <c r="J151" i="40"/>
  <c r="K151" i="40" s="1"/>
  <c r="J150" i="40"/>
  <c r="J143" i="40"/>
  <c r="D236" i="11"/>
  <c r="E52" i="15"/>
  <c r="E38" i="15"/>
  <c r="J168" i="40"/>
  <c r="J174" i="40"/>
  <c r="J162" i="40"/>
  <c r="D253" i="11"/>
  <c r="E33" i="15"/>
  <c r="E44" i="15"/>
  <c r="E39" i="15"/>
  <c r="E47" i="15"/>
  <c r="D244" i="11"/>
  <c r="E46" i="15"/>
  <c r="E34" i="15"/>
  <c r="D242" i="11"/>
  <c r="E30" i="15"/>
  <c r="D243" i="11"/>
  <c r="C252" i="11"/>
  <c r="D254" i="11"/>
  <c r="E53" i="15"/>
  <c r="E89" i="42"/>
  <c r="G90" i="42"/>
  <c r="G89" i="42"/>
  <c r="E90" i="42"/>
  <c r="B246" i="11" l="1"/>
  <c r="D247" i="11"/>
  <c r="D248" i="11"/>
  <c r="D250" i="11"/>
  <c r="D249" i="11"/>
  <c r="D237" i="11"/>
  <c r="D246" i="11"/>
  <c r="C55" i="105"/>
  <c r="C54" i="105"/>
  <c r="C62" i="105" s="1"/>
  <c r="C58" i="105"/>
  <c r="C57" i="105"/>
  <c r="C65" i="105" s="1"/>
  <c r="C59" i="105"/>
  <c r="C67" i="105" s="1"/>
  <c r="B58" i="105"/>
  <c r="B54" i="105"/>
  <c r="B62" i="105" s="1"/>
  <c r="B57" i="105"/>
  <c r="B65" i="105" s="1"/>
  <c r="B59" i="105"/>
  <c r="B55" i="105"/>
  <c r="B64" i="105" s="1"/>
  <c r="J56" i="105"/>
  <c r="D54" i="105"/>
  <c r="D62" i="105" s="1"/>
  <c r="D59" i="105"/>
  <c r="D55" i="105"/>
  <c r="D64" i="105" s="1"/>
  <c r="D58" i="105"/>
  <c r="D57" i="105"/>
  <c r="D65" i="105" s="1"/>
  <c r="H54" i="105"/>
  <c r="H62" i="105" s="1"/>
  <c r="H59" i="105"/>
  <c r="H55" i="105"/>
  <c r="H58" i="105"/>
  <c r="H57" i="105"/>
  <c r="H65" i="105" s="1"/>
  <c r="H71" i="105"/>
  <c r="H79" i="105" s="1"/>
  <c r="H72" i="105"/>
  <c r="H74" i="105"/>
  <c r="H82" i="105" s="1"/>
  <c r="H75" i="105"/>
  <c r="H76" i="105"/>
  <c r="D72" i="105"/>
  <c r="D81" i="105" s="1"/>
  <c r="D71" i="105"/>
  <c r="D79" i="105" s="1"/>
  <c r="D74" i="105"/>
  <c r="D82" i="105" s="1"/>
  <c r="D75" i="105"/>
  <c r="D76" i="105"/>
  <c r="I71" i="105"/>
  <c r="I79" i="105" s="1"/>
  <c r="I72" i="105"/>
  <c r="I74" i="105"/>
  <c r="I82" i="105" s="1"/>
  <c r="I75" i="105"/>
  <c r="I76" i="105"/>
  <c r="E71" i="105"/>
  <c r="E79" i="105" s="1"/>
  <c r="E72" i="105"/>
  <c r="E74" i="105"/>
  <c r="E82" i="105" s="1"/>
  <c r="E75" i="105"/>
  <c r="E76" i="105"/>
  <c r="E81" i="105"/>
  <c r="W17" i="102"/>
  <c r="AA18" i="102" s="1"/>
  <c r="AA16" i="102"/>
  <c r="J96" i="12"/>
  <c r="Y17" i="102"/>
  <c r="X13" i="102"/>
  <c r="X12" i="102"/>
  <c r="AB12" i="102" s="1"/>
  <c r="Q69" i="12" s="1"/>
  <c r="X10" i="102"/>
  <c r="X14" i="102"/>
  <c r="X9" i="102"/>
  <c r="AB9" i="102" s="1"/>
  <c r="Q66" i="12" s="1"/>
  <c r="P66" i="12" s="1"/>
  <c r="C114" i="40"/>
  <c r="G118" i="40"/>
  <c r="I13" i="12"/>
  <c r="I12" i="12"/>
  <c r="I10" i="12"/>
  <c r="I14" i="12"/>
  <c r="I9" i="12"/>
  <c r="G19" i="12"/>
  <c r="G17" i="12"/>
  <c r="G16" i="12"/>
  <c r="G21" i="12"/>
  <c r="G20" i="12"/>
  <c r="K19" i="12"/>
  <c r="K17" i="12"/>
  <c r="K20" i="12"/>
  <c r="K21" i="12"/>
  <c r="K16" i="12"/>
  <c r="I23" i="12"/>
  <c r="I28" i="12"/>
  <c r="I27" i="12"/>
  <c r="I26" i="12"/>
  <c r="I24" i="12"/>
  <c r="G35" i="12"/>
  <c r="G34" i="12"/>
  <c r="G33" i="12"/>
  <c r="G31" i="12"/>
  <c r="G30" i="12"/>
  <c r="K35" i="12"/>
  <c r="K34" i="12"/>
  <c r="K33" i="12"/>
  <c r="K31" i="12"/>
  <c r="K30" i="12"/>
  <c r="I37" i="12"/>
  <c r="I42" i="12"/>
  <c r="I41" i="12"/>
  <c r="I40" i="12"/>
  <c r="I38" i="12"/>
  <c r="D116" i="40"/>
  <c r="H117" i="40"/>
  <c r="U32" i="99"/>
  <c r="J12" i="12"/>
  <c r="J10" i="12"/>
  <c r="J9" i="12"/>
  <c r="J13" i="12"/>
  <c r="J14" i="12"/>
  <c r="H20" i="12"/>
  <c r="H19" i="12"/>
  <c r="H17" i="12"/>
  <c r="H16" i="12"/>
  <c r="H21" i="12"/>
  <c r="U34" i="99"/>
  <c r="J26" i="12"/>
  <c r="J24" i="12"/>
  <c r="J23" i="12"/>
  <c r="J28" i="12"/>
  <c r="J27" i="12"/>
  <c r="H34" i="12"/>
  <c r="H33" i="12"/>
  <c r="H31" i="12"/>
  <c r="H35" i="12"/>
  <c r="H30" i="12"/>
  <c r="U36" i="99"/>
  <c r="J40" i="12"/>
  <c r="J38" i="12"/>
  <c r="J37" i="12"/>
  <c r="J41" i="12"/>
  <c r="J42" i="12"/>
  <c r="U38" i="99"/>
  <c r="U40" i="99"/>
  <c r="W13" i="102"/>
  <c r="AA14" i="102" s="1"/>
  <c r="W9" i="102"/>
  <c r="AA9" i="102" s="1"/>
  <c r="W12" i="102"/>
  <c r="AA12" i="102" s="1"/>
  <c r="W10" i="102"/>
  <c r="K71" i="12"/>
  <c r="K66" i="12"/>
  <c r="K67" i="12"/>
  <c r="K70" i="12"/>
  <c r="K69" i="12"/>
  <c r="K64" i="12"/>
  <c r="K63" i="12"/>
  <c r="L96" i="12"/>
  <c r="M96" i="12" s="1"/>
  <c r="N96" i="12" s="1"/>
  <c r="T20" i="102"/>
  <c r="S20" i="102" s="1"/>
  <c r="F71" i="12"/>
  <c r="F67" i="12"/>
  <c r="F69" i="12"/>
  <c r="F66" i="12"/>
  <c r="F70" i="12"/>
  <c r="J66" i="12"/>
  <c r="J70" i="12"/>
  <c r="J71" i="12"/>
  <c r="J67" i="12"/>
  <c r="J69" i="12"/>
  <c r="F63" i="12"/>
  <c r="F64" i="12"/>
  <c r="J63" i="12"/>
  <c r="J64" i="12"/>
  <c r="G114" i="40"/>
  <c r="B115" i="40"/>
  <c r="D117" i="40"/>
  <c r="B114" i="40"/>
  <c r="H116" i="40"/>
  <c r="G117" i="40"/>
  <c r="B118" i="40"/>
  <c r="G55" i="105"/>
  <c r="G64" i="105" s="1"/>
  <c r="G57" i="105"/>
  <c r="G65" i="105" s="1"/>
  <c r="G59" i="105"/>
  <c r="G54" i="105"/>
  <c r="G58" i="105"/>
  <c r="I55" i="105"/>
  <c r="I58" i="105"/>
  <c r="I57" i="105"/>
  <c r="I65" i="105" s="1"/>
  <c r="I59" i="105"/>
  <c r="I54" i="105"/>
  <c r="I62" i="105" s="1"/>
  <c r="T14" i="106"/>
  <c r="F54" i="105"/>
  <c r="F62" i="105" s="1"/>
  <c r="F58" i="105"/>
  <c r="F57" i="105"/>
  <c r="F65" i="105" s="1"/>
  <c r="F59" i="105"/>
  <c r="F55" i="105"/>
  <c r="E55" i="105"/>
  <c r="E59" i="105"/>
  <c r="E57" i="105"/>
  <c r="E65" i="105" s="1"/>
  <c r="E54" i="105"/>
  <c r="E62" i="105" s="1"/>
  <c r="E58" i="105"/>
  <c r="F72" i="105"/>
  <c r="F74" i="105"/>
  <c r="F82" i="105" s="1"/>
  <c r="F75" i="105"/>
  <c r="F76" i="105"/>
  <c r="F71" i="105"/>
  <c r="F79" i="105" s="1"/>
  <c r="B74" i="105"/>
  <c r="B82" i="105" s="1"/>
  <c r="B75" i="105"/>
  <c r="B76" i="105"/>
  <c r="B72" i="105"/>
  <c r="J73" i="105"/>
  <c r="G71" i="105"/>
  <c r="G79" i="105" s="1"/>
  <c r="G74" i="105"/>
  <c r="G82" i="105" s="1"/>
  <c r="G75" i="105"/>
  <c r="G76" i="105"/>
  <c r="G72" i="105"/>
  <c r="C71" i="105"/>
  <c r="C79" i="105" s="1"/>
  <c r="C74" i="105"/>
  <c r="C82" i="105" s="1"/>
  <c r="C75" i="105"/>
  <c r="C76" i="105"/>
  <c r="C72" i="105"/>
  <c r="I96" i="12"/>
  <c r="X16" i="102"/>
  <c r="AB16" i="102" s="1"/>
  <c r="P63" i="12" s="1"/>
  <c r="X17" i="102"/>
  <c r="AB18" i="102" s="1"/>
  <c r="Q65" i="12" s="1"/>
  <c r="P65" i="12" s="1"/>
  <c r="E116" i="40"/>
  <c r="I116" i="40"/>
  <c r="G14" i="12"/>
  <c r="G13" i="12"/>
  <c r="G10" i="12"/>
  <c r="G12" i="12"/>
  <c r="K9" i="12"/>
  <c r="K14" i="12"/>
  <c r="K12" i="12"/>
  <c r="K13" i="12"/>
  <c r="K10" i="12"/>
  <c r="I21" i="12"/>
  <c r="I20" i="12"/>
  <c r="I19" i="12"/>
  <c r="I16" i="12"/>
  <c r="I17" i="12"/>
  <c r="G27" i="12"/>
  <c r="G26" i="12"/>
  <c r="G24" i="12"/>
  <c r="G23" i="12"/>
  <c r="G28" i="12"/>
  <c r="K27" i="12"/>
  <c r="K26" i="12"/>
  <c r="K24" i="12"/>
  <c r="K23" i="12"/>
  <c r="K28" i="12"/>
  <c r="I33" i="12"/>
  <c r="I31" i="12"/>
  <c r="I30" i="12"/>
  <c r="I35" i="12"/>
  <c r="I34" i="12"/>
  <c r="G41" i="12"/>
  <c r="G40" i="12"/>
  <c r="G38" i="12"/>
  <c r="G37" i="12"/>
  <c r="G42" i="12"/>
  <c r="K41" i="12"/>
  <c r="K40" i="12"/>
  <c r="K38" i="12"/>
  <c r="K37" i="12"/>
  <c r="K42" i="12"/>
  <c r="F114" i="40"/>
  <c r="J114" i="40"/>
  <c r="H14" i="12"/>
  <c r="H13" i="12"/>
  <c r="H12" i="12"/>
  <c r="H9" i="12"/>
  <c r="H10" i="12"/>
  <c r="U33" i="99"/>
  <c r="J16" i="12"/>
  <c r="J21" i="12"/>
  <c r="J20" i="12"/>
  <c r="J17" i="12"/>
  <c r="J19" i="12"/>
  <c r="H28" i="12"/>
  <c r="H27" i="12"/>
  <c r="H24" i="12"/>
  <c r="H26" i="12"/>
  <c r="H23" i="12"/>
  <c r="U35" i="99"/>
  <c r="J30" i="12"/>
  <c r="J35" i="12"/>
  <c r="J33" i="12"/>
  <c r="J34" i="12"/>
  <c r="J31" i="12"/>
  <c r="H42" i="12"/>
  <c r="H41" i="12"/>
  <c r="H40" i="12"/>
  <c r="H37" i="12"/>
  <c r="H38" i="12"/>
  <c r="U37" i="99"/>
  <c r="U39" i="99"/>
  <c r="T18" i="102"/>
  <c r="S18" i="102" s="1"/>
  <c r="G71" i="12"/>
  <c r="G66" i="12"/>
  <c r="G67" i="12"/>
  <c r="G70" i="12"/>
  <c r="G69" i="12"/>
  <c r="I67" i="12"/>
  <c r="I70" i="12"/>
  <c r="I69" i="12"/>
  <c r="I71" i="12"/>
  <c r="I66" i="12"/>
  <c r="G64" i="12"/>
  <c r="G63" i="12"/>
  <c r="I63" i="12"/>
  <c r="I64" i="12"/>
  <c r="T26" i="102"/>
  <c r="S26" i="102" s="1"/>
  <c r="M68" i="12" s="1"/>
  <c r="N68" i="12" s="1"/>
  <c r="O68" i="12" s="1"/>
  <c r="H70" i="12"/>
  <c r="H66" i="12"/>
  <c r="H71" i="12"/>
  <c r="H69" i="12"/>
  <c r="H67" i="12"/>
  <c r="T29" i="102"/>
  <c r="S29" i="102" s="1"/>
  <c r="M65" i="12" s="1"/>
  <c r="H64" i="12"/>
  <c r="H63" i="12"/>
  <c r="I114" i="40"/>
  <c r="H115" i="40"/>
  <c r="G116" i="40"/>
  <c r="B117" i="40"/>
  <c r="F117" i="40"/>
  <c r="E118" i="40"/>
  <c r="D114" i="40"/>
  <c r="B116" i="40"/>
  <c r="I117" i="40"/>
  <c r="H118" i="40"/>
  <c r="L138" i="40"/>
  <c r="L151" i="40"/>
  <c r="L170" i="40"/>
  <c r="J136" i="40"/>
  <c r="K136" i="40"/>
  <c r="K174" i="40"/>
  <c r="J149" i="40"/>
  <c r="K149" i="40" s="1"/>
  <c r="J161" i="40"/>
  <c r="K161" i="40" s="1"/>
  <c r="J140" i="40"/>
  <c r="K168" i="40"/>
  <c r="J144" i="40"/>
  <c r="J158" i="40"/>
  <c r="J173" i="40"/>
  <c r="J137" i="40"/>
  <c r="J156" i="40"/>
  <c r="J175" i="40"/>
  <c r="J160" i="40"/>
  <c r="J157" i="40"/>
  <c r="J142" i="40"/>
  <c r="K143" i="40"/>
  <c r="K150" i="40"/>
  <c r="K145" i="40"/>
  <c r="J148" i="40"/>
  <c r="J154" i="40"/>
  <c r="K155" i="40"/>
  <c r="K164" i="40"/>
  <c r="K172" i="40"/>
  <c r="K176" i="40"/>
  <c r="K152" i="40"/>
  <c r="J166" i="40"/>
  <c r="K167" i="40"/>
  <c r="J169" i="40"/>
  <c r="J139" i="40"/>
  <c r="J163" i="40"/>
  <c r="J146" i="40"/>
  <c r="K52" i="15"/>
  <c r="K53" i="15"/>
  <c r="K162" i="40"/>
  <c r="D239" i="11"/>
  <c r="R12" i="12" l="1"/>
  <c r="R9" i="12"/>
  <c r="F63" i="105"/>
  <c r="H63" i="105"/>
  <c r="E66" i="105"/>
  <c r="I67" i="105"/>
  <c r="H84" i="105"/>
  <c r="D84" i="105"/>
  <c r="W28" i="12" s="1"/>
  <c r="J67" i="15"/>
  <c r="L68" i="15"/>
  <c r="L73" i="15" s="1"/>
  <c r="L78" i="15" s="1"/>
  <c r="L83" i="15" s="1"/>
  <c r="L88" i="15" s="1"/>
  <c r="P68" i="15"/>
  <c r="P73" i="15" s="1"/>
  <c r="P78" i="15" s="1"/>
  <c r="P83" i="15" s="1"/>
  <c r="P88" i="15" s="1"/>
  <c r="I68" i="15"/>
  <c r="I73" i="15" s="1"/>
  <c r="I78" i="15" s="1"/>
  <c r="I83" i="15" s="1"/>
  <c r="I88" i="15" s="1"/>
  <c r="M68" i="15"/>
  <c r="M73" i="15" s="1"/>
  <c r="M78" i="15" s="1"/>
  <c r="M83" i="15" s="1"/>
  <c r="M88" i="15" s="1"/>
  <c r="Q68" i="15"/>
  <c r="Q73" i="15" s="1"/>
  <c r="Q78" i="15" s="1"/>
  <c r="Q83" i="15" s="1"/>
  <c r="Q88" i="15" s="1"/>
  <c r="J68" i="15"/>
  <c r="J73" i="15" s="1"/>
  <c r="J78" i="15" s="1"/>
  <c r="J83" i="15" s="1"/>
  <c r="J88" i="15" s="1"/>
  <c r="N68" i="15"/>
  <c r="N73" i="15" s="1"/>
  <c r="N78" i="15" s="1"/>
  <c r="N83" i="15" s="1"/>
  <c r="N88" i="15" s="1"/>
  <c r="R68" i="15"/>
  <c r="R73" i="15" s="1"/>
  <c r="R78" i="15" s="1"/>
  <c r="R83" i="15" s="1"/>
  <c r="R88" i="15" s="1"/>
  <c r="K68" i="15"/>
  <c r="K73" i="15" s="1"/>
  <c r="K78" i="15" s="1"/>
  <c r="K83" i="15" s="1"/>
  <c r="K88" i="15" s="1"/>
  <c r="O68" i="15"/>
  <c r="O73" i="15" s="1"/>
  <c r="O78" i="15" s="1"/>
  <c r="O83" i="15" s="1"/>
  <c r="O88" i="15" s="1"/>
  <c r="J65" i="15"/>
  <c r="J70" i="15" s="1"/>
  <c r="J75" i="15" s="1"/>
  <c r="J80" i="15" s="1"/>
  <c r="J85" i="15" s="1"/>
  <c r="N65" i="15"/>
  <c r="N70" i="15" s="1"/>
  <c r="N75" i="15" s="1"/>
  <c r="N80" i="15" s="1"/>
  <c r="N85" i="15" s="1"/>
  <c r="R65" i="15"/>
  <c r="R70" i="15" s="1"/>
  <c r="R75" i="15" s="1"/>
  <c r="R80" i="15" s="1"/>
  <c r="R85" i="15" s="1"/>
  <c r="K65" i="15"/>
  <c r="K70" i="15" s="1"/>
  <c r="K75" i="15" s="1"/>
  <c r="K80" i="15" s="1"/>
  <c r="K85" i="15" s="1"/>
  <c r="O65" i="15"/>
  <c r="O70" i="15" s="1"/>
  <c r="O75" i="15" s="1"/>
  <c r="O80" i="15" s="1"/>
  <c r="O85" i="15" s="1"/>
  <c r="L65" i="15"/>
  <c r="L70" i="15" s="1"/>
  <c r="L75" i="15" s="1"/>
  <c r="L80" i="15" s="1"/>
  <c r="L85" i="15" s="1"/>
  <c r="P65" i="15"/>
  <c r="P70" i="15" s="1"/>
  <c r="P75" i="15" s="1"/>
  <c r="P80" i="15" s="1"/>
  <c r="P85" i="15" s="1"/>
  <c r="I65" i="15"/>
  <c r="I70" i="15" s="1"/>
  <c r="I75" i="15" s="1"/>
  <c r="I80" i="15" s="1"/>
  <c r="I85" i="15" s="1"/>
  <c r="M65" i="15"/>
  <c r="M70" i="15" s="1"/>
  <c r="M75" i="15" s="1"/>
  <c r="M80" i="15" s="1"/>
  <c r="M85" i="15" s="1"/>
  <c r="Q65" i="15"/>
  <c r="Q70" i="15" s="1"/>
  <c r="Q75" i="15" s="1"/>
  <c r="Q80" i="15" s="1"/>
  <c r="Q85" i="15" s="1"/>
  <c r="J69" i="15"/>
  <c r="J74" i="15" s="1"/>
  <c r="J79" i="15" s="1"/>
  <c r="J84" i="15" s="1"/>
  <c r="J89" i="15" s="1"/>
  <c r="N69" i="15"/>
  <c r="N74" i="15" s="1"/>
  <c r="N79" i="15" s="1"/>
  <c r="N84" i="15" s="1"/>
  <c r="N89" i="15" s="1"/>
  <c r="R69" i="15"/>
  <c r="R74" i="15" s="1"/>
  <c r="R79" i="15" s="1"/>
  <c r="R84" i="15" s="1"/>
  <c r="R89" i="15" s="1"/>
  <c r="K69" i="15"/>
  <c r="K74" i="15" s="1"/>
  <c r="K79" i="15" s="1"/>
  <c r="K84" i="15" s="1"/>
  <c r="K89" i="15" s="1"/>
  <c r="O69" i="15"/>
  <c r="O74" i="15" s="1"/>
  <c r="O79" i="15" s="1"/>
  <c r="O84" i="15" s="1"/>
  <c r="O89" i="15" s="1"/>
  <c r="L69" i="15"/>
  <c r="L74" i="15" s="1"/>
  <c r="L79" i="15" s="1"/>
  <c r="L84" i="15" s="1"/>
  <c r="L89" i="15" s="1"/>
  <c r="P69" i="15"/>
  <c r="P74" i="15" s="1"/>
  <c r="P79" i="15" s="1"/>
  <c r="P84" i="15" s="1"/>
  <c r="P89" i="15" s="1"/>
  <c r="I69" i="15"/>
  <c r="I74" i="15" s="1"/>
  <c r="I79" i="15" s="1"/>
  <c r="I84" i="15" s="1"/>
  <c r="I89" i="15" s="1"/>
  <c r="M69" i="15"/>
  <c r="M74" i="15" s="1"/>
  <c r="M79" i="15" s="1"/>
  <c r="M84" i="15" s="1"/>
  <c r="M89" i="15" s="1"/>
  <c r="Q69" i="15"/>
  <c r="Q74" i="15" s="1"/>
  <c r="Q79" i="15" s="1"/>
  <c r="Q84" i="15" s="1"/>
  <c r="Q89" i="15" s="1"/>
  <c r="N65" i="12"/>
  <c r="M111" i="12"/>
  <c r="F67" i="105"/>
  <c r="L66" i="15"/>
  <c r="L71" i="15" s="1"/>
  <c r="L76" i="15" s="1"/>
  <c r="L81" i="15" s="1"/>
  <c r="L86" i="15" s="1"/>
  <c r="P66" i="15"/>
  <c r="P71" i="15" s="1"/>
  <c r="P76" i="15" s="1"/>
  <c r="P81" i="15" s="1"/>
  <c r="P86" i="15" s="1"/>
  <c r="I66" i="15"/>
  <c r="I71" i="15" s="1"/>
  <c r="I76" i="15" s="1"/>
  <c r="I81" i="15" s="1"/>
  <c r="I86" i="15" s="1"/>
  <c r="M66" i="15"/>
  <c r="M71" i="15" s="1"/>
  <c r="M76" i="15" s="1"/>
  <c r="M81" i="15" s="1"/>
  <c r="M86" i="15" s="1"/>
  <c r="Q66" i="15"/>
  <c r="Q71" i="15" s="1"/>
  <c r="Q76" i="15" s="1"/>
  <c r="Q81" i="15" s="1"/>
  <c r="Q86" i="15" s="1"/>
  <c r="J66" i="15"/>
  <c r="J71" i="15" s="1"/>
  <c r="J76" i="15" s="1"/>
  <c r="J81" i="15" s="1"/>
  <c r="J86" i="15" s="1"/>
  <c r="N66" i="15"/>
  <c r="N71" i="15" s="1"/>
  <c r="N76" i="15" s="1"/>
  <c r="N81" i="15" s="1"/>
  <c r="N86" i="15" s="1"/>
  <c r="R66" i="15"/>
  <c r="R71" i="15" s="1"/>
  <c r="R76" i="15" s="1"/>
  <c r="R81" i="15" s="1"/>
  <c r="R86" i="15" s="1"/>
  <c r="K66" i="15"/>
  <c r="K71" i="15" s="1"/>
  <c r="K76" i="15" s="1"/>
  <c r="K81" i="15" s="1"/>
  <c r="K86" i="15" s="1"/>
  <c r="O66" i="15"/>
  <c r="O71" i="15" s="1"/>
  <c r="O76" i="15" s="1"/>
  <c r="O81" i="15" s="1"/>
  <c r="O86" i="15" s="1"/>
  <c r="D63" i="105"/>
  <c r="B63" i="105"/>
  <c r="AA10" i="102"/>
  <c r="AB13" i="102"/>
  <c r="Q70" i="12" s="1"/>
  <c r="J116" i="40"/>
  <c r="C115" i="40"/>
  <c r="C84" i="105"/>
  <c r="W21" i="12" s="1"/>
  <c r="G83" i="105"/>
  <c r="B83" i="105"/>
  <c r="R13" i="12" s="1"/>
  <c r="W13" i="12" s="1"/>
  <c r="F84" i="105"/>
  <c r="W42" i="12" s="1"/>
  <c r="I66" i="105"/>
  <c r="G66" i="105"/>
  <c r="C118" i="40"/>
  <c r="AA13" i="102"/>
  <c r="H64" i="105"/>
  <c r="D66" i="105"/>
  <c r="E83" i="105"/>
  <c r="W34" i="12" s="1"/>
  <c r="E80" i="105"/>
  <c r="I84" i="105"/>
  <c r="D83" i="105"/>
  <c r="W27" i="12" s="1"/>
  <c r="D80" i="105"/>
  <c r="H83" i="105"/>
  <c r="H66" i="105"/>
  <c r="F80" i="105"/>
  <c r="E67" i="105"/>
  <c r="F64" i="105"/>
  <c r="F66" i="105"/>
  <c r="L64" i="12"/>
  <c r="L63" i="12"/>
  <c r="L69" i="12"/>
  <c r="L67" i="12"/>
  <c r="L70" i="12"/>
  <c r="L71" i="12"/>
  <c r="L66" i="12"/>
  <c r="B81" i="105"/>
  <c r="B80" i="105"/>
  <c r="F118" i="40"/>
  <c r="I115" i="40"/>
  <c r="F115" i="40"/>
  <c r="D118" i="40"/>
  <c r="E117" i="40"/>
  <c r="F116" i="40"/>
  <c r="G115" i="40"/>
  <c r="H114" i="40"/>
  <c r="I118" i="40"/>
  <c r="J117" i="40"/>
  <c r="C116" i="40"/>
  <c r="D115" i="40"/>
  <c r="E114" i="40"/>
  <c r="L42" i="12"/>
  <c r="L41" i="12"/>
  <c r="L38" i="12"/>
  <c r="L40" i="12"/>
  <c r="L37" i="12"/>
  <c r="L28" i="12"/>
  <c r="L27" i="12"/>
  <c r="L26" i="12"/>
  <c r="L23" i="12"/>
  <c r="L24" i="12"/>
  <c r="L14" i="12"/>
  <c r="L13" i="12"/>
  <c r="L10" i="12"/>
  <c r="L12" i="12"/>
  <c r="L9" i="12"/>
  <c r="F30" i="12"/>
  <c r="F35" i="12"/>
  <c r="F34" i="12"/>
  <c r="F33" i="12"/>
  <c r="F31" i="12"/>
  <c r="F28" i="12"/>
  <c r="F27" i="12"/>
  <c r="F26" i="12"/>
  <c r="F24" i="12"/>
  <c r="F23" i="12"/>
  <c r="AB17" i="102"/>
  <c r="C81" i="105"/>
  <c r="C80" i="105"/>
  <c r="C83" i="105"/>
  <c r="G84" i="105"/>
  <c r="B84" i="105"/>
  <c r="R14" i="12" s="1"/>
  <c r="W14" i="12" s="1"/>
  <c r="F83" i="105"/>
  <c r="W41" i="12" s="1"/>
  <c r="F81" i="105"/>
  <c r="E64" i="105"/>
  <c r="E63" i="105"/>
  <c r="I64" i="105"/>
  <c r="I63" i="105"/>
  <c r="G63" i="105"/>
  <c r="G62" i="105"/>
  <c r="J118" i="40"/>
  <c r="C117" i="40"/>
  <c r="E115" i="40"/>
  <c r="J115" i="40"/>
  <c r="AA11" i="102"/>
  <c r="L34" i="12"/>
  <c r="L33" i="12"/>
  <c r="L31" i="12"/>
  <c r="L30" i="12"/>
  <c r="L35" i="12"/>
  <c r="L20" i="12"/>
  <c r="L19" i="12"/>
  <c r="L17" i="12"/>
  <c r="L21" i="12"/>
  <c r="L16" i="12"/>
  <c r="F20" i="12"/>
  <c r="F19" i="12"/>
  <c r="F17" i="12"/>
  <c r="F16" i="12"/>
  <c r="F21" i="12"/>
  <c r="F40" i="12"/>
  <c r="F38" i="12"/>
  <c r="F37" i="12"/>
  <c r="F42" i="12"/>
  <c r="F41" i="12"/>
  <c r="F12" i="12"/>
  <c r="F10" i="12"/>
  <c r="F9" i="12"/>
  <c r="F14" i="12"/>
  <c r="F13" i="12"/>
  <c r="AB14" i="102"/>
  <c r="Q71" i="12" s="1"/>
  <c r="AC18" i="102"/>
  <c r="R65" i="12" s="1"/>
  <c r="AC17" i="102"/>
  <c r="R64" i="12" s="1"/>
  <c r="AA17" i="102"/>
  <c r="E84" i="105"/>
  <c r="W35" i="12" s="1"/>
  <c r="I83" i="105"/>
  <c r="I81" i="105"/>
  <c r="I80" i="105"/>
  <c r="B67" i="105"/>
  <c r="C66" i="105"/>
  <c r="C64" i="105"/>
  <c r="C63" i="105"/>
  <c r="Q19" i="12"/>
  <c r="G81" i="105"/>
  <c r="G80" i="105"/>
  <c r="G67" i="105"/>
  <c r="AB11" i="102"/>
  <c r="Q68" i="12" s="1"/>
  <c r="P68" i="12" s="1"/>
  <c r="AB10" i="102"/>
  <c r="Q67" i="12" s="1"/>
  <c r="P67" i="12" s="1"/>
  <c r="H81" i="105"/>
  <c r="H80" i="105"/>
  <c r="H67" i="105"/>
  <c r="D67" i="105"/>
  <c r="B66" i="105"/>
  <c r="L161" i="40"/>
  <c r="L176" i="40"/>
  <c r="L164" i="40"/>
  <c r="L145" i="40"/>
  <c r="L150" i="40"/>
  <c r="L136" i="40"/>
  <c r="L149" i="40"/>
  <c r="L162" i="40"/>
  <c r="L167" i="40"/>
  <c r="L152" i="40"/>
  <c r="L172" i="40"/>
  <c r="L155" i="40"/>
  <c r="L143" i="40"/>
  <c r="L168" i="40"/>
  <c r="L174" i="40"/>
  <c r="K175" i="40"/>
  <c r="K158" i="40"/>
  <c r="K137" i="40"/>
  <c r="K169" i="40"/>
  <c r="K163" i="40"/>
  <c r="K173" i="40"/>
  <c r="K156" i="40"/>
  <c r="K144" i="40"/>
  <c r="K166" i="40"/>
  <c r="K154" i="40"/>
  <c r="K148" i="40"/>
  <c r="K142" i="40"/>
  <c r="K157" i="40"/>
  <c r="K160" i="40"/>
  <c r="K140" i="40"/>
  <c r="K146" i="40"/>
  <c r="K139" i="40"/>
  <c r="Q64" i="12" l="1"/>
  <c r="P64" i="12" s="1"/>
  <c r="R11" i="12"/>
  <c r="R10" i="12"/>
  <c r="P9" i="12" s="1"/>
  <c r="P67" i="15"/>
  <c r="P72" i="15" s="1"/>
  <c r="P77" i="15" s="1"/>
  <c r="P82" i="15" s="1"/>
  <c r="P87" i="15" s="1"/>
  <c r="R67" i="15"/>
  <c r="R72" i="15" s="1"/>
  <c r="R77" i="15" s="1"/>
  <c r="R82" i="15" s="1"/>
  <c r="R87" i="15" s="1"/>
  <c r="Q67" i="15"/>
  <c r="Q72" i="15" s="1"/>
  <c r="Q77" i="15" s="1"/>
  <c r="Q82" i="15" s="1"/>
  <c r="Q87" i="15" s="1"/>
  <c r="L67" i="15"/>
  <c r="L72" i="15" s="1"/>
  <c r="L77" i="15" s="1"/>
  <c r="L82" i="15" s="1"/>
  <c r="L87" i="15" s="1"/>
  <c r="N67" i="15"/>
  <c r="N72" i="15" s="1"/>
  <c r="N77" i="15" s="1"/>
  <c r="N82" i="15" s="1"/>
  <c r="N87" i="15" s="1"/>
  <c r="O65" i="12"/>
  <c r="O111" i="12" s="1"/>
  <c r="N111" i="12"/>
  <c r="M67" i="15"/>
  <c r="M72" i="15" s="1"/>
  <c r="M77" i="15" s="1"/>
  <c r="M82" i="15" s="1"/>
  <c r="M87" i="15" s="1"/>
  <c r="O67" i="15"/>
  <c r="O72" i="15" s="1"/>
  <c r="O77" i="15" s="1"/>
  <c r="O82" i="15" s="1"/>
  <c r="O87" i="15" s="1"/>
  <c r="J72" i="15"/>
  <c r="J77" i="15" s="1"/>
  <c r="J82" i="15" s="1"/>
  <c r="J87" i="15" s="1"/>
  <c r="I67" i="15"/>
  <c r="I72" i="15" s="1"/>
  <c r="I77" i="15" s="1"/>
  <c r="I82" i="15" s="1"/>
  <c r="I87" i="15" s="1"/>
  <c r="K67" i="15"/>
  <c r="K72" i="15" s="1"/>
  <c r="K77" i="15" s="1"/>
  <c r="K82" i="15" s="1"/>
  <c r="K87" i="15" s="1"/>
  <c r="N97" i="15" s="1"/>
  <c r="P12" i="12"/>
  <c r="M34" i="12"/>
  <c r="M30" i="12"/>
  <c r="M33" i="12"/>
  <c r="M35" i="12"/>
  <c r="M31" i="12"/>
  <c r="Q18" i="12"/>
  <c r="M12" i="12"/>
  <c r="M14" i="12"/>
  <c r="M10" i="12"/>
  <c r="M13" i="12"/>
  <c r="M9" i="12"/>
  <c r="M26" i="12"/>
  <c r="M28" i="12"/>
  <c r="M24" i="12"/>
  <c r="M27" i="12"/>
  <c r="M23" i="12"/>
  <c r="M40" i="12"/>
  <c r="M42" i="12"/>
  <c r="M38" i="12"/>
  <c r="M41" i="12"/>
  <c r="M37" i="12"/>
  <c r="M63" i="12"/>
  <c r="M64" i="12"/>
  <c r="M20" i="12"/>
  <c r="M16" i="12"/>
  <c r="M19" i="12"/>
  <c r="M21" i="12"/>
  <c r="M17" i="12"/>
  <c r="Q17" i="12"/>
  <c r="M70" i="12"/>
  <c r="M69" i="12"/>
  <c r="M66" i="12"/>
  <c r="M71" i="12"/>
  <c r="M67" i="12"/>
  <c r="L139" i="40"/>
  <c r="L140" i="40"/>
  <c r="L157" i="40"/>
  <c r="L148" i="40"/>
  <c r="L166" i="40"/>
  <c r="L144" i="40"/>
  <c r="L173" i="40"/>
  <c r="L163" i="40"/>
  <c r="L158" i="40"/>
  <c r="L146" i="40"/>
  <c r="L160" i="40"/>
  <c r="L142" i="40"/>
  <c r="L154" i="40"/>
  <c r="L156" i="40"/>
  <c r="L169" i="40"/>
  <c r="L137" i="40"/>
  <c r="L175" i="40"/>
  <c r="S97" i="15" l="1"/>
  <c r="O97" i="15"/>
  <c r="P13" i="12"/>
  <c r="P14" i="12"/>
  <c r="P11" i="12"/>
  <c r="P10" i="12"/>
  <c r="P97" i="15"/>
  <c r="Q97" i="15"/>
  <c r="T97" i="15"/>
  <c r="L97" i="15"/>
  <c r="R97" i="15"/>
  <c r="U97" i="15"/>
  <c r="M97" i="15"/>
  <c r="N20" i="12"/>
  <c r="N16" i="12"/>
  <c r="N19" i="12"/>
  <c r="N21" i="12"/>
  <c r="N17" i="12"/>
  <c r="N64" i="12"/>
  <c r="N63" i="12"/>
  <c r="N34" i="12"/>
  <c r="N30" i="12"/>
  <c r="N33" i="12"/>
  <c r="N35" i="12"/>
  <c r="N31" i="12"/>
  <c r="N70" i="12"/>
  <c r="N67" i="12"/>
  <c r="N69" i="12"/>
  <c r="N71" i="12"/>
  <c r="N66" i="12"/>
  <c r="N40" i="12"/>
  <c r="N42" i="12"/>
  <c r="N38" i="12"/>
  <c r="N41" i="12"/>
  <c r="N37" i="12"/>
  <c r="N26" i="12"/>
  <c r="N28" i="12"/>
  <c r="N24" i="12"/>
  <c r="N27" i="12"/>
  <c r="N23" i="12"/>
  <c r="N12" i="12"/>
  <c r="N14" i="12"/>
  <c r="N10" i="12"/>
  <c r="N13" i="12"/>
  <c r="N9" i="12"/>
  <c r="O69" i="12" l="1"/>
  <c r="O71" i="12"/>
  <c r="O66" i="12"/>
  <c r="O70" i="12"/>
  <c r="O67" i="12"/>
  <c r="O33" i="12"/>
  <c r="O35" i="12"/>
  <c r="O31" i="12"/>
  <c r="O34" i="12"/>
  <c r="O30" i="12"/>
  <c r="O64" i="12"/>
  <c r="O63" i="12"/>
  <c r="O13" i="12"/>
  <c r="O9" i="12"/>
  <c r="O14" i="12"/>
  <c r="O12" i="12"/>
  <c r="O10" i="12"/>
  <c r="O27" i="12"/>
  <c r="O23" i="12"/>
  <c r="O26" i="12"/>
  <c r="O24" i="12"/>
  <c r="O28" i="12"/>
  <c r="O41" i="12"/>
  <c r="O37" i="12"/>
  <c r="O42" i="12"/>
  <c r="O40" i="12"/>
  <c r="O38" i="12"/>
  <c r="O19" i="12"/>
  <c r="O21" i="12"/>
  <c r="O17" i="12"/>
  <c r="O16" i="12"/>
  <c r="O20" i="12"/>
  <c r="U89" i="41" l="1"/>
  <c r="J89" i="41"/>
  <c r="K89" i="41" s="1"/>
  <c r="L8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M11" authorId="0" shapeId="0" xr:uid="{00000000-0006-0000-0800-000001000000}">
      <text>
        <r>
          <rPr>
            <sz val="8"/>
            <color indexed="81"/>
            <rFont val="Tahoma"/>
            <family val="2"/>
          </rPr>
          <t>Made 2045-2055 values constant to original values and then adjusted.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B38" authorId="0" shapeId="0" xr:uid="{00000000-0006-0000-0B00-000001000000}">
      <text>
        <r>
          <rPr>
            <b/>
            <sz val="8"/>
            <color indexed="81"/>
            <rFont val="Tahoma"/>
            <family val="2"/>
          </rPr>
          <t>Mountain into Mountain (see below), so not counted in the capacity above</t>
        </r>
      </text>
    </comment>
    <comment ref="B67" authorId="0" shapeId="0" xr:uid="{00000000-0006-0000-0B00-000002000000}">
      <text>
        <r>
          <rPr>
            <b/>
            <sz val="8"/>
            <color indexed="81"/>
            <rFont val="Tahoma"/>
            <family val="2"/>
          </rPr>
          <t>From AEO2008</t>
        </r>
      </text>
    </comment>
    <comment ref="C67" authorId="0" shapeId="0" xr:uid="{00000000-0006-0000-0B00-000003000000}">
      <text>
        <r>
          <rPr>
            <b/>
            <sz val="8"/>
            <color indexed="81"/>
            <rFont val="Tahoma"/>
            <family val="2"/>
          </rPr>
          <t>From AEO2012</t>
        </r>
        <r>
          <rPr>
            <sz val="8"/>
            <color indexed="81"/>
            <rFont val="Tahoma"/>
            <family val="2"/>
          </rPr>
          <t xml:space="preserve">
</t>
        </r>
      </text>
    </comment>
    <comment ref="N69" authorId="0" shapeId="0" xr:uid="{00000000-0006-0000-0B00-000004000000}">
      <text>
        <r>
          <rPr>
            <b/>
            <sz val="8"/>
            <color indexed="81"/>
            <rFont val="Tahoma"/>
            <family val="2"/>
          </rPr>
          <t>From AEO2008</t>
        </r>
      </text>
    </comment>
    <comment ref="O69" authorId="0" shapeId="0" xr:uid="{00000000-0006-0000-0B00-000005000000}">
      <text>
        <r>
          <rPr>
            <b/>
            <sz val="8"/>
            <color indexed="81"/>
            <rFont val="Tahoma"/>
            <family val="2"/>
          </rPr>
          <t>From AEO2012</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B33" authorId="0" shapeId="0" xr:uid="{00000000-0006-0000-1300-000001000000}">
      <text>
        <r>
          <rPr>
            <b/>
            <sz val="9"/>
            <color indexed="81"/>
            <rFont val="Tahoma"/>
            <family val="2"/>
          </rPr>
          <t>Isik, Mine:</t>
        </r>
        <r>
          <rPr>
            <sz val="9"/>
            <color indexed="81"/>
            <rFont val="Tahoma"/>
            <family val="2"/>
          </rPr>
          <t xml:space="preserve">
THIS VALUES ONLY REPRESENTS NYS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B3" authorId="0" shapeId="0" xr:uid="{00000000-0006-0000-1400-000001000000}">
      <text>
        <r>
          <rPr>
            <b/>
            <sz val="8"/>
            <color indexed="81"/>
            <rFont val="Tahoma"/>
            <family val="2"/>
          </rPr>
          <t xml:space="preserve">csl:  </t>
        </r>
        <r>
          <rPr>
            <sz val="8"/>
            <color indexed="81"/>
            <rFont val="Tahoma"/>
            <family val="2"/>
          </rPr>
          <t>2005 data from the AEO2007</t>
        </r>
      </text>
    </comment>
    <comment ref="C3" authorId="0" shapeId="0" xr:uid="{00000000-0006-0000-1400-000002000000}">
      <text>
        <r>
          <rPr>
            <b/>
            <sz val="8"/>
            <color indexed="81"/>
            <rFont val="Tahoma"/>
            <family val="2"/>
          </rPr>
          <t xml:space="preserve">csl: </t>
        </r>
        <r>
          <rPr>
            <sz val="8"/>
            <color indexed="81"/>
            <rFont val="Tahoma"/>
            <family val="2"/>
          </rPr>
          <t>Data for 2010 comes from the AEO2012</t>
        </r>
      </text>
    </comment>
    <comment ref="B61" authorId="0" shapeId="0" xr:uid="{00000000-0006-0000-1400-000003000000}">
      <text>
        <r>
          <rPr>
            <b/>
            <sz val="8"/>
            <color indexed="81"/>
            <rFont val="Tahoma"/>
            <family val="2"/>
          </rPr>
          <t xml:space="preserve">csl:  </t>
        </r>
        <r>
          <rPr>
            <sz val="8"/>
            <color indexed="81"/>
            <rFont val="Tahoma"/>
            <family val="2"/>
          </rPr>
          <t>2005 data from the AEO2007</t>
        </r>
      </text>
    </comment>
    <comment ref="C61" authorId="0" shapeId="0" xr:uid="{00000000-0006-0000-1400-000004000000}">
      <text>
        <r>
          <rPr>
            <b/>
            <sz val="8"/>
            <color indexed="81"/>
            <rFont val="Tahoma"/>
            <family val="2"/>
          </rPr>
          <t xml:space="preserve">csl: </t>
        </r>
        <r>
          <rPr>
            <sz val="8"/>
            <color indexed="81"/>
            <rFont val="Tahoma"/>
            <family val="2"/>
          </rPr>
          <t>Data for 2010 comes from the AEO2012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B3" authorId="0" shapeId="0" xr:uid="{00000000-0006-0000-1500-000001000000}">
      <text>
        <r>
          <rPr>
            <sz val="8"/>
            <color indexed="81"/>
            <rFont val="Tahoma"/>
            <family val="2"/>
          </rPr>
          <t>From 2007 AEO</t>
        </r>
      </text>
    </comment>
    <comment ref="C3" authorId="0" shapeId="0" xr:uid="{00000000-0006-0000-1500-000002000000}">
      <text>
        <r>
          <rPr>
            <sz val="8"/>
            <color indexed="81"/>
            <rFont val="Tahoma"/>
            <family val="2"/>
          </rPr>
          <t>From 2012 AEO</t>
        </r>
      </text>
    </comment>
    <comment ref="B24" authorId="0" shapeId="0" xr:uid="{00000000-0006-0000-1500-000003000000}">
      <text>
        <r>
          <rPr>
            <sz val="8"/>
            <color indexed="81"/>
            <rFont val="Tahoma"/>
            <family val="2"/>
          </rPr>
          <t>Price in 2005$</t>
        </r>
      </text>
    </comment>
    <comment ref="C24" authorId="0" shapeId="0" xr:uid="{00000000-0006-0000-1500-000004000000}">
      <text>
        <r>
          <rPr>
            <sz val="8"/>
            <color indexed="81"/>
            <rFont val="Tahoma"/>
            <family val="2"/>
          </rPr>
          <t>Price in 2010$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B5" authorId="0" shapeId="0" xr:uid="{00000000-0006-0000-1900-000001000000}">
      <text>
        <r>
          <rPr>
            <sz val="9"/>
            <color indexed="81"/>
            <rFont val="Tahoma"/>
            <family val="2"/>
          </rPr>
          <t>From AEO 2007, in $2005</t>
        </r>
        <r>
          <rPr>
            <sz val="8"/>
            <color indexed="81"/>
            <rFont val="Tahoma"/>
            <family val="2"/>
          </rPr>
          <t xml:space="preserve">
</t>
        </r>
      </text>
    </comment>
    <comment ref="C5" authorId="0" shapeId="0" xr:uid="{00000000-0006-0000-1900-000002000000}">
      <text>
        <r>
          <rPr>
            <sz val="10"/>
            <color indexed="81"/>
            <rFont val="Tahoma"/>
            <family val="2"/>
          </rPr>
          <t>From AEO 2012, in $2010</t>
        </r>
        <r>
          <rPr>
            <sz val="8"/>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Michael Wang</author>
    <author>Ozge Kaplan</author>
  </authors>
  <commentList>
    <comment ref="B40" authorId="0" shapeId="0" xr:uid="{00000000-0006-0000-2000-000001000000}">
      <text>
        <r>
          <rPr>
            <sz val="8"/>
            <color indexed="81"/>
            <rFont val="Tahoma"/>
            <family val="2"/>
          </rPr>
          <t>A NG loss rate of 0.35% is assumed for NG recovery.</t>
        </r>
      </text>
    </comment>
    <comment ref="C40" authorId="0" shapeId="0" xr:uid="{00000000-0006-0000-2000-000002000000}">
      <text>
        <r>
          <rPr>
            <sz val="8"/>
            <color indexed="81"/>
            <rFont val="Tahoma"/>
            <family val="2"/>
          </rPr>
          <t>A NG loss rate of 0.15% is assumed for NG processing.</t>
        </r>
      </text>
    </comment>
    <comment ref="E40" authorId="0" shapeId="0" xr:uid="{00000000-0006-0000-2000-000003000000}">
      <text>
        <r>
          <rPr>
            <sz val="8"/>
            <color indexed="81"/>
            <rFont val="Tahoma"/>
            <family val="2"/>
          </rPr>
          <t>CH4 leakage is a function of pipeline transmission distance.</t>
        </r>
      </text>
    </comment>
    <comment ref="A125" authorId="1" shapeId="0" xr:uid="{00000000-0006-0000-2000-000004000000}">
      <text>
        <r>
          <rPr>
            <b/>
            <sz val="8"/>
            <color indexed="81"/>
            <rFont val="Tahoma"/>
            <family val="2"/>
          </rPr>
          <t>Ozge Kaplan:</t>
        </r>
        <r>
          <rPr>
            <sz val="8"/>
            <color indexed="81"/>
            <rFont val="Tahoma"/>
            <family val="2"/>
          </rPr>
          <t xml:space="preserve">
this number is what Jaramillo et al assumed.
</t>
        </r>
      </text>
    </comment>
  </commentList>
</comments>
</file>

<file path=xl/sharedStrings.xml><?xml version="1.0" encoding="utf-8"?>
<sst xmlns="http://schemas.openxmlformats.org/spreadsheetml/2006/main" count="3318" uniqueCount="1709">
  <si>
    <t>MINNGAD1</t>
  </si>
  <si>
    <t>MINNGAD2</t>
  </si>
  <si>
    <t>MINNGAD3</t>
  </si>
  <si>
    <t>MINNGAD4</t>
  </si>
  <si>
    <t>MINNGAD5</t>
  </si>
  <si>
    <t>MINNGAD6</t>
  </si>
  <si>
    <t>Oil</t>
  </si>
  <si>
    <t>Description</t>
  </si>
  <si>
    <t>Alaska</t>
  </si>
  <si>
    <t>Canada</t>
  </si>
  <si>
    <t>NE</t>
  </si>
  <si>
    <t>AT</t>
  </si>
  <si>
    <t xml:space="preserve">   Everett, MA</t>
  </si>
  <si>
    <t xml:space="preserve">   Cove Point, MD</t>
  </si>
  <si>
    <t xml:space="preserve">   Elba Island, GA</t>
  </si>
  <si>
    <t xml:space="preserve">   Lake Charles, LA</t>
  </si>
  <si>
    <t xml:space="preserve">   New England</t>
  </si>
  <si>
    <t xml:space="preserve">   Middle Atlantic</t>
  </si>
  <si>
    <t xml:space="preserve">   South Atlantic</t>
  </si>
  <si>
    <t xml:space="preserve">   East South Central</t>
  </si>
  <si>
    <t xml:space="preserve">   West South Central</t>
  </si>
  <si>
    <t xml:space="preserve">   Washington/Oregon</t>
  </si>
  <si>
    <t xml:space="preserve">   California</t>
  </si>
  <si>
    <t>2006</t>
  </si>
  <si>
    <t>2007</t>
  </si>
  <si>
    <t>2008</t>
  </si>
  <si>
    <t>2009</t>
  </si>
  <si>
    <t>2011</t>
  </si>
  <si>
    <t>2012</t>
  </si>
  <si>
    <t>Liquefied Natural Gas Imports</t>
  </si>
  <si>
    <t xml:space="preserve">  Middle Atlantic</t>
  </si>
  <si>
    <t xml:space="preserve">  East North Central</t>
  </si>
  <si>
    <t xml:space="preserve">  South Atlantic</t>
  </si>
  <si>
    <t xml:space="preserve">  West North Central</t>
  </si>
  <si>
    <t xml:space="preserve">  East South Central</t>
  </si>
  <si>
    <t xml:space="preserve">  West South Central</t>
  </si>
  <si>
    <t xml:space="preserve">  Mountain</t>
  </si>
  <si>
    <t xml:space="preserve">  Pacific</t>
  </si>
  <si>
    <t xml:space="preserve"> NEMS Output Table  76.  Natural Gas Imports and Exports (bottom portion)</t>
  </si>
  <si>
    <t xml:space="preserve">            (trillion cubic feet per year)</t>
  </si>
  <si>
    <t xml:space="preserve">     Total</t>
  </si>
  <si>
    <t xml:space="preserve">   Baja to United States</t>
  </si>
  <si>
    <t xml:space="preserve">   Bahamas to United States</t>
  </si>
  <si>
    <t xml:space="preserve">   Imports to Canada</t>
  </si>
  <si>
    <t>End of Year Liquefied Natural Gas Capacity</t>
  </si>
  <si>
    <t xml:space="preserve"> Residential</t>
  </si>
  <si>
    <t xml:space="preserve"> Commercial</t>
  </si>
  <si>
    <t>Region</t>
  </si>
  <si>
    <t xml:space="preserve"> Industrial</t>
  </si>
  <si>
    <t xml:space="preserve"> Electric Power</t>
  </si>
  <si>
    <t xml:space="preserve"> Transportation</t>
  </si>
  <si>
    <t>2003</t>
  </si>
  <si>
    <t>2004</t>
  </si>
  <si>
    <t xml:space="preserve">  New England</t>
  </si>
  <si>
    <t xml:space="preserve">    Total</t>
  </si>
  <si>
    <t xml:space="preserve">  United States (Pipeline Imports)</t>
  </si>
  <si>
    <t xml:space="preserve">  United States (Pipeline Exports)</t>
  </si>
  <si>
    <t>M</t>
  </si>
  <si>
    <t>Total</t>
  </si>
  <si>
    <t>C</t>
  </si>
  <si>
    <t>NG Pipeline Expansion Cost Data (NEMS ngptar input file)</t>
  </si>
  <si>
    <t xml:space="preserve"> Source: Foster Associates, "Capital Costs for Gas Pipeline and Storage Project</t>
  </si>
  <si>
    <t xml:space="preserve">                 Expansions, May 1999.  Anayst judgement.</t>
  </si>
  <si>
    <t xml:space="preserve"> Derivation:    </t>
  </si>
  <si>
    <t xml:space="preserve">     Units:  fraction</t>
  </si>
  <si>
    <t xml:space="preserve">     Variables: PCNT_C -- Average percentage (fraction) for compressor costs (read but not used)</t>
  </si>
  <si>
    <t xml:space="preserve">                PCNT_L -- Average percentage (fraction) for looping costs (read but not used)</t>
  </si>
  <si>
    <t xml:space="preserve">                PCNT_N -- Average percentage (fraction) for new pipeline costs (read but not used)</t>
  </si>
  <si>
    <t xml:space="preserve">                PCNT_R -- Assumed average percentage (fraction) for replacement costs </t>
  </si>
  <si>
    <t xml:space="preserve">                MILE_FAC --Factor to compute effective or real mileage (read but not used)</t>
  </si>
  <si>
    <t>DOCUMENTATION UPDATES:  DATE--AUTHOR--COMMENT</t>
  </si>
  <si>
    <t>-------------------------------------------------------------------------------</t>
  </si>
  <si>
    <t>NOTES:  Used to generate average cost ($/Mcf-mile) for capacity expansion cost by arc.</t>
  </si>
  <si>
    <t xml:space="preserve">        The sum of PCNT_C, PCNT_L, and PCNT_N must equal 1. These parameters were no longer</t>
  </si>
  <si>
    <t xml:space="preserve">        used in aeo2007.  Only, PCNT_R was read-in.</t>
  </si>
  <si>
    <t>PCNT_C,</t>
  </si>
  <si>
    <t>PCNT_L,</t>
  </si>
  <si>
    <t>PCNT_N,</t>
  </si>
  <si>
    <t>PCNT_R,</t>
  </si>
  <si>
    <t>MILE_FAC,</t>
  </si>
  <si>
    <t>@</t>
  </si>
  <si>
    <t>===============================================================================</t>
  </si>
  <si>
    <t>Data:  Parameters for Capital Costs for Pipeline Expansion by arc.</t>
  </si>
  <si>
    <t xml:space="preserve">              1998 Average Tariffs will not be used.  CCOST1 and CCOST2 will not be used.</t>
  </si>
  <si>
    <t xml:space="preserve">              Geographical Mileage by arc.</t>
  </si>
  <si>
    <t xml:space="preserve">     Source: Foster Associates, "Capital Costs for Gas Pipeline and Storage Project</t>
  </si>
  <si>
    <t xml:space="preserve">                 Expansions, May 1999</t>
  </si>
  <si>
    <t xml:space="preserve"> Derivation:</t>
  </si>
  <si>
    <t xml:space="preserve">      Units:  Capital Costs in 1998$-day per (Mcf-Mile);</t>
  </si>
  <si>
    <t xml:space="preserve">              Average Tariff in 1998$/Mcf</t>
  </si>
  <si>
    <t xml:space="preserve">              Mileage in Miles;</t>
  </si>
  <si>
    <t xml:space="preserve">      Notes:</t>
  </si>
  <si>
    <t xml:space="preserve">  Variables:  MILES    -- Length of an arc</t>
  </si>
  <si>
    <t xml:space="preserve">              CC_COMPR  -- Capital Cost for Compression</t>
  </si>
  <si>
    <t xml:space="preserve">              CC_LOOPI  -- Capital Cost for Looping</t>
  </si>
  <si>
    <t xml:space="preserve">              CC_NEWPI  -- Capital Cost for New Pipeline</t>
  </si>
  <si>
    <t>Start Region</t>
  </si>
  <si>
    <t>End Region</t>
  </si>
  <si>
    <t>Capital Cost for Capacity Expansion</t>
  </si>
  <si>
    <t>MILES</t>
  </si>
  <si>
    <t>CC_COMP</t>
  </si>
  <si>
    <t>CC_LOOP</t>
  </si>
  <si>
    <t>CC_NEWP</t>
  </si>
  <si>
    <t>M 2000$/PJ /a</t>
  </si>
  <si>
    <t>R from</t>
  </si>
  <si>
    <t>R to</t>
  </si>
  <si>
    <t>NGTDM network</t>
  </si>
  <si>
    <t>In order to access North Slope Alaska and Mackenzie Delta supplies, the following pipelines must be built. The gas will then be ready to import from Alberta (split to all import regions except New England (Shares Rows 35-38)</t>
  </si>
  <si>
    <t>Note: I can't find where the North Slope Alaska supply is hooked to the supply techs, so I've just indicated the line of the Shares sheet that applies</t>
  </si>
  <si>
    <t>Supply accessed</t>
  </si>
  <si>
    <t>Cap. Cost (from NEMS)</t>
  </si>
  <si>
    <t>Capacity (from NEMS)</t>
  </si>
  <si>
    <t>Expansion potential (from NEMS)</t>
  </si>
  <si>
    <t>B2004$</t>
  </si>
  <si>
    <t>Bcf/day</t>
  </si>
  <si>
    <t>%</t>
  </si>
  <si>
    <t>North Slope Alaska</t>
  </si>
  <si>
    <t>see Shares Row 20</t>
  </si>
  <si>
    <t>Mackenzie Delta</t>
  </si>
  <si>
    <t>From Assumptions to AEO 2006, page 104</t>
  </si>
  <si>
    <t>Source: Energy Information Administration, Office of Integrated Analysis and Forecasting. Alaska pipeline data are partially</t>
  </si>
  <si>
    <t>based on information from British Petroleum/ExxonMobil/Conoco Phillips and reflect assumed impact on Alaska pipeline finances</t>
  </si>
  <si>
    <t>as a result of the American Jobs Creation Act of 2004 and the Military Construction Appropriations Act, 2004.</t>
  </si>
  <si>
    <t>CommUnit</t>
  </si>
  <si>
    <t>Comment</t>
  </si>
  <si>
    <t>TACTUnit</t>
  </si>
  <si>
    <t>TCAPUnit</t>
  </si>
  <si>
    <t>Set Memberships</t>
  </si>
  <si>
    <t>CommName</t>
  </si>
  <si>
    <t>CommDesc</t>
  </si>
  <si>
    <t>TechName</t>
  </si>
  <si>
    <t>TechDesc</t>
  </si>
  <si>
    <t>Units</t>
  </si>
  <si>
    <t>CommIN</t>
  </si>
  <si>
    <t>CommOUT</t>
  </si>
  <si>
    <t>ConstrName</t>
  </si>
  <si>
    <t>ConstrDesc</t>
  </si>
  <si>
    <t>ANSWER-Commodities</t>
  </si>
  <si>
    <t>ANSWER-Technologies</t>
  </si>
  <si>
    <t>ANSWER-Constraints</t>
  </si>
  <si>
    <t>ANSWER-CommData</t>
  </si>
  <si>
    <t>ANSWER-TechData</t>
  </si>
  <si>
    <t>ANSWER-ConstrData</t>
  </si>
  <si>
    <t>Commodities</t>
  </si>
  <si>
    <t>PJ</t>
  </si>
  <si>
    <t>R0</t>
  </si>
  <si>
    <t>* Natural Gas Supply Commodities - Domestic and Imported</t>
  </si>
  <si>
    <t>NGA</t>
  </si>
  <si>
    <t>Natural Gas</t>
  </si>
  <si>
    <t>NGAD</t>
  </si>
  <si>
    <t>Domestic Natural Gas</t>
  </si>
  <si>
    <t>NGAD0</t>
  </si>
  <si>
    <t>NGL</t>
  </si>
  <si>
    <t>Natural Gas Liquids</t>
  </si>
  <si>
    <t>NGAC</t>
  </si>
  <si>
    <t>NGAM</t>
  </si>
  <si>
    <t>NGAL</t>
  </si>
  <si>
    <t>R0,R1</t>
  </si>
  <si>
    <t>R0,R4</t>
  </si>
  <si>
    <t>R0,R5</t>
  </si>
  <si>
    <t>R1</t>
  </si>
  <si>
    <t>NGLR2</t>
  </si>
  <si>
    <t>Traded natural gas plant liquids from R2</t>
  </si>
  <si>
    <t>NGLR3</t>
  </si>
  <si>
    <t>Traded natural gas plant liquids from R3</t>
  </si>
  <si>
    <t>R3</t>
  </si>
  <si>
    <t>NGLR4</t>
  </si>
  <si>
    <t>Traded natural gas plant liquids from R4</t>
  </si>
  <si>
    <t>R2</t>
  </si>
  <si>
    <t>NGLR5</t>
  </si>
  <si>
    <t>Traded natural gas plant liquids from R5</t>
  </si>
  <si>
    <t>NGLR6</t>
  </si>
  <si>
    <t>Traded natural gas plant liquids from R6</t>
  </si>
  <si>
    <t>* Natural Gas End-Use Commodities</t>
  </si>
  <si>
    <t>RESNGA</t>
  </si>
  <si>
    <t>Natural gas to Residential sector</t>
  </si>
  <si>
    <t>COMNGA</t>
  </si>
  <si>
    <t>Natural gas to Commercial sector</t>
  </si>
  <si>
    <t>INDNGA</t>
  </si>
  <si>
    <t>Natural gas to Industrial sector</t>
  </si>
  <si>
    <t>ELCNGA</t>
  </si>
  <si>
    <t>Natural gas to Electricity generation</t>
  </si>
  <si>
    <t>TRNNGA</t>
  </si>
  <si>
    <t>Natural gas to Transportation sector</t>
  </si>
  <si>
    <t>NGAR2</t>
  </si>
  <si>
    <t>NGAR3</t>
  </si>
  <si>
    <t>NGAR4</t>
  </si>
  <si>
    <t>NGAR5</t>
  </si>
  <si>
    <t>NGAR6</t>
  </si>
  <si>
    <t>GSR</t>
  </si>
  <si>
    <t>LPG</t>
  </si>
  <si>
    <t>PFS</t>
  </si>
  <si>
    <t>Technologies</t>
  </si>
  <si>
    <t>PJ/a</t>
  </si>
  <si>
    <t>TCH,SRCENCP,SEP_EXP</t>
  </si>
  <si>
    <t>R5</t>
  </si>
  <si>
    <t>R4</t>
  </si>
  <si>
    <t>R6</t>
  </si>
  <si>
    <t>R7</t>
  </si>
  <si>
    <t>R8</t>
  </si>
  <si>
    <t>R9</t>
  </si>
  <si>
    <t>Domestic natural gas - step 1</t>
  </si>
  <si>
    <t>Domestic natural gas - step 2</t>
  </si>
  <si>
    <t>Domestic natural gas - step 3</t>
  </si>
  <si>
    <t>Domestic natural gas - step 4</t>
  </si>
  <si>
    <t>Domestic natural gas - step 5</t>
  </si>
  <si>
    <t>Domestic natural gas - step 6</t>
  </si>
  <si>
    <t>SCMINNGAD</t>
  </si>
  <si>
    <t>Collector: MINNGAD</t>
  </si>
  <si>
    <t>*Imported natural gas supply and transport</t>
  </si>
  <si>
    <t>Imported natural gas from Canada - Step 1</t>
  </si>
  <si>
    <t>IMPNGACB</t>
  </si>
  <si>
    <t>Imported natural gas from Canada - Step 2</t>
  </si>
  <si>
    <t>IMPNGALA</t>
  </si>
  <si>
    <t>Imported LNG - Step A</t>
  </si>
  <si>
    <t>IMPNGALB</t>
  </si>
  <si>
    <t>Imported LNG - Step B</t>
  </si>
  <si>
    <t>IMPNGALC</t>
  </si>
  <si>
    <t>Imported LNG - Step C</t>
  </si>
  <si>
    <t>Share of Imported LNG to Existing Terminals</t>
  </si>
  <si>
    <t>*Imported natural gas export from R0</t>
  </si>
  <si>
    <t>*Imported natural gas imports to demand region</t>
  </si>
  <si>
    <t>* Domestic natural gas delivery costs to end-use demands</t>
  </si>
  <si>
    <t>Domestic natural gas to residential end-use</t>
  </si>
  <si>
    <t>Domestic natural gas to commercial end-use</t>
  </si>
  <si>
    <t>Domestic natural gas to electricity generation</t>
  </si>
  <si>
    <t>Domestic natural gas to transportation end-use</t>
  </si>
  <si>
    <t>* Imported natural gas Pipeline technologies</t>
  </si>
  <si>
    <t>TechData</t>
  </si>
  <si>
    <t>*Imported Natural Gas supply</t>
  </si>
  <si>
    <t>*R0</t>
  </si>
  <si>
    <t>*</t>
  </si>
  <si>
    <t>CUM</t>
  </si>
  <si>
    <t>AF</t>
  </si>
  <si>
    <t>2005</t>
  </si>
  <si>
    <t>2010</t>
  </si>
  <si>
    <t>2015</t>
  </si>
  <si>
    <t>2020</t>
  </si>
  <si>
    <t>2025</t>
  </si>
  <si>
    <t>2030</t>
  </si>
  <si>
    <t>2035</t>
  </si>
  <si>
    <t>2040</t>
  </si>
  <si>
    <t>BOUND(UP)</t>
  </si>
  <si>
    <t>*Domestic natural gas infrastructure</t>
  </si>
  <si>
    <t>*Domestic natural gas delivery to end-uses</t>
  </si>
  <si>
    <t>Conversion Factors</t>
  </si>
  <si>
    <t>MMBTU</t>
  </si>
  <si>
    <t>Quad=</t>
  </si>
  <si>
    <t>kwh=</t>
  </si>
  <si>
    <t>BTU</t>
  </si>
  <si>
    <t xml:space="preserve">NIPA Table 1.1.9. Implicit Price Deflators for Gross Domestic Product                                                                                                                                                                                          </t>
  </si>
  <si>
    <t>Year</t>
  </si>
  <si>
    <t>Deflator</t>
  </si>
  <si>
    <t>Annual</t>
  </si>
  <si>
    <t>MMBtu per cf</t>
  </si>
  <si>
    <t>Natural gas</t>
  </si>
  <si>
    <t>California</t>
  </si>
  <si>
    <t>Florida</t>
  </si>
  <si>
    <t>Steps</t>
  </si>
  <si>
    <t>IMPNGAC1</t>
  </si>
  <si>
    <t>IMPNGAC2</t>
  </si>
  <si>
    <t>IMPNGAC3</t>
  </si>
  <si>
    <t>Imported natural gas from Canada - Step 3</t>
  </si>
  <si>
    <t>IMPNGAC4</t>
  </si>
  <si>
    <t>Imported natural gas from Canada - Step 4</t>
  </si>
  <si>
    <t>IMPNGAC5</t>
  </si>
  <si>
    <t>Imported natural gas from Canada - Step 5</t>
  </si>
  <si>
    <t>IMPNGAC6</t>
  </si>
  <si>
    <t>Imported natural gas from Canada - Step 6</t>
  </si>
  <si>
    <t>Table 1B. GREET Production Emissions Factors with Nonroad Sources Excluded, ktonnes/Petajoule</t>
  </si>
  <si>
    <t>Resource</t>
  </si>
  <si>
    <t>Extraction Description</t>
  </si>
  <si>
    <t>VOC</t>
  </si>
  <si>
    <t>CO</t>
  </si>
  <si>
    <t>OC</t>
  </si>
  <si>
    <t>Crude for Use in U.S. Refineries (no oil sands)</t>
  </si>
  <si>
    <t>ktonnes/Petajoule</t>
  </si>
  <si>
    <t>Coal</t>
  </si>
  <si>
    <t>Mining and Cleaning</t>
  </si>
  <si>
    <t>Recovery</t>
  </si>
  <si>
    <t>na</t>
  </si>
  <si>
    <t>Processing: Combustion</t>
  </si>
  <si>
    <t>Processing: Non-Combustion</t>
  </si>
  <si>
    <t>Natural Gas Total</t>
  </si>
  <si>
    <t>Uranium</t>
  </si>
  <si>
    <t>Mining</t>
  </si>
  <si>
    <t>Ore Transportation</t>
  </si>
  <si>
    <t>Enrichment</t>
  </si>
  <si>
    <t>Conversion, Fabrication, &amp; Waste Storage</t>
  </si>
  <si>
    <t>Uranium Total</t>
  </si>
  <si>
    <t>From GREET 1.8</t>
  </si>
  <si>
    <t>Natural Gas as a Processing Fuel (produced in North America)</t>
  </si>
  <si>
    <t>NG Recovery</t>
  </si>
  <si>
    <t>NG Processing</t>
  </si>
  <si>
    <t>NG Processing: Non-Combustion Emissions</t>
  </si>
  <si>
    <t>NG Transmission and Distribution</t>
  </si>
  <si>
    <t>Energy efficiency</t>
  </si>
  <si>
    <t>Urban emission share</t>
  </si>
  <si>
    <t>Loss factor</t>
  </si>
  <si>
    <t>Total emissions: grams/mmBtu of fuel throughput</t>
  </si>
  <si>
    <t>kT/PJ</t>
  </si>
  <si>
    <t xml:space="preserve">     VOC</t>
  </si>
  <si>
    <t xml:space="preserve">     CO</t>
  </si>
  <si>
    <t xml:space="preserve">     NOx</t>
  </si>
  <si>
    <t xml:space="preserve">     PM10</t>
  </si>
  <si>
    <t xml:space="preserve">     PM2.5</t>
  </si>
  <si>
    <t xml:space="preserve">     SOx</t>
  </si>
  <si>
    <t xml:space="preserve">     CH4: combustion</t>
  </si>
  <si>
    <t xml:space="preserve">     N2O</t>
  </si>
  <si>
    <t xml:space="preserve">     CO2</t>
  </si>
  <si>
    <t xml:space="preserve">     CH4: leakage</t>
  </si>
  <si>
    <t xml:space="preserve">     VOC evaporation</t>
  </si>
  <si>
    <t xml:space="preserve">     Misc. Items</t>
  </si>
  <si>
    <t>Distribution emissions (from column F, transposed)</t>
  </si>
  <si>
    <t>NOX</t>
  </si>
  <si>
    <t>PM10</t>
  </si>
  <si>
    <t>PM25</t>
  </si>
  <si>
    <t>SO2</t>
  </si>
  <si>
    <t>CH4</t>
  </si>
  <si>
    <t>N2O</t>
  </si>
  <si>
    <t>CO2</t>
  </si>
  <si>
    <t>BC</t>
  </si>
  <si>
    <t>From the 2012 US EPA greenhouse gas inventory: http://epa.gov/climatechange/emissions/downloads12/3.%20Energy.pdf</t>
  </si>
  <si>
    <t>CH4 emissions by source for Natural Gas Systems (Gg=Ktonne)</t>
  </si>
  <si>
    <t>EF</t>
  </si>
  <si>
    <t>Field production</t>
  </si>
  <si>
    <t>Processing</t>
  </si>
  <si>
    <t>Transmission and storage</t>
  </si>
  <si>
    <t>Distribution</t>
  </si>
  <si>
    <t>2006 estimate of natural gas production from EIA: http://www.eia.gov/dnav/ng/ng_sum_lsum_dcu_nus_a.htm</t>
  </si>
  <si>
    <t>Dry production</t>
  </si>
  <si>
    <t>million cubic feet</t>
  </si>
  <si>
    <t>Equivalent in PJ</t>
  </si>
  <si>
    <t>NGAD2</t>
  </si>
  <si>
    <t>NGAD3</t>
  </si>
  <si>
    <t>NGAD4</t>
  </si>
  <si>
    <t>NGAD5</t>
  </si>
  <si>
    <t>NGAD6</t>
  </si>
  <si>
    <t>Lower 48 Natural Gas Production and Wellhead Prices by Supply Region, Reference case</t>
  </si>
  <si>
    <t>Dry Production (trillion cubic feet) 1/</t>
  </si>
  <si>
    <t> Lower 48 Total</t>
  </si>
  <si>
    <t> Lower 48 Onshore</t>
  </si>
  <si>
    <t>   Northeast</t>
  </si>
  <si>
    <t>   Gulf Coast</t>
  </si>
  <si>
    <t>   Midcontinent</t>
  </si>
  <si>
    <t>   Southwest</t>
  </si>
  <si>
    <t>   Rocky Mountain</t>
  </si>
  <si>
    <t>   West Coast</t>
  </si>
  <si>
    <t> Lower 48 Offshore</t>
  </si>
  <si>
    <t>   Gulf</t>
  </si>
  <si>
    <t>     Shallow</t>
  </si>
  <si>
    <t>     Deep</t>
  </si>
  <si>
    <t>   Pacific</t>
  </si>
  <si>
    <t>   Atlantic</t>
  </si>
  <si>
    <t>Prices</t>
  </si>
  <si>
    <t>      Northeast</t>
  </si>
  <si>
    <t>      Gulf Coast</t>
  </si>
  <si>
    <t>      Midcontinent</t>
  </si>
  <si>
    <t>      Southwest</t>
  </si>
  <si>
    <t>      Rocky Mountain</t>
  </si>
  <si>
    <t>      West Coast</t>
  </si>
  <si>
    <t>      Gulf</t>
  </si>
  <si>
    <t>      Pacific</t>
  </si>
  <si>
    <t>      Atlantic</t>
  </si>
  <si>
    <t>   1/ Marketed production (wet) minus extraction losses.</t>
  </si>
  <si>
    <t>   - - = Not applicable.</t>
  </si>
  <si>
    <t>   Note:  Oil and Gas Supply Model regions are defined in Appendix F of the Annual Energy Outlook.  Totals may not equal sum of</t>
  </si>
  <si>
    <t>components due to independent rounding.</t>
  </si>
  <si>
    <t>Growth 2040+</t>
  </si>
  <si>
    <t>US Department of Commerce: Bureau of Economic Analysis</t>
  </si>
  <si>
    <t>http://www.bea.gov/national/nipaweb/SelectTable.asp?Selected=Y</t>
  </si>
  <si>
    <t>Supply Curve Steps</t>
  </si>
  <si>
    <t>Quantity</t>
  </si>
  <si>
    <t>Natural Gas Imports and Exports, Reference case</t>
  </si>
  <si>
    <t>Volumes and Prices</t>
  </si>
  <si>
    <t>Volumes (trillion cubic feet)</t>
  </si>
  <si>
    <t> Net Imports</t>
  </si>
  <si>
    <t> Imports</t>
  </si>
  <si>
    <t>   Pipeline Imports from Canada</t>
  </si>
  <si>
    <t>   Pipeline Imports from Mexico</t>
  </si>
  <si>
    <t>   Pipeline Imports from Bahamas</t>
  </si>
  <si>
    <t>   Liquefied Natural Gas Imports 1/</t>
  </si>
  <si>
    <t> Exports</t>
  </si>
  <si>
    <t>   Pipeline Exports to Canada</t>
  </si>
  <si>
    <t>   Pipeline Exports to Mexico</t>
  </si>
  <si>
    <t>   Liquefied Natural Gas Exports 2/</t>
  </si>
  <si>
    <t>   Canada</t>
  </si>
  <si>
    <t>   Mexico</t>
  </si>
  <si>
    <t>   Bahamas</t>
  </si>
  <si>
    <t>   Liquefied Natural Gas</t>
  </si>
  <si>
    <t>Border Prices</t>
  </si>
  <si>
    <t>   Average Import Price</t>
  </si>
  <si>
    <t>      Pipeline Import Prices</t>
  </si>
  <si>
    <t>         From Canada</t>
  </si>
  <si>
    <t>         From Mexico</t>
  </si>
  <si>
    <t>         From Bahamas</t>
  </si>
  <si>
    <t>      LNG Price (including regasification)</t>
  </si>
  <si>
    <t>   LNG = Liquefied natural gas.</t>
  </si>
  <si>
    <t>Office of Energy Analysis.  Projections:  EIA, AEO2012 National Energy Modeling System.</t>
  </si>
  <si>
    <t>Oil and Gas Supply, Reference case</t>
  </si>
  <si>
    <t>Production and Supply</t>
  </si>
  <si>
    <t>Dry Production (trillion cubic feet) 4/</t>
  </si>
  <si>
    <t>   Alaska</t>
  </si>
  <si>
    <t>Date</t>
  </si>
  <si>
    <t>Alaska Dry Natural Gas Production (Million Cubic Feet)</t>
  </si>
  <si>
    <t>Louisiana Dry Natural Gas Production (Million Cubic Feet)</t>
  </si>
  <si>
    <t>Federal Offshore--Gulf of Mexico Dry Natural Gas Production  (Million Cubic Feet)</t>
  </si>
  <si>
    <t>New Mexico Dry Natural Gas Production (Million Cubic Feet)</t>
  </si>
  <si>
    <t>Oklahoma Dry Natural Gas Production (Million Cubic Feet)</t>
  </si>
  <si>
    <t>Texas Dry Natural Gas Production (Million Cubic Feet)</t>
  </si>
  <si>
    <t>Wyoming Dry Natural Gas Production (Million Cubic Feet)</t>
  </si>
  <si>
    <t>Alabama Dry Natural Gas Production (Million Cubic Feet)</t>
  </si>
  <si>
    <t>Arizona Dry Natural Gas Production (Million Cubic Feet)</t>
  </si>
  <si>
    <t>Arkansas Dry Natural Gas Production (Million Cubic Feet)</t>
  </si>
  <si>
    <t>California Dry Natural Gas Production (Million Cubic Feet)</t>
  </si>
  <si>
    <t>Colorado Dry Natural Gas Production (Million Cubic Feet)</t>
  </si>
  <si>
    <t>Florida Dry Natural Gas Production (Million Cubic Feet)</t>
  </si>
  <si>
    <t>Illinois Dry Natural Gas Production (Million Cubic Feet)</t>
  </si>
  <si>
    <t>Indiana Dry Natural Gas Production (Million Cubic Feet)</t>
  </si>
  <si>
    <t>Kansas Dry Natural Gas Production (Million Cubic Feet)</t>
  </si>
  <si>
    <t>Kentucky Dry Natural Gas Production (Million Cubic Feet)</t>
  </si>
  <si>
    <t>Maryland Dry Natural Gas Production (Million Cubic Feet)</t>
  </si>
  <si>
    <t>Michigan Dry Natural Gas Production (Million Cubic Feet)</t>
  </si>
  <si>
    <t>Mississippi Dry Natural Gas Production (Million Cubic Feet)</t>
  </si>
  <si>
    <t>Montana Dry Natural Gas Production (Million Cubic Feet)</t>
  </si>
  <si>
    <t>Nebraska Dry Natural Gas Production (Million Cubic Feet)</t>
  </si>
  <si>
    <t>Nevada Dry Natural Gas Production (Million Cubic Feet)</t>
  </si>
  <si>
    <t>New York Dry Natural Gas Production (Million Cubic Feet)</t>
  </si>
  <si>
    <t>North Dakota Dry Natural Gas Production (Million Cubic Feet)</t>
  </si>
  <si>
    <t>Ohio Dry Natural Gas Production (Million Cubic Feet)</t>
  </si>
  <si>
    <t>Oregon Dry Natural Gas Production (Million Cubic Feet)</t>
  </si>
  <si>
    <t>Pennsylvania Dry Natural Gas Production (Million Cubic Feet)</t>
  </si>
  <si>
    <t>South Dakota Dry Natural Gas Production (Million Cubic Feet)</t>
  </si>
  <si>
    <t>Tennessee Dry Natural Gas Production (Million Cubic Feet)</t>
  </si>
  <si>
    <t>Utah Dry Natural Gas Production (Million Cubic Feet)</t>
  </si>
  <si>
    <t>Virginia Dry Natural Gas Production (Million Cubic Feet)</t>
  </si>
  <si>
    <t>West Virginia Dry Natural Gas Production (Million Cubic Feet)</t>
  </si>
  <si>
    <t>U.S. Dry Natural Gas Production (MMcf)</t>
  </si>
  <si>
    <t>Click worksheet name or tab at bottom for data</t>
  </si>
  <si>
    <t>Worksheet Name</t>
  </si>
  <si>
    <t># Of Series</t>
  </si>
  <si>
    <t>Frequency</t>
  </si>
  <si>
    <t>Latest Data for</t>
  </si>
  <si>
    <t>Data 1</t>
  </si>
  <si>
    <t>6/30/1967</t>
  </si>
  <si>
    <t>Release Date:</t>
  </si>
  <si>
    <t>8/31/2012</t>
  </si>
  <si>
    <t>Next Release Date:</t>
  </si>
  <si>
    <t>9/28/2012</t>
  </si>
  <si>
    <t>Excel File Name:</t>
  </si>
  <si>
    <t>Available from Web Page:</t>
  </si>
  <si>
    <t>Source:</t>
  </si>
  <si>
    <t>Energy Information Administration</t>
  </si>
  <si>
    <t>For Help, Contact:</t>
  </si>
  <si>
    <t>infoctr@eia.gov</t>
  </si>
  <si>
    <t>(202) 586-8800</t>
  </si>
  <si>
    <t>8/30/2012 2:29:48 PM</t>
  </si>
  <si>
    <t>Natural Gas Gross Withdrawals and Production</t>
  </si>
  <si>
    <t>ng_prod_sum_dcu_nus_a.xls</t>
  </si>
  <si>
    <t>http://www.eia.gov/dnav/ng/ng_prod_sum_dcu_nus_a.htm</t>
  </si>
  <si>
    <t>Workbook Source (EIA)</t>
  </si>
  <si>
    <t>* Volume in million cubic feet</t>
  </si>
  <si>
    <t>Reserves by Region</t>
  </si>
  <si>
    <t>Reserves PJ</t>
  </si>
  <si>
    <t>Pennsylvania</t>
  </si>
  <si>
    <t>Michigan</t>
  </si>
  <si>
    <t>Ohio</t>
  </si>
  <si>
    <t>Kansas</t>
  </si>
  <si>
    <t>North Dakota</t>
  </si>
  <si>
    <t>West Virginia</t>
  </si>
  <si>
    <t>Alabama</t>
  </si>
  <si>
    <t>Kentucky</t>
  </si>
  <si>
    <t>Mississippi</t>
  </si>
  <si>
    <t>Arkansas</t>
  </si>
  <si>
    <t>Louisiana</t>
  </si>
  <si>
    <t>Oklahoma</t>
  </si>
  <si>
    <t>Texas</t>
  </si>
  <si>
    <t>Colorado</t>
  </si>
  <si>
    <t>Montana</t>
  </si>
  <si>
    <t>New Mexico</t>
  </si>
  <si>
    <t>Utah</t>
  </si>
  <si>
    <t>Wyoming</t>
  </si>
  <si>
    <t>Published</t>
  </si>
  <si>
    <t>New Reservoir</t>
  </si>
  <si>
    <t>Proved</t>
  </si>
  <si>
    <t>Revision</t>
  </si>
  <si>
    <t>New Field</t>
  </si>
  <si>
    <t>Discoveries</t>
  </si>
  <si>
    <t>Estimated</t>
  </si>
  <si>
    <t>Reserves</t>
  </si>
  <si>
    <t>Adjustments</t>
  </si>
  <si>
    <t>Increases</t>
  </si>
  <si>
    <t>Decreases</t>
  </si>
  <si>
    <t>Sales</t>
  </si>
  <si>
    <t>Acquisitions</t>
  </si>
  <si>
    <t>Extensions</t>
  </si>
  <si>
    <t>in Old Fields</t>
  </si>
  <si>
    <t>Production</t>
  </si>
  <si>
    <t>(+,-)</t>
  </si>
  <si>
    <t>(+)</t>
  </si>
  <si>
    <t>(-)</t>
  </si>
  <si>
    <t>Lower 48 States</t>
  </si>
  <si>
    <t>New York</t>
  </si>
  <si>
    <t>Virginia</t>
  </si>
  <si>
    <r>
      <t>Federal Offshore</t>
    </r>
    <r>
      <rPr>
        <b/>
        <vertAlign val="superscript"/>
        <sz val="10"/>
        <color indexed="8"/>
        <rFont val="Calibri"/>
        <family val="2"/>
      </rPr>
      <t>a</t>
    </r>
  </si>
  <si>
    <r>
      <t>Miscellaneous</t>
    </r>
    <r>
      <rPr>
        <vertAlign val="superscript"/>
        <sz val="10"/>
        <color indexed="8"/>
        <rFont val="Calibri"/>
        <family val="2"/>
      </rPr>
      <t>b</t>
    </r>
  </si>
  <si>
    <t>U.S. Total</t>
  </si>
  <si>
    <t xml:space="preserve">Note: The production estimates in this table are based on data reported on Form EIA-23, "Annual Survey of Domestic Oil and Gas Reserves," </t>
  </si>
  <si>
    <t>EIA Natural Gas Data</t>
  </si>
  <si>
    <t>MARKAL REGION</t>
  </si>
  <si>
    <t>Domestic natural gas Existing infrastructure in R2</t>
  </si>
  <si>
    <t>Domestic natural gas Existing infrastructure in R3</t>
  </si>
  <si>
    <t>Domestic natural gas Existing infrastructure in R4</t>
  </si>
  <si>
    <t>Domestic natural gas Existing infrastructure in R5</t>
  </si>
  <si>
    <t>Domestic natural gas Existing infrastructure in R6</t>
  </si>
  <si>
    <t>Export of domestic natural gas from R2 to R1</t>
  </si>
  <si>
    <t>Export of domestic natural gas from R3 to R2</t>
  </si>
  <si>
    <t>Export of domestic natural gas from R3 to R5</t>
  </si>
  <si>
    <t>Export of domestic natural gas from R4 to R3</t>
  </si>
  <si>
    <t>Export of domestic natural gas from R5 to R2</t>
  </si>
  <si>
    <t>Export of domestic natural gas from R6 to R3</t>
  </si>
  <si>
    <t>Export of domestic natural gas from R6 to R5</t>
  </si>
  <si>
    <t>Export of domestic natural gas from R7 to R4</t>
  </si>
  <si>
    <t>Export of domestic natural gas from R7 to R6</t>
  </si>
  <si>
    <t>Export of domestic natural gas from R8 to R4</t>
  </si>
  <si>
    <t>Export of domestic natural gas from R8 to R7</t>
  </si>
  <si>
    <t>Export of domestic natural gas from R8 to R9</t>
  </si>
  <si>
    <t>Import of domestic natural gas from R2 to R1</t>
  </si>
  <si>
    <t>Import of domestic natural gas from R3 to R2</t>
  </si>
  <si>
    <t>Import of domestic natural gas from R3 to R5</t>
  </si>
  <si>
    <t>Import of domestic natural gas from R4 to R3</t>
  </si>
  <si>
    <t>Import of domestic natural gas from R5 to R2</t>
  </si>
  <si>
    <t>Import of domestic natural gas from R6 to R3</t>
  </si>
  <si>
    <t>Import of domestic natural gas from R6 to R5</t>
  </si>
  <si>
    <t>Import of domestic natural gas from R7 to R4</t>
  </si>
  <si>
    <t>Import of domestic natural gas from R7 to R6</t>
  </si>
  <si>
    <t>Import of domestic natural gas from R8 to R4</t>
  </si>
  <si>
    <t>Import of domestic natural gas from R8 to R7</t>
  </si>
  <si>
    <t>Import of domestic natural gas from R8 to R9</t>
  </si>
  <si>
    <t>NGAC1</t>
  </si>
  <si>
    <t>NGAC2</t>
  </si>
  <si>
    <t>NGAC4</t>
  </si>
  <si>
    <t>NGALE1</t>
  </si>
  <si>
    <t>NGALE5</t>
  </si>
  <si>
    <t>Canadian imported natural gas shares</t>
  </si>
  <si>
    <t>SCIMPNGAC</t>
  </si>
  <si>
    <t>SCIMPNGAL</t>
  </si>
  <si>
    <t>XNGAC1E</t>
  </si>
  <si>
    <t>Existing Pipeline for Import Canadian natural gas to R1</t>
  </si>
  <si>
    <t>XNGAC2E</t>
  </si>
  <si>
    <t>Existing Pipeline for Import Canadian natural gas to R2</t>
  </si>
  <si>
    <t>XNGAC4E</t>
  </si>
  <si>
    <t>Existing Pipeline for Import Canadian natural gas to R4</t>
  </si>
  <si>
    <t>XNGAC1N</t>
  </si>
  <si>
    <t>New Pipeline for Import Canadian natural gas to R1</t>
  </si>
  <si>
    <t>XNGAC2N</t>
  </si>
  <si>
    <t>New Pipeline for Import Canadian natural gas to R2</t>
  </si>
  <si>
    <t>XNGAC4N</t>
  </si>
  <si>
    <t>New Pipeline for Import Canadian natural gas to R4</t>
  </si>
  <si>
    <t>XNGALE1E</t>
  </si>
  <si>
    <t>Infrastructure for Import LNG to Existing terminal in R1</t>
  </si>
  <si>
    <t>XNGALE5E</t>
  </si>
  <si>
    <t>XNGALE1N</t>
  </si>
  <si>
    <t>New Infrastructure for Import LNG to Existing terminal in R1</t>
  </si>
  <si>
    <t>XNGALE5N</t>
  </si>
  <si>
    <t>XNGARES</t>
  </si>
  <si>
    <t>XNGACOM</t>
  </si>
  <si>
    <t>XNGAIND</t>
  </si>
  <si>
    <t>XNGAELC</t>
  </si>
  <si>
    <t>XNGATRN</t>
  </si>
  <si>
    <t>Domestic Natural Gas - R2</t>
  </si>
  <si>
    <t>Domestic Natural Gas - R3</t>
  </si>
  <si>
    <t>Domestic Natural Gas - R4</t>
  </si>
  <si>
    <t>Domestic Natural Gas - R5</t>
  </si>
  <si>
    <t>Domestic Natural Gas - R6</t>
  </si>
  <si>
    <t>Domestic Natural Gas - D0</t>
  </si>
  <si>
    <t>Natural Gas - R2</t>
  </si>
  <si>
    <t>Natural Gas - R3</t>
  </si>
  <si>
    <t>Natural Gas - R4</t>
  </si>
  <si>
    <t>Natural Gas - R5</t>
  </si>
  <si>
    <t>Natural Gas - R6</t>
  </si>
  <si>
    <t>SCNGAR2</t>
  </si>
  <si>
    <t>SCNGAR3</t>
  </si>
  <si>
    <t>SCNGAR4</t>
  </si>
  <si>
    <t>SCNGAR5</t>
  </si>
  <si>
    <t>SCNGAR6</t>
  </si>
  <si>
    <t>Collector: Natural Gas R2</t>
  </si>
  <si>
    <t>Collector: Natural Gas R3</t>
  </si>
  <si>
    <t>Collector: Natural Gas R4</t>
  </si>
  <si>
    <t>Collector: Natural Gas R5</t>
  </si>
  <si>
    <t>Collector: Natural Gas R6</t>
  </si>
  <si>
    <t>XNGA21E</t>
  </si>
  <si>
    <t>Existing natural gas pipeline from R2 to R1</t>
  </si>
  <si>
    <t>XNGA32E</t>
  </si>
  <si>
    <t>XNGA35E</t>
  </si>
  <si>
    <t>XNGA43E</t>
  </si>
  <si>
    <t>XNGA52E</t>
  </si>
  <si>
    <t>XNGA63E</t>
  </si>
  <si>
    <t>XNGA65E</t>
  </si>
  <si>
    <t>XNGA74E</t>
  </si>
  <si>
    <t>XNGA76E</t>
  </si>
  <si>
    <t>XNGA84E</t>
  </si>
  <si>
    <t>XNGA87E</t>
  </si>
  <si>
    <t>XNGA89E</t>
  </si>
  <si>
    <t>Existing natural gas pipeline from R3 to R2</t>
  </si>
  <si>
    <t>Existing natural gas pipeline from R3 to R5</t>
  </si>
  <si>
    <t>Existing natural gas pipeline from R4 to R3</t>
  </si>
  <si>
    <t>Existing natural gas pipeline from R5 to R2</t>
  </si>
  <si>
    <t>Existing natural gas pipeline from R6 to R3</t>
  </si>
  <si>
    <t>Existing natural gas pipeline from R6 to R5</t>
  </si>
  <si>
    <t>Existing natural gas pipeline from R7 to R4</t>
  </si>
  <si>
    <t>Existing natural gas pipeline from R7 to R6</t>
  </si>
  <si>
    <t>Existing natural gas pipeline from R8 to R4</t>
  </si>
  <si>
    <t>Existing natural gas pipeline from R8 to R7</t>
  </si>
  <si>
    <t>Existing natural gas pipeline from R8 to R9</t>
  </si>
  <si>
    <t>EXPNGAR21</t>
  </si>
  <si>
    <t>EXPNGAR32</t>
  </si>
  <si>
    <t>EXPNGAR35</t>
  </si>
  <si>
    <t>EXPNGAR43</t>
  </si>
  <si>
    <t>EXPNGAR52</t>
  </si>
  <si>
    <t>EXPNGAR63</t>
  </si>
  <si>
    <t>EXPNGAR65</t>
  </si>
  <si>
    <t>EXPNGAR74</t>
  </si>
  <si>
    <t>EXPNGAR76</t>
  </si>
  <si>
    <t>EXPNGAR84</t>
  </si>
  <si>
    <t>EXPNGAR87</t>
  </si>
  <si>
    <t>EXPNGAR89</t>
  </si>
  <si>
    <t>IMPNGAR21</t>
  </si>
  <si>
    <t>IMPNGAR32</t>
  </si>
  <si>
    <t>IMPNGAR35</t>
  </si>
  <si>
    <t>IMPNGAR43</t>
  </si>
  <si>
    <t>IMPNGAR52</t>
  </si>
  <si>
    <t>IMPNGAR63</t>
  </si>
  <si>
    <t>IMPNGAR65</t>
  </si>
  <si>
    <t>IMPNGAR74</t>
  </si>
  <si>
    <t>IMPNGAR76</t>
  </si>
  <si>
    <t>IMPNGAR84</t>
  </si>
  <si>
    <t>IMPNGAR87</t>
  </si>
  <si>
    <t>IMPNGAR89</t>
  </si>
  <si>
    <t>Step 1</t>
  </si>
  <si>
    <t>Step 2</t>
  </si>
  <si>
    <t>Step 3</t>
  </si>
  <si>
    <t>Step 4</t>
  </si>
  <si>
    <t>Step 5</t>
  </si>
  <si>
    <t>Step 6</t>
  </si>
  <si>
    <t>LNG</t>
  </si>
  <si>
    <t>2020-2055</t>
  </si>
  <si>
    <t>Natural gas liquids to LPG (C3)</t>
  </si>
  <si>
    <t>Natural gas liquids to PFS (C2 &amp; C4)</t>
  </si>
  <si>
    <t>Natural gas liquids to pentanes (C5+)</t>
  </si>
  <si>
    <t>PENTS</t>
  </si>
  <si>
    <t>XNGLFRAC</t>
  </si>
  <si>
    <t>Domestic natural gas liquids to end-products</t>
  </si>
  <si>
    <t>DENAT</t>
  </si>
  <si>
    <t>NGL Pentanes to ethanol denaturant</t>
  </si>
  <si>
    <t>* Natural Gas Liquids products</t>
  </si>
  <si>
    <t>* Collectors for NGL products</t>
  </si>
  <si>
    <t>SCLPGNGL</t>
  </si>
  <si>
    <t>SCPENTNGL</t>
  </si>
  <si>
    <t>Collector: PFS from NGL</t>
  </si>
  <si>
    <t>Collector: LPG from NGL</t>
  </si>
  <si>
    <t>Collector: Pentanes from NGL</t>
  </si>
  <si>
    <t>NGL Pentanes to gasoline</t>
  </si>
  <si>
    <t>LPG from NGL</t>
  </si>
  <si>
    <t>PFS from NGL</t>
  </si>
  <si>
    <t>Pentanes from NGL</t>
  </si>
  <si>
    <t>NGLPENT</t>
  </si>
  <si>
    <t>SCPFSNGL</t>
  </si>
  <si>
    <t>SCGSRPENT</t>
  </si>
  <si>
    <t>SCDENPENT</t>
  </si>
  <si>
    <t>Collector: Ethanol denaturant from NGL Pentanes</t>
  </si>
  <si>
    <t>Collector: GSR from NGL Pentanes</t>
  </si>
  <si>
    <t>LPG_NGL</t>
  </si>
  <si>
    <t>PFS_NGL</t>
  </si>
  <si>
    <t>Domestic natural gas to industrial end-use</t>
  </si>
  <si>
    <t>Gas extraction emission factors from GREET, developed 2/13/13</t>
  </si>
  <si>
    <t>Units: kT/PJ</t>
  </si>
  <si>
    <t>Nox</t>
  </si>
  <si>
    <t>Carbon footprint from well to plant gate Table SI-5 of Weber and Clavin (2012) Environmental Science and Technology 46, 5688-5695.</t>
  </si>
  <si>
    <t>IPCC, 2007: GWP for CH4=25</t>
  </si>
  <si>
    <t>Conventional</t>
  </si>
  <si>
    <t>Shale</t>
  </si>
  <si>
    <t>Shale with green completions</t>
  </si>
  <si>
    <t>g/MJ = kT/PJ</t>
  </si>
  <si>
    <t>CO2e</t>
  </si>
  <si>
    <t>Preproduction</t>
  </si>
  <si>
    <t>well pad construction</t>
  </si>
  <si>
    <t>well drilling</t>
  </si>
  <si>
    <t>fracking water</t>
  </si>
  <si>
    <t>fracking chemicals</t>
  </si>
  <si>
    <t>well completion</t>
  </si>
  <si>
    <t>subtotal</t>
  </si>
  <si>
    <t>Production/processing</t>
  </si>
  <si>
    <t>flaring</t>
  </si>
  <si>
    <t>lease/plant energy</t>
  </si>
  <si>
    <t>vented CO2 at plant</t>
  </si>
  <si>
    <t>fugitive at well</t>
  </si>
  <si>
    <t>fugitive at plant</t>
  </si>
  <si>
    <t>workovers</t>
  </si>
  <si>
    <t>liquids unloading</t>
  </si>
  <si>
    <t>Transmission</t>
  </si>
  <si>
    <t>compression fuel</t>
  </si>
  <si>
    <t>fugitive transmission</t>
  </si>
  <si>
    <t>upstream subtotal</t>
  </si>
  <si>
    <t>total except transmission</t>
  </si>
  <si>
    <t>total transmission</t>
  </si>
  <si>
    <t>CO2, kT/PJ</t>
  </si>
  <si>
    <t>CH4, kT/PJ</t>
  </si>
  <si>
    <t>Regions</t>
  </si>
  <si>
    <t>Gross Withdrawals</t>
  </si>
  <si>
    <t>Shale Gas</t>
  </si>
  <si>
    <t>% Shale Gas in the Region in 2011</t>
  </si>
  <si>
    <t>References</t>
  </si>
  <si>
    <t xml:space="preserve">Natural Gas Gross Withdrawals </t>
  </si>
  <si>
    <t>1/7/2013</t>
  </si>
  <si>
    <t>1/31/2013</t>
  </si>
  <si>
    <t>ng_prod_sum_a_epg0_fgw_mmcf_a.xls</t>
  </si>
  <si>
    <t>http://www.eia.gov/dnav/ng/ng_prod_sum_a_epg0_fgw_mmcf_a.htm</t>
  </si>
  <si>
    <t>1/10/2013 5:08:26 PM</t>
  </si>
  <si>
    <t xml:space="preserve">Natural Gas Gross Withdrawals from Gas Wells </t>
  </si>
  <si>
    <t>ng_prod_sum_a_epg0_fgg_mmcf_a.xls</t>
  </si>
  <si>
    <t>http://www.eia.gov/dnav/ng/ng_prod_sum_a_epg0_fgg_mmcf_a.htm</t>
  </si>
  <si>
    <t>1/10/2013 5:08:22 PM</t>
  </si>
  <si>
    <t>State</t>
  </si>
  <si>
    <t>Markal Region</t>
  </si>
  <si>
    <t>U.S. Natural Gas Gross Withdrawals (MMcf)</t>
  </si>
  <si>
    <t>U.S. Natural Gas Gross Withdrawals from Shale Gas (Million Cubic Feet)</t>
  </si>
  <si>
    <t>U.S. Natural Gas Gross Withdrawals Offshore (MMcf)</t>
  </si>
  <si>
    <t>US--State Offshore Natural Gas Gross Withdrawals (MMcf)</t>
  </si>
  <si>
    <t>US--Federal Offshore Natural Gas Gross Withdrawals (MMcf)</t>
  </si>
  <si>
    <t>Federal Offshore--Gulf of Mexico Natural Gas Gross Withdrawals from Shale Gas (Million Cubic Feet)</t>
  </si>
  <si>
    <t>Alaska Natural Gas Gross Withdrawals (MMcf)</t>
  </si>
  <si>
    <t>AK</t>
  </si>
  <si>
    <t>Alaska--onshore Natural Gas Gross Withdrawals (MMcf)</t>
  </si>
  <si>
    <t>Alaska Natural Gas Gross Withdrawals Total Offshore (MMcf)</t>
  </si>
  <si>
    <t>Alaska--State Offshore Natural Gas Gross Withdrawals (MMcf)</t>
  </si>
  <si>
    <t>Federal Offshore--Gulf of Mexico Natural Gas Gross Withdrawals (MMcf)</t>
  </si>
  <si>
    <t>TX</t>
  </si>
  <si>
    <t>Federal Offshore--Alabama Natural Gas Gross Withdrawals (MMcf)</t>
  </si>
  <si>
    <t>Federal Offshore--Louisiana Natural Gas Gross Withdrawals (MMcf)</t>
  </si>
  <si>
    <t>Federal Offshore--Texas Natural Gas Gross Withdrawals (MMcf)</t>
  </si>
  <si>
    <t>Louisiana Natural Gas Gross Withdrawals (MMcf)</t>
  </si>
  <si>
    <t>Louisiana Natural Gas Gross Withdrawals from Shale Gas (Million Cubic Feet)</t>
  </si>
  <si>
    <t>LA</t>
  </si>
  <si>
    <t>Louisiana--onshore Natural Gas Gross Withdrawals (MMcf)</t>
  </si>
  <si>
    <t>Louisiana--onshore Natural Gas Gross Withdrawals from Shale Gas (Million Cubic Feet)</t>
  </si>
  <si>
    <t>Louisiana Natural Gas Gross Withdrawals Total Offshore (MMcf)</t>
  </si>
  <si>
    <t>Louisiana--State Offshore Natural Gas Gross Withdrawals (MMcf)</t>
  </si>
  <si>
    <t>New Mexico Natural Gas Gross Withdrawals (MMcf)</t>
  </si>
  <si>
    <t>New Mexico Natural Gas Gross Withdrawals from Shale Gas (Million Cubic Feet)</t>
  </si>
  <si>
    <t>NM</t>
  </si>
  <si>
    <t>Oklahoma Natural Gas Gross Withdrawals (MMcf)</t>
  </si>
  <si>
    <t>Oklahoma Natural Gas Gross Withdrawals from Shale Gas (Million Cubic Feet)</t>
  </si>
  <si>
    <t>OK</t>
  </si>
  <si>
    <t>Texas Natural Gas Gross Withdrawals (MMcf)</t>
  </si>
  <si>
    <t>Texas Natural Gas Gross Withdrawals from Shale Gas (Million Cubic Feet)</t>
  </si>
  <si>
    <t>Texas--onshore Natural Gas Gross Withdrawals (MMcf)</t>
  </si>
  <si>
    <t>Texas--onshore Natural Gas Gross Withdrawals from Shale Gas (Million Cubic Feet)</t>
  </si>
  <si>
    <t>Texas Natural Gas Gross Withdrawals Total Offshore (MMcf)</t>
  </si>
  <si>
    <t>Texas--State Offshore Natural Gas Withdrawals from Shale Gas (Million Cubic Feet)</t>
  </si>
  <si>
    <t>Texas--State Offshore Natural Gas Gross Withdrawals (MMcf)</t>
  </si>
  <si>
    <t>Wyoming Natural Gas Gross Withdrawals (MMcf)</t>
  </si>
  <si>
    <t>Wyoming Natural Gas Gross Withdrawals from Shale Gas (Million Cubic Feet)</t>
  </si>
  <si>
    <t>WY</t>
  </si>
  <si>
    <t>Other States Natural Gas Gross Withdrawals (MMcf)</t>
  </si>
  <si>
    <t>Other States Natural Gas Gross Withdrawals from Shale Gas (Million Cubic Feet)</t>
  </si>
  <si>
    <t>Alabama Natural Gas Gross Withdrawals (MMcf)</t>
  </si>
  <si>
    <t>Alabama Natural Gas Gross Withdrawals from Shale Gas (Million Cubic Feet)</t>
  </si>
  <si>
    <t>AL</t>
  </si>
  <si>
    <t>Alabama--onshore Natural Gas Gross Withdrawals (MMcf)</t>
  </si>
  <si>
    <t>Alabama--onshore Natural Gas Gross Withdrawals from Shale Gas (Million Cubic Feet)</t>
  </si>
  <si>
    <t>Alabama Natural Gas Gross Withdrawals Total Offshore (MMcf)</t>
  </si>
  <si>
    <t>Alabama--State Offshore Natural Gas Withdrawals from Shale Gas (Million Cubic Feet)</t>
  </si>
  <si>
    <t>Alabama--State Offshore Natural Gas Gross Withdrawals (MMcf)</t>
  </si>
  <si>
    <t>Arizona Natural Gas Gross Withdrawals (MMcf)</t>
  </si>
  <si>
    <t>Arizona Natural Gas Gross Withdrawals from Shale Gas (Million Cubic Feet)</t>
  </si>
  <si>
    <t>AZ</t>
  </si>
  <si>
    <t>Arkansas Natural Gas Gross Withdrawals (MMcf)</t>
  </si>
  <si>
    <t>Arkansas Natural Gas Gross Withdrawals from Shale Gas (Million Cubic Feet)</t>
  </si>
  <si>
    <t>AR</t>
  </si>
  <si>
    <t>California Natural Gas Gross Withdrawals (MMcf)</t>
  </si>
  <si>
    <t>California Natural Gas Gross Withdrawals from Shale Gas (Million Cubic Feet)</t>
  </si>
  <si>
    <t>CA</t>
  </si>
  <si>
    <t>Calif--onshore Natural Gas Gross Withdrawals (MMcf)</t>
  </si>
  <si>
    <t>California--onshore Natural Gas Gross Withdrawals from Shale Gas (Million Cubic Feet)</t>
  </si>
  <si>
    <t>California Natural Gas Gross Withdrawals Total Offshore (MMcf)</t>
  </si>
  <si>
    <t>California--State Offshore Natural Gas Gross Withdrawals (MMcf)</t>
  </si>
  <si>
    <t>Federal Offshore California Natural Gas Gross Withdrawals (MMcf)</t>
  </si>
  <si>
    <t>Colorado Natural Gas Gross Withdrawals (MMcf)</t>
  </si>
  <si>
    <t>Colorado Natural Gas Gross Withdrawals from Shale Gas (Million Cubic Feet)</t>
  </si>
  <si>
    <t>Florida Natural Gas Gross Withdrawals (MMcf)</t>
  </si>
  <si>
    <t>Florida Natural Gas Gross Withdrawals from Shale Gas (Million Cubic Feet)</t>
  </si>
  <si>
    <t>FL</t>
  </si>
  <si>
    <t>Illinois Natural Gas Gross Withdrawals (MMcf)</t>
  </si>
  <si>
    <t>Illinois Natural Gas Gross Withdrawals from Shale Gas (Million Cubic Feet)</t>
  </si>
  <si>
    <t>IL</t>
  </si>
  <si>
    <t>Indiana Natural Gas Gross Withdrawals (MMcf)</t>
  </si>
  <si>
    <t>Indiana Natural Gas Gross Withdrawals from Shale Gas (Million Cubic Feet)</t>
  </si>
  <si>
    <t>IN</t>
  </si>
  <si>
    <t>Kansas Natural Gas Gross Withdrawals (MMcf)</t>
  </si>
  <si>
    <t>Kansas Natural Gas Gross Withdrawals from Shale Gas (Million Cubic Feet)</t>
  </si>
  <si>
    <t>KS</t>
  </si>
  <si>
    <t>Kentucky Natural Gas Gross Withdrawals (MMcf)</t>
  </si>
  <si>
    <t>Kentucky Natural Gas Gross Withdrawals from Shale Gas (Million Cubic Feet)</t>
  </si>
  <si>
    <t>KY</t>
  </si>
  <si>
    <t>Maryland Natural Gas Gross Withdrawals (MMcf)</t>
  </si>
  <si>
    <t>Maryland Natural Gas Gross Withdrawals from Shale Gas (Million Cubic Feet)</t>
  </si>
  <si>
    <t>MD</t>
  </si>
  <si>
    <t>Michigan Natural Gas Gross Withdrawals (MMcf)</t>
  </si>
  <si>
    <t>Michigan Natural Gas Gross Withdrawals from Shale Gas (Million Cubic Feet)</t>
  </si>
  <si>
    <t>MI</t>
  </si>
  <si>
    <t>Mississippi Natural Gas Gross Withdrawals (MMcf)</t>
  </si>
  <si>
    <t>Mississippi Natural Gas Gross Withdrawals from Shale Gas (Million Cubic Feet)</t>
  </si>
  <si>
    <t>MS</t>
  </si>
  <si>
    <t>Missouri Natural Gas Gross Withdrawals (MMcf)</t>
  </si>
  <si>
    <t>Missouri Natural Gas Gross Withdrawals from Shale Gas (Million Cubic Feet)</t>
  </si>
  <si>
    <t>MO</t>
  </si>
  <si>
    <t>Montana Natural Gas Gross Withdrawals (MMcf)</t>
  </si>
  <si>
    <t>Montana Natural Gas Gross Withdrawals from Shale Gas (Million Cubic Feet)</t>
  </si>
  <si>
    <t>MT</t>
  </si>
  <si>
    <t>Nebraska Natural Gas Gross Withdrawals (MMcf)</t>
  </si>
  <si>
    <t>Nebraska Natural Gas Gross Withdrawals from Shale Gas (Million Cubic Feet)</t>
  </si>
  <si>
    <t>Nevada Natural Gas Gross Withdrawals (MMcf)</t>
  </si>
  <si>
    <t>Nevada Natural Gas Gross Withdrawals from Shale Gas (Million Cubic Feet)</t>
  </si>
  <si>
    <t>NV</t>
  </si>
  <si>
    <t>New York Natural Gas Gross Withdrawals (MMcf)</t>
  </si>
  <si>
    <t>New York Natural Gas Gross Withdrawals from Shale Gas (Million Cubic Feet)</t>
  </si>
  <si>
    <t>NY</t>
  </si>
  <si>
    <t>North Dakota Natural Gas Gross Withdrawals (MMcf)</t>
  </si>
  <si>
    <t>North Dakota Natural Gas Gross Withdrawals from Shale Gas (Million Cubic Feet)</t>
  </si>
  <si>
    <t>ND</t>
  </si>
  <si>
    <t>Ohio Natural Gas Gross Withdrawals (MMcf)</t>
  </si>
  <si>
    <t>Ohio Natural Gas Gross Withdrawals from Shale Gas (Million Cubic Feet)</t>
  </si>
  <si>
    <t>OH</t>
  </si>
  <si>
    <t>Oregon Natural Gas Gross Withdrawals (MMcf)</t>
  </si>
  <si>
    <t>Oregon Natural Gas Gross Withdrawals from Shale Gas (Million Cubic Feet)</t>
  </si>
  <si>
    <t>OR</t>
  </si>
  <si>
    <t>Pennsylvania Natural Gas Gross Withdrawals (MMcf)</t>
  </si>
  <si>
    <t>Pennsylvania Natural Gas Gross Withdrawals from Shale Gas (Million Cubic Feet)</t>
  </si>
  <si>
    <t>PA</t>
  </si>
  <si>
    <t>South Dakota Natural Gas Gross Withdrawals (MMcf)</t>
  </si>
  <si>
    <t>South Dakota Natural Gas Gross Withdrawals from Shale Gas (Million Cubic Feet)</t>
  </si>
  <si>
    <t>SD</t>
  </si>
  <si>
    <t>Tennessee Natural Gas Gross Withdrawals (MMcf)</t>
  </si>
  <si>
    <t>Tennessee Natural Gas Gross Withdrawals from Shale Gas (Million Cubic Feet)</t>
  </si>
  <si>
    <t>TN</t>
  </si>
  <si>
    <t>Utah Natural Gas Gross Withdrawals (MMcf)</t>
  </si>
  <si>
    <t>Utah Natural Gas Gross Withdrawals from Shale Gas (Million Cubic Feet)</t>
  </si>
  <si>
    <t>UT</t>
  </si>
  <si>
    <t>Virginia Natural Gas Gross Withdrawals (MMcf)</t>
  </si>
  <si>
    <t>Virginia Natural Gas Gross Withdrawals from Shale Gas (Million Cubic Feet)</t>
  </si>
  <si>
    <t>VA</t>
  </si>
  <si>
    <t>West Virginia Natural Gas Gross Withdrawals (MMcf)</t>
  </si>
  <si>
    <t>West Virginia Natural Gas Gross Withdrawals from Shale Gas (Million Cubic Feet)</t>
  </si>
  <si>
    <t>WV</t>
  </si>
  <si>
    <t>Assumptions:</t>
  </si>
  <si>
    <t>In 2005, all NG extracted is conventional gas. In 2010, both shale and conventional are contributing to the mix, and relative ratios are taken from NG annual. The future projections kept same at 2010 levels for now.</t>
  </si>
  <si>
    <t>Beyond 2015, all shale gas wells will have green completions. We assume they comply with the finalized NSPS for oil and gas. See FR vol 77, no 159 Aug 16, 2012</t>
  </si>
  <si>
    <t>Table 10: Total natural gas proved reserves, reserves changes, and production, wet after lease separation, 2011</t>
  </si>
  <si>
    <t>billion cubic feet</t>
  </si>
  <si>
    <t>EIA Report: U.S. Crude Oil, Natural Gas, and Natural Gas Liquids Proved Reserves, 2011</t>
  </si>
  <si>
    <t>http://www.eia.gov/naturalgas/crudeoilreserves/</t>
  </si>
  <si>
    <t>Changes in reserves during 2011</t>
  </si>
  <si>
    <t>State and subdivision</t>
  </si>
  <si>
    <t xml:space="preserve">     Coastal Region Onshore</t>
  </si>
  <si>
    <t xml:space="preserve">     Los Angeles Basin Onshore</t>
  </si>
  <si>
    <t xml:space="preserve">     San Joaquin Basin Onshore</t>
  </si>
  <si>
    <t xml:space="preserve">     State Offshore</t>
  </si>
  <si>
    <t xml:space="preserve">     North</t>
  </si>
  <si>
    <t xml:space="preserve">     South Onshore</t>
  </si>
  <si>
    <t xml:space="preserve">     East</t>
  </si>
  <si>
    <t xml:space="preserve">     West</t>
  </si>
  <si>
    <t xml:space="preserve">     RRC District 1</t>
  </si>
  <si>
    <t xml:space="preserve">     RRC District 2 Onshore</t>
  </si>
  <si>
    <t xml:space="preserve">     RRC District 3 Onshore</t>
  </si>
  <si>
    <t xml:space="preserve">     RRC District 4 Onshore</t>
  </si>
  <si>
    <t xml:space="preserve">     RRC District 5</t>
  </si>
  <si>
    <t xml:space="preserve">     RRC District 6</t>
  </si>
  <si>
    <t xml:space="preserve">     RRC District 7B</t>
  </si>
  <si>
    <t xml:space="preserve">     RRC District 7C</t>
  </si>
  <si>
    <t xml:space="preserve">     RRC District 8</t>
  </si>
  <si>
    <t xml:space="preserve">     RRC District 8A</t>
  </si>
  <si>
    <t xml:space="preserve">     RRC District 9</t>
  </si>
  <si>
    <t xml:space="preserve">     RRC District 10</t>
  </si>
  <si>
    <t xml:space="preserve">     Pacific (California)</t>
  </si>
  <si>
    <r>
      <t xml:space="preserve">     Gulf of Mexico (Louisiana)</t>
    </r>
    <r>
      <rPr>
        <vertAlign val="superscript"/>
        <sz val="10"/>
        <color indexed="8"/>
        <rFont val="Calibri"/>
        <family val="2"/>
      </rPr>
      <t>a</t>
    </r>
  </si>
  <si>
    <t xml:space="preserve">     Gulf of Mexico (Texas)</t>
  </si>
  <si>
    <t xml:space="preserve">They may differ from the official Energy Information Administration production data for natural gas for 2011 contained in the Natural Gas Annual 2011, DOE/EIA-0131(11). </t>
  </si>
  <si>
    <t>http://www.eia.gov/naturalgas/data.cfm</t>
  </si>
  <si>
    <t>Natural gas is measured at 60 degrees Farenheit and atmospheric pressure base of 14.73 pounds per square inch (psia)</t>
  </si>
  <si>
    <t>Source: U.S. Energy Information Administration, Form EIA-23, “Annual Survey of Domestic Oil and Gas Reserves.”</t>
  </si>
  <si>
    <t>% Total</t>
  </si>
  <si>
    <t>Supply Prices</t>
  </si>
  <si>
    <t>    Henry Hub Spot Price</t>
  </si>
  <si>
    <t>    Lower 48 Average Price</t>
  </si>
  <si>
    <t>  (2012 dollars per thousand cubic feet)</t>
  </si>
  <si>
    <t>    Lower 48 Onshore Price</t>
  </si>
  <si>
    <t>    Lower 48 Offshore Price</t>
  </si>
  <si>
    <t>   Sources:  2011 production:  U.S. Department of the Interior, Office of Natural Resources Revenue; U.S. Energy</t>
  </si>
  <si>
    <t>Information Administration (EIA), Natural Gas Annual 2011, DOE/EIA-0131(2011) (Washington, DC, January 2013); EIA, U.S. Crude Oil,</t>
  </si>
  <si>
    <t>Natural Gas, and Natural Gas Liquids Reserves, DOE/EIA-0216(2011) (Washington, DC, August 2013); and EIA, Office of Energy Analysis</t>
  </si>
  <si>
    <t>(OEA).  2012 production:  EIA, Natural Gas Monthly, DOE/EIA-0130(2013/06) (Washington, DC, June 2013)</t>
  </si>
  <si>
    <t>and EIA, Office of Energy Analysis.  2011 and 2012 natural gas spot prices at Henry Hub:  Thomson Reuters.</t>
  </si>
  <si>
    <t>2011 and 2012 offshore prices based on revenue data from the U.S. Department of the</t>
  </si>
  <si>
    <t>Interior, Office of Natural Resources Revenue; and EIA, OEA.  2011 and 2012 onshore prices based on</t>
  </si>
  <si>
    <t>daily data from Natural Gas Intelligence and assumed gathering charges.  Projections:  EIA, AEO2014 National Energy Modeling System.</t>
  </si>
  <si>
    <t>1983</t>
  </si>
  <si>
    <t>1984</t>
  </si>
  <si>
    <t>1985</t>
  </si>
  <si>
    <t>1986</t>
  </si>
  <si>
    <t>1987</t>
  </si>
  <si>
    <t>1988</t>
  </si>
  <si>
    <t>1989</t>
  </si>
  <si>
    <t>1990</t>
  </si>
  <si>
    <t>1991</t>
  </si>
  <si>
    <t>1992</t>
  </si>
  <si>
    <t>1993</t>
  </si>
  <si>
    <t>1994</t>
  </si>
  <si>
    <t>1995</t>
  </si>
  <si>
    <t>1996</t>
  </si>
  <si>
    <t>1997</t>
  </si>
  <si>
    <t>1998</t>
  </si>
  <si>
    <t>1999</t>
  </si>
  <si>
    <t>2000</t>
  </si>
  <si>
    <t>2001</t>
  </si>
  <si>
    <t>2002</t>
  </si>
  <si>
    <t>Downloaded on 1/09/2014    Last Revised 12/23/2013</t>
  </si>
  <si>
    <t xml:space="preserve">[Index numbers, 2009=100]                                                                                                                                                                                                                                 </t>
  </si>
  <si>
    <t>To bring to $2005</t>
  </si>
  <si>
    <t>*6.1% to R6 based on Reserves</t>
  </si>
  <si>
    <t>7,6</t>
  </si>
  <si>
    <t>Alaska Natural Gas Marketed Production (MMcf)</t>
  </si>
  <si>
    <t>Alaska Natural Gas Plant Liquids Production, Gaseous Equivalent (MMcf)</t>
  </si>
  <si>
    <t>%NGL</t>
  </si>
  <si>
    <t>Federal Offshore--Gulf of Mexico Natural Gas Marketed Production (MMcf)</t>
  </si>
  <si>
    <t>Federal Offshore--Gulf of Mexico Natural Gas Plant Liquids Production, Gaseous Equivalent (Million Cubic Feet)</t>
  </si>
  <si>
    <t>Louisiana Natural Gas Marketed Production (MMcf)</t>
  </si>
  <si>
    <t>Louisiana Natural Gas Plant Liquids Production, Gaseous Equivalent (MMcf)</t>
  </si>
  <si>
    <t>New Mexico Natural Gas Marketed Production (MMcf)</t>
  </si>
  <si>
    <t>New Mexico Natural Gas Plant Liquids Production, Gaseous Equivalent (MMcf)</t>
  </si>
  <si>
    <t>Oklahoma Natural Gas Marketed Production (MMcf)</t>
  </si>
  <si>
    <t>Oklahoma Natural Gas Plant Liquids Production, Gaseous Equivalent (MMcf)</t>
  </si>
  <si>
    <t>Texas Natural Gas Marketed Production (MMcf)</t>
  </si>
  <si>
    <t>Texas Natural Gas Plant Liquids Production, Gaseous Equivalent (MMcf)</t>
  </si>
  <si>
    <t>Wyoming Natural Gas Marketed Production (MMcf)</t>
  </si>
  <si>
    <t>Wyoming Natural Gas Plant Liquids Production, Gaseous Equivalent (MMcf)</t>
  </si>
  <si>
    <t>Alabama Natural Gas Marketed Production (MMcf)</t>
  </si>
  <si>
    <t>Alabama Natural Gas Plant Liquids Production, Gaseous Equivalent (MMcf)</t>
  </si>
  <si>
    <t>Arizona Natural Gas Marketed Production (MMcf)</t>
  </si>
  <si>
    <t>Arizona Natural Gas Plant Liquids Production, Gaseous Equivalent (MMcf)</t>
  </si>
  <si>
    <t>Arkansas Natural Gas Marketed Production (MMcf)</t>
  </si>
  <si>
    <t>Arkansas Natural Gas Plant Liquids Production, Gaseous Equivalent (MMcf)</t>
  </si>
  <si>
    <t>California Natural Gas Marketed Production (MMcf)</t>
  </si>
  <si>
    <t>California Natural Gas Plant Liquids Production, Gaseous Equivalent (MMcf)</t>
  </si>
  <si>
    <t>Colorado Natural Gas Marketed Production (MMcf)</t>
  </si>
  <si>
    <t>Colorado Natural Gas Plant Liquids Production, Gaseous Equivalent (MMcf)</t>
  </si>
  <si>
    <t>Florida Natural Gas Marketed Production (MMcf)</t>
  </si>
  <si>
    <t>Florida Natural Gas Plant Liquids Production, Gaseous Equivalent (MMcf)</t>
  </si>
  <si>
    <t>Illinois Natural Gas Marketed Production (MMcf)</t>
  </si>
  <si>
    <t>Illinois Natural Gas Plant Liquids Production, Gaseous Equivalent (MMcf)</t>
  </si>
  <si>
    <t>Indiana Natural Gas Marketed Production (MMcf)</t>
  </si>
  <si>
    <t>Indiana Natural Gas Plant Liquids Production, Gaseous Equivalent (MMcf)</t>
  </si>
  <si>
    <t>Kansas Natural Gas Marketed Production (MMcf)</t>
  </si>
  <si>
    <t>Kansas Natural Gas Plant Liquids Production, Gaseous Equivalent (MMcf)</t>
  </si>
  <si>
    <t>Kentucky Natural Gas Marketed Production (MMcf)</t>
  </si>
  <si>
    <t>Kentucky Natural Gas Plant Liquids Production, Gaseous Equivalent (MMcf)</t>
  </si>
  <si>
    <t>Maryland Natural Gas Marketed Production (MMcf)</t>
  </si>
  <si>
    <t>Maryland Natural Gas Plant Liquids Production, Gaseous Equivalent (MMcf)</t>
  </si>
  <si>
    <t>Michigan Natural Gas Marketed Production (MMcf)</t>
  </si>
  <si>
    <t>Michigan Natural Gas Plant Liquids Production, Gaseous Equivalent (MMcf)</t>
  </si>
  <si>
    <t>Mississippi Natural Gas Marketed Production (MMcf)</t>
  </si>
  <si>
    <t>Mississippi Natural Gas Plant Liquids Production, Gaseous Equivalent (MMcf)</t>
  </si>
  <si>
    <t>Montana Natural Gas Marketed Production (MMcf)</t>
  </si>
  <si>
    <t>Montana Natural Gas Plant Liquids Production, Gaseous Equivalent (MMcf)</t>
  </si>
  <si>
    <t>Nebraska Natural Gas Marketed Production (MMcf)</t>
  </si>
  <si>
    <t>Nebraska Natural Gas Plant Liquids Production, Gaseous Equivalent (MMcf)</t>
  </si>
  <si>
    <t>Nevada Natural Gas Marketed Production (MMcf)</t>
  </si>
  <si>
    <t>Nevada Natural Gas Plant Liquids Production, Gaseous Equivalent (MMcf)</t>
  </si>
  <si>
    <t>New York Natural Gas Marketed Production (MMcf)</t>
  </si>
  <si>
    <t>New York Natural Gas Plant Liquids Production, Gaseous Equivalent (MMcf)</t>
  </si>
  <si>
    <t>North Dakota Natural Gas Marketed Production (MMcf)</t>
  </si>
  <si>
    <t>North Dakota Natural Gas Plant Liquids Production, Gaseous Equivalent (MMcf)</t>
  </si>
  <si>
    <t>Ohio Natural Gas Marketed Production (MMcf)</t>
  </si>
  <si>
    <t>Ohio Natural Gas Plant Liquids Production, Gaseous Equivalent (MMcf)</t>
  </si>
  <si>
    <t>Oregon Natural Gas Marketed Production (MMcf)</t>
  </si>
  <si>
    <t>Oregon Natural Gas Plant Liquids Production, Gaseous Equivalent (MMcf)</t>
  </si>
  <si>
    <t>Pennsylvania Natural Gas Marketed Production (MMcf)</t>
  </si>
  <si>
    <t>Pennsylvania Natural Gas Plant Liquids Production, Gaseous Equivalent (MMcf)</t>
  </si>
  <si>
    <t>South Dakota Natural Gas Marketed Production (MMcf)</t>
  </si>
  <si>
    <t>South Dakota Natural Gas Plant Liquids Production, Gaseous Equivalent (MMcf)</t>
  </si>
  <si>
    <t>Tennessee Natural Gas Marketed Production (MMcf)</t>
  </si>
  <si>
    <t>Tennessee Natural Gas Plant Liquids Production, Gaseous Equivalent (Million Cubic Feet)</t>
  </si>
  <si>
    <t>Utah Natural Gas Marketed Production (MMcf)</t>
  </si>
  <si>
    <t>Utah Natural Gas Plant Liquids Production, Gaseous Equivalent (MMcf)</t>
  </si>
  <si>
    <t>Virginia Natural Gas Marketed Production (MMcf)</t>
  </si>
  <si>
    <t>Virginia Natural Gas Plant Liquids Production, Gaseous Equivalent (MMcf)</t>
  </si>
  <si>
    <t>West Virginia Natural Gas Marketed Production (MMcf)</t>
  </si>
  <si>
    <t>West Virginia Natural Gas Plant Liquids Production, Gaseous Equivalent (MMcf)</t>
  </si>
  <si>
    <t>U.S. Natural Gas Marketed Production (MMcf)</t>
  </si>
  <si>
    <t>U.S. Natural Gas Plant Liquids Production, Gaseous Equivalent (MMcf)</t>
  </si>
  <si>
    <t>% NGL</t>
  </si>
  <si>
    <t>Total NGL</t>
  </si>
  <si>
    <t xml:space="preserve">* Based on estimated state production in the U.S. Crude Oil, NG, and NGL Reserves report found on </t>
  </si>
  <si>
    <t xml:space="preserve">  Domestic NG CUM worksheet, the following assumptions were made:</t>
  </si>
  <si>
    <t>R4 prices allotted as 33% of Rocky Mountain and 67% of Midcontinent</t>
  </si>
  <si>
    <t xml:space="preserve">R6 prices allotted as 26% of Northeast and 74% of Gulf Coast </t>
  </si>
  <si>
    <t>R7 prices allotted as 25% of Southwest, 40% of Gulf Coast, 24% of Midcontinent, and 11% offshore</t>
  </si>
  <si>
    <t>Growth Rate: 2012-2040</t>
  </si>
  <si>
    <t>(2012 dollars per thousand cubic feet)</t>
  </si>
  <si>
    <t>   1/ Includes imports of liquefied natural gas that are later re-exported.</t>
  </si>
  <si>
    <t>   2/ Includes re-exported liquefied natural gas.</t>
  </si>
  <si>
    <t>   Note:  Totals may not equal sum of components due to independent rounding.  Data for 2011 and 2012</t>
  </si>
  <si>
    <t>may differ from official EIA data reports due to internal conversion factors within the AEO2014 National Energy Modeling System.</t>
  </si>
  <si>
    <t>   Sources:  2011 and 2012:  U.S. Energy Information Administration (EIA), Natural Gas Monthly, DOE/EIA-</t>
  </si>
  <si>
    <t>0130(2013/06) (Washington, DC, June 2013) and EIA, Office of Energy Analysis.  Projections:  EIA, AEO2014 National Energy Modeling System.</t>
  </si>
  <si>
    <t>Back to Contents</t>
  </si>
  <si>
    <t xml:space="preserve">Data 1: U.S. Liquefied Natural Gas Exports by Point of Exit </t>
  </si>
  <si>
    <t>Sourcekey</t>
  </si>
  <si>
    <t>N9133US2</t>
  </si>
  <si>
    <t>NGM_EPG0_ENG_NUS-NBR_MMCF</t>
  </si>
  <si>
    <t>NGM_EPG0_ENG_YFPT-NBR_MMCF</t>
  </si>
  <si>
    <t>NGA_EPG0_ENG_YSPL-NBR_MMCF</t>
  </si>
  <si>
    <t>NGM_EPG0_ENG_NUS-NCA_MMCF</t>
  </si>
  <si>
    <t>NA_EPG0_ENG_YBUF-NCA_MMCF</t>
  </si>
  <si>
    <t>NGM_EPG0_ENG_YSWGR-NCA_MMCF</t>
  </si>
  <si>
    <t>NGM_EPG0_ENG_NUS-NCI_MMCF</t>
  </si>
  <si>
    <t>NGM_EPG0_ENG_YSPL-NCI_MMCF</t>
  </si>
  <si>
    <t>NGM_EPG0_ENG_NUS-NCH_MMCF</t>
  </si>
  <si>
    <t>NGM_EPG0_ENG_YENA-NCH_MMCF</t>
  </si>
  <si>
    <t>NGM_EPG0_ENG_YSPL-NCH_MMCF</t>
  </si>
  <si>
    <t>NGM_EPG0_ENG_NUS-NIN_MMCF</t>
  </si>
  <si>
    <t>NGA_EPG0_ENG_YFPT-NIN_MMCF</t>
  </si>
  <si>
    <t>NGM_EPG0_ENG_YSPL-NIN_MMCF</t>
  </si>
  <si>
    <t>N9133JA2</t>
  </si>
  <si>
    <t>NGM_EPG0_ENG_YCAM-NJA_MMCF</t>
  </si>
  <si>
    <t>NGA_EPG0_ENG_YFPT-NJA_MMCF</t>
  </si>
  <si>
    <t>NA1288_YENA-NJA_2</t>
  </si>
  <si>
    <t>NA1288_YPNIK-NJA_2</t>
  </si>
  <si>
    <t>NGA_EPG0_ENG_YSPL-NJA_MMCF</t>
  </si>
  <si>
    <t>N9133MX2</t>
  </si>
  <si>
    <t>NA1288_YNOGS-NMX_2</t>
  </si>
  <si>
    <t>NA1288_YOTAY-NMX_2</t>
  </si>
  <si>
    <t>NA1288_YSAN-NMX_2</t>
  </si>
  <si>
    <t>NGM_EPG0_ENG_NUS-NPO_MMCF</t>
  </si>
  <si>
    <t>NGA_EPG0_ENG_YSPL-NPO_MMCF</t>
  </si>
  <si>
    <t>N9133RU2</t>
  </si>
  <si>
    <t>NA_EPG0_ENG_YENA-NRS_MMCF</t>
  </si>
  <si>
    <t>NGM_EPG0_ENG_NUS-NKS_MMCF</t>
  </si>
  <si>
    <t>NGA_EPG0_ENG_YFPT-NKS_MMCF</t>
  </si>
  <si>
    <t>NGA_EPG0_ENG_YSPL-NKS_MMCF</t>
  </si>
  <si>
    <t>NGM_EPG0_ENG_NUS-NSP_MMCF</t>
  </si>
  <si>
    <t>NGM_EPG0_ENG_YCAM-NSP_MMCF</t>
  </si>
  <si>
    <t>NGA_EPG0_ENG_YSPL-NSP_MMCF</t>
  </si>
  <si>
    <t>NGM_EPG0_ENG_NUS-NUK_MMCF</t>
  </si>
  <si>
    <t>NGA_EPG0_ENG_YFPT-NUK_MMCF</t>
  </si>
  <si>
    <t>NGA_EPG0_ENG_YSPL-NUK_MMCF</t>
  </si>
  <si>
    <t>NGM_EPG0_ENG_YCAM-Z00_MMCF</t>
  </si>
  <si>
    <t>NGM_EPG0_ENG_YENA-Z00_MMCF</t>
  </si>
  <si>
    <t>NGM_EPG0_ENG_YFPT-Z00_MMCF</t>
  </si>
  <si>
    <t>NGM_EPG0_ENG_YNOGS-Z00_MMCF</t>
  </si>
  <si>
    <t>NGM_EPG0_ENG_YOTAY-Z00_MMCF</t>
  </si>
  <si>
    <t>NGM_EPG0_ENG_YSPL-Z00_MMCF</t>
  </si>
  <si>
    <t>NGM_EPG0_ENG_YSWGR-Z00_MMCF</t>
  </si>
  <si>
    <t>Liquefied U.S. Natural Gas Exports (MMcf)</t>
  </si>
  <si>
    <t>Liquefied U.S. Natural Gas Exports to Brazil (MMcf)</t>
  </si>
  <si>
    <t>Freeport, TX Liquefied Natural Gas Exports to Brazil (Million Cubic Feet)</t>
  </si>
  <si>
    <t>Sabine Pass, LA Exports to Brazil Liquefied Natural Gas (Million Cubic Feet)</t>
  </si>
  <si>
    <t>Liquefied U.S. Natural Gas Exports to Canada (MMcf)</t>
  </si>
  <si>
    <t>Buffalo, NY Liquefied Natural Gas Exports to Canada (MMcf)</t>
  </si>
  <si>
    <t>Sweetgrass, MT Liquefied Natural Gas Price Exports to Canada (MMcf)</t>
  </si>
  <si>
    <t>Liquefied U.S. Natural Gas Exports to Chile (MMcf)</t>
  </si>
  <si>
    <t>Sabine Pass, LA Liquefied Natural Gas Exports to Chile (Million Cubic Feet)</t>
  </si>
  <si>
    <t>Liquefied U.S. Natural Gas Exports to China (MMcf)</t>
  </si>
  <si>
    <t>Kenai, AK Liquefied Natural Gas Exports to China (Million Cubic Feet)</t>
  </si>
  <si>
    <t>Sabine Pass, LA Liquefied Natural Gas Exports to China (Million Cubic Feet)</t>
  </si>
  <si>
    <t>Liquefied U.S. Natural Gas Exports to India (MMcf)</t>
  </si>
  <si>
    <t>Freeport, TX Exports to India Liquefied Natural Gas (Million Cubic Feet)</t>
  </si>
  <si>
    <t>Sabine Pass, LA Liquefied Natural Gas Exports to India (Million Cubic Feet)</t>
  </si>
  <si>
    <t>Liquefied U.S. Natural Gas Exports to Japan (MMcf)</t>
  </si>
  <si>
    <t>Cameron, LA Liquefied Natural Gas Exports to Japan (Million Cubic Feet)</t>
  </si>
  <si>
    <t>Freeport, TX Exports to japan Liquefied Natural Gas (Million Cubic Feet)</t>
  </si>
  <si>
    <t>Kenai, AK Liquefied Natural Gas Exports to Japan (MMcf)</t>
  </si>
  <si>
    <t>Port Nikiski, AK Liquefied Natural Gas Exports to Japan (MMcf)</t>
  </si>
  <si>
    <t>Sabine Pass, LA Exports to Japan Liquefied Natural Gas (Million Cubic Feet)</t>
  </si>
  <si>
    <t>Liquefied U.S. Natural Gas Exports to Mexico (MMcf)</t>
  </si>
  <si>
    <t>Nogales, AZ Liquefied Natural Gas Exports to Mexico (MMcf)</t>
  </si>
  <si>
    <t>Otay Mesa, CA Liquefied Natural Gas Exports to Mexico (MMcf)</t>
  </si>
  <si>
    <t>San Diego, CA Liquefied Natural Gas Exports to Mexico (MMcf)</t>
  </si>
  <si>
    <t>Liquefied U.S. Natural Gas Exports to Portugal (MMcf)</t>
  </si>
  <si>
    <t>Sabine Pass, LA Exports to Portugal Liquefied Natural Gas (Million Cubic Feet)</t>
  </si>
  <si>
    <t>Liquefied U.S. Natural Gas Exports to Russia (MMcf)</t>
  </si>
  <si>
    <t>Kenai, AK Liquefied Natural Gas Exports to Russia (MMcf)</t>
  </si>
  <si>
    <t>Liquefied U.S. Natural Gas Exports to South Korea (MMcf)</t>
  </si>
  <si>
    <t>Freeport, TX Liquefied Natural Gas Exports to South Korea (Million Cubic Feet)</t>
  </si>
  <si>
    <t>Sabine Pass, LA Exports to Korea Liquefied Natural Gas (Million Cubic Feet)</t>
  </si>
  <si>
    <t>U.S. Liquefied Natural Gas Exports to Spain (MMcf)</t>
  </si>
  <si>
    <t>Cameron, LA Liquefied Natural Gas Exports to Spain (Million Cubic Feet)</t>
  </si>
  <si>
    <t>Sabine Pass, LA Exports to Spain Liquefied Natural Gas (Million Cubic Feet)</t>
  </si>
  <si>
    <t>Liquefied U.S. Natural Gas Exports to United Kingdom (MMcf)</t>
  </si>
  <si>
    <t>Freeport, TX Exports to United Kingdom Liquefied Natural Gas (Million Cubic Feet)</t>
  </si>
  <si>
    <t>Sabine Pass, LA Exports to United kingdom Liquefied Natural Gas (Million Cubic Feet)</t>
  </si>
  <si>
    <t>Cameron, LA Liquefied Natural Gas Exports (Million Cubic Feet)</t>
  </si>
  <si>
    <t>Kenai, AK Liquefied Natural Gas Exports (Million Cubic Feet)</t>
  </si>
  <si>
    <t>Freeport, TX Liquefied Natural Gas Exports (Million Cubic Feet)</t>
  </si>
  <si>
    <t>Nogales, AZ Liquefied Natural Gas Exports (Million Cubic Feet)</t>
  </si>
  <si>
    <t>Otay Mesa, CA Liquefied Natural Gas Exports (Million Cubic Feet)</t>
  </si>
  <si>
    <t>Sabine Pass, LA Liquefied Natural Gas Exports (Million Cubic Feet)</t>
  </si>
  <si>
    <t>Sweetgrass, MT Liquefied Natural Gas Exports (Million Cubic Feet)</t>
  </si>
  <si>
    <t xml:space="preserve">EXPNGAM </t>
  </si>
  <si>
    <t>Exported natural gas to Mexico</t>
  </si>
  <si>
    <t>* Exports of NG Liguids</t>
  </si>
  <si>
    <t>Exported natural gas liquids</t>
  </si>
  <si>
    <t>EXPNGAL</t>
  </si>
  <si>
    <t>*Export natural gas supply and transport</t>
  </si>
  <si>
    <t>Primary Natural Gas Flows Entering NGTDM Region from Neighboring Regions, Reference case</t>
  </si>
  <si>
    <t>(billion cubic feet per year)</t>
  </si>
  <si>
    <t>Into New England From:</t>
  </si>
  <si>
    <t>  Middle Atlantic</t>
  </si>
  <si>
    <t>  Canada</t>
  </si>
  <si>
    <t>Into Middle Atlantic From:</t>
  </si>
  <si>
    <t>  East North Central</t>
  </si>
  <si>
    <t>  South Atlantic</t>
  </si>
  <si>
    <t>Into East North Central From:</t>
  </si>
  <si>
    <t>  West North Central</t>
  </si>
  <si>
    <t>  East South Central</t>
  </si>
  <si>
    <t>Into West North Central from:</t>
  </si>
  <si>
    <t>  West South Central</t>
  </si>
  <si>
    <t>  Mountain</t>
  </si>
  <si>
    <t>  Canada (direct)</t>
  </si>
  <si>
    <t>  Canada (through Mountain)</t>
  </si>
  <si>
    <t>Into South Atlantic from:</t>
  </si>
  <si>
    <t>Into East South Central from:</t>
  </si>
  <si>
    <t>Into West South Central from:</t>
  </si>
  <si>
    <t>  Arizona/New Mexico</t>
  </si>
  <si>
    <t>Into Mountain from:</t>
  </si>
  <si>
    <t>Into Pacific from:</t>
  </si>
  <si>
    <t>  Canada (into Washington)</t>
  </si>
  <si>
    <t>  Canada (through Idaho)</t>
  </si>
  <si>
    <t>Into Florida from:</t>
  </si>
  <si>
    <t>Into Arizona/New Mexico from:</t>
  </si>
  <si>
    <t>Into California from:</t>
  </si>
  <si>
    <t>  Pacific</t>
  </si>
  <si>
    <t>   NGTDM = Natural Gas Transmission and Distribution Model.  See Figure F4 in Appendix F of the AEO2014 for a map of the regions.</t>
  </si>
  <si>
    <t>   Source:  2011 based on U.S. Energy Information Administration (EIA), Natural Gas</t>
  </si>
  <si>
    <t>Annual 2011, DOE/EIA-0131(2011) (Washington, DC, January 2013).  2012 and projections:  EIA,</t>
  </si>
  <si>
    <t>AEO2014 National Energy Modeling System.</t>
  </si>
  <si>
    <t xml:space="preserve"> Table  109.  Natural Gas Pipeline Capacity By Census Division</t>
  </si>
  <si>
    <t xml:space="preserve">                         (design capacity in billion cubic feet per year)</t>
  </si>
  <si>
    <t>Capacity Entering Region 1/</t>
  </si>
  <si>
    <t>Capacity Exiting Region 2/</t>
  </si>
  <si>
    <t xml:space="preserve">   1/ Includes only the sum of capacity levels for the States bounding the respective regions including pipeline import capacity.</t>
  </si>
  <si>
    <t xml:space="preserve">   2/ Includes only the sum of capacity levels for the States bounding the respective regions including pipeline export capacity.</t>
  </si>
  <si>
    <t xml:space="preserve">   N/A = Not applicable.</t>
  </si>
  <si>
    <t xml:space="preserve">   Note:  Totals may not equal sum of components due to independent rounding.</t>
  </si>
  <si>
    <t xml:space="preserve">   Source:  Energy Information Administration, AEO2007 National Energy Modeling System run aeo2007.d112106a.</t>
  </si>
  <si>
    <t>* Taken from the AEO2007</t>
  </si>
  <si>
    <t xml:space="preserve"> Table  110.  Natural Gas Pipeline Capacity Utilization 1/ by Census Division</t>
  </si>
  <si>
    <t xml:space="preserve">                         (fraction)</t>
  </si>
  <si>
    <t>Utilization Entering Region</t>
  </si>
  <si>
    <t xml:space="preserve">    Average 2/</t>
  </si>
  <si>
    <t>Utilization Exiting Region</t>
  </si>
  <si>
    <t xml:space="preserve">   1/ Capacity utilization is defined as the annual throughput volume divided by the design capacity (Table 87).</t>
  </si>
  <si>
    <t xml:space="preserve">   2/ Weighted average utilization.  Weights used are the regional pipeline capacity levels provided in Table 87.</t>
  </si>
  <si>
    <t>SCNGAD2</t>
  </si>
  <si>
    <t>SCNGAD3</t>
  </si>
  <si>
    <t>SCNGAD4</t>
  </si>
  <si>
    <t>SCNGAD5</t>
  </si>
  <si>
    <t>SCNGAD6</t>
  </si>
  <si>
    <t>Trade Links</t>
  </si>
  <si>
    <t>R2 to R1</t>
  </si>
  <si>
    <t>2005 Capacity (billion cubic feet per year)</t>
  </si>
  <si>
    <t>R3 to R2</t>
  </si>
  <si>
    <t>R3 to R5</t>
  </si>
  <si>
    <t>R4 to R3</t>
  </si>
  <si>
    <t>R5 to R2</t>
  </si>
  <si>
    <t>R6 to R3</t>
  </si>
  <si>
    <t>R6 to R5</t>
  </si>
  <si>
    <t>R7 to R4</t>
  </si>
  <si>
    <t>R7 to R6</t>
  </si>
  <si>
    <t>R8 to R4</t>
  </si>
  <si>
    <t>R8 to R7</t>
  </si>
  <si>
    <t>R8 to R9</t>
  </si>
  <si>
    <t>Canada to R1</t>
  </si>
  <si>
    <t>Canada to R2</t>
  </si>
  <si>
    <t>Canada to R4</t>
  </si>
  <si>
    <t>Canada to R8</t>
  </si>
  <si>
    <t>Canada to R9</t>
  </si>
  <si>
    <t>sum from Canada =</t>
  </si>
  <si>
    <t>XNGA21N</t>
  </si>
  <si>
    <t>XNGA32N</t>
  </si>
  <si>
    <t>XNGA35N</t>
  </si>
  <si>
    <t>XNGA43N</t>
  </si>
  <si>
    <t>XNGA52N</t>
  </si>
  <si>
    <t>XNGA63N</t>
  </si>
  <si>
    <t>XNGA65N</t>
  </si>
  <si>
    <t>XNGA74N</t>
  </si>
  <si>
    <t>XNGA76N</t>
  </si>
  <si>
    <t>XNGA84N</t>
  </si>
  <si>
    <t>XNGA87N</t>
  </si>
  <si>
    <t>XNGA89N</t>
  </si>
  <si>
    <t>New natural gas pipeline from R2 to R1</t>
  </si>
  <si>
    <t>New natural gas pipeline from R3 to R2</t>
  </si>
  <si>
    <t>New natural gas pipeline from R3 to R5</t>
  </si>
  <si>
    <t>New natural gas pipeline from R4 to R3</t>
  </si>
  <si>
    <t>New natural gas pipeline from R5 to R2</t>
  </si>
  <si>
    <t>New natural gas pipeline from R6 to R3</t>
  </si>
  <si>
    <t>New natural gas pipeline from R6 to R5</t>
  </si>
  <si>
    <t>New natural gas pipeline from R7 to R4</t>
  </si>
  <si>
    <t>New natural gas pipeline from R7 to R6</t>
  </si>
  <si>
    <t>New natural gas pipeline from R8 to R4</t>
  </si>
  <si>
    <t>New natural gas pipeline from R8 to R7</t>
  </si>
  <si>
    <t>New natural gas pipeline from R8 to R9</t>
  </si>
  <si>
    <t>http://www.eia.gov/pub/oil_gas/natural_gas/analysis_publications/ngpipeline/usage.html</t>
  </si>
  <si>
    <t>* For more information on capacity use see</t>
  </si>
  <si>
    <t>Utilization</t>
  </si>
  <si>
    <t>Natural Gas Delivered Prices by End-Use Sector and Census Division, Reference case</t>
  </si>
  <si>
    <t>(2012 dollars per thousand cubic feet)</t>
  </si>
  <si>
    <t>Sector and Region</t>
  </si>
  <si>
    <t>Residential</t>
  </si>
  <si>
    <t>  New England</t>
  </si>
  <si>
    <t>    Total</t>
  </si>
  <si>
    <t>Commercial</t>
  </si>
  <si>
    <t>Industrial 1/</t>
  </si>
  <si>
    <t>Electric Power 2/</t>
  </si>
  <si>
    <t>Transportation 3/</t>
  </si>
  <si>
    <t>All Sectors 4/</t>
  </si>
  <si>
    <t>   1/ Includes energy for combined heat and power plants that have a non-regulatory status, and small on-site generating systems.</t>
  </si>
  <si>
    <t>Excludes lease and plant fuel.</t>
  </si>
  <si>
    <t>   2/ Includes consumption of energy by electricity-only and combined heat and power plants that have a regulatory status.</t>
  </si>
  <si>
    <t>   3/ Natural gas used as fuel in motor vehicles, trains, and ships.  Price includes estimated motor vehicle fuel taxes and estimated dispensing costs or charge</t>
  </si>
  <si>
    <t>   4/ Weighted average price.  Weights used are the sector consumption values.</t>
  </si>
  <si>
    <t>may differ from official EIA data reports due to internal conversion factors in the AEO2014 National Energy Modeling System.</t>
  </si>
  <si>
    <t>   Sources:  2011 residential, commercial, and industrial delivered prices:  Energy Information Administration (EIA),</t>
  </si>
  <si>
    <t>Natural Gas Annual 2011, DOE/EIA-0131(2011) (Washington, DC, January 2013).  2012 residential, commercial, and</t>
  </si>
  <si>
    <t>industrial delivered prices:  EIA, Natural Gas Monthly, DOE/EIA-0130(2013/06) (Washington, DC, June 2013).</t>
  </si>
  <si>
    <t>2011 and 2012 electric power prices:  EIA, Electric Power Monthly, DOE/EIA-0226,</t>
  </si>
  <si>
    <t>April 2012 and April 2013, Table 4.13.B, and EIA, State Energy Data System</t>
  </si>
  <si>
    <t>2011, DOE/EIA-0214(2011) (Washington, DC, June 2013).  2011 transportation sector delivered prices are</t>
  </si>
  <si>
    <t>based on:  EIA, Natural Gas Annual 2011, DOE/EIA-0131(2011) (Washington, DC, January 2013)</t>
  </si>
  <si>
    <t>and estimated state taxes, federal taxes, and dispensing costs or charges.</t>
  </si>
  <si>
    <t>2012 transportation sector delivered prices are model results.</t>
  </si>
  <si>
    <t>Projections:  EIA, AEO2014 National Energy Modeling System.</t>
  </si>
  <si>
    <t xml:space="preserve"> Natural gas end-use prices in 2010 (2005 dollars per PJ)</t>
  </si>
  <si>
    <t xml:space="preserve"> Natural gas regional prices in 2010 (2005 dollars per PJ)</t>
  </si>
  <si>
    <t>Regional Price in 2010</t>
  </si>
  <si>
    <t xml:space="preserve"> Natural gas end-use delivery costs in 2010 (2005 dollars per PJ)</t>
  </si>
  <si>
    <t>Delivery Cost Annual Escalation Factor (Reference year = 2010)</t>
  </si>
  <si>
    <t xml:space="preserve">Step 3 Price Starting Point: </t>
  </si>
  <si>
    <t>NGACX</t>
  </si>
  <si>
    <t>Canadian Natural Gas</t>
  </si>
  <si>
    <t>SCNGAC1</t>
  </si>
  <si>
    <t>SCNGAC2</t>
  </si>
  <si>
    <t>SCNGAC4</t>
  </si>
  <si>
    <t>Canadian imported natural gas in R1</t>
  </si>
  <si>
    <t>Canadian imported natural gas in R2</t>
  </si>
  <si>
    <t>Canadian imported natural gas in R4</t>
  </si>
  <si>
    <t>% of total</t>
  </si>
  <si>
    <t>M 2005$/PJ /a</t>
  </si>
  <si>
    <t>From AEO2014 Appendix Table G</t>
  </si>
  <si>
    <t>Imports</t>
  </si>
  <si>
    <t>* Table used for OC and BC factors</t>
  </si>
  <si>
    <t>Emissions Calculations Raw Data</t>
  </si>
  <si>
    <t>* Values not used, updated values calculated below for weighting shale</t>
  </si>
  <si>
    <t>1998$-day per (Mcf-Mile);</t>
  </si>
  <si>
    <t>Imported Canadian Natural Gas to R1</t>
  </si>
  <si>
    <t>Imported Canadian Natural Gas to R2</t>
  </si>
  <si>
    <t>Imported Canadian Natural Gas to R4</t>
  </si>
  <si>
    <t>Imported LNG to Existing Terminal    Everett, MA</t>
  </si>
  <si>
    <t>Imported Natural Gas Supply - Canada</t>
  </si>
  <si>
    <t>Imported Natural Gas Supply - Mexico</t>
  </si>
  <si>
    <t>Imported Natural Gas Supply - LNG</t>
  </si>
  <si>
    <t>Price Adjustment</t>
  </si>
  <si>
    <t>Henry Hub</t>
  </si>
  <si>
    <t>*10% above average price</t>
  </si>
  <si>
    <t>* Price Shocks</t>
  </si>
  <si>
    <t>% NG lost during extraction, processing, transmission and storage</t>
  </si>
  <si>
    <t>% of methane in NG by volume</t>
  </si>
  <si>
    <t>ft3</t>
  </si>
  <si>
    <t>Natural Gas-energy content</t>
  </si>
  <si>
    <t>Btu/ft3</t>
  </si>
  <si>
    <t>Natural Gas-total energy</t>
  </si>
  <si>
    <t>MMBtu</t>
  </si>
  <si>
    <t>Methane loss per 100 ft3</t>
  </si>
  <si>
    <t>Density of methane</t>
  </si>
  <si>
    <t>lb/ft3</t>
  </si>
  <si>
    <t>Methane loss</t>
  </si>
  <si>
    <t>lb</t>
  </si>
  <si>
    <t>CH4 emission factor</t>
  </si>
  <si>
    <t>lb CH4/MMBtu of NG</t>
  </si>
  <si>
    <t>GJ/mmBtu</t>
  </si>
  <si>
    <t>Caulton et al. (2014). Toward a better understanding and quantification of methane emissions from shale gas development. PNAS 111(17): 6237-6242.</t>
  </si>
  <si>
    <t>this paper mentions: current range of observed CH4 emissions from US natural gas systems (2.3-11.7%) *based on Karion et al. (2013) GRL paper and Allen et al. (2013) PNAS paper.</t>
  </si>
  <si>
    <t>kT CH4/PJ of NG</t>
  </si>
  <si>
    <t>2010-2015</t>
  </si>
  <si>
    <t xml:space="preserve">RECENT STUDY INCORPORATING TOP-DOWN Emission measurements. </t>
  </si>
  <si>
    <t>if top-down estimates selected, which value in the range? (High, Avg)</t>
  </si>
  <si>
    <t>Effectiveness of greencompletions</t>
  </si>
  <si>
    <t>avg</t>
  </si>
  <si>
    <t xml:space="preserve">Bottom-up vs. top-down emission factors: </t>
  </si>
  <si>
    <t>Option "true" will use Weber and Clavin (2012) estimates with regional variation</t>
  </si>
  <si>
    <t>Option "false" will use Caulton et al. (2014) estimates, same values for whole nation.</t>
  </si>
  <si>
    <t>Assumed national average reduction in emissions due to green completions</t>
  </si>
  <si>
    <t>% change in emissions based on regional shale (based on calculation using Weber data)</t>
  </si>
  <si>
    <t>average % of regional NG production from reference run (2025-2050)</t>
  </si>
  <si>
    <t>emissions reduction in later years due to green completions</t>
  </si>
  <si>
    <t>*R9</t>
  </si>
  <si>
    <t>*R7</t>
  </si>
  <si>
    <t>*R4</t>
  </si>
  <si>
    <t>*R2</t>
  </si>
  <si>
    <t>*R8</t>
  </si>
  <si>
    <t>*R7,R8,R9</t>
  </si>
  <si>
    <t>*R3</t>
  </si>
  <si>
    <t>*R5</t>
  </si>
  <si>
    <t>NGAC3</t>
  </si>
  <si>
    <t>NGAC5</t>
  </si>
  <si>
    <t>NGAC6</t>
  </si>
  <si>
    <t>Imported Canadian Natural Gas to R3</t>
  </si>
  <si>
    <t>Imported Canadian Natural Gas to R5</t>
  </si>
  <si>
    <t>Imported Canadian Natural Gas to R6</t>
  </si>
  <si>
    <t>Domestic Natural Gas - R1</t>
  </si>
  <si>
    <t>R1,R2,R3,R4,R5,R6</t>
  </si>
  <si>
    <t>NGAR1</t>
  </si>
  <si>
    <t>Natural Gas - R1</t>
  </si>
  <si>
    <t>R0,R1,R2,R5,R6</t>
  </si>
  <si>
    <t>Imported LNG to Existing Terminal in Manhattan</t>
  </si>
  <si>
    <t>NGALE4</t>
  </si>
  <si>
    <t>Imported LNG to Existing Terminal in Staten Island</t>
  </si>
  <si>
    <t>*R1,R2,R3,R4,R5,R6</t>
  </si>
  <si>
    <t>NGLR1</t>
  </si>
  <si>
    <t>Traded natural gas plant liquids from R1</t>
  </si>
  <si>
    <t>Collector: Natural Gas R1</t>
  </si>
  <si>
    <t>SCNGAD1</t>
  </si>
  <si>
    <t>Domestic natural gas Existing infrastructure in R1</t>
  </si>
  <si>
    <t>XNGAC3E</t>
  </si>
  <si>
    <t>XNGAC5E</t>
  </si>
  <si>
    <t>Existing Pipeline for Import Canadian natural gas to R3</t>
  </si>
  <si>
    <t>Existing Pipeline for Import Canadian natural gas to R5</t>
  </si>
  <si>
    <t>XNGAC6E</t>
  </si>
  <si>
    <t>Existing Pipeline for Import Canadian natural gas to R6</t>
  </si>
  <si>
    <t>XNGAC3N</t>
  </si>
  <si>
    <t>XNGAC6N</t>
  </si>
  <si>
    <t>XNGAC5N</t>
  </si>
  <si>
    <t>New Pipeline for Import Canadian natural gas to R6</t>
  </si>
  <si>
    <t>New Pipeline for Import Canadian natural gas to R3</t>
  </si>
  <si>
    <t>New Pipeline for Import Canadian natural gas to R5</t>
  </si>
  <si>
    <t>XNGALE4E</t>
  </si>
  <si>
    <t>Infrastructure for Import LNG to Existing terminal in R4 - Manhattan</t>
  </si>
  <si>
    <t>Infrastructure for Import LNG to Existing terminal in R5 - Staten Island</t>
  </si>
  <si>
    <t>XNGALE4N</t>
  </si>
  <si>
    <t>New Infrastructure for Import LNG to Existing terminal in R5 - Staten Island</t>
  </si>
  <si>
    <t>_GLOBAL,R0,R1,R2,R3,R4,R5,R6</t>
  </si>
  <si>
    <t>NGAD1</t>
  </si>
  <si>
    <t>SCNGAC3</t>
  </si>
  <si>
    <t>SCNGAC5</t>
  </si>
  <si>
    <t>Canadian imported natural gas in R3</t>
  </si>
  <si>
    <t>Canadian imported natural gas in R5</t>
  </si>
  <si>
    <t>SCNGAC6</t>
  </si>
  <si>
    <t>Canadian imported natural gas in R6</t>
  </si>
  <si>
    <t>SCNGAR1</t>
  </si>
  <si>
    <t>* Domestic Natural Gas Import &amp; Export Technologies</t>
  </si>
  <si>
    <t>EXPNGAR12</t>
  </si>
  <si>
    <t>Export of domestic natural gas from R1 to R2</t>
  </si>
  <si>
    <t>EXPNGAR13</t>
  </si>
  <si>
    <t>Export of domestic natural gas from R1 to R3</t>
  </si>
  <si>
    <t>EXPNGAR14</t>
  </si>
  <si>
    <t>Export of domestic natural gas from R1 to R4</t>
  </si>
  <si>
    <t>EXPNGAR15</t>
  </si>
  <si>
    <t>Export of domestic natural gas from R1 to R5</t>
  </si>
  <si>
    <t>EXPNGAR16</t>
  </si>
  <si>
    <t>Export of domestic natural gas from R1 to R6</t>
  </si>
  <si>
    <t>EXPNGAR23</t>
  </si>
  <si>
    <t>Export of domestic natural gas from R2 to R3</t>
  </si>
  <si>
    <t>EXPNGAR24</t>
  </si>
  <si>
    <t>Export of domestic natural gas from R2 to R4</t>
  </si>
  <si>
    <t>EXPNGAR25</t>
  </si>
  <si>
    <t>Export of domestic natural gas from R2 to R5</t>
  </si>
  <si>
    <t>EXPNGAR34</t>
  </si>
  <si>
    <t>Export of domestic natural gas from R3 to R4</t>
  </si>
  <si>
    <t>EXPNGAR36</t>
  </si>
  <si>
    <t>Export of domestic natural gas from R3 to R6</t>
  </si>
  <si>
    <t>EXPNGAR42</t>
  </si>
  <si>
    <t>Export of domestic natural gas from R4 to R2</t>
  </si>
  <si>
    <t>EXPNGAR45</t>
  </si>
  <si>
    <t>Export of domestic natural gas from R4 to R5</t>
  </si>
  <si>
    <t>EXPNGAR46</t>
  </si>
  <si>
    <t>Export of domestic natural gas from R4 to R6</t>
  </si>
  <si>
    <t>EXPNGAR54</t>
  </si>
  <si>
    <t>Export of domestic natural gas from R5 to R4</t>
  </si>
  <si>
    <t>EXPNGAR64</t>
  </si>
  <si>
    <t>Export of domestic natural gas from R6 to R4</t>
  </si>
  <si>
    <t>IMPNGAR12</t>
  </si>
  <si>
    <t>Import of domestic natural gas from R1 to R2</t>
  </si>
  <si>
    <t>IMPNGAR13</t>
  </si>
  <si>
    <t>Import of domestic natural gas from R1 to R3</t>
  </si>
  <si>
    <t>IMPNGAR14</t>
  </si>
  <si>
    <t>Import of domestic natural gas from R1 to R4</t>
  </si>
  <si>
    <t>IMPNGAR15</t>
  </si>
  <si>
    <t>Import of domestic natural gas from R1 to R5</t>
  </si>
  <si>
    <t>IMPNGAR16</t>
  </si>
  <si>
    <t>Import of domestic natural gas from R1 to R6</t>
  </si>
  <si>
    <t>IMPNGAR23</t>
  </si>
  <si>
    <t>Import of domestic natural gas from R2 to R3</t>
  </si>
  <si>
    <t>IMPNGAR24</t>
  </si>
  <si>
    <t>Import of domestic natural gas from R2 to R4</t>
  </si>
  <si>
    <t>IMPNGAR25</t>
  </si>
  <si>
    <t>Import of domestic natural gas from R2 to R5</t>
  </si>
  <si>
    <t>IMPNGAR34</t>
  </si>
  <si>
    <t>Import of domestic natural gas from R3 to R4</t>
  </si>
  <si>
    <t>IMPNGAR36</t>
  </si>
  <si>
    <t>Import of domestic natural gas from R3 to R6</t>
  </si>
  <si>
    <t>IMPNGAR42</t>
  </si>
  <si>
    <t>Import of domestic natural gas from R4 to R2</t>
  </si>
  <si>
    <t>IMPNGAR45</t>
  </si>
  <si>
    <t>Import of domestic natural gas from R4 to R5</t>
  </si>
  <si>
    <t>IMPNGAR46</t>
  </si>
  <si>
    <t>Import of domestic natural gas from R4 to R6</t>
  </si>
  <si>
    <t>IMPNGAR54</t>
  </si>
  <si>
    <t>Import of domestic natural gas from R5 to R4</t>
  </si>
  <si>
    <t>IMPNGAR64</t>
  </si>
  <si>
    <t>Import of domestic natural gas from R6 to R4</t>
  </si>
  <si>
    <t>*R1</t>
  </si>
  <si>
    <t>*R6</t>
  </si>
  <si>
    <t>XNGA12E</t>
  </si>
  <si>
    <t>Existing natural gas pipeline from R1 to R2</t>
  </si>
  <si>
    <t>XNGA13E</t>
  </si>
  <si>
    <t>Existing natural gas pipeline from R1 to R3</t>
  </si>
  <si>
    <t>XNGA14E</t>
  </si>
  <si>
    <t>Existing natural gas pipeline from R1 to R4</t>
  </si>
  <si>
    <t>XNGA15E</t>
  </si>
  <si>
    <t>Existing natural gas pipeline from R1 to R5</t>
  </si>
  <si>
    <t>XNGA16E</t>
  </si>
  <si>
    <t>Existing natural gas pipeline from R1 to R6</t>
  </si>
  <si>
    <t>XNGA23E</t>
  </si>
  <si>
    <t>Existing natural gas pipeline from R2 to R3</t>
  </si>
  <si>
    <t>XNGA24E</t>
  </si>
  <si>
    <t>Existing natural gas pipeline from R2 to R4</t>
  </si>
  <si>
    <t>XNGA25E</t>
  </si>
  <si>
    <t>Existing natural gas pipeline from R2 to R5</t>
  </si>
  <si>
    <t>XNGA34E</t>
  </si>
  <si>
    <t>Existing natural gas pipeline from R3 to R4</t>
  </si>
  <si>
    <t>XNGA36E</t>
  </si>
  <si>
    <t>Existing natural gas pipeline from R3 to R6</t>
  </si>
  <si>
    <t>XNGA42E</t>
  </si>
  <si>
    <t>Existing natural gas pipeline from R4 to R2</t>
  </si>
  <si>
    <t>XNGA45E</t>
  </si>
  <si>
    <t>Existing natural gas pipeline from R4 to R5</t>
  </si>
  <si>
    <t>XNGA46E</t>
  </si>
  <si>
    <t>Existing natural gas pipeline from R4 to R6</t>
  </si>
  <si>
    <t>XNGA54E</t>
  </si>
  <si>
    <t>Existing natural gas pipeline from R5 to R4</t>
  </si>
  <si>
    <t>XNGA64E</t>
  </si>
  <si>
    <t>Existing natural gas pipeline from R6 to R4</t>
  </si>
  <si>
    <t>XNGA12N</t>
  </si>
  <si>
    <t>New natural gas pipeline from R1 to R2</t>
  </si>
  <si>
    <t>XNGA13N</t>
  </si>
  <si>
    <t>New natural gas pipeline from R1 to R3</t>
  </si>
  <si>
    <t>XNGA14N</t>
  </si>
  <si>
    <t>New natural gas pipeline from R1 to R4</t>
  </si>
  <si>
    <t>XNGA15N</t>
  </si>
  <si>
    <t>New natural gas pipeline from R1 to R5</t>
  </si>
  <si>
    <t>XNGA16N</t>
  </si>
  <si>
    <t>New natural gas pipeline from R1 to R6</t>
  </si>
  <si>
    <t>XNGA23N</t>
  </si>
  <si>
    <t>New natural gas pipeline from R2 to R3</t>
  </si>
  <si>
    <t>XNGA24N</t>
  </si>
  <si>
    <t>New natural gas pipeline from R2 to R4</t>
  </si>
  <si>
    <t>XNGA25N</t>
  </si>
  <si>
    <t>New natural gas pipeline from R2 to R5</t>
  </si>
  <si>
    <t>New natural gas pipeline from R3 to R3</t>
  </si>
  <si>
    <t>XNGA34N</t>
  </si>
  <si>
    <t>New natural gas pipeline from R3 to R4</t>
  </si>
  <si>
    <t>XNGA36N</t>
  </si>
  <si>
    <t>New natural gas pipeline from R3 to R6</t>
  </si>
  <si>
    <t>XNGA42N</t>
  </si>
  <si>
    <t>New natural gas pipeline from R4 to R2</t>
  </si>
  <si>
    <t>XNGA45N</t>
  </si>
  <si>
    <t>New natural gas pipeline from R4 to R5</t>
  </si>
  <si>
    <t>XNGA46N</t>
  </si>
  <si>
    <t>New natural gas pipeline from R4 to R6</t>
  </si>
  <si>
    <t>XNGA54N</t>
  </si>
  <si>
    <t>New natural gas pipeline from R5 to R4</t>
  </si>
  <si>
    <t>XNGA64N</t>
  </si>
  <si>
    <t>New natural gas pipeline from R6 to R4</t>
  </si>
  <si>
    <t>* Emissions Commodities</t>
  </si>
  <si>
    <t>Carbon dioxide</t>
  </si>
  <si>
    <t>Mt</t>
  </si>
  <si>
    <t>ENV</t>
  </si>
  <si>
    <t>Nitrogen oxide</t>
  </si>
  <si>
    <t>kt</t>
  </si>
  <si>
    <t>Particulate matter</t>
  </si>
  <si>
    <t>Fine particulate matter</t>
  </si>
  <si>
    <t>Volatile organic compounds</t>
  </si>
  <si>
    <t>Carbon monoxide</t>
  </si>
  <si>
    <t>Methane</t>
  </si>
  <si>
    <t>Black carbon</t>
  </si>
  <si>
    <t>Organic carbon</t>
  </si>
  <si>
    <t>Sulfur dioxide</t>
  </si>
  <si>
    <t>March</t>
  </si>
  <si>
    <t>April</t>
  </si>
  <si>
    <t>May</t>
  </si>
  <si>
    <t>June</t>
  </si>
  <si>
    <t>July</t>
  </si>
  <si>
    <t>August</t>
  </si>
  <si>
    <t>September</t>
  </si>
  <si>
    <t>October</t>
  </si>
  <si>
    <t>November</t>
  </si>
  <si>
    <t>December</t>
  </si>
  <si>
    <t>Month</t>
  </si>
  <si>
    <t>February</t>
  </si>
  <si>
    <t>Days</t>
  </si>
  <si>
    <t>Hours</t>
  </si>
  <si>
    <t>Night Hours</t>
  </si>
  <si>
    <t>January</t>
  </si>
  <si>
    <t>8pm-6am</t>
  </si>
  <si>
    <t>Total Night Hours</t>
  </si>
  <si>
    <t>Day AM Hours</t>
  </si>
  <si>
    <t>6am-12pm</t>
  </si>
  <si>
    <t>Day PM Hours</t>
  </si>
  <si>
    <t>12pm-4pm</t>
  </si>
  <si>
    <t>Peak Hours</t>
  </si>
  <si>
    <t>4pm-8pm</t>
  </si>
  <si>
    <t>Total Day AM</t>
  </si>
  <si>
    <t>Total Day PM</t>
  </si>
  <si>
    <t>I-DAM</t>
  </si>
  <si>
    <t>I-DPM</t>
  </si>
  <si>
    <t>I-P</t>
  </si>
  <si>
    <t>I-N</t>
  </si>
  <si>
    <t>S-DAM</t>
  </si>
  <si>
    <t>S-DPM</t>
  </si>
  <si>
    <t>S-P</t>
  </si>
  <si>
    <t>S-N</t>
  </si>
  <si>
    <t>W-DAM</t>
  </si>
  <si>
    <t>W-DPM</t>
  </si>
  <si>
    <t>W-P</t>
  </si>
  <si>
    <t>W-N</t>
  </si>
  <si>
    <t>Time Slice Percentages</t>
  </si>
  <si>
    <t>Total Peak</t>
  </si>
  <si>
    <t>*R0,R2</t>
  </si>
  <si>
    <t>*R0,R3</t>
  </si>
  <si>
    <t>*R0,R4</t>
  </si>
  <si>
    <t>*R0,R5</t>
  </si>
  <si>
    <t>*R0,R6</t>
  </si>
  <si>
    <t>* Existing NGA Pipelines</t>
  </si>
  <si>
    <t>* New NGA Pipelines</t>
  </si>
  <si>
    <t>* NGA Pipeline Technologies from EPAUS9R</t>
  </si>
  <si>
    <t>MINNGLDMY</t>
  </si>
  <si>
    <t>Dummy NGL Resource Supply</t>
  </si>
  <si>
    <t>* Dummy NGA Supply Technologies (COST is 1.25 x the highest price step)</t>
  </si>
  <si>
    <r>
      <t>a</t>
    </r>
    <r>
      <rPr>
        <sz val="10"/>
        <color indexed="8"/>
        <rFont val="Calibri"/>
        <family val="2"/>
      </rPr>
      <t xml:space="preserve"> Includes Federal offshore Alabama. </t>
    </r>
  </si>
  <si>
    <r>
      <t>b</t>
    </r>
    <r>
      <rPr>
        <sz val="10"/>
        <color indexed="8"/>
        <rFont val="Calibri"/>
        <family val="2"/>
      </rPr>
      <t xml:space="preserve"> Includes Arizona, Illinois, Indiana, Maryland, Missouri, Nebraska, Nevada, Oregon, South Dakota, and Tennessee. </t>
    </r>
  </si>
  <si>
    <t>2005              in 2005$</t>
  </si>
  <si>
    <t>2010              in 2010$</t>
  </si>
  <si>
    <t>  (2012 dollars per million Btu)</t>
  </si>
  <si>
    <r>
      <t>1</t>
    </r>
    <r>
      <rPr>
        <sz val="10"/>
        <color theme="1"/>
        <rFont val="Arial"/>
        <family val="2"/>
      </rPr>
      <t>Using elemental carbon as a surrogate for black carbon.</t>
    </r>
  </si>
  <si>
    <r>
      <t>2</t>
    </r>
    <r>
      <rPr>
        <sz val="10"/>
        <color theme="1"/>
        <rFont val="Arial"/>
        <family val="2"/>
      </rPr>
      <t>Hg emissions from resource extraction are insignificant.</t>
    </r>
  </si>
  <si>
    <r>
      <t>3</t>
    </r>
    <r>
      <rPr>
        <sz val="10"/>
        <color theme="1"/>
        <rFont val="Arial"/>
        <family val="2"/>
      </rPr>
      <t>Not available.</t>
    </r>
  </si>
  <si>
    <r>
      <t>NO</t>
    </r>
    <r>
      <rPr>
        <b/>
        <vertAlign val="subscript"/>
        <sz val="10"/>
        <color theme="1"/>
        <rFont val="Arial"/>
        <family val="2"/>
      </rPr>
      <t>x</t>
    </r>
  </si>
  <si>
    <r>
      <t>PM</t>
    </r>
    <r>
      <rPr>
        <b/>
        <vertAlign val="subscript"/>
        <sz val="10"/>
        <color theme="1"/>
        <rFont val="Arial"/>
        <family val="2"/>
      </rPr>
      <t>10</t>
    </r>
  </si>
  <si>
    <r>
      <t>PM</t>
    </r>
    <r>
      <rPr>
        <b/>
        <vertAlign val="subscript"/>
        <sz val="10"/>
        <color theme="1"/>
        <rFont val="Arial"/>
        <family val="2"/>
      </rPr>
      <t>2.5</t>
    </r>
  </si>
  <si>
    <r>
      <t>SO</t>
    </r>
    <r>
      <rPr>
        <b/>
        <vertAlign val="subscript"/>
        <sz val="10"/>
        <color theme="1"/>
        <rFont val="Arial"/>
        <family val="2"/>
      </rPr>
      <t>x</t>
    </r>
  </si>
  <si>
    <r>
      <t>CH</t>
    </r>
    <r>
      <rPr>
        <b/>
        <vertAlign val="subscript"/>
        <sz val="10"/>
        <color theme="1"/>
        <rFont val="Arial"/>
        <family val="2"/>
      </rPr>
      <t>4</t>
    </r>
  </si>
  <si>
    <r>
      <t>N</t>
    </r>
    <r>
      <rPr>
        <b/>
        <vertAlign val="subscript"/>
        <sz val="10"/>
        <color theme="1"/>
        <rFont val="Arial"/>
        <family val="2"/>
      </rPr>
      <t>2</t>
    </r>
    <r>
      <rPr>
        <b/>
        <sz val="10"/>
        <color theme="1"/>
        <rFont val="Arial"/>
        <family val="2"/>
      </rPr>
      <t>O</t>
    </r>
  </si>
  <si>
    <r>
      <t>CO</t>
    </r>
    <r>
      <rPr>
        <b/>
        <vertAlign val="subscript"/>
        <sz val="10"/>
        <color theme="1"/>
        <rFont val="Arial"/>
        <family val="2"/>
      </rPr>
      <t>2</t>
    </r>
  </si>
  <si>
    <r>
      <t>BC</t>
    </r>
    <r>
      <rPr>
        <b/>
        <vertAlign val="superscript"/>
        <sz val="10"/>
        <color theme="1"/>
        <rFont val="Arial"/>
        <family val="2"/>
      </rPr>
      <t>1</t>
    </r>
  </si>
  <si>
    <r>
      <t>Hg</t>
    </r>
    <r>
      <rPr>
        <b/>
        <vertAlign val="superscript"/>
        <sz val="10"/>
        <color theme="1"/>
        <rFont val="Arial"/>
        <family val="2"/>
      </rPr>
      <t>2</t>
    </r>
  </si>
  <si>
    <r>
      <t>na</t>
    </r>
    <r>
      <rPr>
        <vertAlign val="superscript"/>
        <sz val="10"/>
        <color theme="1"/>
        <rFont val="Arial"/>
        <family val="2"/>
      </rPr>
      <t>3</t>
    </r>
  </si>
  <si>
    <r>
      <t>Emissions from natural gas distribution to</t>
    </r>
    <r>
      <rPr>
        <b/>
        <sz val="10"/>
        <color rgb="FFFF0000"/>
        <rFont val="Arial"/>
        <family val="2"/>
      </rPr>
      <t xml:space="preserve"> end-use sectors</t>
    </r>
  </si>
  <si>
    <r>
      <t xml:space="preserve">Emissions from Domestic </t>
    </r>
    <r>
      <rPr>
        <b/>
        <sz val="10"/>
        <color rgb="FFFF0000"/>
        <rFont val="Arial"/>
        <family val="2"/>
      </rPr>
      <t>Natural Gas Production</t>
    </r>
  </si>
  <si>
    <r>
      <t xml:space="preserve">Natural gas domestic production </t>
    </r>
    <r>
      <rPr>
        <b/>
        <sz val="10"/>
        <color rgb="FFFF0000"/>
        <rFont val="Arial"/>
        <family val="2"/>
      </rPr>
      <t>CO2 and CH4 update</t>
    </r>
    <r>
      <rPr>
        <b/>
        <sz val="10"/>
        <color theme="1"/>
        <rFont val="Arial"/>
        <family val="2"/>
      </rPr>
      <t>, these numbers will replace the GREET factors above. 4/11/13 pok.</t>
    </r>
  </si>
  <si>
    <t>Old data</t>
  </si>
  <si>
    <t>  Canada (direct)-old</t>
  </si>
  <si>
    <t>  Canada (through Mountain)-old</t>
  </si>
  <si>
    <t>  Middle Atlantic-old</t>
  </si>
  <si>
    <t>  Canada-old</t>
  </si>
  <si>
    <t>Updated by AEO 2011 data</t>
  </si>
  <si>
    <t>  Canada (into Washington)-old</t>
  </si>
  <si>
    <t>  Canada (through Idaho)-old</t>
  </si>
  <si>
    <t>Canada to NYS</t>
  </si>
  <si>
    <t>NYS</t>
  </si>
  <si>
    <t>(%)</t>
  </si>
  <si>
    <t>NYS LB</t>
  </si>
  <si>
    <t>2010 NYS LB</t>
  </si>
  <si>
    <t>~FI_Comm</t>
  </si>
  <si>
    <t>Unit</t>
  </si>
  <si>
    <t>Csets</t>
  </si>
  <si>
    <t>LimType</t>
  </si>
  <si>
    <t>CTSLvl</t>
  </si>
  <si>
    <t>PeakTS</t>
  </si>
  <si>
    <t>Ctype</t>
  </si>
  <si>
    <t>~FI_Process</t>
  </si>
  <si>
    <t>Tact</t>
  </si>
  <si>
    <t>Tcap</t>
  </si>
  <si>
    <t>Sets</t>
  </si>
  <si>
    <t>PrimaryCG</t>
  </si>
  <si>
    <t>Vintage</t>
  </si>
  <si>
    <t>NRG</t>
  </si>
  <si>
    <t>~FI_T</t>
  </si>
  <si>
    <t>MIN</t>
  </si>
  <si>
    <t>PRE</t>
  </si>
  <si>
    <t>IMP</t>
  </si>
  <si>
    <t>EXP</t>
  </si>
  <si>
    <t>*TID</t>
  </si>
  <si>
    <t>COST~2010</t>
  </si>
  <si>
    <t>COST~2015</t>
  </si>
  <si>
    <t>COST~2020</t>
  </si>
  <si>
    <t>COST~2025</t>
  </si>
  <si>
    <t>COST~2030</t>
  </si>
  <si>
    <t>COST~2035</t>
  </si>
  <si>
    <t>COST~2040</t>
  </si>
  <si>
    <t>COST~2045</t>
  </si>
  <si>
    <t>COST~2050</t>
  </si>
  <si>
    <t>COST~2055</t>
  </si>
  <si>
    <t>EFF</t>
  </si>
  <si>
    <t>*GROWTH_TIDr</t>
  </si>
  <si>
    <t>*GROWTHr~2010</t>
  </si>
  <si>
    <t>*GROWTHr~2015-2020</t>
  </si>
  <si>
    <t>*GROWTHr~2025-2055</t>
  </si>
  <si>
    <t>*DECAYr~2010</t>
  </si>
  <si>
    <t>*DECAYr~2015-2055</t>
  </si>
  <si>
    <t>AFA</t>
  </si>
  <si>
    <t>ENV_ACT~CO2~2010</t>
  </si>
  <si>
    <t>ENV_ACT~CO2~2015-2055</t>
  </si>
  <si>
    <t>ENV_ACT~VOC~2010</t>
  </si>
  <si>
    <t>ENV_ACT~VOC~2015</t>
  </si>
  <si>
    <t>ENV_ACT~VOC~2020-2055</t>
  </si>
  <si>
    <t>ENV_ACT~CO~2010</t>
  </si>
  <si>
    <t>ENV_ACT~CO~2015</t>
  </si>
  <si>
    <t>ENV_ACT~CO~2020-2055</t>
  </si>
  <si>
    <t>ENV_ACT~NOX~2010</t>
  </si>
  <si>
    <t>ENV_ACT~NOX~2015</t>
  </si>
  <si>
    <t>ENV_ACT~NOX~2020-2055</t>
  </si>
  <si>
    <t>ENV_ACT~PM10~2010</t>
  </si>
  <si>
    <t>ENV_ACT~PM10~2015</t>
  </si>
  <si>
    <t>ENV_ACT~PM10~2020-2055</t>
  </si>
  <si>
    <t>ENV_ACT~PM25~2010</t>
  </si>
  <si>
    <t>ENV_ACT~PM25~2015</t>
  </si>
  <si>
    <t>ENV_ACT~PM25~2020-2055</t>
  </si>
  <si>
    <t>ENV_ACT~SO2~2010</t>
  </si>
  <si>
    <t>ENV_ACT~SO2~2015</t>
  </si>
  <si>
    <t>ENV_ACT~SO2~2020-2055</t>
  </si>
  <si>
    <t>ENV_ACT~CH4~2010-2015</t>
  </si>
  <si>
    <t>ENV_ACT~CH4~2015</t>
  </si>
  <si>
    <t>ENV_ACT~CH4~2020-2055</t>
  </si>
  <si>
    <t>ENV_ACT~N2O~2010</t>
  </si>
  <si>
    <t>ENV_ACT~N2O~2015</t>
  </si>
  <si>
    <t>ENV_ACT~N2O~2020-2055</t>
  </si>
  <si>
    <t>ENV_ACT~OC~2010</t>
  </si>
  <si>
    <t>ENV_ACT~OC~2015</t>
  </si>
  <si>
    <t>ENV_ACT~OC~2020-2055</t>
  </si>
  <si>
    <t>ENV_ACT~BC~2010</t>
  </si>
  <si>
    <t>ENV_ACT~BC~2015</t>
  </si>
  <si>
    <t>ENV_ACT~BC~2020-2055</t>
  </si>
  <si>
    <t>*Minning Natural gas</t>
  </si>
  <si>
    <t>*Extraction Natural gas</t>
  </si>
  <si>
    <t>NCAP_COST</t>
  </si>
  <si>
    <t>*Natural gas change names</t>
  </si>
  <si>
    <t>ENV_ACT~VOC</t>
  </si>
  <si>
    <t>ENV_ACT~CO</t>
  </si>
  <si>
    <t>ENV_ACT~NOX</t>
  </si>
  <si>
    <t>ENV_ACT~PM10</t>
  </si>
  <si>
    <t>ENV_ACT~PM25</t>
  </si>
  <si>
    <t>ENV_ACT~SO2</t>
  </si>
  <si>
    <t>ENV_ACT~CH4</t>
  </si>
  <si>
    <t>ENV_ACT~N2O</t>
  </si>
  <si>
    <t>ENV_ACT~CO2</t>
  </si>
  <si>
    <t>Share~UP</t>
  </si>
  <si>
    <t>*LNG Terminals</t>
  </si>
  <si>
    <t>NCAP_START</t>
  </si>
  <si>
    <t>NCAP_TLIFE</t>
  </si>
  <si>
    <t>New Infrastructure for Import LNG to Existing terminal in R4 - Manhattan</t>
  </si>
  <si>
    <t>NCAP_FOM</t>
  </si>
  <si>
    <t>ACT_COST</t>
  </si>
  <si>
    <t>ACT_COST~2010</t>
  </si>
  <si>
    <t>ACT_COST~2015</t>
  </si>
  <si>
    <t>ACT_COST~2020</t>
  </si>
  <si>
    <t>ACT_COST~2025</t>
  </si>
  <si>
    <t>ACT_COST~2030</t>
  </si>
  <si>
    <t>ACT_COST~2035</t>
  </si>
  <si>
    <t>ACT_COST~2040</t>
  </si>
  <si>
    <t>ACT_COST~2045</t>
  </si>
  <si>
    <t>ACT_COST~2050</t>
  </si>
  <si>
    <t>ACT_COST~2055</t>
  </si>
  <si>
    <t>Share~UP~2010</t>
  </si>
  <si>
    <t>Share~UP~2055</t>
  </si>
  <si>
    <t>*R1,R2,R3,R4,R5,R7</t>
  </si>
  <si>
    <t>*R1,R2,R3,R4,R5,R8</t>
  </si>
  <si>
    <t>*R1,R2,R3,R4,R5,R9</t>
  </si>
  <si>
    <t>*R1,R2,R3,R4,R5,R10</t>
  </si>
  <si>
    <t>*R1,R2,R3,R4,R5,R11</t>
  </si>
  <si>
    <t>*R1,R2,R3,R4,R5,R12</t>
  </si>
  <si>
    <t>*R1,R2,R3,R4,R5,R13</t>
  </si>
  <si>
    <t>ACT_BND~LO~2010</t>
  </si>
  <si>
    <t>ACT_BND~UP~2010</t>
  </si>
  <si>
    <t>ACT_BND~UP~2015</t>
  </si>
  <si>
    <t>ACT_BND~UP~2020</t>
  </si>
  <si>
    <t>ACT_BND~UP~2055</t>
  </si>
  <si>
    <t>ACT_BND~FX~2010</t>
  </si>
  <si>
    <t>ACT_BND~FX~2015</t>
  </si>
  <si>
    <t>ACT_BND~FX~2020</t>
  </si>
  <si>
    <t>ACT_BND~FX~2025</t>
  </si>
  <si>
    <t>ACT_BND~FX~2030</t>
  </si>
  <si>
    <t>ACT_BND~FX~2035</t>
  </si>
  <si>
    <t>ACT_BND~FX~2040</t>
  </si>
  <si>
    <t>ACT_BND~FX~2045</t>
  </si>
  <si>
    <t>ACT_BND~FX~2050</t>
  </si>
  <si>
    <t>ACT_BND~FX~2055</t>
  </si>
  <si>
    <t>ACT_BND~UP</t>
  </si>
  <si>
    <t>CAP_BND~UP</t>
  </si>
  <si>
    <t>*NCAP_START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</si>
</sst>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
    <numFmt numFmtId="167" formatCode="0.0"/>
    <numFmt numFmtId="168" formatCode="0.000"/>
    <numFmt numFmtId="169" formatCode="0.0000"/>
    <numFmt numFmtId="170" formatCode="0.00000"/>
    <numFmt numFmtId="171" formatCode="0.0%"/>
    <numFmt numFmtId="172" formatCode="0.00_)"/>
    <numFmt numFmtId="173" formatCode="_(* #,##0_);_(* \(#,##0\);_(* &quot;-&quot;??_);_(@_)"/>
    <numFmt numFmtId="174" formatCode="0_)"/>
    <numFmt numFmtId="175" formatCode="m\o\n\th\ d\,\ yyyy"/>
    <numFmt numFmtId="176" formatCode="#.00"/>
    <numFmt numFmtId="177" formatCode="#."/>
    <numFmt numFmtId="178" formatCode="yyyy"/>
    <numFmt numFmtId="179" formatCode="mm/dd/yy"/>
    <numFmt numFmtId="180" formatCode="0.000000"/>
    <numFmt numFmtId="181" formatCode="\Te\x\t"/>
  </numFmts>
  <fonts count="69" x14ac:knownFonts="1">
    <font>
      <sz val="10"/>
      <name val="Arial"/>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8"/>
      <name val="Arial"/>
      <family val="2"/>
    </font>
    <font>
      <sz val="8"/>
      <color indexed="81"/>
      <name val="Tahoma"/>
      <family val="2"/>
    </font>
    <font>
      <sz val="1"/>
      <color indexed="8"/>
      <name val="Courier"/>
      <family val="3"/>
    </font>
    <font>
      <b/>
      <sz val="1"/>
      <color indexed="8"/>
      <name val="Courier"/>
      <family val="3"/>
    </font>
    <font>
      <sz val="10"/>
      <color indexed="8"/>
      <name val="Arial"/>
      <family val="2"/>
    </font>
    <font>
      <b/>
      <sz val="10"/>
      <name val="Arial"/>
      <family val="2"/>
    </font>
    <font>
      <sz val="8"/>
      <name val="Arial"/>
      <family val="2"/>
    </font>
    <font>
      <b/>
      <sz val="12"/>
      <name val="Arial"/>
      <family val="2"/>
    </font>
    <font>
      <sz val="12"/>
      <name val="Arial"/>
      <family val="2"/>
    </font>
    <font>
      <b/>
      <sz val="11"/>
      <name val="Arial"/>
      <family val="2"/>
    </font>
    <font>
      <sz val="10"/>
      <color indexed="10"/>
      <name val="Arial"/>
      <family val="2"/>
    </font>
    <font>
      <sz val="11"/>
      <color theme="1"/>
      <name val="Calibri"/>
      <family val="2"/>
      <scheme val="minor"/>
    </font>
    <font>
      <b/>
      <sz val="11"/>
      <color theme="1"/>
      <name val="Calibri"/>
      <family val="2"/>
      <scheme val="minor"/>
    </font>
    <font>
      <sz val="10"/>
      <name val="Calibri"/>
      <family val="2"/>
      <scheme val="minor"/>
    </font>
    <font>
      <sz val="10"/>
      <name val="Arial"/>
      <family val="2"/>
    </font>
    <font>
      <b/>
      <sz val="13.5"/>
      <color theme="1"/>
      <name val="Calibri"/>
      <family val="2"/>
      <scheme val="minor"/>
    </font>
    <font>
      <u/>
      <sz val="10"/>
      <color theme="10"/>
      <name val="Arial"/>
      <family val="2"/>
    </font>
    <font>
      <sz val="10"/>
      <color indexed="9"/>
      <name val="Arial"/>
      <family val="2"/>
    </font>
    <font>
      <sz val="10"/>
      <color indexed="63"/>
      <name val="Arial"/>
      <family val="2"/>
    </font>
    <font>
      <b/>
      <sz val="10"/>
      <color theme="1"/>
      <name val="Cambria"/>
      <family val="1"/>
      <scheme val="major"/>
    </font>
    <font>
      <sz val="10"/>
      <color theme="1"/>
      <name val="Cambria"/>
      <family val="1"/>
      <scheme val="major"/>
    </font>
    <font>
      <sz val="10"/>
      <color theme="1"/>
      <name val="Calibri"/>
      <family val="2"/>
      <scheme val="minor"/>
    </font>
    <font>
      <b/>
      <sz val="10"/>
      <color theme="1"/>
      <name val="Calibri"/>
      <family val="2"/>
      <scheme val="minor"/>
    </font>
    <font>
      <b/>
      <vertAlign val="superscript"/>
      <sz val="10"/>
      <color indexed="8"/>
      <name val="Calibri"/>
      <family val="2"/>
    </font>
    <font>
      <vertAlign val="superscript"/>
      <sz val="10"/>
      <color indexed="8"/>
      <name val="Calibri"/>
      <family val="2"/>
    </font>
    <font>
      <b/>
      <sz val="12"/>
      <color theme="1"/>
      <name val="Calibri"/>
      <family val="2"/>
      <scheme val="minor"/>
    </font>
    <font>
      <b/>
      <sz val="8"/>
      <color indexed="81"/>
      <name val="Tahoma"/>
      <family val="2"/>
    </font>
    <font>
      <sz val="10"/>
      <color rgb="FFFF0000"/>
      <name val="Arial"/>
      <family val="2"/>
    </font>
    <font>
      <b/>
      <sz val="10"/>
      <color rgb="FFFF0000"/>
      <name val="Arial"/>
      <family val="2"/>
    </font>
    <font>
      <b/>
      <sz val="12"/>
      <color indexed="18"/>
      <name val="Arial"/>
      <family val="2"/>
    </font>
    <font>
      <b/>
      <sz val="9"/>
      <name val="Arial"/>
      <family val="2"/>
    </font>
    <font>
      <sz val="9"/>
      <name val="Arial"/>
      <family val="2"/>
    </font>
    <font>
      <sz val="11"/>
      <name val="Arial"/>
      <family val="2"/>
    </font>
    <font>
      <u/>
      <sz val="12"/>
      <color indexed="12"/>
      <name val="Arial"/>
      <family val="2"/>
    </font>
    <font>
      <sz val="9"/>
      <color indexed="81"/>
      <name val="Tahoma"/>
      <family val="2"/>
    </font>
    <font>
      <sz val="10"/>
      <color indexed="81"/>
      <name val="Tahoma"/>
      <family val="2"/>
    </font>
    <font>
      <sz val="11"/>
      <name val="Calibri"/>
      <family val="2"/>
      <scheme val="minor"/>
    </font>
    <font>
      <sz val="10"/>
      <color theme="1"/>
      <name val="Arial"/>
      <family val="2"/>
    </font>
    <font>
      <b/>
      <sz val="10"/>
      <color theme="1"/>
      <name val="Arial"/>
      <family val="2"/>
    </font>
    <font>
      <b/>
      <sz val="10"/>
      <color theme="4"/>
      <name val="Cambria"/>
      <family val="1"/>
    </font>
    <font>
      <b/>
      <sz val="10"/>
      <name val="Cambria"/>
      <family val="1"/>
      <scheme val="major"/>
    </font>
    <font>
      <vertAlign val="superscript"/>
      <sz val="10"/>
      <name val="Calibri"/>
      <family val="2"/>
      <scheme val="minor"/>
    </font>
    <font>
      <sz val="10"/>
      <color indexed="8"/>
      <name val="Calibri"/>
      <family val="2"/>
    </font>
    <font>
      <b/>
      <sz val="14"/>
      <name val="Arial"/>
      <family val="2"/>
    </font>
    <font>
      <b/>
      <i/>
      <sz val="12"/>
      <name val="Arial"/>
      <family val="2"/>
    </font>
    <font>
      <b/>
      <u/>
      <sz val="10"/>
      <name val="Arial"/>
      <family val="2"/>
    </font>
    <font>
      <u/>
      <sz val="10"/>
      <name val="Arial"/>
      <family val="2"/>
    </font>
    <font>
      <b/>
      <sz val="13.5"/>
      <name val="Calibri"/>
      <family val="2"/>
      <scheme val="minor"/>
    </font>
    <font>
      <b/>
      <sz val="11"/>
      <name val="Calibri"/>
      <family val="2"/>
      <scheme val="minor"/>
    </font>
    <font>
      <vertAlign val="superscript"/>
      <sz val="10"/>
      <color theme="1"/>
      <name val="Arial"/>
      <family val="2"/>
    </font>
    <font>
      <b/>
      <sz val="10"/>
      <color rgb="FF000000"/>
      <name val="Arial"/>
      <family val="2"/>
    </font>
    <font>
      <b/>
      <vertAlign val="subscript"/>
      <sz val="10"/>
      <color theme="1"/>
      <name val="Arial"/>
      <family val="2"/>
    </font>
    <font>
      <b/>
      <vertAlign val="superscript"/>
      <sz val="10"/>
      <color theme="1"/>
      <name val="Arial"/>
      <family val="2"/>
    </font>
    <font>
      <sz val="10"/>
      <color rgb="FF000000"/>
      <name val="Arial"/>
      <family val="2"/>
    </font>
    <font>
      <b/>
      <sz val="10"/>
      <color indexed="18"/>
      <name val="Arial"/>
      <family val="2"/>
    </font>
    <font>
      <b/>
      <i/>
      <sz val="10"/>
      <color indexed="10"/>
      <name val="Arial"/>
      <family val="2"/>
    </font>
    <font>
      <b/>
      <sz val="9"/>
      <color indexed="81"/>
      <name val="Tahoma"/>
      <family val="2"/>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000"/>
        <bgColor indexed="64"/>
      </patternFill>
    </fill>
    <fill>
      <patternFill patternType="solid">
        <fgColor theme="0"/>
        <bgColor indexed="9"/>
      </patternFill>
    </fill>
    <fill>
      <patternFill patternType="solid">
        <fgColor theme="0" tint="-0.14999847407452621"/>
        <bgColor indexed="64"/>
      </patternFill>
    </fill>
    <fill>
      <patternFill patternType="solid">
        <fgColor rgb="FFFFFF00"/>
        <bgColor indexed="64"/>
      </patternFill>
    </fill>
    <fill>
      <patternFill patternType="solid">
        <fgColor rgb="FFFFCCFF"/>
        <bgColor indexed="64"/>
      </patternFill>
    </fill>
    <fill>
      <patternFill patternType="solid">
        <fgColor rgb="FFFF0000"/>
        <bgColor indexed="64"/>
      </patternFill>
    </fill>
    <fill>
      <patternFill patternType="solid">
        <fgColor rgb="FFFFFF99"/>
        <bgColor indexed="64"/>
      </patternFill>
    </fill>
    <fill>
      <patternFill patternType="solid">
        <fgColor indexed="43"/>
        <bgColor indexed="64"/>
      </patternFill>
    </fill>
    <fill>
      <patternFill patternType="solid">
        <fgColor rgb="FFFFFFCC"/>
        <bgColor indexed="64"/>
      </patternFill>
    </fill>
  </fills>
  <borders count="7">
    <border>
      <left/>
      <right/>
      <top/>
      <bottom/>
      <diagonal/>
    </border>
    <border>
      <left/>
      <right/>
      <top style="thin">
        <color indexed="64"/>
      </top>
      <bottom style="double">
        <color indexed="64"/>
      </bottom>
      <diagonal/>
    </border>
    <border>
      <left/>
      <right/>
      <top style="thin">
        <color indexed="64"/>
      </top>
      <bottom/>
      <diagonal/>
    </border>
    <border>
      <left/>
      <right/>
      <top/>
      <bottom style="thick">
        <color theme="4"/>
      </bottom>
      <diagonal/>
    </border>
    <border>
      <left/>
      <right/>
      <top/>
      <bottom style="dashed">
        <color theme="0" tint="-0.24994659260841701"/>
      </bottom>
      <diagonal/>
    </border>
    <border>
      <left/>
      <right/>
      <top/>
      <bottom style="thin">
        <color theme="0" tint="-0.24994659260841701"/>
      </bottom>
      <diagonal/>
    </border>
    <border>
      <left/>
      <right/>
      <top style="thin">
        <color indexed="64"/>
      </top>
      <bottom style="thin">
        <color indexed="64"/>
      </bottom>
      <diagonal/>
    </border>
  </borders>
  <cellStyleXfs count="45">
    <xf numFmtId="0" fontId="0" fillId="0" borderId="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4" fontId="5" fillId="0" borderId="0" applyFont="0" applyFill="0" applyBorder="0" applyAlignment="0" applyProtection="0"/>
    <xf numFmtId="164" fontId="5" fillId="0" borderId="0" applyFont="0" applyFill="0" applyBorder="0" applyAlignment="0" applyProtection="0"/>
    <xf numFmtId="175" fontId="14" fillId="0" borderId="0">
      <protection locked="0"/>
    </xf>
    <xf numFmtId="176" fontId="14" fillId="0" borderId="0">
      <protection locked="0"/>
    </xf>
    <xf numFmtId="177" fontId="15" fillId="0" borderId="0">
      <protection locked="0"/>
    </xf>
    <xf numFmtId="177" fontId="15" fillId="0" borderId="0">
      <protection locked="0"/>
    </xf>
    <xf numFmtId="0" fontId="3" fillId="0" borderId="0" applyNumberFormat="0" applyFill="0" applyBorder="0" applyAlignment="0" applyProtection="0">
      <alignment vertical="top"/>
      <protection locked="0"/>
    </xf>
    <xf numFmtId="0" fontId="5" fillId="0" borderId="0"/>
    <xf numFmtId="0" fontId="23" fillId="0" borderId="0"/>
    <xf numFmtId="0" fontId="5" fillId="0" borderId="0"/>
    <xf numFmtId="0" fontId="16" fillId="0" borderId="0"/>
    <xf numFmtId="0" fontId="2" fillId="0" borderId="0"/>
    <xf numFmtId="0" fontId="2" fillId="0" borderId="0"/>
    <xf numFmtId="0" fontId="16" fillId="0" borderId="0"/>
    <xf numFmtId="0" fontId="5" fillId="0" borderId="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8" fontId="2" fillId="0" borderId="0" applyFill="0" applyBorder="0" applyAlignment="0" applyProtection="0">
      <alignment wrapText="1"/>
    </xf>
    <xf numFmtId="178" fontId="5" fillId="0" borderId="0" applyFill="0" applyBorder="0" applyAlignment="0" applyProtection="0">
      <alignment wrapText="1"/>
    </xf>
    <xf numFmtId="178" fontId="5" fillId="0" borderId="0" applyFill="0" applyBorder="0" applyAlignment="0" applyProtection="0">
      <alignment wrapText="1"/>
    </xf>
    <xf numFmtId="178" fontId="5" fillId="0" borderId="0" applyFill="0" applyBorder="0" applyAlignment="0" applyProtection="0">
      <alignment wrapText="1"/>
    </xf>
    <xf numFmtId="0" fontId="17" fillId="0" borderId="0" applyNumberFormat="0" applyFill="0" applyBorder="0">
      <alignment horizontal="center" wrapText="1"/>
    </xf>
    <xf numFmtId="0" fontId="4" fillId="0" borderId="0" applyNumberFormat="0" applyFill="0" applyBorder="0">
      <alignment horizontal="center" wrapText="1"/>
    </xf>
    <xf numFmtId="0" fontId="17" fillId="0" borderId="0" applyNumberFormat="0" applyFill="0" applyBorder="0">
      <alignment horizontal="center" wrapText="1"/>
    </xf>
    <xf numFmtId="0" fontId="4" fillId="0" borderId="0" applyNumberFormat="0" applyFill="0" applyBorder="0">
      <alignment horizontal="center" wrapText="1"/>
    </xf>
    <xf numFmtId="177" fontId="14" fillId="0" borderId="1">
      <protection locked="0"/>
    </xf>
    <xf numFmtId="0" fontId="5" fillId="0" borderId="0"/>
    <xf numFmtId="9" fontId="5"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0" fontId="24" fillId="0" borderId="3" applyNumberFormat="0" applyProtection="0">
      <alignment wrapText="1"/>
    </xf>
    <xf numFmtId="0" fontId="1" fillId="0" borderId="4" applyNumberFormat="0" applyProtection="0">
      <alignment vertical="top"/>
    </xf>
    <xf numFmtId="0" fontId="24" fillId="0" borderId="5" applyNumberFormat="0" applyFill="0" applyProtection="0">
      <alignment wrapText="1"/>
    </xf>
    <xf numFmtId="0" fontId="2" fillId="0" borderId="0"/>
    <xf numFmtId="0" fontId="2" fillId="0" borderId="0"/>
    <xf numFmtId="9" fontId="2" fillId="0" borderId="0" applyFont="0" applyFill="0" applyBorder="0" applyAlignment="0" applyProtection="0"/>
    <xf numFmtId="0" fontId="2" fillId="0" borderId="0"/>
    <xf numFmtId="0" fontId="2" fillId="0" borderId="0"/>
  </cellStyleXfs>
  <cellXfs count="324">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0" fillId="2" borderId="0" xfId="0" applyFill="1"/>
    <xf numFmtId="0" fontId="8" fillId="0" borderId="0" xfId="0" applyFont="1"/>
    <xf numFmtId="49" fontId="6" fillId="0" borderId="0" xfId="0" applyNumberFormat="1" applyFont="1"/>
    <xf numFmtId="11" fontId="6" fillId="0" borderId="0" xfId="0" applyNumberFormat="1" applyFont="1"/>
    <xf numFmtId="0" fontId="9" fillId="0" borderId="0" xfId="0" applyFont="1"/>
    <xf numFmtId="0" fontId="10" fillId="0" borderId="0" xfId="0" applyFont="1"/>
    <xf numFmtId="49" fontId="9" fillId="0" borderId="0" xfId="0" applyNumberFormat="1" applyFont="1"/>
    <xf numFmtId="0" fontId="11" fillId="0" borderId="0" xfId="0" applyFont="1"/>
    <xf numFmtId="0" fontId="0" fillId="3" borderId="0" xfId="0" applyFill="1"/>
    <xf numFmtId="0" fontId="0" fillId="4" borderId="0" xfId="0" applyFill="1"/>
    <xf numFmtId="0" fontId="0" fillId="3" borderId="0" xfId="0" applyFill="1" applyAlignment="1">
      <alignment horizontal="center" vertical="center"/>
    </xf>
    <xf numFmtId="0" fontId="2" fillId="3" borderId="0" xfId="0" applyFont="1" applyFill="1" applyAlignment="1">
      <alignment horizontal="center" vertical="center"/>
    </xf>
    <xf numFmtId="0" fontId="4" fillId="3" borderId="0" xfId="0" applyFont="1" applyFill="1"/>
    <xf numFmtId="3" fontId="33" fillId="3" borderId="0" xfId="38" applyNumberFormat="1" applyFont="1" applyFill="1" applyBorder="1">
      <alignment vertical="top"/>
    </xf>
    <xf numFmtId="3" fontId="33" fillId="3" borderId="0" xfId="0" applyNumberFormat="1" applyFont="1" applyFill="1"/>
    <xf numFmtId="0" fontId="2" fillId="3" borderId="0" xfId="0" applyFont="1" applyFill="1"/>
    <xf numFmtId="0" fontId="3" fillId="3" borderId="0" xfId="11" applyFill="1" applyBorder="1" applyAlignment="1" applyProtection="1"/>
    <xf numFmtId="0" fontId="51" fillId="3" borderId="0" xfId="0" applyFont="1" applyFill="1" applyAlignment="1">
      <alignment horizontal="left"/>
    </xf>
    <xf numFmtId="0" fontId="2" fillId="3" borderId="0" xfId="0" applyFont="1" applyFill="1" applyAlignment="1">
      <alignment horizontal="center" wrapText="1"/>
    </xf>
    <xf numFmtId="0" fontId="25" fillId="3" borderId="0" xfId="0" applyFont="1" applyFill="1" applyAlignment="1">
      <alignment horizontal="left"/>
    </xf>
    <xf numFmtId="0" fontId="33" fillId="3" borderId="0" xfId="0" applyFont="1" applyFill="1"/>
    <xf numFmtId="0" fontId="32" fillId="3" borderId="0" xfId="0" applyFont="1" applyFill="1"/>
    <xf numFmtId="0" fontId="31" fillId="3" borderId="0" xfId="0" applyFont="1" applyFill="1" applyAlignment="1">
      <alignment horizontal="right"/>
    </xf>
    <xf numFmtId="0" fontId="52" fillId="3" borderId="0" xfId="0" applyFont="1" applyFill="1" applyAlignment="1">
      <alignment horizontal="center"/>
    </xf>
    <xf numFmtId="3" fontId="2" fillId="3" borderId="0" xfId="0" applyNumberFormat="1" applyFont="1" applyFill="1"/>
    <xf numFmtId="0" fontId="53" fillId="3" borderId="0" xfId="0" applyFont="1" applyFill="1"/>
    <xf numFmtId="0" fontId="28" fillId="3" borderId="0" xfId="11" applyFont="1" applyFill="1" applyBorder="1" applyAlignment="1" applyProtection="1"/>
    <xf numFmtId="0" fontId="4" fillId="3" borderId="0" xfId="0" applyFont="1" applyFill="1" applyAlignment="1">
      <alignment horizontal="center" wrapText="1"/>
    </xf>
    <xf numFmtId="171" fontId="2" fillId="3" borderId="0" xfId="20" applyNumberFormat="1" applyFont="1" applyFill="1" applyBorder="1"/>
    <xf numFmtId="1" fontId="2" fillId="3" borderId="0" xfId="0" applyNumberFormat="1" applyFont="1" applyFill="1"/>
    <xf numFmtId="0" fontId="31" fillId="3" borderId="0" xfId="37" applyFont="1" applyFill="1" applyBorder="1">
      <alignment wrapText="1"/>
    </xf>
    <xf numFmtId="179" fontId="31" fillId="3" borderId="0" xfId="37" applyNumberFormat="1" applyFont="1" applyFill="1" applyBorder="1" applyAlignment="1">
      <alignment horizontal="right" wrapText="1"/>
    </xf>
    <xf numFmtId="0" fontId="32" fillId="3" borderId="0" xfId="37" applyFont="1" applyFill="1" applyBorder="1" applyAlignment="1">
      <alignment horizontal="right" wrapText="1"/>
    </xf>
    <xf numFmtId="0" fontId="33" fillId="3" borderId="0" xfId="38" applyFont="1" applyFill="1" applyBorder="1">
      <alignment vertical="top"/>
    </xf>
    <xf numFmtId="0" fontId="34" fillId="3" borderId="0" xfId="37" applyFont="1" applyFill="1" applyBorder="1">
      <alignment wrapText="1"/>
    </xf>
    <xf numFmtId="3" fontId="34" fillId="3" borderId="0" xfId="37" applyNumberFormat="1" applyFont="1" applyFill="1" applyBorder="1">
      <alignment wrapText="1"/>
    </xf>
    <xf numFmtId="0" fontId="34" fillId="3" borderId="0" xfId="39" applyFont="1" applyFill="1" applyBorder="1">
      <alignment wrapText="1"/>
    </xf>
    <xf numFmtId="3" fontId="34" fillId="3" borderId="0" xfId="39" applyNumberFormat="1" applyFont="1" applyFill="1" applyBorder="1">
      <alignment wrapText="1"/>
    </xf>
    <xf numFmtId="171" fontId="2" fillId="3" borderId="0" xfId="0" applyNumberFormat="1" applyFont="1" applyFill="1"/>
    <xf numFmtId="0" fontId="34" fillId="3" borderId="0" xfId="32" applyNumberFormat="1" applyFont="1" applyFill="1" applyBorder="1" applyAlignment="1" applyProtection="1">
      <alignment vertical="top"/>
    </xf>
    <xf numFmtId="3" fontId="34" fillId="3" borderId="0" xfId="32" applyNumberFormat="1" applyFont="1" applyFill="1" applyBorder="1" applyAlignment="1" applyProtection="1">
      <alignment vertical="top"/>
    </xf>
    <xf numFmtId="0" fontId="2" fillId="3" borderId="0" xfId="0" applyFont="1" applyFill="1" applyAlignment="1">
      <alignment horizontal="center"/>
    </xf>
    <xf numFmtId="0" fontId="0" fillId="3" borderId="0" xfId="0" applyFill="1" applyAlignment="1">
      <alignment horizontal="center"/>
    </xf>
    <xf numFmtId="2" fontId="0" fillId="3" borderId="0" xfId="0" applyNumberFormat="1" applyFill="1"/>
    <xf numFmtId="0" fontId="2" fillId="3" borderId="0" xfId="0" quotePrefix="1" applyFont="1" applyFill="1" applyAlignment="1">
      <alignment horizontal="left"/>
    </xf>
    <xf numFmtId="0" fontId="21" fillId="3" borderId="0" xfId="0" applyFont="1" applyFill="1" applyAlignment="1">
      <alignment horizontal="center" wrapText="1"/>
    </xf>
    <xf numFmtId="0" fontId="21" fillId="3" borderId="0" xfId="0" applyFont="1" applyFill="1" applyAlignment="1">
      <alignment horizontal="center"/>
    </xf>
    <xf numFmtId="0" fontId="21" fillId="3" borderId="0" xfId="0" applyFont="1" applyFill="1" applyAlignment="1">
      <alignment wrapText="1"/>
    </xf>
    <xf numFmtId="0" fontId="4" fillId="3" borderId="0" xfId="0" applyFont="1" applyFill="1" applyAlignment="1">
      <alignment wrapText="1"/>
    </xf>
    <xf numFmtId="0" fontId="39" fillId="3" borderId="0" xfId="0" applyFont="1" applyFill="1" applyAlignment="1">
      <alignment horizontal="center"/>
    </xf>
    <xf numFmtId="178" fontId="0" fillId="3" borderId="0" xfId="0" applyNumberFormat="1" applyFill="1"/>
    <xf numFmtId="1" fontId="0" fillId="3" borderId="0" xfId="0" applyNumberFormat="1" applyFill="1"/>
    <xf numFmtId="171" fontId="0" fillId="3" borderId="0" xfId="20" applyNumberFormat="1" applyFont="1" applyFill="1" applyBorder="1"/>
    <xf numFmtId="0" fontId="4" fillId="3" borderId="0" xfId="0" applyFont="1" applyFill="1" applyAlignment="1">
      <alignment horizontal="left"/>
    </xf>
    <xf numFmtId="171" fontId="0" fillId="3" borderId="0" xfId="0" applyNumberFormat="1" applyFill="1"/>
    <xf numFmtId="168" fontId="2" fillId="3" borderId="0" xfId="0" applyNumberFormat="1" applyFont="1" applyFill="1"/>
    <xf numFmtId="0" fontId="55" fillId="3" borderId="0" xfId="0" applyFont="1" applyFill="1" applyAlignment="1">
      <alignment horizontal="left"/>
    </xf>
    <xf numFmtId="0" fontId="56" fillId="3" borderId="0" xfId="0" applyFont="1" applyFill="1" applyAlignment="1">
      <alignment horizontal="left"/>
    </xf>
    <xf numFmtId="0" fontId="2" fillId="3" borderId="0" xfId="0" applyFont="1" applyFill="1" applyAlignment="1">
      <alignment horizontal="left"/>
    </xf>
    <xf numFmtId="0" fontId="4" fillId="3" borderId="0" xfId="0" quotePrefix="1" applyFont="1" applyFill="1" applyAlignment="1">
      <alignment horizontal="left"/>
    </xf>
    <xf numFmtId="0" fontId="4" fillId="3" borderId="0" xfId="0" applyFont="1" applyFill="1" applyAlignment="1">
      <alignment horizontal="center"/>
    </xf>
    <xf numFmtId="0" fontId="57" fillId="3" borderId="0" xfId="11" quotePrefix="1" applyFont="1" applyFill="1" applyBorder="1" applyAlignment="1" applyProtection="1">
      <alignment horizontal="left"/>
    </xf>
    <xf numFmtId="0" fontId="58" fillId="3" borderId="0" xfId="0" applyFont="1" applyFill="1"/>
    <xf numFmtId="0" fontId="58" fillId="3" borderId="0" xfId="11" quotePrefix="1" applyFont="1" applyFill="1" applyBorder="1" applyAlignment="1" applyProtection="1">
      <alignment horizontal="center"/>
    </xf>
    <xf numFmtId="178" fontId="2" fillId="3" borderId="0" xfId="0" applyNumberFormat="1" applyFont="1" applyFill="1" applyAlignment="1">
      <alignment horizontal="center"/>
    </xf>
    <xf numFmtId="171" fontId="2" fillId="3" borderId="0" xfId="20" applyNumberFormat="1" applyFont="1" applyFill="1" applyBorder="1" applyAlignment="1">
      <alignment horizontal="center"/>
    </xf>
    <xf numFmtId="171" fontId="2" fillId="3" borderId="0" xfId="0" applyNumberFormat="1" applyFont="1" applyFill="1" applyAlignment="1">
      <alignment horizontal="center"/>
    </xf>
    <xf numFmtId="178" fontId="2" fillId="3" borderId="0" xfId="0" applyNumberFormat="1" applyFont="1" applyFill="1"/>
    <xf numFmtId="2" fontId="2" fillId="3" borderId="0" xfId="0" applyNumberFormat="1" applyFont="1" applyFill="1"/>
    <xf numFmtId="0" fontId="2" fillId="3" borderId="0" xfId="0" applyFont="1" applyFill="1" applyAlignment="1">
      <alignment horizontal="right"/>
    </xf>
    <xf numFmtId="0" fontId="27" fillId="3" borderId="0" xfId="0" applyFont="1" applyFill="1" applyAlignment="1">
      <alignment horizontal="left" vertical="center" wrapText="1"/>
    </xf>
    <xf numFmtId="2" fontId="0" fillId="3" borderId="0" xfId="0" applyNumberFormat="1" applyFill="1" applyAlignment="1">
      <alignment wrapText="1"/>
    </xf>
    <xf numFmtId="0" fontId="59" fillId="3" borderId="0" xfId="0" applyFont="1" applyFill="1" applyAlignment="1">
      <alignment horizontal="left" vertical="center" wrapText="1"/>
    </xf>
    <xf numFmtId="2" fontId="2" fillId="3" borderId="0" xfId="0" applyNumberFormat="1" applyFont="1" applyFill="1" applyAlignment="1">
      <alignment wrapText="1"/>
    </xf>
    <xf numFmtId="0" fontId="2" fillId="3" borderId="0" xfId="0" applyFont="1" applyFill="1" applyAlignment="1">
      <alignment horizontal="right" wrapText="1"/>
    </xf>
    <xf numFmtId="0" fontId="60" fillId="3" borderId="0" xfId="0" applyFont="1" applyFill="1" applyAlignment="1">
      <alignment wrapText="1"/>
    </xf>
    <xf numFmtId="0" fontId="60" fillId="3" borderId="0" xfId="0" applyFont="1" applyFill="1" applyAlignment="1">
      <alignment horizontal="center" wrapText="1"/>
    </xf>
    <xf numFmtId="0" fontId="2" fillId="3" borderId="0" xfId="0" applyFont="1" applyFill="1" applyAlignment="1">
      <alignment wrapText="1"/>
    </xf>
    <xf numFmtId="2" fontId="60" fillId="3" borderId="0" xfId="0" applyNumberFormat="1" applyFont="1" applyFill="1" applyAlignment="1">
      <alignment wrapText="1"/>
    </xf>
    <xf numFmtId="172" fontId="2" fillId="3" borderId="0" xfId="0" applyNumberFormat="1" applyFont="1" applyFill="1"/>
    <xf numFmtId="168" fontId="2" fillId="3" borderId="0" xfId="0" applyNumberFormat="1" applyFont="1" applyFill="1" applyAlignment="1">
      <alignment horizontal="center"/>
    </xf>
    <xf numFmtId="0" fontId="50" fillId="3" borderId="0" xfId="0" applyFont="1" applyFill="1" applyAlignment="1">
      <alignment horizontal="left" vertical="center" wrapText="1"/>
    </xf>
    <xf numFmtId="0" fontId="50" fillId="3" borderId="0" xfId="0" applyFont="1" applyFill="1" applyAlignment="1">
      <alignment wrapText="1"/>
    </xf>
    <xf numFmtId="0" fontId="50" fillId="3" borderId="0" xfId="0" applyFont="1" applyFill="1" applyAlignment="1">
      <alignment horizontal="center" wrapText="1"/>
    </xf>
    <xf numFmtId="172" fontId="2" fillId="3" borderId="0" xfId="0" applyNumberFormat="1" applyFont="1" applyFill="1" applyAlignment="1">
      <alignment wrapText="1"/>
    </xf>
    <xf numFmtId="2" fontId="39" fillId="3" borderId="0" xfId="0" applyNumberFormat="1" applyFont="1" applyFill="1" applyAlignment="1">
      <alignment wrapText="1"/>
    </xf>
    <xf numFmtId="0" fontId="3" fillId="3" borderId="0" xfId="11" quotePrefix="1" applyFill="1" applyBorder="1" applyAlignment="1" applyProtection="1">
      <alignment horizontal="left"/>
    </xf>
    <xf numFmtId="0" fontId="41" fillId="3" borderId="0" xfId="0" applyFont="1" applyFill="1"/>
    <xf numFmtId="0" fontId="42" fillId="3" borderId="0" xfId="0" applyFont="1" applyFill="1" applyAlignment="1">
      <alignment horizontal="center" wrapText="1"/>
    </xf>
    <xf numFmtId="0" fontId="43" fillId="3" borderId="0" xfId="0" applyFont="1" applyFill="1" applyAlignment="1">
      <alignment wrapText="1"/>
    </xf>
    <xf numFmtId="0" fontId="21" fillId="3" borderId="0" xfId="0" applyFont="1" applyFill="1"/>
    <xf numFmtId="10" fontId="0" fillId="3" borderId="0" xfId="20" applyNumberFormat="1" applyFont="1" applyFill="1" applyBorder="1"/>
    <xf numFmtId="168" fontId="0" fillId="3" borderId="0" xfId="0" applyNumberFormat="1" applyFill="1" applyAlignment="1">
      <alignment horizontal="center"/>
    </xf>
    <xf numFmtId="169" fontId="0" fillId="3" borderId="0" xfId="0" applyNumberFormat="1" applyFill="1" applyAlignment="1">
      <alignment horizontal="center"/>
    </xf>
    <xf numFmtId="0" fontId="19" fillId="3" borderId="0" xfId="0" applyFont="1" applyFill="1"/>
    <xf numFmtId="174" fontId="2" fillId="3" borderId="0" xfId="0" applyNumberFormat="1" applyFont="1" applyFill="1" applyAlignment="1">
      <alignment horizontal="center"/>
    </xf>
    <xf numFmtId="174" fontId="39" fillId="3" borderId="0" xfId="0" applyNumberFormat="1" applyFont="1" applyFill="1" applyAlignment="1">
      <alignment horizontal="center"/>
    </xf>
    <xf numFmtId="174" fontId="0" fillId="3" borderId="0" xfId="0" applyNumberFormat="1" applyFill="1"/>
    <xf numFmtId="0" fontId="39" fillId="3" borderId="0" xfId="0" applyFont="1" applyFill="1"/>
    <xf numFmtId="0" fontId="20" fillId="3" borderId="0" xfId="0" applyFont="1" applyFill="1" applyAlignment="1">
      <alignment horizontal="left"/>
    </xf>
    <xf numFmtId="0" fontId="45" fillId="3" borderId="0" xfId="11" applyFont="1" applyFill="1" applyBorder="1" applyAlignment="1" applyProtection="1"/>
    <xf numFmtId="0" fontId="22" fillId="3" borderId="0" xfId="0" applyFont="1" applyFill="1"/>
    <xf numFmtId="0" fontId="0" fillId="3" borderId="0" xfId="0" applyFill="1" applyAlignment="1">
      <alignment horizontal="left"/>
    </xf>
    <xf numFmtId="0" fontId="39" fillId="3" borderId="0" xfId="0" applyFont="1" applyFill="1" applyAlignment="1">
      <alignment horizontal="right"/>
    </xf>
    <xf numFmtId="0" fontId="0" fillId="3" borderId="0" xfId="0" applyFill="1" applyAlignment="1">
      <alignment horizontal="right"/>
    </xf>
    <xf numFmtId="172" fontId="0" fillId="3" borderId="0" xfId="0" applyNumberFormat="1" applyFill="1"/>
    <xf numFmtId="2" fontId="39" fillId="3" borderId="0" xfId="0" applyNumberFormat="1" applyFont="1" applyFill="1"/>
    <xf numFmtId="174" fontId="39" fillId="3" borderId="0" xfId="0" applyNumberFormat="1" applyFont="1" applyFill="1"/>
    <xf numFmtId="174" fontId="5" fillId="3" borderId="0" xfId="0" applyNumberFormat="1" applyFont="1" applyFill="1"/>
    <xf numFmtId="174" fontId="39" fillId="3" borderId="0" xfId="0" applyNumberFormat="1" applyFont="1" applyFill="1" applyAlignment="1">
      <alignment horizontal="right"/>
    </xf>
    <xf numFmtId="0" fontId="24" fillId="3" borderId="0" xfId="0" applyFont="1" applyFill="1" applyAlignment="1">
      <alignment wrapText="1"/>
    </xf>
    <xf numFmtId="0" fontId="0" fillId="3" borderId="0" xfId="0" applyFill="1" applyAlignment="1">
      <alignment wrapText="1"/>
    </xf>
    <xf numFmtId="1" fontId="0" fillId="3" borderId="0" xfId="0" applyNumberFormat="1" applyFill="1" applyAlignment="1">
      <alignment wrapText="1"/>
    </xf>
    <xf numFmtId="172" fontId="5" fillId="3" borderId="0" xfId="0" applyNumberFormat="1" applyFont="1" applyFill="1" applyAlignment="1">
      <alignment horizontal="center"/>
    </xf>
    <xf numFmtId="0" fontId="39" fillId="3" borderId="0" xfId="0" applyFont="1" applyFill="1" applyAlignment="1">
      <alignment wrapText="1"/>
    </xf>
    <xf numFmtId="1" fontId="39" fillId="3" borderId="0" xfId="0" applyNumberFormat="1" applyFont="1" applyFill="1" applyAlignment="1">
      <alignment wrapText="1"/>
    </xf>
    <xf numFmtId="1" fontId="39" fillId="3" borderId="0" xfId="0" applyNumberFormat="1" applyFont="1" applyFill="1"/>
    <xf numFmtId="172" fontId="39" fillId="3" borderId="0" xfId="0" applyNumberFormat="1" applyFont="1" applyFill="1" applyAlignment="1">
      <alignment horizontal="center"/>
    </xf>
    <xf numFmtId="0" fontId="5" fillId="3" borderId="0" xfId="0" applyFont="1" applyFill="1"/>
    <xf numFmtId="2" fontId="39" fillId="3" borderId="0" xfId="0" applyNumberFormat="1" applyFont="1" applyFill="1" applyAlignment="1">
      <alignment horizontal="center"/>
    </xf>
    <xf numFmtId="0" fontId="19" fillId="3" borderId="0" xfId="0" applyFont="1" applyFill="1" applyAlignment="1">
      <alignment horizontal="left"/>
    </xf>
    <xf numFmtId="0" fontId="5" fillId="3" borderId="0" xfId="0" applyFont="1" applyFill="1" applyAlignment="1">
      <alignment horizontal="left"/>
    </xf>
    <xf numFmtId="172" fontId="5" fillId="3" borderId="0" xfId="0" applyNumberFormat="1" applyFont="1" applyFill="1"/>
    <xf numFmtId="2" fontId="0" fillId="3" borderId="0" xfId="0" applyNumberFormat="1" applyFill="1" applyAlignment="1">
      <alignment horizontal="center"/>
    </xf>
    <xf numFmtId="170" fontId="0" fillId="3" borderId="0" xfId="0" applyNumberFormat="1" applyFill="1" applyAlignment="1">
      <alignment horizontal="center"/>
    </xf>
    <xf numFmtId="3" fontId="0" fillId="3" borderId="0" xfId="0" applyNumberFormat="1" applyFill="1"/>
    <xf numFmtId="0" fontId="37" fillId="3" borderId="0" xfId="0" applyFont="1" applyFill="1" applyAlignment="1">
      <alignment wrapText="1"/>
    </xf>
    <xf numFmtId="0" fontId="44" fillId="3" borderId="0" xfId="0" applyFont="1" applyFill="1" applyAlignment="1">
      <alignment horizontal="right"/>
    </xf>
    <xf numFmtId="0" fontId="44" fillId="3" borderId="0" xfId="0" applyFont="1" applyFill="1"/>
    <xf numFmtId="0" fontId="24" fillId="3" borderId="0" xfId="0" applyFont="1" applyFill="1" applyAlignment="1">
      <alignment horizontal="center" wrapText="1"/>
    </xf>
    <xf numFmtId="0" fontId="44" fillId="3" borderId="0" xfId="0" applyFont="1" applyFill="1" applyAlignment="1">
      <alignment wrapText="1"/>
    </xf>
    <xf numFmtId="172" fontId="44" fillId="3" borderId="0" xfId="0" applyNumberFormat="1" applyFont="1" applyFill="1"/>
    <xf numFmtId="2" fontId="44" fillId="3" borderId="0" xfId="0" applyNumberFormat="1" applyFont="1" applyFill="1" applyAlignment="1">
      <alignment wrapText="1"/>
    </xf>
    <xf numFmtId="2" fontId="24" fillId="3" borderId="0" xfId="0" applyNumberFormat="1" applyFont="1" applyFill="1" applyAlignment="1">
      <alignment wrapText="1"/>
    </xf>
    <xf numFmtId="2" fontId="44" fillId="3" borderId="0" xfId="0" applyNumberFormat="1" applyFont="1" applyFill="1"/>
    <xf numFmtId="0" fontId="44" fillId="3" borderId="0" xfId="0" applyFont="1" applyFill="1" applyAlignment="1">
      <alignment horizontal="center"/>
    </xf>
    <xf numFmtId="0" fontId="44" fillId="3" borderId="0" xfId="0" applyFont="1" applyFill="1" applyAlignment="1">
      <alignment horizontal="left"/>
    </xf>
    <xf numFmtId="2" fontId="44" fillId="3" borderId="0" xfId="0" applyNumberFormat="1" applyFont="1" applyFill="1" applyAlignment="1">
      <alignment horizontal="right"/>
    </xf>
    <xf numFmtId="172" fontId="44" fillId="3" borderId="0" xfId="0" applyNumberFormat="1" applyFont="1" applyFill="1" applyAlignment="1">
      <alignment horizontal="right"/>
    </xf>
    <xf numFmtId="2" fontId="44" fillId="3" borderId="0" xfId="0" applyNumberFormat="1" applyFont="1" applyFill="1" applyAlignment="1">
      <alignment horizontal="center"/>
    </xf>
    <xf numFmtId="171" fontId="2" fillId="3" borderId="0" xfId="34" applyNumberFormat="1" applyFont="1" applyFill="1" applyBorder="1"/>
    <xf numFmtId="168" fontId="2" fillId="5" borderId="0" xfId="0" applyNumberFormat="1" applyFont="1" applyFill="1"/>
    <xf numFmtId="3" fontId="2" fillId="3" borderId="0" xfId="35" applyNumberFormat="1" applyFont="1" applyFill="1" applyBorder="1"/>
    <xf numFmtId="170" fontId="2" fillId="3" borderId="0" xfId="0" applyNumberFormat="1" applyFont="1" applyFill="1"/>
    <xf numFmtId="0" fontId="49" fillId="3" borderId="0" xfId="0" applyFont="1" applyFill="1"/>
    <xf numFmtId="0" fontId="50" fillId="3" borderId="0" xfId="0" applyFont="1" applyFill="1"/>
    <xf numFmtId="0" fontId="49" fillId="3" borderId="0" xfId="0" applyFont="1" applyFill="1" applyAlignment="1">
      <alignment horizontal="right"/>
    </xf>
    <xf numFmtId="9" fontId="49" fillId="3" borderId="0" xfId="0" applyNumberFormat="1" applyFont="1" applyFill="1"/>
    <xf numFmtId="2" fontId="49" fillId="3" borderId="0" xfId="0" applyNumberFormat="1" applyFont="1" applyFill="1"/>
    <xf numFmtId="0" fontId="40" fillId="3" borderId="0" xfId="0" applyFont="1" applyFill="1"/>
    <xf numFmtId="0" fontId="62" fillId="3" borderId="0" xfId="0" applyFont="1" applyFill="1" applyAlignment="1">
      <alignment horizontal="center" vertical="center"/>
    </xf>
    <xf numFmtId="0" fontId="50" fillId="3" borderId="0" xfId="0" applyFont="1" applyFill="1" applyAlignment="1">
      <alignment horizontal="center" vertical="center"/>
    </xf>
    <xf numFmtId="0" fontId="50" fillId="3" borderId="0" xfId="0" applyFont="1" applyFill="1" applyAlignment="1">
      <alignment horizontal="center" vertical="center" wrapText="1"/>
    </xf>
    <xf numFmtId="0" fontId="65" fillId="3" borderId="0" xfId="0" applyFont="1" applyFill="1" applyAlignment="1">
      <alignment horizontal="center" vertical="center" wrapText="1"/>
    </xf>
    <xf numFmtId="0" fontId="65" fillId="3" borderId="0" xfId="0" applyFont="1" applyFill="1" applyAlignment="1">
      <alignment vertical="center" wrapText="1"/>
    </xf>
    <xf numFmtId="0" fontId="65" fillId="3" borderId="0" xfId="0" applyFont="1" applyFill="1" applyAlignment="1">
      <alignment vertical="center"/>
    </xf>
    <xf numFmtId="170" fontId="49" fillId="3" borderId="0" xfId="0" applyNumberFormat="1" applyFont="1" applyFill="1" applyAlignment="1">
      <alignment horizontal="right" vertical="center"/>
    </xf>
    <xf numFmtId="4" fontId="49" fillId="3" borderId="0" xfId="0" applyNumberFormat="1" applyFont="1" applyFill="1" applyAlignment="1">
      <alignment horizontal="right" vertical="center"/>
    </xf>
    <xf numFmtId="2" fontId="49" fillId="3" borderId="0" xfId="0" applyNumberFormat="1" applyFont="1" applyFill="1" applyAlignment="1">
      <alignment horizontal="right" vertical="center"/>
    </xf>
    <xf numFmtId="0" fontId="49" fillId="3" borderId="0" xfId="0" applyFont="1" applyFill="1" applyAlignment="1">
      <alignment horizontal="right" vertical="center" wrapText="1"/>
    </xf>
    <xf numFmtId="0" fontId="65" fillId="3" borderId="0" xfId="0" applyFont="1" applyFill="1" applyAlignment="1">
      <alignment horizontal="right" vertical="center" wrapText="1"/>
    </xf>
    <xf numFmtId="2" fontId="65" fillId="3" borderId="0" xfId="0" applyNumberFormat="1" applyFont="1" applyFill="1" applyAlignment="1">
      <alignment horizontal="right" vertical="center" wrapText="1"/>
    </xf>
    <xf numFmtId="170" fontId="39" fillId="3" borderId="0" xfId="0" applyNumberFormat="1" applyFont="1" applyFill="1" applyAlignment="1">
      <alignment horizontal="right" vertical="center"/>
    </xf>
    <xf numFmtId="0" fontId="61" fillId="3" borderId="0" xfId="0" applyFont="1" applyFill="1"/>
    <xf numFmtId="0" fontId="4" fillId="3" borderId="0" xfId="33" applyFont="1" applyFill="1"/>
    <xf numFmtId="0" fontId="2" fillId="3" borderId="0" xfId="33" applyFont="1" applyFill="1"/>
    <xf numFmtId="0" fontId="4" fillId="3" borderId="0" xfId="0" applyFont="1" applyFill="1" applyAlignment="1">
      <alignment horizontal="right" textRotation="90"/>
    </xf>
    <xf numFmtId="0" fontId="4" fillId="3" borderId="0" xfId="0" applyFont="1" applyFill="1" applyAlignment="1">
      <alignment horizontal="right" textRotation="90" wrapText="1"/>
    </xf>
    <xf numFmtId="173" fontId="49" fillId="3" borderId="0" xfId="36" applyNumberFormat="1" applyFont="1" applyFill="1" applyBorder="1"/>
    <xf numFmtId="3" fontId="49" fillId="3" borderId="0" xfId="0" applyNumberFormat="1" applyFont="1" applyFill="1"/>
    <xf numFmtId="9" fontId="50" fillId="3" borderId="0" xfId="20" applyFont="1" applyFill="1" applyBorder="1"/>
    <xf numFmtId="10" fontId="50" fillId="3" borderId="0" xfId="20" applyNumberFormat="1" applyFont="1" applyFill="1" applyBorder="1"/>
    <xf numFmtId="0" fontId="50" fillId="3" borderId="0" xfId="0" applyFont="1" applyFill="1" applyAlignment="1">
      <alignment horizontal="center"/>
    </xf>
    <xf numFmtId="0" fontId="49" fillId="3" borderId="0" xfId="0" applyFont="1" applyFill="1" applyAlignment="1">
      <alignment horizontal="center"/>
    </xf>
    <xf numFmtId="0" fontId="49" fillId="3" borderId="0" xfId="0" applyFont="1" applyFill="1" applyAlignment="1">
      <alignment horizontal="center" wrapText="1"/>
    </xf>
    <xf numFmtId="0" fontId="49" fillId="3" borderId="0" xfId="0" applyFont="1" applyFill="1" applyAlignment="1">
      <alignment horizontal="left"/>
    </xf>
    <xf numFmtId="169" fontId="49" fillId="3" borderId="0" xfId="20" applyNumberFormat="1" applyFont="1" applyFill="1" applyBorder="1" applyAlignment="1">
      <alignment horizontal="center"/>
    </xf>
    <xf numFmtId="10" fontId="49" fillId="3" borderId="0" xfId="20" applyNumberFormat="1" applyFont="1" applyFill="1" applyBorder="1" applyAlignment="1">
      <alignment horizontal="center"/>
    </xf>
    <xf numFmtId="10" fontId="49" fillId="3" borderId="0" xfId="20" applyNumberFormat="1" applyFont="1" applyFill="1" applyBorder="1"/>
    <xf numFmtId="0" fontId="49" fillId="3" borderId="0" xfId="20" applyNumberFormat="1" applyFont="1" applyFill="1" applyBorder="1"/>
    <xf numFmtId="10" fontId="50" fillId="3" borderId="0" xfId="20" applyNumberFormat="1" applyFont="1" applyFill="1" applyBorder="1" applyAlignment="1">
      <alignment horizontal="center"/>
    </xf>
    <xf numFmtId="168" fontId="49" fillId="3" borderId="0" xfId="20" applyNumberFormat="1" applyFont="1" applyFill="1" applyBorder="1"/>
    <xf numFmtId="168" fontId="49" fillId="3" borderId="0" xfId="0" applyNumberFormat="1" applyFont="1" applyFill="1"/>
    <xf numFmtId="0" fontId="2" fillId="3" borderId="0" xfId="40" applyFill="1"/>
    <xf numFmtId="9" fontId="2" fillId="3" borderId="0" xfId="20" applyFont="1" applyFill="1" applyBorder="1"/>
    <xf numFmtId="0" fontId="66" fillId="3" borderId="0" xfId="40" applyFont="1" applyFill="1" applyAlignment="1">
      <alignment horizontal="left"/>
    </xf>
    <xf numFmtId="0" fontId="67" fillId="3" borderId="0" xfId="40" applyFont="1" applyFill="1" applyAlignment="1">
      <alignment horizontal="left"/>
    </xf>
    <xf numFmtId="0" fontId="30" fillId="3" borderId="0" xfId="40" applyFont="1" applyFill="1"/>
    <xf numFmtId="0" fontId="3" fillId="3" borderId="0" xfId="40" applyFont="1" applyFill="1"/>
    <xf numFmtId="0" fontId="29" fillId="3" borderId="0" xfId="40" applyFont="1" applyFill="1"/>
    <xf numFmtId="0" fontId="4" fillId="3" borderId="0" xfId="40" applyFont="1" applyFill="1" applyAlignment="1">
      <alignment horizontal="center" wrapText="1"/>
    </xf>
    <xf numFmtId="178" fontId="2" fillId="3" borderId="0" xfId="40" applyNumberFormat="1" applyFill="1"/>
    <xf numFmtId="0" fontId="4" fillId="3" borderId="0" xfId="40" applyFont="1" applyFill="1" applyAlignment="1">
      <alignment wrapText="1"/>
    </xf>
    <xf numFmtId="0" fontId="2" fillId="3" borderId="0" xfId="0" applyFont="1" applyFill="1" applyAlignment="1">
      <alignment vertical="top" wrapText="1"/>
    </xf>
    <xf numFmtId="0" fontId="4" fillId="3" borderId="0" xfId="0" applyFont="1" applyFill="1" applyAlignment="1">
      <alignment vertical="top"/>
    </xf>
    <xf numFmtId="0" fontId="2" fillId="3" borderId="0" xfId="0" applyFont="1" applyFill="1" applyAlignment="1">
      <alignment horizontal="center" vertical="top" wrapText="1"/>
    </xf>
    <xf numFmtId="0" fontId="2" fillId="3" borderId="0" xfId="16" applyFill="1" applyAlignment="1">
      <alignment vertical="top" wrapText="1"/>
    </xf>
    <xf numFmtId="0" fontId="6" fillId="3" borderId="0" xfId="0" applyFont="1" applyFill="1"/>
    <xf numFmtId="3" fontId="2" fillId="3" borderId="0" xfId="0" applyNumberFormat="1" applyFont="1" applyFill="1" applyAlignment="1">
      <alignment horizontal="center" vertical="top" wrapText="1"/>
    </xf>
    <xf numFmtId="168" fontId="2" fillId="3" borderId="0" xfId="0" applyNumberFormat="1" applyFont="1" applyFill="1" applyAlignment="1">
      <alignment vertical="top" wrapText="1"/>
    </xf>
    <xf numFmtId="0" fontId="4" fillId="3" borderId="0" xfId="17" applyFont="1" applyFill="1"/>
    <xf numFmtId="0" fontId="2" fillId="3" borderId="0" xfId="17" applyFill="1"/>
    <xf numFmtId="0" fontId="2" fillId="3" borderId="0" xfId="16" applyFill="1"/>
    <xf numFmtId="0" fontId="6" fillId="3" borderId="0" xfId="18" applyFont="1" applyFill="1" applyAlignment="1">
      <alignment horizontal="center"/>
    </xf>
    <xf numFmtId="0" fontId="6" fillId="3" borderId="0" xfId="18" applyFont="1" applyFill="1" applyAlignment="1">
      <alignment horizontal="right" wrapText="1"/>
    </xf>
    <xf numFmtId="168" fontId="2" fillId="3" borderId="0" xfId="17" applyNumberFormat="1" applyFill="1"/>
    <xf numFmtId="0" fontId="4" fillId="3" borderId="0" xfId="0" applyFont="1" applyFill="1" applyAlignment="1">
      <alignment vertical="top" wrapText="1"/>
    </xf>
    <xf numFmtId="0" fontId="6" fillId="3" borderId="0" xfId="15" applyFont="1" applyFill="1" applyAlignment="1">
      <alignment horizontal="right" wrapText="1"/>
    </xf>
    <xf numFmtId="0" fontId="6" fillId="3" borderId="0" xfId="0" applyFont="1" applyFill="1" applyAlignment="1">
      <alignment vertical="top"/>
    </xf>
    <xf numFmtId="3" fontId="2" fillId="3" borderId="0" xfId="0" applyNumberFormat="1" applyFont="1" applyFill="1" applyAlignment="1">
      <alignment vertical="top" wrapText="1"/>
    </xf>
    <xf numFmtId="3" fontId="2" fillId="3" borderId="0" xfId="0" applyNumberFormat="1" applyFont="1" applyFill="1" applyAlignment="1">
      <alignment horizontal="center"/>
    </xf>
    <xf numFmtId="14" fontId="2" fillId="3" borderId="0" xfId="0" applyNumberFormat="1" applyFont="1" applyFill="1"/>
    <xf numFmtId="0" fontId="0" fillId="7" borderId="0" xfId="0" applyFill="1"/>
    <xf numFmtId="168" fontId="2" fillId="7" borderId="0" xfId="0" applyNumberFormat="1" applyFont="1" applyFill="1" applyAlignment="1">
      <alignment horizontal="center"/>
    </xf>
    <xf numFmtId="0" fontId="2" fillId="7" borderId="0" xfId="0" applyFont="1" applyFill="1"/>
    <xf numFmtId="1" fontId="0" fillId="7" borderId="0" xfId="0" applyNumberFormat="1" applyFill="1"/>
    <xf numFmtId="0" fontId="2" fillId="7" borderId="0" xfId="0" applyFont="1" applyFill="1" applyAlignment="1">
      <alignment wrapText="1"/>
    </xf>
    <xf numFmtId="0" fontId="39" fillId="7" borderId="0" xfId="0" applyFont="1" applyFill="1" applyAlignment="1">
      <alignment wrapText="1"/>
    </xf>
    <xf numFmtId="174" fontId="39" fillId="7" borderId="0" xfId="0" applyNumberFormat="1" applyFont="1" applyFill="1"/>
    <xf numFmtId="1" fontId="39" fillId="7" borderId="0" xfId="0" applyNumberFormat="1" applyFont="1" applyFill="1" applyAlignment="1">
      <alignment wrapText="1"/>
    </xf>
    <xf numFmtId="1" fontId="39" fillId="7" borderId="0" xfId="0" applyNumberFormat="1" applyFont="1" applyFill="1"/>
    <xf numFmtId="0" fontId="2" fillId="8" borderId="0" xfId="0" applyFont="1" applyFill="1" applyAlignment="1">
      <alignment horizontal="left"/>
    </xf>
    <xf numFmtId="174" fontId="0" fillId="8" borderId="0" xfId="0" applyNumberFormat="1" applyFill="1"/>
    <xf numFmtId="2" fontId="0" fillId="8" borderId="0" xfId="0" applyNumberFormat="1" applyFill="1"/>
    <xf numFmtId="178" fontId="2" fillId="3" borderId="0" xfId="0" applyNumberFormat="1" applyFont="1" applyFill="1" applyAlignment="1">
      <alignment horizontal="right"/>
    </xf>
    <xf numFmtId="1" fontId="2" fillId="3" borderId="0" xfId="0" applyNumberFormat="1" applyFont="1" applyFill="1" applyAlignment="1">
      <alignment horizontal="right"/>
    </xf>
    <xf numFmtId="1" fontId="2" fillId="4" borderId="0" xfId="0" applyNumberFormat="1" applyFont="1" applyFill="1"/>
    <xf numFmtId="0" fontId="33" fillId="4" borderId="0" xfId="38" applyFont="1" applyFill="1" applyBorder="1">
      <alignment vertical="top"/>
    </xf>
    <xf numFmtId="3" fontId="33" fillId="4" borderId="0" xfId="38" applyNumberFormat="1" applyFont="1" applyFill="1" applyBorder="1">
      <alignment vertical="top"/>
    </xf>
    <xf numFmtId="3" fontId="2" fillId="4" borderId="0" xfId="0" applyNumberFormat="1" applyFont="1" applyFill="1"/>
    <xf numFmtId="0" fontId="2" fillId="4" borderId="0" xfId="0" applyFont="1" applyFill="1"/>
    <xf numFmtId="171" fontId="0" fillId="4" borderId="0" xfId="0" applyNumberFormat="1" applyFill="1"/>
    <xf numFmtId="2" fontId="2" fillId="9" borderId="0" xfId="0" applyNumberFormat="1" applyFont="1" applyFill="1"/>
    <xf numFmtId="0" fontId="50" fillId="0" borderId="0" xfId="0" applyFont="1" applyAlignment="1">
      <alignment vertical="center"/>
    </xf>
    <xf numFmtId="0" fontId="49" fillId="0" borderId="0" xfId="0" applyFont="1" applyAlignment="1">
      <alignment vertical="center"/>
    </xf>
    <xf numFmtId="0" fontId="2" fillId="0" borderId="0" xfId="41" applyAlignment="1">
      <alignment vertical="center"/>
    </xf>
    <xf numFmtId="0" fontId="49" fillId="0" borderId="0" xfId="14" applyFont="1" applyAlignment="1">
      <alignment vertical="center"/>
    </xf>
    <xf numFmtId="0" fontId="49" fillId="0" borderId="0" xfId="0" applyFont="1" applyAlignment="1">
      <alignment vertical="center" wrapText="1"/>
    </xf>
    <xf numFmtId="181" fontId="10" fillId="0" borderId="0" xfId="0" applyNumberFormat="1" applyFont="1"/>
    <xf numFmtId="181" fontId="4" fillId="10" borderId="2" xfId="0" applyNumberFormat="1" applyFont="1" applyFill="1" applyBorder="1" applyAlignment="1">
      <alignment horizontal="left"/>
    </xf>
    <xf numFmtId="0" fontId="4" fillId="0" borderId="0" xfId="0" applyFont="1" applyAlignment="1">
      <alignment vertical="center"/>
    </xf>
    <xf numFmtId="0" fontId="2" fillId="0" borderId="0" xfId="0" applyFont="1" applyAlignment="1">
      <alignment vertical="center"/>
    </xf>
    <xf numFmtId="181" fontId="4" fillId="11" borderId="6" xfId="0" applyNumberFormat="1" applyFont="1" applyFill="1" applyBorder="1"/>
    <xf numFmtId="0" fontId="4" fillId="10" borderId="0" xfId="41" applyFont="1" applyFill="1" applyAlignment="1">
      <alignment vertical="center"/>
    </xf>
    <xf numFmtId="0" fontId="2" fillId="10" borderId="0" xfId="41" applyFill="1" applyAlignment="1">
      <alignment vertical="center"/>
    </xf>
    <xf numFmtId="0" fontId="49" fillId="10" borderId="0" xfId="0" applyFont="1" applyFill="1" applyAlignment="1">
      <alignment vertical="center"/>
    </xf>
    <xf numFmtId="0" fontId="2" fillId="12" borderId="0" xfId="41" applyFill="1" applyAlignment="1">
      <alignment vertical="center"/>
    </xf>
    <xf numFmtId="0" fontId="49" fillId="12" borderId="0" xfId="0" applyFont="1" applyFill="1" applyAlignment="1">
      <alignment vertical="center"/>
    </xf>
    <xf numFmtId="0" fontId="2" fillId="12" borderId="0" xfId="0" applyFont="1" applyFill="1" applyAlignment="1">
      <alignment vertical="center"/>
    </xf>
    <xf numFmtId="0" fontId="2" fillId="10" borderId="0" xfId="0" applyFont="1" applyFill="1" applyAlignment="1">
      <alignment vertical="center"/>
    </xf>
    <xf numFmtId="0" fontId="10" fillId="0" borderId="0" xfId="0" applyFont="1" applyAlignment="1">
      <alignment horizontal="left"/>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2" fontId="12" fillId="0" borderId="0" xfId="19" applyNumberFormat="1" applyFont="1" applyAlignment="1">
      <alignment horizontal="center" vertical="center"/>
    </xf>
    <xf numFmtId="2" fontId="0" fillId="0" borderId="0" xfId="0" applyNumberFormat="1" applyAlignment="1">
      <alignment horizontal="center" vertical="center"/>
    </xf>
    <xf numFmtId="0" fontId="4" fillId="0" borderId="0" xfId="0" applyFont="1" applyAlignment="1">
      <alignment horizontal="center" vertical="center" wrapText="1"/>
    </xf>
    <xf numFmtId="0" fontId="48" fillId="0" borderId="0" xfId="0" applyFont="1" applyAlignment="1">
      <alignment horizontal="center" vertical="center"/>
    </xf>
    <xf numFmtId="4" fontId="0" fillId="0" borderId="0" xfId="0" applyNumberFormat="1" applyAlignment="1">
      <alignment horizontal="center" vertical="center"/>
    </xf>
    <xf numFmtId="168" fontId="0" fillId="0" borderId="0" xfId="0" applyNumberFormat="1" applyAlignment="1">
      <alignment horizontal="center" vertical="center"/>
    </xf>
    <xf numFmtId="11" fontId="0" fillId="0" borderId="0" xfId="0" applyNumberFormat="1" applyAlignment="1">
      <alignment horizontal="center" vertical="center"/>
    </xf>
    <xf numFmtId="2" fontId="2" fillId="0" borderId="0" xfId="19" applyNumberFormat="1" applyFont="1" applyAlignment="1">
      <alignment horizontal="center" vertical="center"/>
    </xf>
    <xf numFmtId="167" fontId="0" fillId="0" borderId="0" xfId="0" applyNumberFormat="1" applyAlignment="1">
      <alignment horizontal="center" vertical="center"/>
    </xf>
    <xf numFmtId="169" fontId="0" fillId="0" borderId="0" xfId="0" applyNumberFormat="1" applyAlignment="1">
      <alignment horizontal="center" vertical="center"/>
    </xf>
    <xf numFmtId="2" fontId="2" fillId="0" borderId="0" xfId="0" applyNumberFormat="1" applyFont="1" applyAlignment="1">
      <alignment horizontal="center" vertical="center"/>
    </xf>
    <xf numFmtId="169" fontId="2" fillId="0" borderId="0" xfId="0" applyNumberFormat="1" applyFont="1" applyAlignment="1">
      <alignment horizontal="center" vertical="center"/>
    </xf>
    <xf numFmtId="1" fontId="0" fillId="0" borderId="0" xfId="0" applyNumberFormat="1" applyAlignment="1">
      <alignment horizontal="center" vertical="center"/>
    </xf>
    <xf numFmtId="0" fontId="4" fillId="10" borderId="2" xfId="0" applyFont="1" applyFill="1" applyBorder="1" applyAlignment="1">
      <alignment horizontal="left"/>
    </xf>
    <xf numFmtId="181" fontId="4" fillId="9" borderId="2" xfId="0" applyNumberFormat="1" applyFont="1" applyFill="1" applyBorder="1" applyAlignment="1">
      <alignment horizontal="left"/>
    </xf>
    <xf numFmtId="0" fontId="4" fillId="6" borderId="0" xfId="0" applyFont="1" applyFill="1" applyAlignment="1">
      <alignment horizontal="center" vertical="center"/>
    </xf>
    <xf numFmtId="0" fontId="4" fillId="10" borderId="0" xfId="0" applyFont="1" applyFill="1" applyAlignment="1">
      <alignment vertical="center"/>
    </xf>
    <xf numFmtId="0" fontId="0" fillId="10" borderId="0" xfId="0" applyFill="1" applyAlignment="1">
      <alignment vertical="center"/>
    </xf>
    <xf numFmtId="0" fontId="0" fillId="10" borderId="0" xfId="0" applyFill="1" applyAlignment="1">
      <alignment horizontal="center" vertical="center"/>
    </xf>
    <xf numFmtId="0" fontId="4" fillId="10" borderId="0" xfId="0" applyFont="1" applyFill="1" applyAlignment="1">
      <alignment horizontal="center" vertical="center"/>
    </xf>
    <xf numFmtId="170" fontId="4" fillId="10" borderId="0" xfId="0" applyNumberFormat="1" applyFont="1" applyFill="1" applyAlignment="1">
      <alignment horizontal="center" vertical="center"/>
    </xf>
    <xf numFmtId="0" fontId="0" fillId="12" borderId="0" xfId="0" applyFill="1" applyAlignment="1">
      <alignment horizontal="center" vertical="center"/>
    </xf>
    <xf numFmtId="2" fontId="12" fillId="12" borderId="0" xfId="19" applyNumberFormat="1" applyFont="1" applyFill="1" applyAlignment="1">
      <alignment horizontal="center" vertical="center"/>
    </xf>
    <xf numFmtId="43" fontId="0" fillId="12" borderId="0" xfId="36" applyFont="1" applyFill="1" applyAlignment="1">
      <alignment horizontal="center" vertical="center"/>
    </xf>
    <xf numFmtId="168" fontId="0" fillId="12" borderId="0" xfId="0" applyNumberFormat="1" applyFill="1" applyAlignment="1">
      <alignment horizontal="center" vertical="center"/>
    </xf>
    <xf numFmtId="181" fontId="4" fillId="10" borderId="0" xfId="0" applyNumberFormat="1" applyFont="1" applyFill="1" applyAlignment="1">
      <alignment horizontal="left"/>
    </xf>
    <xf numFmtId="0" fontId="4" fillId="10" borderId="0" xfId="0" applyFont="1" applyFill="1" applyAlignment="1">
      <alignment horizontal="left"/>
    </xf>
    <xf numFmtId="181" fontId="4" fillId="0" borderId="0" xfId="0" applyNumberFormat="1" applyFont="1" applyAlignment="1">
      <alignment horizontal="left"/>
    </xf>
    <xf numFmtId="0" fontId="2" fillId="10" borderId="0" xfId="0" applyFont="1" applyFill="1"/>
    <xf numFmtId="0" fontId="2" fillId="10" borderId="0" xfId="43" applyFill="1" applyAlignment="1">
      <alignment horizontal="center" wrapText="1"/>
    </xf>
    <xf numFmtId="2" fontId="0" fillId="10" borderId="0" xfId="0" applyNumberFormat="1" applyFill="1" applyAlignment="1">
      <alignment horizontal="center" vertical="center"/>
    </xf>
    <xf numFmtId="2" fontId="2" fillId="12" borderId="0" xfId="19" applyNumberFormat="1" applyFont="1" applyFill="1" applyAlignment="1">
      <alignment horizontal="center" vertical="center"/>
    </xf>
    <xf numFmtId="4" fontId="0" fillId="12" borderId="0" xfId="0" applyNumberFormat="1" applyFill="1" applyAlignment="1">
      <alignment horizontal="center" vertical="center"/>
    </xf>
    <xf numFmtId="2" fontId="0" fillId="12" borderId="0" xfId="0" applyNumberFormat="1" applyFill="1" applyAlignment="1">
      <alignment horizontal="center" vertical="center"/>
    </xf>
    <xf numFmtId="167" fontId="0" fillId="12" borderId="0" xfId="0" applyNumberFormat="1" applyFill="1" applyAlignment="1">
      <alignment horizontal="center" vertical="center"/>
    </xf>
    <xf numFmtId="2" fontId="2" fillId="12" borderId="0" xfId="0" applyNumberFormat="1" applyFont="1" applyFill="1" applyAlignment="1">
      <alignment horizontal="center" vertical="center"/>
    </xf>
    <xf numFmtId="169" fontId="2" fillId="12" borderId="0" xfId="0" applyNumberFormat="1" applyFont="1" applyFill="1" applyAlignment="1">
      <alignment horizontal="center" vertical="center"/>
    </xf>
    <xf numFmtId="1" fontId="0" fillId="12" borderId="0" xfId="0" applyNumberFormat="1" applyFill="1" applyAlignment="1">
      <alignment horizontal="center" vertical="center"/>
    </xf>
    <xf numFmtId="166" fontId="2" fillId="0" borderId="0" xfId="0" applyNumberFormat="1" applyFont="1" applyAlignment="1">
      <alignment vertical="center"/>
    </xf>
    <xf numFmtId="0" fontId="12" fillId="0" borderId="0" xfId="0" applyFont="1" applyAlignment="1">
      <alignment horizontal="center" vertical="center"/>
    </xf>
    <xf numFmtId="167" fontId="2" fillId="0" borderId="0" xfId="0" applyNumberFormat="1" applyFont="1" applyAlignment="1">
      <alignment horizontal="center" vertical="center"/>
    </xf>
    <xf numFmtId="2" fontId="2" fillId="0" borderId="0" xfId="0" applyNumberFormat="1" applyFont="1" applyAlignment="1">
      <alignment vertical="center"/>
    </xf>
    <xf numFmtId="170" fontId="2" fillId="0" borderId="0" xfId="0" applyNumberFormat="1" applyFont="1" applyAlignment="1">
      <alignment horizontal="center" vertical="center"/>
    </xf>
    <xf numFmtId="180" fontId="2" fillId="0" borderId="0" xfId="0" applyNumberFormat="1" applyFont="1" applyAlignment="1">
      <alignment horizontal="center" vertical="center"/>
    </xf>
    <xf numFmtId="0" fontId="2" fillId="10" borderId="0" xfId="0" applyFont="1" applyFill="1" applyAlignment="1">
      <alignment horizontal="center" vertical="center"/>
    </xf>
    <xf numFmtId="0" fontId="2" fillId="12" borderId="0" xfId="0" applyFont="1" applyFill="1" applyAlignment="1">
      <alignment horizontal="center" vertical="center"/>
    </xf>
    <xf numFmtId="167" fontId="2" fillId="12" borderId="0" xfId="0" applyNumberFormat="1" applyFont="1" applyFill="1" applyAlignment="1">
      <alignment horizontal="center" vertical="center"/>
    </xf>
    <xf numFmtId="43" fontId="2" fillId="12" borderId="0" xfId="36" applyFont="1" applyFill="1" applyAlignment="1">
      <alignment horizontal="center" vertical="center"/>
    </xf>
    <xf numFmtId="43" fontId="2" fillId="0" borderId="0" xfId="36" applyFont="1" applyFill="1" applyAlignment="1">
      <alignment horizontal="center" vertical="center"/>
    </xf>
    <xf numFmtId="170" fontId="2" fillId="12" borderId="0" xfId="0" applyNumberFormat="1" applyFont="1" applyFill="1" applyAlignment="1">
      <alignment horizontal="center" vertical="center"/>
    </xf>
    <xf numFmtId="43" fontId="2" fillId="10" borderId="0" xfId="36" applyFont="1" applyFill="1" applyAlignment="1">
      <alignment horizontal="center" vertical="center"/>
    </xf>
    <xf numFmtId="2" fontId="2" fillId="10" borderId="0" xfId="0" applyNumberFormat="1" applyFont="1" applyFill="1" applyAlignment="1">
      <alignment horizontal="center" vertical="center"/>
    </xf>
    <xf numFmtId="0" fontId="31" fillId="3" borderId="0" xfId="0" applyFont="1" applyFill="1" applyAlignment="1">
      <alignment horizontal="center"/>
    </xf>
    <xf numFmtId="0" fontId="0" fillId="3" borderId="0" xfId="0" applyFill="1" applyAlignment="1">
      <alignment wrapText="1"/>
    </xf>
    <xf numFmtId="0" fontId="27" fillId="3" borderId="0" xfId="0" applyFont="1" applyFill="1" applyAlignment="1">
      <alignment horizontal="left" vertical="center" wrapText="1"/>
    </xf>
    <xf numFmtId="0" fontId="4" fillId="3" borderId="0" xfId="0" applyFont="1" applyFill="1" applyAlignment="1">
      <alignment horizontal="center"/>
    </xf>
    <xf numFmtId="0" fontId="2" fillId="3" borderId="0" xfId="0" applyFont="1" applyFill="1" applyAlignment="1">
      <alignment wrapText="1"/>
    </xf>
    <xf numFmtId="0" fontId="59" fillId="3" borderId="0" xfId="0" applyFont="1" applyFill="1" applyAlignment="1">
      <alignment horizontal="left" vertical="center" wrapText="1"/>
    </xf>
    <xf numFmtId="0" fontId="50" fillId="3" borderId="0" xfId="0" applyFont="1" applyFill="1" applyAlignment="1">
      <alignment horizontal="left" vertical="center" wrapText="1"/>
    </xf>
    <xf numFmtId="0" fontId="44" fillId="3" borderId="0" xfId="0" applyFont="1" applyFill="1" applyAlignment="1">
      <alignment horizontal="center"/>
    </xf>
    <xf numFmtId="0" fontId="0" fillId="3" borderId="0" xfId="0" applyFill="1" applyAlignment="1">
      <alignment horizontal="left" vertical="center" wrapText="1"/>
    </xf>
    <xf numFmtId="0" fontId="21" fillId="3" borderId="0" xfId="0" applyFont="1" applyFill="1" applyAlignment="1">
      <alignment horizontal="center"/>
    </xf>
    <xf numFmtId="0" fontId="49" fillId="3" borderId="0" xfId="0" applyFont="1" applyFill="1" applyAlignment="1">
      <alignment horizontal="center"/>
    </xf>
    <xf numFmtId="0" fontId="65" fillId="3" borderId="0" xfId="0" applyFont="1" applyFill="1" applyAlignment="1">
      <alignment horizontal="center" vertical="center" wrapText="1"/>
    </xf>
    <xf numFmtId="0" fontId="4" fillId="3" borderId="0" xfId="0" applyFont="1" applyFill="1" applyAlignment="1">
      <alignment horizontal="center" wrapText="1"/>
    </xf>
  </cellXfs>
  <cellStyles count="45">
    <cellStyle name="Comma" xfId="36" builtinId="3"/>
    <cellStyle name="Comma 2" xfId="1" xr:uid="{00000000-0005-0000-0000-000001000000}"/>
    <cellStyle name="Comma 2 4" xfId="35" xr:uid="{00000000-0005-0000-0000-000002000000}"/>
    <cellStyle name="Comma 3" xfId="2" xr:uid="{00000000-0005-0000-0000-000003000000}"/>
    <cellStyle name="Comma 4" xfId="3" xr:uid="{00000000-0005-0000-0000-000004000000}"/>
    <cellStyle name="Comma 4 2" xfId="4" xr:uid="{00000000-0005-0000-0000-000005000000}"/>
    <cellStyle name="Currency 2" xfId="5" xr:uid="{00000000-0005-0000-0000-000006000000}"/>
    <cellStyle name="Currency 3" xfId="6" xr:uid="{00000000-0005-0000-0000-000007000000}"/>
    <cellStyle name="Date" xfId="7" xr:uid="{00000000-0005-0000-0000-000008000000}"/>
    <cellStyle name="Fixed" xfId="8" xr:uid="{00000000-0005-0000-0000-000009000000}"/>
    <cellStyle name="header-top" xfId="39" xr:uid="{00000000-0005-0000-0000-00000A000000}"/>
    <cellStyle name="Heading1" xfId="9" xr:uid="{00000000-0005-0000-0000-00000B000000}"/>
    <cellStyle name="Heading2" xfId="10" xr:uid="{00000000-0005-0000-0000-00000C000000}"/>
    <cellStyle name="Hyperlink" xfId="11" builtinId="8"/>
    <cellStyle name="Last Header Row" xfId="37" xr:uid="{00000000-0005-0000-0000-00000E000000}"/>
    <cellStyle name="Normal" xfId="0" builtinId="0"/>
    <cellStyle name="Normal 10" xfId="43" xr:uid="{A983D159-5822-4B8E-86F4-744DC188061C}"/>
    <cellStyle name="Normal 10 2" xfId="44" xr:uid="{5FF1CB5A-F562-4CD7-94AE-443CC372AA9C}"/>
    <cellStyle name="Normal 2" xfId="12" xr:uid="{00000000-0005-0000-0000-000010000000}"/>
    <cellStyle name="Normal 2 2" xfId="41" xr:uid="{00000000-0005-0000-0000-000011000000}"/>
    <cellStyle name="Normal 3" xfId="13" xr:uid="{00000000-0005-0000-0000-000012000000}"/>
    <cellStyle name="Normal 4" xfId="40" xr:uid="{00000000-0005-0000-0000-000013000000}"/>
    <cellStyle name="normal cell" xfId="38" xr:uid="{00000000-0005-0000-0000-000014000000}"/>
    <cellStyle name="Normal_Commodities" xfId="14" xr:uid="{00000000-0005-0000-0000-000015000000}"/>
    <cellStyle name="Normal_Conv" xfId="15" xr:uid="{00000000-0005-0000-0000-000016000000}"/>
    <cellStyle name="Normal_conversion factors" xfId="16" xr:uid="{00000000-0005-0000-0000-000017000000}"/>
    <cellStyle name="Normal_EPAUS9r_08_SRC_Coal_v0.1a" xfId="17" xr:uid="{00000000-0005-0000-0000-000018000000}"/>
    <cellStyle name="Normal_Fuel trans V1" xfId="33" xr:uid="{00000000-0005-0000-0000-000019000000}"/>
    <cellStyle name="Normal_Sheet1" xfId="18" xr:uid="{00000000-0005-0000-0000-00001A000000}"/>
    <cellStyle name="Normal_Tech_RC" xfId="19" xr:uid="{00000000-0005-0000-0000-00001B000000}"/>
    <cellStyle name="Percent" xfId="20" builtinId="5"/>
    <cellStyle name="Percent 2" xfId="21" xr:uid="{00000000-0005-0000-0000-00001D000000}"/>
    <cellStyle name="Percent 2 2" xfId="42" xr:uid="{00000000-0005-0000-0000-00001E000000}"/>
    <cellStyle name="Percent 3" xfId="22" xr:uid="{00000000-0005-0000-0000-00001F000000}"/>
    <cellStyle name="Percent 3 2" xfId="23" xr:uid="{00000000-0005-0000-0000-000020000000}"/>
    <cellStyle name="Percent 4 2" xfId="34" xr:uid="{00000000-0005-0000-0000-000021000000}"/>
    <cellStyle name="Style 29" xfId="24" xr:uid="{00000000-0005-0000-0000-000022000000}"/>
    <cellStyle name="Style 29 2" xfId="25" xr:uid="{00000000-0005-0000-0000-000023000000}"/>
    <cellStyle name="Style 29 3" xfId="26" xr:uid="{00000000-0005-0000-0000-000024000000}"/>
    <cellStyle name="Style 29 3 2" xfId="27" xr:uid="{00000000-0005-0000-0000-000025000000}"/>
    <cellStyle name="Style 35" xfId="28" xr:uid="{00000000-0005-0000-0000-000026000000}"/>
    <cellStyle name="Style 35 2" xfId="29" xr:uid="{00000000-0005-0000-0000-000027000000}"/>
    <cellStyle name="Style 36" xfId="30" xr:uid="{00000000-0005-0000-0000-000028000000}"/>
    <cellStyle name="Style 36 2" xfId="31" xr:uid="{00000000-0005-0000-0000-000029000000}"/>
    <cellStyle name="Total" xfId="32" builtinId="25" customBuiltin="1"/>
  </cellStyles>
  <dxfs count="2">
    <dxf>
      <font>
        <b/>
        <i val="0"/>
        <condense val="0"/>
        <extend val="0"/>
      </font>
      <fill>
        <patternFill>
          <bgColor indexed="10"/>
        </patternFill>
      </fill>
    </dxf>
    <dxf>
      <font>
        <b/>
        <i val="0"/>
        <condense val="0"/>
        <extend val="0"/>
      </font>
      <fill>
        <patternFill>
          <bgColor indexed="1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FFFF99"/>
      <color rgb="FFFFCCFF"/>
      <color rgb="FFFF99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customXml" Target="../customXml/item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drawings/_rels/drawing7.xml.rels><?xml version="1.0" encoding="UTF-8" standalone="yes"?>
<Relationships xmlns="http://schemas.openxmlformats.org/package/2006/relationships"><Relationship Id="rId2" Type="http://schemas.openxmlformats.org/officeDocument/2006/relationships/image" Target="../media/image37.jpeg"/><Relationship Id="rId1" Type="http://schemas.openxmlformats.org/officeDocument/2006/relationships/image" Target="../media/image36.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image" Target="../media/image6.emf"/><Relationship Id="rId7" Type="http://schemas.openxmlformats.org/officeDocument/2006/relationships/image" Target="../media/image2.emf"/><Relationship Id="rId2" Type="http://schemas.openxmlformats.org/officeDocument/2006/relationships/image" Target="../media/image7.emf"/><Relationship Id="rId1" Type="http://schemas.openxmlformats.org/officeDocument/2006/relationships/image" Target="../media/image8.emf"/><Relationship Id="rId6" Type="http://schemas.openxmlformats.org/officeDocument/2006/relationships/image" Target="../media/image3.emf"/><Relationship Id="rId5" Type="http://schemas.openxmlformats.org/officeDocument/2006/relationships/image" Target="../media/image4.emf"/><Relationship Id="rId4"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2.emf"/><Relationship Id="rId1" Type="http://schemas.openxmlformats.org/officeDocument/2006/relationships/image" Target="../media/image13.emf"/><Relationship Id="rId5" Type="http://schemas.openxmlformats.org/officeDocument/2006/relationships/image" Target="../media/image9.emf"/><Relationship Id="rId4" Type="http://schemas.openxmlformats.org/officeDocument/2006/relationships/image" Target="../media/image10.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6.emf"/><Relationship Id="rId1" Type="http://schemas.openxmlformats.org/officeDocument/2006/relationships/image" Target="../media/image17.emf"/><Relationship Id="rId4"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20.emf"/><Relationship Id="rId2" Type="http://schemas.openxmlformats.org/officeDocument/2006/relationships/image" Target="../media/image21.emf"/><Relationship Id="rId1" Type="http://schemas.openxmlformats.org/officeDocument/2006/relationships/image" Target="../media/image22.emf"/><Relationship Id="rId5" Type="http://schemas.openxmlformats.org/officeDocument/2006/relationships/image" Target="../media/image18.emf"/><Relationship Id="rId4" Type="http://schemas.openxmlformats.org/officeDocument/2006/relationships/image" Target="../media/image19.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7.emf"/><Relationship Id="rId7" Type="http://schemas.openxmlformats.org/officeDocument/2006/relationships/image" Target="../media/image23.emf"/><Relationship Id="rId2" Type="http://schemas.openxmlformats.org/officeDocument/2006/relationships/image" Target="../media/image28.emf"/><Relationship Id="rId1" Type="http://schemas.openxmlformats.org/officeDocument/2006/relationships/image" Target="../media/image29.emf"/><Relationship Id="rId6" Type="http://schemas.openxmlformats.org/officeDocument/2006/relationships/image" Target="../media/image24.emf"/><Relationship Id="rId5" Type="http://schemas.openxmlformats.org/officeDocument/2006/relationships/image" Target="../media/image25.emf"/><Relationship Id="rId4" Type="http://schemas.openxmlformats.org/officeDocument/2006/relationships/image" Target="../media/image26.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33.emf"/><Relationship Id="rId2" Type="http://schemas.openxmlformats.org/officeDocument/2006/relationships/image" Target="../media/image34.emf"/><Relationship Id="rId1" Type="http://schemas.openxmlformats.org/officeDocument/2006/relationships/image" Target="../media/image35.emf"/><Relationship Id="rId6" Type="http://schemas.openxmlformats.org/officeDocument/2006/relationships/image" Target="../media/image30.emf"/><Relationship Id="rId5" Type="http://schemas.openxmlformats.org/officeDocument/2006/relationships/image" Target="../media/image31.emf"/><Relationship Id="rId4" Type="http://schemas.openxmlformats.org/officeDocument/2006/relationships/image" Target="../media/image32.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41.emf"/><Relationship Id="rId2" Type="http://schemas.openxmlformats.org/officeDocument/2006/relationships/image" Target="../media/image42.emf"/><Relationship Id="rId1" Type="http://schemas.openxmlformats.org/officeDocument/2006/relationships/image" Target="../media/image43.emf"/><Relationship Id="rId6" Type="http://schemas.openxmlformats.org/officeDocument/2006/relationships/image" Target="../media/image38.emf"/><Relationship Id="rId5" Type="http://schemas.openxmlformats.org/officeDocument/2006/relationships/image" Target="../media/image39.emf"/><Relationship Id="rId4" Type="http://schemas.openxmlformats.org/officeDocument/2006/relationships/image" Target="../media/image40.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8.emf"/><Relationship Id="rId7" Type="http://schemas.openxmlformats.org/officeDocument/2006/relationships/image" Target="../media/image44.emf"/><Relationship Id="rId2" Type="http://schemas.openxmlformats.org/officeDocument/2006/relationships/image" Target="../media/image49.emf"/><Relationship Id="rId1" Type="http://schemas.openxmlformats.org/officeDocument/2006/relationships/image" Target="../media/image50.emf"/><Relationship Id="rId6" Type="http://schemas.openxmlformats.org/officeDocument/2006/relationships/image" Target="../media/image45.emf"/><Relationship Id="rId5" Type="http://schemas.openxmlformats.org/officeDocument/2006/relationships/image" Target="../media/image46.emf"/><Relationship Id="rId4" Type="http://schemas.openxmlformats.org/officeDocument/2006/relationships/image" Target="../media/image47.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53.emf"/><Relationship Id="rId2" Type="http://schemas.openxmlformats.org/officeDocument/2006/relationships/image" Target="../media/image54.emf"/><Relationship Id="rId1" Type="http://schemas.openxmlformats.org/officeDocument/2006/relationships/image" Target="../media/image55.emf"/><Relationship Id="rId5" Type="http://schemas.openxmlformats.org/officeDocument/2006/relationships/image" Target="../media/image51.emf"/><Relationship Id="rId4" Type="http://schemas.openxmlformats.org/officeDocument/2006/relationships/image" Target="../media/image52.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57.emf"/><Relationship Id="rId2" Type="http://schemas.openxmlformats.org/officeDocument/2006/relationships/image" Target="../media/image58.emf"/><Relationship Id="rId1" Type="http://schemas.openxmlformats.org/officeDocument/2006/relationships/image" Target="../media/image59.emf"/><Relationship Id="rId4" Type="http://schemas.openxmlformats.org/officeDocument/2006/relationships/image" Target="../media/image56.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62.emf"/><Relationship Id="rId2" Type="http://schemas.openxmlformats.org/officeDocument/2006/relationships/image" Target="../media/image63.emf"/><Relationship Id="rId1" Type="http://schemas.openxmlformats.org/officeDocument/2006/relationships/image" Target="../media/image64.emf"/><Relationship Id="rId5" Type="http://schemas.openxmlformats.org/officeDocument/2006/relationships/image" Target="../media/image60.emf"/><Relationship Id="rId4" Type="http://schemas.openxmlformats.org/officeDocument/2006/relationships/image" Target="../media/image61.emf"/></Relationships>
</file>

<file path=xl/drawings/_rels/vmlDrawing18.vml.rels><?xml version="1.0" encoding="UTF-8" standalone="yes"?>
<Relationships xmlns="http://schemas.openxmlformats.org/package/2006/relationships"><Relationship Id="rId3" Type="http://schemas.openxmlformats.org/officeDocument/2006/relationships/image" Target="../media/image69.emf"/><Relationship Id="rId7" Type="http://schemas.openxmlformats.org/officeDocument/2006/relationships/image" Target="../media/image65.emf"/><Relationship Id="rId2" Type="http://schemas.openxmlformats.org/officeDocument/2006/relationships/image" Target="../media/image70.emf"/><Relationship Id="rId1" Type="http://schemas.openxmlformats.org/officeDocument/2006/relationships/image" Target="../media/image71.emf"/><Relationship Id="rId6" Type="http://schemas.openxmlformats.org/officeDocument/2006/relationships/image" Target="../media/image66.emf"/><Relationship Id="rId5" Type="http://schemas.openxmlformats.org/officeDocument/2006/relationships/image" Target="../media/image67.emf"/><Relationship Id="rId4" Type="http://schemas.openxmlformats.org/officeDocument/2006/relationships/image" Target="../media/image6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xdr:row>
          <xdr:rowOff>0</xdr:rowOff>
        </xdr:from>
        <xdr:to>
          <xdr:col>4</xdr:col>
          <xdr:colOff>1514475</xdr:colOff>
          <xdr:row>3</xdr:row>
          <xdr:rowOff>76200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4</xdr:col>
          <xdr:colOff>0</xdr:colOff>
          <xdr:row>5</xdr:row>
          <xdr:rowOff>95250</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2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647700</xdr:colOff>
          <xdr:row>5</xdr:row>
          <xdr:rowOff>95250</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2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200025</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2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04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04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04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19050</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04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05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05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05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06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6</xdr:col>
          <xdr:colOff>0</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1</xdr:col>
          <xdr:colOff>9525</xdr:colOff>
          <xdr:row>4</xdr:row>
          <xdr:rowOff>219075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06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06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28575</xdr:colOff>
          <xdr:row>4</xdr:row>
          <xdr:rowOff>9525</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06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10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10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1</xdr:col>
          <xdr:colOff>0</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10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10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1</xdr:col>
          <xdr:colOff>0</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10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4</xdr:col>
          <xdr:colOff>0</xdr:colOff>
          <xdr:row>4</xdr:row>
          <xdr:rowOff>19050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10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16</xdr:col>
      <xdr:colOff>133351</xdr:colOff>
      <xdr:row>5</xdr:row>
      <xdr:rowOff>38100</xdr:rowOff>
    </xdr:from>
    <xdr:to>
      <xdr:col>21</xdr:col>
      <xdr:colOff>565066</xdr:colOff>
      <xdr:row>21</xdr:row>
      <xdr:rowOff>104775</xdr:rowOff>
    </xdr:to>
    <xdr:pic>
      <xdr:nvPicPr>
        <xdr:cNvPr id="4" name="Picture 3" descr="OGSM supply region map.jpg">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1" cstate="print"/>
        <a:stretch>
          <a:fillRect/>
        </a:stretch>
      </xdr:blipFill>
      <xdr:spPr>
        <a:xfrm>
          <a:off x="13144501" y="1247775"/>
          <a:ext cx="3765465" cy="2743200"/>
        </a:xfrm>
        <a:prstGeom prst="rect">
          <a:avLst/>
        </a:prstGeom>
      </xdr:spPr>
    </xdr:pic>
    <xdr:clientData/>
  </xdr:twoCellAnchor>
  <xdr:twoCellAnchor editAs="oneCell">
    <xdr:from>
      <xdr:col>22</xdr:col>
      <xdr:colOff>28575</xdr:colOff>
      <xdr:row>5</xdr:row>
      <xdr:rowOff>180975</xdr:rowOff>
    </xdr:from>
    <xdr:to>
      <xdr:col>24</xdr:col>
      <xdr:colOff>1074273</xdr:colOff>
      <xdr:row>19</xdr:row>
      <xdr:rowOff>114300</xdr:rowOff>
    </xdr:to>
    <xdr:pic>
      <xdr:nvPicPr>
        <xdr:cNvPr id="5" name="Picture 4" descr="Texas Oil and Gas Districts.jpg">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2" cstate="print"/>
        <a:stretch>
          <a:fillRect/>
        </a:stretch>
      </xdr:blipFill>
      <xdr:spPr>
        <a:xfrm>
          <a:off x="16983075" y="1390650"/>
          <a:ext cx="2264898" cy="2286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71681" name="cmdConstrNameAndDesc" hidden="1">
              <a:extLst>
                <a:ext uri="{63B3BB69-23CF-44E3-9099-C40C66FF867C}">
                  <a14:compatExt spid="_x0000_s71681"/>
                </a:ext>
                <a:ext uri="{FF2B5EF4-FFF2-40B4-BE49-F238E27FC236}">
                  <a16:creationId xmlns:a16="http://schemas.microsoft.com/office/drawing/2014/main" id="{00000000-0008-0000-1700-00000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71682" name="cmdTechName" hidden="1">
              <a:extLst>
                <a:ext uri="{63B3BB69-23CF-44E3-9099-C40C66FF867C}">
                  <a14:compatExt spid="_x0000_s71682"/>
                </a:ext>
                <a:ext uri="{FF2B5EF4-FFF2-40B4-BE49-F238E27FC236}">
                  <a16:creationId xmlns:a16="http://schemas.microsoft.com/office/drawing/2014/main" id="{00000000-0008-0000-1700-00000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1</xdr:col>
          <xdr:colOff>0</xdr:colOff>
          <xdr:row>5</xdr:row>
          <xdr:rowOff>9525</xdr:rowOff>
        </xdr:to>
        <xdr:sp macro="" textlink="">
          <xdr:nvSpPr>
            <xdr:cNvPr id="71683" name="cmdAddParameter" hidden="1">
              <a:extLst>
                <a:ext uri="{63B3BB69-23CF-44E3-9099-C40C66FF867C}">
                  <a14:compatExt spid="_x0000_s71683"/>
                </a:ext>
                <a:ext uri="{FF2B5EF4-FFF2-40B4-BE49-F238E27FC236}">
                  <a16:creationId xmlns:a16="http://schemas.microsoft.com/office/drawing/2014/main" id="{00000000-0008-0000-1700-00000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71684" name="cmdCheckConstrDataSheet" hidden="1">
              <a:extLst>
                <a:ext uri="{63B3BB69-23CF-44E3-9099-C40C66FF867C}">
                  <a14:compatExt spid="_x0000_s71684"/>
                </a:ext>
                <a:ext uri="{FF2B5EF4-FFF2-40B4-BE49-F238E27FC236}">
                  <a16:creationId xmlns:a16="http://schemas.microsoft.com/office/drawing/2014/main" id="{00000000-0008-0000-1700-00000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1</xdr:col>
          <xdr:colOff>0</xdr:colOff>
          <xdr:row>6</xdr:row>
          <xdr:rowOff>19050</xdr:rowOff>
        </xdr:to>
        <xdr:sp macro="" textlink="">
          <xdr:nvSpPr>
            <xdr:cNvPr id="71685" name="cmdAddParamQualifier" hidden="1">
              <a:extLst>
                <a:ext uri="{63B3BB69-23CF-44E3-9099-C40C66FF867C}">
                  <a14:compatExt spid="_x0000_s71685"/>
                </a:ext>
                <a:ext uri="{FF2B5EF4-FFF2-40B4-BE49-F238E27FC236}">
                  <a16:creationId xmlns:a16="http://schemas.microsoft.com/office/drawing/2014/main" id="{00000000-0008-0000-1700-00000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4</xdr:col>
          <xdr:colOff>0</xdr:colOff>
          <xdr:row>4</xdr:row>
          <xdr:rowOff>19050</xdr:rowOff>
        </xdr:to>
        <xdr:sp macro="" textlink="">
          <xdr:nvSpPr>
            <xdr:cNvPr id="71686" name="cmdRefreshUnits" hidden="1">
              <a:extLst>
                <a:ext uri="{63B3BB69-23CF-44E3-9099-C40C66FF867C}">
                  <a14:compatExt spid="_x0000_s71686"/>
                </a:ext>
                <a:ext uri="{FF2B5EF4-FFF2-40B4-BE49-F238E27FC236}">
                  <a16:creationId xmlns:a16="http://schemas.microsoft.com/office/drawing/2014/main" id="{00000000-0008-0000-1700-00000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70657" name="cmdTechNameAndDesc" hidden="1">
              <a:extLst>
                <a:ext uri="{63B3BB69-23CF-44E3-9099-C40C66FF867C}">
                  <a14:compatExt spid="_x0000_s70657"/>
                </a:ext>
                <a:ext uri="{FF2B5EF4-FFF2-40B4-BE49-F238E27FC236}">
                  <a16:creationId xmlns:a16="http://schemas.microsoft.com/office/drawing/2014/main" id="{00000000-0008-0000-1800-00000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0</xdr:rowOff>
        </xdr:to>
        <xdr:sp macro="" textlink="">
          <xdr:nvSpPr>
            <xdr:cNvPr id="70658" name="cmdCommIN" hidden="1">
              <a:extLst>
                <a:ext uri="{63B3BB69-23CF-44E3-9099-C40C66FF867C}">
                  <a14:compatExt spid="_x0000_s70658"/>
                </a:ext>
                <a:ext uri="{FF2B5EF4-FFF2-40B4-BE49-F238E27FC236}">
                  <a16:creationId xmlns:a16="http://schemas.microsoft.com/office/drawing/2014/main" id="{00000000-0008-0000-18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6</xdr:col>
          <xdr:colOff>0</xdr:colOff>
          <xdr:row>4</xdr:row>
          <xdr:rowOff>0</xdr:rowOff>
        </xdr:to>
        <xdr:sp macro="" textlink="">
          <xdr:nvSpPr>
            <xdr:cNvPr id="70659" name="cmdCommOUT" hidden="1">
              <a:extLst>
                <a:ext uri="{63B3BB69-23CF-44E3-9099-C40C66FF867C}">
                  <a14:compatExt spid="_x0000_s70659"/>
                </a:ext>
                <a:ext uri="{FF2B5EF4-FFF2-40B4-BE49-F238E27FC236}">
                  <a16:creationId xmlns:a16="http://schemas.microsoft.com/office/drawing/2014/main" id="{00000000-0008-0000-18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1</xdr:col>
          <xdr:colOff>9525</xdr:colOff>
          <xdr:row>4</xdr:row>
          <xdr:rowOff>219075</xdr:rowOff>
        </xdr:to>
        <xdr:sp macro="" textlink="">
          <xdr:nvSpPr>
            <xdr:cNvPr id="70660" name="cmdAddParameter" hidden="1">
              <a:extLst>
                <a:ext uri="{63B3BB69-23CF-44E3-9099-C40C66FF867C}">
                  <a14:compatExt spid="_x0000_s70660"/>
                </a:ext>
                <a:ext uri="{FF2B5EF4-FFF2-40B4-BE49-F238E27FC236}">
                  <a16:creationId xmlns:a16="http://schemas.microsoft.com/office/drawing/2014/main" id="{00000000-0008-0000-18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70661" name="cmdAddParamQualifier" hidden="1">
              <a:extLst>
                <a:ext uri="{63B3BB69-23CF-44E3-9099-C40C66FF867C}">
                  <a14:compatExt spid="_x0000_s70661"/>
                </a:ext>
                <a:ext uri="{FF2B5EF4-FFF2-40B4-BE49-F238E27FC236}">
                  <a16:creationId xmlns:a16="http://schemas.microsoft.com/office/drawing/2014/main" id="{00000000-0008-0000-18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70662" name="cmdCheckTechDataSheet" hidden="1">
              <a:extLst>
                <a:ext uri="{63B3BB69-23CF-44E3-9099-C40C66FF867C}">
                  <a14:compatExt spid="_x0000_s70662"/>
                </a:ext>
                <a:ext uri="{FF2B5EF4-FFF2-40B4-BE49-F238E27FC236}">
                  <a16:creationId xmlns:a16="http://schemas.microsoft.com/office/drawing/2014/main" id="{00000000-0008-0000-18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28575</xdr:colOff>
          <xdr:row>4</xdr:row>
          <xdr:rowOff>9525</xdr:rowOff>
        </xdr:to>
        <xdr:sp macro="" textlink="">
          <xdr:nvSpPr>
            <xdr:cNvPr id="70663" name="cmdRefreshUnits" hidden="1">
              <a:extLst>
                <a:ext uri="{63B3BB69-23CF-44E3-9099-C40C66FF867C}">
                  <a14:compatExt spid="_x0000_s70663"/>
                </a:ext>
                <a:ext uri="{FF2B5EF4-FFF2-40B4-BE49-F238E27FC236}">
                  <a16:creationId xmlns:a16="http://schemas.microsoft.com/office/drawing/2014/main" id="{00000000-0008-0000-1800-000007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69633" name="cmdAddParameter" hidden="1">
              <a:extLst>
                <a:ext uri="{63B3BB69-23CF-44E3-9099-C40C66FF867C}">
                  <a14:compatExt spid="_x0000_s69633"/>
                </a:ext>
                <a:ext uri="{FF2B5EF4-FFF2-40B4-BE49-F238E27FC236}">
                  <a16:creationId xmlns:a16="http://schemas.microsoft.com/office/drawing/2014/main" id="{00000000-0008-0000-19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69634" name="cmdCommNameAndDesc" hidden="1">
              <a:extLst>
                <a:ext uri="{63B3BB69-23CF-44E3-9099-C40C66FF867C}">
                  <a14:compatExt spid="_x0000_s69634"/>
                </a:ext>
                <a:ext uri="{FF2B5EF4-FFF2-40B4-BE49-F238E27FC236}">
                  <a16:creationId xmlns:a16="http://schemas.microsoft.com/office/drawing/2014/main" id="{00000000-0008-0000-19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69635" name="cmdAddParamQualifier" hidden="1">
              <a:extLst>
                <a:ext uri="{63B3BB69-23CF-44E3-9099-C40C66FF867C}">
                  <a14:compatExt spid="_x0000_s69635"/>
                </a:ext>
                <a:ext uri="{FF2B5EF4-FFF2-40B4-BE49-F238E27FC236}">
                  <a16:creationId xmlns:a16="http://schemas.microsoft.com/office/drawing/2014/main" id="{00000000-0008-0000-1900-00000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69636" name="cmdCheckCommDataSheet" hidden="1">
              <a:extLst>
                <a:ext uri="{63B3BB69-23CF-44E3-9099-C40C66FF867C}">
                  <a14:compatExt spid="_x0000_s69636"/>
                </a:ext>
                <a:ext uri="{FF2B5EF4-FFF2-40B4-BE49-F238E27FC236}">
                  <a16:creationId xmlns:a16="http://schemas.microsoft.com/office/drawing/2014/main" id="{00000000-0008-0000-1900-00000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69637" name="cmdRefreshUnits" hidden="1">
              <a:extLst>
                <a:ext uri="{63B3BB69-23CF-44E3-9099-C40C66FF867C}">
                  <a14:compatExt spid="_x0000_s69637"/>
                </a:ext>
                <a:ext uri="{FF2B5EF4-FFF2-40B4-BE49-F238E27FC236}">
                  <a16:creationId xmlns:a16="http://schemas.microsoft.com/office/drawing/2014/main" id="{00000000-0008-0000-19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68609" name="cmdConstraintSets" hidden="1">
              <a:extLst>
                <a:ext uri="{63B3BB69-23CF-44E3-9099-C40C66FF867C}">
                  <a14:compatExt spid="_x0000_s68609"/>
                </a:ext>
                <a:ext uri="{FF2B5EF4-FFF2-40B4-BE49-F238E27FC236}">
                  <a16:creationId xmlns:a16="http://schemas.microsoft.com/office/drawing/2014/main" id="{00000000-0008-0000-1A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68610" name="cmdCheckConstraintsSheet" hidden="1">
              <a:extLst>
                <a:ext uri="{63B3BB69-23CF-44E3-9099-C40C66FF867C}">
                  <a14:compatExt spid="_x0000_s68610"/>
                </a:ext>
                <a:ext uri="{FF2B5EF4-FFF2-40B4-BE49-F238E27FC236}">
                  <a16:creationId xmlns:a16="http://schemas.microsoft.com/office/drawing/2014/main" id="{00000000-0008-0000-1A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68611" name="cmdConstraintUnit" hidden="1">
              <a:extLst>
                <a:ext uri="{63B3BB69-23CF-44E3-9099-C40C66FF867C}">
                  <a14:compatExt spid="_x0000_s68611"/>
                </a:ext>
                <a:ext uri="{FF2B5EF4-FFF2-40B4-BE49-F238E27FC236}">
                  <a16:creationId xmlns:a16="http://schemas.microsoft.com/office/drawing/2014/main" id="{00000000-0008-0000-1A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19050</xdr:rowOff>
        </xdr:to>
        <xdr:sp macro="" textlink="">
          <xdr:nvSpPr>
            <xdr:cNvPr id="68612" name="cmdRefreshUnits" hidden="1">
              <a:extLst>
                <a:ext uri="{63B3BB69-23CF-44E3-9099-C40C66FF867C}">
                  <a14:compatExt spid="_x0000_s68612"/>
                </a:ext>
                <a:ext uri="{FF2B5EF4-FFF2-40B4-BE49-F238E27FC236}">
                  <a16:creationId xmlns:a16="http://schemas.microsoft.com/office/drawing/2014/main" id="{00000000-0008-0000-1A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67585" name="cmdTechnologySets" hidden="1">
              <a:extLst>
                <a:ext uri="{63B3BB69-23CF-44E3-9099-C40C66FF867C}">
                  <a14:compatExt spid="_x0000_s67585"/>
                </a:ext>
                <a:ext uri="{FF2B5EF4-FFF2-40B4-BE49-F238E27FC236}">
                  <a16:creationId xmlns:a16="http://schemas.microsoft.com/office/drawing/2014/main" id="{00000000-0008-0000-1B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67586" name="cmdCheckTechnologiesSheet" hidden="1">
              <a:extLst>
                <a:ext uri="{63B3BB69-23CF-44E3-9099-C40C66FF867C}">
                  <a14:compatExt spid="_x0000_s67586"/>
                </a:ext>
                <a:ext uri="{FF2B5EF4-FFF2-40B4-BE49-F238E27FC236}">
                  <a16:creationId xmlns:a16="http://schemas.microsoft.com/office/drawing/2014/main" id="{00000000-0008-0000-1B00-00000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4</xdr:col>
          <xdr:colOff>0</xdr:colOff>
          <xdr:row>5</xdr:row>
          <xdr:rowOff>95250</xdr:rowOff>
        </xdr:to>
        <xdr:sp macro="" textlink="">
          <xdr:nvSpPr>
            <xdr:cNvPr id="67587" name="cmdTACTUnit" hidden="1">
              <a:extLst>
                <a:ext uri="{63B3BB69-23CF-44E3-9099-C40C66FF867C}">
                  <a14:compatExt spid="_x0000_s67587"/>
                </a:ext>
                <a:ext uri="{FF2B5EF4-FFF2-40B4-BE49-F238E27FC236}">
                  <a16:creationId xmlns:a16="http://schemas.microsoft.com/office/drawing/2014/main" id="{00000000-0008-0000-1B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647700</xdr:colOff>
          <xdr:row>5</xdr:row>
          <xdr:rowOff>95250</xdr:rowOff>
        </xdr:to>
        <xdr:sp macro="" textlink="">
          <xdr:nvSpPr>
            <xdr:cNvPr id="67588" name="cmdTCAPUnit" hidden="1">
              <a:extLst>
                <a:ext uri="{63B3BB69-23CF-44E3-9099-C40C66FF867C}">
                  <a14:compatExt spid="_x0000_s67588"/>
                </a:ext>
                <a:ext uri="{FF2B5EF4-FFF2-40B4-BE49-F238E27FC236}">
                  <a16:creationId xmlns:a16="http://schemas.microsoft.com/office/drawing/2014/main" id="{00000000-0008-0000-1B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200025</xdr:rowOff>
        </xdr:to>
        <xdr:sp macro="" textlink="">
          <xdr:nvSpPr>
            <xdr:cNvPr id="67589" name="cmdRefreshUnits" hidden="1">
              <a:extLst>
                <a:ext uri="{63B3BB69-23CF-44E3-9099-C40C66FF867C}">
                  <a14:compatExt spid="_x0000_s67589"/>
                </a:ext>
                <a:ext uri="{FF2B5EF4-FFF2-40B4-BE49-F238E27FC236}">
                  <a16:creationId xmlns:a16="http://schemas.microsoft.com/office/drawing/2014/main" id="{00000000-0008-0000-1B00-00000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66561" name="cmdEnergySets" hidden="1">
              <a:extLst>
                <a:ext uri="{63B3BB69-23CF-44E3-9099-C40C66FF867C}">
                  <a14:compatExt spid="_x0000_s66561"/>
                </a:ext>
                <a:ext uri="{FF2B5EF4-FFF2-40B4-BE49-F238E27FC236}">
                  <a16:creationId xmlns:a16="http://schemas.microsoft.com/office/drawing/2014/main" id="{00000000-0008-0000-1C00-000001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66562" name="cmdDemandSets" hidden="1">
              <a:extLst>
                <a:ext uri="{63B3BB69-23CF-44E3-9099-C40C66FF867C}">
                  <a14:compatExt spid="_x0000_s66562"/>
                </a:ext>
                <a:ext uri="{FF2B5EF4-FFF2-40B4-BE49-F238E27FC236}">
                  <a16:creationId xmlns:a16="http://schemas.microsoft.com/office/drawing/2014/main" id="{00000000-0008-0000-1C00-00000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66563" name="cmdEmissionSets" hidden="1">
              <a:extLst>
                <a:ext uri="{63B3BB69-23CF-44E3-9099-C40C66FF867C}">
                  <a14:compatExt spid="_x0000_s66563"/>
                </a:ext>
                <a:ext uri="{FF2B5EF4-FFF2-40B4-BE49-F238E27FC236}">
                  <a16:creationId xmlns:a16="http://schemas.microsoft.com/office/drawing/2014/main" id="{00000000-0008-0000-1C00-000003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66564" name="cmdMaterialSets" hidden="1">
              <a:extLst>
                <a:ext uri="{63B3BB69-23CF-44E3-9099-C40C66FF867C}">
                  <a14:compatExt spid="_x0000_s66564"/>
                </a:ext>
                <a:ext uri="{FF2B5EF4-FFF2-40B4-BE49-F238E27FC236}">
                  <a16:creationId xmlns:a16="http://schemas.microsoft.com/office/drawing/2014/main" id="{00000000-0008-0000-1C00-00000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66565" name="cmdCheckCommoditiesSheet" hidden="1">
              <a:extLst>
                <a:ext uri="{63B3BB69-23CF-44E3-9099-C40C66FF867C}">
                  <a14:compatExt spid="_x0000_s66565"/>
                </a:ext>
                <a:ext uri="{FF2B5EF4-FFF2-40B4-BE49-F238E27FC236}">
                  <a16:creationId xmlns:a16="http://schemas.microsoft.com/office/drawing/2014/main" id="{00000000-0008-0000-1C00-00000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66566" name="cmdCommUnit" hidden="1">
              <a:extLst>
                <a:ext uri="{63B3BB69-23CF-44E3-9099-C40C66FF867C}">
                  <a14:compatExt spid="_x0000_s66566"/>
                </a:ext>
                <a:ext uri="{FF2B5EF4-FFF2-40B4-BE49-F238E27FC236}">
                  <a16:creationId xmlns:a16="http://schemas.microsoft.com/office/drawing/2014/main" id="{00000000-0008-0000-1C00-00000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66567" name="cmdRefreshUnits" hidden="1">
              <a:extLst>
                <a:ext uri="{63B3BB69-23CF-44E3-9099-C40C66FF867C}">
                  <a14:compatExt spid="_x0000_s66567"/>
                </a:ext>
                <a:ext uri="{FF2B5EF4-FFF2-40B4-BE49-F238E27FC236}">
                  <a16:creationId xmlns:a16="http://schemas.microsoft.com/office/drawing/2014/main" id="{00000000-0008-0000-1C00-000007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ad.epa.gov\ord\Users\clenox\Desktop\2014%20EPAUS9r\Workbooks_9r_2014\EPAUS9r_14_Com_v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2626umcec001\nrml_appcd\Documents%20and%20Settings\Owner\My%20Documents\MARKAL\EPA%20national%20model\Supply%20&amp;%20Ups\coal\CMM_SUPPLY_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2626umcec001\nrml_appcd\EMODEL\China\Anhui\Scen4\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2626umcec001\nrml_appcd\Documents%20and%20Settings\Evelyn\My%20Documents\MARKAL\EPA%20national%20model\from%20EPA\EPA%20CD\EPA%20CD\all%20files\MARKAL-coal2002B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nswerV6/Answer_Databases/MI/Workbooks%20with%20optimal%20solutions_MI/NGA_MI/EIA-StatetoStateCapac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odities"/>
      <sheetName val="Constraints"/>
      <sheetName val="Technologies"/>
      <sheetName val="ConstrData"/>
      <sheetName val="CommData_Demand"/>
      <sheetName val="TechData_COM"/>
      <sheetName val="TechData_Emis"/>
      <sheetName val="TechData_SESC"/>
      <sheetName val="TechData_ZZ"/>
      <sheetName val="Sol_PV"/>
      <sheetName val="AEO14 Renew"/>
      <sheetName val="RESID"/>
      <sheetName val="Mkt Shares raw"/>
      <sheetName val="CLT raw data"/>
      <sheetName val="Aggregated Data"/>
      <sheetName val="AEO14 Com Tech"/>
      <sheetName val="DMD ByRegion"/>
      <sheetName val="ComDemand"/>
      <sheetName val="CMCalc"/>
      <sheetName val="Pop"/>
      <sheetName val="Conversion Factors"/>
      <sheetName val="EmisCO2Coef"/>
      <sheetName val="EmisBC"/>
      <sheetName val="EmisOC"/>
      <sheetName val="EmisCom"/>
    </sheetNames>
    <sheetDataSet>
      <sheetData sheetId="0" refreshError="1"/>
      <sheetData sheetId="1" refreshError="1"/>
      <sheetData sheetId="2" refreshError="1"/>
      <sheetData sheetId="3" refreshError="1"/>
      <sheetData sheetId="4" refreshError="1"/>
      <sheetData sheetId="5">
        <row r="144">
          <cell r="M144">
            <v>13.954581858223868</v>
          </cell>
        </row>
      </sheetData>
      <sheetData sheetId="6" refreshError="1"/>
      <sheetData sheetId="7" refreshError="1"/>
      <sheetData sheetId="8" refreshError="1"/>
      <sheetData sheetId="9" refreshError="1"/>
      <sheetData sheetId="10" refreshError="1"/>
      <sheetData sheetId="11">
        <row r="4">
          <cell r="C4">
            <v>3.3204180167301636</v>
          </cell>
        </row>
      </sheetData>
      <sheetData sheetId="12">
        <row r="3">
          <cell r="B3">
            <v>0.53103953457529296</v>
          </cell>
        </row>
      </sheetData>
      <sheetData sheetId="13">
        <row r="15">
          <cell r="G15">
            <v>0.11350499555190985</v>
          </cell>
        </row>
      </sheetData>
      <sheetData sheetId="14" refreshError="1"/>
      <sheetData sheetId="15" refreshError="1"/>
      <sheetData sheetId="16" refreshError="1"/>
      <sheetData sheetId="17" refreshError="1"/>
      <sheetData sheetId="18" refreshError="1"/>
      <sheetData sheetId="19" refreshError="1"/>
      <sheetData sheetId="20">
        <row r="2">
          <cell r="B2">
            <v>24</v>
          </cell>
        </row>
        <row r="3">
          <cell r="B3">
            <v>365</v>
          </cell>
        </row>
        <row r="4">
          <cell r="B4">
            <v>1055.056</v>
          </cell>
        </row>
        <row r="5">
          <cell r="B5">
            <v>3.4119999999999999</v>
          </cell>
        </row>
        <row r="6">
          <cell r="B6">
            <v>1000000000000000</v>
          </cell>
        </row>
        <row r="7">
          <cell r="B7">
            <v>1000000</v>
          </cell>
        </row>
        <row r="9">
          <cell r="B9">
            <v>1000000000</v>
          </cell>
        </row>
      </sheetData>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2025curv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MARKAL data"/>
      <sheetName val="energy carriers"/>
      <sheetName val="Summary"/>
      <sheetName val="CUM"/>
      <sheetName val="Res-Sulfur"/>
      <sheetName val="Reserves"/>
      <sheetName val="Steps"/>
      <sheetName val="Period Averages"/>
      <sheetName val="Coal Supply Curves"/>
      <sheetName val="Supply Curve Mapping"/>
      <sheetName val="Key to Supply Curve Repo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row r="5">
          <cell r="Y5">
            <v>1000000</v>
          </cell>
        </row>
        <row r="6">
          <cell r="Y6">
            <v>1.0550559999999999E-6</v>
          </cell>
        </row>
      </sheetData>
      <sheetData sheetId="10" refreshError="1"/>
      <sheetData sheetId="11" refreshError="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jor Pipeline Summary"/>
      <sheetName val="Inflow By Region"/>
      <sheetName val="Outflow By Region"/>
      <sheetName val="Region to Region Capacity Map"/>
      <sheetName val="Inflow By State"/>
      <sheetName val="Outflow By State"/>
      <sheetName val="Inflow By State and Pipeline"/>
      <sheetName val="Outflow By State and Pipeline"/>
      <sheetName val="Regions"/>
      <sheetName val="Pipeline State2State Capacity"/>
      <sheetName val="State2StateAIMMS"/>
      <sheetName val="Pipeline State2State CapacityH"/>
      <sheetName val="InFlow Single Year"/>
      <sheetName val="Outflow Single Year"/>
    </sheetNames>
    <sheetDataSet>
      <sheetData sheetId="0"/>
      <sheetData sheetId="1"/>
      <sheetData sheetId="2"/>
      <sheetData sheetId="3"/>
      <sheetData sheetId="4"/>
      <sheetData sheetId="5"/>
      <sheetData sheetId="6"/>
      <sheetData sheetId="7"/>
      <sheetData sheetId="8"/>
      <sheetData sheetId="9">
        <row r="3">
          <cell r="B3" t="str">
            <v>Alberta</v>
          </cell>
          <cell r="C3" t="str">
            <v>Canada</v>
          </cell>
        </row>
        <row r="4">
          <cell r="B4" t="str">
            <v>British Columbia</v>
          </cell>
          <cell r="C4" t="str">
            <v>Canada</v>
          </cell>
        </row>
        <row r="5">
          <cell r="B5" t="str">
            <v>Manitoba</v>
          </cell>
          <cell r="C5" t="str">
            <v>Canada</v>
          </cell>
        </row>
        <row r="6">
          <cell r="B6" t="str">
            <v>New Brunswick</v>
          </cell>
          <cell r="C6" t="str">
            <v>Canada</v>
          </cell>
        </row>
        <row r="7">
          <cell r="B7" t="str">
            <v>Ontario</v>
          </cell>
          <cell r="C7" t="str">
            <v>Canada</v>
          </cell>
        </row>
        <row r="8">
          <cell r="B8" t="str">
            <v>Quebec</v>
          </cell>
          <cell r="C8" t="str">
            <v>Canada</v>
          </cell>
        </row>
        <row r="9">
          <cell r="B9" t="str">
            <v>Saskatchewan</v>
          </cell>
          <cell r="C9" t="str">
            <v>Canada</v>
          </cell>
        </row>
        <row r="10">
          <cell r="B10" t="str">
            <v>Arizona</v>
          </cell>
          <cell r="C10" t="str">
            <v>Mountain</v>
          </cell>
        </row>
        <row r="11">
          <cell r="B11" t="str">
            <v>Colorado</v>
          </cell>
          <cell r="C11" t="str">
            <v>Mountain</v>
          </cell>
        </row>
        <row r="12">
          <cell r="B12" t="str">
            <v>Idaho</v>
          </cell>
          <cell r="C12" t="str">
            <v>Mountain</v>
          </cell>
        </row>
        <row r="13">
          <cell r="B13" t="str">
            <v>Montana</v>
          </cell>
          <cell r="C13" t="str">
            <v>Mountain</v>
          </cell>
        </row>
        <row r="14">
          <cell r="B14" t="str">
            <v>Nebraska</v>
          </cell>
          <cell r="C14" t="str">
            <v>Mountain</v>
          </cell>
        </row>
        <row r="15">
          <cell r="B15" t="str">
            <v>Nevada</v>
          </cell>
          <cell r="C15" t="str">
            <v>Mountain</v>
          </cell>
        </row>
        <row r="16">
          <cell r="B16" t="str">
            <v>New Mexico</v>
          </cell>
          <cell r="C16" t="str">
            <v>Mountain</v>
          </cell>
        </row>
        <row r="17">
          <cell r="B17" t="str">
            <v>North Dakota</v>
          </cell>
          <cell r="C17" t="str">
            <v>Mountain</v>
          </cell>
        </row>
        <row r="18">
          <cell r="B18" t="str">
            <v>South Dakota</v>
          </cell>
          <cell r="C18" t="str">
            <v>Mountain</v>
          </cell>
        </row>
        <row r="19">
          <cell r="B19" t="str">
            <v>Utah</v>
          </cell>
          <cell r="C19" t="str">
            <v>Mountain</v>
          </cell>
        </row>
        <row r="20">
          <cell r="B20" t="str">
            <v>Wyoming</v>
          </cell>
          <cell r="C20" t="str">
            <v>Mountain</v>
          </cell>
        </row>
        <row r="21">
          <cell r="B21" t="str">
            <v>Gulf of Mexico</v>
          </cell>
          <cell r="C21" t="str">
            <v>Gulf of Mexico</v>
          </cell>
        </row>
        <row r="22">
          <cell r="B22" t="str">
            <v>Gulf of Mexico - Deepwater</v>
          </cell>
          <cell r="C22" t="str">
            <v>Gulf of Mexico</v>
          </cell>
        </row>
        <row r="23">
          <cell r="B23" t="str">
            <v>Mexico</v>
          </cell>
          <cell r="C23" t="str">
            <v>Mexico</v>
          </cell>
        </row>
        <row r="24">
          <cell r="B24" t="str">
            <v>Illinois</v>
          </cell>
          <cell r="C24" t="str">
            <v>Midwest</v>
          </cell>
        </row>
        <row r="25">
          <cell r="B25" t="str">
            <v>Indiana</v>
          </cell>
          <cell r="C25" t="str">
            <v>Midwest</v>
          </cell>
        </row>
        <row r="26">
          <cell r="B26" t="str">
            <v>Iowa</v>
          </cell>
          <cell r="C26" t="str">
            <v>Midwest</v>
          </cell>
        </row>
        <row r="27">
          <cell r="B27" t="str">
            <v>Kentucky</v>
          </cell>
          <cell r="C27" t="str">
            <v>Midwest</v>
          </cell>
        </row>
        <row r="28">
          <cell r="B28" t="str">
            <v>Michigan</v>
          </cell>
          <cell r="C28" t="str">
            <v>Midwest</v>
          </cell>
        </row>
        <row r="29">
          <cell r="B29" t="str">
            <v>Minnesota</v>
          </cell>
          <cell r="C29" t="str">
            <v>Midwest</v>
          </cell>
        </row>
        <row r="30">
          <cell r="B30" t="str">
            <v>Missouri</v>
          </cell>
          <cell r="C30" t="str">
            <v>Midwest</v>
          </cell>
        </row>
        <row r="31">
          <cell r="B31" t="str">
            <v>Tennessee</v>
          </cell>
          <cell r="C31" t="str">
            <v>Midwest</v>
          </cell>
        </row>
        <row r="32">
          <cell r="B32" t="str">
            <v>Wisconsin</v>
          </cell>
          <cell r="C32" t="str">
            <v>Midwest</v>
          </cell>
        </row>
        <row r="33">
          <cell r="B33" t="str">
            <v>Connecticut</v>
          </cell>
          <cell r="C33" t="str">
            <v>Northeast</v>
          </cell>
        </row>
        <row r="34">
          <cell r="B34" t="str">
            <v>Delaware</v>
          </cell>
          <cell r="C34" t="str">
            <v>Northeast</v>
          </cell>
        </row>
        <row r="35">
          <cell r="B35" t="str">
            <v>District of Columbia</v>
          </cell>
          <cell r="C35" t="str">
            <v>Northeast</v>
          </cell>
        </row>
        <row r="36">
          <cell r="B36" t="str">
            <v>Maine</v>
          </cell>
          <cell r="C36" t="str">
            <v>Northeast</v>
          </cell>
        </row>
        <row r="37">
          <cell r="B37" t="str">
            <v>Maryland</v>
          </cell>
          <cell r="C37" t="str">
            <v>Northeast</v>
          </cell>
        </row>
        <row r="38">
          <cell r="B38" t="str">
            <v>Massachusetts</v>
          </cell>
          <cell r="C38" t="str">
            <v>Northeast</v>
          </cell>
        </row>
        <row r="39">
          <cell r="B39" t="str">
            <v>New Hampshire</v>
          </cell>
          <cell r="C39" t="str">
            <v>Northeast</v>
          </cell>
        </row>
        <row r="40">
          <cell r="B40" t="str">
            <v>New Jersey</v>
          </cell>
          <cell r="C40" t="str">
            <v>Northeast</v>
          </cell>
        </row>
        <row r="41">
          <cell r="B41" t="str">
            <v>New York</v>
          </cell>
          <cell r="C41" t="str">
            <v>Northeast</v>
          </cell>
        </row>
        <row r="42">
          <cell r="B42" t="str">
            <v>Ohio</v>
          </cell>
          <cell r="C42" t="str">
            <v>Northeast</v>
          </cell>
        </row>
        <row r="43">
          <cell r="B43" t="str">
            <v>Pennsylvania</v>
          </cell>
          <cell r="C43" t="str">
            <v>Northeast</v>
          </cell>
        </row>
        <row r="44">
          <cell r="B44" t="str">
            <v>Rhode Island</v>
          </cell>
          <cell r="C44" t="str">
            <v>Northeast</v>
          </cell>
        </row>
        <row r="45">
          <cell r="B45" t="str">
            <v>Vermont</v>
          </cell>
          <cell r="C45" t="str">
            <v>Northeast</v>
          </cell>
        </row>
        <row r="46">
          <cell r="B46" t="str">
            <v>Virginia</v>
          </cell>
          <cell r="C46" t="str">
            <v>Northeast</v>
          </cell>
        </row>
        <row r="47">
          <cell r="B47" t="str">
            <v>West Virginia</v>
          </cell>
          <cell r="C47" t="str">
            <v>Northeast</v>
          </cell>
        </row>
        <row r="48">
          <cell r="B48" t="str">
            <v>Florida</v>
          </cell>
          <cell r="C48" t="str">
            <v>Southeast</v>
          </cell>
        </row>
        <row r="49">
          <cell r="B49" t="str">
            <v>Georgia</v>
          </cell>
          <cell r="C49" t="str">
            <v>Southeast</v>
          </cell>
        </row>
        <row r="50">
          <cell r="B50" t="str">
            <v>North Carolina</v>
          </cell>
          <cell r="C50" t="str">
            <v>Southeast</v>
          </cell>
        </row>
        <row r="51">
          <cell r="B51" t="str">
            <v>South Carolina</v>
          </cell>
          <cell r="C51" t="str">
            <v>Southeast</v>
          </cell>
        </row>
        <row r="52">
          <cell r="B52" t="str">
            <v>Alabama</v>
          </cell>
          <cell r="C52" t="str">
            <v>South Central</v>
          </cell>
        </row>
        <row r="53">
          <cell r="B53" t="str">
            <v>Arkansas</v>
          </cell>
          <cell r="C53" t="str">
            <v>South Central</v>
          </cell>
        </row>
        <row r="54">
          <cell r="B54" t="str">
            <v>Kansas</v>
          </cell>
          <cell r="C54" t="str">
            <v>South Central</v>
          </cell>
        </row>
        <row r="55">
          <cell r="B55" t="str">
            <v>Louisiana</v>
          </cell>
          <cell r="C55" t="str">
            <v>South Central</v>
          </cell>
        </row>
        <row r="56">
          <cell r="B56" t="str">
            <v>Mississippi</v>
          </cell>
          <cell r="C56" t="str">
            <v>South Central</v>
          </cell>
        </row>
        <row r="57">
          <cell r="B57" t="str">
            <v>Oklahoma</v>
          </cell>
          <cell r="C57" t="str">
            <v>South Central</v>
          </cell>
        </row>
        <row r="58">
          <cell r="B58" t="str">
            <v>Texas</v>
          </cell>
          <cell r="C58" t="str">
            <v>South Central</v>
          </cell>
        </row>
        <row r="59">
          <cell r="B59" t="str">
            <v>California</v>
          </cell>
          <cell r="C59" t="str">
            <v>Pacific</v>
          </cell>
        </row>
        <row r="60">
          <cell r="B60" t="str">
            <v>Oregon</v>
          </cell>
          <cell r="C60" t="str">
            <v>Pacific</v>
          </cell>
        </row>
        <row r="61">
          <cell r="B61" t="str">
            <v>Washington</v>
          </cell>
          <cell r="C61" t="str">
            <v>Pacific</v>
          </cell>
        </row>
      </sheetData>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11.xml"/><Relationship Id="rId13" Type="http://schemas.openxmlformats.org/officeDocument/2006/relationships/image" Target="../media/image13.emf"/><Relationship Id="rId3" Type="http://schemas.openxmlformats.org/officeDocument/2006/relationships/vmlDrawing" Target="../drawings/vmlDrawing2.vml"/><Relationship Id="rId7" Type="http://schemas.openxmlformats.org/officeDocument/2006/relationships/image" Target="../media/image10.emf"/><Relationship Id="rId12" Type="http://schemas.openxmlformats.org/officeDocument/2006/relationships/control" Target="../activeX/activeX13.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ntrol" Target="../activeX/activeX10.xml"/><Relationship Id="rId11" Type="http://schemas.openxmlformats.org/officeDocument/2006/relationships/image" Target="../media/image12.emf"/><Relationship Id="rId5" Type="http://schemas.openxmlformats.org/officeDocument/2006/relationships/image" Target="../media/image9.emf"/><Relationship Id="rId10" Type="http://schemas.openxmlformats.org/officeDocument/2006/relationships/control" Target="../activeX/activeX12.xml"/><Relationship Id="rId4" Type="http://schemas.openxmlformats.org/officeDocument/2006/relationships/control" Target="../activeX/activeX9.xml"/><Relationship Id="rId9" Type="http://schemas.openxmlformats.org/officeDocument/2006/relationships/image" Target="../media/image11.emf"/></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16.xml"/><Relationship Id="rId3" Type="http://schemas.openxmlformats.org/officeDocument/2006/relationships/vmlDrawing" Target="../drawings/vmlDrawing3.vml"/><Relationship Id="rId7" Type="http://schemas.openxmlformats.org/officeDocument/2006/relationships/image" Target="../media/image15.emf"/><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ontrol" Target="../activeX/activeX15.xml"/><Relationship Id="rId11" Type="http://schemas.openxmlformats.org/officeDocument/2006/relationships/image" Target="../media/image17.emf"/><Relationship Id="rId5" Type="http://schemas.openxmlformats.org/officeDocument/2006/relationships/image" Target="../media/image14.emf"/><Relationship Id="rId10" Type="http://schemas.openxmlformats.org/officeDocument/2006/relationships/control" Target="../activeX/activeX17.xml"/><Relationship Id="rId4" Type="http://schemas.openxmlformats.org/officeDocument/2006/relationships/control" Target="../activeX/activeX14.xml"/><Relationship Id="rId9" Type="http://schemas.openxmlformats.org/officeDocument/2006/relationships/image" Target="../media/image16.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20.xml"/><Relationship Id="rId13" Type="http://schemas.openxmlformats.org/officeDocument/2006/relationships/image" Target="../media/image22.emf"/><Relationship Id="rId3" Type="http://schemas.openxmlformats.org/officeDocument/2006/relationships/vmlDrawing" Target="../drawings/vmlDrawing4.vml"/><Relationship Id="rId7" Type="http://schemas.openxmlformats.org/officeDocument/2006/relationships/image" Target="../media/image19.emf"/><Relationship Id="rId12" Type="http://schemas.openxmlformats.org/officeDocument/2006/relationships/control" Target="../activeX/activeX22.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control" Target="../activeX/activeX19.xml"/><Relationship Id="rId11" Type="http://schemas.openxmlformats.org/officeDocument/2006/relationships/image" Target="../media/image21.emf"/><Relationship Id="rId5" Type="http://schemas.openxmlformats.org/officeDocument/2006/relationships/image" Target="../media/image18.emf"/><Relationship Id="rId10" Type="http://schemas.openxmlformats.org/officeDocument/2006/relationships/control" Target="../activeX/activeX21.xml"/><Relationship Id="rId4" Type="http://schemas.openxmlformats.org/officeDocument/2006/relationships/control" Target="../activeX/activeX18.xml"/><Relationship Id="rId9" Type="http://schemas.openxmlformats.org/officeDocument/2006/relationships/image" Target="../media/image20.emf"/></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25.xml"/><Relationship Id="rId13" Type="http://schemas.openxmlformats.org/officeDocument/2006/relationships/image" Target="../media/image27.emf"/><Relationship Id="rId3" Type="http://schemas.openxmlformats.org/officeDocument/2006/relationships/vmlDrawing" Target="../drawings/vmlDrawing5.vml"/><Relationship Id="rId7" Type="http://schemas.openxmlformats.org/officeDocument/2006/relationships/image" Target="../media/image24.emf"/><Relationship Id="rId12" Type="http://schemas.openxmlformats.org/officeDocument/2006/relationships/control" Target="../activeX/activeX27.xml"/><Relationship Id="rId17" Type="http://schemas.openxmlformats.org/officeDocument/2006/relationships/image" Target="../media/image29.emf"/><Relationship Id="rId2" Type="http://schemas.openxmlformats.org/officeDocument/2006/relationships/drawing" Target="../drawings/drawing5.xml"/><Relationship Id="rId16" Type="http://schemas.openxmlformats.org/officeDocument/2006/relationships/control" Target="../activeX/activeX29.xml"/><Relationship Id="rId1" Type="http://schemas.openxmlformats.org/officeDocument/2006/relationships/printerSettings" Target="../printerSettings/printerSettings7.bin"/><Relationship Id="rId6" Type="http://schemas.openxmlformats.org/officeDocument/2006/relationships/control" Target="../activeX/activeX24.xml"/><Relationship Id="rId11" Type="http://schemas.openxmlformats.org/officeDocument/2006/relationships/image" Target="../media/image26.emf"/><Relationship Id="rId5" Type="http://schemas.openxmlformats.org/officeDocument/2006/relationships/image" Target="../media/image23.emf"/><Relationship Id="rId15" Type="http://schemas.openxmlformats.org/officeDocument/2006/relationships/image" Target="../media/image28.emf"/><Relationship Id="rId10" Type="http://schemas.openxmlformats.org/officeDocument/2006/relationships/control" Target="../activeX/activeX26.xml"/><Relationship Id="rId4" Type="http://schemas.openxmlformats.org/officeDocument/2006/relationships/control" Target="../activeX/activeX23.xml"/><Relationship Id="rId9" Type="http://schemas.openxmlformats.org/officeDocument/2006/relationships/image" Target="../media/image25.emf"/><Relationship Id="rId14" Type="http://schemas.openxmlformats.org/officeDocument/2006/relationships/control" Target="../activeX/activeX2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www.eia.gov/naturalgas/data.cfm" TargetMode="External"/><Relationship Id="rId1" Type="http://schemas.openxmlformats.org/officeDocument/2006/relationships/hyperlink" Target="http://www.eia.gov/naturalgas/crudeoilreserves/"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2.bin"/><Relationship Id="rId1" Type="http://schemas.openxmlformats.org/officeDocument/2006/relationships/hyperlink" Target="http://www.eia.gov/pub/oil_gas/natural_gas/analysis_publications/ngpipeline/usage.html" TargetMode="External"/><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3" Type="http://schemas.openxmlformats.org/officeDocument/2006/relationships/hyperlink" Target="mailto:infoctr@eia.gov" TargetMode="External"/><Relationship Id="rId2" Type="http://schemas.openxmlformats.org/officeDocument/2006/relationships/hyperlink" Target="http://www.eia.gov/" TargetMode="External"/><Relationship Id="rId1" Type="http://schemas.openxmlformats.org/officeDocument/2006/relationships/hyperlink" Target="http://www.eia.gov/dnav/ng/ng_prod_sum_dcu_nus_a.htm" TargetMode="External"/><Relationship Id="rId6" Type="http://schemas.openxmlformats.org/officeDocument/2006/relationships/comments" Target="../comments3.xml"/><Relationship Id="rId5" Type="http://schemas.openxmlformats.org/officeDocument/2006/relationships/vmlDrawing" Target="../drawings/vmlDrawing8.v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32.xml"/><Relationship Id="rId13" Type="http://schemas.openxmlformats.org/officeDocument/2006/relationships/image" Target="../media/image34.emf"/><Relationship Id="rId3" Type="http://schemas.openxmlformats.org/officeDocument/2006/relationships/vmlDrawing" Target="../drawings/vmlDrawing9.vml"/><Relationship Id="rId7" Type="http://schemas.openxmlformats.org/officeDocument/2006/relationships/image" Target="../media/image31.emf"/><Relationship Id="rId12" Type="http://schemas.openxmlformats.org/officeDocument/2006/relationships/control" Target="../activeX/activeX34.xml"/><Relationship Id="rId2" Type="http://schemas.openxmlformats.org/officeDocument/2006/relationships/drawing" Target="../drawings/drawing6.xml"/><Relationship Id="rId1" Type="http://schemas.openxmlformats.org/officeDocument/2006/relationships/printerSettings" Target="../printerSettings/printerSettings14.bin"/><Relationship Id="rId6" Type="http://schemas.openxmlformats.org/officeDocument/2006/relationships/control" Target="../activeX/activeX31.xml"/><Relationship Id="rId11" Type="http://schemas.openxmlformats.org/officeDocument/2006/relationships/image" Target="../media/image33.emf"/><Relationship Id="rId5" Type="http://schemas.openxmlformats.org/officeDocument/2006/relationships/image" Target="../media/image30.emf"/><Relationship Id="rId15" Type="http://schemas.openxmlformats.org/officeDocument/2006/relationships/image" Target="../media/image35.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2.emf"/><Relationship Id="rId14" Type="http://schemas.openxmlformats.org/officeDocument/2006/relationships/control" Target="../activeX/activeX3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8" Type="http://schemas.openxmlformats.org/officeDocument/2006/relationships/control" Target="../activeX/activeX38.xml"/><Relationship Id="rId13" Type="http://schemas.openxmlformats.org/officeDocument/2006/relationships/image" Target="../media/image42.emf"/><Relationship Id="rId3" Type="http://schemas.openxmlformats.org/officeDocument/2006/relationships/vmlDrawing" Target="../drawings/vmlDrawing13.vml"/><Relationship Id="rId7" Type="http://schemas.openxmlformats.org/officeDocument/2006/relationships/image" Target="../media/image39.emf"/><Relationship Id="rId12" Type="http://schemas.openxmlformats.org/officeDocument/2006/relationships/control" Target="../activeX/activeX40.xml"/><Relationship Id="rId2" Type="http://schemas.openxmlformats.org/officeDocument/2006/relationships/drawing" Target="../drawings/drawing8.xml"/><Relationship Id="rId1" Type="http://schemas.openxmlformats.org/officeDocument/2006/relationships/printerSettings" Target="../printerSettings/printerSettings20.bin"/><Relationship Id="rId6" Type="http://schemas.openxmlformats.org/officeDocument/2006/relationships/control" Target="../activeX/activeX37.xml"/><Relationship Id="rId11" Type="http://schemas.openxmlformats.org/officeDocument/2006/relationships/image" Target="../media/image41.emf"/><Relationship Id="rId5" Type="http://schemas.openxmlformats.org/officeDocument/2006/relationships/image" Target="../media/image38.emf"/><Relationship Id="rId15" Type="http://schemas.openxmlformats.org/officeDocument/2006/relationships/image" Target="../media/image43.emf"/><Relationship Id="rId10" Type="http://schemas.openxmlformats.org/officeDocument/2006/relationships/control" Target="../activeX/activeX39.xml"/><Relationship Id="rId4" Type="http://schemas.openxmlformats.org/officeDocument/2006/relationships/control" Target="../activeX/activeX36.xml"/><Relationship Id="rId9" Type="http://schemas.openxmlformats.org/officeDocument/2006/relationships/image" Target="../media/image40.emf"/><Relationship Id="rId14" Type="http://schemas.openxmlformats.org/officeDocument/2006/relationships/control" Target="../activeX/activeX41.xml"/></Relationships>
</file>

<file path=xl/worksheets/_rels/sheet21.xml.rels><?xml version="1.0" encoding="UTF-8" standalone="yes"?>
<Relationships xmlns="http://schemas.openxmlformats.org/package/2006/relationships"><Relationship Id="rId8" Type="http://schemas.openxmlformats.org/officeDocument/2006/relationships/control" Target="../activeX/activeX44.xml"/><Relationship Id="rId13" Type="http://schemas.openxmlformats.org/officeDocument/2006/relationships/image" Target="../media/image48.emf"/><Relationship Id="rId3" Type="http://schemas.openxmlformats.org/officeDocument/2006/relationships/vmlDrawing" Target="../drawings/vmlDrawing14.vml"/><Relationship Id="rId7" Type="http://schemas.openxmlformats.org/officeDocument/2006/relationships/image" Target="../media/image45.emf"/><Relationship Id="rId12" Type="http://schemas.openxmlformats.org/officeDocument/2006/relationships/control" Target="../activeX/activeX46.xml"/><Relationship Id="rId17" Type="http://schemas.openxmlformats.org/officeDocument/2006/relationships/image" Target="../media/image50.emf"/><Relationship Id="rId2" Type="http://schemas.openxmlformats.org/officeDocument/2006/relationships/drawing" Target="../drawings/drawing9.xml"/><Relationship Id="rId16" Type="http://schemas.openxmlformats.org/officeDocument/2006/relationships/control" Target="../activeX/activeX48.xml"/><Relationship Id="rId1" Type="http://schemas.openxmlformats.org/officeDocument/2006/relationships/printerSettings" Target="../printerSettings/printerSettings21.bin"/><Relationship Id="rId6" Type="http://schemas.openxmlformats.org/officeDocument/2006/relationships/control" Target="../activeX/activeX43.xml"/><Relationship Id="rId11" Type="http://schemas.openxmlformats.org/officeDocument/2006/relationships/image" Target="../media/image47.emf"/><Relationship Id="rId5" Type="http://schemas.openxmlformats.org/officeDocument/2006/relationships/image" Target="../media/image44.emf"/><Relationship Id="rId15" Type="http://schemas.openxmlformats.org/officeDocument/2006/relationships/image" Target="../media/image49.emf"/><Relationship Id="rId10" Type="http://schemas.openxmlformats.org/officeDocument/2006/relationships/control" Target="../activeX/activeX45.xml"/><Relationship Id="rId4" Type="http://schemas.openxmlformats.org/officeDocument/2006/relationships/control" Target="../activeX/activeX42.xml"/><Relationship Id="rId9" Type="http://schemas.openxmlformats.org/officeDocument/2006/relationships/image" Target="../media/image46.emf"/><Relationship Id="rId14" Type="http://schemas.openxmlformats.org/officeDocument/2006/relationships/control" Target="../activeX/activeX47.xml"/></Relationships>
</file>

<file path=xl/worksheets/_rels/sheet22.xml.rels><?xml version="1.0" encoding="UTF-8" standalone="yes"?>
<Relationships xmlns="http://schemas.openxmlformats.org/package/2006/relationships"><Relationship Id="rId8" Type="http://schemas.openxmlformats.org/officeDocument/2006/relationships/control" Target="../activeX/activeX51.xml"/><Relationship Id="rId13" Type="http://schemas.openxmlformats.org/officeDocument/2006/relationships/image" Target="../media/image55.emf"/><Relationship Id="rId3" Type="http://schemas.openxmlformats.org/officeDocument/2006/relationships/vmlDrawing" Target="../drawings/vmlDrawing15.vml"/><Relationship Id="rId7" Type="http://schemas.openxmlformats.org/officeDocument/2006/relationships/image" Target="../media/image52.emf"/><Relationship Id="rId12" Type="http://schemas.openxmlformats.org/officeDocument/2006/relationships/control" Target="../activeX/activeX53.xml"/><Relationship Id="rId2" Type="http://schemas.openxmlformats.org/officeDocument/2006/relationships/drawing" Target="../drawings/drawing10.xml"/><Relationship Id="rId1" Type="http://schemas.openxmlformats.org/officeDocument/2006/relationships/printerSettings" Target="../printerSettings/printerSettings22.bin"/><Relationship Id="rId6" Type="http://schemas.openxmlformats.org/officeDocument/2006/relationships/control" Target="../activeX/activeX50.xml"/><Relationship Id="rId11" Type="http://schemas.openxmlformats.org/officeDocument/2006/relationships/image" Target="../media/image54.emf"/><Relationship Id="rId5" Type="http://schemas.openxmlformats.org/officeDocument/2006/relationships/image" Target="../media/image51.emf"/><Relationship Id="rId10" Type="http://schemas.openxmlformats.org/officeDocument/2006/relationships/control" Target="../activeX/activeX52.xml"/><Relationship Id="rId4" Type="http://schemas.openxmlformats.org/officeDocument/2006/relationships/control" Target="../activeX/activeX49.xml"/><Relationship Id="rId9" Type="http://schemas.openxmlformats.org/officeDocument/2006/relationships/image" Target="../media/image53.emf"/></Relationships>
</file>

<file path=xl/worksheets/_rels/sheet23.xml.rels><?xml version="1.0" encoding="UTF-8" standalone="yes"?>
<Relationships xmlns="http://schemas.openxmlformats.org/package/2006/relationships"><Relationship Id="rId8" Type="http://schemas.openxmlformats.org/officeDocument/2006/relationships/control" Target="../activeX/activeX56.xml"/><Relationship Id="rId3" Type="http://schemas.openxmlformats.org/officeDocument/2006/relationships/vmlDrawing" Target="../drawings/vmlDrawing16.vml"/><Relationship Id="rId7" Type="http://schemas.openxmlformats.org/officeDocument/2006/relationships/image" Target="../media/image57.emf"/><Relationship Id="rId2" Type="http://schemas.openxmlformats.org/officeDocument/2006/relationships/drawing" Target="../drawings/drawing11.xml"/><Relationship Id="rId1" Type="http://schemas.openxmlformats.org/officeDocument/2006/relationships/printerSettings" Target="../printerSettings/printerSettings23.bin"/><Relationship Id="rId6" Type="http://schemas.openxmlformats.org/officeDocument/2006/relationships/control" Target="../activeX/activeX55.xml"/><Relationship Id="rId11" Type="http://schemas.openxmlformats.org/officeDocument/2006/relationships/image" Target="../media/image59.emf"/><Relationship Id="rId5" Type="http://schemas.openxmlformats.org/officeDocument/2006/relationships/image" Target="../media/image56.emf"/><Relationship Id="rId10" Type="http://schemas.openxmlformats.org/officeDocument/2006/relationships/control" Target="../activeX/activeX57.xml"/><Relationship Id="rId4" Type="http://schemas.openxmlformats.org/officeDocument/2006/relationships/control" Target="../activeX/activeX54.xml"/><Relationship Id="rId9" Type="http://schemas.openxmlformats.org/officeDocument/2006/relationships/image" Target="../media/image58.emf"/></Relationships>
</file>

<file path=xl/worksheets/_rels/sheet24.xml.rels><?xml version="1.0" encoding="UTF-8" standalone="yes"?>
<Relationships xmlns="http://schemas.openxmlformats.org/package/2006/relationships"><Relationship Id="rId8" Type="http://schemas.openxmlformats.org/officeDocument/2006/relationships/control" Target="../activeX/activeX60.xml"/><Relationship Id="rId13" Type="http://schemas.openxmlformats.org/officeDocument/2006/relationships/image" Target="../media/image64.emf"/><Relationship Id="rId3" Type="http://schemas.openxmlformats.org/officeDocument/2006/relationships/vmlDrawing" Target="../drawings/vmlDrawing17.vml"/><Relationship Id="rId7" Type="http://schemas.openxmlformats.org/officeDocument/2006/relationships/image" Target="../media/image61.emf"/><Relationship Id="rId12" Type="http://schemas.openxmlformats.org/officeDocument/2006/relationships/control" Target="../activeX/activeX62.xml"/><Relationship Id="rId2" Type="http://schemas.openxmlformats.org/officeDocument/2006/relationships/drawing" Target="../drawings/drawing12.xml"/><Relationship Id="rId1" Type="http://schemas.openxmlformats.org/officeDocument/2006/relationships/printerSettings" Target="../printerSettings/printerSettings24.bin"/><Relationship Id="rId6" Type="http://schemas.openxmlformats.org/officeDocument/2006/relationships/control" Target="../activeX/activeX59.xml"/><Relationship Id="rId11" Type="http://schemas.openxmlformats.org/officeDocument/2006/relationships/image" Target="../media/image63.emf"/><Relationship Id="rId5" Type="http://schemas.openxmlformats.org/officeDocument/2006/relationships/image" Target="../media/image60.emf"/><Relationship Id="rId10" Type="http://schemas.openxmlformats.org/officeDocument/2006/relationships/control" Target="../activeX/activeX61.xml"/><Relationship Id="rId4" Type="http://schemas.openxmlformats.org/officeDocument/2006/relationships/control" Target="../activeX/activeX58.xml"/><Relationship Id="rId9" Type="http://schemas.openxmlformats.org/officeDocument/2006/relationships/image" Target="../media/image62.emf"/></Relationships>
</file>

<file path=xl/worksheets/_rels/sheet25.xml.rels><?xml version="1.0" encoding="UTF-8" standalone="yes"?>
<Relationships xmlns="http://schemas.openxmlformats.org/package/2006/relationships"><Relationship Id="rId8" Type="http://schemas.openxmlformats.org/officeDocument/2006/relationships/control" Target="../activeX/activeX65.xml"/><Relationship Id="rId13" Type="http://schemas.openxmlformats.org/officeDocument/2006/relationships/image" Target="../media/image69.emf"/><Relationship Id="rId3" Type="http://schemas.openxmlformats.org/officeDocument/2006/relationships/vmlDrawing" Target="../drawings/vmlDrawing18.vml"/><Relationship Id="rId7" Type="http://schemas.openxmlformats.org/officeDocument/2006/relationships/image" Target="../media/image66.emf"/><Relationship Id="rId12" Type="http://schemas.openxmlformats.org/officeDocument/2006/relationships/control" Target="../activeX/activeX67.xml"/><Relationship Id="rId17" Type="http://schemas.openxmlformats.org/officeDocument/2006/relationships/image" Target="../media/image71.emf"/><Relationship Id="rId2" Type="http://schemas.openxmlformats.org/officeDocument/2006/relationships/drawing" Target="../drawings/drawing13.xml"/><Relationship Id="rId16" Type="http://schemas.openxmlformats.org/officeDocument/2006/relationships/control" Target="../activeX/activeX69.xml"/><Relationship Id="rId1" Type="http://schemas.openxmlformats.org/officeDocument/2006/relationships/printerSettings" Target="../printerSettings/printerSettings25.bin"/><Relationship Id="rId6" Type="http://schemas.openxmlformats.org/officeDocument/2006/relationships/control" Target="../activeX/activeX64.xml"/><Relationship Id="rId11" Type="http://schemas.openxmlformats.org/officeDocument/2006/relationships/image" Target="../media/image68.emf"/><Relationship Id="rId5" Type="http://schemas.openxmlformats.org/officeDocument/2006/relationships/image" Target="../media/image65.emf"/><Relationship Id="rId15" Type="http://schemas.openxmlformats.org/officeDocument/2006/relationships/image" Target="../media/image70.emf"/><Relationship Id="rId10" Type="http://schemas.openxmlformats.org/officeDocument/2006/relationships/control" Target="../activeX/activeX66.xml"/><Relationship Id="rId4" Type="http://schemas.openxmlformats.org/officeDocument/2006/relationships/control" Target="../activeX/activeX63.xml"/><Relationship Id="rId9" Type="http://schemas.openxmlformats.org/officeDocument/2006/relationships/image" Target="../media/image67.emf"/><Relationship Id="rId14" Type="http://schemas.openxmlformats.org/officeDocument/2006/relationships/control" Target="../activeX/activeX68.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hyperlink" Target="mailto:infoctr@eia.gov" TargetMode="External"/><Relationship Id="rId2" Type="http://schemas.openxmlformats.org/officeDocument/2006/relationships/hyperlink" Target="http://www.eia.gov/" TargetMode="External"/><Relationship Id="rId1" Type="http://schemas.openxmlformats.org/officeDocument/2006/relationships/hyperlink" Target="http://www.eia.gov/dnav/ng/ng_prod_sum_a_epg0_fgw_mmcf_a.htm" TargetMode="External"/><Relationship Id="rId6" Type="http://schemas.openxmlformats.org/officeDocument/2006/relationships/hyperlink" Target="mailto:infoctr@eia.gov" TargetMode="External"/><Relationship Id="rId5" Type="http://schemas.openxmlformats.org/officeDocument/2006/relationships/hyperlink" Target="http://www.eia.gov/" TargetMode="External"/><Relationship Id="rId4" Type="http://schemas.openxmlformats.org/officeDocument/2006/relationships/hyperlink" Target="http://www.eia.gov/dnav/ng/ng_prod_sum_a_epg0_fgg_mmcf_a.htm"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www.bea.gov/national/nipaweb/SelectTable.asp?Selecte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137</v>
      </c>
      <c r="B1" s="2"/>
    </row>
    <row r="4" spans="1:6" ht="17.25" customHeight="1" x14ac:dyDescent="0.2"/>
    <row r="5" spans="1:6" ht="17.25" customHeight="1" x14ac:dyDescent="0.2">
      <c r="C5" s="3"/>
    </row>
    <row r="6" spans="1:6" ht="15.75" customHeight="1" x14ac:dyDescent="0.2"/>
    <row r="7" spans="1:6" x14ac:dyDescent="0.2">
      <c r="B7" s="4" t="s">
        <v>128</v>
      </c>
      <c r="C7" s="1" t="s">
        <v>129</v>
      </c>
      <c r="D7" s="1" t="s">
        <v>123</v>
      </c>
      <c r="E7" s="1" t="s">
        <v>127</v>
      </c>
      <c r="F7" s="1" t="s">
        <v>124</v>
      </c>
    </row>
    <row r="8" spans="1:6" x14ac:dyDescent="0.2">
      <c r="B8" s="1"/>
      <c r="C8" s="1"/>
      <c r="D8" s="1"/>
      <c r="E8" s="3"/>
      <c r="F8" s="1"/>
    </row>
    <row r="9" spans="1:6" x14ac:dyDescent="0.2">
      <c r="D9" s="3"/>
      <c r="E9" s="3"/>
    </row>
    <row r="11" spans="1:6" x14ac:dyDescent="0.2">
      <c r="B11" s="3"/>
      <c r="C11" s="3"/>
      <c r="D11" s="12"/>
      <c r="E11" s="12"/>
    </row>
    <row r="12" spans="1:6" x14ac:dyDescent="0.2">
      <c r="B12" s="3"/>
      <c r="C12" s="3"/>
      <c r="E12" s="3"/>
    </row>
    <row r="13" spans="1:6" x14ac:dyDescent="0.2">
      <c r="B13" s="3"/>
      <c r="C13" s="3"/>
    </row>
    <row r="14" spans="1:6" x14ac:dyDescent="0.2">
      <c r="B14" s="3"/>
      <c r="C14" s="3"/>
      <c r="D14" s="6"/>
    </row>
    <row r="15" spans="1:6" x14ac:dyDescent="0.2">
      <c r="B15" s="3"/>
      <c r="C15" s="3"/>
      <c r="E15" s="3"/>
    </row>
    <row r="16" spans="1:6" x14ac:dyDescent="0.2">
      <c r="B16" s="3"/>
      <c r="C16" s="3"/>
      <c r="E16" s="3"/>
    </row>
    <row r="17" spans="2:5" x14ac:dyDescent="0.2">
      <c r="B17" s="3"/>
      <c r="C17" s="3"/>
      <c r="E17" s="3"/>
    </row>
    <row r="18" spans="2:5" x14ac:dyDescent="0.2">
      <c r="B18" s="3"/>
      <c r="C18" s="3"/>
      <c r="E18" s="3"/>
    </row>
    <row r="19" spans="2:5" x14ac:dyDescent="0.2">
      <c r="B19" s="3"/>
      <c r="C19" s="3"/>
      <c r="E19" s="3"/>
    </row>
    <row r="20" spans="2:5" x14ac:dyDescent="0.2">
      <c r="D20" s="6"/>
    </row>
    <row r="21" spans="2:5" x14ac:dyDescent="0.2">
      <c r="E21" s="3"/>
    </row>
    <row r="23" spans="2:5" x14ac:dyDescent="0.2">
      <c r="B23" s="3"/>
      <c r="C23" s="3"/>
      <c r="D23" s="3"/>
      <c r="E23" s="3"/>
    </row>
    <row r="24" spans="2:5" x14ac:dyDescent="0.2">
      <c r="B24" s="3"/>
      <c r="C24" s="3"/>
    </row>
    <row r="25" spans="2:5" x14ac:dyDescent="0.2">
      <c r="B25" s="3"/>
      <c r="C25" s="3"/>
      <c r="D25" s="6"/>
      <c r="E25" s="3"/>
    </row>
    <row r="26" spans="2:5" x14ac:dyDescent="0.2">
      <c r="B26" s="4"/>
      <c r="C26" s="3"/>
      <c r="E26" s="3"/>
    </row>
    <row r="27" spans="2:5" x14ac:dyDescent="0.2">
      <c r="E27" s="3"/>
    </row>
    <row r="29" spans="2:5" x14ac:dyDescent="0.2">
      <c r="B29" s="3"/>
      <c r="C29" s="3"/>
      <c r="D29" s="3"/>
      <c r="E29" s="3"/>
    </row>
    <row r="30" spans="2:5" x14ac:dyDescent="0.2">
      <c r="B30" s="3"/>
      <c r="C30" s="3"/>
    </row>
    <row r="31" spans="2:5" x14ac:dyDescent="0.2">
      <c r="B31" s="3"/>
      <c r="C31" s="3"/>
      <c r="E31" s="3"/>
    </row>
    <row r="32" spans="2:5" x14ac:dyDescent="0.2">
      <c r="B32" s="3"/>
      <c r="C32" s="3"/>
      <c r="E32"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542925</xdr:colOff>
                <xdr:row>2</xdr:row>
                <xdr:rowOff>0</xdr:rowOff>
              </from>
              <to>
                <xdr:col>4</xdr:col>
                <xdr:colOff>1514475</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66675</xdr:colOff>
                <xdr:row>2</xdr:row>
                <xdr:rowOff>114300</xdr:rowOff>
              </from>
              <to>
                <xdr:col>3</xdr:col>
                <xdr:colOff>619125</xdr:colOff>
                <xdr:row>4</xdr:row>
                <xdr:rowOff>104775</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9525</xdr:colOff>
                <xdr:row>4</xdr:row>
                <xdr:rowOff>171450</xdr:rowOff>
              </from>
              <to>
                <xdr:col>3</xdr:col>
                <xdr:colOff>676275</xdr:colOff>
                <xdr:row>5</xdr:row>
                <xdr:rowOff>190500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9525</xdr:colOff>
                <xdr:row>2</xdr:row>
                <xdr:rowOff>142875</xdr:rowOff>
              </from>
              <to>
                <xdr:col>0</xdr:col>
                <xdr:colOff>828675</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1000125</xdr:colOff>
                <xdr:row>3</xdr:row>
                <xdr:rowOff>95250</xdr:rowOff>
              </from>
              <to>
                <xdr:col>4</xdr:col>
                <xdr:colOff>1971675</xdr:colOff>
                <xdr:row>4</xdr:row>
                <xdr:rowOff>114300</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1000125</xdr:colOff>
                <xdr:row>4</xdr:row>
                <xdr:rowOff>171450</xdr:rowOff>
              </from>
              <to>
                <xdr:col>4</xdr:col>
                <xdr:colOff>1971675</xdr:colOff>
                <xdr:row>5</xdr:row>
                <xdr:rowOff>190500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9525</xdr:colOff>
                <xdr:row>4</xdr:row>
                <xdr:rowOff>171450</xdr:rowOff>
              </from>
              <to>
                <xdr:col>4</xdr:col>
                <xdr:colOff>981075</xdr:colOff>
                <xdr:row>5</xdr:row>
                <xdr:rowOff>190500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9525</xdr:colOff>
                <xdr:row>3</xdr:row>
                <xdr:rowOff>95250</xdr:rowOff>
              </from>
              <to>
                <xdr:col>4</xdr:col>
                <xdr:colOff>981075</xdr:colOff>
                <xdr:row>4</xdr:row>
                <xdr:rowOff>114300</xdr:rowOff>
              </to>
            </anchor>
          </controlPr>
        </control>
      </mc:Choice>
      <mc:Fallback>
        <control shapeId="2049" r:id="rId18" name="cmdEnergySets"/>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FFC000"/>
  </sheetPr>
  <dimension ref="B1:O334"/>
  <sheetViews>
    <sheetView zoomScale="80" zoomScaleNormal="80" workbookViewId="0">
      <pane xSplit="4" ySplit="7" topLeftCell="E32" activePane="bottomRight" state="frozen"/>
      <selection activeCell="N56" sqref="N56"/>
      <selection pane="topRight" activeCell="N56" sqref="N56"/>
      <selection pane="bottomLeft" activeCell="N56" sqref="N56"/>
      <selection pane="bottomRight" activeCell="C70" sqref="C70"/>
    </sheetView>
  </sheetViews>
  <sheetFormatPr defaultColWidth="9.140625" defaultRowHeight="12.75" x14ac:dyDescent="0.2"/>
  <cols>
    <col min="1" max="1" width="9.140625" style="239"/>
    <col min="2" max="2" width="25" style="239" customWidth="1"/>
    <col min="3" max="3" width="12.28515625" style="239" customWidth="1"/>
    <col min="4" max="4" width="52" style="239" customWidth="1"/>
    <col min="5" max="5" width="10.28515625" style="239" customWidth="1"/>
    <col min="6" max="6" width="29.7109375" style="239" customWidth="1"/>
    <col min="7" max="7" width="10.28515625" style="239" customWidth="1"/>
    <col min="8" max="16384" width="9.140625" style="239"/>
  </cols>
  <sheetData>
    <row r="1" spans="2:15" x14ac:dyDescent="0.2">
      <c r="B1" s="238" t="s">
        <v>143</v>
      </c>
      <c r="C1" s="239" t="s">
        <v>1350</v>
      </c>
    </row>
    <row r="4" spans="2:15" ht="17.25" customHeight="1" x14ac:dyDescent="0.2"/>
    <row r="5" spans="2:15" ht="17.25" customHeight="1" x14ac:dyDescent="0.2"/>
    <row r="6" spans="2:15" customFormat="1" ht="15.75" customHeight="1" x14ac:dyDescent="0.2">
      <c r="B6" s="243" t="s">
        <v>1582</v>
      </c>
    </row>
    <row r="7" spans="2:15" customFormat="1" x14ac:dyDescent="0.2">
      <c r="B7" s="244" t="s">
        <v>47</v>
      </c>
      <c r="C7" s="244" t="s">
        <v>128</v>
      </c>
      <c r="D7" s="244" t="s">
        <v>129</v>
      </c>
      <c r="E7" s="244" t="s">
        <v>1583</v>
      </c>
      <c r="F7" s="244" t="s">
        <v>1584</v>
      </c>
      <c r="G7" s="244" t="s">
        <v>1585</v>
      </c>
      <c r="H7" s="244" t="s">
        <v>1586</v>
      </c>
      <c r="I7" s="244" t="s">
        <v>1587</v>
      </c>
      <c r="J7" s="244" t="s">
        <v>1588</v>
      </c>
      <c r="O7" t="s">
        <v>124</v>
      </c>
    </row>
    <row r="8" spans="2:15" x14ac:dyDescent="0.2">
      <c r="B8" s="248" t="s">
        <v>146</v>
      </c>
      <c r="C8" s="249"/>
      <c r="D8" s="249"/>
      <c r="E8" s="249"/>
      <c r="F8" s="249"/>
      <c r="G8" s="249"/>
      <c r="H8" s="250"/>
      <c r="I8" s="250"/>
      <c r="J8" s="250"/>
    </row>
    <row r="9" spans="2:15" x14ac:dyDescent="0.2">
      <c r="B9" s="251" t="s">
        <v>1320</v>
      </c>
      <c r="C9" s="251" t="s">
        <v>147</v>
      </c>
      <c r="D9" s="251" t="s">
        <v>148</v>
      </c>
      <c r="E9" s="251" t="s">
        <v>144</v>
      </c>
      <c r="F9" s="251" t="s">
        <v>1595</v>
      </c>
      <c r="G9" s="251"/>
      <c r="H9" s="252"/>
      <c r="I9" s="252"/>
      <c r="J9" s="252"/>
    </row>
    <row r="10" spans="2:15" x14ac:dyDescent="0.2">
      <c r="B10" s="251" t="s">
        <v>1320</v>
      </c>
      <c r="C10" s="251" t="s">
        <v>149</v>
      </c>
      <c r="D10" s="251" t="s">
        <v>150</v>
      </c>
      <c r="E10" s="251" t="s">
        <v>144</v>
      </c>
      <c r="F10" s="251"/>
      <c r="G10" s="251"/>
      <c r="H10" s="252"/>
      <c r="I10" s="252"/>
      <c r="J10" s="252"/>
    </row>
    <row r="11" spans="2:15" x14ac:dyDescent="0.2">
      <c r="B11" s="251" t="s">
        <v>1320</v>
      </c>
      <c r="C11" s="251" t="s">
        <v>151</v>
      </c>
      <c r="D11" s="251" t="s">
        <v>575</v>
      </c>
      <c r="E11" s="251" t="s">
        <v>144</v>
      </c>
      <c r="F11" s="251"/>
      <c r="G11" s="251"/>
      <c r="H11" s="252"/>
      <c r="I11" s="252"/>
      <c r="J11" s="252"/>
    </row>
    <row r="12" spans="2:15" x14ac:dyDescent="0.2">
      <c r="B12" s="251" t="s">
        <v>160</v>
      </c>
      <c r="C12" s="251" t="s">
        <v>1351</v>
      </c>
      <c r="D12" s="251" t="s">
        <v>1319</v>
      </c>
      <c r="E12" s="251" t="s">
        <v>144</v>
      </c>
      <c r="F12" s="251"/>
      <c r="G12" s="251"/>
      <c r="H12" s="252"/>
      <c r="I12" s="252"/>
      <c r="J12" s="252"/>
    </row>
    <row r="13" spans="2:15" x14ac:dyDescent="0.2">
      <c r="B13" s="251" t="s">
        <v>168</v>
      </c>
      <c r="C13" s="251" t="s">
        <v>333</v>
      </c>
      <c r="D13" s="251" t="s">
        <v>570</v>
      </c>
      <c r="E13" s="251" t="s">
        <v>144</v>
      </c>
      <c r="F13" s="251"/>
      <c r="G13" s="251"/>
      <c r="H13" s="252"/>
      <c r="I13" s="252"/>
      <c r="J13" s="252"/>
    </row>
    <row r="14" spans="2:15" x14ac:dyDescent="0.2">
      <c r="B14" s="251" t="s">
        <v>165</v>
      </c>
      <c r="C14" s="251" t="s">
        <v>334</v>
      </c>
      <c r="D14" s="251" t="s">
        <v>571</v>
      </c>
      <c r="E14" s="251" t="s">
        <v>144</v>
      </c>
      <c r="F14" s="251"/>
      <c r="G14" s="251"/>
      <c r="H14" s="252"/>
      <c r="I14" s="252"/>
      <c r="J14" s="252"/>
    </row>
    <row r="15" spans="2:15" x14ac:dyDescent="0.2">
      <c r="B15" s="251" t="s">
        <v>196</v>
      </c>
      <c r="C15" s="251" t="s">
        <v>335</v>
      </c>
      <c r="D15" s="251" t="s">
        <v>572</v>
      </c>
      <c r="E15" s="251" t="s">
        <v>144</v>
      </c>
      <c r="F15" s="251"/>
      <c r="G15" s="251"/>
      <c r="H15" s="252"/>
      <c r="I15" s="252"/>
      <c r="J15" s="252"/>
    </row>
    <row r="16" spans="2:15" x14ac:dyDescent="0.2">
      <c r="B16" s="251" t="s">
        <v>195</v>
      </c>
      <c r="C16" s="251" t="s">
        <v>336</v>
      </c>
      <c r="D16" s="251" t="s">
        <v>573</v>
      </c>
      <c r="E16" s="251" t="s">
        <v>144</v>
      </c>
      <c r="F16" s="251"/>
      <c r="G16" s="251"/>
      <c r="H16" s="252"/>
      <c r="I16" s="252"/>
      <c r="J16" s="252"/>
    </row>
    <row r="17" spans="2:10" x14ac:dyDescent="0.2">
      <c r="B17" s="251" t="s">
        <v>197</v>
      </c>
      <c r="C17" s="251" t="s">
        <v>337</v>
      </c>
      <c r="D17" s="251" t="s">
        <v>574</v>
      </c>
      <c r="E17" s="251" t="s">
        <v>144</v>
      </c>
      <c r="F17" s="251"/>
      <c r="G17" s="251"/>
      <c r="H17" s="252"/>
      <c r="I17" s="252"/>
      <c r="J17" s="252"/>
    </row>
    <row r="18" spans="2:10" x14ac:dyDescent="0.2">
      <c r="B18" s="251" t="s">
        <v>1320</v>
      </c>
      <c r="C18" s="251" t="s">
        <v>1321</v>
      </c>
      <c r="D18" s="251" t="s">
        <v>1322</v>
      </c>
      <c r="E18" s="251" t="s">
        <v>144</v>
      </c>
      <c r="F18" s="251"/>
      <c r="G18" s="251"/>
      <c r="H18" s="252"/>
      <c r="I18" s="252"/>
      <c r="J18" s="252"/>
    </row>
    <row r="19" spans="2:10" x14ac:dyDescent="0.2">
      <c r="B19" s="251" t="s">
        <v>1320</v>
      </c>
      <c r="C19" s="251" t="s">
        <v>184</v>
      </c>
      <c r="D19" s="251" t="s">
        <v>576</v>
      </c>
      <c r="E19" s="251" t="s">
        <v>144</v>
      </c>
      <c r="F19" s="251"/>
      <c r="G19" s="251"/>
      <c r="H19" s="252"/>
      <c r="I19" s="252"/>
      <c r="J19" s="252"/>
    </row>
    <row r="20" spans="2:10" x14ac:dyDescent="0.2">
      <c r="B20" s="251" t="s">
        <v>1320</v>
      </c>
      <c r="C20" s="251" t="s">
        <v>185</v>
      </c>
      <c r="D20" s="251" t="s">
        <v>577</v>
      </c>
      <c r="E20" s="251" t="s">
        <v>144</v>
      </c>
      <c r="F20" s="251"/>
      <c r="G20" s="251"/>
      <c r="H20" s="252"/>
      <c r="I20" s="252"/>
      <c r="J20" s="252"/>
    </row>
    <row r="21" spans="2:10" x14ac:dyDescent="0.2">
      <c r="B21" s="251" t="s">
        <v>1320</v>
      </c>
      <c r="C21" s="251" t="s">
        <v>186</v>
      </c>
      <c r="D21" s="251" t="s">
        <v>578</v>
      </c>
      <c r="E21" s="251" t="s">
        <v>144</v>
      </c>
      <c r="F21" s="251"/>
      <c r="G21" s="251"/>
      <c r="H21" s="252"/>
      <c r="I21" s="252"/>
      <c r="J21" s="252"/>
    </row>
    <row r="22" spans="2:10" x14ac:dyDescent="0.2">
      <c r="B22" s="251" t="s">
        <v>1320</v>
      </c>
      <c r="C22" s="251" t="s">
        <v>187</v>
      </c>
      <c r="D22" s="251" t="s">
        <v>579</v>
      </c>
      <c r="E22" s="251" t="s">
        <v>144</v>
      </c>
      <c r="F22" s="251"/>
      <c r="G22" s="251"/>
      <c r="H22" s="252"/>
      <c r="I22" s="252"/>
      <c r="J22" s="252"/>
    </row>
    <row r="23" spans="2:10" x14ac:dyDescent="0.2">
      <c r="B23" s="251" t="s">
        <v>1320</v>
      </c>
      <c r="C23" s="251" t="s">
        <v>188</v>
      </c>
      <c r="D23" s="251" t="s">
        <v>580</v>
      </c>
      <c r="E23" s="251" t="s">
        <v>144</v>
      </c>
      <c r="F23" s="251"/>
      <c r="G23" s="251"/>
      <c r="H23" s="252"/>
      <c r="I23" s="252"/>
      <c r="J23" s="252"/>
    </row>
    <row r="24" spans="2:10" x14ac:dyDescent="0.2">
      <c r="B24" s="251" t="s">
        <v>1320</v>
      </c>
      <c r="C24" s="251" t="s">
        <v>152</v>
      </c>
      <c r="D24" s="251" t="s">
        <v>153</v>
      </c>
      <c r="E24" s="251" t="s">
        <v>144</v>
      </c>
      <c r="F24" s="251"/>
      <c r="G24" s="251"/>
      <c r="H24" s="252"/>
      <c r="I24" s="252"/>
      <c r="J24" s="252"/>
    </row>
    <row r="25" spans="2:10" x14ac:dyDescent="0.2">
      <c r="B25" s="251" t="s">
        <v>145</v>
      </c>
      <c r="C25" s="251" t="s">
        <v>154</v>
      </c>
      <c r="D25" s="251" t="s">
        <v>1268</v>
      </c>
      <c r="E25" s="251" t="s">
        <v>144</v>
      </c>
      <c r="F25" s="251"/>
      <c r="G25" s="251"/>
      <c r="H25" s="252"/>
      <c r="I25" s="252"/>
      <c r="J25" s="252"/>
    </row>
    <row r="26" spans="2:10" x14ac:dyDescent="0.2">
      <c r="B26" s="251" t="s">
        <v>230</v>
      </c>
      <c r="C26" s="251" t="s">
        <v>155</v>
      </c>
      <c r="D26" s="251" t="s">
        <v>1269</v>
      </c>
      <c r="E26" s="251" t="s">
        <v>144</v>
      </c>
      <c r="F26" s="251"/>
      <c r="G26" s="251"/>
      <c r="H26" s="252"/>
      <c r="I26" s="252"/>
      <c r="J26" s="252"/>
    </row>
    <row r="27" spans="2:10" x14ac:dyDescent="0.2">
      <c r="B27" s="251" t="s">
        <v>1323</v>
      </c>
      <c r="C27" s="251" t="s">
        <v>156</v>
      </c>
      <c r="D27" s="251" t="s">
        <v>1270</v>
      </c>
      <c r="E27" s="251" t="s">
        <v>144</v>
      </c>
      <c r="F27" s="251"/>
      <c r="G27" s="251"/>
      <c r="H27" s="252"/>
      <c r="I27" s="252"/>
      <c r="J27" s="252"/>
    </row>
    <row r="28" spans="2:10" x14ac:dyDescent="0.2">
      <c r="B28" s="251" t="s">
        <v>145</v>
      </c>
      <c r="C28" s="251" t="s">
        <v>1248</v>
      </c>
      <c r="D28" s="251" t="s">
        <v>1249</v>
      </c>
      <c r="E28" s="251" t="s">
        <v>144</v>
      </c>
      <c r="F28" s="251"/>
      <c r="G28" s="251"/>
      <c r="H28" s="252"/>
      <c r="I28" s="252"/>
      <c r="J28" s="252"/>
    </row>
    <row r="29" spans="2:10" x14ac:dyDescent="0.2">
      <c r="B29" s="251" t="s">
        <v>157</v>
      </c>
      <c r="C29" s="251" t="s">
        <v>539</v>
      </c>
      <c r="D29" s="251" t="s">
        <v>1264</v>
      </c>
      <c r="E29" s="251" t="s">
        <v>144</v>
      </c>
      <c r="F29" s="251"/>
      <c r="G29" s="251"/>
      <c r="H29" s="252"/>
      <c r="I29" s="252"/>
      <c r="J29" s="252"/>
    </row>
    <row r="30" spans="2:10" x14ac:dyDescent="0.2">
      <c r="B30" s="251" t="s">
        <v>1537</v>
      </c>
      <c r="C30" s="251" t="s">
        <v>540</v>
      </c>
      <c r="D30" s="251" t="s">
        <v>1265</v>
      </c>
      <c r="E30" s="251" t="s">
        <v>144</v>
      </c>
      <c r="F30" s="251"/>
      <c r="G30" s="251"/>
      <c r="H30" s="252"/>
      <c r="I30" s="252"/>
      <c r="J30" s="252"/>
    </row>
    <row r="31" spans="2:10" x14ac:dyDescent="0.2">
      <c r="B31" s="251" t="s">
        <v>1538</v>
      </c>
      <c r="C31" s="251" t="s">
        <v>1313</v>
      </c>
      <c r="D31" s="251" t="s">
        <v>1316</v>
      </c>
      <c r="E31" s="251" t="s">
        <v>144</v>
      </c>
      <c r="F31" s="251"/>
      <c r="G31" s="251"/>
      <c r="H31" s="252"/>
      <c r="I31" s="252"/>
      <c r="J31" s="252"/>
    </row>
    <row r="32" spans="2:10" x14ac:dyDescent="0.2">
      <c r="B32" s="251" t="s">
        <v>1539</v>
      </c>
      <c r="C32" s="251" t="s">
        <v>541</v>
      </c>
      <c r="D32" s="251" t="s">
        <v>1266</v>
      </c>
      <c r="E32" s="251" t="s">
        <v>144</v>
      </c>
      <c r="F32" s="251"/>
      <c r="G32" s="251"/>
      <c r="H32" s="252"/>
      <c r="I32" s="252"/>
      <c r="J32" s="252"/>
    </row>
    <row r="33" spans="2:10" x14ac:dyDescent="0.2">
      <c r="B33" s="251" t="s">
        <v>1540</v>
      </c>
      <c r="C33" s="251" t="s">
        <v>1314</v>
      </c>
      <c r="D33" s="251" t="s">
        <v>1317</v>
      </c>
      <c r="E33" s="251" t="s">
        <v>144</v>
      </c>
      <c r="F33" s="251"/>
      <c r="G33" s="251"/>
      <c r="H33" s="252"/>
      <c r="I33" s="252"/>
      <c r="J33" s="252"/>
    </row>
    <row r="34" spans="2:10" x14ac:dyDescent="0.2">
      <c r="B34" s="251" t="s">
        <v>1541</v>
      </c>
      <c r="C34" s="251" t="s">
        <v>1315</v>
      </c>
      <c r="D34" s="251" t="s">
        <v>1318</v>
      </c>
      <c r="E34" s="251" t="s">
        <v>144</v>
      </c>
      <c r="F34" s="251"/>
      <c r="G34" s="251"/>
      <c r="H34" s="252"/>
      <c r="I34" s="252"/>
      <c r="J34" s="252"/>
    </row>
    <row r="35" spans="2:10" x14ac:dyDescent="0.2">
      <c r="B35" s="251" t="s">
        <v>157</v>
      </c>
      <c r="C35" s="251" t="s">
        <v>542</v>
      </c>
      <c r="D35" s="251" t="s">
        <v>1267</v>
      </c>
      <c r="E35" s="251" t="s">
        <v>144</v>
      </c>
      <c r="F35" s="251"/>
      <c r="G35" s="251"/>
      <c r="H35" s="252"/>
      <c r="I35" s="252"/>
      <c r="J35" s="252"/>
    </row>
    <row r="36" spans="2:10" x14ac:dyDescent="0.2">
      <c r="B36" s="251" t="s">
        <v>158</v>
      </c>
      <c r="C36" s="251" t="s">
        <v>1325</v>
      </c>
      <c r="D36" s="251" t="s">
        <v>1324</v>
      </c>
      <c r="E36" s="251" t="s">
        <v>144</v>
      </c>
      <c r="F36" s="251"/>
      <c r="G36" s="251"/>
      <c r="H36" s="252"/>
      <c r="I36" s="252"/>
      <c r="J36" s="252"/>
    </row>
    <row r="37" spans="2:10" x14ac:dyDescent="0.2">
      <c r="B37" s="251" t="s">
        <v>159</v>
      </c>
      <c r="C37" s="251" t="s">
        <v>543</v>
      </c>
      <c r="D37" s="251" t="s">
        <v>1326</v>
      </c>
      <c r="E37" s="251" t="s">
        <v>144</v>
      </c>
      <c r="F37" s="251"/>
      <c r="G37" s="251"/>
      <c r="H37" s="252"/>
      <c r="I37" s="252"/>
      <c r="J37" s="252"/>
    </row>
    <row r="38" spans="2:10" x14ac:dyDescent="0.2">
      <c r="B38" s="251" t="s">
        <v>1320</v>
      </c>
      <c r="C38" s="251" t="s">
        <v>1328</v>
      </c>
      <c r="D38" s="251" t="s">
        <v>1329</v>
      </c>
      <c r="E38" s="251" t="s">
        <v>144</v>
      </c>
      <c r="F38" s="251"/>
      <c r="G38" s="251"/>
      <c r="H38" s="252"/>
      <c r="I38" s="252"/>
      <c r="J38" s="252"/>
    </row>
    <row r="39" spans="2:10" x14ac:dyDescent="0.2">
      <c r="B39" s="251" t="s">
        <v>1320</v>
      </c>
      <c r="C39" s="251" t="s">
        <v>161</v>
      </c>
      <c r="D39" s="251" t="s">
        <v>162</v>
      </c>
      <c r="E39" s="251" t="s">
        <v>144</v>
      </c>
      <c r="F39" s="251"/>
      <c r="G39" s="251"/>
      <c r="H39" s="252"/>
      <c r="I39" s="252"/>
      <c r="J39" s="252"/>
    </row>
    <row r="40" spans="2:10" x14ac:dyDescent="0.2">
      <c r="B40" s="251" t="s">
        <v>1320</v>
      </c>
      <c r="C40" s="251" t="s">
        <v>163</v>
      </c>
      <c r="D40" s="251" t="s">
        <v>164</v>
      </c>
      <c r="E40" s="251" t="s">
        <v>144</v>
      </c>
      <c r="F40" s="251"/>
      <c r="G40" s="251"/>
      <c r="H40" s="252"/>
      <c r="I40" s="252"/>
      <c r="J40" s="252"/>
    </row>
    <row r="41" spans="2:10" x14ac:dyDescent="0.2">
      <c r="B41" s="251" t="s">
        <v>1320</v>
      </c>
      <c r="C41" s="251" t="s">
        <v>166</v>
      </c>
      <c r="D41" s="251" t="s">
        <v>167</v>
      </c>
      <c r="E41" s="251" t="s">
        <v>144</v>
      </c>
      <c r="F41" s="251"/>
      <c r="G41" s="251"/>
      <c r="H41" s="252"/>
      <c r="I41" s="252"/>
      <c r="J41" s="252"/>
    </row>
    <row r="42" spans="2:10" x14ac:dyDescent="0.2">
      <c r="B42" s="251" t="s">
        <v>1320</v>
      </c>
      <c r="C42" s="251" t="s">
        <v>169</v>
      </c>
      <c r="D42" s="251" t="s">
        <v>170</v>
      </c>
      <c r="E42" s="251" t="s">
        <v>144</v>
      </c>
      <c r="F42" s="251"/>
      <c r="G42" s="251"/>
      <c r="H42" s="252"/>
      <c r="I42" s="252"/>
      <c r="J42" s="252"/>
    </row>
    <row r="43" spans="2:10" x14ac:dyDescent="0.2">
      <c r="B43" s="251" t="s">
        <v>1320</v>
      </c>
      <c r="C43" s="251" t="s">
        <v>171</v>
      </c>
      <c r="D43" s="251" t="s">
        <v>172</v>
      </c>
      <c r="E43" s="251" t="s">
        <v>144</v>
      </c>
      <c r="F43" s="251"/>
      <c r="G43" s="251"/>
      <c r="H43" s="252"/>
      <c r="I43" s="252"/>
      <c r="J43" s="252"/>
    </row>
    <row r="44" spans="2:10" x14ac:dyDescent="0.2">
      <c r="B44" s="248" t="s">
        <v>173</v>
      </c>
      <c r="C44" s="249"/>
      <c r="D44" s="249"/>
      <c r="E44" s="249"/>
      <c r="F44" s="249"/>
      <c r="G44" s="249"/>
      <c r="H44" s="250"/>
      <c r="I44" s="250"/>
      <c r="J44" s="250"/>
    </row>
    <row r="45" spans="2:10" x14ac:dyDescent="0.2">
      <c r="B45" s="251" t="s">
        <v>1320</v>
      </c>
      <c r="C45" s="251" t="s">
        <v>174</v>
      </c>
      <c r="D45" s="251" t="s">
        <v>175</v>
      </c>
      <c r="E45" s="251" t="s">
        <v>144</v>
      </c>
      <c r="F45" s="251" t="s">
        <v>1595</v>
      </c>
      <c r="G45" s="251"/>
      <c r="H45" s="252"/>
      <c r="I45" s="252"/>
      <c r="J45" s="252"/>
    </row>
    <row r="46" spans="2:10" x14ac:dyDescent="0.2">
      <c r="B46" s="251" t="s">
        <v>1320</v>
      </c>
      <c r="C46" s="251" t="s">
        <v>176</v>
      </c>
      <c r="D46" s="251" t="s">
        <v>177</v>
      </c>
      <c r="E46" s="251" t="s">
        <v>144</v>
      </c>
      <c r="F46" s="251"/>
      <c r="G46" s="251"/>
      <c r="H46" s="252"/>
      <c r="I46" s="252"/>
      <c r="J46" s="252"/>
    </row>
    <row r="47" spans="2:10" x14ac:dyDescent="0.2">
      <c r="B47" s="251" t="s">
        <v>1320</v>
      </c>
      <c r="C47" s="251" t="s">
        <v>178</v>
      </c>
      <c r="D47" s="251" t="s">
        <v>179</v>
      </c>
      <c r="E47" s="251" t="s">
        <v>144</v>
      </c>
      <c r="F47" s="251"/>
      <c r="G47" s="251"/>
      <c r="H47" s="252"/>
      <c r="I47" s="252"/>
      <c r="J47" s="252"/>
    </row>
    <row r="48" spans="2:10" x14ac:dyDescent="0.2">
      <c r="B48" s="251" t="s">
        <v>1320</v>
      </c>
      <c r="C48" s="251" t="s">
        <v>180</v>
      </c>
      <c r="D48" s="251" t="s">
        <v>181</v>
      </c>
      <c r="E48" s="251" t="s">
        <v>144</v>
      </c>
      <c r="F48" s="251"/>
      <c r="G48" s="251"/>
      <c r="H48" s="252"/>
      <c r="I48" s="252"/>
      <c r="J48" s="252"/>
    </row>
    <row r="49" spans="2:10" x14ac:dyDescent="0.2">
      <c r="B49" s="251" t="s">
        <v>1320</v>
      </c>
      <c r="C49" s="251" t="s">
        <v>182</v>
      </c>
      <c r="D49" s="251" t="s">
        <v>183</v>
      </c>
      <c r="E49" s="251" t="s">
        <v>144</v>
      </c>
      <c r="F49" s="251"/>
      <c r="G49" s="251"/>
      <c r="H49" s="252"/>
      <c r="I49" s="252"/>
      <c r="J49" s="252"/>
    </row>
    <row r="50" spans="2:10" x14ac:dyDescent="0.2">
      <c r="B50" s="251" t="s">
        <v>1327</v>
      </c>
      <c r="C50" s="251" t="s">
        <v>190</v>
      </c>
      <c r="D50" s="251" t="s">
        <v>663</v>
      </c>
      <c r="E50" s="251" t="s">
        <v>144</v>
      </c>
      <c r="F50" s="251"/>
      <c r="G50" s="251"/>
      <c r="H50" s="252"/>
      <c r="I50" s="252"/>
      <c r="J50" s="252"/>
    </row>
    <row r="51" spans="2:10" x14ac:dyDescent="0.2">
      <c r="B51" s="251" t="s">
        <v>1684</v>
      </c>
      <c r="C51" s="251" t="s">
        <v>191</v>
      </c>
      <c r="D51" s="251" t="s">
        <v>664</v>
      </c>
      <c r="E51" s="251" t="s">
        <v>144</v>
      </c>
      <c r="F51" s="251"/>
      <c r="G51" s="251"/>
      <c r="H51" s="252"/>
      <c r="I51" s="252"/>
      <c r="J51" s="252"/>
    </row>
    <row r="52" spans="2:10" x14ac:dyDescent="0.2">
      <c r="B52" s="251" t="s">
        <v>1685</v>
      </c>
      <c r="C52" s="251" t="s">
        <v>650</v>
      </c>
      <c r="D52" s="251" t="s">
        <v>665</v>
      </c>
      <c r="E52" s="251" t="s">
        <v>144</v>
      </c>
      <c r="F52" s="251"/>
      <c r="G52" s="251"/>
      <c r="H52" s="252"/>
      <c r="I52" s="252"/>
      <c r="J52" s="252"/>
    </row>
    <row r="53" spans="2:10" x14ac:dyDescent="0.2">
      <c r="B53" s="251" t="s">
        <v>1686</v>
      </c>
      <c r="C53" s="251" t="s">
        <v>189</v>
      </c>
      <c r="D53" s="251" t="s">
        <v>662</v>
      </c>
      <c r="E53" s="251" t="s">
        <v>144</v>
      </c>
      <c r="F53" s="251"/>
      <c r="G53" s="251"/>
      <c r="H53" s="252"/>
      <c r="I53" s="252"/>
      <c r="J53" s="252"/>
    </row>
    <row r="54" spans="2:10" x14ac:dyDescent="0.2">
      <c r="B54" s="251" t="s">
        <v>1687</v>
      </c>
      <c r="C54" s="251" t="s">
        <v>653</v>
      </c>
      <c r="D54" s="251" t="s">
        <v>654</v>
      </c>
      <c r="E54" s="251" t="s">
        <v>144</v>
      </c>
      <c r="F54" s="251"/>
      <c r="G54" s="251"/>
      <c r="H54" s="252"/>
      <c r="I54" s="252"/>
      <c r="J54" s="252"/>
    </row>
    <row r="55" spans="2:10" x14ac:dyDescent="0.2">
      <c r="B55" s="251" t="s">
        <v>1688</v>
      </c>
      <c r="C55" s="251" t="s">
        <v>673</v>
      </c>
      <c r="D55" s="251" t="s">
        <v>648</v>
      </c>
      <c r="E55" s="251" t="s">
        <v>144</v>
      </c>
      <c r="F55" s="251"/>
      <c r="G55" s="251"/>
      <c r="H55" s="252"/>
      <c r="I55" s="252"/>
      <c r="J55" s="252"/>
    </row>
    <row r="56" spans="2:10" x14ac:dyDescent="0.2">
      <c r="B56" s="251" t="s">
        <v>1689</v>
      </c>
      <c r="C56" s="251" t="s">
        <v>672</v>
      </c>
      <c r="D56" s="251" t="s">
        <v>647</v>
      </c>
      <c r="E56" s="251" t="s">
        <v>144</v>
      </c>
      <c r="F56" s="251"/>
      <c r="G56" s="251"/>
      <c r="H56" s="252"/>
      <c r="I56" s="252"/>
      <c r="J56" s="252"/>
    </row>
    <row r="57" spans="2:10" x14ac:dyDescent="0.2">
      <c r="B57" s="251" t="s">
        <v>1690</v>
      </c>
      <c r="C57" s="251" t="s">
        <v>666</v>
      </c>
      <c r="D57" s="251" t="s">
        <v>649</v>
      </c>
      <c r="E57" s="251" t="s">
        <v>144</v>
      </c>
      <c r="F57" s="251"/>
      <c r="G57" s="251"/>
      <c r="H57" s="252"/>
      <c r="I57" s="252"/>
      <c r="J57" s="252"/>
    </row>
    <row r="70" spans="2:10" x14ac:dyDescent="0.2">
      <c r="F70" s="238"/>
    </row>
    <row r="74" spans="2:10" x14ac:dyDescent="0.2">
      <c r="B74" s="249" t="s">
        <v>1483</v>
      </c>
      <c r="C74" s="249"/>
      <c r="D74" s="249"/>
      <c r="E74" s="249"/>
      <c r="F74" s="249"/>
      <c r="G74" s="249"/>
      <c r="H74" s="250"/>
      <c r="I74" s="250"/>
      <c r="J74" s="250"/>
    </row>
    <row r="75" spans="2:10" x14ac:dyDescent="0.2">
      <c r="B75" s="251" t="s">
        <v>1320</v>
      </c>
      <c r="C75" s="251" t="s">
        <v>320</v>
      </c>
      <c r="D75" s="251" t="s">
        <v>1484</v>
      </c>
      <c r="E75" s="251" t="s">
        <v>1485</v>
      </c>
      <c r="F75" s="251" t="s">
        <v>1486</v>
      </c>
      <c r="G75" s="251"/>
      <c r="H75" s="252"/>
      <c r="I75" s="252"/>
      <c r="J75" s="252"/>
    </row>
    <row r="76" spans="2:10" x14ac:dyDescent="0.2">
      <c r="B76" s="251" t="s">
        <v>1320</v>
      </c>
      <c r="C76" s="251" t="s">
        <v>314</v>
      </c>
      <c r="D76" s="251" t="s">
        <v>1487</v>
      </c>
      <c r="E76" s="251" t="s">
        <v>1488</v>
      </c>
      <c r="F76" s="251" t="s">
        <v>1486</v>
      </c>
      <c r="G76" s="251"/>
      <c r="H76" s="252"/>
      <c r="I76" s="252"/>
      <c r="J76" s="252"/>
    </row>
    <row r="77" spans="2:10" x14ac:dyDescent="0.2">
      <c r="B77" s="251" t="s">
        <v>1320</v>
      </c>
      <c r="C77" s="251" t="s">
        <v>315</v>
      </c>
      <c r="D77" s="251" t="s">
        <v>1489</v>
      </c>
      <c r="E77" s="251" t="s">
        <v>1488</v>
      </c>
      <c r="F77" s="251" t="s">
        <v>1486</v>
      </c>
      <c r="G77" s="251"/>
      <c r="H77" s="252"/>
      <c r="I77" s="252"/>
      <c r="J77" s="252"/>
    </row>
    <row r="78" spans="2:10" x14ac:dyDescent="0.2">
      <c r="B78" s="251" t="s">
        <v>1320</v>
      </c>
      <c r="C78" s="251" t="s">
        <v>316</v>
      </c>
      <c r="D78" s="251" t="s">
        <v>1490</v>
      </c>
      <c r="E78" s="251" t="s">
        <v>1488</v>
      </c>
      <c r="F78" s="251" t="s">
        <v>1486</v>
      </c>
      <c r="G78" s="251"/>
      <c r="H78" s="252"/>
      <c r="I78" s="252"/>
      <c r="J78" s="252"/>
    </row>
    <row r="79" spans="2:10" x14ac:dyDescent="0.2">
      <c r="B79" s="251" t="s">
        <v>1320</v>
      </c>
      <c r="C79" s="251" t="s">
        <v>272</v>
      </c>
      <c r="D79" s="251" t="s">
        <v>1491</v>
      </c>
      <c r="E79" s="251" t="s">
        <v>1488</v>
      </c>
      <c r="F79" s="251" t="s">
        <v>1486</v>
      </c>
      <c r="G79" s="251"/>
      <c r="H79" s="252"/>
      <c r="I79" s="252"/>
      <c r="J79" s="252"/>
    </row>
    <row r="80" spans="2:10" x14ac:dyDescent="0.2">
      <c r="B80" s="251" t="s">
        <v>1320</v>
      </c>
      <c r="C80" s="251" t="s">
        <v>273</v>
      </c>
      <c r="D80" s="251" t="s">
        <v>1492</v>
      </c>
      <c r="E80" s="251" t="s">
        <v>1488</v>
      </c>
      <c r="F80" s="251" t="s">
        <v>1486</v>
      </c>
      <c r="G80" s="251"/>
      <c r="H80" s="252"/>
      <c r="I80" s="252"/>
      <c r="J80" s="252"/>
    </row>
    <row r="81" spans="2:10" x14ac:dyDescent="0.2">
      <c r="B81" s="251" t="s">
        <v>1320</v>
      </c>
      <c r="C81" s="251" t="s">
        <v>318</v>
      </c>
      <c r="D81" s="251" t="s">
        <v>1493</v>
      </c>
      <c r="E81" s="251" t="s">
        <v>1488</v>
      </c>
      <c r="F81" s="251" t="s">
        <v>1486</v>
      </c>
      <c r="G81" s="251"/>
      <c r="H81" s="252"/>
      <c r="I81" s="252"/>
      <c r="J81" s="252"/>
    </row>
    <row r="82" spans="2:10" x14ac:dyDescent="0.2">
      <c r="B82" s="251" t="s">
        <v>1320</v>
      </c>
      <c r="C82" s="251" t="s">
        <v>319</v>
      </c>
      <c r="D82" s="251" t="s">
        <v>319</v>
      </c>
      <c r="E82" s="251" t="s">
        <v>1488</v>
      </c>
      <c r="F82" s="251" t="s">
        <v>1486</v>
      </c>
      <c r="G82" s="251"/>
      <c r="H82" s="252"/>
      <c r="I82" s="252"/>
      <c r="J82" s="252"/>
    </row>
    <row r="83" spans="2:10" x14ac:dyDescent="0.2">
      <c r="B83" s="251" t="s">
        <v>1320</v>
      </c>
      <c r="C83" s="251" t="s">
        <v>321</v>
      </c>
      <c r="D83" s="251" t="s">
        <v>1494</v>
      </c>
      <c r="E83" s="251" t="s">
        <v>1488</v>
      </c>
      <c r="F83" s="251" t="s">
        <v>1486</v>
      </c>
      <c r="G83" s="251"/>
      <c r="H83" s="252"/>
      <c r="I83" s="252"/>
      <c r="J83" s="252"/>
    </row>
    <row r="84" spans="2:10" x14ac:dyDescent="0.2">
      <c r="B84" s="251" t="s">
        <v>1320</v>
      </c>
      <c r="C84" s="251" t="s">
        <v>274</v>
      </c>
      <c r="D84" s="251" t="s">
        <v>1495</v>
      </c>
      <c r="E84" s="251" t="s">
        <v>1488</v>
      </c>
      <c r="F84" s="251" t="s">
        <v>1486</v>
      </c>
      <c r="G84" s="251"/>
      <c r="H84" s="252"/>
      <c r="I84" s="252"/>
      <c r="J84" s="252"/>
    </row>
    <row r="85" spans="2:10" x14ac:dyDescent="0.2">
      <c r="B85" s="251" t="s">
        <v>1320</v>
      </c>
      <c r="C85" s="251" t="s">
        <v>317</v>
      </c>
      <c r="D85" s="251" t="s">
        <v>1496</v>
      </c>
      <c r="E85" s="251" t="s">
        <v>1488</v>
      </c>
      <c r="F85" s="251" t="s">
        <v>1486</v>
      </c>
      <c r="G85" s="251"/>
      <c r="H85" s="252"/>
      <c r="I85" s="252"/>
      <c r="J85" s="252"/>
    </row>
    <row r="86" spans="2:10" x14ac:dyDescent="0.2">
      <c r="C86" s="241"/>
      <c r="D86" s="241"/>
    </row>
    <row r="87" spans="2:10" x14ac:dyDescent="0.2">
      <c r="C87" s="241"/>
      <c r="D87" s="241"/>
    </row>
    <row r="89" spans="2:10" x14ac:dyDescent="0.2">
      <c r="C89" s="241"/>
      <c r="D89" s="241"/>
    </row>
    <row r="90" spans="2:10" x14ac:dyDescent="0.2">
      <c r="C90" s="241"/>
      <c r="D90" s="241"/>
    </row>
    <row r="91" spans="2:10" x14ac:dyDescent="0.2">
      <c r="C91" s="241"/>
      <c r="D91" s="241"/>
    </row>
    <row r="92" spans="2:10" x14ac:dyDescent="0.2">
      <c r="C92" s="241"/>
      <c r="D92" s="241"/>
    </row>
    <row r="93" spans="2:10" x14ac:dyDescent="0.2">
      <c r="C93" s="241"/>
      <c r="D93" s="241"/>
    </row>
    <row r="94" spans="2:10" x14ac:dyDescent="0.2">
      <c r="C94" s="241"/>
      <c r="D94" s="241"/>
    </row>
    <row r="95" spans="2:10" x14ac:dyDescent="0.2">
      <c r="C95" s="241"/>
      <c r="D95" s="241"/>
    </row>
    <row r="96" spans="2:10" x14ac:dyDescent="0.2">
      <c r="C96" s="241"/>
      <c r="D96" s="241"/>
    </row>
    <row r="97" spans="3:4" x14ac:dyDescent="0.2">
      <c r="C97" s="241"/>
      <c r="D97" s="241"/>
    </row>
    <row r="98" spans="3:4" x14ac:dyDescent="0.2">
      <c r="C98" s="241"/>
      <c r="D98" s="241"/>
    </row>
    <row r="99" spans="3:4" x14ac:dyDescent="0.2">
      <c r="C99" s="241"/>
      <c r="D99" s="241"/>
    </row>
    <row r="100" spans="3:4" x14ac:dyDescent="0.2">
      <c r="C100" s="241"/>
      <c r="D100" s="241"/>
    </row>
    <row r="102" spans="3:4" x14ac:dyDescent="0.2">
      <c r="C102" s="241"/>
      <c r="D102" s="241"/>
    </row>
    <row r="103" spans="3:4" x14ac:dyDescent="0.2">
      <c r="C103" s="241"/>
      <c r="D103" s="241"/>
    </row>
    <row r="104" spans="3:4" x14ac:dyDescent="0.2">
      <c r="C104" s="241"/>
      <c r="D104" s="241"/>
    </row>
    <row r="105" spans="3:4" x14ac:dyDescent="0.2">
      <c r="C105" s="241"/>
      <c r="D105" s="241"/>
    </row>
    <row r="106" spans="3:4" x14ac:dyDescent="0.2">
      <c r="C106" s="241"/>
      <c r="D106" s="241"/>
    </row>
    <row r="107" spans="3:4" x14ac:dyDescent="0.2">
      <c r="C107" s="241"/>
      <c r="D107" s="241"/>
    </row>
    <row r="108" spans="3:4" x14ac:dyDescent="0.2">
      <c r="C108" s="241"/>
      <c r="D108" s="241"/>
    </row>
    <row r="109" spans="3:4" x14ac:dyDescent="0.2">
      <c r="C109" s="241"/>
      <c r="D109" s="241"/>
    </row>
    <row r="110" spans="3:4" x14ac:dyDescent="0.2">
      <c r="C110" s="241"/>
      <c r="D110" s="241"/>
    </row>
    <row r="111" spans="3:4" x14ac:dyDescent="0.2">
      <c r="C111" s="241"/>
      <c r="D111" s="241"/>
    </row>
    <row r="112" spans="3:4" x14ac:dyDescent="0.2">
      <c r="C112" s="241"/>
      <c r="D112" s="241"/>
    </row>
    <row r="113" spans="2:4" x14ac:dyDescent="0.2">
      <c r="C113" s="241"/>
      <c r="D113" s="241"/>
    </row>
    <row r="115" spans="2:4" x14ac:dyDescent="0.2">
      <c r="C115" s="241"/>
      <c r="D115" s="241"/>
    </row>
    <row r="116" spans="2:4" x14ac:dyDescent="0.2">
      <c r="C116" s="241"/>
      <c r="D116" s="241"/>
    </row>
    <row r="117" spans="2:4" x14ac:dyDescent="0.2">
      <c r="C117" s="241"/>
      <c r="D117" s="241"/>
    </row>
    <row r="118" spans="2:4" x14ac:dyDescent="0.2">
      <c r="C118" s="241"/>
      <c r="D118" s="241"/>
    </row>
    <row r="119" spans="2:4" x14ac:dyDescent="0.2">
      <c r="C119" s="241"/>
      <c r="D119" s="241"/>
    </row>
    <row r="120" spans="2:4" x14ac:dyDescent="0.2">
      <c r="C120" s="241"/>
      <c r="D120" s="241"/>
    </row>
    <row r="121" spans="2:4" x14ac:dyDescent="0.2">
      <c r="C121" s="241"/>
      <c r="D121" s="241"/>
    </row>
    <row r="122" spans="2:4" x14ac:dyDescent="0.2">
      <c r="C122" s="241"/>
      <c r="D122" s="241"/>
    </row>
    <row r="123" spans="2:4" x14ac:dyDescent="0.2">
      <c r="C123" s="241"/>
      <c r="D123" s="241"/>
    </row>
    <row r="124" spans="2:4" x14ac:dyDescent="0.2">
      <c r="C124" s="241"/>
      <c r="D124" s="241"/>
    </row>
    <row r="125" spans="2:4" x14ac:dyDescent="0.2">
      <c r="C125" s="241"/>
      <c r="D125" s="241"/>
    </row>
    <row r="126" spans="2:4" x14ac:dyDescent="0.2">
      <c r="C126" s="241"/>
      <c r="D126" s="241"/>
    </row>
    <row r="128" spans="2:4" x14ac:dyDescent="0.2">
      <c r="B128" s="238"/>
      <c r="C128" s="241"/>
      <c r="D128" s="241"/>
    </row>
    <row r="129" spans="4:4" x14ac:dyDescent="0.2">
      <c r="D129" s="241"/>
    </row>
    <row r="130" spans="4:4" x14ac:dyDescent="0.2">
      <c r="D130" s="241"/>
    </row>
    <row r="131" spans="4:4" x14ac:dyDescent="0.2">
      <c r="D131" s="241"/>
    </row>
    <row r="132" spans="4:4" x14ac:dyDescent="0.2">
      <c r="D132" s="241"/>
    </row>
    <row r="133" spans="4:4" x14ac:dyDescent="0.2">
      <c r="D133" s="241"/>
    </row>
    <row r="134" spans="4:4" x14ac:dyDescent="0.2">
      <c r="D134" s="241"/>
    </row>
    <row r="135" spans="4:4" x14ac:dyDescent="0.2">
      <c r="D135" s="241"/>
    </row>
    <row r="136" spans="4:4" x14ac:dyDescent="0.2">
      <c r="D136" s="241"/>
    </row>
    <row r="137" spans="4:4" x14ac:dyDescent="0.2">
      <c r="D137" s="241"/>
    </row>
    <row r="138" spans="4:4" x14ac:dyDescent="0.2">
      <c r="D138" s="241"/>
    </row>
    <row r="139" spans="4:4" x14ac:dyDescent="0.2">
      <c r="D139" s="241"/>
    </row>
    <row r="140" spans="4:4" x14ac:dyDescent="0.2">
      <c r="D140" s="241"/>
    </row>
    <row r="141" spans="4:4" x14ac:dyDescent="0.2">
      <c r="D141" s="241"/>
    </row>
    <row r="142" spans="4:4" x14ac:dyDescent="0.2">
      <c r="D142" s="241"/>
    </row>
    <row r="143" spans="4:4" x14ac:dyDescent="0.2">
      <c r="D143" s="241"/>
    </row>
    <row r="144" spans="4:4" x14ac:dyDescent="0.2">
      <c r="D144" s="241"/>
    </row>
    <row r="145" spans="4:4" x14ac:dyDescent="0.2">
      <c r="D145" s="241"/>
    </row>
    <row r="146" spans="4:4" x14ac:dyDescent="0.2">
      <c r="D146" s="241"/>
    </row>
    <row r="147" spans="4:4" x14ac:dyDescent="0.2">
      <c r="D147" s="241"/>
    </row>
    <row r="148" spans="4:4" x14ac:dyDescent="0.2">
      <c r="D148" s="241"/>
    </row>
    <row r="149" spans="4:4" x14ac:dyDescent="0.2">
      <c r="D149" s="241"/>
    </row>
    <row r="150" spans="4:4" x14ac:dyDescent="0.2">
      <c r="D150" s="241"/>
    </row>
    <row r="151" spans="4:4" x14ac:dyDescent="0.2">
      <c r="D151" s="241"/>
    </row>
    <row r="152" spans="4:4" x14ac:dyDescent="0.2">
      <c r="D152" s="241"/>
    </row>
    <row r="153" spans="4:4" x14ac:dyDescent="0.2">
      <c r="D153" s="241"/>
    </row>
    <row r="154" spans="4:4" x14ac:dyDescent="0.2">
      <c r="D154" s="241"/>
    </row>
    <row r="155" spans="4:4" x14ac:dyDescent="0.2">
      <c r="D155" s="241"/>
    </row>
    <row r="156" spans="4:4" x14ac:dyDescent="0.2">
      <c r="D156" s="241"/>
    </row>
    <row r="157" spans="4:4" x14ac:dyDescent="0.2">
      <c r="D157" s="241"/>
    </row>
    <row r="158" spans="4:4" x14ac:dyDescent="0.2">
      <c r="D158" s="241"/>
    </row>
    <row r="159" spans="4:4" x14ac:dyDescent="0.2">
      <c r="D159" s="241"/>
    </row>
    <row r="160" spans="4:4" x14ac:dyDescent="0.2">
      <c r="D160" s="241"/>
    </row>
    <row r="161" spans="4:4" x14ac:dyDescent="0.2">
      <c r="D161" s="241"/>
    </row>
    <row r="162" spans="4:4" x14ac:dyDescent="0.2">
      <c r="D162" s="241"/>
    </row>
    <row r="163" spans="4:4" x14ac:dyDescent="0.2">
      <c r="D163" s="241"/>
    </row>
    <row r="164" spans="4:4" x14ac:dyDescent="0.2">
      <c r="D164" s="241"/>
    </row>
    <row r="165" spans="4:4" x14ac:dyDescent="0.2">
      <c r="D165" s="241"/>
    </row>
    <row r="166" spans="4:4" x14ac:dyDescent="0.2">
      <c r="D166" s="241"/>
    </row>
    <row r="167" spans="4:4" x14ac:dyDescent="0.2">
      <c r="D167" s="241"/>
    </row>
    <row r="168" spans="4:4" x14ac:dyDescent="0.2">
      <c r="D168" s="241"/>
    </row>
    <row r="169" spans="4:4" x14ac:dyDescent="0.2">
      <c r="D169" s="241"/>
    </row>
    <row r="170" spans="4:4" x14ac:dyDescent="0.2">
      <c r="D170" s="241"/>
    </row>
    <row r="171" spans="4:4" x14ac:dyDescent="0.2">
      <c r="D171" s="241"/>
    </row>
    <row r="172" spans="4:4" x14ac:dyDescent="0.2">
      <c r="D172" s="241"/>
    </row>
    <row r="173" spans="4:4" x14ac:dyDescent="0.2">
      <c r="D173" s="241"/>
    </row>
    <row r="174" spans="4:4" x14ac:dyDescent="0.2">
      <c r="D174" s="241"/>
    </row>
    <row r="175" spans="4:4" x14ac:dyDescent="0.2">
      <c r="D175" s="241"/>
    </row>
    <row r="176" spans="4:4" x14ac:dyDescent="0.2">
      <c r="D176" s="241"/>
    </row>
    <row r="177" spans="4:4" x14ac:dyDescent="0.2">
      <c r="D177" s="241"/>
    </row>
    <row r="178" spans="4:4" x14ac:dyDescent="0.2">
      <c r="D178" s="241"/>
    </row>
    <row r="179" spans="4:4" x14ac:dyDescent="0.2">
      <c r="D179" s="241"/>
    </row>
    <row r="180" spans="4:4" x14ac:dyDescent="0.2">
      <c r="D180" s="241"/>
    </row>
    <row r="181" spans="4:4" x14ac:dyDescent="0.2">
      <c r="D181" s="241"/>
    </row>
    <row r="182" spans="4:4" x14ac:dyDescent="0.2">
      <c r="D182" s="241"/>
    </row>
    <row r="183" spans="4:4" x14ac:dyDescent="0.2">
      <c r="D183" s="241"/>
    </row>
    <row r="184" spans="4:4" x14ac:dyDescent="0.2">
      <c r="D184" s="241"/>
    </row>
    <row r="185" spans="4:4" x14ac:dyDescent="0.2">
      <c r="D185" s="241"/>
    </row>
    <row r="186" spans="4:4" x14ac:dyDescent="0.2">
      <c r="D186" s="241"/>
    </row>
    <row r="187" spans="4:4" x14ac:dyDescent="0.2">
      <c r="D187" s="241"/>
    </row>
    <row r="188" spans="4:4" x14ac:dyDescent="0.2">
      <c r="D188" s="241"/>
    </row>
    <row r="189" spans="4:4" x14ac:dyDescent="0.2">
      <c r="D189" s="241"/>
    </row>
    <row r="190" spans="4:4" x14ac:dyDescent="0.2">
      <c r="D190" s="241"/>
    </row>
    <row r="191" spans="4:4" x14ac:dyDescent="0.2">
      <c r="D191" s="241"/>
    </row>
    <row r="192" spans="4:4" x14ac:dyDescent="0.2">
      <c r="D192" s="241"/>
    </row>
    <row r="193" spans="2:4" x14ac:dyDescent="0.2">
      <c r="D193" s="241"/>
    </row>
    <row r="194" spans="2:4" x14ac:dyDescent="0.2">
      <c r="D194" s="241"/>
    </row>
    <row r="195" spans="2:4" x14ac:dyDescent="0.2">
      <c r="D195" s="241"/>
    </row>
    <row r="196" spans="2:4" x14ac:dyDescent="0.2">
      <c r="D196" s="241"/>
    </row>
    <row r="197" spans="2:4" x14ac:dyDescent="0.2">
      <c r="D197" s="241"/>
    </row>
    <row r="198" spans="2:4" x14ac:dyDescent="0.2">
      <c r="D198" s="241"/>
    </row>
    <row r="199" spans="2:4" x14ac:dyDescent="0.2">
      <c r="D199" s="241"/>
    </row>
    <row r="200" spans="2:4" x14ac:dyDescent="0.2">
      <c r="D200" s="241"/>
    </row>
    <row r="201" spans="2:4" x14ac:dyDescent="0.2">
      <c r="D201" s="241"/>
    </row>
    <row r="202" spans="2:4" x14ac:dyDescent="0.2">
      <c r="D202" s="241"/>
    </row>
    <row r="203" spans="2:4" x14ac:dyDescent="0.2">
      <c r="D203" s="241"/>
    </row>
    <row r="204" spans="2:4" x14ac:dyDescent="0.2">
      <c r="D204" s="241"/>
    </row>
    <row r="205" spans="2:4" x14ac:dyDescent="0.2">
      <c r="D205" s="241"/>
    </row>
    <row r="206" spans="2:4" x14ac:dyDescent="0.2">
      <c r="D206" s="241"/>
    </row>
    <row r="207" spans="2:4" x14ac:dyDescent="0.2">
      <c r="B207" s="238"/>
      <c r="D207" s="241"/>
    </row>
    <row r="208" spans="2:4" x14ac:dyDescent="0.2">
      <c r="D208" s="241"/>
    </row>
    <row r="209" spans="4:4" x14ac:dyDescent="0.2">
      <c r="D209" s="241"/>
    </row>
    <row r="210" spans="4:4" x14ac:dyDescent="0.2">
      <c r="D210" s="241"/>
    </row>
    <row r="211" spans="4:4" x14ac:dyDescent="0.2">
      <c r="D211" s="241"/>
    </row>
    <row r="212" spans="4:4" x14ac:dyDescent="0.2">
      <c r="D212" s="241"/>
    </row>
    <row r="213" spans="4:4" x14ac:dyDescent="0.2">
      <c r="D213" s="241"/>
    </row>
    <row r="214" spans="4:4" x14ac:dyDescent="0.2">
      <c r="D214" s="241"/>
    </row>
    <row r="215" spans="4:4" x14ac:dyDescent="0.2">
      <c r="D215" s="241"/>
    </row>
    <row r="216" spans="4:4" x14ac:dyDescent="0.2">
      <c r="D216" s="241"/>
    </row>
    <row r="217" spans="4:4" x14ac:dyDescent="0.2">
      <c r="D217" s="241"/>
    </row>
    <row r="218" spans="4:4" x14ac:dyDescent="0.2">
      <c r="D218" s="241"/>
    </row>
    <row r="219" spans="4:4" x14ac:dyDescent="0.2">
      <c r="D219" s="241"/>
    </row>
    <row r="220" spans="4:4" x14ac:dyDescent="0.2">
      <c r="D220" s="241"/>
    </row>
    <row r="221" spans="4:4" x14ac:dyDescent="0.2">
      <c r="D221" s="241"/>
    </row>
    <row r="222" spans="4:4" x14ac:dyDescent="0.2">
      <c r="D222" s="241"/>
    </row>
    <row r="223" spans="4:4" x14ac:dyDescent="0.2">
      <c r="D223" s="241"/>
    </row>
    <row r="224" spans="4:4" x14ac:dyDescent="0.2">
      <c r="D224" s="241"/>
    </row>
    <row r="225" spans="4:4" x14ac:dyDescent="0.2">
      <c r="D225" s="241"/>
    </row>
    <row r="226" spans="4:4" x14ac:dyDescent="0.2">
      <c r="D226" s="241"/>
    </row>
    <row r="227" spans="4:4" x14ac:dyDescent="0.2">
      <c r="D227" s="241"/>
    </row>
    <row r="228" spans="4:4" x14ac:dyDescent="0.2">
      <c r="D228" s="241"/>
    </row>
    <row r="229" spans="4:4" x14ac:dyDescent="0.2">
      <c r="D229" s="241"/>
    </row>
    <row r="230" spans="4:4" x14ac:dyDescent="0.2">
      <c r="D230" s="241"/>
    </row>
    <row r="231" spans="4:4" x14ac:dyDescent="0.2">
      <c r="D231" s="241"/>
    </row>
    <row r="232" spans="4:4" x14ac:dyDescent="0.2">
      <c r="D232" s="241"/>
    </row>
    <row r="233" spans="4:4" x14ac:dyDescent="0.2">
      <c r="D233" s="241"/>
    </row>
    <row r="234" spans="4:4" x14ac:dyDescent="0.2">
      <c r="D234" s="241"/>
    </row>
    <row r="235" spans="4:4" x14ac:dyDescent="0.2">
      <c r="D235" s="241"/>
    </row>
    <row r="236" spans="4:4" x14ac:dyDescent="0.2">
      <c r="D236" s="241"/>
    </row>
    <row r="237" spans="4:4" x14ac:dyDescent="0.2">
      <c r="D237" s="241"/>
    </row>
    <row r="238" spans="4:4" x14ac:dyDescent="0.2">
      <c r="D238" s="241"/>
    </row>
    <row r="239" spans="4:4" x14ac:dyDescent="0.2">
      <c r="D239" s="241"/>
    </row>
    <row r="240" spans="4:4" x14ac:dyDescent="0.2">
      <c r="D240" s="241"/>
    </row>
    <row r="241" spans="4:4" x14ac:dyDescent="0.2">
      <c r="D241" s="241"/>
    </row>
    <row r="242" spans="4:4" x14ac:dyDescent="0.2">
      <c r="D242" s="241"/>
    </row>
    <row r="243" spans="4:4" x14ac:dyDescent="0.2">
      <c r="D243" s="241"/>
    </row>
    <row r="244" spans="4:4" x14ac:dyDescent="0.2">
      <c r="D244" s="241"/>
    </row>
    <row r="245" spans="4:4" x14ac:dyDescent="0.2">
      <c r="D245" s="241"/>
    </row>
    <row r="246" spans="4:4" x14ac:dyDescent="0.2">
      <c r="D246" s="241"/>
    </row>
    <row r="247" spans="4:4" x14ac:dyDescent="0.2">
      <c r="D247" s="241"/>
    </row>
    <row r="248" spans="4:4" x14ac:dyDescent="0.2">
      <c r="D248" s="241"/>
    </row>
    <row r="249" spans="4:4" x14ac:dyDescent="0.2">
      <c r="D249" s="241"/>
    </row>
    <row r="250" spans="4:4" x14ac:dyDescent="0.2">
      <c r="D250" s="241"/>
    </row>
    <row r="251" spans="4:4" x14ac:dyDescent="0.2">
      <c r="D251" s="241"/>
    </row>
    <row r="252" spans="4:4" x14ac:dyDescent="0.2">
      <c r="D252" s="241"/>
    </row>
    <row r="253" spans="4:4" x14ac:dyDescent="0.2">
      <c r="D253" s="241"/>
    </row>
    <row r="254" spans="4:4" x14ac:dyDescent="0.2">
      <c r="D254" s="241"/>
    </row>
    <row r="255" spans="4:4" x14ac:dyDescent="0.2">
      <c r="D255" s="241"/>
    </row>
    <row r="256" spans="4:4" x14ac:dyDescent="0.2">
      <c r="D256" s="241"/>
    </row>
    <row r="257" spans="4:4" x14ac:dyDescent="0.2">
      <c r="D257" s="241"/>
    </row>
    <row r="258" spans="4:4" x14ac:dyDescent="0.2">
      <c r="D258" s="241"/>
    </row>
    <row r="259" spans="4:4" x14ac:dyDescent="0.2">
      <c r="D259" s="241"/>
    </row>
    <row r="260" spans="4:4" x14ac:dyDescent="0.2">
      <c r="D260" s="241"/>
    </row>
    <row r="261" spans="4:4" x14ac:dyDescent="0.2">
      <c r="D261" s="241"/>
    </row>
    <row r="262" spans="4:4" x14ac:dyDescent="0.2">
      <c r="D262" s="241"/>
    </row>
    <row r="263" spans="4:4" x14ac:dyDescent="0.2">
      <c r="D263" s="241"/>
    </row>
    <row r="264" spans="4:4" x14ac:dyDescent="0.2">
      <c r="D264" s="241"/>
    </row>
    <row r="265" spans="4:4" x14ac:dyDescent="0.2">
      <c r="D265" s="241"/>
    </row>
    <row r="266" spans="4:4" x14ac:dyDescent="0.2">
      <c r="D266" s="241"/>
    </row>
    <row r="267" spans="4:4" x14ac:dyDescent="0.2">
      <c r="D267" s="241"/>
    </row>
    <row r="268" spans="4:4" x14ac:dyDescent="0.2">
      <c r="D268" s="241"/>
    </row>
    <row r="269" spans="4:4" x14ac:dyDescent="0.2">
      <c r="D269" s="241"/>
    </row>
    <row r="270" spans="4:4" x14ac:dyDescent="0.2">
      <c r="D270" s="241"/>
    </row>
    <row r="271" spans="4:4" x14ac:dyDescent="0.2">
      <c r="D271" s="241"/>
    </row>
    <row r="272" spans="4:4" x14ac:dyDescent="0.2">
      <c r="D272" s="241"/>
    </row>
    <row r="273" spans="4:4" x14ac:dyDescent="0.2">
      <c r="D273" s="241"/>
    </row>
    <row r="274" spans="4:4" x14ac:dyDescent="0.2">
      <c r="D274" s="241"/>
    </row>
    <row r="275" spans="4:4" x14ac:dyDescent="0.2">
      <c r="D275" s="241"/>
    </row>
    <row r="276" spans="4:4" x14ac:dyDescent="0.2">
      <c r="D276" s="241"/>
    </row>
    <row r="277" spans="4:4" x14ac:dyDescent="0.2">
      <c r="D277" s="241"/>
    </row>
    <row r="278" spans="4:4" x14ac:dyDescent="0.2">
      <c r="D278" s="241"/>
    </row>
    <row r="279" spans="4:4" x14ac:dyDescent="0.2">
      <c r="D279" s="241"/>
    </row>
    <row r="280" spans="4:4" x14ac:dyDescent="0.2">
      <c r="D280" s="241"/>
    </row>
    <row r="281" spans="4:4" x14ac:dyDescent="0.2">
      <c r="D281" s="241"/>
    </row>
    <row r="282" spans="4:4" x14ac:dyDescent="0.2">
      <c r="D282" s="241"/>
    </row>
    <row r="283" spans="4:4" x14ac:dyDescent="0.2">
      <c r="D283" s="241"/>
    </row>
    <row r="284" spans="4:4" x14ac:dyDescent="0.2">
      <c r="D284" s="241"/>
    </row>
    <row r="285" spans="4:4" x14ac:dyDescent="0.2">
      <c r="D285" s="241"/>
    </row>
    <row r="286" spans="4:4" x14ac:dyDescent="0.2">
      <c r="D286" s="241"/>
    </row>
    <row r="287" spans="4:4" x14ac:dyDescent="0.2">
      <c r="D287" s="241"/>
    </row>
    <row r="288" spans="4:4" x14ac:dyDescent="0.2">
      <c r="D288" s="241"/>
    </row>
    <row r="289" spans="2:4" x14ac:dyDescent="0.2">
      <c r="D289" s="241"/>
    </row>
    <row r="290" spans="2:4" x14ac:dyDescent="0.2">
      <c r="D290" s="241"/>
    </row>
    <row r="291" spans="2:4" x14ac:dyDescent="0.2">
      <c r="D291" s="241"/>
    </row>
    <row r="292" spans="2:4" x14ac:dyDescent="0.2">
      <c r="D292" s="241"/>
    </row>
    <row r="293" spans="2:4" x14ac:dyDescent="0.2">
      <c r="D293" s="241"/>
    </row>
    <row r="294" spans="2:4" x14ac:dyDescent="0.2">
      <c r="D294" s="241"/>
    </row>
    <row r="295" spans="2:4" x14ac:dyDescent="0.2">
      <c r="D295" s="241"/>
    </row>
    <row r="296" spans="2:4" x14ac:dyDescent="0.2">
      <c r="D296" s="241"/>
    </row>
    <row r="297" spans="2:4" x14ac:dyDescent="0.2">
      <c r="D297" s="241"/>
    </row>
    <row r="298" spans="2:4" x14ac:dyDescent="0.2">
      <c r="D298" s="241"/>
    </row>
    <row r="299" spans="2:4" x14ac:dyDescent="0.2">
      <c r="B299" s="238"/>
    </row>
    <row r="317" spans="3:3" x14ac:dyDescent="0.2">
      <c r="C317" s="242"/>
    </row>
    <row r="324" spans="2:6" x14ac:dyDescent="0.2">
      <c r="B324" s="238"/>
    </row>
    <row r="325" spans="2:6" x14ac:dyDescent="0.2">
      <c r="E325" s="238"/>
      <c r="F325" s="238"/>
    </row>
    <row r="334" spans="2:6" x14ac:dyDescent="0.2">
      <c r="B334" s="238"/>
    </row>
  </sheetData>
  <phoneticPr fontId="0" type="noConversion"/>
  <pageMargins left="0.75" right="0.75" top="1" bottom="1" header="0.5" footer="0.5"/>
  <pageSetup paperSize="9" orientation="portrait" horizont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138</v>
      </c>
      <c r="B1" s="2"/>
    </row>
    <row r="4" spans="1:12" ht="18" customHeight="1" x14ac:dyDescent="0.2"/>
    <row r="7" spans="1:12" x14ac:dyDescent="0.2">
      <c r="B7" s="1" t="s">
        <v>130</v>
      </c>
      <c r="C7" s="1" t="s">
        <v>131</v>
      </c>
      <c r="D7" s="1" t="s">
        <v>125</v>
      </c>
      <c r="E7" s="1" t="s">
        <v>126</v>
      </c>
      <c r="F7" s="1" t="s">
        <v>127</v>
      </c>
      <c r="G7" s="1" t="s">
        <v>124</v>
      </c>
    </row>
    <row r="8" spans="1:12" x14ac:dyDescent="0.2">
      <c r="B8" s="1"/>
      <c r="C8" s="1"/>
      <c r="D8" s="1"/>
      <c r="E8" s="1"/>
      <c r="F8" s="1"/>
      <c r="G8" s="1"/>
    </row>
    <row r="9" spans="1:12" x14ac:dyDescent="0.2">
      <c r="D9" s="3"/>
      <c r="E9" s="3"/>
      <c r="F9" s="3"/>
    </row>
    <row r="10" spans="1:12" x14ac:dyDescent="0.2">
      <c r="F10" s="3"/>
    </row>
    <row r="11" spans="1:12" x14ac:dyDescent="0.2">
      <c r="B11" s="1"/>
      <c r="C11" s="1"/>
      <c r="D11" s="12"/>
      <c r="E11" s="12"/>
    </row>
    <row r="12" spans="1:12" x14ac:dyDescent="0.2">
      <c r="B12" s="8"/>
      <c r="C12" s="3"/>
      <c r="F12" s="12"/>
    </row>
    <row r="13" spans="1:12" x14ac:dyDescent="0.2">
      <c r="B13" s="3"/>
      <c r="C13" s="3"/>
    </row>
    <row r="14" spans="1:12" x14ac:dyDescent="0.2">
      <c r="B14" s="3"/>
      <c r="C14" s="3"/>
      <c r="D14" s="6"/>
      <c r="F14" s="3"/>
      <c r="L14" s="5"/>
    </row>
    <row r="15" spans="1:12" x14ac:dyDescent="0.2">
      <c r="B15" s="3"/>
      <c r="C15" s="3"/>
      <c r="E15" s="6"/>
      <c r="F15" s="3"/>
    </row>
    <row r="16" spans="1:12" x14ac:dyDescent="0.2">
      <c r="B16" s="3"/>
      <c r="C16" s="3"/>
      <c r="F16" s="3"/>
    </row>
    <row r="17" spans="2:6" x14ac:dyDescent="0.2">
      <c r="D17" s="6"/>
    </row>
    <row r="18" spans="2:6" x14ac:dyDescent="0.2">
      <c r="E18" s="6"/>
    </row>
    <row r="20" spans="2:6" x14ac:dyDescent="0.2">
      <c r="B20" s="3"/>
      <c r="C20" s="3"/>
      <c r="F20" s="9"/>
    </row>
    <row r="21" spans="2:6" x14ac:dyDescent="0.2">
      <c r="B21" s="3"/>
      <c r="C21" s="3"/>
    </row>
    <row r="22" spans="2:6" x14ac:dyDescent="0.2">
      <c r="B22" s="3"/>
      <c r="C22" s="3"/>
      <c r="D22" s="3"/>
      <c r="E22" s="3"/>
      <c r="F22" s="3"/>
    </row>
    <row r="23" spans="2:6" x14ac:dyDescent="0.2">
      <c r="B23" s="3"/>
      <c r="C23" s="3"/>
    </row>
    <row r="24" spans="2:6" x14ac:dyDescent="0.2">
      <c r="B24" s="3"/>
      <c r="C24" s="3"/>
    </row>
    <row r="25" spans="2:6" x14ac:dyDescent="0.2">
      <c r="D25" s="6"/>
      <c r="E25" s="6"/>
    </row>
    <row r="26" spans="2:6" x14ac:dyDescent="0.2">
      <c r="F26" s="3"/>
    </row>
    <row r="27" spans="2:6" x14ac:dyDescent="0.2">
      <c r="B27" s="4"/>
      <c r="C27" s="3"/>
      <c r="D27" s="6"/>
      <c r="E27" s="6"/>
    </row>
    <row r="28" spans="2:6" x14ac:dyDescent="0.2">
      <c r="B28" s="3"/>
      <c r="C28" s="3"/>
      <c r="D28" s="9"/>
      <c r="E28" s="3"/>
      <c r="F28" s="3"/>
    </row>
    <row r="29" spans="2:6" x14ac:dyDescent="0.2">
      <c r="B29" s="3"/>
      <c r="C29" s="3"/>
    </row>
    <row r="30" spans="2:6" x14ac:dyDescent="0.2">
      <c r="B30" s="3"/>
      <c r="C30" s="3"/>
    </row>
    <row r="31" spans="2:6" x14ac:dyDescent="0.2">
      <c r="B31" s="3"/>
      <c r="C31" s="3"/>
    </row>
    <row r="32" spans="2:6" x14ac:dyDescent="0.2">
      <c r="B32" s="3"/>
      <c r="C32" s="3"/>
    </row>
    <row r="33" spans="2:6" x14ac:dyDescent="0.2">
      <c r="B33" s="3"/>
      <c r="C33" s="3"/>
    </row>
    <row r="37" spans="2:6" x14ac:dyDescent="0.2">
      <c r="B37" s="3"/>
      <c r="C37" s="3"/>
      <c r="F37" s="3"/>
    </row>
    <row r="38" spans="2:6" x14ac:dyDescent="0.2">
      <c r="B38" s="4"/>
      <c r="C38"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1025" r:id="rId12" name="cmdTechnologySets"/>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C000"/>
  </sheetPr>
  <dimension ref="B1:O256"/>
  <sheetViews>
    <sheetView zoomScale="82" zoomScaleNormal="82" workbookViewId="0">
      <pane xSplit="4" ySplit="7" topLeftCell="E84" activePane="bottomRight" state="frozen"/>
      <selection activeCell="N56" sqref="N56"/>
      <selection pane="topRight" activeCell="N56" sqref="N56"/>
      <selection pane="bottomLeft" activeCell="N56" sqref="N56"/>
      <selection pane="bottomRight" activeCell="A6" sqref="A6:XFD7"/>
    </sheetView>
  </sheetViews>
  <sheetFormatPr defaultColWidth="9.140625" defaultRowHeight="12.75" x14ac:dyDescent="0.2"/>
  <cols>
    <col min="1" max="1" width="9.140625" style="246"/>
    <col min="2" max="2" width="22.5703125" style="246" customWidth="1"/>
    <col min="3" max="3" width="13.28515625" style="246" customWidth="1"/>
    <col min="4" max="4" width="66" style="246" customWidth="1"/>
    <col min="5" max="5" width="9.7109375" style="246" customWidth="1"/>
    <col min="6" max="6" width="9.85546875" style="246" customWidth="1"/>
    <col min="7" max="7" width="30.42578125" style="246" customWidth="1"/>
    <col min="8" max="8" width="10.42578125" style="246" customWidth="1"/>
    <col min="9" max="16384" width="9.140625" style="246"/>
  </cols>
  <sheetData>
    <row r="1" spans="2:15" x14ac:dyDescent="0.2">
      <c r="B1" s="245" t="s">
        <v>192</v>
      </c>
      <c r="C1" s="246" t="s">
        <v>1350</v>
      </c>
    </row>
    <row r="4" spans="2:15" ht="18" customHeight="1" x14ac:dyDescent="0.2"/>
    <row r="6" spans="2:15" customFormat="1" x14ac:dyDescent="0.2">
      <c r="B6" s="243" t="s">
        <v>1589</v>
      </c>
    </row>
    <row r="7" spans="2:15" customFormat="1" x14ac:dyDescent="0.2">
      <c r="B7" s="244" t="s">
        <v>47</v>
      </c>
      <c r="C7" s="244" t="s">
        <v>130</v>
      </c>
      <c r="D7" s="244" t="s">
        <v>131</v>
      </c>
      <c r="E7" s="247" t="s">
        <v>1590</v>
      </c>
      <c r="F7" s="247" t="s">
        <v>1591</v>
      </c>
      <c r="G7" s="244" t="s">
        <v>1592</v>
      </c>
      <c r="H7" s="247" t="s">
        <v>1593</v>
      </c>
      <c r="I7" s="247" t="s">
        <v>1594</v>
      </c>
      <c r="O7" s="244" t="s">
        <v>124</v>
      </c>
    </row>
    <row r="8" spans="2:15" x14ac:dyDescent="0.2">
      <c r="B8" s="251" t="s">
        <v>1320</v>
      </c>
      <c r="C8" s="251" t="s">
        <v>0</v>
      </c>
      <c r="D8" s="251" t="s">
        <v>201</v>
      </c>
      <c r="E8" s="251" t="s">
        <v>144</v>
      </c>
      <c r="F8" s="251" t="s">
        <v>193</v>
      </c>
      <c r="G8" s="251" t="s">
        <v>1597</v>
      </c>
      <c r="H8" s="251"/>
      <c r="I8" s="253"/>
    </row>
    <row r="9" spans="2:15" x14ac:dyDescent="0.2">
      <c r="B9" s="251" t="s">
        <v>1320</v>
      </c>
      <c r="C9" s="251" t="s">
        <v>1</v>
      </c>
      <c r="D9" s="251" t="s">
        <v>202</v>
      </c>
      <c r="E9" s="251" t="s">
        <v>144</v>
      </c>
      <c r="F9" s="251" t="s">
        <v>193</v>
      </c>
      <c r="G9" s="251"/>
      <c r="H9" s="251"/>
      <c r="I9" s="253"/>
    </row>
    <row r="10" spans="2:15" x14ac:dyDescent="0.2">
      <c r="B10" s="251" t="s">
        <v>1320</v>
      </c>
      <c r="C10" s="251" t="s">
        <v>2</v>
      </c>
      <c r="D10" s="251" t="s">
        <v>203</v>
      </c>
      <c r="E10" s="251" t="s">
        <v>144</v>
      </c>
      <c r="F10" s="251" t="s">
        <v>193</v>
      </c>
      <c r="G10" s="251"/>
      <c r="H10" s="251"/>
      <c r="I10" s="253"/>
    </row>
    <row r="11" spans="2:15" x14ac:dyDescent="0.2">
      <c r="B11" s="251" t="s">
        <v>1320</v>
      </c>
      <c r="C11" s="251" t="s">
        <v>3</v>
      </c>
      <c r="D11" s="251" t="s">
        <v>204</v>
      </c>
      <c r="E11" s="251" t="s">
        <v>144</v>
      </c>
      <c r="F11" s="251" t="s">
        <v>193</v>
      </c>
      <c r="G11" s="251"/>
      <c r="H11" s="251"/>
      <c r="I11" s="253"/>
    </row>
    <row r="12" spans="2:15" x14ac:dyDescent="0.2">
      <c r="B12" s="251" t="s">
        <v>1320</v>
      </c>
      <c r="C12" s="251" t="s">
        <v>4</v>
      </c>
      <c r="D12" s="251" t="s">
        <v>205</v>
      </c>
      <c r="E12" s="251" t="s">
        <v>144</v>
      </c>
      <c r="F12" s="251" t="s">
        <v>193</v>
      </c>
      <c r="G12" s="251"/>
      <c r="H12" s="251"/>
      <c r="I12" s="253"/>
    </row>
    <row r="13" spans="2:15" x14ac:dyDescent="0.2">
      <c r="B13" s="251" t="s">
        <v>1320</v>
      </c>
      <c r="C13" s="251" t="s">
        <v>5</v>
      </c>
      <c r="D13" s="251" t="s">
        <v>206</v>
      </c>
      <c r="E13" s="251" t="s">
        <v>144</v>
      </c>
      <c r="F13" s="251" t="s">
        <v>193</v>
      </c>
      <c r="G13" s="251"/>
      <c r="H13" s="251"/>
      <c r="I13" s="253"/>
    </row>
    <row r="14" spans="2:15" x14ac:dyDescent="0.2">
      <c r="B14" s="251" t="s">
        <v>1320</v>
      </c>
      <c r="C14" s="251" t="s">
        <v>207</v>
      </c>
      <c r="D14" s="251" t="s">
        <v>208</v>
      </c>
      <c r="E14" s="251" t="s">
        <v>144</v>
      </c>
      <c r="F14" s="251" t="s">
        <v>193</v>
      </c>
      <c r="G14" s="251" t="s">
        <v>1598</v>
      </c>
      <c r="H14" s="251"/>
      <c r="I14" s="253"/>
    </row>
    <row r="15" spans="2:15" x14ac:dyDescent="0.2">
      <c r="B15" s="251" t="s">
        <v>160</v>
      </c>
      <c r="C15" s="251" t="s">
        <v>1545</v>
      </c>
      <c r="D15" s="251" t="s">
        <v>1546</v>
      </c>
      <c r="E15" s="251" t="s">
        <v>144</v>
      </c>
      <c r="F15" s="251" t="s">
        <v>193</v>
      </c>
      <c r="G15" s="251" t="s">
        <v>1597</v>
      </c>
      <c r="H15" s="251"/>
      <c r="I15" s="253"/>
    </row>
    <row r="16" spans="2:15" x14ac:dyDescent="0.2">
      <c r="B16" s="251" t="s">
        <v>160</v>
      </c>
      <c r="C16" s="251" t="s">
        <v>1358</v>
      </c>
      <c r="D16" s="251" t="s">
        <v>1330</v>
      </c>
      <c r="E16" s="251" t="s">
        <v>144</v>
      </c>
      <c r="F16" s="251" t="s">
        <v>193</v>
      </c>
      <c r="G16" s="251" t="s">
        <v>1598</v>
      </c>
      <c r="H16" s="251"/>
      <c r="I16" s="253"/>
    </row>
    <row r="17" spans="2:9" x14ac:dyDescent="0.2">
      <c r="B17" s="251" t="s">
        <v>168</v>
      </c>
      <c r="C17" s="251" t="s">
        <v>581</v>
      </c>
      <c r="D17" s="251" t="s">
        <v>586</v>
      </c>
      <c r="E17" s="251" t="s">
        <v>144</v>
      </c>
      <c r="F17" s="251" t="s">
        <v>193</v>
      </c>
      <c r="G17" s="251"/>
      <c r="H17" s="251"/>
      <c r="I17" s="253"/>
    </row>
    <row r="18" spans="2:9" x14ac:dyDescent="0.2">
      <c r="B18" s="251" t="s">
        <v>165</v>
      </c>
      <c r="C18" s="251" t="s">
        <v>582</v>
      </c>
      <c r="D18" s="251" t="s">
        <v>587</v>
      </c>
      <c r="E18" s="251" t="s">
        <v>144</v>
      </c>
      <c r="F18" s="251" t="s">
        <v>193</v>
      </c>
      <c r="G18" s="251"/>
      <c r="H18" s="251"/>
      <c r="I18" s="253"/>
    </row>
    <row r="19" spans="2:9" x14ac:dyDescent="0.2">
      <c r="B19" s="251" t="s">
        <v>196</v>
      </c>
      <c r="C19" s="251" t="s">
        <v>583</v>
      </c>
      <c r="D19" s="251" t="s">
        <v>588</v>
      </c>
      <c r="E19" s="251" t="s">
        <v>144</v>
      </c>
      <c r="F19" s="251" t="s">
        <v>193</v>
      </c>
      <c r="G19" s="251"/>
      <c r="H19" s="251"/>
      <c r="I19" s="253"/>
    </row>
    <row r="20" spans="2:9" x14ac:dyDescent="0.2">
      <c r="B20" s="251" t="s">
        <v>195</v>
      </c>
      <c r="C20" s="251" t="s">
        <v>584</v>
      </c>
      <c r="D20" s="251" t="s">
        <v>589</v>
      </c>
      <c r="E20" s="251" t="s">
        <v>144</v>
      </c>
      <c r="F20" s="251" t="s">
        <v>193</v>
      </c>
      <c r="G20" s="251"/>
      <c r="H20" s="251"/>
      <c r="I20" s="253"/>
    </row>
    <row r="21" spans="2:9" x14ac:dyDescent="0.2">
      <c r="B21" s="251" t="s">
        <v>197</v>
      </c>
      <c r="C21" s="251" t="s">
        <v>585</v>
      </c>
      <c r="D21" s="251" t="s">
        <v>590</v>
      </c>
      <c r="E21" s="251" t="s">
        <v>144</v>
      </c>
      <c r="F21" s="251" t="s">
        <v>193</v>
      </c>
      <c r="G21" s="251"/>
      <c r="H21" s="251"/>
      <c r="I21" s="253"/>
    </row>
    <row r="22" spans="2:9" x14ac:dyDescent="0.2">
      <c r="B22" s="251" t="s">
        <v>231</v>
      </c>
      <c r="C22" s="251"/>
      <c r="D22" s="251"/>
      <c r="E22" s="251"/>
      <c r="F22" s="251"/>
      <c r="G22" s="251"/>
      <c r="H22" s="251"/>
      <c r="I22" s="253"/>
    </row>
    <row r="23" spans="2:9" x14ac:dyDescent="0.2">
      <c r="B23" s="251" t="s">
        <v>160</v>
      </c>
      <c r="C23" s="251" t="s">
        <v>1331</v>
      </c>
      <c r="D23" s="251" t="s">
        <v>1332</v>
      </c>
      <c r="E23" s="251" t="s">
        <v>144</v>
      </c>
      <c r="F23" s="251" t="s">
        <v>193</v>
      </c>
      <c r="G23" s="251"/>
      <c r="H23" s="251"/>
      <c r="I23" s="253"/>
    </row>
    <row r="24" spans="2:9" x14ac:dyDescent="0.2">
      <c r="B24" s="251" t="s">
        <v>168</v>
      </c>
      <c r="C24" s="251" t="s">
        <v>1163</v>
      </c>
      <c r="D24" s="251" t="s">
        <v>510</v>
      </c>
      <c r="E24" s="251" t="s">
        <v>144</v>
      </c>
      <c r="F24" s="251" t="s">
        <v>193</v>
      </c>
      <c r="G24" s="251"/>
      <c r="H24" s="251"/>
      <c r="I24" s="253"/>
    </row>
    <row r="25" spans="2:9" x14ac:dyDescent="0.2">
      <c r="B25" s="251" t="s">
        <v>165</v>
      </c>
      <c r="C25" s="251" t="s">
        <v>1164</v>
      </c>
      <c r="D25" s="251" t="s">
        <v>511</v>
      </c>
      <c r="E25" s="251" t="s">
        <v>144</v>
      </c>
      <c r="F25" s="251" t="s">
        <v>193</v>
      </c>
      <c r="G25" s="251"/>
      <c r="H25" s="251"/>
      <c r="I25" s="253"/>
    </row>
    <row r="26" spans="2:9" x14ac:dyDescent="0.2">
      <c r="B26" s="251" t="s">
        <v>196</v>
      </c>
      <c r="C26" s="251" t="s">
        <v>1165</v>
      </c>
      <c r="D26" s="251" t="s">
        <v>512</v>
      </c>
      <c r="E26" s="251" t="s">
        <v>144</v>
      </c>
      <c r="F26" s="251" t="s">
        <v>193</v>
      </c>
      <c r="G26" s="251"/>
      <c r="H26" s="251"/>
      <c r="I26" s="253"/>
    </row>
    <row r="27" spans="2:9" x14ac:dyDescent="0.2">
      <c r="B27" s="251" t="s">
        <v>195</v>
      </c>
      <c r="C27" s="251" t="s">
        <v>1166</v>
      </c>
      <c r="D27" s="251" t="s">
        <v>513</v>
      </c>
      <c r="E27" s="251" t="s">
        <v>144</v>
      </c>
      <c r="F27" s="251" t="s">
        <v>193</v>
      </c>
      <c r="G27" s="251"/>
      <c r="H27" s="251"/>
      <c r="I27" s="253"/>
    </row>
    <row r="28" spans="2:9" x14ac:dyDescent="0.2">
      <c r="B28" s="251" t="s">
        <v>197</v>
      </c>
      <c r="C28" s="251" t="s">
        <v>1167</v>
      </c>
      <c r="D28" s="251" t="s">
        <v>514</v>
      </c>
      <c r="E28" s="251" t="s">
        <v>144</v>
      </c>
      <c r="F28" s="251" t="s">
        <v>193</v>
      </c>
      <c r="G28" s="251"/>
      <c r="H28" s="251"/>
      <c r="I28" s="253"/>
    </row>
    <row r="29" spans="2:9" x14ac:dyDescent="0.2">
      <c r="B29" s="248" t="s">
        <v>209</v>
      </c>
      <c r="C29" s="249"/>
      <c r="D29" s="249"/>
      <c r="E29" s="249"/>
      <c r="F29" s="249"/>
      <c r="G29" s="249"/>
      <c r="H29" s="249"/>
      <c r="I29" s="254"/>
    </row>
    <row r="30" spans="2:9" x14ac:dyDescent="0.2">
      <c r="B30" s="251" t="s">
        <v>145</v>
      </c>
      <c r="C30" s="251" t="s">
        <v>213</v>
      </c>
      <c r="D30" s="251" t="s">
        <v>214</v>
      </c>
      <c r="E30" s="251" t="s">
        <v>144</v>
      </c>
      <c r="F30" s="251" t="s">
        <v>193</v>
      </c>
      <c r="G30" s="251" t="s">
        <v>1599</v>
      </c>
      <c r="H30" s="251"/>
      <c r="I30" s="253"/>
    </row>
    <row r="31" spans="2:9" x14ac:dyDescent="0.2">
      <c r="B31" s="251" t="s">
        <v>145</v>
      </c>
      <c r="C31" s="251" t="s">
        <v>215</v>
      </c>
      <c r="D31" s="251" t="s">
        <v>216</v>
      </c>
      <c r="E31" s="251" t="s">
        <v>144</v>
      </c>
      <c r="F31" s="251" t="s">
        <v>193</v>
      </c>
      <c r="G31" s="251"/>
      <c r="H31" s="251"/>
      <c r="I31" s="253"/>
    </row>
    <row r="32" spans="2:9" x14ac:dyDescent="0.2">
      <c r="B32" s="251" t="s">
        <v>145</v>
      </c>
      <c r="C32" s="251" t="s">
        <v>217</v>
      </c>
      <c r="D32" s="251" t="s">
        <v>218</v>
      </c>
      <c r="E32" s="251" t="s">
        <v>144</v>
      </c>
      <c r="F32" s="251" t="s">
        <v>193</v>
      </c>
      <c r="G32" s="251"/>
      <c r="H32" s="251"/>
      <c r="I32" s="253"/>
    </row>
    <row r="33" spans="2:9" x14ac:dyDescent="0.2">
      <c r="B33" s="251" t="s">
        <v>145</v>
      </c>
      <c r="C33" s="251" t="s">
        <v>546</v>
      </c>
      <c r="D33" s="251" t="s">
        <v>219</v>
      </c>
      <c r="E33" s="251" t="s">
        <v>144</v>
      </c>
      <c r="F33" s="251" t="s">
        <v>193</v>
      </c>
      <c r="G33" s="251" t="s">
        <v>1598</v>
      </c>
      <c r="H33" s="251"/>
      <c r="I33" s="253"/>
    </row>
    <row r="34" spans="2:9" x14ac:dyDescent="0.2">
      <c r="B34" s="251" t="s">
        <v>145</v>
      </c>
      <c r="C34" s="251" t="s">
        <v>259</v>
      </c>
      <c r="D34" s="251" t="s">
        <v>210</v>
      </c>
      <c r="E34" s="251" t="s">
        <v>144</v>
      </c>
      <c r="F34" s="251" t="s">
        <v>193</v>
      </c>
      <c r="G34" s="251" t="s">
        <v>1599</v>
      </c>
      <c r="H34" s="251"/>
      <c r="I34" s="253"/>
    </row>
    <row r="35" spans="2:9" x14ac:dyDescent="0.2">
      <c r="B35" s="251" t="s">
        <v>145</v>
      </c>
      <c r="C35" s="251" t="s">
        <v>260</v>
      </c>
      <c r="D35" s="251" t="s">
        <v>212</v>
      </c>
      <c r="E35" s="251" t="s">
        <v>144</v>
      </c>
      <c r="F35" s="251" t="s">
        <v>193</v>
      </c>
      <c r="G35" s="251"/>
      <c r="H35" s="251"/>
      <c r="I35" s="253"/>
    </row>
    <row r="36" spans="2:9" x14ac:dyDescent="0.2">
      <c r="B36" s="251" t="s">
        <v>145</v>
      </c>
      <c r="C36" s="251" t="s">
        <v>261</v>
      </c>
      <c r="D36" s="251" t="s">
        <v>262</v>
      </c>
      <c r="E36" s="251" t="s">
        <v>144</v>
      </c>
      <c r="F36" s="251" t="s">
        <v>193</v>
      </c>
      <c r="G36" s="251"/>
      <c r="H36" s="251"/>
      <c r="I36" s="253"/>
    </row>
    <row r="37" spans="2:9" x14ac:dyDescent="0.2">
      <c r="B37" s="251" t="s">
        <v>145</v>
      </c>
      <c r="C37" s="251" t="s">
        <v>263</v>
      </c>
      <c r="D37" s="251" t="s">
        <v>264</v>
      </c>
      <c r="E37" s="251" t="s">
        <v>144</v>
      </c>
      <c r="F37" s="251" t="s">
        <v>193</v>
      </c>
      <c r="G37" s="251"/>
      <c r="H37" s="251"/>
      <c r="I37" s="253"/>
    </row>
    <row r="38" spans="2:9" x14ac:dyDescent="0.2">
      <c r="B38" s="251" t="s">
        <v>145</v>
      </c>
      <c r="C38" s="251" t="s">
        <v>265</v>
      </c>
      <c r="D38" s="251" t="s">
        <v>266</v>
      </c>
      <c r="E38" s="251" t="s">
        <v>144</v>
      </c>
      <c r="F38" s="251" t="s">
        <v>193</v>
      </c>
      <c r="G38" s="251"/>
      <c r="H38" s="251"/>
      <c r="I38" s="253"/>
    </row>
    <row r="39" spans="2:9" x14ac:dyDescent="0.2">
      <c r="B39" s="251" t="s">
        <v>145</v>
      </c>
      <c r="C39" s="251" t="s">
        <v>267</v>
      </c>
      <c r="D39" s="251" t="s">
        <v>268</v>
      </c>
      <c r="E39" s="251" t="s">
        <v>144</v>
      </c>
      <c r="F39" s="251" t="s">
        <v>193</v>
      </c>
      <c r="G39" s="251"/>
      <c r="H39" s="251"/>
      <c r="I39" s="253"/>
    </row>
    <row r="40" spans="2:9" x14ac:dyDescent="0.2">
      <c r="B40" s="251" t="s">
        <v>145</v>
      </c>
      <c r="C40" s="251" t="s">
        <v>545</v>
      </c>
      <c r="D40" s="251" t="s">
        <v>544</v>
      </c>
      <c r="E40" s="251" t="s">
        <v>144</v>
      </c>
      <c r="F40" s="251" t="s">
        <v>193</v>
      </c>
      <c r="G40" s="251" t="s">
        <v>1598</v>
      </c>
      <c r="H40" s="251"/>
      <c r="I40" s="253"/>
    </row>
    <row r="41" spans="2:9" x14ac:dyDescent="0.2">
      <c r="B41" s="251" t="s">
        <v>145</v>
      </c>
      <c r="C41" s="251" t="s">
        <v>1250</v>
      </c>
      <c r="D41" s="251" t="s">
        <v>1253</v>
      </c>
      <c r="E41" s="251" t="s">
        <v>144</v>
      </c>
      <c r="F41" s="251" t="s">
        <v>193</v>
      </c>
      <c r="G41" s="251"/>
      <c r="H41" s="251"/>
      <c r="I41" s="253"/>
    </row>
    <row r="42" spans="2:9" x14ac:dyDescent="0.2">
      <c r="B42" s="251" t="s">
        <v>230</v>
      </c>
      <c r="C42" s="251" t="s">
        <v>1251</v>
      </c>
      <c r="D42" s="251" t="s">
        <v>1254</v>
      </c>
      <c r="E42" s="251" t="s">
        <v>144</v>
      </c>
      <c r="F42" s="251" t="s">
        <v>193</v>
      </c>
      <c r="G42" s="251"/>
      <c r="H42" s="251"/>
      <c r="I42" s="253"/>
    </row>
    <row r="43" spans="2:9" x14ac:dyDescent="0.2">
      <c r="B43" s="251" t="s">
        <v>230</v>
      </c>
      <c r="C43" s="251" t="s">
        <v>1352</v>
      </c>
      <c r="D43" s="251" t="s">
        <v>1354</v>
      </c>
      <c r="E43" s="251" t="s">
        <v>144</v>
      </c>
      <c r="F43" s="251" t="s">
        <v>193</v>
      </c>
      <c r="G43" s="251"/>
      <c r="H43" s="251"/>
      <c r="I43" s="253"/>
    </row>
    <row r="44" spans="2:9" x14ac:dyDescent="0.2">
      <c r="B44" s="251" t="s">
        <v>230</v>
      </c>
      <c r="C44" s="251" t="s">
        <v>1252</v>
      </c>
      <c r="D44" s="251" t="s">
        <v>1255</v>
      </c>
      <c r="E44" s="251" t="s">
        <v>144</v>
      </c>
      <c r="F44" s="251" t="s">
        <v>193</v>
      </c>
      <c r="G44" s="251"/>
      <c r="H44" s="251"/>
      <c r="I44" s="253"/>
    </row>
    <row r="45" spans="2:9" x14ac:dyDescent="0.2">
      <c r="B45" s="251" t="s">
        <v>230</v>
      </c>
      <c r="C45" s="251" t="s">
        <v>1353</v>
      </c>
      <c r="D45" s="251" t="s">
        <v>1355</v>
      </c>
      <c r="E45" s="251" t="s">
        <v>144</v>
      </c>
      <c r="F45" s="251" t="s">
        <v>193</v>
      </c>
      <c r="G45" s="251"/>
      <c r="H45" s="251"/>
      <c r="I45" s="253"/>
    </row>
    <row r="46" spans="2:9" x14ac:dyDescent="0.2">
      <c r="B46" s="251" t="s">
        <v>230</v>
      </c>
      <c r="C46" s="251" t="s">
        <v>1356</v>
      </c>
      <c r="D46" s="251" t="s">
        <v>1357</v>
      </c>
      <c r="E46" s="251" t="s">
        <v>144</v>
      </c>
      <c r="F46" s="251" t="s">
        <v>193</v>
      </c>
      <c r="G46" s="251"/>
      <c r="H46" s="251"/>
      <c r="I46" s="253"/>
    </row>
    <row r="47" spans="2:9" x14ac:dyDescent="0.2">
      <c r="B47" s="248" t="s">
        <v>1113</v>
      </c>
      <c r="C47" s="249"/>
      <c r="D47" s="249"/>
      <c r="E47" s="249"/>
      <c r="F47" s="249"/>
      <c r="G47" s="249"/>
      <c r="H47" s="249"/>
      <c r="I47" s="254"/>
    </row>
    <row r="48" spans="2:9" hidden="1" x14ac:dyDescent="0.2">
      <c r="B48" s="251" t="s">
        <v>1310</v>
      </c>
      <c r="C48" s="251" t="s">
        <v>1108</v>
      </c>
      <c r="D48" s="251" t="s">
        <v>1109</v>
      </c>
      <c r="E48" s="251"/>
      <c r="F48" s="251"/>
      <c r="G48" s="251" t="s">
        <v>194</v>
      </c>
      <c r="H48" s="251"/>
      <c r="I48" s="253"/>
    </row>
    <row r="49" spans="2:9" x14ac:dyDescent="0.2">
      <c r="B49" s="251" t="s">
        <v>1320</v>
      </c>
      <c r="C49" s="251" t="s">
        <v>1112</v>
      </c>
      <c r="D49" s="251" t="s">
        <v>1111</v>
      </c>
      <c r="E49" s="251" t="s">
        <v>144</v>
      </c>
      <c r="F49" s="251" t="s">
        <v>193</v>
      </c>
      <c r="G49" s="251" t="s">
        <v>1600</v>
      </c>
      <c r="H49" s="251"/>
      <c r="I49" s="253"/>
    </row>
    <row r="50" spans="2:9" x14ac:dyDescent="0.2">
      <c r="B50" s="251" t="s">
        <v>160</v>
      </c>
      <c r="C50" s="251" t="s">
        <v>547</v>
      </c>
      <c r="D50" s="251" t="s">
        <v>548</v>
      </c>
      <c r="E50" s="251" t="s">
        <v>144</v>
      </c>
      <c r="F50" s="251" t="s">
        <v>193</v>
      </c>
      <c r="G50" s="251" t="s">
        <v>1598</v>
      </c>
      <c r="H50" s="251"/>
      <c r="I50" s="253"/>
    </row>
    <row r="51" spans="2:9" x14ac:dyDescent="0.2">
      <c r="B51" s="251" t="s">
        <v>1308</v>
      </c>
      <c r="C51" s="251" t="s">
        <v>549</v>
      </c>
      <c r="D51" s="251" t="s">
        <v>550</v>
      </c>
      <c r="E51" s="251" t="s">
        <v>144</v>
      </c>
      <c r="F51" s="251" t="s">
        <v>193</v>
      </c>
      <c r="G51" s="251"/>
      <c r="H51" s="251"/>
      <c r="I51" s="253"/>
    </row>
    <row r="52" spans="2:9" x14ac:dyDescent="0.2">
      <c r="B52" s="251" t="s">
        <v>1311</v>
      </c>
      <c r="C52" s="251" t="s">
        <v>1333</v>
      </c>
      <c r="D52" s="251" t="s">
        <v>1335</v>
      </c>
      <c r="E52" s="251" t="s">
        <v>144</v>
      </c>
      <c r="F52" s="251" t="s">
        <v>193</v>
      </c>
      <c r="G52" s="251"/>
      <c r="H52" s="251"/>
      <c r="I52" s="253"/>
    </row>
    <row r="53" spans="2:9" x14ac:dyDescent="0.2">
      <c r="B53" s="251" t="s">
        <v>1307</v>
      </c>
      <c r="C53" s="251" t="s">
        <v>551</v>
      </c>
      <c r="D53" s="251" t="s">
        <v>552</v>
      </c>
      <c r="E53" s="251" t="s">
        <v>144</v>
      </c>
      <c r="F53" s="251" t="s">
        <v>193</v>
      </c>
      <c r="G53" s="251"/>
      <c r="H53" s="251"/>
      <c r="I53" s="253"/>
    </row>
    <row r="54" spans="2:9" x14ac:dyDescent="0.2">
      <c r="B54" s="251" t="s">
        <v>1312</v>
      </c>
      <c r="C54" s="251" t="s">
        <v>1334</v>
      </c>
      <c r="D54" s="251" t="s">
        <v>1336</v>
      </c>
      <c r="E54" s="251" t="s">
        <v>144</v>
      </c>
      <c r="F54" s="251" t="s">
        <v>193</v>
      </c>
      <c r="G54" s="251"/>
      <c r="H54" s="251"/>
      <c r="I54" s="253"/>
    </row>
    <row r="55" spans="2:9" x14ac:dyDescent="0.2">
      <c r="B55" s="251" t="s">
        <v>1421</v>
      </c>
      <c r="C55" s="251" t="s">
        <v>1337</v>
      </c>
      <c r="D55" s="251" t="s">
        <v>1338</v>
      </c>
      <c r="E55" s="251" t="s">
        <v>144</v>
      </c>
      <c r="F55" s="251" t="s">
        <v>193</v>
      </c>
      <c r="G55" s="251"/>
      <c r="H55" s="251"/>
      <c r="I55" s="253"/>
    </row>
    <row r="56" spans="2:9" x14ac:dyDescent="0.2">
      <c r="B56" s="251" t="s">
        <v>231</v>
      </c>
      <c r="C56" s="251"/>
      <c r="D56" s="251"/>
      <c r="E56" s="251"/>
      <c r="F56" s="251"/>
      <c r="G56" s="251"/>
      <c r="H56" s="251"/>
      <c r="I56" s="253"/>
    </row>
    <row r="57" spans="2:9" x14ac:dyDescent="0.2">
      <c r="B57" s="251" t="s">
        <v>160</v>
      </c>
      <c r="C57" s="251" t="s">
        <v>559</v>
      </c>
      <c r="D57" s="251" t="s">
        <v>560</v>
      </c>
      <c r="E57" s="251" t="s">
        <v>144</v>
      </c>
      <c r="F57" s="251" t="s">
        <v>193</v>
      </c>
      <c r="G57" s="251"/>
      <c r="H57" s="251"/>
      <c r="I57" s="253"/>
    </row>
    <row r="58" spans="2:9" x14ac:dyDescent="0.2">
      <c r="B58" s="251" t="s">
        <v>196</v>
      </c>
      <c r="C58" s="251" t="s">
        <v>1345</v>
      </c>
      <c r="D58" s="251" t="s">
        <v>1346</v>
      </c>
      <c r="E58" s="251" t="s">
        <v>144</v>
      </c>
      <c r="F58" s="251" t="s">
        <v>193</v>
      </c>
      <c r="G58" s="251"/>
      <c r="H58" s="251"/>
      <c r="I58" s="253"/>
    </row>
    <row r="59" spans="2:9" x14ac:dyDescent="0.2">
      <c r="B59" s="251" t="s">
        <v>195</v>
      </c>
      <c r="C59" s="251" t="s">
        <v>561</v>
      </c>
      <c r="D59" s="251" t="s">
        <v>1347</v>
      </c>
      <c r="E59" s="251" t="s">
        <v>144</v>
      </c>
      <c r="F59" s="251" t="s">
        <v>193</v>
      </c>
      <c r="G59" s="251"/>
      <c r="H59" s="251"/>
      <c r="I59" s="253"/>
    </row>
    <row r="60" spans="2:9" x14ac:dyDescent="0.2">
      <c r="B60" s="248" t="s">
        <v>222</v>
      </c>
      <c r="C60" s="249"/>
      <c r="D60" s="249"/>
      <c r="E60" s="249"/>
      <c r="F60" s="249"/>
      <c r="G60" s="249"/>
      <c r="H60" s="249"/>
      <c r="I60" s="254"/>
    </row>
    <row r="61" spans="2:9" x14ac:dyDescent="0.2">
      <c r="B61" s="251" t="s">
        <v>1320</v>
      </c>
      <c r="C61" s="251" t="s">
        <v>565</v>
      </c>
      <c r="D61" s="251" t="s">
        <v>223</v>
      </c>
      <c r="E61" s="251" t="s">
        <v>144</v>
      </c>
      <c r="F61" s="251" t="s">
        <v>193</v>
      </c>
      <c r="G61" s="251" t="s">
        <v>1598</v>
      </c>
      <c r="H61" s="251"/>
      <c r="I61" s="253"/>
    </row>
    <row r="62" spans="2:9" x14ac:dyDescent="0.2">
      <c r="B62" s="251" t="s">
        <v>1320</v>
      </c>
      <c r="C62" s="251" t="s">
        <v>566</v>
      </c>
      <c r="D62" s="251" t="s">
        <v>224</v>
      </c>
      <c r="E62" s="251" t="s">
        <v>144</v>
      </c>
      <c r="F62" s="251" t="s">
        <v>193</v>
      </c>
      <c r="G62" s="251"/>
      <c r="H62" s="251"/>
      <c r="I62" s="253"/>
    </row>
    <row r="63" spans="2:9" x14ac:dyDescent="0.2">
      <c r="B63" s="251" t="s">
        <v>1320</v>
      </c>
      <c r="C63" s="251" t="s">
        <v>567</v>
      </c>
      <c r="D63" s="251" t="s">
        <v>674</v>
      </c>
      <c r="E63" s="251" t="s">
        <v>144</v>
      </c>
      <c r="F63" s="251" t="s">
        <v>193</v>
      </c>
      <c r="G63" s="251"/>
      <c r="H63" s="251"/>
      <c r="I63" s="253"/>
    </row>
    <row r="64" spans="2:9" x14ac:dyDescent="0.2">
      <c r="B64" s="251" t="s">
        <v>1320</v>
      </c>
      <c r="C64" s="251" t="s">
        <v>568</v>
      </c>
      <c r="D64" s="251" t="s">
        <v>225</v>
      </c>
      <c r="E64" s="251" t="s">
        <v>144</v>
      </c>
      <c r="F64" s="251" t="s">
        <v>193</v>
      </c>
      <c r="G64" s="251"/>
      <c r="H64" s="251"/>
      <c r="I64" s="253"/>
    </row>
    <row r="65" spans="2:9" x14ac:dyDescent="0.2">
      <c r="B65" s="251" t="s">
        <v>1320</v>
      </c>
      <c r="C65" s="251" t="s">
        <v>569</v>
      </c>
      <c r="D65" s="251" t="s">
        <v>226</v>
      </c>
      <c r="E65" s="251" t="s">
        <v>144</v>
      </c>
      <c r="F65" s="251" t="s">
        <v>193</v>
      </c>
      <c r="G65" s="251"/>
      <c r="H65" s="251"/>
      <c r="I65" s="253"/>
    </row>
    <row r="66" spans="2:9" x14ac:dyDescent="0.2">
      <c r="B66" s="251" t="s">
        <v>231</v>
      </c>
      <c r="C66" s="251" t="s">
        <v>651</v>
      </c>
      <c r="D66" s="251" t="s">
        <v>652</v>
      </c>
      <c r="E66" s="251"/>
      <c r="F66" s="251"/>
      <c r="G66" s="251"/>
      <c r="H66" s="251"/>
      <c r="I66" s="253"/>
    </row>
    <row r="67" spans="2:9" x14ac:dyDescent="0.2">
      <c r="B67" s="248" t="s">
        <v>656</v>
      </c>
      <c r="C67" s="249"/>
      <c r="D67" s="249"/>
      <c r="E67" s="249"/>
      <c r="F67" s="249"/>
      <c r="G67" s="249"/>
      <c r="H67" s="249"/>
      <c r="I67" s="254"/>
    </row>
    <row r="68" spans="2:9" x14ac:dyDescent="0.2">
      <c r="B68" s="251" t="s">
        <v>1327</v>
      </c>
      <c r="C68" s="251" t="s">
        <v>668</v>
      </c>
      <c r="D68" s="251" t="s">
        <v>671</v>
      </c>
      <c r="E68" s="251"/>
      <c r="F68" s="251"/>
      <c r="G68" s="251"/>
      <c r="H68" s="251"/>
      <c r="I68" s="253"/>
    </row>
    <row r="69" spans="2:9" x14ac:dyDescent="0.2">
      <c r="B69" s="251" t="s">
        <v>1327</v>
      </c>
      <c r="C69" s="251" t="s">
        <v>669</v>
      </c>
      <c r="D69" s="251" t="s">
        <v>670</v>
      </c>
      <c r="E69" s="251"/>
      <c r="F69" s="251"/>
      <c r="G69" s="251"/>
      <c r="H69" s="251"/>
      <c r="I69" s="253"/>
    </row>
    <row r="70" spans="2:9" x14ac:dyDescent="0.2">
      <c r="B70" s="251" t="s">
        <v>1327</v>
      </c>
      <c r="C70" s="251" t="s">
        <v>667</v>
      </c>
      <c r="D70" s="251" t="s">
        <v>659</v>
      </c>
      <c r="E70" s="251"/>
      <c r="F70" s="251"/>
      <c r="G70" s="251"/>
      <c r="H70" s="251"/>
      <c r="I70" s="253"/>
    </row>
    <row r="71" spans="2:9" x14ac:dyDescent="0.2">
      <c r="B71" s="251" t="s">
        <v>1327</v>
      </c>
      <c r="C71" s="251" t="s">
        <v>657</v>
      </c>
      <c r="D71" s="251" t="s">
        <v>660</v>
      </c>
      <c r="E71" s="251"/>
      <c r="F71" s="251"/>
      <c r="G71" s="251"/>
      <c r="H71" s="251"/>
      <c r="I71" s="253"/>
    </row>
    <row r="72" spans="2:9" x14ac:dyDescent="0.2">
      <c r="B72" s="251" t="s">
        <v>1327</v>
      </c>
      <c r="C72" s="251" t="s">
        <v>658</v>
      </c>
      <c r="D72" s="251" t="s">
        <v>661</v>
      </c>
      <c r="E72" s="251"/>
      <c r="F72" s="251"/>
      <c r="G72" s="251"/>
      <c r="H72" s="251"/>
      <c r="I72" s="253"/>
    </row>
    <row r="73" spans="2:9" x14ac:dyDescent="0.2">
      <c r="B73" s="251" t="s">
        <v>231</v>
      </c>
      <c r="C73" s="251"/>
      <c r="D73" s="251"/>
      <c r="E73" s="251"/>
      <c r="F73" s="251"/>
      <c r="G73" s="251"/>
      <c r="H73" s="251"/>
      <c r="I73" s="253"/>
    </row>
    <row r="74" spans="2:9" x14ac:dyDescent="0.2">
      <c r="B74" s="248" t="s">
        <v>227</v>
      </c>
      <c r="C74" s="249"/>
      <c r="D74" s="249"/>
      <c r="E74" s="249"/>
      <c r="F74" s="249"/>
      <c r="G74" s="249"/>
      <c r="H74" s="249"/>
      <c r="I74" s="254"/>
    </row>
    <row r="75" spans="2:9" x14ac:dyDescent="0.2">
      <c r="B75" s="251" t="s">
        <v>168</v>
      </c>
      <c r="C75" s="251" t="s">
        <v>1422</v>
      </c>
      <c r="D75" s="251" t="s">
        <v>1423</v>
      </c>
      <c r="E75" s="251" t="s">
        <v>144</v>
      </c>
      <c r="F75" s="251" t="s">
        <v>193</v>
      </c>
      <c r="G75" s="251" t="s">
        <v>1598</v>
      </c>
      <c r="H75" s="251"/>
      <c r="I75" s="253"/>
    </row>
    <row r="76" spans="2:9" x14ac:dyDescent="0.2">
      <c r="B76" s="251" t="s">
        <v>165</v>
      </c>
      <c r="C76" s="251" t="s">
        <v>1424</v>
      </c>
      <c r="D76" s="251" t="s">
        <v>1425</v>
      </c>
      <c r="E76" s="251" t="s">
        <v>144</v>
      </c>
      <c r="F76" s="251" t="s">
        <v>193</v>
      </c>
      <c r="G76" s="251"/>
      <c r="H76" s="251"/>
      <c r="I76" s="253"/>
    </row>
    <row r="77" spans="2:9" x14ac:dyDescent="0.2">
      <c r="B77" s="251" t="s">
        <v>196</v>
      </c>
      <c r="C77" s="251" t="s">
        <v>1426</v>
      </c>
      <c r="D77" s="251" t="s">
        <v>1427</v>
      </c>
      <c r="E77" s="251" t="s">
        <v>144</v>
      </c>
      <c r="F77" s="251" t="s">
        <v>193</v>
      </c>
      <c r="G77" s="251"/>
      <c r="H77" s="251"/>
      <c r="I77" s="253"/>
    </row>
    <row r="78" spans="2:9" x14ac:dyDescent="0.2">
      <c r="B78" s="251" t="s">
        <v>195</v>
      </c>
      <c r="C78" s="251" t="s">
        <v>1428</v>
      </c>
      <c r="D78" s="251" t="s">
        <v>1429</v>
      </c>
      <c r="E78" s="251" t="s">
        <v>144</v>
      </c>
      <c r="F78" s="251" t="s">
        <v>193</v>
      </c>
      <c r="G78" s="251"/>
      <c r="H78" s="251"/>
      <c r="I78" s="253"/>
    </row>
    <row r="79" spans="2:9" x14ac:dyDescent="0.2">
      <c r="B79" s="251" t="s">
        <v>197</v>
      </c>
      <c r="C79" s="251" t="s">
        <v>1430</v>
      </c>
      <c r="D79" s="251" t="s">
        <v>1431</v>
      </c>
      <c r="E79" s="251" t="s">
        <v>144</v>
      </c>
      <c r="F79" s="251" t="s">
        <v>193</v>
      </c>
      <c r="G79" s="251"/>
      <c r="H79" s="251"/>
      <c r="I79" s="253"/>
    </row>
    <row r="80" spans="2:9" x14ac:dyDescent="0.2">
      <c r="B80" s="251" t="s">
        <v>165</v>
      </c>
      <c r="C80" s="251" t="s">
        <v>1432</v>
      </c>
      <c r="D80" s="251" t="s">
        <v>1433</v>
      </c>
      <c r="E80" s="251" t="s">
        <v>144</v>
      </c>
      <c r="F80" s="251" t="s">
        <v>193</v>
      </c>
      <c r="G80" s="251"/>
      <c r="H80" s="251"/>
      <c r="I80" s="253"/>
    </row>
    <row r="81" spans="2:9" x14ac:dyDescent="0.2">
      <c r="B81" s="251" t="s">
        <v>196</v>
      </c>
      <c r="C81" s="251" t="s">
        <v>1434</v>
      </c>
      <c r="D81" s="251" t="s">
        <v>1435</v>
      </c>
      <c r="E81" s="251" t="s">
        <v>144</v>
      </c>
      <c r="F81" s="251" t="s">
        <v>193</v>
      </c>
      <c r="G81" s="251"/>
      <c r="H81" s="251"/>
      <c r="I81" s="253"/>
    </row>
    <row r="82" spans="2:9" x14ac:dyDescent="0.2">
      <c r="B82" s="251" t="s">
        <v>195</v>
      </c>
      <c r="C82" s="251" t="s">
        <v>1436</v>
      </c>
      <c r="D82" s="251" t="s">
        <v>1437</v>
      </c>
      <c r="E82" s="251" t="s">
        <v>144</v>
      </c>
      <c r="F82" s="251" t="s">
        <v>193</v>
      </c>
      <c r="G82" s="251"/>
      <c r="H82" s="251"/>
      <c r="I82" s="253"/>
    </row>
    <row r="83" spans="2:9" x14ac:dyDescent="0.2">
      <c r="B83" s="251" t="s">
        <v>168</v>
      </c>
      <c r="C83" s="251" t="s">
        <v>593</v>
      </c>
      <c r="D83" s="251" t="s">
        <v>604</v>
      </c>
      <c r="E83" s="251" t="s">
        <v>144</v>
      </c>
      <c r="F83" s="251" t="s">
        <v>193</v>
      </c>
      <c r="G83" s="251"/>
      <c r="H83" s="251"/>
      <c r="I83" s="253"/>
    </row>
    <row r="84" spans="2:9" x14ac:dyDescent="0.2">
      <c r="B84" s="251" t="s">
        <v>196</v>
      </c>
      <c r="C84" s="251" t="s">
        <v>1438</v>
      </c>
      <c r="D84" s="251" t="s">
        <v>1439</v>
      </c>
      <c r="E84" s="251" t="s">
        <v>144</v>
      </c>
      <c r="F84" s="251" t="s">
        <v>193</v>
      </c>
      <c r="G84" s="251"/>
      <c r="H84" s="251"/>
      <c r="I84" s="253"/>
    </row>
    <row r="85" spans="2:9" x14ac:dyDescent="0.2">
      <c r="B85" s="251" t="s">
        <v>197</v>
      </c>
      <c r="C85" s="251" t="s">
        <v>1440</v>
      </c>
      <c r="D85" s="251" t="s">
        <v>1441</v>
      </c>
      <c r="E85" s="251" t="s">
        <v>144</v>
      </c>
      <c r="F85" s="251" t="s">
        <v>193</v>
      </c>
      <c r="G85" s="251"/>
      <c r="H85" s="251"/>
      <c r="I85" s="253"/>
    </row>
    <row r="86" spans="2:9" x14ac:dyDescent="0.2">
      <c r="B86" s="251" t="s">
        <v>168</v>
      </c>
      <c r="C86" s="251" t="s">
        <v>1442</v>
      </c>
      <c r="D86" s="251" t="s">
        <v>1443</v>
      </c>
      <c r="E86" s="251" t="s">
        <v>144</v>
      </c>
      <c r="F86" s="251" t="s">
        <v>193</v>
      </c>
      <c r="G86" s="251"/>
      <c r="H86" s="251"/>
      <c r="I86" s="253"/>
    </row>
    <row r="87" spans="2:9" x14ac:dyDescent="0.2">
      <c r="B87" s="251" t="s">
        <v>165</v>
      </c>
      <c r="C87" s="251" t="s">
        <v>595</v>
      </c>
      <c r="D87" s="251" t="s">
        <v>606</v>
      </c>
      <c r="E87" s="251" t="s">
        <v>144</v>
      </c>
      <c r="F87" s="251" t="s">
        <v>193</v>
      </c>
      <c r="G87" s="251"/>
      <c r="H87" s="251"/>
      <c r="I87" s="253"/>
    </row>
    <row r="88" spans="2:9" x14ac:dyDescent="0.2">
      <c r="B88" s="251" t="s">
        <v>195</v>
      </c>
      <c r="C88" s="251" t="s">
        <v>1444</v>
      </c>
      <c r="D88" s="251" t="s">
        <v>1445</v>
      </c>
      <c r="E88" s="251" t="s">
        <v>144</v>
      </c>
      <c r="F88" s="251" t="s">
        <v>193</v>
      </c>
      <c r="G88" s="251"/>
      <c r="H88" s="251"/>
      <c r="I88" s="253"/>
    </row>
    <row r="89" spans="2:9" x14ac:dyDescent="0.2">
      <c r="B89" s="251" t="s">
        <v>197</v>
      </c>
      <c r="C89" s="251" t="s">
        <v>1446</v>
      </c>
      <c r="D89" s="251" t="s">
        <v>1447</v>
      </c>
      <c r="E89" s="251" t="s">
        <v>144</v>
      </c>
      <c r="F89" s="251" t="s">
        <v>193</v>
      </c>
      <c r="G89" s="251"/>
      <c r="H89" s="251"/>
      <c r="I89" s="253"/>
    </row>
    <row r="90" spans="2:9" x14ac:dyDescent="0.2">
      <c r="B90" s="251" t="s">
        <v>168</v>
      </c>
      <c r="C90" s="251" t="s">
        <v>596</v>
      </c>
      <c r="D90" s="251" t="s">
        <v>607</v>
      </c>
      <c r="E90" s="251" t="s">
        <v>144</v>
      </c>
      <c r="F90" s="251" t="s">
        <v>193</v>
      </c>
      <c r="G90" s="251"/>
      <c r="H90" s="251"/>
      <c r="I90" s="253"/>
    </row>
    <row r="91" spans="2:9" x14ac:dyDescent="0.2">
      <c r="B91" s="251" t="s">
        <v>196</v>
      </c>
      <c r="C91" s="251" t="s">
        <v>1448</v>
      </c>
      <c r="D91" s="251" t="s">
        <v>1449</v>
      </c>
      <c r="E91" s="251" t="s">
        <v>144</v>
      </c>
      <c r="F91" s="251" t="s">
        <v>193</v>
      </c>
      <c r="G91" s="251"/>
      <c r="H91" s="251"/>
      <c r="I91" s="253"/>
    </row>
    <row r="92" spans="2:9" x14ac:dyDescent="0.2">
      <c r="B92" s="251" t="s">
        <v>165</v>
      </c>
      <c r="C92" s="251" t="s">
        <v>597</v>
      </c>
      <c r="D92" s="251" t="s">
        <v>608</v>
      </c>
      <c r="E92" s="251" t="s">
        <v>144</v>
      </c>
      <c r="F92" s="251" t="s">
        <v>193</v>
      </c>
      <c r="G92" s="251"/>
      <c r="H92" s="251"/>
      <c r="I92" s="253"/>
    </row>
    <row r="93" spans="2:9" x14ac:dyDescent="0.2">
      <c r="B93" s="251" t="s">
        <v>196</v>
      </c>
      <c r="C93" s="251" t="s">
        <v>1450</v>
      </c>
      <c r="D93" s="251" t="s">
        <v>1451</v>
      </c>
      <c r="E93" s="251" t="s">
        <v>144</v>
      </c>
      <c r="F93" s="251" t="s">
        <v>193</v>
      </c>
      <c r="G93" s="251"/>
      <c r="H93" s="251"/>
      <c r="I93" s="253"/>
    </row>
    <row r="94" spans="2:9" x14ac:dyDescent="0.2">
      <c r="B94" s="251" t="s">
        <v>231</v>
      </c>
      <c r="C94" s="251"/>
      <c r="D94" s="251"/>
      <c r="E94" s="251"/>
      <c r="F94" s="251"/>
      <c r="G94" s="251"/>
      <c r="H94" s="251"/>
      <c r="I94" s="253"/>
    </row>
    <row r="95" spans="2:9" x14ac:dyDescent="0.2">
      <c r="B95" s="240"/>
      <c r="C95" s="240"/>
      <c r="D95" s="240"/>
      <c r="E95" s="240"/>
      <c r="F95" s="240"/>
      <c r="G95" s="240"/>
      <c r="H95" s="240"/>
    </row>
    <row r="96" spans="2:9" x14ac:dyDescent="0.2">
      <c r="B96" s="240"/>
      <c r="C96" s="240"/>
      <c r="D96" s="240"/>
      <c r="E96" s="240"/>
      <c r="F96" s="240"/>
      <c r="G96" s="240"/>
      <c r="H96" s="240"/>
    </row>
    <row r="97" spans="2:9" x14ac:dyDescent="0.2">
      <c r="B97" s="240"/>
      <c r="C97" s="240"/>
      <c r="D97" s="240"/>
      <c r="E97" s="240"/>
      <c r="F97" s="240"/>
      <c r="G97" s="240"/>
      <c r="H97" s="240"/>
    </row>
    <row r="98" spans="2:9" x14ac:dyDescent="0.2">
      <c r="B98" s="240"/>
      <c r="C98" s="240"/>
      <c r="D98" s="240"/>
      <c r="E98" s="240"/>
      <c r="F98" s="240"/>
      <c r="G98" s="240"/>
      <c r="H98" s="240"/>
    </row>
    <row r="99" spans="2:9" x14ac:dyDescent="0.2">
      <c r="B99" s="240"/>
      <c r="C99" s="240"/>
      <c r="D99" s="240"/>
      <c r="E99" s="240"/>
      <c r="F99" s="240"/>
      <c r="G99" s="240"/>
      <c r="H99" s="240"/>
    </row>
    <row r="100" spans="2:9" x14ac:dyDescent="0.2">
      <c r="B100" s="240"/>
      <c r="C100" s="240"/>
      <c r="D100" s="240"/>
      <c r="E100" s="240"/>
      <c r="F100" s="240"/>
      <c r="G100" s="240"/>
      <c r="H100" s="240"/>
    </row>
    <row r="101" spans="2:9" x14ac:dyDescent="0.2">
      <c r="B101" s="240"/>
      <c r="C101" s="240"/>
      <c r="D101" s="240"/>
      <c r="E101" s="240"/>
      <c r="F101" s="240"/>
      <c r="G101" s="240"/>
      <c r="H101" s="240"/>
    </row>
    <row r="102" spans="2:9" x14ac:dyDescent="0.2">
      <c r="B102" s="240"/>
      <c r="C102" s="240"/>
      <c r="D102" s="240"/>
      <c r="E102" s="240"/>
      <c r="F102" s="240"/>
      <c r="G102" s="240"/>
      <c r="H102" s="240"/>
    </row>
    <row r="103" spans="2:9" x14ac:dyDescent="0.2">
      <c r="B103" s="251" t="str">
        <f t="shared" ref="B103:B121" si="0">B75</f>
        <v>R2</v>
      </c>
      <c r="C103" s="251" t="s">
        <v>1452</v>
      </c>
      <c r="D103" s="251" t="s">
        <v>1453</v>
      </c>
      <c r="E103" s="251" t="s">
        <v>144</v>
      </c>
      <c r="F103" s="251" t="s">
        <v>193</v>
      </c>
      <c r="G103" s="251" t="s">
        <v>1598</v>
      </c>
      <c r="H103" s="251"/>
      <c r="I103" s="253"/>
    </row>
    <row r="104" spans="2:9" x14ac:dyDescent="0.2">
      <c r="B104" s="251" t="str">
        <f t="shared" si="0"/>
        <v>R3</v>
      </c>
      <c r="C104" s="251" t="s">
        <v>1454</v>
      </c>
      <c r="D104" s="251" t="s">
        <v>1455</v>
      </c>
      <c r="E104" s="251" t="s">
        <v>144</v>
      </c>
      <c r="F104" s="251" t="s">
        <v>193</v>
      </c>
      <c r="G104" s="251"/>
      <c r="H104" s="251"/>
      <c r="I104" s="253"/>
    </row>
    <row r="105" spans="2:9" x14ac:dyDescent="0.2">
      <c r="B105" s="251" t="str">
        <f t="shared" si="0"/>
        <v>R4</v>
      </c>
      <c r="C105" s="251" t="s">
        <v>1456</v>
      </c>
      <c r="D105" s="251" t="s">
        <v>1457</v>
      </c>
      <c r="E105" s="251" t="s">
        <v>144</v>
      </c>
      <c r="F105" s="251" t="s">
        <v>193</v>
      </c>
      <c r="G105" s="251"/>
      <c r="H105" s="251"/>
      <c r="I105" s="253"/>
    </row>
    <row r="106" spans="2:9" x14ac:dyDescent="0.2">
      <c r="B106" s="251" t="str">
        <f t="shared" si="0"/>
        <v>R5</v>
      </c>
      <c r="C106" s="251" t="s">
        <v>1458</v>
      </c>
      <c r="D106" s="251" t="s">
        <v>1459</v>
      </c>
      <c r="E106" s="251" t="s">
        <v>144</v>
      </c>
      <c r="F106" s="251" t="s">
        <v>193</v>
      </c>
      <c r="G106" s="251"/>
      <c r="H106" s="251"/>
      <c r="I106" s="253"/>
    </row>
    <row r="107" spans="2:9" x14ac:dyDescent="0.2">
      <c r="B107" s="251" t="str">
        <f t="shared" si="0"/>
        <v>R6</v>
      </c>
      <c r="C107" s="251" t="s">
        <v>1460</v>
      </c>
      <c r="D107" s="251" t="s">
        <v>1461</v>
      </c>
      <c r="E107" s="251" t="s">
        <v>144</v>
      </c>
      <c r="F107" s="251" t="s">
        <v>193</v>
      </c>
      <c r="G107" s="251"/>
      <c r="H107" s="251"/>
      <c r="I107" s="253"/>
    </row>
    <row r="108" spans="2:9" x14ac:dyDescent="0.2">
      <c r="B108" s="251" t="str">
        <f t="shared" si="0"/>
        <v>R3</v>
      </c>
      <c r="C108" s="251" t="s">
        <v>1462</v>
      </c>
      <c r="D108" s="251" t="s">
        <v>1463</v>
      </c>
      <c r="E108" s="251" t="s">
        <v>144</v>
      </c>
      <c r="F108" s="251" t="s">
        <v>193</v>
      </c>
      <c r="G108" s="251"/>
      <c r="H108" s="251"/>
      <c r="I108" s="253"/>
    </row>
    <row r="109" spans="2:9" x14ac:dyDescent="0.2">
      <c r="B109" s="251" t="str">
        <f t="shared" si="0"/>
        <v>R4</v>
      </c>
      <c r="C109" s="251" t="s">
        <v>1464</v>
      </c>
      <c r="D109" s="251" t="s">
        <v>1465</v>
      </c>
      <c r="E109" s="251" t="s">
        <v>144</v>
      </c>
      <c r="F109" s="251" t="s">
        <v>193</v>
      </c>
      <c r="G109" s="251"/>
      <c r="H109" s="251"/>
      <c r="I109" s="253"/>
    </row>
    <row r="110" spans="2:9" x14ac:dyDescent="0.2">
      <c r="B110" s="251" t="str">
        <f t="shared" si="0"/>
        <v>R5</v>
      </c>
      <c r="C110" s="251" t="s">
        <v>1466</v>
      </c>
      <c r="D110" s="251" t="s">
        <v>1467</v>
      </c>
      <c r="E110" s="251" t="s">
        <v>144</v>
      </c>
      <c r="F110" s="251" t="s">
        <v>193</v>
      </c>
      <c r="G110" s="251"/>
      <c r="H110" s="251"/>
      <c r="I110" s="253"/>
    </row>
    <row r="111" spans="2:9" x14ac:dyDescent="0.2">
      <c r="B111" s="251" t="str">
        <f t="shared" si="0"/>
        <v>R2</v>
      </c>
      <c r="C111" s="251" t="s">
        <v>1189</v>
      </c>
      <c r="D111" s="251" t="s">
        <v>1468</v>
      </c>
      <c r="E111" s="251" t="s">
        <v>144</v>
      </c>
      <c r="F111" s="251" t="s">
        <v>193</v>
      </c>
      <c r="G111" s="251"/>
      <c r="H111" s="251"/>
      <c r="I111" s="253"/>
    </row>
    <row r="112" spans="2:9" x14ac:dyDescent="0.2">
      <c r="B112" s="251" t="str">
        <f t="shared" si="0"/>
        <v>R4</v>
      </c>
      <c r="C112" s="251" t="s">
        <v>1469</v>
      </c>
      <c r="D112" s="251" t="s">
        <v>1470</v>
      </c>
      <c r="E112" s="251" t="s">
        <v>144</v>
      </c>
      <c r="F112" s="251" t="s">
        <v>193</v>
      </c>
      <c r="G112" s="251"/>
      <c r="H112" s="251"/>
      <c r="I112" s="253"/>
    </row>
    <row r="113" spans="2:9" x14ac:dyDescent="0.2">
      <c r="B113" s="251" t="str">
        <f t="shared" si="0"/>
        <v>R6</v>
      </c>
      <c r="C113" s="251" t="s">
        <v>1471</v>
      </c>
      <c r="D113" s="251" t="s">
        <v>1472</v>
      </c>
      <c r="E113" s="251" t="s">
        <v>144</v>
      </c>
      <c r="F113" s="251" t="s">
        <v>193</v>
      </c>
      <c r="G113" s="251"/>
      <c r="H113" s="251"/>
      <c r="I113" s="253"/>
    </row>
    <row r="114" spans="2:9" x14ac:dyDescent="0.2">
      <c r="B114" s="251" t="str">
        <f t="shared" si="0"/>
        <v>R2</v>
      </c>
      <c r="C114" s="251" t="s">
        <v>1473</v>
      </c>
      <c r="D114" s="251" t="s">
        <v>1474</v>
      </c>
      <c r="E114" s="251" t="s">
        <v>144</v>
      </c>
      <c r="F114" s="251" t="s">
        <v>193</v>
      </c>
      <c r="G114" s="251"/>
      <c r="H114" s="251"/>
      <c r="I114" s="253"/>
    </row>
    <row r="115" spans="2:9" x14ac:dyDescent="0.2">
      <c r="B115" s="251" t="str">
        <f t="shared" si="0"/>
        <v>R3</v>
      </c>
      <c r="C115" s="251" t="s">
        <v>1191</v>
      </c>
      <c r="D115" s="251" t="s">
        <v>1203</v>
      </c>
      <c r="E115" s="251" t="s">
        <v>144</v>
      </c>
      <c r="F115" s="251" t="s">
        <v>193</v>
      </c>
      <c r="G115" s="251"/>
      <c r="H115" s="251"/>
      <c r="I115" s="253"/>
    </row>
    <row r="116" spans="2:9" x14ac:dyDescent="0.2">
      <c r="B116" s="251" t="str">
        <f t="shared" si="0"/>
        <v>R5</v>
      </c>
      <c r="C116" s="251" t="s">
        <v>1475</v>
      </c>
      <c r="D116" s="251" t="s">
        <v>1476</v>
      </c>
      <c r="E116" s="251" t="s">
        <v>144</v>
      </c>
      <c r="F116" s="251" t="s">
        <v>193</v>
      </c>
      <c r="G116" s="251"/>
      <c r="H116" s="251"/>
      <c r="I116" s="253"/>
    </row>
    <row r="117" spans="2:9" x14ac:dyDescent="0.2">
      <c r="B117" s="251" t="str">
        <f t="shared" si="0"/>
        <v>R6</v>
      </c>
      <c r="C117" s="251" t="s">
        <v>1477</v>
      </c>
      <c r="D117" s="251" t="s">
        <v>1478</v>
      </c>
      <c r="E117" s="251" t="s">
        <v>144</v>
      </c>
      <c r="F117" s="251" t="s">
        <v>193</v>
      </c>
      <c r="G117" s="251"/>
      <c r="H117" s="251"/>
      <c r="I117" s="253"/>
    </row>
    <row r="118" spans="2:9" x14ac:dyDescent="0.2">
      <c r="B118" s="251" t="str">
        <f t="shared" si="0"/>
        <v>R2</v>
      </c>
      <c r="C118" s="251" t="s">
        <v>1192</v>
      </c>
      <c r="D118" s="251" t="s">
        <v>1204</v>
      </c>
      <c r="E118" s="251" t="s">
        <v>144</v>
      </c>
      <c r="F118" s="251" t="s">
        <v>193</v>
      </c>
      <c r="G118" s="251"/>
      <c r="H118" s="251"/>
      <c r="I118" s="253"/>
    </row>
    <row r="119" spans="2:9" x14ac:dyDescent="0.2">
      <c r="B119" s="251" t="str">
        <f t="shared" si="0"/>
        <v>R4</v>
      </c>
      <c r="C119" s="251" t="s">
        <v>1479</v>
      </c>
      <c r="D119" s="251" t="s">
        <v>1480</v>
      </c>
      <c r="E119" s="251" t="s">
        <v>144</v>
      </c>
      <c r="F119" s="251" t="s">
        <v>193</v>
      </c>
      <c r="G119" s="251"/>
      <c r="H119" s="251"/>
      <c r="I119" s="253"/>
    </row>
    <row r="120" spans="2:9" x14ac:dyDescent="0.2">
      <c r="B120" s="251" t="str">
        <f t="shared" si="0"/>
        <v>R3</v>
      </c>
      <c r="C120" s="251" t="s">
        <v>1193</v>
      </c>
      <c r="D120" s="251" t="s">
        <v>1205</v>
      </c>
      <c r="E120" s="251" t="s">
        <v>144</v>
      </c>
      <c r="F120" s="251" t="s">
        <v>193</v>
      </c>
      <c r="G120" s="251"/>
      <c r="H120" s="251"/>
      <c r="I120" s="253"/>
    </row>
    <row r="121" spans="2:9" x14ac:dyDescent="0.2">
      <c r="B121" s="251" t="str">
        <f t="shared" si="0"/>
        <v>R4</v>
      </c>
      <c r="C121" s="251" t="s">
        <v>1481</v>
      </c>
      <c r="D121" s="251" t="s">
        <v>1482</v>
      </c>
      <c r="E121" s="251" t="s">
        <v>144</v>
      </c>
      <c r="F121" s="251" t="s">
        <v>193</v>
      </c>
      <c r="G121" s="251"/>
      <c r="H121" s="251"/>
      <c r="I121" s="253"/>
    </row>
    <row r="122" spans="2:9" x14ac:dyDescent="0.2">
      <c r="B122" s="251" t="s">
        <v>231</v>
      </c>
      <c r="C122" s="251"/>
      <c r="D122" s="251"/>
      <c r="E122" s="251"/>
      <c r="F122" s="251"/>
      <c r="G122" s="251"/>
      <c r="H122" s="251"/>
      <c r="I122" s="253"/>
    </row>
    <row r="123" spans="2:9" x14ac:dyDescent="0.2">
      <c r="B123" s="251" t="s">
        <v>160</v>
      </c>
      <c r="C123" s="251" t="s">
        <v>553</v>
      </c>
      <c r="D123" s="251" t="s">
        <v>554</v>
      </c>
      <c r="E123" s="251" t="s">
        <v>144</v>
      </c>
      <c r="F123" s="251" t="s">
        <v>193</v>
      </c>
      <c r="G123" s="251"/>
      <c r="H123" s="251"/>
      <c r="I123" s="253"/>
    </row>
    <row r="124" spans="2:9" x14ac:dyDescent="0.2">
      <c r="B124" s="251" t="s">
        <v>1308</v>
      </c>
      <c r="C124" s="251" t="s">
        <v>555</v>
      </c>
      <c r="D124" s="251" t="s">
        <v>556</v>
      </c>
      <c r="E124" s="251" t="s">
        <v>144</v>
      </c>
      <c r="F124" s="251" t="s">
        <v>193</v>
      </c>
      <c r="G124" s="251"/>
      <c r="H124" s="251"/>
      <c r="I124" s="253"/>
    </row>
    <row r="125" spans="2:9" x14ac:dyDescent="0.2">
      <c r="B125" s="251" t="s">
        <v>1311</v>
      </c>
      <c r="C125" s="251" t="s">
        <v>1339</v>
      </c>
      <c r="D125" s="251" t="s">
        <v>1343</v>
      </c>
      <c r="E125" s="251" t="s">
        <v>144</v>
      </c>
      <c r="F125" s="251" t="s">
        <v>193</v>
      </c>
      <c r="G125" s="251"/>
      <c r="H125" s="251"/>
      <c r="I125" s="253"/>
    </row>
    <row r="126" spans="2:9" x14ac:dyDescent="0.2">
      <c r="B126" s="251" t="s">
        <v>1307</v>
      </c>
      <c r="C126" s="251" t="s">
        <v>557</v>
      </c>
      <c r="D126" s="251" t="s">
        <v>558</v>
      </c>
      <c r="E126" s="251" t="s">
        <v>144</v>
      </c>
      <c r="F126" s="251" t="s">
        <v>193</v>
      </c>
      <c r="G126" s="251"/>
      <c r="H126" s="251"/>
      <c r="I126" s="253"/>
    </row>
    <row r="127" spans="2:9" x14ac:dyDescent="0.2">
      <c r="B127" s="251" t="s">
        <v>1312</v>
      </c>
      <c r="C127" s="251" t="s">
        <v>1341</v>
      </c>
      <c r="D127" s="251" t="s">
        <v>1344</v>
      </c>
      <c r="E127" s="251" t="s">
        <v>144</v>
      </c>
      <c r="F127" s="251" t="s">
        <v>193</v>
      </c>
      <c r="G127" s="251"/>
      <c r="H127" s="251"/>
      <c r="I127" s="253"/>
    </row>
    <row r="128" spans="2:9" x14ac:dyDescent="0.2">
      <c r="B128" s="251" t="s">
        <v>1421</v>
      </c>
      <c r="C128" s="251" t="s">
        <v>1340</v>
      </c>
      <c r="D128" s="251" t="s">
        <v>1342</v>
      </c>
      <c r="E128" s="251" t="s">
        <v>144</v>
      </c>
      <c r="F128" s="251" t="s">
        <v>193</v>
      </c>
      <c r="G128" s="251"/>
      <c r="H128" s="251"/>
      <c r="I128" s="253"/>
    </row>
    <row r="129" spans="2:9" x14ac:dyDescent="0.2">
      <c r="B129" s="251" t="s">
        <v>160</v>
      </c>
      <c r="C129" s="251" t="s">
        <v>562</v>
      </c>
      <c r="D129" s="251" t="s">
        <v>563</v>
      </c>
      <c r="E129" s="251" t="s">
        <v>144</v>
      </c>
      <c r="F129" s="251" t="s">
        <v>193</v>
      </c>
      <c r="G129" s="251"/>
      <c r="H129" s="251"/>
      <c r="I129" s="253"/>
    </row>
    <row r="130" spans="2:9" x14ac:dyDescent="0.2">
      <c r="B130" s="251" t="s">
        <v>196</v>
      </c>
      <c r="C130" s="251" t="s">
        <v>1348</v>
      </c>
      <c r="D130" s="251" t="s">
        <v>1669</v>
      </c>
      <c r="E130" s="251" t="s">
        <v>144</v>
      </c>
      <c r="F130" s="251" t="s">
        <v>193</v>
      </c>
      <c r="G130" s="251"/>
      <c r="H130" s="251"/>
      <c r="I130" s="253"/>
    </row>
    <row r="131" spans="2:9" x14ac:dyDescent="0.2">
      <c r="B131" s="251" t="s">
        <v>195</v>
      </c>
      <c r="C131" s="251" t="s">
        <v>564</v>
      </c>
      <c r="D131" s="251" t="s">
        <v>1349</v>
      </c>
      <c r="E131" s="251" t="s">
        <v>144</v>
      </c>
      <c r="F131" s="251" t="s">
        <v>193</v>
      </c>
      <c r="G131" s="251"/>
      <c r="H131" s="251"/>
      <c r="I131" s="253"/>
    </row>
    <row r="143" spans="2:9" x14ac:dyDescent="0.2">
      <c r="B143" s="248" t="s">
        <v>1359</v>
      </c>
      <c r="C143" s="249"/>
      <c r="D143" s="249"/>
      <c r="E143" s="249"/>
      <c r="F143" s="249"/>
      <c r="G143" s="249"/>
      <c r="H143" s="249"/>
      <c r="I143" s="254"/>
    </row>
    <row r="144" spans="2:9" x14ac:dyDescent="0.2">
      <c r="B144" s="251" t="s">
        <v>160</v>
      </c>
      <c r="C144" s="251" t="s">
        <v>1360</v>
      </c>
      <c r="D144" s="251" t="s">
        <v>1361</v>
      </c>
      <c r="E144" s="251" t="s">
        <v>144</v>
      </c>
      <c r="F144" s="251" t="s">
        <v>193</v>
      </c>
      <c r="G144" s="251" t="s">
        <v>1600</v>
      </c>
      <c r="H144" s="251"/>
      <c r="I144" s="253"/>
    </row>
    <row r="145" spans="2:9" x14ac:dyDescent="0.2">
      <c r="B145" s="251" t="s">
        <v>160</v>
      </c>
      <c r="C145" s="251" t="s">
        <v>1362</v>
      </c>
      <c r="D145" s="251" t="s">
        <v>1363</v>
      </c>
      <c r="E145" s="251" t="s">
        <v>144</v>
      </c>
      <c r="F145" s="251" t="s">
        <v>193</v>
      </c>
      <c r="G145" s="251"/>
      <c r="H145" s="251"/>
      <c r="I145" s="253"/>
    </row>
    <row r="146" spans="2:9" x14ac:dyDescent="0.2">
      <c r="B146" s="251" t="s">
        <v>160</v>
      </c>
      <c r="C146" s="251" t="s">
        <v>1364</v>
      </c>
      <c r="D146" s="251" t="s">
        <v>1365</v>
      </c>
      <c r="E146" s="251" t="s">
        <v>144</v>
      </c>
      <c r="F146" s="251" t="s">
        <v>193</v>
      </c>
      <c r="G146" s="251"/>
      <c r="H146" s="251"/>
      <c r="I146" s="253"/>
    </row>
    <row r="147" spans="2:9" x14ac:dyDescent="0.2">
      <c r="B147" s="251" t="s">
        <v>160</v>
      </c>
      <c r="C147" s="251" t="s">
        <v>1366</v>
      </c>
      <c r="D147" s="251" t="s">
        <v>1367</v>
      </c>
      <c r="E147" s="251" t="s">
        <v>144</v>
      </c>
      <c r="F147" s="251" t="s">
        <v>193</v>
      </c>
      <c r="G147" s="251"/>
      <c r="H147" s="251"/>
      <c r="I147" s="253"/>
    </row>
    <row r="148" spans="2:9" x14ac:dyDescent="0.2">
      <c r="B148" s="251" t="s">
        <v>160</v>
      </c>
      <c r="C148" s="251" t="s">
        <v>1368</v>
      </c>
      <c r="D148" s="251" t="s">
        <v>1369</v>
      </c>
      <c r="E148" s="251" t="s">
        <v>144</v>
      </c>
      <c r="F148" s="251" t="s">
        <v>193</v>
      </c>
      <c r="G148" s="251"/>
      <c r="H148" s="251"/>
      <c r="I148" s="253"/>
    </row>
    <row r="149" spans="2:9" x14ac:dyDescent="0.2">
      <c r="B149" s="251" t="s">
        <v>168</v>
      </c>
      <c r="C149" s="251" t="s">
        <v>1370</v>
      </c>
      <c r="D149" s="251" t="s">
        <v>1371</v>
      </c>
      <c r="E149" s="251" t="s">
        <v>144</v>
      </c>
      <c r="F149" s="251" t="s">
        <v>193</v>
      </c>
      <c r="G149" s="251"/>
      <c r="H149" s="251"/>
      <c r="I149" s="253"/>
    </row>
    <row r="150" spans="2:9" x14ac:dyDescent="0.2">
      <c r="B150" s="251" t="s">
        <v>168</v>
      </c>
      <c r="C150" s="251" t="s">
        <v>1372</v>
      </c>
      <c r="D150" s="251" t="s">
        <v>1373</v>
      </c>
      <c r="E150" s="251" t="s">
        <v>144</v>
      </c>
      <c r="F150" s="251" t="s">
        <v>193</v>
      </c>
      <c r="G150" s="251"/>
      <c r="H150" s="251"/>
      <c r="I150" s="253"/>
    </row>
    <row r="151" spans="2:9" x14ac:dyDescent="0.2">
      <c r="B151" s="251" t="s">
        <v>168</v>
      </c>
      <c r="C151" s="251" t="s">
        <v>1374</v>
      </c>
      <c r="D151" s="251" t="s">
        <v>1375</v>
      </c>
      <c r="E151" s="251" t="s">
        <v>144</v>
      </c>
      <c r="F151" s="251" t="s">
        <v>193</v>
      </c>
      <c r="G151" s="251"/>
      <c r="H151" s="251"/>
      <c r="I151" s="253"/>
    </row>
    <row r="152" spans="2:9" x14ac:dyDescent="0.2">
      <c r="B152" s="251" t="s">
        <v>165</v>
      </c>
      <c r="C152" s="251" t="s">
        <v>616</v>
      </c>
      <c r="D152" s="251" t="s">
        <v>516</v>
      </c>
      <c r="E152" s="251" t="s">
        <v>144</v>
      </c>
      <c r="F152" s="251" t="s">
        <v>193</v>
      </c>
      <c r="G152" s="251"/>
      <c r="H152" s="251"/>
      <c r="I152" s="253"/>
    </row>
    <row r="153" spans="2:9" x14ac:dyDescent="0.2">
      <c r="B153" s="251" t="s">
        <v>165</v>
      </c>
      <c r="C153" s="251" t="s">
        <v>1376</v>
      </c>
      <c r="D153" s="251" t="s">
        <v>1377</v>
      </c>
      <c r="E153" s="251" t="s">
        <v>144</v>
      </c>
      <c r="F153" s="251" t="s">
        <v>193</v>
      </c>
      <c r="G153" s="251"/>
      <c r="H153" s="251"/>
      <c r="I153" s="253"/>
    </row>
    <row r="154" spans="2:9" x14ac:dyDescent="0.2">
      <c r="B154" s="251" t="s">
        <v>165</v>
      </c>
      <c r="C154" s="251" t="s">
        <v>1378</v>
      </c>
      <c r="D154" s="251" t="s">
        <v>1379</v>
      </c>
      <c r="E154" s="251" t="s">
        <v>144</v>
      </c>
      <c r="F154" s="251" t="s">
        <v>193</v>
      </c>
      <c r="G154" s="251"/>
      <c r="H154" s="251"/>
      <c r="I154" s="253"/>
    </row>
    <row r="155" spans="2:9" x14ac:dyDescent="0.2">
      <c r="B155" s="251" t="s">
        <v>196</v>
      </c>
      <c r="C155" s="251" t="s">
        <v>1380</v>
      </c>
      <c r="D155" s="251" t="s">
        <v>1381</v>
      </c>
      <c r="E155" s="251" t="s">
        <v>144</v>
      </c>
      <c r="F155" s="251" t="s">
        <v>193</v>
      </c>
      <c r="G155" s="251"/>
      <c r="H155" s="251"/>
      <c r="I155" s="253"/>
    </row>
    <row r="156" spans="2:9" x14ac:dyDescent="0.2">
      <c r="B156" s="251" t="s">
        <v>196</v>
      </c>
      <c r="C156" s="251" t="s">
        <v>618</v>
      </c>
      <c r="D156" s="251" t="s">
        <v>518</v>
      </c>
      <c r="E156" s="251" t="s">
        <v>144</v>
      </c>
      <c r="F156" s="251" t="s">
        <v>193</v>
      </c>
      <c r="G156" s="251"/>
      <c r="H156" s="251"/>
      <c r="I156" s="253"/>
    </row>
    <row r="157" spans="2:9" x14ac:dyDescent="0.2">
      <c r="B157" s="251" t="s">
        <v>196</v>
      </c>
      <c r="C157" s="251" t="s">
        <v>1382</v>
      </c>
      <c r="D157" s="251" t="s">
        <v>1383</v>
      </c>
      <c r="E157" s="251" t="s">
        <v>144</v>
      </c>
      <c r="F157" s="251" t="s">
        <v>193</v>
      </c>
      <c r="G157" s="251"/>
      <c r="H157" s="251"/>
      <c r="I157" s="253"/>
    </row>
    <row r="158" spans="2:9" x14ac:dyDescent="0.2">
      <c r="B158" s="251" t="s">
        <v>196</v>
      </c>
      <c r="C158" s="251" t="s">
        <v>1384</v>
      </c>
      <c r="D158" s="251" t="s">
        <v>1385</v>
      </c>
      <c r="E158" s="251" t="s">
        <v>144</v>
      </c>
      <c r="F158" s="251" t="s">
        <v>193</v>
      </c>
      <c r="G158" s="251"/>
      <c r="H158" s="251"/>
      <c r="I158" s="253"/>
    </row>
    <row r="159" spans="2:9" x14ac:dyDescent="0.2">
      <c r="B159" s="251" t="s">
        <v>195</v>
      </c>
      <c r="C159" s="251" t="s">
        <v>619</v>
      </c>
      <c r="D159" s="251" t="s">
        <v>519</v>
      </c>
      <c r="E159" s="251" t="s">
        <v>144</v>
      </c>
      <c r="F159" s="251" t="s">
        <v>193</v>
      </c>
      <c r="G159" s="251"/>
      <c r="H159" s="251"/>
      <c r="I159" s="253"/>
    </row>
    <row r="160" spans="2:9" x14ac:dyDescent="0.2">
      <c r="B160" s="251" t="s">
        <v>195</v>
      </c>
      <c r="C160" s="251" t="s">
        <v>1386</v>
      </c>
      <c r="D160" s="251" t="s">
        <v>1387</v>
      </c>
      <c r="E160" s="251" t="s">
        <v>144</v>
      </c>
      <c r="F160" s="251" t="s">
        <v>193</v>
      </c>
      <c r="G160" s="251"/>
      <c r="H160" s="251"/>
      <c r="I160" s="253"/>
    </row>
    <row r="161" spans="2:9" x14ac:dyDescent="0.2">
      <c r="B161" s="251" t="s">
        <v>197</v>
      </c>
      <c r="C161" s="251" t="s">
        <v>620</v>
      </c>
      <c r="D161" s="251" t="s">
        <v>520</v>
      </c>
      <c r="E161" s="251" t="s">
        <v>144</v>
      </c>
      <c r="F161" s="251" t="s">
        <v>193</v>
      </c>
      <c r="G161" s="251"/>
      <c r="H161" s="251"/>
      <c r="I161" s="253"/>
    </row>
    <row r="162" spans="2:9" x14ac:dyDescent="0.2">
      <c r="B162" s="251" t="s">
        <v>197</v>
      </c>
      <c r="C162" s="251" t="s">
        <v>1388</v>
      </c>
      <c r="D162" s="251" t="s">
        <v>1389</v>
      </c>
      <c r="E162" s="251" t="s">
        <v>144</v>
      </c>
      <c r="F162" s="251" t="s">
        <v>193</v>
      </c>
      <c r="G162" s="251"/>
      <c r="H162" s="251"/>
      <c r="I162" s="253"/>
    </row>
    <row r="163" spans="2:9" x14ac:dyDescent="0.2">
      <c r="B163" s="251" t="s">
        <v>168</v>
      </c>
      <c r="C163" s="251" t="s">
        <v>1390</v>
      </c>
      <c r="D163" s="251" t="s">
        <v>1391</v>
      </c>
      <c r="E163" s="251" t="s">
        <v>144</v>
      </c>
      <c r="F163" s="251" t="s">
        <v>193</v>
      </c>
      <c r="G163" s="251" t="s">
        <v>1599</v>
      </c>
      <c r="H163" s="251"/>
      <c r="I163" s="253"/>
    </row>
    <row r="164" spans="2:9" x14ac:dyDescent="0.2">
      <c r="B164" s="251" t="s">
        <v>165</v>
      </c>
      <c r="C164" s="251" t="s">
        <v>1392</v>
      </c>
      <c r="D164" s="251" t="s">
        <v>1393</v>
      </c>
      <c r="E164" s="251" t="s">
        <v>144</v>
      </c>
      <c r="F164" s="251" t="s">
        <v>193</v>
      </c>
      <c r="G164" s="251"/>
      <c r="H164" s="251"/>
      <c r="I164" s="253"/>
    </row>
    <row r="165" spans="2:9" x14ac:dyDescent="0.2">
      <c r="B165" s="251" t="s">
        <v>196</v>
      </c>
      <c r="C165" s="251" t="s">
        <v>1394</v>
      </c>
      <c r="D165" s="251" t="s">
        <v>1395</v>
      </c>
      <c r="E165" s="251" t="s">
        <v>144</v>
      </c>
      <c r="F165" s="251" t="s">
        <v>193</v>
      </c>
      <c r="G165" s="251"/>
      <c r="H165" s="251"/>
      <c r="I165" s="253"/>
    </row>
    <row r="166" spans="2:9" x14ac:dyDescent="0.2">
      <c r="B166" s="251" t="s">
        <v>195</v>
      </c>
      <c r="C166" s="251" t="s">
        <v>1396</v>
      </c>
      <c r="D166" s="251" t="s">
        <v>1397</v>
      </c>
      <c r="E166" s="251" t="s">
        <v>144</v>
      </c>
      <c r="F166" s="251" t="s">
        <v>193</v>
      </c>
      <c r="G166" s="251"/>
      <c r="H166" s="251"/>
      <c r="I166" s="253"/>
    </row>
    <row r="167" spans="2:9" x14ac:dyDescent="0.2">
      <c r="B167" s="251" t="s">
        <v>197</v>
      </c>
      <c r="C167" s="251" t="s">
        <v>1398</v>
      </c>
      <c r="D167" s="251" t="s">
        <v>1399</v>
      </c>
      <c r="E167" s="251" t="s">
        <v>144</v>
      </c>
      <c r="F167" s="251" t="s">
        <v>193</v>
      </c>
      <c r="G167" s="251"/>
      <c r="H167" s="251"/>
      <c r="I167" s="253"/>
    </row>
    <row r="168" spans="2:9" x14ac:dyDescent="0.2">
      <c r="B168" s="251" t="s">
        <v>165</v>
      </c>
      <c r="C168" s="251" t="s">
        <v>1400</v>
      </c>
      <c r="D168" s="251" t="s">
        <v>1401</v>
      </c>
      <c r="E168" s="251" t="s">
        <v>144</v>
      </c>
      <c r="F168" s="251" t="s">
        <v>193</v>
      </c>
      <c r="G168" s="251"/>
      <c r="H168" s="251"/>
      <c r="I168" s="253"/>
    </row>
    <row r="169" spans="2:9" x14ac:dyDescent="0.2">
      <c r="B169" s="251" t="s">
        <v>196</v>
      </c>
      <c r="C169" s="251" t="s">
        <v>1402</v>
      </c>
      <c r="D169" s="251" t="s">
        <v>1403</v>
      </c>
      <c r="E169" s="251" t="s">
        <v>144</v>
      </c>
      <c r="F169" s="251" t="s">
        <v>193</v>
      </c>
      <c r="G169" s="251"/>
      <c r="H169" s="251"/>
      <c r="I169" s="253"/>
    </row>
    <row r="170" spans="2:9" x14ac:dyDescent="0.2">
      <c r="B170" s="251" t="s">
        <v>195</v>
      </c>
      <c r="C170" s="251" t="s">
        <v>1404</v>
      </c>
      <c r="D170" s="251" t="s">
        <v>1405</v>
      </c>
      <c r="E170" s="251" t="s">
        <v>144</v>
      </c>
      <c r="F170" s="251" t="s">
        <v>193</v>
      </c>
      <c r="G170" s="251"/>
      <c r="H170" s="251"/>
      <c r="I170" s="253"/>
    </row>
    <row r="171" spans="2:9" x14ac:dyDescent="0.2">
      <c r="B171" s="251" t="s">
        <v>168</v>
      </c>
      <c r="C171" s="251" t="s">
        <v>628</v>
      </c>
      <c r="D171" s="251" t="s">
        <v>528</v>
      </c>
      <c r="E171" s="251" t="s">
        <v>144</v>
      </c>
      <c r="F171" s="251" t="s">
        <v>193</v>
      </c>
      <c r="G171" s="251"/>
      <c r="H171" s="251"/>
      <c r="I171" s="253"/>
    </row>
    <row r="172" spans="2:9" x14ac:dyDescent="0.2">
      <c r="B172" s="251" t="s">
        <v>196</v>
      </c>
      <c r="C172" s="251" t="s">
        <v>1406</v>
      </c>
      <c r="D172" s="251" t="s">
        <v>1407</v>
      </c>
      <c r="E172" s="251" t="s">
        <v>144</v>
      </c>
      <c r="F172" s="251" t="s">
        <v>193</v>
      </c>
      <c r="G172" s="251"/>
      <c r="H172" s="251"/>
      <c r="I172" s="253"/>
    </row>
    <row r="173" spans="2:9" x14ac:dyDescent="0.2">
      <c r="B173" s="251" t="s">
        <v>197</v>
      </c>
      <c r="C173" s="251" t="s">
        <v>1408</v>
      </c>
      <c r="D173" s="251" t="s">
        <v>1409</v>
      </c>
      <c r="E173" s="251" t="s">
        <v>144</v>
      </c>
      <c r="F173" s="251" t="s">
        <v>193</v>
      </c>
      <c r="G173" s="251"/>
      <c r="H173" s="251"/>
      <c r="I173" s="253"/>
    </row>
    <row r="174" spans="2:9" x14ac:dyDescent="0.2">
      <c r="B174" s="251" t="s">
        <v>168</v>
      </c>
      <c r="C174" s="251" t="s">
        <v>1410</v>
      </c>
      <c r="D174" s="251" t="s">
        <v>1411</v>
      </c>
      <c r="E174" s="251" t="s">
        <v>144</v>
      </c>
      <c r="F174" s="251" t="s">
        <v>193</v>
      </c>
      <c r="G174" s="251"/>
      <c r="H174" s="251"/>
      <c r="I174" s="253"/>
    </row>
    <row r="175" spans="2:9" x14ac:dyDescent="0.2">
      <c r="B175" s="251" t="s">
        <v>165</v>
      </c>
      <c r="C175" s="251" t="s">
        <v>630</v>
      </c>
      <c r="D175" s="251" t="s">
        <v>530</v>
      </c>
      <c r="E175" s="251" t="s">
        <v>144</v>
      </c>
      <c r="F175" s="251" t="s">
        <v>193</v>
      </c>
      <c r="G175" s="251"/>
      <c r="H175" s="251"/>
      <c r="I175" s="253"/>
    </row>
    <row r="176" spans="2:9" x14ac:dyDescent="0.2">
      <c r="B176" s="251" t="s">
        <v>195</v>
      </c>
      <c r="C176" s="251" t="s">
        <v>1412</v>
      </c>
      <c r="D176" s="251" t="s">
        <v>1413</v>
      </c>
      <c r="E176" s="251" t="s">
        <v>144</v>
      </c>
      <c r="F176" s="251" t="s">
        <v>193</v>
      </c>
      <c r="G176" s="251"/>
      <c r="H176" s="251"/>
      <c r="I176" s="253"/>
    </row>
    <row r="177" spans="2:9" x14ac:dyDescent="0.2">
      <c r="B177" s="251" t="s">
        <v>197</v>
      </c>
      <c r="C177" s="251" t="s">
        <v>1414</v>
      </c>
      <c r="D177" s="251" t="s">
        <v>1415</v>
      </c>
      <c r="E177" s="251" t="s">
        <v>144</v>
      </c>
      <c r="F177" s="251" t="s">
        <v>193</v>
      </c>
      <c r="G177" s="251"/>
      <c r="H177" s="251"/>
      <c r="I177" s="253"/>
    </row>
    <row r="178" spans="2:9" x14ac:dyDescent="0.2">
      <c r="B178" s="251" t="s">
        <v>168</v>
      </c>
      <c r="C178" s="251" t="s">
        <v>631</v>
      </c>
      <c r="D178" s="251" t="s">
        <v>531</v>
      </c>
      <c r="E178" s="251" t="s">
        <v>144</v>
      </c>
      <c r="F178" s="251" t="s">
        <v>193</v>
      </c>
      <c r="G178" s="251"/>
      <c r="H178" s="251"/>
      <c r="I178" s="253"/>
    </row>
    <row r="179" spans="2:9" x14ac:dyDescent="0.2">
      <c r="B179" s="251" t="s">
        <v>196</v>
      </c>
      <c r="C179" s="251" t="s">
        <v>1416</v>
      </c>
      <c r="D179" s="251" t="s">
        <v>1417</v>
      </c>
      <c r="E179" s="251" t="s">
        <v>144</v>
      </c>
      <c r="F179" s="251" t="s">
        <v>193</v>
      </c>
      <c r="G179" s="251"/>
      <c r="H179" s="251"/>
      <c r="I179" s="253"/>
    </row>
    <row r="180" spans="2:9" x14ac:dyDescent="0.2">
      <c r="B180" s="251" t="s">
        <v>165</v>
      </c>
      <c r="C180" s="251" t="s">
        <v>632</v>
      </c>
      <c r="D180" s="251" t="s">
        <v>532</v>
      </c>
      <c r="E180" s="251" t="s">
        <v>144</v>
      </c>
      <c r="F180" s="251" t="s">
        <v>193</v>
      </c>
      <c r="G180" s="251"/>
      <c r="H180" s="251"/>
      <c r="I180" s="253"/>
    </row>
    <row r="181" spans="2:9" x14ac:dyDescent="0.2">
      <c r="B181" s="251" t="s">
        <v>196</v>
      </c>
      <c r="C181" s="251" t="s">
        <v>1418</v>
      </c>
      <c r="D181" s="251" t="s">
        <v>1419</v>
      </c>
      <c r="E181" s="251" t="s">
        <v>144</v>
      </c>
      <c r="F181" s="251" t="s">
        <v>193</v>
      </c>
      <c r="G181" s="251"/>
      <c r="H181" s="251"/>
      <c r="I181" s="253"/>
    </row>
    <row r="182" spans="2:9" x14ac:dyDescent="0.2">
      <c r="B182" s="248" t="s">
        <v>1544</v>
      </c>
      <c r="C182" s="249"/>
      <c r="D182" s="249"/>
      <c r="E182" s="249"/>
      <c r="F182" s="249"/>
      <c r="G182" s="249"/>
      <c r="H182" s="249"/>
      <c r="I182" s="254"/>
    </row>
    <row r="183" spans="2:9" x14ac:dyDescent="0.2">
      <c r="B183" s="251" t="s">
        <v>1420</v>
      </c>
      <c r="C183" s="251" t="s">
        <v>591</v>
      </c>
      <c r="D183" s="251" t="s">
        <v>592</v>
      </c>
      <c r="E183" s="251" t="s">
        <v>144</v>
      </c>
      <c r="F183" s="251" t="s">
        <v>193</v>
      </c>
      <c r="G183" s="251" t="s">
        <v>1598</v>
      </c>
      <c r="H183" s="251"/>
      <c r="I183" s="253"/>
    </row>
    <row r="184" spans="2:9" x14ac:dyDescent="0.2">
      <c r="B184" s="251" t="s">
        <v>1308</v>
      </c>
      <c r="C184" s="251" t="s">
        <v>593</v>
      </c>
      <c r="D184" s="251" t="s">
        <v>604</v>
      </c>
      <c r="E184" s="251" t="s">
        <v>144</v>
      </c>
      <c r="F184" s="251" t="s">
        <v>193</v>
      </c>
      <c r="G184" s="251"/>
      <c r="H184" s="251"/>
      <c r="I184" s="253"/>
    </row>
    <row r="185" spans="2:9" x14ac:dyDescent="0.2">
      <c r="B185" s="251" t="s">
        <v>1312</v>
      </c>
      <c r="C185" s="251" t="s">
        <v>594</v>
      </c>
      <c r="D185" s="251" t="s">
        <v>605</v>
      </c>
      <c r="E185" s="251" t="s">
        <v>144</v>
      </c>
      <c r="F185" s="251" t="s">
        <v>193</v>
      </c>
      <c r="G185" s="251"/>
      <c r="H185" s="251"/>
      <c r="I185" s="253"/>
    </row>
    <row r="186" spans="2:9" x14ac:dyDescent="0.2">
      <c r="B186" s="251" t="s">
        <v>1311</v>
      </c>
      <c r="C186" s="251" t="s">
        <v>595</v>
      </c>
      <c r="D186" s="251" t="s">
        <v>606</v>
      </c>
      <c r="E186" s="251" t="s">
        <v>144</v>
      </c>
      <c r="F186" s="251" t="s">
        <v>193</v>
      </c>
      <c r="G186" s="251"/>
      <c r="H186" s="251"/>
      <c r="I186" s="253"/>
    </row>
    <row r="187" spans="2:9" x14ac:dyDescent="0.2">
      <c r="B187" s="251" t="s">
        <v>1308</v>
      </c>
      <c r="C187" s="251" t="s">
        <v>596</v>
      </c>
      <c r="D187" s="251" t="s">
        <v>607</v>
      </c>
      <c r="E187" s="251" t="s">
        <v>144</v>
      </c>
      <c r="F187" s="251" t="s">
        <v>193</v>
      </c>
      <c r="G187" s="251"/>
      <c r="H187" s="251"/>
      <c r="I187" s="253"/>
    </row>
    <row r="188" spans="2:9" x14ac:dyDescent="0.2">
      <c r="B188" s="251" t="s">
        <v>1311</v>
      </c>
      <c r="C188" s="251" t="s">
        <v>597</v>
      </c>
      <c r="D188" s="251" t="s">
        <v>608</v>
      </c>
      <c r="E188" s="251" t="s">
        <v>144</v>
      </c>
      <c r="F188" s="251" t="s">
        <v>193</v>
      </c>
      <c r="G188" s="251"/>
      <c r="H188" s="251"/>
      <c r="I188" s="253"/>
    </row>
    <row r="189" spans="2:9" x14ac:dyDescent="0.2">
      <c r="B189" s="251" t="s">
        <v>1312</v>
      </c>
      <c r="C189" s="251" t="s">
        <v>598</v>
      </c>
      <c r="D189" s="251" t="s">
        <v>609</v>
      </c>
      <c r="E189" s="251" t="s">
        <v>144</v>
      </c>
      <c r="F189" s="251" t="s">
        <v>193</v>
      </c>
      <c r="G189" s="251"/>
      <c r="H189" s="251"/>
      <c r="I189" s="253"/>
    </row>
    <row r="190" spans="2:9" hidden="1" x14ac:dyDescent="0.2">
      <c r="B190" s="251" t="s">
        <v>1307</v>
      </c>
      <c r="C190" s="251" t="s">
        <v>599</v>
      </c>
      <c r="D190" s="251" t="s">
        <v>610</v>
      </c>
      <c r="E190" s="251" t="s">
        <v>144</v>
      </c>
      <c r="F190" s="251" t="s">
        <v>193</v>
      </c>
      <c r="G190" s="251"/>
      <c r="H190" s="251"/>
      <c r="I190" s="253"/>
    </row>
    <row r="191" spans="2:9" hidden="1" x14ac:dyDescent="0.2">
      <c r="B191" s="251" t="s">
        <v>1421</v>
      </c>
      <c r="C191" s="251" t="s">
        <v>600</v>
      </c>
      <c r="D191" s="251" t="s">
        <v>611</v>
      </c>
      <c r="E191" s="251" t="s">
        <v>144</v>
      </c>
      <c r="F191" s="251" t="s">
        <v>193</v>
      </c>
      <c r="G191" s="251"/>
      <c r="H191" s="251"/>
      <c r="I191" s="253"/>
    </row>
    <row r="192" spans="2:9" hidden="1" x14ac:dyDescent="0.2">
      <c r="B192" s="251" t="s">
        <v>1307</v>
      </c>
      <c r="C192" s="251" t="s">
        <v>601</v>
      </c>
      <c r="D192" s="251" t="s">
        <v>612</v>
      </c>
      <c r="E192" s="251"/>
      <c r="F192" s="251"/>
      <c r="G192" s="251"/>
      <c r="H192" s="251"/>
      <c r="I192" s="253"/>
    </row>
    <row r="193" spans="2:9" hidden="1" x14ac:dyDescent="0.2">
      <c r="B193" s="251" t="s">
        <v>1306</v>
      </c>
      <c r="C193" s="251" t="s">
        <v>602</v>
      </c>
      <c r="D193" s="251" t="s">
        <v>613</v>
      </c>
      <c r="E193" s="251"/>
      <c r="F193" s="251"/>
      <c r="G193" s="251"/>
      <c r="H193" s="251"/>
      <c r="I193" s="253"/>
    </row>
    <row r="194" spans="2:9" hidden="1" x14ac:dyDescent="0.2">
      <c r="B194" s="251" t="s">
        <v>1305</v>
      </c>
      <c r="C194" s="251" t="s">
        <v>603</v>
      </c>
      <c r="D194" s="251" t="s">
        <v>614</v>
      </c>
      <c r="E194" s="251"/>
      <c r="F194" s="251"/>
      <c r="G194" s="251"/>
      <c r="H194" s="251"/>
      <c r="I194" s="253"/>
    </row>
    <row r="195" spans="2:9" x14ac:dyDescent="0.2">
      <c r="B195" s="251" t="s">
        <v>231</v>
      </c>
      <c r="C195" s="251"/>
      <c r="D195" s="251"/>
      <c r="E195" s="251"/>
      <c r="F195" s="251"/>
      <c r="G195" s="251"/>
      <c r="H195" s="251"/>
      <c r="I195" s="253"/>
    </row>
    <row r="196" spans="2:9" x14ac:dyDescent="0.2">
      <c r="B196" s="251" t="s">
        <v>1420</v>
      </c>
      <c r="C196" s="251" t="s">
        <v>1188</v>
      </c>
      <c r="D196" s="251" t="s">
        <v>1200</v>
      </c>
      <c r="E196" s="251" t="s">
        <v>144</v>
      </c>
      <c r="F196" s="251" t="s">
        <v>193</v>
      </c>
      <c r="G196" s="251"/>
      <c r="H196" s="251"/>
      <c r="I196" s="253"/>
    </row>
    <row r="197" spans="2:9" x14ac:dyDescent="0.2">
      <c r="B197" s="251" t="s">
        <v>1308</v>
      </c>
      <c r="C197" s="251" t="s">
        <v>1189</v>
      </c>
      <c r="D197" s="251" t="s">
        <v>1201</v>
      </c>
      <c r="E197" s="251" t="s">
        <v>144</v>
      </c>
      <c r="F197" s="251" t="s">
        <v>193</v>
      </c>
      <c r="G197" s="251"/>
      <c r="H197" s="251"/>
      <c r="I197" s="253"/>
    </row>
    <row r="198" spans="2:9" x14ac:dyDescent="0.2">
      <c r="B198" s="251" t="s">
        <v>1312</v>
      </c>
      <c r="C198" s="251" t="s">
        <v>1190</v>
      </c>
      <c r="D198" s="251" t="s">
        <v>1202</v>
      </c>
      <c r="E198" s="251" t="s">
        <v>144</v>
      </c>
      <c r="F198" s="251" t="s">
        <v>193</v>
      </c>
      <c r="G198" s="251"/>
      <c r="H198" s="251"/>
      <c r="I198" s="253"/>
    </row>
    <row r="199" spans="2:9" x14ac:dyDescent="0.2">
      <c r="B199" s="251" t="s">
        <v>1311</v>
      </c>
      <c r="C199" s="251" t="s">
        <v>1191</v>
      </c>
      <c r="D199" s="251" t="s">
        <v>1203</v>
      </c>
      <c r="E199" s="251" t="s">
        <v>144</v>
      </c>
      <c r="F199" s="251" t="s">
        <v>193</v>
      </c>
      <c r="G199" s="251"/>
      <c r="H199" s="251"/>
      <c r="I199" s="253"/>
    </row>
    <row r="200" spans="2:9" x14ac:dyDescent="0.2">
      <c r="B200" s="251" t="s">
        <v>1308</v>
      </c>
      <c r="C200" s="251" t="s">
        <v>1192</v>
      </c>
      <c r="D200" s="251" t="s">
        <v>1204</v>
      </c>
      <c r="E200" s="251" t="s">
        <v>144</v>
      </c>
      <c r="F200" s="251" t="s">
        <v>193</v>
      </c>
      <c r="G200" s="251"/>
      <c r="H200" s="251"/>
      <c r="I200" s="253"/>
    </row>
    <row r="201" spans="2:9" x14ac:dyDescent="0.2">
      <c r="B201" s="251" t="s">
        <v>1311</v>
      </c>
      <c r="C201" s="251" t="s">
        <v>1193</v>
      </c>
      <c r="D201" s="251" t="s">
        <v>1205</v>
      </c>
      <c r="E201" s="251" t="s">
        <v>144</v>
      </c>
      <c r="F201" s="251" t="s">
        <v>193</v>
      </c>
      <c r="G201" s="251"/>
      <c r="H201" s="251"/>
      <c r="I201" s="253"/>
    </row>
    <row r="202" spans="2:9" x14ac:dyDescent="0.2">
      <c r="B202" s="251" t="s">
        <v>1312</v>
      </c>
      <c r="C202" s="251" t="s">
        <v>1194</v>
      </c>
      <c r="D202" s="251" t="s">
        <v>1206</v>
      </c>
      <c r="E202" s="251" t="s">
        <v>144</v>
      </c>
      <c r="F202" s="251" t="s">
        <v>193</v>
      </c>
      <c r="G202" s="251"/>
      <c r="H202" s="251"/>
      <c r="I202" s="253"/>
    </row>
    <row r="203" spans="2:9" hidden="1" x14ac:dyDescent="0.2">
      <c r="B203" s="251" t="s">
        <v>1307</v>
      </c>
      <c r="C203" s="251" t="s">
        <v>1195</v>
      </c>
      <c r="D203" s="251" t="s">
        <v>1207</v>
      </c>
      <c r="E203" s="251" t="s">
        <v>144</v>
      </c>
      <c r="F203" s="251" t="s">
        <v>193</v>
      </c>
      <c r="G203" s="251"/>
      <c r="H203" s="251"/>
      <c r="I203" s="253"/>
    </row>
    <row r="204" spans="2:9" hidden="1" x14ac:dyDescent="0.2">
      <c r="B204" s="251" t="s">
        <v>1421</v>
      </c>
      <c r="C204" s="251" t="s">
        <v>1196</v>
      </c>
      <c r="D204" s="251" t="s">
        <v>1208</v>
      </c>
      <c r="E204" s="251" t="s">
        <v>144</v>
      </c>
      <c r="F204" s="251" t="s">
        <v>193</v>
      </c>
      <c r="G204" s="251"/>
      <c r="H204" s="251"/>
      <c r="I204" s="253"/>
    </row>
    <row r="205" spans="2:9" hidden="1" x14ac:dyDescent="0.2">
      <c r="B205" s="251" t="s">
        <v>1307</v>
      </c>
      <c r="C205" s="251" t="s">
        <v>1197</v>
      </c>
      <c r="D205" s="251" t="s">
        <v>1209</v>
      </c>
      <c r="E205" s="251"/>
      <c r="F205" s="251"/>
      <c r="G205" s="251"/>
      <c r="H205" s="251"/>
      <c r="I205" s="253"/>
    </row>
    <row r="206" spans="2:9" hidden="1" x14ac:dyDescent="0.2">
      <c r="B206" s="251" t="s">
        <v>1306</v>
      </c>
      <c r="C206" s="251" t="s">
        <v>1198</v>
      </c>
      <c r="D206" s="251" t="s">
        <v>1210</v>
      </c>
      <c r="E206" s="251"/>
      <c r="F206" s="251"/>
      <c r="G206" s="251"/>
      <c r="H206" s="251"/>
      <c r="I206" s="253"/>
    </row>
    <row r="207" spans="2:9" hidden="1" x14ac:dyDescent="0.2">
      <c r="B207" s="251" t="s">
        <v>1305</v>
      </c>
      <c r="C207" s="251" t="s">
        <v>1199</v>
      </c>
      <c r="D207" s="251" t="s">
        <v>1211</v>
      </c>
      <c r="E207" s="251"/>
      <c r="F207" s="251"/>
      <c r="G207" s="251"/>
      <c r="H207" s="251"/>
      <c r="I207" s="253"/>
    </row>
    <row r="208" spans="2:9" x14ac:dyDescent="0.2">
      <c r="B208" s="251" t="s">
        <v>231</v>
      </c>
      <c r="C208" s="251"/>
      <c r="D208" s="251"/>
      <c r="E208" s="251"/>
      <c r="F208" s="251"/>
      <c r="G208" s="251"/>
      <c r="H208" s="251"/>
      <c r="I208" s="253"/>
    </row>
    <row r="209" spans="2:9" x14ac:dyDescent="0.2">
      <c r="B209" s="251" t="s">
        <v>231</v>
      </c>
      <c r="C209" s="251"/>
      <c r="D209" s="251"/>
      <c r="E209" s="251"/>
      <c r="F209" s="251"/>
      <c r="G209" s="251"/>
      <c r="H209" s="251"/>
      <c r="I209" s="253"/>
    </row>
    <row r="210" spans="2:9" x14ac:dyDescent="0.2">
      <c r="B210" s="251" t="s">
        <v>1308</v>
      </c>
      <c r="C210" s="251" t="s">
        <v>615</v>
      </c>
      <c r="D210" s="251" t="s">
        <v>515</v>
      </c>
      <c r="E210" s="251" t="s">
        <v>144</v>
      </c>
      <c r="F210" s="251" t="s">
        <v>193</v>
      </c>
      <c r="G210" s="251" t="s">
        <v>1600</v>
      </c>
      <c r="H210" s="251"/>
      <c r="I210" s="253"/>
    </row>
    <row r="211" spans="2:9" x14ac:dyDescent="0.2">
      <c r="B211" s="251" t="s">
        <v>1311</v>
      </c>
      <c r="C211" s="251" t="s">
        <v>616</v>
      </c>
      <c r="D211" s="251" t="s">
        <v>516</v>
      </c>
      <c r="E211" s="251" t="s">
        <v>144</v>
      </c>
      <c r="F211" s="251" t="s">
        <v>193</v>
      </c>
      <c r="G211" s="251"/>
      <c r="H211" s="251"/>
      <c r="I211" s="253"/>
    </row>
    <row r="212" spans="2:9" x14ac:dyDescent="0.2">
      <c r="B212" s="251" t="s">
        <v>1311</v>
      </c>
      <c r="C212" s="251" t="s">
        <v>617</v>
      </c>
      <c r="D212" s="251" t="s">
        <v>517</v>
      </c>
      <c r="E212" s="251" t="s">
        <v>144</v>
      </c>
      <c r="F212" s="251" t="s">
        <v>193</v>
      </c>
      <c r="G212" s="251"/>
      <c r="H212" s="251"/>
      <c r="I212" s="253"/>
    </row>
    <row r="213" spans="2:9" x14ac:dyDescent="0.2">
      <c r="B213" s="251" t="s">
        <v>1307</v>
      </c>
      <c r="C213" s="251" t="s">
        <v>618</v>
      </c>
      <c r="D213" s="251" t="s">
        <v>518</v>
      </c>
      <c r="E213" s="251" t="s">
        <v>144</v>
      </c>
      <c r="F213" s="251" t="s">
        <v>193</v>
      </c>
      <c r="G213" s="251"/>
      <c r="H213" s="251"/>
      <c r="I213" s="253"/>
    </row>
    <row r="214" spans="2:9" x14ac:dyDescent="0.2">
      <c r="B214" s="251" t="s">
        <v>1312</v>
      </c>
      <c r="C214" s="251" t="s">
        <v>619</v>
      </c>
      <c r="D214" s="251" t="s">
        <v>519</v>
      </c>
      <c r="E214" s="251" t="s">
        <v>144</v>
      </c>
      <c r="F214" s="251" t="s">
        <v>193</v>
      </c>
      <c r="G214" s="251"/>
      <c r="H214" s="251"/>
      <c r="I214" s="253"/>
    </row>
    <row r="215" spans="2:9" x14ac:dyDescent="0.2">
      <c r="B215" s="251" t="s">
        <v>1421</v>
      </c>
      <c r="C215" s="251" t="s">
        <v>620</v>
      </c>
      <c r="D215" s="251" t="s">
        <v>520</v>
      </c>
      <c r="E215" s="251" t="s">
        <v>144</v>
      </c>
      <c r="F215" s="251" t="s">
        <v>193</v>
      </c>
      <c r="G215" s="251"/>
      <c r="H215" s="251"/>
      <c r="I215" s="253"/>
    </row>
    <row r="216" spans="2:9" x14ac:dyDescent="0.2">
      <c r="B216" s="251" t="s">
        <v>1421</v>
      </c>
      <c r="C216" s="251" t="s">
        <v>621</v>
      </c>
      <c r="D216" s="251" t="s">
        <v>521</v>
      </c>
      <c r="E216" s="251" t="s">
        <v>144</v>
      </c>
      <c r="F216" s="251" t="s">
        <v>193</v>
      </c>
      <c r="G216" s="251"/>
      <c r="H216" s="251"/>
      <c r="I216" s="253"/>
    </row>
    <row r="217" spans="2:9" hidden="1" x14ac:dyDescent="0.2">
      <c r="B217" s="251" t="s">
        <v>1306</v>
      </c>
      <c r="C217" s="251" t="s">
        <v>622</v>
      </c>
      <c r="D217" s="251" t="s">
        <v>522</v>
      </c>
      <c r="E217" s="251"/>
      <c r="F217" s="251"/>
      <c r="G217" s="251"/>
      <c r="H217" s="251"/>
      <c r="I217" s="253"/>
    </row>
    <row r="218" spans="2:9" hidden="1" x14ac:dyDescent="0.2">
      <c r="B218" s="251" t="s">
        <v>1306</v>
      </c>
      <c r="C218" s="251" t="s">
        <v>623</v>
      </c>
      <c r="D218" s="251" t="s">
        <v>523</v>
      </c>
      <c r="E218" s="251"/>
      <c r="F218" s="251"/>
      <c r="G218" s="251"/>
      <c r="H218" s="251"/>
      <c r="I218" s="253"/>
    </row>
    <row r="219" spans="2:9" hidden="1" x14ac:dyDescent="0.2">
      <c r="B219" s="251" t="s">
        <v>1309</v>
      </c>
      <c r="C219" s="251" t="s">
        <v>624</v>
      </c>
      <c r="D219" s="251" t="s">
        <v>524</v>
      </c>
      <c r="E219" s="251"/>
      <c r="F219" s="251"/>
      <c r="G219" s="251"/>
      <c r="H219" s="251"/>
      <c r="I219" s="253"/>
    </row>
    <row r="220" spans="2:9" hidden="1" x14ac:dyDescent="0.2">
      <c r="B220" s="251" t="s">
        <v>1309</v>
      </c>
      <c r="C220" s="251" t="s">
        <v>625</v>
      </c>
      <c r="D220" s="251" t="s">
        <v>525</v>
      </c>
      <c r="E220" s="251"/>
      <c r="F220" s="251"/>
      <c r="G220" s="251"/>
      <c r="H220" s="251"/>
      <c r="I220" s="253"/>
    </row>
    <row r="221" spans="2:9" hidden="1" x14ac:dyDescent="0.2">
      <c r="B221" s="251" t="s">
        <v>1309</v>
      </c>
      <c r="C221" s="251" t="s">
        <v>626</v>
      </c>
      <c r="D221" s="251" t="s">
        <v>526</v>
      </c>
      <c r="E221" s="251"/>
      <c r="F221" s="251"/>
      <c r="G221" s="251"/>
      <c r="H221" s="251"/>
      <c r="I221" s="253"/>
    </row>
    <row r="222" spans="2:9" x14ac:dyDescent="0.2">
      <c r="B222" s="251" t="s">
        <v>1420</v>
      </c>
      <c r="C222" s="251" t="s">
        <v>627</v>
      </c>
      <c r="D222" s="251" t="s">
        <v>527</v>
      </c>
      <c r="E222" s="251" t="s">
        <v>144</v>
      </c>
      <c r="F222" s="251" t="s">
        <v>193</v>
      </c>
      <c r="G222" s="251" t="s">
        <v>1599</v>
      </c>
      <c r="H222" s="251"/>
      <c r="I222" s="253"/>
    </row>
    <row r="223" spans="2:9" x14ac:dyDescent="0.2">
      <c r="B223" s="251" t="s">
        <v>1308</v>
      </c>
      <c r="C223" s="251" t="s">
        <v>628</v>
      </c>
      <c r="D223" s="251" t="s">
        <v>528</v>
      </c>
      <c r="E223" s="251" t="s">
        <v>144</v>
      </c>
      <c r="F223" s="251" t="s">
        <v>193</v>
      </c>
      <c r="G223" s="251"/>
      <c r="H223" s="251"/>
      <c r="I223" s="253"/>
    </row>
    <row r="224" spans="2:9" x14ac:dyDescent="0.2">
      <c r="B224" s="251" t="s">
        <v>1312</v>
      </c>
      <c r="C224" s="251" t="s">
        <v>629</v>
      </c>
      <c r="D224" s="251" t="s">
        <v>529</v>
      </c>
      <c r="E224" s="251" t="s">
        <v>144</v>
      </c>
      <c r="F224" s="251" t="s">
        <v>193</v>
      </c>
      <c r="G224" s="251"/>
      <c r="H224" s="251"/>
      <c r="I224" s="253"/>
    </row>
    <row r="225" spans="2:9" x14ac:dyDescent="0.2">
      <c r="B225" s="251" t="s">
        <v>1311</v>
      </c>
      <c r="C225" s="251" t="s">
        <v>630</v>
      </c>
      <c r="D225" s="251" t="s">
        <v>530</v>
      </c>
      <c r="E225" s="251" t="s">
        <v>144</v>
      </c>
      <c r="F225" s="251" t="s">
        <v>193</v>
      </c>
      <c r="G225" s="251"/>
      <c r="H225" s="251"/>
      <c r="I225" s="253"/>
    </row>
    <row r="226" spans="2:9" x14ac:dyDescent="0.2">
      <c r="B226" s="251" t="s">
        <v>1308</v>
      </c>
      <c r="C226" s="251" t="s">
        <v>631</v>
      </c>
      <c r="D226" s="251" t="s">
        <v>531</v>
      </c>
      <c r="E226" s="251" t="s">
        <v>144</v>
      </c>
      <c r="F226" s="251" t="s">
        <v>193</v>
      </c>
      <c r="G226" s="251"/>
      <c r="H226" s="251"/>
      <c r="I226" s="253"/>
    </row>
    <row r="227" spans="2:9" x14ac:dyDescent="0.2">
      <c r="B227" s="251" t="s">
        <v>1311</v>
      </c>
      <c r="C227" s="251" t="s">
        <v>632</v>
      </c>
      <c r="D227" s="251" t="s">
        <v>532</v>
      </c>
      <c r="E227" s="251" t="s">
        <v>144</v>
      </c>
      <c r="F227" s="251" t="s">
        <v>193</v>
      </c>
      <c r="G227" s="251"/>
      <c r="H227" s="251"/>
      <c r="I227" s="253"/>
    </row>
    <row r="228" spans="2:9" x14ac:dyDescent="0.2">
      <c r="B228" s="251" t="s">
        <v>1312</v>
      </c>
      <c r="C228" s="251" t="s">
        <v>633</v>
      </c>
      <c r="D228" s="251" t="s">
        <v>533</v>
      </c>
      <c r="E228" s="251" t="s">
        <v>144</v>
      </c>
      <c r="F228" s="251" t="s">
        <v>193</v>
      </c>
      <c r="G228" s="251"/>
      <c r="H228" s="251"/>
      <c r="I228" s="253"/>
    </row>
    <row r="229" spans="2:9" hidden="1" x14ac:dyDescent="0.2">
      <c r="B229" s="251" t="s">
        <v>1307</v>
      </c>
      <c r="C229" s="251" t="s">
        <v>634</v>
      </c>
      <c r="D229" s="251" t="s">
        <v>534</v>
      </c>
      <c r="E229" s="251"/>
      <c r="F229" s="251"/>
      <c r="G229" s="251"/>
      <c r="H229" s="251"/>
      <c r="I229" s="253"/>
    </row>
    <row r="230" spans="2:9" hidden="1" x14ac:dyDescent="0.2">
      <c r="B230" s="251" t="s">
        <v>1421</v>
      </c>
      <c r="C230" s="251" t="s">
        <v>635</v>
      </c>
      <c r="D230" s="251" t="s">
        <v>535</v>
      </c>
      <c r="E230" s="251"/>
      <c r="F230" s="251"/>
      <c r="G230" s="251"/>
      <c r="H230" s="251"/>
      <c r="I230" s="253"/>
    </row>
    <row r="231" spans="2:9" hidden="1" x14ac:dyDescent="0.2">
      <c r="B231" s="251" t="s">
        <v>1307</v>
      </c>
      <c r="C231" s="251" t="s">
        <v>636</v>
      </c>
      <c r="D231" s="251" t="s">
        <v>536</v>
      </c>
      <c r="E231" s="251"/>
      <c r="F231" s="251"/>
      <c r="G231" s="251"/>
      <c r="H231" s="251"/>
      <c r="I231" s="253"/>
    </row>
    <row r="232" spans="2:9" hidden="1" x14ac:dyDescent="0.2">
      <c r="B232" s="251" t="s">
        <v>1306</v>
      </c>
      <c r="C232" s="251" t="s">
        <v>637</v>
      </c>
      <c r="D232" s="251" t="s">
        <v>537</v>
      </c>
      <c r="E232" s="251"/>
      <c r="F232" s="251"/>
      <c r="G232" s="251"/>
      <c r="H232" s="251"/>
      <c r="I232" s="253"/>
    </row>
    <row r="233" spans="2:9" hidden="1" x14ac:dyDescent="0.2">
      <c r="B233" s="251" t="s">
        <v>1305</v>
      </c>
      <c r="C233" s="251" t="s">
        <v>638</v>
      </c>
      <c r="D233" s="251" t="s">
        <v>538</v>
      </c>
      <c r="E233" s="251"/>
      <c r="F233" s="251"/>
      <c r="G233" s="251"/>
      <c r="H233" s="251"/>
      <c r="I233" s="253"/>
    </row>
    <row r="234" spans="2:9" x14ac:dyDescent="0.2">
      <c r="B234" s="251" t="s">
        <v>231</v>
      </c>
      <c r="C234" s="251"/>
      <c r="D234" s="251"/>
      <c r="E234" s="251"/>
      <c r="F234" s="251"/>
      <c r="G234" s="251"/>
      <c r="H234" s="251"/>
      <c r="I234" s="253"/>
    </row>
    <row r="235" spans="2:9" x14ac:dyDescent="0.2">
      <c r="B235" s="248" t="s">
        <v>220</v>
      </c>
      <c r="C235" s="249"/>
      <c r="D235" s="249"/>
      <c r="E235" s="249"/>
      <c r="F235" s="249"/>
      <c r="G235" s="249"/>
      <c r="H235" s="249"/>
      <c r="I235" s="254"/>
    </row>
    <row r="236" spans="2:9" x14ac:dyDescent="0.2">
      <c r="B236" s="251" t="s">
        <v>145</v>
      </c>
      <c r="C236" s="251" t="str">
        <f>CONCATENATE("EXP",Commodities!C29,1)</f>
        <v>EXPNGAC11</v>
      </c>
      <c r="D236" s="251" t="str">
        <f t="shared" ref="D236:D241" si="1">CONCATENATE("Export Canadian natural gas to R",RIGHT(C236))</f>
        <v>Export Canadian natural gas to R1</v>
      </c>
      <c r="E236" s="251" t="s">
        <v>144</v>
      </c>
      <c r="F236" s="251" t="s">
        <v>193</v>
      </c>
      <c r="G236" s="251" t="s">
        <v>1600</v>
      </c>
      <c r="H236" s="251"/>
      <c r="I236" s="253"/>
    </row>
    <row r="237" spans="2:9" x14ac:dyDescent="0.2">
      <c r="B237" s="251" t="s">
        <v>230</v>
      </c>
      <c r="C237" s="251" t="str">
        <f>CONCATENATE("EXP",Commodities!C30,2)</f>
        <v>EXPNGAC22</v>
      </c>
      <c r="D237" s="251" t="str">
        <f t="shared" si="1"/>
        <v>Export Canadian natural gas to R2</v>
      </c>
      <c r="E237" s="251" t="s">
        <v>144</v>
      </c>
      <c r="F237" s="251" t="s">
        <v>193</v>
      </c>
      <c r="G237" s="251"/>
      <c r="H237" s="251"/>
      <c r="I237" s="253"/>
    </row>
    <row r="238" spans="2:9" x14ac:dyDescent="0.2">
      <c r="B238" s="251" t="s">
        <v>230</v>
      </c>
      <c r="C238" s="251" t="str">
        <f>CONCATENATE("EXP",Commodities!C31,3)</f>
        <v>EXPNGAC33</v>
      </c>
      <c r="D238" s="251" t="str">
        <f t="shared" si="1"/>
        <v>Export Canadian natural gas to R3</v>
      </c>
      <c r="E238" s="251" t="s">
        <v>144</v>
      </c>
      <c r="F238" s="251" t="s">
        <v>193</v>
      </c>
      <c r="G238" s="251"/>
      <c r="H238" s="251"/>
      <c r="I238" s="253"/>
    </row>
    <row r="239" spans="2:9" x14ac:dyDescent="0.2">
      <c r="B239" s="251" t="s">
        <v>230</v>
      </c>
      <c r="C239" s="251" t="str">
        <f>CONCATENATE("EXP",Commodities!C32,4)</f>
        <v>EXPNGAC44</v>
      </c>
      <c r="D239" s="251" t="str">
        <f t="shared" si="1"/>
        <v>Export Canadian natural gas to R4</v>
      </c>
      <c r="E239" s="251" t="s">
        <v>144</v>
      </c>
      <c r="F239" s="251" t="s">
        <v>193</v>
      </c>
      <c r="G239" s="251"/>
      <c r="H239" s="251"/>
      <c r="I239" s="253"/>
    </row>
    <row r="240" spans="2:9" x14ac:dyDescent="0.2">
      <c r="B240" s="251" t="s">
        <v>230</v>
      </c>
      <c r="C240" s="251" t="str">
        <f>CONCATENATE("EXP",Commodities!C33,5)</f>
        <v>EXPNGAC55</v>
      </c>
      <c r="D240" s="251" t="str">
        <f t="shared" si="1"/>
        <v>Export Canadian natural gas to R5</v>
      </c>
      <c r="E240" s="251" t="s">
        <v>144</v>
      </c>
      <c r="F240" s="251" t="s">
        <v>193</v>
      </c>
      <c r="G240" s="251"/>
      <c r="H240" s="251"/>
      <c r="I240" s="253"/>
    </row>
    <row r="241" spans="2:9" x14ac:dyDescent="0.2">
      <c r="B241" s="251" t="s">
        <v>230</v>
      </c>
      <c r="C241" s="251" t="str">
        <f>CONCATENATE("EXP",Commodities!C34,6)</f>
        <v>EXPNGAC66</v>
      </c>
      <c r="D241" s="251" t="str">
        <f t="shared" si="1"/>
        <v>Export Canadian natural gas to R6</v>
      </c>
      <c r="E241" s="251" t="s">
        <v>144</v>
      </c>
      <c r="F241" s="251" t="s">
        <v>193</v>
      </c>
      <c r="G241" s="251"/>
      <c r="H241" s="251"/>
      <c r="I241" s="253"/>
    </row>
    <row r="242" spans="2:9" x14ac:dyDescent="0.2">
      <c r="B242" s="251" t="s">
        <v>145</v>
      </c>
      <c r="C242" s="251" t="str">
        <f>CONCATENATE("EXP",Commodities!C35,1)</f>
        <v>EXPNGALE11</v>
      </c>
      <c r="D242" s="251" t="str">
        <f>CONCATENATE("Supply LNG to Existing terminal in R",RIGHT(Commodities!C35))</f>
        <v>Supply LNG to Existing terminal in R1</v>
      </c>
      <c r="E242" s="251" t="s">
        <v>144</v>
      </c>
      <c r="F242" s="251" t="s">
        <v>193</v>
      </c>
      <c r="G242" s="251"/>
      <c r="H242" s="251"/>
      <c r="I242" s="253"/>
    </row>
    <row r="243" spans="2:9" x14ac:dyDescent="0.2">
      <c r="B243" s="251" t="s">
        <v>145</v>
      </c>
      <c r="C243" s="251" t="str">
        <f>CONCATENATE("EXP",Commodities!C36,4)</f>
        <v>EXPNGALE44</v>
      </c>
      <c r="D243" s="251" t="str">
        <f>CONCATENATE("Supply LNG to Existing terminal in R",RIGHT(Commodities!C36))</f>
        <v>Supply LNG to Existing terminal in R4</v>
      </c>
      <c r="E243" s="251" t="s">
        <v>144</v>
      </c>
      <c r="F243" s="251" t="s">
        <v>193</v>
      </c>
      <c r="G243" s="251"/>
      <c r="H243" s="251"/>
      <c r="I243" s="253"/>
    </row>
    <row r="244" spans="2:9" x14ac:dyDescent="0.2">
      <c r="B244" s="251" t="s">
        <v>145</v>
      </c>
      <c r="C244" s="251" t="str">
        <f>CONCATENATE("EXP",Commodities!C37,5)</f>
        <v>EXPNGALE55</v>
      </c>
      <c r="D244" s="251" t="str">
        <f>CONCATENATE("Supply LNG to Existing terminal in R",RIGHT(Commodities!C37))</f>
        <v>Supply LNG to Existing terminal in R5</v>
      </c>
      <c r="E244" s="251" t="s">
        <v>144</v>
      </c>
      <c r="F244" s="251" t="s">
        <v>193</v>
      </c>
      <c r="G244" s="251"/>
      <c r="H244" s="251"/>
      <c r="I244" s="253"/>
    </row>
    <row r="245" spans="2:9" x14ac:dyDescent="0.2">
      <c r="B245" s="248" t="s">
        <v>221</v>
      </c>
      <c r="C245" s="249"/>
      <c r="D245" s="249"/>
      <c r="E245" s="249"/>
      <c r="F245" s="249"/>
      <c r="G245" s="249"/>
      <c r="H245" s="249"/>
      <c r="I245" s="254"/>
    </row>
    <row r="246" spans="2:9" x14ac:dyDescent="0.2">
      <c r="B246" s="251" t="str">
        <f>CONCATENATE("R",RIGHT(C246))</f>
        <v>R1</v>
      </c>
      <c r="C246" s="251" t="str">
        <f>CONCATENATE("IMP",Commodities!C29,1)</f>
        <v>IMPNGAC11</v>
      </c>
      <c r="D246" s="251" t="str">
        <f t="shared" ref="D246:D251" si="2">CONCATENATE("Import Canadian natural gas to R",RIGHT(C246))</f>
        <v>Import Canadian natural gas to R1</v>
      </c>
      <c r="E246" s="251" t="s">
        <v>144</v>
      </c>
      <c r="F246" s="251" t="s">
        <v>193</v>
      </c>
      <c r="G246" s="251" t="s">
        <v>1599</v>
      </c>
      <c r="H246" s="251"/>
      <c r="I246" s="253"/>
    </row>
    <row r="247" spans="2:9" x14ac:dyDescent="0.2">
      <c r="B247" s="251" t="str">
        <f>CONCATENATE("*R",RIGHT(C247))</f>
        <v>*R2</v>
      </c>
      <c r="C247" s="251" t="str">
        <f>CONCATENATE("IMP",Commodities!C30,2)</f>
        <v>IMPNGAC22</v>
      </c>
      <c r="D247" s="251" t="str">
        <f t="shared" si="2"/>
        <v>Import Canadian natural gas to R2</v>
      </c>
      <c r="E247" s="251" t="s">
        <v>144</v>
      </c>
      <c r="F247" s="251" t="s">
        <v>193</v>
      </c>
      <c r="G247" s="251"/>
      <c r="H247" s="251"/>
      <c r="I247" s="253"/>
    </row>
    <row r="248" spans="2:9" x14ac:dyDescent="0.2">
      <c r="B248" s="251" t="str">
        <f>CONCATENATE("*R",RIGHT(C248))</f>
        <v>*R3</v>
      </c>
      <c r="C248" s="251" t="str">
        <f>CONCATENATE("IMP",Commodities!C31,3)</f>
        <v>IMPNGAC33</v>
      </c>
      <c r="D248" s="251" t="str">
        <f t="shared" si="2"/>
        <v>Import Canadian natural gas to R3</v>
      </c>
      <c r="E248" s="251" t="s">
        <v>144</v>
      </c>
      <c r="F248" s="251" t="s">
        <v>193</v>
      </c>
      <c r="G248" s="251"/>
      <c r="H248" s="251"/>
      <c r="I248" s="253"/>
    </row>
    <row r="249" spans="2:9" x14ac:dyDescent="0.2">
      <c r="B249" s="251" t="str">
        <f>CONCATENATE("*R",RIGHT(C249))</f>
        <v>*R4</v>
      </c>
      <c r="C249" s="251" t="str">
        <f>CONCATENATE("IMP",Commodities!C32,4)</f>
        <v>IMPNGAC44</v>
      </c>
      <c r="D249" s="251" t="str">
        <f t="shared" si="2"/>
        <v>Import Canadian natural gas to R4</v>
      </c>
      <c r="E249" s="251" t="s">
        <v>144</v>
      </c>
      <c r="F249" s="251" t="s">
        <v>193</v>
      </c>
      <c r="G249" s="251"/>
      <c r="H249" s="251"/>
      <c r="I249" s="253"/>
    </row>
    <row r="250" spans="2:9" x14ac:dyDescent="0.2">
      <c r="B250" s="251" t="str">
        <f>CONCATENATE("*R",RIGHT(C250))</f>
        <v>*R5</v>
      </c>
      <c r="C250" s="251" t="str">
        <f>CONCATENATE("IMP",Commodities!C33,5)</f>
        <v>IMPNGAC55</v>
      </c>
      <c r="D250" s="251" t="str">
        <f t="shared" si="2"/>
        <v>Import Canadian natural gas to R5</v>
      </c>
      <c r="E250" s="251" t="s">
        <v>144</v>
      </c>
      <c r="F250" s="251" t="s">
        <v>193</v>
      </c>
      <c r="G250" s="251"/>
      <c r="H250" s="251"/>
      <c r="I250" s="253"/>
    </row>
    <row r="251" spans="2:9" x14ac:dyDescent="0.2">
      <c r="B251" s="251" t="str">
        <f>CONCATENATE("*R",RIGHT(C251))</f>
        <v>*R6</v>
      </c>
      <c r="C251" s="251" t="str">
        <f>CONCATENATE("IMP",Commodities!C34,6)</f>
        <v>IMPNGAC66</v>
      </c>
      <c r="D251" s="251" t="str">
        <f t="shared" si="2"/>
        <v>Import Canadian natural gas to R6</v>
      </c>
      <c r="E251" s="251" t="s">
        <v>144</v>
      </c>
      <c r="F251" s="251" t="s">
        <v>193</v>
      </c>
      <c r="G251" s="251"/>
      <c r="H251" s="251"/>
      <c r="I251" s="253"/>
    </row>
    <row r="252" spans="2:9" x14ac:dyDescent="0.2">
      <c r="B252" s="251" t="str">
        <f>CONCATENATE("R",RIGHT(Commodities!C35))</f>
        <v>R1</v>
      </c>
      <c r="C252" s="251" t="str">
        <f>CONCATENATE("IMP",Commodities!C35,1)</f>
        <v>IMPNGALE11</v>
      </c>
      <c r="D252" s="251" t="str">
        <f>CONCATENATE("Import LNG to Existing terminal in R",RIGHT(Commodities!C35))</f>
        <v>Import LNG to Existing terminal in R1</v>
      </c>
      <c r="E252" s="251" t="s">
        <v>144</v>
      </c>
      <c r="F252" s="251" t="s">
        <v>193</v>
      </c>
      <c r="G252" s="251"/>
      <c r="H252" s="251"/>
      <c r="I252" s="253"/>
    </row>
    <row r="253" spans="2:9" x14ac:dyDescent="0.2">
      <c r="B253" s="251" t="str">
        <f>CONCATENATE("R",RIGHT(Commodities!C36))</f>
        <v>R4</v>
      </c>
      <c r="C253" s="251" t="str">
        <f>CONCATENATE("IMP",Commodities!C36,4)</f>
        <v>IMPNGALE44</v>
      </c>
      <c r="D253" s="251" t="str">
        <f>CONCATENATE("Import LNG to Existing terminal in R",RIGHT(Commodities!C36))</f>
        <v>Import LNG to Existing terminal in R4</v>
      </c>
      <c r="E253" s="251" t="s">
        <v>144</v>
      </c>
      <c r="F253" s="251" t="s">
        <v>193</v>
      </c>
      <c r="G253" s="251"/>
      <c r="H253" s="251"/>
      <c r="I253" s="253"/>
    </row>
    <row r="254" spans="2:9" x14ac:dyDescent="0.2">
      <c r="B254" s="251" t="str">
        <f>CONCATENATE("R",RIGHT(Commodities!C37))</f>
        <v>R5</v>
      </c>
      <c r="C254" s="251" t="str">
        <f>CONCATENATE("IMP",Commodities!C37,5)</f>
        <v>IMPNGALE55</v>
      </c>
      <c r="D254" s="251" t="str">
        <f>CONCATENATE("Import LNG to Existing terminal in R",RIGHT(Commodities!C37))</f>
        <v>Import LNG to Existing terminal in R5</v>
      </c>
      <c r="E254" s="251" t="s">
        <v>144</v>
      </c>
      <c r="F254" s="251" t="s">
        <v>193</v>
      </c>
      <c r="G254" s="251"/>
      <c r="H254" s="251"/>
      <c r="I254" s="253"/>
    </row>
    <row r="255" spans="2:9" x14ac:dyDescent="0.2">
      <c r="B255" s="251" t="s">
        <v>231</v>
      </c>
      <c r="C255" s="251"/>
      <c r="D255" s="251"/>
      <c r="E255" s="251"/>
      <c r="F255" s="251"/>
      <c r="G255" s="251"/>
      <c r="H255" s="251"/>
      <c r="I255" s="253"/>
    </row>
    <row r="256" spans="2:9" ht="12" customHeight="1" x14ac:dyDescent="0.2"/>
  </sheetData>
  <phoneticPr fontId="0" type="noConversion"/>
  <pageMargins left="0.75" right="0.75" top="1" bottom="1" header="0.5" footer="0.5"/>
  <pageSetup paperSize="9" orientation="portrait" horizontalDpi="12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139</v>
      </c>
      <c r="B1" s="2"/>
    </row>
    <row r="4" spans="1:6" ht="18.75" customHeight="1" x14ac:dyDescent="0.2"/>
    <row r="5" spans="1:6" ht="17.25" customHeight="1" x14ac:dyDescent="0.2">
      <c r="C5" s="3"/>
    </row>
    <row r="6" spans="1:6" ht="15.75" customHeight="1" x14ac:dyDescent="0.2"/>
    <row r="7" spans="1:6" x14ac:dyDescent="0.2">
      <c r="B7" s="4" t="s">
        <v>135</v>
      </c>
      <c r="C7" s="1" t="s">
        <v>136</v>
      </c>
      <c r="D7" s="1" t="s">
        <v>132</v>
      </c>
      <c r="E7" s="1" t="s">
        <v>127</v>
      </c>
      <c r="F7" s="1" t="s">
        <v>124</v>
      </c>
    </row>
    <row r="8" spans="1:6" x14ac:dyDescent="0.2">
      <c r="B8" s="1"/>
      <c r="C8" s="1"/>
      <c r="D8" s="1"/>
      <c r="E8" s="3"/>
      <c r="F8" s="1"/>
    </row>
    <row r="10" spans="1:6" x14ac:dyDescent="0.2">
      <c r="B10" s="3"/>
      <c r="C10" s="3"/>
      <c r="D10" s="12"/>
      <c r="E10" s="12"/>
    </row>
    <row r="11" spans="1:6" x14ac:dyDescent="0.2">
      <c r="B11" s="3"/>
      <c r="C11" s="3"/>
    </row>
    <row r="12" spans="1:6" x14ac:dyDescent="0.2">
      <c r="B12" s="3"/>
      <c r="C12" s="3"/>
      <c r="D12" s="3"/>
      <c r="E12" s="3"/>
    </row>
    <row r="13" spans="1:6" x14ac:dyDescent="0.2">
      <c r="B13" s="3"/>
      <c r="C13" s="3"/>
      <c r="D13" s="6"/>
      <c r="E13" s="3"/>
    </row>
    <row r="14" spans="1:6" x14ac:dyDescent="0.2">
      <c r="B14" s="3"/>
      <c r="C14" s="3"/>
      <c r="D14" s="3"/>
      <c r="E14" s="3"/>
    </row>
    <row r="15" spans="1:6" x14ac:dyDescent="0.2">
      <c r="B15" s="3"/>
      <c r="C15" s="3"/>
      <c r="E15" s="3"/>
    </row>
    <row r="16" spans="1:6" x14ac:dyDescent="0.2">
      <c r="B16" s="3"/>
      <c r="C16" s="3"/>
    </row>
    <row r="17" spans="2:5" x14ac:dyDescent="0.2">
      <c r="B17" s="3"/>
      <c r="C17" s="3"/>
      <c r="D17" s="6"/>
      <c r="E17" s="3"/>
    </row>
    <row r="18" spans="2:5" x14ac:dyDescent="0.2">
      <c r="B18" s="4"/>
      <c r="C18" s="3"/>
      <c r="E18" s="3"/>
    </row>
    <row r="19" spans="2:5" x14ac:dyDescent="0.2">
      <c r="E19" s="3"/>
    </row>
    <row r="21" spans="2:5" x14ac:dyDescent="0.2">
      <c r="B21" s="3"/>
      <c r="C21" s="3"/>
      <c r="D21" s="3"/>
      <c r="E21" s="3"/>
    </row>
    <row r="22" spans="2:5" x14ac:dyDescent="0.2">
      <c r="B22" s="3"/>
      <c r="C22" s="3"/>
    </row>
    <row r="23" spans="2:5" x14ac:dyDescent="0.2">
      <c r="B23" s="3"/>
      <c r="C23" s="3"/>
      <c r="E23" s="3"/>
    </row>
    <row r="24" spans="2:5" x14ac:dyDescent="0.2">
      <c r="D24" s="3"/>
      <c r="E24"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10242" r:id="rId10" name="cmdConstraintSets"/>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140</v>
      </c>
      <c r="B1" s="2"/>
    </row>
    <row r="3" spans="1:8" ht="15" customHeight="1" x14ac:dyDescent="0.2"/>
    <row r="4" spans="1:8" ht="20.25" customHeight="1" x14ac:dyDescent="0.2"/>
    <row r="5" spans="1:8" ht="19.5" customHeight="1" x14ac:dyDescent="0.2">
      <c r="E5" s="3"/>
      <c r="F5" s="3"/>
      <c r="G5" s="12"/>
      <c r="H5" s="12"/>
    </row>
    <row r="6" spans="1:8" ht="19.5" customHeight="1" x14ac:dyDescent="0.2">
      <c r="E6" s="9"/>
      <c r="F6" s="9"/>
      <c r="G6" s="12"/>
      <c r="H6" s="12"/>
    </row>
    <row r="7" spans="1:8" x14ac:dyDescent="0.2">
      <c r="B7" s="1" t="s">
        <v>128</v>
      </c>
      <c r="C7" s="1" t="s">
        <v>129</v>
      </c>
      <c r="D7" s="1" t="s">
        <v>132</v>
      </c>
      <c r="E7" s="11"/>
      <c r="F7" s="7"/>
      <c r="G7" s="7"/>
      <c r="H7" s="12"/>
    </row>
    <row r="9" spans="1:8" x14ac:dyDescent="0.2">
      <c r="B9" s="9"/>
      <c r="C9" s="9"/>
      <c r="D9" s="9"/>
    </row>
    <row r="10" spans="1:8" x14ac:dyDescent="0.2">
      <c r="B10" s="9"/>
      <c r="C10" s="9"/>
      <c r="D10" s="9"/>
    </row>
    <row r="13" spans="1:8" x14ac:dyDescent="0.2">
      <c r="B13" s="9"/>
      <c r="C13" s="9"/>
      <c r="D13" s="9"/>
    </row>
    <row r="15" spans="1:8" x14ac:dyDescent="0.2">
      <c r="B15" s="9"/>
      <c r="C15" s="9"/>
      <c r="D15" s="9"/>
    </row>
    <row r="17" spans="2:4" x14ac:dyDescent="0.2">
      <c r="B17" s="9"/>
      <c r="C17" s="9"/>
      <c r="D17" s="9"/>
    </row>
    <row r="19" spans="2:4" x14ac:dyDescent="0.2">
      <c r="B19" s="9"/>
      <c r="C19" s="9"/>
      <c r="D19" s="9"/>
    </row>
    <row r="21" spans="2:4" x14ac:dyDescent="0.2">
      <c r="B21" s="9"/>
      <c r="C21" s="9"/>
      <c r="D21" s="9"/>
    </row>
    <row r="23" spans="2:4" x14ac:dyDescent="0.2">
      <c r="B23" s="9"/>
      <c r="C23" s="9"/>
      <c r="D23" s="9"/>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4097" r:id="rId12" name="cmdAddParameter"/>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141</v>
      </c>
      <c r="B1" s="2"/>
    </row>
    <row r="4" spans="1:16" ht="17.25" customHeight="1" x14ac:dyDescent="0.2"/>
    <row r="5" spans="1:16" ht="18" customHeight="1" x14ac:dyDescent="0.2">
      <c r="G5" s="3"/>
      <c r="H5" s="3"/>
      <c r="I5" s="3"/>
      <c r="J5" s="12"/>
      <c r="K5" s="12"/>
      <c r="L5" s="3"/>
      <c r="M5" s="10"/>
      <c r="N5" s="3"/>
      <c r="O5" s="10"/>
      <c r="P5" s="10"/>
    </row>
    <row r="6" spans="1:16" ht="17.25" customHeight="1" x14ac:dyDescent="0.2">
      <c r="G6" s="3"/>
      <c r="H6" s="3"/>
      <c r="I6" s="3"/>
      <c r="J6" s="3"/>
      <c r="K6" s="3"/>
      <c r="L6" s="3"/>
      <c r="M6" s="9"/>
      <c r="N6" s="3"/>
      <c r="O6" s="9"/>
    </row>
    <row r="7" spans="1:16" ht="15.75" customHeight="1" x14ac:dyDescent="0.2">
      <c r="B7" s="1" t="s">
        <v>130</v>
      </c>
      <c r="C7" s="1" t="s">
        <v>131</v>
      </c>
      <c r="D7" s="1" t="s">
        <v>132</v>
      </c>
      <c r="E7" s="1" t="s">
        <v>133</v>
      </c>
      <c r="F7" s="1" t="s">
        <v>134</v>
      </c>
      <c r="G7" s="3"/>
      <c r="H7" s="3"/>
      <c r="I7" s="3"/>
      <c r="J7" s="12"/>
      <c r="K7" s="3"/>
      <c r="L7" s="3"/>
      <c r="M7" s="9"/>
      <c r="N7" s="3"/>
      <c r="P7" s="9"/>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3074" r:id="rId16" name="cmdTechNameAndDesc"/>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C000"/>
  </sheetPr>
  <dimension ref="A1:BZ124"/>
  <sheetViews>
    <sheetView topLeftCell="A87" zoomScale="80" zoomScaleNormal="80" workbookViewId="0">
      <selection activeCell="F38" sqref="F38"/>
    </sheetView>
  </sheetViews>
  <sheetFormatPr defaultColWidth="9.140625" defaultRowHeight="12.75" x14ac:dyDescent="0.2"/>
  <cols>
    <col min="1" max="1" width="26.85546875" style="256" customWidth="1"/>
    <col min="2" max="2" width="30.7109375" style="256" bestFit="1" customWidth="1"/>
    <col min="3" max="3" width="40" style="256" bestFit="1" customWidth="1"/>
    <col min="4" max="4" width="11.7109375" style="256" bestFit="1" customWidth="1"/>
    <col min="5" max="6" width="18" style="256" bestFit="1" customWidth="1"/>
    <col min="7" max="7" width="18" style="257" bestFit="1" customWidth="1"/>
    <col min="8" max="9" width="22" style="257" bestFit="1" customWidth="1"/>
    <col min="10" max="10" width="18" style="257" bestFit="1" customWidth="1"/>
    <col min="11" max="11" width="20" style="257" bestFit="1" customWidth="1"/>
    <col min="12" max="13" width="18" style="257" bestFit="1" customWidth="1"/>
    <col min="14" max="14" width="20.85546875" style="257" bestFit="1" customWidth="1"/>
    <col min="15" max="15" width="26" style="257" bestFit="1" customWidth="1"/>
    <col min="16" max="17" width="21.28515625" style="257" bestFit="1" customWidth="1"/>
    <col min="18" max="18" width="26.42578125" style="257" bestFit="1" customWidth="1"/>
    <col min="19" max="20" width="19.85546875" style="257" bestFit="1" customWidth="1"/>
    <col min="21" max="21" width="25" style="257" bestFit="1" customWidth="1"/>
    <col min="22" max="23" width="20.85546875" style="257" bestFit="1" customWidth="1"/>
    <col min="24" max="24" width="26" style="257" bestFit="1" customWidth="1"/>
    <col min="25" max="26" width="22.140625" style="257" bestFit="1" customWidth="1"/>
    <col min="27" max="27" width="27.28515625" style="257" bestFit="1" customWidth="1"/>
    <col min="28" max="29" width="22.140625" style="257" bestFit="1" customWidth="1"/>
    <col min="30" max="30" width="27.28515625" style="257" bestFit="1" customWidth="1"/>
    <col min="31" max="32" width="20.7109375" style="257" bestFit="1" customWidth="1"/>
    <col min="33" max="34" width="25.85546875" style="257" bestFit="1" customWidth="1"/>
    <col min="35" max="35" width="20.7109375" style="257" bestFit="1" customWidth="1"/>
    <col min="36" max="36" width="25.85546875" style="257" bestFit="1" customWidth="1"/>
    <col min="37" max="38" width="20.7109375" style="257" bestFit="1" customWidth="1"/>
    <col min="39" max="39" width="25.85546875" style="257" bestFit="1" customWidth="1"/>
    <col min="40" max="41" width="19.85546875" style="257" bestFit="1" customWidth="1"/>
    <col min="42" max="42" width="25" style="257" bestFit="1" customWidth="1"/>
    <col min="43" max="44" width="19.5703125" style="257" bestFit="1" customWidth="1"/>
    <col min="45" max="45" width="24.85546875" style="257" bestFit="1" customWidth="1"/>
    <col min="46" max="46" width="25" style="257" bestFit="1" customWidth="1"/>
    <col min="47" max="47" width="20.85546875" style="257" bestFit="1" customWidth="1"/>
    <col min="48" max="49" width="26" style="257" bestFit="1" customWidth="1"/>
    <col min="50" max="50" width="22.140625" style="257" bestFit="1" customWidth="1"/>
    <col min="51" max="51" width="26.42578125" style="257" bestFit="1" customWidth="1"/>
    <col min="52" max="52" width="27.28515625" style="257" bestFit="1" customWidth="1"/>
    <col min="53" max="53" width="22.140625" style="257" bestFit="1" customWidth="1"/>
    <col min="54" max="54" width="25" style="257" bestFit="1" customWidth="1"/>
    <col min="55" max="55" width="27.28515625" style="257" bestFit="1" customWidth="1"/>
    <col min="56" max="56" width="20.85546875" style="257" bestFit="1" customWidth="1"/>
    <col min="57" max="57" width="26" style="257" bestFit="1" customWidth="1"/>
    <col min="58" max="59" width="25.85546875" style="257" bestFit="1" customWidth="1"/>
    <col min="60" max="60" width="27.28515625" style="257" bestFit="1" customWidth="1"/>
    <col min="61" max="61" width="25.85546875" style="257" bestFit="1" customWidth="1"/>
    <col min="62" max="62" width="22.140625" style="257" bestFit="1" customWidth="1"/>
    <col min="63" max="63" width="27.28515625" style="257" bestFit="1" customWidth="1"/>
    <col min="64" max="64" width="25.85546875" style="257" bestFit="1" customWidth="1"/>
    <col min="65" max="65" width="20.7109375" style="257" bestFit="1" customWidth="1"/>
    <col min="66" max="66" width="25.85546875" style="257" bestFit="1" customWidth="1"/>
    <col min="67" max="67" width="2" style="257" bestFit="1" customWidth="1"/>
    <col min="68" max="68" width="20.7109375" style="257" bestFit="1" customWidth="1"/>
    <col min="69" max="69" width="25.85546875" style="257" bestFit="1" customWidth="1"/>
    <col min="70" max="70" width="24.85546875" style="257" bestFit="1" customWidth="1"/>
    <col min="71" max="71" width="20.7109375" style="257" bestFit="1" customWidth="1"/>
    <col min="72" max="72" width="25.85546875" style="257" bestFit="1" customWidth="1"/>
    <col min="73" max="74" width="19.85546875" style="257" bestFit="1" customWidth="1"/>
    <col min="75" max="75" width="25" style="257" bestFit="1" customWidth="1"/>
    <col min="76" max="77" width="19.5703125" style="257" bestFit="1" customWidth="1"/>
    <col min="78" max="78" width="24.85546875" style="256" bestFit="1" customWidth="1"/>
    <col min="79" max="16384" width="9.140625" style="256"/>
  </cols>
  <sheetData>
    <row r="1" spans="1:78" x14ac:dyDescent="0.2">
      <c r="A1" s="245" t="s">
        <v>228</v>
      </c>
      <c r="B1" s="246" t="s">
        <v>1350</v>
      </c>
      <c r="AT1" s="258"/>
      <c r="AU1" s="258"/>
      <c r="AV1" s="258"/>
      <c r="AW1" s="258"/>
      <c r="AX1" s="258"/>
      <c r="AZ1" s="258"/>
      <c r="BO1" s="258" t="s">
        <v>231</v>
      </c>
    </row>
    <row r="2" spans="1:78" x14ac:dyDescent="0.2">
      <c r="T2" s="259"/>
      <c r="U2" s="259"/>
      <c r="V2" s="259"/>
      <c r="W2" s="259"/>
      <c r="X2" s="259"/>
      <c r="Y2" s="259"/>
      <c r="Z2" s="259"/>
      <c r="AA2" s="259"/>
      <c r="AB2" s="259"/>
      <c r="AC2" s="259"/>
    </row>
    <row r="3" spans="1:78" ht="17.25" customHeight="1" x14ac:dyDescent="0.2">
      <c r="F3" s="255"/>
      <c r="G3" s="258"/>
      <c r="H3" s="258"/>
      <c r="I3" s="258"/>
      <c r="L3" s="258"/>
      <c r="M3" s="258"/>
      <c r="N3" s="258"/>
      <c r="O3" s="258"/>
      <c r="P3" s="258"/>
      <c r="Q3" s="258"/>
      <c r="R3" s="258"/>
      <c r="S3" s="258"/>
      <c r="X3" s="258"/>
      <c r="Y3" s="258"/>
      <c r="AT3" s="262"/>
      <c r="AU3" s="15"/>
      <c r="AV3" s="16"/>
      <c r="AW3" s="15"/>
      <c r="AX3" s="15"/>
      <c r="AY3" s="15"/>
      <c r="AZ3" s="15"/>
      <c r="BA3" s="15"/>
      <c r="BB3" s="15"/>
      <c r="BC3" s="15"/>
      <c r="BD3" s="15"/>
      <c r="BE3" s="15"/>
      <c r="BF3" s="15"/>
      <c r="BG3" s="15"/>
      <c r="BH3" s="15"/>
      <c r="BI3" s="15"/>
      <c r="BJ3" s="15"/>
      <c r="BK3" s="15"/>
      <c r="BL3" s="15"/>
      <c r="BM3" s="15"/>
      <c r="BN3" s="15"/>
      <c r="BO3" s="16"/>
      <c r="BP3" s="15"/>
      <c r="BQ3" s="15"/>
      <c r="BR3" s="15"/>
      <c r="BS3" s="15"/>
      <c r="BT3" s="15"/>
      <c r="BU3" s="15"/>
      <c r="BV3" s="15"/>
      <c r="BW3" s="15"/>
      <c r="BX3" s="15"/>
      <c r="BY3" s="15"/>
      <c r="BZ3" s="15"/>
    </row>
    <row r="4" spans="1:78" ht="17.25" customHeight="1" x14ac:dyDescent="0.2">
      <c r="F4" s="255"/>
      <c r="G4" s="258"/>
      <c r="H4" s="258"/>
      <c r="I4" s="258"/>
      <c r="L4" s="258"/>
      <c r="M4" s="258"/>
      <c r="N4" s="258"/>
      <c r="O4" s="258"/>
      <c r="P4" s="258"/>
      <c r="Q4" s="258"/>
      <c r="R4" s="258"/>
      <c r="S4" s="258"/>
      <c r="X4" s="258"/>
      <c r="Y4" s="258"/>
      <c r="AT4" s="262"/>
      <c r="AU4" s="262"/>
      <c r="AV4" s="262"/>
      <c r="AW4" s="262"/>
      <c r="AX4" s="262"/>
      <c r="AY4" s="262"/>
      <c r="AZ4" s="262"/>
      <c r="BA4" s="262"/>
      <c r="BB4" s="262"/>
      <c r="BC4" s="262"/>
      <c r="BD4" s="262"/>
      <c r="BE4" s="262"/>
      <c r="BF4" s="262"/>
      <c r="BG4" s="262"/>
      <c r="BH4" s="262"/>
      <c r="BI4" s="262"/>
      <c r="BJ4" s="262"/>
      <c r="BK4" s="262"/>
      <c r="BL4" s="262"/>
      <c r="BM4" s="262"/>
      <c r="BN4" s="262"/>
      <c r="BO4" s="262"/>
      <c r="BP4" s="262"/>
      <c r="BQ4" s="262"/>
      <c r="BR4" s="262"/>
      <c r="BS4" s="262"/>
      <c r="BT4" s="262"/>
      <c r="BU4" s="262"/>
      <c r="BV4" s="262"/>
      <c r="BW4" s="262"/>
      <c r="BX4" s="262"/>
      <c r="BY4" s="262"/>
      <c r="BZ4" s="262"/>
    </row>
    <row r="5" spans="1:78" ht="17.25" customHeight="1" x14ac:dyDescent="0.2">
      <c r="D5" s="255" t="s">
        <v>1596</v>
      </c>
      <c r="G5" s="258"/>
      <c r="H5" s="258"/>
      <c r="I5" s="258"/>
      <c r="L5" s="258"/>
      <c r="M5" s="258"/>
      <c r="N5" s="258"/>
      <c r="O5" s="258"/>
      <c r="P5" s="258"/>
      <c r="Q5" s="258"/>
      <c r="R5" s="258"/>
      <c r="S5" s="258"/>
      <c r="X5" s="258"/>
      <c r="Y5" s="258"/>
      <c r="AT5" s="262"/>
      <c r="AU5" s="262"/>
      <c r="BS5" s="258"/>
      <c r="BT5" s="258"/>
      <c r="BU5" s="258"/>
      <c r="BV5" s="258"/>
      <c r="BW5" s="258"/>
    </row>
    <row r="6" spans="1:78" ht="15.75" customHeight="1" x14ac:dyDescent="0.2">
      <c r="A6" s="244" t="s">
        <v>47</v>
      </c>
      <c r="B6" s="244" t="s">
        <v>130</v>
      </c>
      <c r="C6" s="244" t="s">
        <v>131</v>
      </c>
      <c r="D6" s="244" t="s">
        <v>134</v>
      </c>
      <c r="E6" s="244" t="s">
        <v>1708</v>
      </c>
      <c r="F6" s="244" t="s">
        <v>1602</v>
      </c>
      <c r="G6" s="244" t="s">
        <v>1603</v>
      </c>
      <c r="H6" s="244" t="s">
        <v>1604</v>
      </c>
      <c r="I6" s="244" t="s">
        <v>1605</v>
      </c>
      <c r="J6" s="244" t="s">
        <v>1606</v>
      </c>
      <c r="K6" s="244" t="s">
        <v>1607</v>
      </c>
      <c r="L6" s="244" t="s">
        <v>1608</v>
      </c>
      <c r="M6" s="244" t="s">
        <v>1609</v>
      </c>
      <c r="N6" s="244" t="s">
        <v>1610</v>
      </c>
      <c r="O6" s="244" t="s">
        <v>1611</v>
      </c>
      <c r="P6" s="244" t="s">
        <v>232</v>
      </c>
      <c r="Q6" s="244" t="s">
        <v>1691</v>
      </c>
      <c r="R6" s="244" t="s">
        <v>1692</v>
      </c>
      <c r="S6" s="244" t="s">
        <v>1693</v>
      </c>
      <c r="T6" s="244" t="s">
        <v>1694</v>
      </c>
      <c r="U6" s="244" t="s">
        <v>1695</v>
      </c>
      <c r="V6" s="256"/>
      <c r="W6" s="273" t="s">
        <v>1613</v>
      </c>
      <c r="X6" s="273" t="s">
        <v>1614</v>
      </c>
      <c r="Y6" s="273" t="s">
        <v>1615</v>
      </c>
      <c r="Z6" s="273" t="s">
        <v>1616</v>
      </c>
      <c r="AA6" s="273" t="s">
        <v>1617</v>
      </c>
      <c r="AB6" s="273" t="s">
        <v>1618</v>
      </c>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56"/>
      <c r="BL6" s="256"/>
      <c r="BM6" s="256"/>
      <c r="BN6" s="256"/>
      <c r="BO6" s="256"/>
      <c r="BP6" s="256"/>
      <c r="BQ6" s="256"/>
      <c r="BR6" s="256"/>
      <c r="BS6" s="256"/>
      <c r="BT6" s="256"/>
      <c r="BU6" s="256"/>
      <c r="BV6" s="256"/>
      <c r="BW6" s="256"/>
      <c r="BX6" s="256"/>
      <c r="BY6" s="256"/>
    </row>
    <row r="7" spans="1:78" x14ac:dyDescent="0.2">
      <c r="A7" s="275" t="s">
        <v>1652</v>
      </c>
      <c r="B7" s="276"/>
      <c r="C7" s="276"/>
      <c r="D7" s="276"/>
      <c r="E7" s="277"/>
      <c r="F7" s="277"/>
      <c r="G7" s="277"/>
      <c r="H7" s="277"/>
      <c r="I7" s="277"/>
      <c r="J7" s="277"/>
      <c r="K7" s="277"/>
      <c r="L7" s="277"/>
      <c r="M7" s="277"/>
      <c r="N7" s="277"/>
      <c r="O7" s="277"/>
      <c r="P7" s="277"/>
      <c r="Q7" s="277"/>
      <c r="R7" s="277"/>
      <c r="S7" s="277"/>
      <c r="T7" s="277"/>
      <c r="U7" s="277"/>
      <c r="V7" s="256"/>
      <c r="W7" s="277"/>
      <c r="X7" s="277"/>
      <c r="Y7" s="277"/>
      <c r="Z7" s="277"/>
      <c r="AA7" s="277"/>
      <c r="AB7" s="277"/>
      <c r="AC7" s="256"/>
      <c r="AD7" s="256"/>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row>
    <row r="8" spans="1:78" s="245" customFormat="1" x14ac:dyDescent="0.2">
      <c r="A8" s="275" t="s">
        <v>1274</v>
      </c>
      <c r="B8" s="275"/>
      <c r="C8" s="275"/>
      <c r="D8" s="278"/>
      <c r="E8" s="278"/>
      <c r="F8" s="278"/>
      <c r="G8" s="274">
        <v>1</v>
      </c>
      <c r="H8" s="274">
        <v>1</v>
      </c>
      <c r="I8" s="274">
        <v>1</v>
      </c>
      <c r="J8" s="274">
        <v>1</v>
      </c>
      <c r="K8" s="274">
        <v>1</v>
      </c>
      <c r="L8" s="274">
        <v>1</v>
      </c>
      <c r="M8" s="274">
        <v>1</v>
      </c>
      <c r="N8" s="274">
        <v>1</v>
      </c>
      <c r="O8" s="274">
        <v>1</v>
      </c>
      <c r="P8" s="279"/>
      <c r="Q8" s="278"/>
      <c r="R8" s="278"/>
      <c r="S8" s="278"/>
      <c r="T8" s="278"/>
      <c r="U8" s="278"/>
      <c r="W8" s="278"/>
      <c r="X8" s="278"/>
      <c r="Y8" s="278"/>
      <c r="Z8" s="278"/>
      <c r="AA8" s="278"/>
      <c r="AB8" s="278"/>
    </row>
    <row r="9" spans="1:78" x14ac:dyDescent="0.2">
      <c r="A9" s="251" t="s">
        <v>160</v>
      </c>
      <c r="B9" s="251" t="s">
        <v>0</v>
      </c>
      <c r="C9" s="251" t="s">
        <v>201</v>
      </c>
      <c r="D9" s="251" t="str">
        <f>Commodities!C$11</f>
        <v>NGAD0</v>
      </c>
      <c r="E9" s="251">
        <v>2010</v>
      </c>
      <c r="F9" s="281">
        <f>F11*'Domestic NG Prices'!$N$19</f>
        <v>3.5667713782019939</v>
      </c>
      <c r="G9" s="281">
        <f>G11*'Domestic NG Prices'!$N$19</f>
        <v>2.931910016221432</v>
      </c>
      <c r="H9" s="281">
        <f>H11*'Domestic NG Prices'!$N$19</f>
        <v>3.4274059611121728</v>
      </c>
      <c r="I9" s="281">
        <f>I11*'Domestic NG Prices'!$N$19</f>
        <v>4.0985991848803209</v>
      </c>
      <c r="J9" s="281">
        <f>J11*'Domestic NG Prices'!$N$19</f>
        <v>4.7260766006697565</v>
      </c>
      <c r="K9" s="281">
        <f>K11*'Domestic NG Prices'!$N$19</f>
        <v>5.4230837737149553</v>
      </c>
      <c r="L9" s="281">
        <f>L11*'Domestic NG Prices'!$N$19</f>
        <v>5.9926203777434983</v>
      </c>
      <c r="M9" s="281">
        <f>M11*'Domestic NG Prices'!$N$19</f>
        <v>6.6175999999999995</v>
      </c>
      <c r="N9" s="281">
        <f>N11*'Domestic NG Prices'!$N$19</f>
        <v>7.3216000000000001</v>
      </c>
      <c r="O9" s="281">
        <f>O11*'Domestic NG Prices'!$N$19</f>
        <v>8.0871999999999993</v>
      </c>
      <c r="P9" s="282">
        <f>R9/SUM($R$9:$R$14)*'Domestic NG CUM'!$T$6</f>
        <v>3637.3547959466673</v>
      </c>
      <c r="Q9" s="282">
        <f>'Domestic NG Production'!B94</f>
        <v>14.464221695562241</v>
      </c>
      <c r="R9" s="282">
        <f>'Domestic NG Production'!B79</f>
        <v>326.23320149674237</v>
      </c>
      <c r="S9" s="282"/>
      <c r="T9" s="282"/>
      <c r="U9" s="282"/>
      <c r="V9" s="256"/>
      <c r="W9" s="280"/>
      <c r="X9" s="280">
        <v>1.25</v>
      </c>
      <c r="Y9" s="280">
        <v>1.1000000000000001</v>
      </c>
      <c r="Z9" s="280">
        <v>1.1000000000000001</v>
      </c>
      <c r="AA9" s="280">
        <v>1.1000000000000001</v>
      </c>
      <c r="AB9" s="280">
        <v>1.01</v>
      </c>
      <c r="AC9" s="256"/>
      <c r="AD9" s="256"/>
      <c r="AE9" s="256"/>
      <c r="AF9" s="256"/>
      <c r="AG9" s="256"/>
      <c r="AH9" s="256"/>
      <c r="AI9" s="256"/>
      <c r="AJ9" s="256"/>
      <c r="AK9" s="256"/>
      <c r="AL9" s="256"/>
      <c r="AM9" s="256"/>
      <c r="AN9" s="256"/>
      <c r="AO9" s="256"/>
      <c r="AP9" s="256"/>
      <c r="AQ9" s="256"/>
      <c r="AR9" s="256"/>
      <c r="AS9" s="256"/>
      <c r="AT9" s="256"/>
      <c r="AU9" s="256"/>
      <c r="AV9" s="256"/>
      <c r="AW9" s="256"/>
      <c r="AX9" s="256"/>
      <c r="AY9" s="256"/>
      <c r="AZ9" s="256"/>
      <c r="BA9" s="256"/>
      <c r="BB9" s="256"/>
      <c r="BC9" s="256"/>
      <c r="BD9" s="256"/>
      <c r="BE9" s="256"/>
      <c r="BF9" s="256"/>
      <c r="BG9" s="256"/>
      <c r="BH9" s="256"/>
      <c r="BI9" s="256"/>
      <c r="BJ9" s="256"/>
      <c r="BK9" s="256"/>
      <c r="BL9" s="256"/>
      <c r="BM9" s="256"/>
      <c r="BN9" s="256"/>
      <c r="BO9" s="256"/>
      <c r="BP9" s="256"/>
      <c r="BQ9" s="256"/>
      <c r="BR9" s="256"/>
      <c r="BS9" s="256"/>
      <c r="BT9" s="256"/>
      <c r="BU9" s="256"/>
      <c r="BV9" s="256"/>
      <c r="BW9" s="256"/>
      <c r="BX9" s="256"/>
      <c r="BY9" s="256"/>
    </row>
    <row r="10" spans="1:78" x14ac:dyDescent="0.2">
      <c r="A10" s="251" t="s">
        <v>160</v>
      </c>
      <c r="B10" s="251" t="s">
        <v>1</v>
      </c>
      <c r="C10" s="251" t="s">
        <v>202</v>
      </c>
      <c r="D10" s="251" t="str">
        <f>Commodities!C$11</f>
        <v>NGAD0</v>
      </c>
      <c r="E10" s="251">
        <v>2010</v>
      </c>
      <c r="F10" s="281">
        <f>F11*'Domestic NG Prices'!$N$20</f>
        <v>3.8504918287407888</v>
      </c>
      <c r="G10" s="281">
        <f>G11*'Domestic NG Prices'!$N$20</f>
        <v>3.1651301311481368</v>
      </c>
      <c r="H10" s="281">
        <f>H11*'Domestic NG Prices'!$N$20</f>
        <v>3.7000405262006413</v>
      </c>
      <c r="I10" s="281">
        <f>I11*'Domestic NG Prices'!$N$20</f>
        <v>4.4246241200412548</v>
      </c>
      <c r="J10" s="281">
        <f>J11*'Domestic NG Prices'!$N$20</f>
        <v>5.1020145120866687</v>
      </c>
      <c r="K10" s="281">
        <f>K11*'Domestic NG Prices'!$N$20</f>
        <v>5.8544654375331904</v>
      </c>
      <c r="L10" s="281">
        <f>L11*'Domestic NG Prices'!$N$20</f>
        <v>6.4693060896094581</v>
      </c>
      <c r="M10" s="281">
        <f>M11*'Domestic NG Prices'!$N$20</f>
        <v>7.1439999999999992</v>
      </c>
      <c r="N10" s="281">
        <f>N11*'Domestic NG Prices'!$N$20</f>
        <v>7.9039999999999999</v>
      </c>
      <c r="O10" s="281">
        <f>O11*'Domestic NG Prices'!$N$20</f>
        <v>8.7304999999999993</v>
      </c>
      <c r="P10" s="282">
        <f>R10/SUM($R$9:$R$14)*'Domestic NG CUM'!$T$6</f>
        <v>2728.0160969599992</v>
      </c>
      <c r="Q10" s="282">
        <f>'Domestic NG Production'!B95</f>
        <v>10.848166271671676</v>
      </c>
      <c r="R10" s="282">
        <f>'Domestic NG Production'!B80</f>
        <v>244.67490112255666</v>
      </c>
      <c r="S10" s="282"/>
      <c r="T10" s="282"/>
      <c r="U10" s="282"/>
      <c r="V10" s="256"/>
      <c r="W10" s="280"/>
      <c r="X10" s="280">
        <v>1.25</v>
      </c>
      <c r="Y10" s="280">
        <v>1.1000000000000001</v>
      </c>
      <c r="Z10" s="280">
        <v>1.1000000000000001</v>
      </c>
      <c r="AA10" s="280">
        <v>1.1000000000000001</v>
      </c>
      <c r="AB10" s="280">
        <v>1.01</v>
      </c>
      <c r="AC10" s="256"/>
      <c r="AD10" s="256"/>
      <c r="AE10" s="256"/>
      <c r="AF10" s="256"/>
      <c r="AG10" s="256"/>
      <c r="AH10" s="256"/>
      <c r="AI10" s="256"/>
      <c r="AJ10" s="256"/>
      <c r="AK10" s="256"/>
      <c r="AL10" s="256"/>
      <c r="AM10" s="256"/>
      <c r="AN10" s="256"/>
      <c r="AO10" s="256"/>
      <c r="AP10" s="256"/>
      <c r="AQ10" s="256"/>
      <c r="AR10" s="256"/>
      <c r="AS10" s="256"/>
      <c r="AT10" s="256"/>
      <c r="AU10" s="256"/>
      <c r="AV10" s="256"/>
      <c r="AW10" s="256"/>
      <c r="AX10" s="256"/>
      <c r="AY10" s="256"/>
      <c r="AZ10" s="256"/>
      <c r="BA10" s="256"/>
      <c r="BB10" s="256"/>
      <c r="BC10" s="256"/>
      <c r="BD10" s="256"/>
      <c r="BE10" s="256"/>
      <c r="BF10" s="256"/>
      <c r="BG10" s="256"/>
      <c r="BH10" s="256"/>
      <c r="BI10" s="256"/>
      <c r="BJ10" s="256"/>
      <c r="BK10" s="256"/>
      <c r="BL10" s="256"/>
      <c r="BM10" s="256"/>
      <c r="BN10" s="256"/>
      <c r="BO10" s="256"/>
      <c r="BP10" s="256"/>
      <c r="BQ10" s="256"/>
      <c r="BR10" s="256"/>
      <c r="BS10" s="256"/>
      <c r="BT10" s="256"/>
      <c r="BU10" s="256"/>
      <c r="BV10" s="256"/>
      <c r="BW10" s="256"/>
      <c r="BX10" s="256"/>
      <c r="BY10" s="256"/>
    </row>
    <row r="11" spans="1:78" x14ac:dyDescent="0.2">
      <c r="A11" s="251" t="s">
        <v>160</v>
      </c>
      <c r="B11" s="251" t="s">
        <v>2</v>
      </c>
      <c r="C11" s="251" t="s">
        <v>203</v>
      </c>
      <c r="D11" s="251" t="str">
        <f>Commodities!C$11</f>
        <v>NGAD0</v>
      </c>
      <c r="E11" s="251">
        <v>2010</v>
      </c>
      <c r="F11" s="281">
        <f>'Domestic NG Prices'!N42*'Domestic NG Prices'!$P$27*TechData_DelNGA!$I$8</f>
        <v>4.0531492934113569</v>
      </c>
      <c r="G11" s="281">
        <f>'Domestic NG Prices'!O42*'Domestic NG Prices'!$P$27*TechData_DelNGA!$I$8*G8</f>
        <v>3.3317159275243546</v>
      </c>
      <c r="H11" s="281">
        <f>'Domestic NG Prices'!P42*'Domestic NG Prices'!$P$27*TechData_DelNGA!$I$8*H8</f>
        <v>3.8947795012638329</v>
      </c>
      <c r="I11" s="281">
        <f>'Domestic NG Prices'!Q42*'Domestic NG Prices'!$P$27*TechData_DelNGA!$I$8*I8</f>
        <v>4.6574990737276369</v>
      </c>
      <c r="J11" s="281">
        <f>'Domestic NG Prices'!R42*'Domestic NG Prices'!$P$27*TechData_DelNGA!$I$8*J8</f>
        <v>5.370541591670178</v>
      </c>
      <c r="K11" s="281">
        <f>'Domestic NG Prices'!S42*'Domestic NG Prices'!$P$27*TechData_DelNGA!$I$8*K8</f>
        <v>6.1625951974033581</v>
      </c>
      <c r="L11" s="281">
        <f>'Domestic NG Prices'!T42*'Domestic NG Prices'!$P$27*TechData_DelNGA!$I$8*L8</f>
        <v>6.8097958837994295</v>
      </c>
      <c r="M11" s="281">
        <f>7.52*M8</f>
        <v>7.52</v>
      </c>
      <c r="N11" s="281">
        <f>8.32*N8</f>
        <v>8.32</v>
      </c>
      <c r="O11" s="281">
        <f>9.19*O8</f>
        <v>9.19</v>
      </c>
      <c r="P11" s="282">
        <f>R11/SUM($R$9:$R$14)*'Domestic NG CUM'!$T$6</f>
        <v>2728.0160969600001</v>
      </c>
      <c r="Q11" s="282">
        <f>'Domestic NG Production'!B96</f>
        <v>10.848166271671676</v>
      </c>
      <c r="R11" s="282">
        <f>'Domestic NG Production'!B81</f>
        <v>244.67490112255678</v>
      </c>
      <c r="S11" s="282"/>
      <c r="T11" s="282"/>
      <c r="U11" s="282"/>
      <c r="V11" s="256"/>
      <c r="W11" s="280"/>
      <c r="X11" s="280">
        <v>1.25</v>
      </c>
      <c r="Y11" s="280">
        <v>1.1000000000000001</v>
      </c>
      <c r="Z11" s="280">
        <v>1.1000000000000001</v>
      </c>
      <c r="AA11" s="280">
        <v>1.1000000000000001</v>
      </c>
      <c r="AB11" s="280">
        <v>1.01</v>
      </c>
      <c r="AC11" s="256"/>
      <c r="AD11" s="256"/>
      <c r="AE11" s="256"/>
      <c r="AF11" s="256"/>
      <c r="AG11" s="256"/>
      <c r="AH11" s="256"/>
      <c r="AI11" s="256"/>
      <c r="AJ11" s="256"/>
      <c r="AK11" s="256"/>
      <c r="AL11" s="256"/>
      <c r="AM11" s="256"/>
      <c r="AN11" s="256"/>
      <c r="AO11" s="256"/>
      <c r="AP11" s="256"/>
      <c r="AQ11" s="256"/>
      <c r="AR11" s="256"/>
      <c r="AS11" s="256"/>
      <c r="AT11" s="256"/>
      <c r="AU11" s="256"/>
      <c r="AV11" s="256"/>
      <c r="AW11" s="256"/>
      <c r="AX11" s="256"/>
      <c r="AY11" s="256"/>
      <c r="AZ11" s="256"/>
      <c r="BA11" s="256"/>
      <c r="BB11" s="256"/>
      <c r="BC11" s="256"/>
      <c r="BD11" s="256"/>
      <c r="BE11" s="256"/>
      <c r="BF11" s="256"/>
      <c r="BG11" s="256"/>
      <c r="BH11" s="256"/>
      <c r="BI11" s="256"/>
      <c r="BJ11" s="256"/>
      <c r="BK11" s="256"/>
      <c r="BL11" s="256"/>
      <c r="BM11" s="256"/>
      <c r="BN11" s="256"/>
      <c r="BO11" s="256"/>
      <c r="BP11" s="256"/>
      <c r="BQ11" s="256"/>
      <c r="BR11" s="256"/>
      <c r="BS11" s="256"/>
      <c r="BT11" s="256"/>
      <c r="BU11" s="256"/>
      <c r="BV11" s="256"/>
      <c r="BW11" s="256"/>
      <c r="BX11" s="256"/>
      <c r="BY11" s="256"/>
    </row>
    <row r="12" spans="1:78" x14ac:dyDescent="0.2">
      <c r="A12" s="251" t="s">
        <v>160</v>
      </c>
      <c r="B12" s="251" t="s">
        <v>3</v>
      </c>
      <c r="C12" s="251" t="s">
        <v>204</v>
      </c>
      <c r="D12" s="251" t="str">
        <f>Commodities!C$11</f>
        <v>NGAD0</v>
      </c>
      <c r="E12" s="251">
        <v>2010</v>
      </c>
      <c r="F12" s="281">
        <f>F11*'Domestic NG Prices'!$N$22</f>
        <v>4.3774012368842659</v>
      </c>
      <c r="G12" s="281">
        <f>G11*'Domestic NG Prices'!$N$22</f>
        <v>3.5982532017263034</v>
      </c>
      <c r="H12" s="281">
        <f>H11*'Domestic NG Prices'!$N$22</f>
        <v>4.2063618613649396</v>
      </c>
      <c r="I12" s="281">
        <f>I11*'Domestic NG Prices'!$N$22</f>
        <v>5.0300989996258485</v>
      </c>
      <c r="J12" s="281">
        <f>J11*'Domestic NG Prices'!$N$22</f>
        <v>5.8001849190037928</v>
      </c>
      <c r="K12" s="281">
        <f>K11*'Domestic NG Prices'!$N$22</f>
        <v>6.6556028131956273</v>
      </c>
      <c r="L12" s="281">
        <f>L11*'Domestic NG Prices'!$N$22</f>
        <v>7.3545795545033847</v>
      </c>
      <c r="M12" s="281">
        <f>M11*'Domestic NG Prices'!$N$22</f>
        <v>8.1216000000000008</v>
      </c>
      <c r="N12" s="281">
        <f>N11*'Domestic NG Prices'!$N$22</f>
        <v>8.9856000000000016</v>
      </c>
      <c r="O12" s="281">
        <f>O11*'Domestic NG Prices'!$N$22</f>
        <v>9.9252000000000002</v>
      </c>
      <c r="P12" s="282">
        <f>R12/SUM($R$9:$R$14)*'Domestic NG CUM'!$T$6</f>
        <v>454.66934949333341</v>
      </c>
      <c r="Q12" s="282">
        <f>'Domestic NG Production'!B97</f>
        <v>1.8080277119452839</v>
      </c>
      <c r="R12" s="282">
        <f>'Domestic NG Production'!B82</f>
        <v>40.779150187092796</v>
      </c>
      <c r="S12" s="282"/>
      <c r="T12" s="282"/>
      <c r="U12" s="282"/>
      <c r="V12" s="256"/>
      <c r="W12" s="283"/>
      <c r="X12" s="280">
        <v>1.25</v>
      </c>
      <c r="Y12" s="280">
        <v>1.1000000000000001</v>
      </c>
      <c r="Z12" s="280">
        <v>1.1000000000000001</v>
      </c>
      <c r="AA12" s="280">
        <v>1.1000000000000001</v>
      </c>
      <c r="AB12" s="280">
        <v>1.01</v>
      </c>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6"/>
      <c r="BK12" s="256"/>
      <c r="BL12" s="256"/>
      <c r="BM12" s="256"/>
      <c r="BN12" s="256"/>
      <c r="BO12" s="256"/>
      <c r="BP12" s="256"/>
      <c r="BQ12" s="256"/>
      <c r="BR12" s="256"/>
      <c r="BS12" s="256"/>
      <c r="BT12" s="256"/>
      <c r="BU12" s="256"/>
      <c r="BV12" s="256"/>
      <c r="BW12" s="256"/>
      <c r="BX12" s="256"/>
      <c r="BY12" s="256"/>
    </row>
    <row r="13" spans="1:78" x14ac:dyDescent="0.2">
      <c r="A13" s="251" t="s">
        <v>160</v>
      </c>
      <c r="B13" s="251" t="s">
        <v>4</v>
      </c>
      <c r="C13" s="251" t="s">
        <v>205</v>
      </c>
      <c r="D13" s="251" t="str">
        <f>Commodities!C$11</f>
        <v>NGAD0</v>
      </c>
      <c r="E13" s="251">
        <v>2010</v>
      </c>
      <c r="F13" s="281">
        <f>F11*'Domestic NG Prices'!$N$23</f>
        <v>4.5395272086207203</v>
      </c>
      <c r="G13" s="281">
        <f>G11*'Domestic NG Prices'!$N$23</f>
        <v>3.7315218388272777</v>
      </c>
      <c r="H13" s="281">
        <f>H11*'Domestic NG Prices'!$N$23</f>
        <v>4.3621530414154934</v>
      </c>
      <c r="I13" s="281">
        <f>I11*'Domestic NG Prices'!$N$23</f>
        <v>5.2163989625749538</v>
      </c>
      <c r="J13" s="281">
        <f>J11*'Domestic NG Prices'!$N$23</f>
        <v>6.0150065826706003</v>
      </c>
      <c r="K13" s="281">
        <f>K11*'Domestic NG Prices'!$N$23</f>
        <v>6.9021066210917619</v>
      </c>
      <c r="L13" s="281">
        <f>L11*'Domestic NG Prices'!$N$23</f>
        <v>7.6269713898553615</v>
      </c>
      <c r="M13" s="281">
        <f>M11*'Domestic NG Prices'!$N$23</f>
        <v>8.4223999999999997</v>
      </c>
      <c r="N13" s="281">
        <f>N11*'Domestic NG Prices'!$N$23</f>
        <v>9.3184000000000005</v>
      </c>
      <c r="O13" s="281">
        <f>O11*'Domestic NG Prices'!$N$23</f>
        <v>10.2928</v>
      </c>
      <c r="P13" s="282">
        <f>R13/SUM($R$9:$R$14)*'Domestic NG CUM'!$T$6</f>
        <v>454.66934949333461</v>
      </c>
      <c r="Q13" s="282"/>
      <c r="R13" s="282">
        <f>'Domestic NG Production'!B83</f>
        <v>40.77915018709291</v>
      </c>
      <c r="S13" s="282"/>
      <c r="T13" s="282"/>
      <c r="U13" s="282"/>
      <c r="V13" s="256"/>
      <c r="W13" s="283">
        <f>R13</f>
        <v>40.77915018709291</v>
      </c>
      <c r="X13" s="280">
        <v>1.25</v>
      </c>
      <c r="Y13" s="280">
        <v>1.1000000000000001</v>
      </c>
      <c r="Z13" s="280">
        <v>1.1000000000000001</v>
      </c>
      <c r="AA13" s="280">
        <v>1.1000000000000001</v>
      </c>
      <c r="AB13" s="280">
        <v>1.01</v>
      </c>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256"/>
      <c r="BS13" s="256"/>
      <c r="BT13" s="256"/>
      <c r="BU13" s="256"/>
      <c r="BV13" s="256"/>
      <c r="BW13" s="256"/>
      <c r="BX13" s="256"/>
      <c r="BY13" s="256"/>
    </row>
    <row r="14" spans="1:78" x14ac:dyDescent="0.2">
      <c r="A14" s="251" t="s">
        <v>160</v>
      </c>
      <c r="B14" s="251" t="s">
        <v>5</v>
      </c>
      <c r="C14" s="251" t="s">
        <v>206</v>
      </c>
      <c r="D14" s="251" t="str">
        <f>Commodities!C$11</f>
        <v>NGAD0</v>
      </c>
      <c r="E14" s="251">
        <v>2010</v>
      </c>
      <c r="F14" s="281">
        <f>F11*'Domestic NG Prices'!$N$24</f>
        <v>6.2013184189193762</v>
      </c>
      <c r="G14" s="281">
        <f>G11*'Domestic NG Prices'!$N$24</f>
        <v>5.0975253691122626</v>
      </c>
      <c r="H14" s="281">
        <f>H11*'Domestic NG Prices'!$N$24</f>
        <v>5.9590126369336645</v>
      </c>
      <c r="I14" s="281">
        <f>I11*'Domestic NG Prices'!$N$24</f>
        <v>7.1259735828032849</v>
      </c>
      <c r="J14" s="281">
        <f>J11*'Domestic NG Prices'!$N$24</f>
        <v>8.216928635255373</v>
      </c>
      <c r="K14" s="281">
        <f>K11*'Domestic NG Prices'!$N$24</f>
        <v>9.4287706520271382</v>
      </c>
      <c r="L14" s="281">
        <f>L11*'Domestic NG Prices'!$N$24</f>
        <v>10.418987702213128</v>
      </c>
      <c r="M14" s="281">
        <f>M11*'Domestic NG Prices'!$N$24</f>
        <v>11.505599999999999</v>
      </c>
      <c r="N14" s="281">
        <f>N11*'Domestic NG Prices'!$N$24</f>
        <v>12.729600000000001</v>
      </c>
      <c r="O14" s="281">
        <f>O11*'Domestic NG Prices'!$N$24</f>
        <v>14.060699999999999</v>
      </c>
      <c r="P14" s="282">
        <f>R14/SUM($R$9:$R$14)*'Domestic NG CUM'!$T$6</f>
        <v>909.33869898666421</v>
      </c>
      <c r="Q14" s="282"/>
      <c r="R14" s="282">
        <f>'Domestic NG Production'!B84</f>
        <v>81.558300374185364</v>
      </c>
      <c r="S14" s="282"/>
      <c r="T14" s="282"/>
      <c r="U14" s="282"/>
      <c r="V14" s="256"/>
      <c r="W14" s="283">
        <f>R14</f>
        <v>81.558300374185364</v>
      </c>
      <c r="X14" s="280">
        <v>1.25</v>
      </c>
      <c r="Y14" s="280">
        <v>1.1000000000000001</v>
      </c>
      <c r="Z14" s="280">
        <v>1.1000000000000001</v>
      </c>
      <c r="AA14" s="280">
        <v>1.1000000000000001</v>
      </c>
      <c r="AB14" s="280">
        <v>1.01</v>
      </c>
      <c r="AC14" s="256"/>
      <c r="AD14" s="256"/>
      <c r="AE14" s="256"/>
      <c r="AF14" s="256"/>
      <c r="AG14" s="256"/>
      <c r="AH14" s="256"/>
      <c r="AI14" s="256"/>
      <c r="AJ14" s="256"/>
      <c r="AK14" s="256"/>
      <c r="AL14" s="256"/>
      <c r="AM14" s="256"/>
      <c r="AN14" s="256"/>
      <c r="AO14" s="256"/>
      <c r="AP14" s="256"/>
      <c r="AQ14" s="256"/>
      <c r="AR14" s="256"/>
      <c r="AS14" s="256"/>
      <c r="AT14" s="256"/>
      <c r="AU14" s="256"/>
      <c r="AV14" s="256"/>
      <c r="AW14" s="256"/>
      <c r="AX14" s="256"/>
      <c r="AY14" s="256"/>
      <c r="AZ14" s="256"/>
      <c r="BA14" s="256"/>
      <c r="BB14" s="256"/>
      <c r="BC14" s="256"/>
      <c r="BD14" s="256"/>
      <c r="BE14" s="256"/>
      <c r="BF14" s="256"/>
      <c r="BG14" s="256"/>
      <c r="BH14" s="256"/>
      <c r="BI14" s="256"/>
      <c r="BJ14" s="256"/>
      <c r="BK14" s="256"/>
      <c r="BL14" s="256"/>
      <c r="BM14" s="256"/>
      <c r="BN14" s="256"/>
      <c r="BO14" s="256"/>
      <c r="BP14" s="256"/>
      <c r="BQ14" s="256"/>
      <c r="BR14" s="256"/>
      <c r="BS14" s="256"/>
      <c r="BT14" s="256"/>
      <c r="BU14" s="256"/>
      <c r="BV14" s="256"/>
      <c r="BW14" s="256"/>
      <c r="BX14" s="256"/>
      <c r="BY14" s="256"/>
    </row>
    <row r="15" spans="1:78" x14ac:dyDescent="0.2">
      <c r="A15" s="251" t="s">
        <v>231</v>
      </c>
      <c r="B15" s="251"/>
      <c r="C15" s="251"/>
      <c r="D15" s="251"/>
      <c r="E15" s="251"/>
      <c r="F15" s="281"/>
      <c r="G15" s="281"/>
      <c r="H15" s="281"/>
      <c r="I15" s="281"/>
      <c r="J15" s="281"/>
      <c r="K15" s="281"/>
      <c r="L15" s="281"/>
      <c r="M15" s="281"/>
      <c r="N15" s="281"/>
      <c r="O15" s="281"/>
      <c r="P15" s="282"/>
      <c r="Q15" s="282"/>
      <c r="R15" s="282"/>
      <c r="S15" s="282"/>
      <c r="T15" s="282"/>
      <c r="U15" s="282"/>
      <c r="V15" s="256"/>
      <c r="W15" s="280"/>
      <c r="X15" s="280"/>
      <c r="Y15" s="280"/>
      <c r="Z15" s="280"/>
      <c r="AA15" s="280"/>
      <c r="AB15" s="280"/>
      <c r="AC15" s="256"/>
      <c r="AD15" s="256"/>
      <c r="AE15" s="256"/>
      <c r="AF15" s="256"/>
      <c r="AG15" s="256"/>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6"/>
      <c r="BK15" s="256"/>
      <c r="BL15" s="256"/>
      <c r="BM15" s="256"/>
      <c r="BN15" s="256"/>
      <c r="BO15" s="256"/>
      <c r="BP15" s="256"/>
      <c r="BQ15" s="256"/>
      <c r="BR15" s="256"/>
      <c r="BS15" s="256"/>
      <c r="BT15" s="256"/>
      <c r="BU15" s="256"/>
      <c r="BV15" s="256"/>
      <c r="BW15" s="256"/>
      <c r="BX15" s="256"/>
      <c r="BY15" s="256"/>
    </row>
    <row r="16" spans="1:78" x14ac:dyDescent="0.2">
      <c r="A16" s="251" t="s">
        <v>168</v>
      </c>
      <c r="B16" s="251" t="s">
        <v>0</v>
      </c>
      <c r="C16" s="251" t="s">
        <v>201</v>
      </c>
      <c r="D16" s="251" t="str">
        <f>Commodities!C$11</f>
        <v>NGAD0</v>
      </c>
      <c r="E16" s="251">
        <v>2010</v>
      </c>
      <c r="F16" s="281">
        <f>F18*'Domestic NG Prices'!$N$19</f>
        <v>3.5667713782019939</v>
      </c>
      <c r="G16" s="281">
        <f>G18*'Domestic NG Prices'!$N$19</f>
        <v>2.931910016221432</v>
      </c>
      <c r="H16" s="281">
        <f>H18*'Domestic NG Prices'!$N$19</f>
        <v>3.4274059611121728</v>
      </c>
      <c r="I16" s="281">
        <f>I18*'Domestic NG Prices'!$N$19</f>
        <v>4.0985991848803209</v>
      </c>
      <c r="J16" s="281">
        <f>J18*'Domestic NG Prices'!$N$19</f>
        <v>4.7260766006697565</v>
      </c>
      <c r="K16" s="281">
        <f>K18*'Domestic NG Prices'!$N$19</f>
        <v>5.4230837737149553</v>
      </c>
      <c r="L16" s="281">
        <f>L18*'Domestic NG Prices'!$N$19</f>
        <v>5.9926203777434983</v>
      </c>
      <c r="M16" s="281">
        <f>M18*'Domestic NG Prices'!$N$19</f>
        <v>6.5694774592287803</v>
      </c>
      <c r="N16" s="281">
        <f>N18*'Domestic NG Prices'!$N$19</f>
        <v>7.2594092468412237</v>
      </c>
      <c r="O16" s="281">
        <f>O18*'Domestic NG Prices'!$N$19</f>
        <v>8.0217982237068899</v>
      </c>
      <c r="P16" s="282">
        <v>0</v>
      </c>
      <c r="Q16" s="282">
        <f>R16*0.9</f>
        <v>0</v>
      </c>
      <c r="R16" s="282">
        <v>0</v>
      </c>
      <c r="S16" s="282">
        <v>0</v>
      </c>
      <c r="T16" s="282">
        <v>0</v>
      </c>
      <c r="U16" s="282">
        <f>T16</f>
        <v>0</v>
      </c>
      <c r="V16" s="256"/>
      <c r="W16" s="280"/>
      <c r="X16" s="280">
        <v>1.25</v>
      </c>
      <c r="Y16" s="280">
        <v>1.1000000000000001</v>
      </c>
      <c r="Z16" s="280">
        <v>1.1000000000000001</v>
      </c>
      <c r="AA16" s="280">
        <v>1.1000000000000001</v>
      </c>
      <c r="AB16" s="280">
        <v>1.01</v>
      </c>
      <c r="AC16" s="256"/>
      <c r="AD16" s="256"/>
      <c r="AE16" s="256"/>
      <c r="AF16" s="256"/>
      <c r="AG16" s="256"/>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6"/>
      <c r="BD16" s="256"/>
      <c r="BE16" s="256"/>
      <c r="BF16" s="256"/>
      <c r="BG16" s="256"/>
      <c r="BH16" s="256"/>
      <c r="BI16" s="256"/>
      <c r="BJ16" s="256"/>
      <c r="BK16" s="256"/>
      <c r="BL16" s="256"/>
      <c r="BM16" s="256"/>
      <c r="BN16" s="256"/>
      <c r="BO16" s="256"/>
      <c r="BP16" s="256"/>
      <c r="BQ16" s="256"/>
      <c r="BR16" s="256"/>
      <c r="BS16" s="256"/>
      <c r="BT16" s="256"/>
      <c r="BU16" s="256"/>
      <c r="BV16" s="256"/>
      <c r="BW16" s="256"/>
      <c r="BX16" s="256"/>
      <c r="BY16" s="256"/>
    </row>
    <row r="17" spans="1:77" x14ac:dyDescent="0.2">
      <c r="A17" s="251" t="s">
        <v>168</v>
      </c>
      <c r="B17" s="251" t="s">
        <v>1</v>
      </c>
      <c r="C17" s="251" t="s">
        <v>202</v>
      </c>
      <c r="D17" s="251" t="str">
        <f>Commodities!C$11</f>
        <v>NGAD0</v>
      </c>
      <c r="E17" s="251">
        <v>2010</v>
      </c>
      <c r="F17" s="281">
        <f>F18*'Domestic NG Prices'!$N$20</f>
        <v>3.8504918287407888</v>
      </c>
      <c r="G17" s="281">
        <f>G18*'Domestic NG Prices'!$N$20</f>
        <v>3.1651301311481368</v>
      </c>
      <c r="H17" s="281">
        <f>H18*'Domestic NG Prices'!$N$20</f>
        <v>3.7000405262006413</v>
      </c>
      <c r="I17" s="281">
        <f>I18*'Domestic NG Prices'!$N$20</f>
        <v>4.4246241200412548</v>
      </c>
      <c r="J17" s="281">
        <f>J18*'Domestic NG Prices'!$N$20</f>
        <v>5.1020145120866687</v>
      </c>
      <c r="K17" s="281">
        <f>K18*'Domestic NG Prices'!$N$20</f>
        <v>5.8544654375331904</v>
      </c>
      <c r="L17" s="281">
        <f>L18*'Domestic NG Prices'!$N$20</f>
        <v>6.4693060896094581</v>
      </c>
      <c r="M17" s="281">
        <f>M18*'Domestic NG Prices'!$N$20</f>
        <v>7.092049529849251</v>
      </c>
      <c r="N17" s="281">
        <f>N18*'Domestic NG Prices'!$N$20</f>
        <v>7.8368622551126847</v>
      </c>
      <c r="O17" s="281">
        <f>O18*'Domestic NG Prices'!$N$20</f>
        <v>8.6598958096835723</v>
      </c>
      <c r="P17" s="282">
        <v>0</v>
      </c>
      <c r="Q17" s="282">
        <f>R17*0.9</f>
        <v>0</v>
      </c>
      <c r="R17" s="282">
        <v>0</v>
      </c>
      <c r="S17" s="282">
        <v>0</v>
      </c>
      <c r="T17" s="282">
        <v>0</v>
      </c>
      <c r="U17" s="282">
        <f>T17</f>
        <v>0</v>
      </c>
      <c r="V17" s="256"/>
      <c r="W17" s="280"/>
      <c r="X17" s="280">
        <v>1.25</v>
      </c>
      <c r="Y17" s="280">
        <v>1.1000000000000001</v>
      </c>
      <c r="Z17" s="280">
        <v>1.1000000000000001</v>
      </c>
      <c r="AA17" s="280">
        <v>1.1000000000000001</v>
      </c>
      <c r="AB17" s="280">
        <v>1.01</v>
      </c>
      <c r="AC17" s="256"/>
      <c r="AD17" s="256"/>
      <c r="AE17" s="256"/>
      <c r="AF17" s="256"/>
      <c r="AG17" s="256"/>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6"/>
      <c r="BD17" s="256"/>
      <c r="BE17" s="256"/>
      <c r="BF17" s="256"/>
      <c r="BG17" s="256"/>
      <c r="BH17" s="256"/>
      <c r="BI17" s="256"/>
      <c r="BJ17" s="256"/>
      <c r="BK17" s="256"/>
      <c r="BL17" s="256"/>
      <c r="BM17" s="256"/>
      <c r="BN17" s="256"/>
      <c r="BO17" s="256"/>
      <c r="BP17" s="256"/>
      <c r="BQ17" s="256"/>
      <c r="BR17" s="256"/>
      <c r="BS17" s="256"/>
      <c r="BT17" s="256"/>
      <c r="BU17" s="256"/>
      <c r="BV17" s="256"/>
      <c r="BW17" s="256"/>
      <c r="BX17" s="256"/>
      <c r="BY17" s="256"/>
    </row>
    <row r="18" spans="1:77" x14ac:dyDescent="0.2">
      <c r="A18" s="251" t="s">
        <v>168</v>
      </c>
      <c r="B18" s="251" t="s">
        <v>2</v>
      </c>
      <c r="C18" s="251" t="s">
        <v>203</v>
      </c>
      <c r="D18" s="251" t="str">
        <f>Commodities!C$11</f>
        <v>NGAD0</v>
      </c>
      <c r="E18" s="251">
        <v>2010</v>
      </c>
      <c r="F18" s="281">
        <f>'Domestic NG Prices'!N42*'Domestic NG Prices'!$P$27*TechData_DelNGA!$I$11</f>
        <v>4.0531492934113569</v>
      </c>
      <c r="G18" s="281">
        <f>'Domestic NG Prices'!O42*'Domestic NG Prices'!$P$27*TechData_DelNGA!$I$11*G8</f>
        <v>3.3317159275243546</v>
      </c>
      <c r="H18" s="281">
        <f>'Domestic NG Prices'!P42*'Domestic NG Prices'!$P$27*TechData_DelNGA!$I$11*H8</f>
        <v>3.8947795012638329</v>
      </c>
      <c r="I18" s="281">
        <f>'Domestic NG Prices'!Q42*'Domestic NG Prices'!$P$27*TechData_DelNGA!$I$11*I8</f>
        <v>4.6574990737276369</v>
      </c>
      <c r="J18" s="281">
        <f>'Domestic NG Prices'!R42*'Domestic NG Prices'!$P$27*TechData_DelNGA!$I$11*J8</f>
        <v>5.370541591670178</v>
      </c>
      <c r="K18" s="281">
        <f>'Domestic NG Prices'!S42*'Domestic NG Prices'!$P$27*TechData_DelNGA!$I$11*K8</f>
        <v>6.1625951974033581</v>
      </c>
      <c r="L18" s="281">
        <f>'Domestic NG Prices'!T42*'Domestic NG Prices'!$P$27*TechData_DelNGA!$I$11*L8</f>
        <v>6.8097958837994295</v>
      </c>
      <c r="M18" s="281">
        <f>7.46531529457816*M8</f>
        <v>7.4653152945781596</v>
      </c>
      <c r="N18" s="281">
        <f>8.2493286895923*N8</f>
        <v>8.2493286895922999</v>
      </c>
      <c r="O18" s="281">
        <f>9.11567979966692*O8</f>
        <v>9.1156797996669194</v>
      </c>
      <c r="P18" s="282">
        <v>0</v>
      </c>
      <c r="Q18" s="282">
        <f>R18*0.9</f>
        <v>0</v>
      </c>
      <c r="R18" s="282">
        <v>0</v>
      </c>
      <c r="S18" s="282">
        <v>0</v>
      </c>
      <c r="T18" s="282">
        <v>0</v>
      </c>
      <c r="U18" s="282">
        <f t="shared" ref="U18:U21" si="0">T18</f>
        <v>0</v>
      </c>
      <c r="V18" s="256"/>
      <c r="W18" s="280"/>
      <c r="X18" s="280">
        <v>1.25</v>
      </c>
      <c r="Y18" s="280">
        <v>1.1000000000000001</v>
      </c>
      <c r="Z18" s="280">
        <v>1.1000000000000001</v>
      </c>
      <c r="AA18" s="280">
        <v>1.1000000000000001</v>
      </c>
      <c r="AB18" s="280">
        <v>1.01</v>
      </c>
      <c r="AC18" s="256"/>
      <c r="AD18" s="256"/>
      <c r="AE18" s="256"/>
      <c r="AF18" s="256"/>
      <c r="AG18" s="256"/>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6"/>
      <c r="BD18" s="256"/>
      <c r="BE18" s="256"/>
      <c r="BF18" s="256"/>
      <c r="BG18" s="256"/>
      <c r="BH18" s="256"/>
      <c r="BI18" s="256"/>
      <c r="BJ18" s="256"/>
      <c r="BK18" s="256"/>
      <c r="BL18" s="256"/>
      <c r="BM18" s="256"/>
      <c r="BN18" s="256"/>
      <c r="BO18" s="256"/>
      <c r="BP18" s="256"/>
      <c r="BQ18" s="256"/>
      <c r="BR18" s="256"/>
      <c r="BS18" s="256"/>
      <c r="BT18" s="256"/>
      <c r="BU18" s="256"/>
      <c r="BV18" s="256"/>
      <c r="BW18" s="256"/>
      <c r="BX18" s="256"/>
      <c r="BY18" s="256"/>
    </row>
    <row r="19" spans="1:77" x14ac:dyDescent="0.2">
      <c r="A19" s="251" t="s">
        <v>168</v>
      </c>
      <c r="B19" s="251" t="s">
        <v>3</v>
      </c>
      <c r="C19" s="251" t="s">
        <v>204</v>
      </c>
      <c r="D19" s="251" t="str">
        <f>Commodities!C$11</f>
        <v>NGAD0</v>
      </c>
      <c r="E19" s="251">
        <v>2010</v>
      </c>
      <c r="F19" s="281">
        <f>F18*'Domestic NG Prices'!$N$22</f>
        <v>4.3774012368842659</v>
      </c>
      <c r="G19" s="281">
        <f>G18*'Domestic NG Prices'!$N$22</f>
        <v>3.5982532017263034</v>
      </c>
      <c r="H19" s="281">
        <f>H18*'Domestic NG Prices'!$N$22</f>
        <v>4.2063618613649396</v>
      </c>
      <c r="I19" s="281">
        <f>I18*'Domestic NG Prices'!$N$22</f>
        <v>5.0300989996258485</v>
      </c>
      <c r="J19" s="281">
        <f>J18*'Domestic NG Prices'!$N$22</f>
        <v>5.8001849190037928</v>
      </c>
      <c r="K19" s="281">
        <f>K18*'Domestic NG Prices'!$N$22</f>
        <v>6.6556028131956273</v>
      </c>
      <c r="L19" s="281">
        <f>L18*'Domestic NG Prices'!$N$22</f>
        <v>7.3545795545033847</v>
      </c>
      <c r="M19" s="281">
        <f>M18*'Domestic NG Prices'!$N$22</f>
        <v>8.062540518144413</v>
      </c>
      <c r="N19" s="281">
        <f>N18*'Domestic NG Prices'!$N$22</f>
        <v>8.9092749847596853</v>
      </c>
      <c r="O19" s="281">
        <f>O18*'Domestic NG Prices'!$N$22</f>
        <v>9.8449341836402731</v>
      </c>
      <c r="P19" s="282">
        <v>0</v>
      </c>
      <c r="Q19" s="282">
        <f>R19*0.9</f>
        <v>0</v>
      </c>
      <c r="R19" s="282">
        <v>0</v>
      </c>
      <c r="S19" s="282">
        <v>0</v>
      </c>
      <c r="T19" s="282">
        <v>0</v>
      </c>
      <c r="U19" s="282">
        <f t="shared" si="0"/>
        <v>0</v>
      </c>
      <c r="V19" s="256"/>
      <c r="W19" s="283"/>
      <c r="X19" s="280">
        <v>1.25</v>
      </c>
      <c r="Y19" s="280">
        <v>1.1000000000000001</v>
      </c>
      <c r="Z19" s="280">
        <v>1.1000000000000001</v>
      </c>
      <c r="AA19" s="280">
        <v>1.1000000000000001</v>
      </c>
      <c r="AB19" s="280">
        <v>1.01</v>
      </c>
      <c r="AC19" s="256"/>
      <c r="AD19" s="256"/>
      <c r="AE19" s="256"/>
      <c r="AF19" s="256"/>
      <c r="AG19" s="256"/>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6"/>
      <c r="BD19" s="256"/>
      <c r="BE19" s="256"/>
      <c r="BF19" s="256"/>
      <c r="BG19" s="256"/>
      <c r="BH19" s="256"/>
      <c r="BI19" s="256"/>
      <c r="BJ19" s="256"/>
      <c r="BK19" s="256"/>
      <c r="BL19" s="256"/>
      <c r="BM19" s="256"/>
      <c r="BN19" s="256"/>
      <c r="BO19" s="256"/>
      <c r="BP19" s="256"/>
      <c r="BQ19" s="256"/>
      <c r="BR19" s="256"/>
      <c r="BS19" s="256"/>
      <c r="BT19" s="256"/>
      <c r="BU19" s="256"/>
      <c r="BV19" s="256"/>
      <c r="BW19" s="256"/>
      <c r="BX19" s="256"/>
      <c r="BY19" s="256"/>
    </row>
    <row r="20" spans="1:77" x14ac:dyDescent="0.2">
      <c r="A20" s="251" t="s">
        <v>168</v>
      </c>
      <c r="B20" s="251" t="s">
        <v>4</v>
      </c>
      <c r="C20" s="251" t="s">
        <v>205</v>
      </c>
      <c r="D20" s="251" t="str">
        <f>Commodities!C$11</f>
        <v>NGAD0</v>
      </c>
      <c r="E20" s="251">
        <v>2010</v>
      </c>
      <c r="F20" s="281">
        <f>F18*'Domestic NG Prices'!$N$23</f>
        <v>4.5395272086207203</v>
      </c>
      <c r="G20" s="281">
        <f>G18*'Domestic NG Prices'!$N$23</f>
        <v>3.7315218388272777</v>
      </c>
      <c r="H20" s="281">
        <f>H18*'Domestic NG Prices'!$N$23</f>
        <v>4.3621530414154934</v>
      </c>
      <c r="I20" s="281">
        <f>I18*'Domestic NG Prices'!$N$23</f>
        <v>5.2163989625749538</v>
      </c>
      <c r="J20" s="281">
        <f>J18*'Domestic NG Prices'!$N$23</f>
        <v>6.0150065826706003</v>
      </c>
      <c r="K20" s="281">
        <f>K18*'Domestic NG Prices'!$N$23</f>
        <v>6.9021066210917619</v>
      </c>
      <c r="L20" s="281">
        <f>L18*'Domestic NG Prices'!$N$23</f>
        <v>7.6269713898553615</v>
      </c>
      <c r="M20" s="281">
        <f>M18*'Domestic NG Prices'!$N$23</f>
        <v>8.3611531299275388</v>
      </c>
      <c r="N20" s="281">
        <f>N18*'Domestic NG Prices'!$N$23</f>
        <v>9.2392481323433771</v>
      </c>
      <c r="O20" s="281">
        <f>O18*'Domestic NG Prices'!$N$23</f>
        <v>10.209561375626951</v>
      </c>
      <c r="P20" s="282">
        <v>0</v>
      </c>
      <c r="Q20" s="282">
        <f t="shared" ref="Q20:Q21" si="1">R20*0.9</f>
        <v>0</v>
      </c>
      <c r="R20" s="282">
        <v>0</v>
      </c>
      <c r="S20" s="282">
        <v>0</v>
      </c>
      <c r="T20" s="282">
        <v>0</v>
      </c>
      <c r="U20" s="282">
        <f t="shared" si="0"/>
        <v>0</v>
      </c>
      <c r="V20" s="256"/>
      <c r="W20" s="283">
        <f>R20</f>
        <v>0</v>
      </c>
      <c r="X20" s="280">
        <v>1.25</v>
      </c>
      <c r="Y20" s="280">
        <v>1.1000000000000001</v>
      </c>
      <c r="Z20" s="280">
        <v>1.1000000000000001</v>
      </c>
      <c r="AA20" s="280">
        <v>1.1000000000000001</v>
      </c>
      <c r="AB20" s="280">
        <v>1.01</v>
      </c>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6"/>
      <c r="BD20" s="256"/>
      <c r="BE20" s="256"/>
      <c r="BF20" s="256"/>
      <c r="BG20" s="256"/>
      <c r="BH20" s="256"/>
      <c r="BI20" s="256"/>
      <c r="BJ20" s="256"/>
      <c r="BK20" s="256"/>
      <c r="BL20" s="256"/>
      <c r="BM20" s="256"/>
      <c r="BN20" s="256"/>
      <c r="BO20" s="256"/>
      <c r="BP20" s="256"/>
      <c r="BQ20" s="256"/>
      <c r="BR20" s="256"/>
      <c r="BS20" s="256"/>
      <c r="BT20" s="256"/>
      <c r="BU20" s="256"/>
      <c r="BV20" s="256"/>
      <c r="BW20" s="256"/>
      <c r="BX20" s="256"/>
      <c r="BY20" s="256"/>
    </row>
    <row r="21" spans="1:77" x14ac:dyDescent="0.2">
      <c r="A21" s="251" t="s">
        <v>168</v>
      </c>
      <c r="B21" s="251" t="s">
        <v>5</v>
      </c>
      <c r="C21" s="251" t="s">
        <v>206</v>
      </c>
      <c r="D21" s="251" t="str">
        <f>Commodities!C$11</f>
        <v>NGAD0</v>
      </c>
      <c r="E21" s="251">
        <v>2010</v>
      </c>
      <c r="F21" s="281">
        <f>F18*'Domestic NG Prices'!$N$24</f>
        <v>6.2013184189193762</v>
      </c>
      <c r="G21" s="281">
        <f>G18*'Domestic NG Prices'!$N$24</f>
        <v>5.0975253691122626</v>
      </c>
      <c r="H21" s="281">
        <f>H18*'Domestic NG Prices'!$N$24</f>
        <v>5.9590126369336645</v>
      </c>
      <c r="I21" s="281">
        <f>I18*'Domestic NG Prices'!$N$24</f>
        <v>7.1259735828032849</v>
      </c>
      <c r="J21" s="281">
        <f>J18*'Domestic NG Prices'!$N$24</f>
        <v>8.216928635255373</v>
      </c>
      <c r="K21" s="281">
        <f>K18*'Domestic NG Prices'!$N$24</f>
        <v>9.4287706520271382</v>
      </c>
      <c r="L21" s="281">
        <f>L18*'Domestic NG Prices'!$N$24</f>
        <v>10.418987702213128</v>
      </c>
      <c r="M21" s="281">
        <f>M18*'Domestic NG Prices'!$N$24</f>
        <v>11.421932400704584</v>
      </c>
      <c r="N21" s="281">
        <f>N18*'Domestic NG Prices'!$N$24</f>
        <v>12.621472895076218</v>
      </c>
      <c r="O21" s="281">
        <f>O18*'Domestic NG Prices'!$N$24</f>
        <v>13.946990093490387</v>
      </c>
      <c r="P21" s="282">
        <v>0</v>
      </c>
      <c r="Q21" s="282">
        <f t="shared" si="1"/>
        <v>0</v>
      </c>
      <c r="R21" s="282">
        <v>0</v>
      </c>
      <c r="S21" s="282">
        <v>0</v>
      </c>
      <c r="T21" s="282">
        <v>0</v>
      </c>
      <c r="U21" s="282">
        <f t="shared" si="0"/>
        <v>0</v>
      </c>
      <c r="V21" s="256"/>
      <c r="W21" s="283">
        <f>R21</f>
        <v>0</v>
      </c>
      <c r="X21" s="280">
        <v>1.25</v>
      </c>
      <c r="Y21" s="280">
        <v>1.1000000000000001</v>
      </c>
      <c r="Z21" s="280">
        <v>1.1000000000000001</v>
      </c>
      <c r="AA21" s="280">
        <v>1.1000000000000001</v>
      </c>
      <c r="AB21" s="280">
        <v>1.01</v>
      </c>
      <c r="AC21" s="256"/>
      <c r="AD21" s="256"/>
      <c r="AE21" s="256"/>
      <c r="AF21" s="256"/>
      <c r="AG21" s="256"/>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6"/>
      <c r="BD21" s="256"/>
      <c r="BE21" s="256"/>
      <c r="BF21" s="256"/>
      <c r="BG21" s="256"/>
      <c r="BH21" s="256"/>
      <c r="BI21" s="256"/>
      <c r="BJ21" s="256"/>
      <c r="BK21" s="256"/>
      <c r="BL21" s="256"/>
      <c r="BM21" s="256"/>
      <c r="BN21" s="256"/>
      <c r="BO21" s="256"/>
      <c r="BP21" s="256"/>
      <c r="BQ21" s="256"/>
      <c r="BR21" s="256"/>
      <c r="BS21" s="256"/>
      <c r="BT21" s="256"/>
      <c r="BU21" s="256"/>
      <c r="BV21" s="256"/>
      <c r="BW21" s="256"/>
      <c r="BX21" s="256"/>
      <c r="BY21" s="256"/>
    </row>
    <row r="22" spans="1:77" x14ac:dyDescent="0.2">
      <c r="A22" s="251" t="s">
        <v>231</v>
      </c>
      <c r="B22" s="251"/>
      <c r="C22" s="251"/>
      <c r="D22" s="251"/>
      <c r="E22" s="251"/>
      <c r="F22" s="281"/>
      <c r="G22" s="281"/>
      <c r="H22" s="281"/>
      <c r="I22" s="281"/>
      <c r="J22" s="281"/>
      <c r="K22" s="281"/>
      <c r="L22" s="281"/>
      <c r="M22" s="281"/>
      <c r="N22" s="281"/>
      <c r="O22" s="281"/>
      <c r="P22" s="282"/>
      <c r="Q22" s="282"/>
      <c r="R22" s="282"/>
      <c r="S22" s="282"/>
      <c r="T22" s="282"/>
      <c r="U22" s="282"/>
      <c r="V22" s="256"/>
      <c r="W22" s="280"/>
      <c r="X22" s="280"/>
      <c r="Y22" s="280"/>
      <c r="Z22" s="280"/>
      <c r="AA22" s="280"/>
      <c r="AB22" s="280"/>
      <c r="AC22" s="256"/>
      <c r="AD22" s="256"/>
      <c r="AE22" s="256"/>
      <c r="AF22" s="256"/>
      <c r="AG22" s="256"/>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6"/>
      <c r="BD22" s="256"/>
      <c r="BE22" s="256"/>
      <c r="BF22" s="256"/>
      <c r="BG22" s="256"/>
      <c r="BH22" s="256"/>
      <c r="BI22" s="256"/>
      <c r="BJ22" s="256"/>
      <c r="BK22" s="256"/>
      <c r="BL22" s="256"/>
      <c r="BM22" s="256"/>
      <c r="BN22" s="256"/>
      <c r="BO22" s="256"/>
      <c r="BP22" s="256"/>
      <c r="BQ22" s="256"/>
      <c r="BR22" s="256"/>
      <c r="BS22" s="256"/>
      <c r="BT22" s="256"/>
      <c r="BU22" s="256"/>
      <c r="BV22" s="256"/>
      <c r="BW22" s="256"/>
      <c r="BX22" s="256"/>
      <c r="BY22" s="256"/>
    </row>
    <row r="23" spans="1:77" x14ac:dyDescent="0.2">
      <c r="A23" s="251" t="s">
        <v>165</v>
      </c>
      <c r="B23" s="251" t="s">
        <v>0</v>
      </c>
      <c r="C23" s="251" t="s">
        <v>201</v>
      </c>
      <c r="D23" s="251" t="str">
        <f>Commodities!C$11</f>
        <v>NGAD0</v>
      </c>
      <c r="E23" s="251">
        <v>2010</v>
      </c>
      <c r="F23" s="281">
        <f>F25*'Domestic NG Prices'!$N$19</f>
        <v>3.5667713782019939</v>
      </c>
      <c r="G23" s="281">
        <f>G25*'Domestic NG Prices'!$N$19</f>
        <v>2.931910016221432</v>
      </c>
      <c r="H23" s="281">
        <f>H25*'Domestic NG Prices'!$N$19</f>
        <v>3.4274059611121728</v>
      </c>
      <c r="I23" s="281">
        <f>I25*'Domestic NG Prices'!$N$19</f>
        <v>4.0985991848803209</v>
      </c>
      <c r="J23" s="281">
        <f>J25*'Domestic NG Prices'!$N$19</f>
        <v>4.7260766006697565</v>
      </c>
      <c r="K23" s="281">
        <f>K25*'Domestic NG Prices'!$N$19</f>
        <v>5.4230837737149553</v>
      </c>
      <c r="L23" s="281">
        <f>L25*'Domestic NG Prices'!$N$19</f>
        <v>5.9926203777434983</v>
      </c>
      <c r="M23" s="281">
        <f>M25*'Domestic NG Prices'!$N$19</f>
        <v>6.0617197321523664</v>
      </c>
      <c r="N23" s="281">
        <f>N25*'Domestic NG Prices'!$N$19</f>
        <v>6.6983263963451796</v>
      </c>
      <c r="O23" s="281">
        <f>O25*'Domestic NG Prices'!$N$19</f>
        <v>7.4017900025944066</v>
      </c>
      <c r="P23" s="282">
        <v>0</v>
      </c>
      <c r="Q23" s="282">
        <f>R23*0.9</f>
        <v>0</v>
      </c>
      <c r="R23" s="282">
        <v>0</v>
      </c>
      <c r="S23" s="282">
        <v>0</v>
      </c>
      <c r="T23" s="282">
        <v>0</v>
      </c>
      <c r="U23" s="282">
        <f>T23</f>
        <v>0</v>
      </c>
      <c r="V23" s="256"/>
      <c r="W23" s="280"/>
      <c r="X23" s="280">
        <v>1.25</v>
      </c>
      <c r="Y23" s="280">
        <v>1.1000000000000001</v>
      </c>
      <c r="Z23" s="280">
        <v>1.1000000000000001</v>
      </c>
      <c r="AA23" s="280">
        <v>1.1000000000000001</v>
      </c>
      <c r="AB23" s="280">
        <v>1.01</v>
      </c>
      <c r="AC23" s="256"/>
      <c r="AD23" s="256"/>
      <c r="AE23" s="256"/>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6"/>
      <c r="BD23" s="256"/>
      <c r="BE23" s="256"/>
      <c r="BF23" s="256"/>
      <c r="BG23" s="256"/>
      <c r="BH23" s="256"/>
      <c r="BI23" s="256"/>
      <c r="BJ23" s="256"/>
      <c r="BK23" s="256"/>
      <c r="BL23" s="256"/>
      <c r="BM23" s="256"/>
      <c r="BN23" s="256"/>
      <c r="BO23" s="256"/>
      <c r="BP23" s="256"/>
      <c r="BQ23" s="256"/>
      <c r="BR23" s="256"/>
      <c r="BS23" s="256"/>
      <c r="BT23" s="256"/>
      <c r="BU23" s="256"/>
      <c r="BV23" s="256"/>
      <c r="BW23" s="256"/>
      <c r="BX23" s="256"/>
      <c r="BY23" s="256"/>
    </row>
    <row r="24" spans="1:77" x14ac:dyDescent="0.2">
      <c r="A24" s="251" t="s">
        <v>165</v>
      </c>
      <c r="B24" s="251" t="s">
        <v>1</v>
      </c>
      <c r="C24" s="251" t="s">
        <v>202</v>
      </c>
      <c r="D24" s="251" t="str">
        <f>Commodities!C$11</f>
        <v>NGAD0</v>
      </c>
      <c r="E24" s="251">
        <v>2010</v>
      </c>
      <c r="F24" s="281">
        <f>F25*'Domestic NG Prices'!$N$20</f>
        <v>3.8504918287407888</v>
      </c>
      <c r="G24" s="281">
        <f>G25*'Domestic NG Prices'!$N$20</f>
        <v>3.1651301311481368</v>
      </c>
      <c r="H24" s="281">
        <f>H25*'Domestic NG Prices'!$N$20</f>
        <v>3.7000405262006413</v>
      </c>
      <c r="I24" s="281">
        <f>I25*'Domestic NG Prices'!$N$20</f>
        <v>4.4246241200412548</v>
      </c>
      <c r="J24" s="281">
        <f>J25*'Domestic NG Prices'!$N$20</f>
        <v>5.1020145120866687</v>
      </c>
      <c r="K24" s="281">
        <f>K25*'Domestic NG Prices'!$N$20</f>
        <v>5.8544654375331904</v>
      </c>
      <c r="L24" s="281">
        <f>L25*'Domestic NG Prices'!$N$20</f>
        <v>6.4693060896094581</v>
      </c>
      <c r="M24" s="281">
        <f>M25*'Domestic NG Prices'!$N$20</f>
        <v>6.5439019835735763</v>
      </c>
      <c r="N24" s="281">
        <f>N25*'Domestic NG Prices'!$N$20</f>
        <v>7.2311478142362731</v>
      </c>
      <c r="O24" s="281">
        <f>O25*'Domestic NG Prices'!$N$20</f>
        <v>7.9905687528007796</v>
      </c>
      <c r="P24" s="282">
        <v>0</v>
      </c>
      <c r="Q24" s="282">
        <f>R24*0.9</f>
        <v>0</v>
      </c>
      <c r="R24" s="282">
        <v>0</v>
      </c>
      <c r="S24" s="282">
        <v>0</v>
      </c>
      <c r="T24" s="282">
        <v>0</v>
      </c>
      <c r="U24" s="282">
        <f t="shared" ref="U24:U27" si="2">T24</f>
        <v>0</v>
      </c>
      <c r="V24" s="256"/>
      <c r="W24" s="280"/>
      <c r="X24" s="280">
        <v>1.25</v>
      </c>
      <c r="Y24" s="280">
        <v>1.1000000000000001</v>
      </c>
      <c r="Z24" s="280">
        <v>1.1000000000000001</v>
      </c>
      <c r="AA24" s="280">
        <v>1.1000000000000001</v>
      </c>
      <c r="AB24" s="280">
        <v>1.01</v>
      </c>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6"/>
      <c r="BD24" s="256"/>
      <c r="BE24" s="256"/>
      <c r="BF24" s="256"/>
      <c r="BG24" s="256"/>
      <c r="BH24" s="256"/>
      <c r="BI24" s="256"/>
      <c r="BJ24" s="256"/>
      <c r="BK24" s="256"/>
      <c r="BL24" s="256"/>
      <c r="BM24" s="256"/>
      <c r="BN24" s="256"/>
      <c r="BO24" s="256"/>
      <c r="BP24" s="256"/>
      <c r="BQ24" s="256"/>
      <c r="BR24" s="256"/>
      <c r="BS24" s="256"/>
      <c r="BT24" s="256"/>
      <c r="BU24" s="256"/>
      <c r="BV24" s="256"/>
      <c r="BW24" s="256"/>
      <c r="BX24" s="256"/>
      <c r="BY24" s="256"/>
    </row>
    <row r="25" spans="1:77" x14ac:dyDescent="0.2">
      <c r="A25" s="251" t="s">
        <v>165</v>
      </c>
      <c r="B25" s="251" t="s">
        <v>2</v>
      </c>
      <c r="C25" s="251" t="s">
        <v>203</v>
      </c>
      <c r="D25" s="251" t="str">
        <f>Commodities!C$11</f>
        <v>NGAD0</v>
      </c>
      <c r="E25" s="251">
        <v>2010</v>
      </c>
      <c r="F25" s="281">
        <f>'Domestic NG Prices'!N42*'Domestic NG Prices'!$P$27*TechData_DelNGA!$I$14</f>
        <v>4.0531492934113569</v>
      </c>
      <c r="G25" s="281">
        <f>'Domestic NG Prices'!O42*'Domestic NG Prices'!$P$27*TechData_DelNGA!$I$14*G8</f>
        <v>3.3317159275243546</v>
      </c>
      <c r="H25" s="281">
        <f>'Domestic NG Prices'!P42*'Domestic NG Prices'!$P$27*TechData_DelNGA!$I$14*H8</f>
        <v>3.8947795012638329</v>
      </c>
      <c r="I25" s="281">
        <f>'Domestic NG Prices'!Q42*'Domestic NG Prices'!$P$27*TechData_DelNGA!$I$14*I8</f>
        <v>4.6574990737276369</v>
      </c>
      <c r="J25" s="281">
        <f>'Domestic NG Prices'!R42*'Domestic NG Prices'!$P$27*TechData_DelNGA!$I$14*J8</f>
        <v>5.370541591670178</v>
      </c>
      <c r="K25" s="281">
        <f>'Domestic NG Prices'!S42*'Domestic NG Prices'!$P$27*TechData_DelNGA!$I$14*K8</f>
        <v>6.1625951974033581</v>
      </c>
      <c r="L25" s="281">
        <f>'Domestic NG Prices'!T42*'Domestic NG Prices'!$P$27*TechData_DelNGA!$I$14*L8</f>
        <v>6.8097958837994295</v>
      </c>
      <c r="M25" s="281">
        <f>6.88831787744587*M8</f>
        <v>6.8883178774458704</v>
      </c>
      <c r="N25" s="281">
        <f>7.61173454130134*N8</f>
        <v>7.61173454130134</v>
      </c>
      <c r="O25" s="281">
        <f>8.41112500294819*O8</f>
        <v>8.4111250029481894</v>
      </c>
      <c r="P25" s="282">
        <v>0</v>
      </c>
      <c r="Q25" s="282">
        <f>R25*0.9</f>
        <v>0</v>
      </c>
      <c r="R25" s="282">
        <v>0</v>
      </c>
      <c r="S25" s="282">
        <v>0</v>
      </c>
      <c r="T25" s="282">
        <v>0</v>
      </c>
      <c r="U25" s="282">
        <f t="shared" si="2"/>
        <v>0</v>
      </c>
      <c r="V25" s="256"/>
      <c r="W25" s="280"/>
      <c r="X25" s="280">
        <v>1.25</v>
      </c>
      <c r="Y25" s="280">
        <v>1.1000000000000001</v>
      </c>
      <c r="Z25" s="280">
        <v>1.1000000000000001</v>
      </c>
      <c r="AA25" s="280">
        <v>1.1000000000000001</v>
      </c>
      <c r="AB25" s="280">
        <v>1.01</v>
      </c>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6"/>
      <c r="BD25" s="256"/>
      <c r="BE25" s="256"/>
      <c r="BF25" s="256"/>
      <c r="BG25" s="256"/>
      <c r="BH25" s="256"/>
      <c r="BI25" s="256"/>
      <c r="BJ25" s="256"/>
      <c r="BK25" s="256"/>
      <c r="BL25" s="256"/>
      <c r="BM25" s="256"/>
      <c r="BN25" s="256"/>
      <c r="BO25" s="256"/>
      <c r="BP25" s="256"/>
      <c r="BQ25" s="256"/>
      <c r="BR25" s="256"/>
      <c r="BS25" s="256"/>
      <c r="BT25" s="256"/>
      <c r="BU25" s="256"/>
      <c r="BV25" s="256"/>
      <c r="BW25" s="256"/>
      <c r="BX25" s="256"/>
      <c r="BY25" s="256"/>
    </row>
    <row r="26" spans="1:77" x14ac:dyDescent="0.2">
      <c r="A26" s="251" t="s">
        <v>165</v>
      </c>
      <c r="B26" s="251" t="s">
        <v>3</v>
      </c>
      <c r="C26" s="251" t="s">
        <v>204</v>
      </c>
      <c r="D26" s="251" t="str">
        <f>Commodities!C$11</f>
        <v>NGAD0</v>
      </c>
      <c r="E26" s="251">
        <v>2010</v>
      </c>
      <c r="F26" s="281">
        <f>F25*'Domestic NG Prices'!$N$22</f>
        <v>4.3774012368842659</v>
      </c>
      <c r="G26" s="281">
        <f>G25*'Domestic NG Prices'!$N$22</f>
        <v>3.5982532017263034</v>
      </c>
      <c r="H26" s="281">
        <f>H25*'Domestic NG Prices'!$N$22</f>
        <v>4.2063618613649396</v>
      </c>
      <c r="I26" s="281">
        <f>I25*'Domestic NG Prices'!$N$22</f>
        <v>5.0300989996258485</v>
      </c>
      <c r="J26" s="281">
        <f>J25*'Domestic NG Prices'!$N$22</f>
        <v>5.8001849190037928</v>
      </c>
      <c r="K26" s="281">
        <f>K25*'Domestic NG Prices'!$N$22</f>
        <v>6.6556028131956273</v>
      </c>
      <c r="L26" s="281">
        <f>L25*'Domestic NG Prices'!$N$22</f>
        <v>7.3545795545033847</v>
      </c>
      <c r="M26" s="281">
        <f>M25*'Domestic NG Prices'!$N$22</f>
        <v>7.439383307641541</v>
      </c>
      <c r="N26" s="281">
        <f>N25*'Domestic NG Prices'!$N$22</f>
        <v>8.2206733046054481</v>
      </c>
      <c r="O26" s="281">
        <f>O25*'Domestic NG Prices'!$N$22</f>
        <v>9.0840150031840459</v>
      </c>
      <c r="P26" s="282">
        <v>0</v>
      </c>
      <c r="Q26" s="282">
        <f>R26*0.9</f>
        <v>0</v>
      </c>
      <c r="R26" s="282">
        <v>0</v>
      </c>
      <c r="S26" s="282">
        <v>0</v>
      </c>
      <c r="T26" s="282">
        <v>0</v>
      </c>
      <c r="U26" s="282">
        <f t="shared" si="2"/>
        <v>0</v>
      </c>
      <c r="V26" s="256"/>
      <c r="W26" s="283"/>
      <c r="X26" s="280">
        <v>1.1000000000000001</v>
      </c>
      <c r="Y26" s="280">
        <v>1.1000000000000001</v>
      </c>
      <c r="Z26" s="280">
        <v>1.1000000000000001</v>
      </c>
      <c r="AA26" s="280">
        <v>1.1000000000000001</v>
      </c>
      <c r="AB26" s="280">
        <v>1.01</v>
      </c>
      <c r="AC26" s="256"/>
      <c r="AD26" s="256"/>
      <c r="AE26" s="256"/>
      <c r="AF26" s="256"/>
      <c r="AG26" s="256"/>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6"/>
      <c r="BD26" s="256"/>
      <c r="BE26" s="256"/>
      <c r="BF26" s="256"/>
      <c r="BG26" s="256"/>
      <c r="BH26" s="256"/>
      <c r="BI26" s="256"/>
      <c r="BJ26" s="256"/>
      <c r="BK26" s="256"/>
      <c r="BL26" s="256"/>
      <c r="BM26" s="256"/>
      <c r="BN26" s="256"/>
      <c r="BO26" s="256"/>
      <c r="BP26" s="256"/>
      <c r="BQ26" s="256"/>
      <c r="BR26" s="256"/>
      <c r="BS26" s="256"/>
      <c r="BT26" s="256"/>
      <c r="BU26" s="256"/>
      <c r="BV26" s="256"/>
      <c r="BW26" s="256"/>
      <c r="BX26" s="256"/>
      <c r="BY26" s="256"/>
    </row>
    <row r="27" spans="1:77" x14ac:dyDescent="0.2">
      <c r="A27" s="251" t="s">
        <v>165</v>
      </c>
      <c r="B27" s="251" t="s">
        <v>4</v>
      </c>
      <c r="C27" s="251" t="s">
        <v>205</v>
      </c>
      <c r="D27" s="251" t="str">
        <f>Commodities!C$11</f>
        <v>NGAD0</v>
      </c>
      <c r="E27" s="251">
        <v>2010</v>
      </c>
      <c r="F27" s="281">
        <f>F25*'Domestic NG Prices'!$N$23</f>
        <v>4.5395272086207203</v>
      </c>
      <c r="G27" s="281">
        <f>G25*'Domestic NG Prices'!$N$23</f>
        <v>3.7315218388272777</v>
      </c>
      <c r="H27" s="281">
        <f>H25*'Domestic NG Prices'!$N$23</f>
        <v>4.3621530414154934</v>
      </c>
      <c r="I27" s="281">
        <f>I25*'Domestic NG Prices'!$N$23</f>
        <v>5.2163989625749538</v>
      </c>
      <c r="J27" s="281">
        <f>J25*'Domestic NG Prices'!$N$23</f>
        <v>6.0150065826706003</v>
      </c>
      <c r="K27" s="281">
        <f>K25*'Domestic NG Prices'!$N$23</f>
        <v>6.9021066210917619</v>
      </c>
      <c r="L27" s="281">
        <f>L25*'Domestic NG Prices'!$N$23</f>
        <v>7.6269713898553615</v>
      </c>
      <c r="M27" s="281">
        <f>M25*'Domestic NG Prices'!$N$23</f>
        <v>7.7149160227393754</v>
      </c>
      <c r="N27" s="281">
        <f>N25*'Domestic NG Prices'!$N$23</f>
        <v>8.5251426862575013</v>
      </c>
      <c r="O27" s="281">
        <f>O25*'Domestic NG Prices'!$N$23</f>
        <v>9.4204600033019723</v>
      </c>
      <c r="P27" s="282">
        <v>0</v>
      </c>
      <c r="Q27" s="282">
        <f t="shared" ref="Q27:Q28" si="3">R27*0.9</f>
        <v>0</v>
      </c>
      <c r="R27" s="282">
        <v>0</v>
      </c>
      <c r="S27" s="282">
        <v>0</v>
      </c>
      <c r="T27" s="282">
        <v>0</v>
      </c>
      <c r="U27" s="282">
        <f t="shared" si="2"/>
        <v>0</v>
      </c>
      <c r="V27" s="256"/>
      <c r="W27" s="283">
        <f>R27</f>
        <v>0</v>
      </c>
      <c r="X27" s="280">
        <v>1.01</v>
      </c>
      <c r="Y27" s="280">
        <v>1.01</v>
      </c>
      <c r="Z27" s="280">
        <v>1.01</v>
      </c>
      <c r="AA27" s="280">
        <v>1.1000000000000001</v>
      </c>
      <c r="AB27" s="280">
        <v>1.01</v>
      </c>
      <c r="AC27" s="256"/>
      <c r="AD27" s="256"/>
      <c r="AE27" s="256"/>
      <c r="AF27" s="256"/>
      <c r="AG27" s="256"/>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6"/>
      <c r="BD27" s="256"/>
      <c r="BE27" s="256"/>
      <c r="BF27" s="256"/>
      <c r="BG27" s="256"/>
      <c r="BH27" s="256"/>
      <c r="BI27" s="256"/>
      <c r="BJ27" s="256"/>
      <c r="BK27" s="256"/>
      <c r="BL27" s="256"/>
      <c r="BM27" s="256"/>
      <c r="BN27" s="256"/>
      <c r="BO27" s="256"/>
      <c r="BP27" s="256"/>
      <c r="BQ27" s="256"/>
      <c r="BR27" s="256"/>
      <c r="BS27" s="256"/>
      <c r="BT27" s="256"/>
      <c r="BU27" s="256"/>
      <c r="BV27" s="256"/>
      <c r="BW27" s="256"/>
      <c r="BX27" s="256"/>
      <c r="BY27" s="256"/>
    </row>
    <row r="28" spans="1:77" x14ac:dyDescent="0.2">
      <c r="A28" s="251" t="s">
        <v>165</v>
      </c>
      <c r="B28" s="251" t="s">
        <v>5</v>
      </c>
      <c r="C28" s="251" t="s">
        <v>206</v>
      </c>
      <c r="D28" s="251" t="str">
        <f>Commodities!C$11</f>
        <v>NGAD0</v>
      </c>
      <c r="E28" s="251">
        <v>2010</v>
      </c>
      <c r="F28" s="281">
        <f>F25*'Domestic NG Prices'!$N$24</f>
        <v>6.2013184189193762</v>
      </c>
      <c r="G28" s="281">
        <f>G25*'Domestic NG Prices'!$N$24</f>
        <v>5.0975253691122626</v>
      </c>
      <c r="H28" s="281">
        <f>H25*'Domestic NG Prices'!$N$24</f>
        <v>5.9590126369336645</v>
      </c>
      <c r="I28" s="281">
        <f>I25*'Domestic NG Prices'!$N$24</f>
        <v>7.1259735828032849</v>
      </c>
      <c r="J28" s="281">
        <f>J25*'Domestic NG Prices'!$N$24</f>
        <v>8.216928635255373</v>
      </c>
      <c r="K28" s="281">
        <f>K25*'Domestic NG Prices'!$N$24</f>
        <v>9.4287706520271382</v>
      </c>
      <c r="L28" s="281">
        <f>L25*'Domestic NG Prices'!$N$24</f>
        <v>10.418987702213128</v>
      </c>
      <c r="M28" s="281">
        <f>M25*'Domestic NG Prices'!$N$24</f>
        <v>10.539126352492183</v>
      </c>
      <c r="N28" s="281">
        <f>N25*'Domestic NG Prices'!$N$24</f>
        <v>11.64595384819105</v>
      </c>
      <c r="O28" s="281">
        <f>O25*'Domestic NG Prices'!$N$24</f>
        <v>12.869021254510731</v>
      </c>
      <c r="P28" s="282">
        <v>0</v>
      </c>
      <c r="Q28" s="282">
        <f t="shared" si="3"/>
        <v>0</v>
      </c>
      <c r="R28" s="282">
        <v>0</v>
      </c>
      <c r="S28" s="282">
        <v>0</v>
      </c>
      <c r="T28" s="282">
        <v>0</v>
      </c>
      <c r="U28" s="282">
        <f>T28</f>
        <v>0</v>
      </c>
      <c r="V28" s="256"/>
      <c r="W28" s="283">
        <f>R28</f>
        <v>0</v>
      </c>
      <c r="X28" s="280">
        <v>1.01</v>
      </c>
      <c r="Y28" s="280">
        <v>1.01</v>
      </c>
      <c r="Z28" s="280">
        <v>1.01</v>
      </c>
      <c r="AA28" s="280">
        <v>1.1000000000000001</v>
      </c>
      <c r="AB28" s="280">
        <v>1.01</v>
      </c>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6"/>
      <c r="BD28" s="256"/>
      <c r="BE28" s="256"/>
      <c r="BF28" s="256"/>
      <c r="BG28" s="256"/>
      <c r="BH28" s="256"/>
      <c r="BI28" s="256"/>
      <c r="BJ28" s="256"/>
      <c r="BK28" s="256"/>
      <c r="BL28" s="256"/>
      <c r="BM28" s="256"/>
      <c r="BN28" s="256"/>
      <c r="BO28" s="256"/>
      <c r="BP28" s="256"/>
      <c r="BQ28" s="256"/>
      <c r="BR28" s="256"/>
      <c r="BS28" s="256"/>
      <c r="BT28" s="256"/>
      <c r="BU28" s="256"/>
      <c r="BV28" s="256"/>
      <c r="BW28" s="256"/>
      <c r="BX28" s="256"/>
      <c r="BY28" s="256"/>
    </row>
    <row r="29" spans="1:77" x14ac:dyDescent="0.2">
      <c r="A29" s="251" t="s">
        <v>231</v>
      </c>
      <c r="B29" s="251"/>
      <c r="C29" s="251"/>
      <c r="D29" s="251"/>
      <c r="E29" s="251"/>
      <c r="F29" s="281"/>
      <c r="G29" s="281"/>
      <c r="H29" s="281"/>
      <c r="I29" s="281"/>
      <c r="J29" s="281"/>
      <c r="K29" s="281"/>
      <c r="L29" s="281"/>
      <c r="M29" s="281"/>
      <c r="N29" s="281"/>
      <c r="O29" s="281"/>
      <c r="P29" s="282"/>
      <c r="Q29" s="282"/>
      <c r="R29" s="282"/>
      <c r="S29" s="282"/>
      <c r="T29" s="282"/>
      <c r="U29" s="282"/>
      <c r="V29" s="256"/>
      <c r="W29" s="280"/>
      <c r="X29" s="280"/>
      <c r="Y29" s="280"/>
      <c r="Z29" s="280"/>
      <c r="AA29" s="280"/>
      <c r="AB29" s="280"/>
      <c r="AC29" s="256"/>
      <c r="AD29" s="256"/>
      <c r="AE29" s="256"/>
      <c r="AF29" s="256"/>
      <c r="AG29" s="256"/>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6"/>
      <c r="BD29" s="256"/>
      <c r="BE29" s="256"/>
      <c r="BF29" s="256"/>
      <c r="BG29" s="256"/>
      <c r="BH29" s="256"/>
      <c r="BI29" s="256"/>
      <c r="BJ29" s="256"/>
      <c r="BK29" s="256"/>
      <c r="BL29" s="256"/>
      <c r="BM29" s="256"/>
      <c r="BN29" s="256"/>
      <c r="BO29" s="256"/>
      <c r="BP29" s="256"/>
      <c r="BQ29" s="256"/>
      <c r="BR29" s="256"/>
      <c r="BS29" s="256"/>
      <c r="BT29" s="256"/>
      <c r="BU29" s="256"/>
      <c r="BV29" s="256"/>
      <c r="BW29" s="256"/>
      <c r="BX29" s="256"/>
      <c r="BY29" s="256"/>
    </row>
    <row r="30" spans="1:77" x14ac:dyDescent="0.2">
      <c r="A30" s="251" t="s">
        <v>196</v>
      </c>
      <c r="B30" s="251" t="s">
        <v>0</v>
      </c>
      <c r="C30" s="251" t="s">
        <v>201</v>
      </c>
      <c r="D30" s="251" t="str">
        <f>Commodities!C$11</f>
        <v>NGAD0</v>
      </c>
      <c r="E30" s="251">
        <v>2010</v>
      </c>
      <c r="F30" s="281">
        <f>F32*'Domestic NG Prices'!$N$19</f>
        <v>3.5667713782019939</v>
      </c>
      <c r="G30" s="281">
        <f>G32*'Domestic NG Prices'!$N$19</f>
        <v>2.931910016221432</v>
      </c>
      <c r="H30" s="281">
        <f>H32*'Domestic NG Prices'!$N$19</f>
        <v>3.4274059611121728</v>
      </c>
      <c r="I30" s="281">
        <f>I32*'Domestic NG Prices'!$N$19</f>
        <v>4.0985991848803209</v>
      </c>
      <c r="J30" s="281">
        <f>J32*'Domestic NG Prices'!$N$19</f>
        <v>4.7260766006697565</v>
      </c>
      <c r="K30" s="281">
        <f>K32*'Domestic NG Prices'!$N$19</f>
        <v>5.4230837737149553</v>
      </c>
      <c r="L30" s="281">
        <f>L32*'Domestic NG Prices'!$N$19</f>
        <v>5.9926203777434983</v>
      </c>
      <c r="M30" s="281">
        <f>M32*'Domestic NG Prices'!$N$19</f>
        <v>6.4965138456463256</v>
      </c>
      <c r="N30" s="281">
        <f>N32*'Domestic NG Prices'!$N$19</f>
        <v>7.1787829360865816</v>
      </c>
      <c r="O30" s="281">
        <f>O32*'Domestic NG Prices'!$N$19</f>
        <v>7.9327044731820777</v>
      </c>
      <c r="P30" s="282">
        <v>0</v>
      </c>
      <c r="Q30" s="282">
        <f>R30*0.9</f>
        <v>0</v>
      </c>
      <c r="R30" s="282">
        <v>0</v>
      </c>
      <c r="S30" s="282">
        <v>0</v>
      </c>
      <c r="T30" s="282">
        <v>0</v>
      </c>
      <c r="U30" s="282">
        <f>T30</f>
        <v>0</v>
      </c>
      <c r="V30" s="256"/>
      <c r="W30" s="280"/>
      <c r="X30" s="280">
        <v>1.1000000000000001</v>
      </c>
      <c r="Y30" s="280">
        <v>1.05</v>
      </c>
      <c r="Z30" s="280">
        <v>1.01</v>
      </c>
      <c r="AA30" s="280">
        <v>1.1000000000000001</v>
      </c>
      <c r="AB30" s="280">
        <v>1.01</v>
      </c>
      <c r="AC30" s="256"/>
      <c r="AD30" s="256"/>
      <c r="AE30" s="256"/>
      <c r="AF30" s="256"/>
      <c r="AG30" s="256"/>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6"/>
      <c r="BD30" s="256"/>
      <c r="BE30" s="256"/>
      <c r="BF30" s="256"/>
      <c r="BG30" s="256"/>
      <c r="BH30" s="256"/>
      <c r="BI30" s="256"/>
      <c r="BJ30" s="256"/>
      <c r="BK30" s="256"/>
      <c r="BL30" s="256"/>
      <c r="BM30" s="256"/>
      <c r="BN30" s="256"/>
      <c r="BO30" s="256"/>
      <c r="BP30" s="256"/>
      <c r="BQ30" s="256"/>
      <c r="BR30" s="256"/>
      <c r="BS30" s="256"/>
      <c r="BT30" s="256"/>
      <c r="BU30" s="256"/>
      <c r="BV30" s="256"/>
      <c r="BW30" s="256"/>
      <c r="BX30" s="256"/>
      <c r="BY30" s="256"/>
    </row>
    <row r="31" spans="1:77" x14ac:dyDescent="0.2">
      <c r="A31" s="251" t="s">
        <v>196</v>
      </c>
      <c r="B31" s="251" t="s">
        <v>1</v>
      </c>
      <c r="C31" s="251" t="s">
        <v>202</v>
      </c>
      <c r="D31" s="251" t="str">
        <f>Commodities!C$11</f>
        <v>NGAD0</v>
      </c>
      <c r="E31" s="251">
        <v>2010</v>
      </c>
      <c r="F31" s="281">
        <f>F32*'Domestic NG Prices'!$N$20</f>
        <v>3.8504918287407888</v>
      </c>
      <c r="G31" s="281">
        <f>G32*'Domestic NG Prices'!$N$20</f>
        <v>3.1651301311481368</v>
      </c>
      <c r="H31" s="281">
        <f>H32*'Domestic NG Prices'!$N$20</f>
        <v>3.7000405262006413</v>
      </c>
      <c r="I31" s="281">
        <f>I32*'Domestic NG Prices'!$N$20</f>
        <v>4.4246241200412548</v>
      </c>
      <c r="J31" s="281">
        <f>J32*'Domestic NG Prices'!$N$20</f>
        <v>5.1020145120866687</v>
      </c>
      <c r="K31" s="281">
        <f>K32*'Domestic NG Prices'!$N$20</f>
        <v>5.8544654375331904</v>
      </c>
      <c r="L31" s="281">
        <f>L32*'Domestic NG Prices'!$N$20</f>
        <v>6.4693060896094581</v>
      </c>
      <c r="M31" s="281">
        <f>M32*'Domestic NG Prices'!$N$20</f>
        <v>7.0132819924591008</v>
      </c>
      <c r="N31" s="281">
        <f>N32*'Domestic NG Prices'!$N$20</f>
        <v>7.7498224878207411</v>
      </c>
      <c r="O31" s="281">
        <f>O32*'Domestic NG Prices'!$N$20</f>
        <v>8.5637150562761057</v>
      </c>
      <c r="P31" s="282">
        <v>0</v>
      </c>
      <c r="Q31" s="282">
        <f>R31*0.9</f>
        <v>0</v>
      </c>
      <c r="R31" s="282">
        <v>0</v>
      </c>
      <c r="S31" s="282">
        <v>0</v>
      </c>
      <c r="T31" s="282">
        <v>0</v>
      </c>
      <c r="U31" s="282">
        <f t="shared" ref="U31:U34" si="4">T31</f>
        <v>0</v>
      </c>
      <c r="V31" s="256"/>
      <c r="W31" s="280"/>
      <c r="X31" s="280">
        <v>1.2</v>
      </c>
      <c r="Y31" s="280">
        <v>1.1000000000000001</v>
      </c>
      <c r="Z31" s="280">
        <v>1.05</v>
      </c>
      <c r="AA31" s="280">
        <v>1.1000000000000001</v>
      </c>
      <c r="AB31" s="280">
        <v>1.01</v>
      </c>
      <c r="AC31" s="256"/>
      <c r="AD31" s="256"/>
      <c r="AE31" s="256"/>
      <c r="AF31" s="256"/>
      <c r="AG31" s="256"/>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6"/>
      <c r="BD31" s="256"/>
      <c r="BE31" s="256"/>
      <c r="BF31" s="256"/>
      <c r="BG31" s="256"/>
      <c r="BH31" s="256"/>
      <c r="BI31" s="256"/>
      <c r="BJ31" s="256"/>
      <c r="BK31" s="256"/>
      <c r="BL31" s="256"/>
      <c r="BM31" s="256"/>
      <c r="BN31" s="256"/>
      <c r="BO31" s="256"/>
      <c r="BP31" s="256"/>
      <c r="BQ31" s="256"/>
      <c r="BR31" s="256"/>
      <c r="BS31" s="256"/>
      <c r="BT31" s="256"/>
      <c r="BU31" s="256"/>
      <c r="BV31" s="256"/>
      <c r="BW31" s="256"/>
      <c r="BX31" s="256"/>
      <c r="BY31" s="256"/>
    </row>
    <row r="32" spans="1:77" x14ac:dyDescent="0.2">
      <c r="A32" s="251" t="s">
        <v>196</v>
      </c>
      <c r="B32" s="251" t="s">
        <v>2</v>
      </c>
      <c r="C32" s="251" t="s">
        <v>203</v>
      </c>
      <c r="D32" s="251" t="str">
        <f>Commodities!C$11</f>
        <v>NGAD0</v>
      </c>
      <c r="E32" s="251">
        <v>2010</v>
      </c>
      <c r="F32" s="281">
        <f>'Domestic NG Prices'!N42*'Domestic NG Prices'!$P$27*TechData_DelNGA!$I$17</f>
        <v>4.0531492934113569</v>
      </c>
      <c r="G32" s="281">
        <f>'Domestic NG Prices'!O42*'Domestic NG Prices'!$P$27*TechData_DelNGA!$I$17*G8</f>
        <v>3.3317159275243546</v>
      </c>
      <c r="H32" s="281">
        <f>'Domestic NG Prices'!P42*'Domestic NG Prices'!$P$27*TechData_DelNGA!$I$17*H8</f>
        <v>3.8947795012638329</v>
      </c>
      <c r="I32" s="281">
        <f>'Domestic NG Prices'!Q42*'Domestic NG Prices'!$P$27*TechData_DelNGA!$I$17*I8</f>
        <v>4.6574990737276369</v>
      </c>
      <c r="J32" s="281">
        <f>'Domestic NG Prices'!R42*'Domestic NG Prices'!$P$27*TechData_DelNGA!$I$17*J8</f>
        <v>5.370541591670178</v>
      </c>
      <c r="K32" s="281">
        <f>'Domestic NG Prices'!S42*'Domestic NG Prices'!$P$27*TechData_DelNGA!$I$17*K8</f>
        <v>6.1625951974033581</v>
      </c>
      <c r="L32" s="281">
        <f>'Domestic NG Prices'!T42*'Domestic NG Prices'!$P$27*TechData_DelNGA!$I$17*L8</f>
        <v>6.8097958837994295</v>
      </c>
      <c r="M32" s="281">
        <f>7.38240209732537*M8</f>
        <v>7.3824020973253699</v>
      </c>
      <c r="N32" s="281">
        <f>8.15770788191657*N8</f>
        <v>8.1577078819165703</v>
      </c>
      <c r="O32" s="281">
        <f>9.01443690134327*O8</f>
        <v>9.0144369013432701</v>
      </c>
      <c r="P32" s="282">
        <v>0</v>
      </c>
      <c r="Q32" s="282">
        <f>R32*0.9</f>
        <v>0</v>
      </c>
      <c r="R32" s="282">
        <v>0</v>
      </c>
      <c r="S32" s="282">
        <v>0</v>
      </c>
      <c r="T32" s="282">
        <v>0</v>
      </c>
      <c r="U32" s="282">
        <f t="shared" si="4"/>
        <v>0</v>
      </c>
      <c r="V32" s="256"/>
      <c r="W32" s="280"/>
      <c r="X32" s="280">
        <v>1.1000000000000001</v>
      </c>
      <c r="Y32" s="280">
        <v>1.1000000000000001</v>
      </c>
      <c r="Z32" s="280">
        <v>1.05</v>
      </c>
      <c r="AA32" s="280">
        <v>1.1000000000000001</v>
      </c>
      <c r="AB32" s="280">
        <v>1.01</v>
      </c>
      <c r="AC32" s="256"/>
      <c r="AD32" s="256"/>
      <c r="AE32" s="256"/>
      <c r="AF32" s="256"/>
      <c r="AG32" s="256"/>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6"/>
      <c r="BD32" s="256"/>
      <c r="BE32" s="256"/>
      <c r="BF32" s="256"/>
      <c r="BG32" s="256"/>
      <c r="BH32" s="256"/>
      <c r="BI32" s="256"/>
      <c r="BJ32" s="256"/>
      <c r="BK32" s="256"/>
      <c r="BL32" s="256"/>
      <c r="BM32" s="256"/>
      <c r="BN32" s="256"/>
      <c r="BO32" s="256"/>
      <c r="BP32" s="256"/>
      <c r="BQ32" s="256"/>
      <c r="BR32" s="256"/>
      <c r="BS32" s="256"/>
      <c r="BT32" s="256"/>
      <c r="BU32" s="256"/>
      <c r="BV32" s="256"/>
      <c r="BW32" s="256"/>
      <c r="BX32" s="256"/>
      <c r="BY32" s="256"/>
    </row>
    <row r="33" spans="1:77" x14ac:dyDescent="0.2">
      <c r="A33" s="251" t="s">
        <v>196</v>
      </c>
      <c r="B33" s="251" t="s">
        <v>3</v>
      </c>
      <c r="C33" s="251" t="s">
        <v>204</v>
      </c>
      <c r="D33" s="251" t="str">
        <f>Commodities!C$11</f>
        <v>NGAD0</v>
      </c>
      <c r="E33" s="251">
        <v>2010</v>
      </c>
      <c r="F33" s="281">
        <f>F32*'Domestic NG Prices'!$N$22</f>
        <v>4.3774012368842659</v>
      </c>
      <c r="G33" s="281">
        <f>G32*'Domestic NG Prices'!$N$22</f>
        <v>3.5982532017263034</v>
      </c>
      <c r="H33" s="281">
        <f>H32*'Domestic NG Prices'!$N$22</f>
        <v>4.2063618613649396</v>
      </c>
      <c r="I33" s="281">
        <f>I32*'Domestic NG Prices'!$N$22</f>
        <v>5.0300989996258485</v>
      </c>
      <c r="J33" s="281">
        <f>J32*'Domestic NG Prices'!$N$22</f>
        <v>5.8001849190037928</v>
      </c>
      <c r="K33" s="281">
        <f>K32*'Domestic NG Prices'!$N$22</f>
        <v>6.6556028131956273</v>
      </c>
      <c r="L33" s="281">
        <f>L32*'Domestic NG Prices'!$N$22</f>
        <v>7.3545795545033847</v>
      </c>
      <c r="M33" s="281">
        <f>M32*'Domestic NG Prices'!$N$22</f>
        <v>7.9729942651114003</v>
      </c>
      <c r="N33" s="281">
        <f>N32*'Domestic NG Prices'!$N$22</f>
        <v>8.8103245124698972</v>
      </c>
      <c r="O33" s="281">
        <f>O32*'Domestic NG Prices'!$N$22</f>
        <v>9.7355918534507317</v>
      </c>
      <c r="P33" s="282">
        <v>0</v>
      </c>
      <c r="Q33" s="282">
        <f>R33*0.9</f>
        <v>0</v>
      </c>
      <c r="R33" s="282">
        <v>0</v>
      </c>
      <c r="S33" s="282">
        <v>0</v>
      </c>
      <c r="T33" s="282">
        <v>0</v>
      </c>
      <c r="U33" s="282">
        <f t="shared" si="4"/>
        <v>0</v>
      </c>
      <c r="V33" s="256"/>
      <c r="W33" s="283"/>
      <c r="X33" s="280">
        <v>1.1000000000000001</v>
      </c>
      <c r="Y33" s="280">
        <v>1.1000000000000001</v>
      </c>
      <c r="Z33" s="280">
        <v>1.1000000000000001</v>
      </c>
      <c r="AA33" s="280">
        <v>1.1000000000000001</v>
      </c>
      <c r="AB33" s="280">
        <v>1.01</v>
      </c>
      <c r="AC33" s="256"/>
      <c r="AD33" s="256"/>
      <c r="AE33" s="256"/>
      <c r="AF33" s="256"/>
      <c r="AG33" s="256"/>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6"/>
      <c r="BD33" s="256"/>
      <c r="BE33" s="256"/>
      <c r="BF33" s="256"/>
      <c r="BG33" s="256"/>
      <c r="BH33" s="256"/>
      <c r="BI33" s="256"/>
      <c r="BJ33" s="256"/>
      <c r="BK33" s="256"/>
      <c r="BL33" s="256"/>
      <c r="BM33" s="256"/>
      <c r="BN33" s="256"/>
      <c r="BO33" s="256"/>
      <c r="BP33" s="256"/>
      <c r="BQ33" s="256"/>
      <c r="BR33" s="256"/>
      <c r="BS33" s="256"/>
      <c r="BT33" s="256"/>
      <c r="BU33" s="256"/>
      <c r="BV33" s="256"/>
      <c r="BW33" s="256"/>
      <c r="BX33" s="256"/>
      <c r="BY33" s="256"/>
    </row>
    <row r="34" spans="1:77" x14ac:dyDescent="0.2">
      <c r="A34" s="251" t="s">
        <v>196</v>
      </c>
      <c r="B34" s="251" t="s">
        <v>4</v>
      </c>
      <c r="C34" s="251" t="s">
        <v>205</v>
      </c>
      <c r="D34" s="251" t="str">
        <f>Commodities!C$11</f>
        <v>NGAD0</v>
      </c>
      <c r="E34" s="251">
        <v>2010</v>
      </c>
      <c r="F34" s="281">
        <f>F32*'Domestic NG Prices'!$N$23</f>
        <v>4.5395272086207203</v>
      </c>
      <c r="G34" s="281">
        <f>G32*'Domestic NG Prices'!$N$23</f>
        <v>3.7315218388272777</v>
      </c>
      <c r="H34" s="281">
        <f>H32*'Domestic NG Prices'!$N$23</f>
        <v>4.3621530414154934</v>
      </c>
      <c r="I34" s="281">
        <f>I32*'Domestic NG Prices'!$N$23</f>
        <v>5.2163989625749538</v>
      </c>
      <c r="J34" s="281">
        <f>J32*'Domestic NG Prices'!$N$23</f>
        <v>6.0150065826706003</v>
      </c>
      <c r="K34" s="281">
        <f>K32*'Domestic NG Prices'!$N$23</f>
        <v>6.9021066210917619</v>
      </c>
      <c r="L34" s="281">
        <f>L32*'Domestic NG Prices'!$N$23</f>
        <v>7.6269713898553615</v>
      </c>
      <c r="M34" s="281">
        <f>M32*'Domestic NG Prices'!$N$23</f>
        <v>8.2682903490044151</v>
      </c>
      <c r="N34" s="281">
        <f>N32*'Domestic NG Prices'!$N$23</f>
        <v>9.1366328277465598</v>
      </c>
      <c r="O34" s="281">
        <f>O32*'Domestic NG Prices'!$N$23</f>
        <v>10.096169329504464</v>
      </c>
      <c r="P34" s="282">
        <v>0</v>
      </c>
      <c r="Q34" s="282">
        <f t="shared" ref="Q34:Q35" si="5">R34*0.9</f>
        <v>0</v>
      </c>
      <c r="R34" s="282">
        <v>0</v>
      </c>
      <c r="S34" s="282">
        <v>0</v>
      </c>
      <c r="T34" s="282">
        <v>0</v>
      </c>
      <c r="U34" s="282">
        <f t="shared" si="4"/>
        <v>0</v>
      </c>
      <c r="V34" s="256"/>
      <c r="W34" s="283">
        <f>R34</f>
        <v>0</v>
      </c>
      <c r="X34" s="280">
        <v>1.01</v>
      </c>
      <c r="Y34" s="280">
        <v>1.01</v>
      </c>
      <c r="Z34" s="280">
        <v>1.01</v>
      </c>
      <c r="AA34" s="280">
        <v>1.1000000000000001</v>
      </c>
      <c r="AB34" s="280">
        <v>1.01</v>
      </c>
      <c r="AC34" s="256"/>
      <c r="AD34" s="256"/>
      <c r="AE34" s="256"/>
      <c r="AF34" s="256"/>
      <c r="AG34" s="256"/>
      <c r="AH34" s="256"/>
      <c r="AI34" s="256"/>
      <c r="AJ34" s="256"/>
      <c r="AK34" s="256"/>
      <c r="AL34" s="256"/>
      <c r="AM34" s="256"/>
      <c r="AN34" s="256"/>
      <c r="AO34" s="256"/>
      <c r="AP34" s="256"/>
      <c r="AQ34" s="256"/>
      <c r="AR34" s="256"/>
      <c r="AS34" s="256"/>
      <c r="AT34" s="256"/>
      <c r="AU34" s="256"/>
      <c r="AV34" s="256"/>
      <c r="AW34" s="256"/>
      <c r="AX34" s="256"/>
      <c r="AY34" s="256"/>
      <c r="AZ34" s="256"/>
      <c r="BA34" s="256"/>
      <c r="BB34" s="256"/>
      <c r="BC34" s="256"/>
      <c r="BD34" s="256"/>
      <c r="BE34" s="256"/>
      <c r="BF34" s="256"/>
      <c r="BG34" s="256"/>
      <c r="BH34" s="256"/>
      <c r="BI34" s="256"/>
      <c r="BJ34" s="256"/>
      <c r="BK34" s="256"/>
      <c r="BL34" s="256"/>
      <c r="BM34" s="256"/>
      <c r="BN34" s="256"/>
      <c r="BO34" s="256"/>
      <c r="BP34" s="256"/>
      <c r="BQ34" s="256"/>
      <c r="BR34" s="256"/>
      <c r="BS34" s="256"/>
      <c r="BT34" s="256"/>
      <c r="BU34" s="256"/>
      <c r="BV34" s="256"/>
      <c r="BW34" s="256"/>
      <c r="BX34" s="256"/>
      <c r="BY34" s="256"/>
    </row>
    <row r="35" spans="1:77" x14ac:dyDescent="0.2">
      <c r="A35" s="251" t="s">
        <v>196</v>
      </c>
      <c r="B35" s="251" t="s">
        <v>5</v>
      </c>
      <c r="C35" s="251" t="s">
        <v>206</v>
      </c>
      <c r="D35" s="251" t="str">
        <f>Commodities!C$11</f>
        <v>NGAD0</v>
      </c>
      <c r="E35" s="251">
        <v>2010</v>
      </c>
      <c r="F35" s="281">
        <f>F32*'Domestic NG Prices'!$N$24</f>
        <v>6.2013184189193762</v>
      </c>
      <c r="G35" s="281">
        <f>G32*'Domestic NG Prices'!$N$24</f>
        <v>5.0975253691122626</v>
      </c>
      <c r="H35" s="281">
        <f>H32*'Domestic NG Prices'!$N$24</f>
        <v>5.9590126369336645</v>
      </c>
      <c r="I35" s="281">
        <f>I32*'Domestic NG Prices'!$N$24</f>
        <v>7.1259735828032849</v>
      </c>
      <c r="J35" s="281">
        <f>J32*'Domestic NG Prices'!$N$24</f>
        <v>8.216928635255373</v>
      </c>
      <c r="K35" s="281">
        <f>K32*'Domestic NG Prices'!$N$24</f>
        <v>9.4287706520271382</v>
      </c>
      <c r="L35" s="281">
        <f>L32*'Domestic NG Prices'!$N$24</f>
        <v>10.418987702213128</v>
      </c>
      <c r="M35" s="281">
        <f>M32*'Domestic NG Prices'!$N$24</f>
        <v>11.295075208907816</v>
      </c>
      <c r="N35" s="281">
        <f>N32*'Domestic NG Prices'!$N$24</f>
        <v>12.481293059332353</v>
      </c>
      <c r="O35" s="281">
        <f>O32*'Domestic NG Prices'!$N$24</f>
        <v>13.792088459055204</v>
      </c>
      <c r="P35" s="282">
        <v>0</v>
      </c>
      <c r="Q35" s="282">
        <f t="shared" si="5"/>
        <v>0</v>
      </c>
      <c r="R35" s="282">
        <v>0</v>
      </c>
      <c r="S35" s="282">
        <v>0</v>
      </c>
      <c r="T35" s="282">
        <v>0</v>
      </c>
      <c r="U35" s="282">
        <f>T35</f>
        <v>0</v>
      </c>
      <c r="V35" s="256"/>
      <c r="W35" s="283">
        <f>R35</f>
        <v>0</v>
      </c>
      <c r="X35" s="280">
        <v>1.01</v>
      </c>
      <c r="Y35" s="280">
        <v>1.01</v>
      </c>
      <c r="Z35" s="280">
        <v>1.01</v>
      </c>
      <c r="AA35" s="280">
        <v>1.1000000000000001</v>
      </c>
      <c r="AB35" s="280">
        <v>1.01</v>
      </c>
      <c r="AC35" s="256"/>
      <c r="AD35" s="256"/>
      <c r="AE35" s="256"/>
      <c r="AF35" s="256"/>
      <c r="AG35" s="256"/>
      <c r="AH35" s="256"/>
      <c r="AI35" s="256"/>
      <c r="AJ35" s="256"/>
      <c r="AK35" s="256"/>
      <c r="AL35" s="256"/>
      <c r="AM35" s="256"/>
      <c r="AN35" s="256"/>
      <c r="AO35" s="256"/>
      <c r="AP35" s="256"/>
      <c r="AQ35" s="256"/>
      <c r="AR35" s="256"/>
      <c r="AS35" s="256"/>
      <c r="AT35" s="256"/>
      <c r="AU35" s="256"/>
      <c r="AV35" s="256"/>
      <c r="AW35" s="256"/>
      <c r="AX35" s="256"/>
      <c r="AY35" s="256"/>
      <c r="AZ35" s="256"/>
      <c r="BA35" s="256"/>
      <c r="BB35" s="256"/>
      <c r="BC35" s="256"/>
      <c r="BD35" s="256"/>
      <c r="BE35" s="256"/>
      <c r="BF35" s="256"/>
      <c r="BG35" s="256"/>
      <c r="BH35" s="256"/>
      <c r="BI35" s="256"/>
      <c r="BJ35" s="256"/>
      <c r="BK35" s="256"/>
      <c r="BL35" s="256"/>
      <c r="BM35" s="256"/>
      <c r="BN35" s="256"/>
      <c r="BO35" s="256"/>
      <c r="BP35" s="256"/>
      <c r="BQ35" s="256"/>
      <c r="BR35" s="256"/>
      <c r="BS35" s="256"/>
      <c r="BT35" s="256"/>
      <c r="BU35" s="256"/>
      <c r="BV35" s="256"/>
      <c r="BW35" s="256"/>
      <c r="BX35" s="256"/>
      <c r="BY35" s="256"/>
    </row>
    <row r="36" spans="1:77" x14ac:dyDescent="0.2">
      <c r="A36" s="251" t="s">
        <v>231</v>
      </c>
      <c r="B36" s="251"/>
      <c r="C36" s="251"/>
      <c r="D36" s="251"/>
      <c r="E36" s="251"/>
      <c r="F36" s="281"/>
      <c r="G36" s="281"/>
      <c r="H36" s="281"/>
      <c r="I36" s="281"/>
      <c r="J36" s="281"/>
      <c r="K36" s="281"/>
      <c r="L36" s="281"/>
      <c r="M36" s="281"/>
      <c r="N36" s="281"/>
      <c r="O36" s="281"/>
      <c r="P36" s="282"/>
      <c r="Q36" s="282"/>
      <c r="R36" s="282"/>
      <c r="S36" s="282"/>
      <c r="T36" s="282"/>
      <c r="U36" s="282"/>
      <c r="V36" s="256"/>
      <c r="W36" s="280"/>
      <c r="X36" s="280"/>
      <c r="Y36" s="280"/>
      <c r="Z36" s="280"/>
      <c r="AA36" s="280"/>
      <c r="AB36" s="280"/>
      <c r="AC36" s="256"/>
      <c r="AD36" s="256"/>
      <c r="AE36" s="256"/>
      <c r="AF36" s="256"/>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6"/>
      <c r="BD36" s="256"/>
      <c r="BE36" s="256"/>
      <c r="BF36" s="256"/>
      <c r="BG36" s="256"/>
      <c r="BH36" s="256"/>
      <c r="BI36" s="256"/>
      <c r="BJ36" s="256"/>
      <c r="BK36" s="256"/>
      <c r="BL36" s="256"/>
      <c r="BM36" s="256"/>
      <c r="BN36" s="256"/>
      <c r="BO36" s="256"/>
      <c r="BP36" s="256"/>
      <c r="BQ36" s="256"/>
      <c r="BR36" s="256"/>
      <c r="BS36" s="256"/>
      <c r="BT36" s="256"/>
      <c r="BU36" s="256"/>
      <c r="BV36" s="256"/>
      <c r="BW36" s="256"/>
      <c r="BX36" s="256"/>
      <c r="BY36" s="256"/>
    </row>
    <row r="37" spans="1:77" x14ac:dyDescent="0.2">
      <c r="A37" s="251" t="s">
        <v>195</v>
      </c>
      <c r="B37" s="251" t="s">
        <v>0</v>
      </c>
      <c r="C37" s="251" t="s">
        <v>201</v>
      </c>
      <c r="D37" s="251" t="str">
        <f>Commodities!C$11</f>
        <v>NGAD0</v>
      </c>
      <c r="E37" s="251">
        <v>2010</v>
      </c>
      <c r="F37" s="281">
        <f>F39*'Domestic NG Prices'!$N$19</f>
        <v>3.5667713782019939</v>
      </c>
      <c r="G37" s="281">
        <f>G39*'Domestic NG Prices'!$N$19</f>
        <v>2.931910016221432</v>
      </c>
      <c r="H37" s="281">
        <f>H39*'Domestic NG Prices'!$N$19</f>
        <v>3.4274059611121728</v>
      </c>
      <c r="I37" s="281">
        <f>I39*'Domestic NG Prices'!$N$19</f>
        <v>4.0985991848803209</v>
      </c>
      <c r="J37" s="281">
        <f>J39*'Domestic NG Prices'!$N$19</f>
        <v>4.7260766006697565</v>
      </c>
      <c r="K37" s="281">
        <f>K39*'Domestic NG Prices'!$N$19</f>
        <v>5.4230837737149553</v>
      </c>
      <c r="L37" s="281">
        <f>L39*'Domestic NG Prices'!$N$19</f>
        <v>5.9926203777434983</v>
      </c>
      <c r="M37" s="281">
        <f>M39*'Domestic NG Prices'!$N$19</f>
        <v>6.2869439888378817</v>
      </c>
      <c r="N37" s="281">
        <f>N39*'Domestic NG Prices'!$N$19</f>
        <v>6.9472038849647628</v>
      </c>
      <c r="O37" s="281">
        <f>O39*'Domestic NG Prices'!$N$19</f>
        <v>7.6768048045216961</v>
      </c>
      <c r="P37" s="282">
        <v>0</v>
      </c>
      <c r="Q37" s="282">
        <f>R37*0.9</f>
        <v>0</v>
      </c>
      <c r="R37" s="282">
        <v>0</v>
      </c>
      <c r="S37" s="282">
        <v>0</v>
      </c>
      <c r="T37" s="282">
        <v>0</v>
      </c>
      <c r="U37" s="282">
        <f>T37</f>
        <v>0</v>
      </c>
      <c r="V37" s="256"/>
      <c r="W37" s="280"/>
      <c r="X37" s="280">
        <v>1.1000000000000001</v>
      </c>
      <c r="Y37" s="280">
        <v>1.05</v>
      </c>
      <c r="Z37" s="280">
        <v>1.01</v>
      </c>
      <c r="AA37" s="280">
        <v>1.1000000000000001</v>
      </c>
      <c r="AB37" s="280">
        <v>1.01</v>
      </c>
      <c r="AC37" s="256"/>
      <c r="AD37" s="256"/>
      <c r="AE37" s="256"/>
      <c r="AF37" s="256"/>
      <c r="AG37" s="256"/>
      <c r="AH37" s="256"/>
      <c r="AI37" s="256"/>
      <c r="AJ37" s="256"/>
      <c r="AK37" s="256"/>
      <c r="AL37" s="256"/>
      <c r="AM37" s="256"/>
      <c r="AN37" s="256"/>
      <c r="AO37" s="256"/>
      <c r="AP37" s="256"/>
      <c r="AQ37" s="256"/>
      <c r="AR37" s="256"/>
      <c r="AS37" s="256"/>
      <c r="AT37" s="256"/>
      <c r="AU37" s="256"/>
      <c r="AV37" s="256"/>
      <c r="AW37" s="256"/>
      <c r="AX37" s="256"/>
      <c r="AY37" s="256"/>
      <c r="AZ37" s="256"/>
      <c r="BA37" s="256"/>
      <c r="BB37" s="256"/>
      <c r="BC37" s="256"/>
      <c r="BD37" s="256"/>
      <c r="BE37" s="256"/>
      <c r="BF37" s="256"/>
      <c r="BG37" s="256"/>
      <c r="BH37" s="256"/>
      <c r="BI37" s="256"/>
      <c r="BJ37" s="256"/>
      <c r="BK37" s="256"/>
      <c r="BL37" s="256"/>
      <c r="BM37" s="256"/>
      <c r="BN37" s="256"/>
      <c r="BO37" s="256"/>
      <c r="BP37" s="256"/>
      <c r="BQ37" s="256"/>
      <c r="BR37" s="256"/>
      <c r="BS37" s="256"/>
      <c r="BT37" s="256"/>
      <c r="BU37" s="256"/>
      <c r="BV37" s="256"/>
      <c r="BW37" s="256"/>
      <c r="BX37" s="256"/>
      <c r="BY37" s="256"/>
    </row>
    <row r="38" spans="1:77" x14ac:dyDescent="0.2">
      <c r="A38" s="251" t="s">
        <v>195</v>
      </c>
      <c r="B38" s="251" t="s">
        <v>1</v>
      </c>
      <c r="C38" s="251" t="s">
        <v>202</v>
      </c>
      <c r="D38" s="251" t="str">
        <f>Commodities!C$11</f>
        <v>NGAD0</v>
      </c>
      <c r="E38" s="251">
        <v>2010</v>
      </c>
      <c r="F38" s="281">
        <f>F39*'Domestic NG Prices'!$N$20</f>
        <v>3.8504918287407888</v>
      </c>
      <c r="G38" s="281">
        <f>G39*'Domestic NG Prices'!$N$20</f>
        <v>3.1651301311481368</v>
      </c>
      <c r="H38" s="281">
        <f>H39*'Domestic NG Prices'!$N$20</f>
        <v>3.7000405262006413</v>
      </c>
      <c r="I38" s="281">
        <f>I39*'Domestic NG Prices'!$N$20</f>
        <v>4.4246241200412548</v>
      </c>
      <c r="J38" s="281">
        <f>J39*'Domestic NG Prices'!$N$20</f>
        <v>5.1020145120866687</v>
      </c>
      <c r="K38" s="281">
        <f>K39*'Domestic NG Prices'!$N$20</f>
        <v>5.8544654375331904</v>
      </c>
      <c r="L38" s="281">
        <f>L39*'Domestic NG Prices'!$N$20</f>
        <v>6.4693060896094581</v>
      </c>
      <c r="M38" s="281">
        <f>M39*'Domestic NG Prices'!$N$20</f>
        <v>6.7870418061318043</v>
      </c>
      <c r="N38" s="281">
        <f>N39*'Domestic NG Prices'!$N$20</f>
        <v>7.4998223758142322</v>
      </c>
      <c r="O38" s="281">
        <f>O39*'Domestic NG Prices'!$N$20</f>
        <v>8.2874597321541046</v>
      </c>
      <c r="P38" s="282">
        <v>0</v>
      </c>
      <c r="Q38" s="282">
        <f>R38*0.9</f>
        <v>0</v>
      </c>
      <c r="R38" s="282">
        <v>0</v>
      </c>
      <c r="S38" s="282">
        <v>0</v>
      </c>
      <c r="T38" s="282">
        <v>0</v>
      </c>
      <c r="U38" s="282">
        <f t="shared" ref="U38:U41" si="6">T38</f>
        <v>0</v>
      </c>
      <c r="V38" s="256"/>
      <c r="W38" s="280"/>
      <c r="X38" s="280">
        <v>1.2</v>
      </c>
      <c r="Y38" s="280">
        <v>1.1000000000000001</v>
      </c>
      <c r="Z38" s="280">
        <v>1.05</v>
      </c>
      <c r="AA38" s="280">
        <v>1.1000000000000001</v>
      </c>
      <c r="AB38" s="280">
        <v>1.01</v>
      </c>
      <c r="AC38" s="256"/>
      <c r="AD38" s="256"/>
      <c r="AE38" s="256"/>
      <c r="AF38" s="256"/>
      <c r="AG38" s="256"/>
      <c r="AH38" s="256"/>
      <c r="AI38" s="256"/>
      <c r="AJ38" s="256"/>
      <c r="AK38" s="256"/>
      <c r="AL38" s="256"/>
      <c r="AM38" s="256"/>
      <c r="AN38" s="256"/>
      <c r="AO38" s="256"/>
      <c r="AP38" s="256"/>
      <c r="AQ38" s="256"/>
      <c r="AR38" s="256"/>
      <c r="AS38" s="256"/>
      <c r="AT38" s="256"/>
      <c r="AU38" s="256"/>
      <c r="AV38" s="256"/>
      <c r="AW38" s="256"/>
      <c r="AX38" s="256"/>
      <c r="AY38" s="256"/>
      <c r="AZ38" s="256"/>
      <c r="BA38" s="256"/>
      <c r="BB38" s="256"/>
      <c r="BC38" s="256"/>
      <c r="BD38" s="256"/>
      <c r="BE38" s="256"/>
      <c r="BF38" s="256"/>
      <c r="BG38" s="256"/>
      <c r="BH38" s="256"/>
      <c r="BI38" s="256"/>
      <c r="BJ38" s="256"/>
      <c r="BK38" s="256"/>
      <c r="BL38" s="256"/>
      <c r="BM38" s="256"/>
      <c r="BN38" s="256"/>
      <c r="BO38" s="256"/>
      <c r="BP38" s="256"/>
      <c r="BQ38" s="256"/>
      <c r="BR38" s="256"/>
      <c r="BS38" s="256"/>
      <c r="BT38" s="256"/>
      <c r="BU38" s="256"/>
      <c r="BV38" s="256"/>
      <c r="BW38" s="256"/>
      <c r="BX38" s="256"/>
      <c r="BY38" s="256"/>
    </row>
    <row r="39" spans="1:77" x14ac:dyDescent="0.2">
      <c r="A39" s="251" t="s">
        <v>195</v>
      </c>
      <c r="B39" s="251" t="s">
        <v>2</v>
      </c>
      <c r="C39" s="251" t="s">
        <v>203</v>
      </c>
      <c r="D39" s="251" t="str">
        <f>Commodities!C$11</f>
        <v>NGAD0</v>
      </c>
      <c r="E39" s="251">
        <v>2010</v>
      </c>
      <c r="F39" s="281">
        <f>'Domestic NG Prices'!N42*'Domestic NG Prices'!$P$27*TechData_DelNGA!$I$20</f>
        <v>4.0531492934113569</v>
      </c>
      <c r="G39" s="281">
        <f>'Domestic NG Prices'!O42*'Domestic NG Prices'!$P$27*TechData_DelNGA!$I$20*G8</f>
        <v>3.3317159275243546</v>
      </c>
      <c r="H39" s="281">
        <f>'Domestic NG Prices'!P42*'Domestic NG Prices'!$P$27*TechData_DelNGA!$I$20*H8</f>
        <v>3.8947795012638329</v>
      </c>
      <c r="I39" s="281">
        <f>'Domestic NG Prices'!Q42*'Domestic NG Prices'!$P$27*TechData_DelNGA!$I$20*I8</f>
        <v>4.6574990737276369</v>
      </c>
      <c r="J39" s="281">
        <f>'Domestic NG Prices'!R42*'Domestic NG Prices'!$P$27*TechData_DelNGA!$I$20*J8</f>
        <v>5.370541591670178</v>
      </c>
      <c r="K39" s="281">
        <f>'Domestic NG Prices'!S42*'Domestic NG Prices'!$P$27*TechData_DelNGA!$I$20*K8</f>
        <v>6.1625951974033581</v>
      </c>
      <c r="L39" s="281">
        <f>'Domestic NG Prices'!T42*'Domestic NG Prices'!$P$27*TechData_DelNGA!$I$20*L8</f>
        <v>6.8097958837994295</v>
      </c>
      <c r="M39" s="281">
        <f>7.14425453277032*M8</f>
        <v>7.1442545327703204</v>
      </c>
      <c r="N39" s="281">
        <f>7.89454986927814*N8</f>
        <v>7.8945498692781397</v>
      </c>
      <c r="O39" s="281">
        <f>8.72364182332011*O8</f>
        <v>8.7236418233201096</v>
      </c>
      <c r="P39" s="282">
        <v>0</v>
      </c>
      <c r="Q39" s="282">
        <f>R39*0.9</f>
        <v>0</v>
      </c>
      <c r="R39" s="282">
        <v>0</v>
      </c>
      <c r="S39" s="282">
        <v>0</v>
      </c>
      <c r="T39" s="282">
        <v>0</v>
      </c>
      <c r="U39" s="282">
        <f t="shared" si="6"/>
        <v>0</v>
      </c>
      <c r="V39" s="256"/>
      <c r="W39" s="280"/>
      <c r="X39" s="280">
        <v>1.1000000000000001</v>
      </c>
      <c r="Y39" s="280">
        <v>1.1000000000000001</v>
      </c>
      <c r="Z39" s="280">
        <v>1.05</v>
      </c>
      <c r="AA39" s="280">
        <v>1.1000000000000001</v>
      </c>
      <c r="AB39" s="280">
        <v>1.01</v>
      </c>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6"/>
      <c r="BD39" s="256"/>
      <c r="BE39" s="256"/>
      <c r="BF39" s="256"/>
      <c r="BG39" s="256"/>
      <c r="BH39" s="256"/>
      <c r="BI39" s="256"/>
      <c r="BJ39" s="256"/>
      <c r="BK39" s="256"/>
      <c r="BL39" s="256"/>
      <c r="BM39" s="256"/>
      <c r="BN39" s="256"/>
      <c r="BO39" s="256"/>
      <c r="BP39" s="256"/>
      <c r="BQ39" s="256"/>
      <c r="BR39" s="256"/>
      <c r="BS39" s="256"/>
      <c r="BT39" s="256"/>
      <c r="BU39" s="256"/>
      <c r="BV39" s="256"/>
      <c r="BW39" s="256"/>
      <c r="BX39" s="256"/>
      <c r="BY39" s="256"/>
    </row>
    <row r="40" spans="1:77" x14ac:dyDescent="0.2">
      <c r="A40" s="251" t="s">
        <v>195</v>
      </c>
      <c r="B40" s="251" t="s">
        <v>3</v>
      </c>
      <c r="C40" s="251" t="s">
        <v>204</v>
      </c>
      <c r="D40" s="251" t="str">
        <f>Commodities!C$11</f>
        <v>NGAD0</v>
      </c>
      <c r="E40" s="251">
        <v>2010</v>
      </c>
      <c r="F40" s="281">
        <f>F39*'Domestic NG Prices'!$N$22</f>
        <v>4.3774012368842659</v>
      </c>
      <c r="G40" s="281">
        <f>G39*'Domestic NG Prices'!$N$22</f>
        <v>3.5982532017263034</v>
      </c>
      <c r="H40" s="281">
        <f>H39*'Domestic NG Prices'!$N$22</f>
        <v>4.2063618613649396</v>
      </c>
      <c r="I40" s="281">
        <f>I39*'Domestic NG Prices'!$N$22</f>
        <v>5.0300989996258485</v>
      </c>
      <c r="J40" s="281">
        <f>J39*'Domestic NG Prices'!$N$22</f>
        <v>5.8001849190037928</v>
      </c>
      <c r="K40" s="281">
        <f>K39*'Domestic NG Prices'!$N$22</f>
        <v>6.6556028131956273</v>
      </c>
      <c r="L40" s="281">
        <f>L39*'Domestic NG Prices'!$N$22</f>
        <v>7.3545795545033847</v>
      </c>
      <c r="M40" s="281">
        <f>M39*'Domestic NG Prices'!$N$22</f>
        <v>7.7157948953919462</v>
      </c>
      <c r="N40" s="281">
        <f>N39*'Domestic NG Prices'!$N$22</f>
        <v>8.5261138588203913</v>
      </c>
      <c r="O40" s="281">
        <f>O39*'Domestic NG Prices'!$N$22</f>
        <v>9.4215331691857198</v>
      </c>
      <c r="P40" s="282">
        <v>0</v>
      </c>
      <c r="Q40" s="282">
        <f>R40*0.9</f>
        <v>0</v>
      </c>
      <c r="R40" s="282">
        <v>0</v>
      </c>
      <c r="S40" s="282">
        <v>0</v>
      </c>
      <c r="T40" s="282">
        <v>0</v>
      </c>
      <c r="U40" s="282">
        <f t="shared" si="6"/>
        <v>0</v>
      </c>
      <c r="V40" s="256"/>
      <c r="W40" s="283"/>
      <c r="X40" s="280">
        <v>1.1000000000000001</v>
      </c>
      <c r="Y40" s="280">
        <v>1.1000000000000001</v>
      </c>
      <c r="Z40" s="280">
        <v>1.1000000000000001</v>
      </c>
      <c r="AA40" s="280">
        <v>1.1000000000000001</v>
      </c>
      <c r="AB40" s="280">
        <v>1.01</v>
      </c>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56"/>
      <c r="BO40" s="256"/>
      <c r="BP40" s="256"/>
      <c r="BQ40" s="256"/>
      <c r="BR40" s="256"/>
      <c r="BS40" s="256"/>
      <c r="BT40" s="256"/>
      <c r="BU40" s="256"/>
      <c r="BV40" s="256"/>
      <c r="BW40" s="256"/>
      <c r="BX40" s="256"/>
      <c r="BY40" s="256"/>
    </row>
    <row r="41" spans="1:77" x14ac:dyDescent="0.2">
      <c r="A41" s="251" t="s">
        <v>195</v>
      </c>
      <c r="B41" s="251" t="s">
        <v>4</v>
      </c>
      <c r="C41" s="251" t="s">
        <v>205</v>
      </c>
      <c r="D41" s="251" t="str">
        <f>Commodities!C$11</f>
        <v>NGAD0</v>
      </c>
      <c r="E41" s="251">
        <v>2010</v>
      </c>
      <c r="F41" s="281">
        <f>F39*'Domestic NG Prices'!$N$23</f>
        <v>4.5395272086207203</v>
      </c>
      <c r="G41" s="281">
        <f>G39*'Domestic NG Prices'!$N$23</f>
        <v>3.7315218388272777</v>
      </c>
      <c r="H41" s="281">
        <f>H39*'Domestic NG Prices'!$N$23</f>
        <v>4.3621530414154934</v>
      </c>
      <c r="I41" s="281">
        <f>I39*'Domestic NG Prices'!$N$23</f>
        <v>5.2163989625749538</v>
      </c>
      <c r="J41" s="281">
        <f>J39*'Domestic NG Prices'!$N$23</f>
        <v>6.0150065826706003</v>
      </c>
      <c r="K41" s="281">
        <f>K39*'Domestic NG Prices'!$N$23</f>
        <v>6.9021066210917619</v>
      </c>
      <c r="L41" s="281">
        <f>L39*'Domestic NG Prices'!$N$23</f>
        <v>7.6269713898553615</v>
      </c>
      <c r="M41" s="281">
        <f>M39*'Domestic NG Prices'!$N$23</f>
        <v>8.0015650767027591</v>
      </c>
      <c r="N41" s="281">
        <f>N39*'Domestic NG Prices'!$N$23</f>
        <v>8.8418958535915166</v>
      </c>
      <c r="O41" s="281">
        <f>O39*'Domestic NG Prices'!$N$23</f>
        <v>9.7704788421185231</v>
      </c>
      <c r="P41" s="282">
        <v>0</v>
      </c>
      <c r="Q41" s="282">
        <f t="shared" ref="Q41:Q42" si="7">R41*0.9</f>
        <v>0</v>
      </c>
      <c r="R41" s="282">
        <v>0</v>
      </c>
      <c r="S41" s="282">
        <v>0</v>
      </c>
      <c r="T41" s="282">
        <v>0</v>
      </c>
      <c r="U41" s="282">
        <f t="shared" si="6"/>
        <v>0</v>
      </c>
      <c r="V41" s="256"/>
      <c r="W41" s="283">
        <f>R41</f>
        <v>0</v>
      </c>
      <c r="X41" s="280">
        <v>1.01</v>
      </c>
      <c r="Y41" s="280">
        <v>1.01</v>
      </c>
      <c r="Z41" s="280">
        <v>1.01</v>
      </c>
      <c r="AA41" s="280">
        <v>1.1000000000000001</v>
      </c>
      <c r="AB41" s="280">
        <v>1.01</v>
      </c>
      <c r="AC41" s="256"/>
      <c r="AD41" s="256"/>
      <c r="AE41" s="256"/>
      <c r="AF41" s="256"/>
      <c r="AG41" s="256"/>
      <c r="AH41" s="256"/>
      <c r="AI41" s="256"/>
      <c r="AJ41" s="256"/>
      <c r="AK41" s="256"/>
      <c r="AL41" s="256"/>
      <c r="AM41" s="256"/>
      <c r="AN41" s="256"/>
      <c r="AO41" s="256"/>
      <c r="AP41" s="256"/>
      <c r="AQ41" s="256"/>
      <c r="AR41" s="256"/>
      <c r="AS41" s="256"/>
      <c r="AT41" s="256"/>
      <c r="AU41" s="256"/>
      <c r="AV41" s="256"/>
      <c r="AW41" s="256"/>
      <c r="AX41" s="256"/>
      <c r="AY41" s="256"/>
      <c r="AZ41" s="256"/>
      <c r="BA41" s="256"/>
      <c r="BB41" s="256"/>
      <c r="BC41" s="256"/>
      <c r="BD41" s="256"/>
      <c r="BE41" s="256"/>
      <c r="BF41" s="256"/>
      <c r="BG41" s="256"/>
      <c r="BH41" s="256"/>
      <c r="BI41" s="256"/>
      <c r="BJ41" s="256"/>
      <c r="BK41" s="256"/>
      <c r="BL41" s="256"/>
      <c r="BM41" s="256"/>
      <c r="BN41" s="256"/>
      <c r="BO41" s="256"/>
      <c r="BP41" s="256"/>
      <c r="BQ41" s="256"/>
      <c r="BR41" s="256"/>
      <c r="BS41" s="256"/>
      <c r="BT41" s="256"/>
      <c r="BU41" s="256"/>
      <c r="BV41" s="256"/>
      <c r="BW41" s="256"/>
      <c r="BX41" s="256"/>
      <c r="BY41" s="256"/>
    </row>
    <row r="42" spans="1:77" x14ac:dyDescent="0.2">
      <c r="A42" s="251" t="s">
        <v>195</v>
      </c>
      <c r="B42" s="251" t="s">
        <v>5</v>
      </c>
      <c r="C42" s="251" t="s">
        <v>206</v>
      </c>
      <c r="D42" s="251" t="str">
        <f>Commodities!C$11</f>
        <v>NGAD0</v>
      </c>
      <c r="E42" s="251">
        <v>2010</v>
      </c>
      <c r="F42" s="281">
        <f>F39*'Domestic NG Prices'!$N$24</f>
        <v>6.2013184189193762</v>
      </c>
      <c r="G42" s="281">
        <f>G39*'Domestic NG Prices'!$N$24</f>
        <v>5.0975253691122626</v>
      </c>
      <c r="H42" s="281">
        <f>H39*'Domestic NG Prices'!$N$24</f>
        <v>5.9590126369336645</v>
      </c>
      <c r="I42" s="281">
        <f>I39*'Domestic NG Prices'!$N$24</f>
        <v>7.1259735828032849</v>
      </c>
      <c r="J42" s="281">
        <f>J39*'Domestic NG Prices'!$N$24</f>
        <v>8.216928635255373</v>
      </c>
      <c r="K42" s="281">
        <f>K39*'Domestic NG Prices'!$N$24</f>
        <v>9.4287706520271382</v>
      </c>
      <c r="L42" s="281">
        <f>L39*'Domestic NG Prices'!$N$24</f>
        <v>10.418987702213128</v>
      </c>
      <c r="M42" s="281">
        <f>M39*'Domestic NG Prices'!$N$24</f>
        <v>10.93070943513859</v>
      </c>
      <c r="N42" s="281">
        <f>N39*'Domestic NG Prices'!$N$24</f>
        <v>12.078661299995554</v>
      </c>
      <c r="O42" s="281">
        <f>O39*'Domestic NG Prices'!$N$24</f>
        <v>13.347171989679769</v>
      </c>
      <c r="P42" s="282">
        <v>0</v>
      </c>
      <c r="Q42" s="282">
        <f t="shared" si="7"/>
        <v>0</v>
      </c>
      <c r="R42" s="282">
        <v>0</v>
      </c>
      <c r="S42" s="282">
        <v>0</v>
      </c>
      <c r="T42" s="282">
        <v>0</v>
      </c>
      <c r="U42" s="282">
        <f>T42</f>
        <v>0</v>
      </c>
      <c r="V42" s="256"/>
      <c r="W42" s="283">
        <f>R42</f>
        <v>0</v>
      </c>
      <c r="X42" s="280">
        <v>1.01</v>
      </c>
      <c r="Y42" s="280">
        <v>1.01</v>
      </c>
      <c r="Z42" s="280">
        <v>1.01</v>
      </c>
      <c r="AA42" s="280">
        <v>1.1000000000000001</v>
      </c>
      <c r="AB42" s="280">
        <v>1.01</v>
      </c>
      <c r="AC42" s="256"/>
      <c r="AD42" s="256"/>
      <c r="AE42" s="256"/>
      <c r="AF42" s="256"/>
      <c r="AG42" s="256"/>
      <c r="AH42" s="256"/>
      <c r="AI42" s="256"/>
      <c r="AJ42" s="256"/>
      <c r="AK42" s="256"/>
      <c r="AL42" s="256"/>
      <c r="AM42" s="256"/>
      <c r="AN42" s="256"/>
      <c r="AO42" s="256"/>
      <c r="AP42" s="256"/>
      <c r="AQ42" s="256"/>
      <c r="AR42" s="256"/>
      <c r="AS42" s="256"/>
      <c r="AT42" s="256"/>
      <c r="AU42" s="256"/>
      <c r="AV42" s="256"/>
      <c r="AW42" s="256"/>
      <c r="AX42" s="256"/>
      <c r="AY42" s="256"/>
      <c r="AZ42" s="256"/>
      <c r="BA42" s="256"/>
      <c r="BB42" s="256"/>
      <c r="BC42" s="256"/>
      <c r="BD42" s="256"/>
      <c r="BE42" s="256"/>
      <c r="BF42" s="256"/>
      <c r="BG42" s="256"/>
      <c r="BH42" s="256"/>
      <c r="BI42" s="256"/>
      <c r="BJ42" s="256"/>
      <c r="BK42" s="256"/>
      <c r="BL42" s="256"/>
      <c r="BM42" s="256"/>
      <c r="BN42" s="256"/>
      <c r="BO42" s="256"/>
      <c r="BP42" s="256"/>
      <c r="BQ42" s="256"/>
      <c r="BR42" s="256"/>
      <c r="BS42" s="256"/>
      <c r="BT42" s="256"/>
      <c r="BU42" s="256"/>
      <c r="BV42" s="256"/>
      <c r="BW42" s="256"/>
      <c r="BX42" s="256"/>
      <c r="BY42" s="256"/>
    </row>
    <row r="43" spans="1:77" x14ac:dyDescent="0.2">
      <c r="A43" s="251" t="s">
        <v>231</v>
      </c>
      <c r="B43" s="251"/>
      <c r="C43" s="251"/>
      <c r="D43" s="251"/>
      <c r="E43" s="251"/>
      <c r="F43" s="280"/>
      <c r="G43" s="280"/>
      <c r="H43" s="280"/>
      <c r="I43" s="280"/>
      <c r="J43" s="280"/>
      <c r="K43" s="280"/>
      <c r="L43" s="280"/>
      <c r="M43" s="280"/>
      <c r="N43" s="281"/>
      <c r="O43" s="281"/>
      <c r="P43" s="281"/>
      <c r="Q43" s="281"/>
      <c r="R43" s="281"/>
      <c r="S43" s="281"/>
      <c r="T43" s="281"/>
      <c r="U43" s="281"/>
      <c r="W43" s="251"/>
      <c r="X43" s="251"/>
      <c r="Y43" s="280"/>
      <c r="Z43" s="280"/>
      <c r="AA43" s="280"/>
      <c r="AB43" s="280"/>
      <c r="AI43" s="256"/>
      <c r="AJ43" s="256"/>
      <c r="AK43" s="256"/>
      <c r="AL43" s="256"/>
      <c r="AM43" s="256"/>
      <c r="AN43" s="256"/>
      <c r="AO43" s="256"/>
      <c r="AP43" s="256"/>
      <c r="AQ43" s="256"/>
      <c r="AR43" s="256"/>
      <c r="AS43" s="256"/>
      <c r="AT43" s="256"/>
      <c r="AU43" s="256"/>
      <c r="AV43" s="256"/>
      <c r="AW43" s="256"/>
      <c r="AX43" s="256"/>
      <c r="AY43" s="256"/>
      <c r="AZ43" s="256"/>
      <c r="BA43" s="256"/>
      <c r="BB43" s="256"/>
      <c r="BC43" s="256"/>
      <c r="BD43" s="256"/>
      <c r="BE43" s="256"/>
      <c r="BF43" s="256"/>
      <c r="BG43" s="256"/>
      <c r="BH43" s="256"/>
      <c r="BI43" s="256"/>
      <c r="BJ43" s="256"/>
      <c r="BK43" s="256"/>
      <c r="BL43" s="256"/>
      <c r="BM43" s="256"/>
      <c r="BN43" s="256"/>
      <c r="BO43" s="256"/>
      <c r="BP43" s="256"/>
      <c r="BQ43" s="256"/>
      <c r="BR43" s="256"/>
      <c r="BS43" s="256"/>
      <c r="BT43" s="256"/>
      <c r="BU43" s="256"/>
      <c r="BV43" s="256"/>
      <c r="BW43" s="256"/>
      <c r="BX43" s="256"/>
      <c r="BY43" s="256"/>
    </row>
    <row r="44" spans="1:77" x14ac:dyDescent="0.2">
      <c r="A44" s="251" t="s">
        <v>231</v>
      </c>
      <c r="B44" s="251"/>
      <c r="C44" s="251"/>
      <c r="D44" s="251"/>
      <c r="E44" s="251"/>
      <c r="F44" s="280"/>
      <c r="G44" s="280"/>
      <c r="H44" s="280"/>
      <c r="I44" s="280"/>
      <c r="J44" s="280"/>
      <c r="K44" s="280"/>
      <c r="L44" s="280"/>
      <c r="M44" s="280"/>
      <c r="N44" s="281"/>
      <c r="O44" s="281"/>
      <c r="P44" s="281"/>
      <c r="Q44" s="281"/>
      <c r="R44" s="281"/>
      <c r="S44" s="281"/>
      <c r="T44" s="281"/>
      <c r="U44" s="281"/>
      <c r="W44" s="251"/>
      <c r="X44" s="251"/>
      <c r="Y44" s="280"/>
      <c r="Z44" s="280"/>
      <c r="AA44" s="280"/>
      <c r="AB44" s="280"/>
      <c r="AI44" s="256"/>
      <c r="AJ44" s="256"/>
      <c r="AK44" s="256"/>
      <c r="AL44" s="256"/>
      <c r="AM44" s="256"/>
      <c r="AN44" s="256"/>
      <c r="AO44" s="256"/>
      <c r="AP44" s="256"/>
      <c r="AQ44" s="256"/>
      <c r="AR44" s="256"/>
      <c r="AS44" s="256"/>
      <c r="AT44" s="256"/>
      <c r="AU44" s="256"/>
      <c r="AV44" s="256"/>
      <c r="AW44" s="256"/>
      <c r="AX44" s="256"/>
      <c r="AY44" s="256"/>
      <c r="AZ44" s="256"/>
      <c r="BA44" s="256"/>
      <c r="BB44" s="256"/>
      <c r="BC44" s="256"/>
      <c r="BD44" s="256"/>
      <c r="BE44" s="256"/>
      <c r="BF44" s="256"/>
      <c r="BG44" s="256"/>
      <c r="BH44" s="256"/>
      <c r="BI44" s="256"/>
      <c r="BJ44" s="256"/>
      <c r="BK44" s="256"/>
      <c r="BL44" s="256"/>
      <c r="BM44" s="256"/>
      <c r="BN44" s="256"/>
      <c r="BO44" s="256"/>
      <c r="BP44" s="256"/>
      <c r="BQ44" s="256"/>
      <c r="BR44" s="256"/>
      <c r="BS44" s="256"/>
      <c r="BT44" s="256"/>
      <c r="BU44" s="256"/>
      <c r="BV44" s="256"/>
      <c r="BW44" s="256"/>
      <c r="BX44" s="256"/>
      <c r="BY44" s="256"/>
    </row>
    <row r="45" spans="1:77" ht="17.25" customHeight="1" x14ac:dyDescent="0.2">
      <c r="F45" s="255"/>
      <c r="G45" s="258"/>
      <c r="H45" s="258"/>
      <c r="I45" s="258"/>
      <c r="L45" s="258"/>
      <c r="M45" s="258"/>
      <c r="N45" s="258"/>
      <c r="O45" s="258"/>
      <c r="P45" s="258"/>
      <c r="Q45" s="258"/>
      <c r="R45" s="258"/>
      <c r="S45" s="258"/>
      <c r="X45" s="258"/>
      <c r="Y45" s="258"/>
      <c r="AT45" s="262"/>
      <c r="AU45" s="262"/>
      <c r="BS45" s="258"/>
      <c r="BT45" s="258"/>
      <c r="BU45" s="258"/>
      <c r="BV45" s="258"/>
      <c r="BW45" s="258"/>
    </row>
    <row r="46" spans="1:77" ht="17.25" customHeight="1" x14ac:dyDescent="0.2">
      <c r="F46" s="255"/>
      <c r="G46" s="258"/>
      <c r="H46" s="258"/>
      <c r="I46" s="258"/>
      <c r="L46" s="258"/>
      <c r="M46" s="258"/>
      <c r="N46" s="258"/>
      <c r="O46" s="258"/>
      <c r="P46" s="258"/>
      <c r="Q46" s="258"/>
      <c r="R46" s="258"/>
      <c r="S46" s="258"/>
      <c r="X46" s="258"/>
      <c r="Y46" s="258"/>
      <c r="AT46" s="262"/>
      <c r="AU46" s="262"/>
      <c r="BS46" s="258"/>
      <c r="BT46" s="258"/>
      <c r="BU46" s="258"/>
      <c r="BV46" s="258"/>
      <c r="BW46" s="258"/>
    </row>
    <row r="47" spans="1:77" ht="17.25" customHeight="1" x14ac:dyDescent="0.2">
      <c r="E47" s="255" t="s">
        <v>1596</v>
      </c>
      <c r="G47" s="258"/>
      <c r="H47" s="258"/>
      <c r="I47" s="258"/>
      <c r="L47" s="258"/>
      <c r="M47" s="258"/>
      <c r="N47" s="258"/>
      <c r="O47" s="258"/>
      <c r="P47" s="258"/>
      <c r="Q47" s="258"/>
      <c r="R47" s="258"/>
      <c r="S47" s="258"/>
      <c r="X47" s="258"/>
      <c r="Y47" s="258"/>
      <c r="AT47" s="262"/>
      <c r="AU47" s="262"/>
      <c r="BS47" s="258"/>
      <c r="BT47" s="258"/>
      <c r="BU47" s="258"/>
      <c r="BV47" s="258"/>
      <c r="BW47" s="258"/>
    </row>
    <row r="48" spans="1:77" ht="15.75" customHeight="1" x14ac:dyDescent="0.2">
      <c r="A48" s="244" t="s">
        <v>47</v>
      </c>
      <c r="B48" s="244" t="s">
        <v>130</v>
      </c>
      <c r="C48" s="244" t="s">
        <v>131</v>
      </c>
      <c r="D48" s="244" t="s">
        <v>133</v>
      </c>
      <c r="E48" s="244" t="s">
        <v>134</v>
      </c>
      <c r="F48" s="244" t="s">
        <v>1601</v>
      </c>
      <c r="G48" s="244" t="s">
        <v>1612</v>
      </c>
      <c r="H48" s="244" t="s">
        <v>1654</v>
      </c>
      <c r="I48" s="244" t="s">
        <v>1670</v>
      </c>
      <c r="J48" s="244" t="s">
        <v>1671</v>
      </c>
      <c r="K48" s="244" t="s">
        <v>1619</v>
      </c>
      <c r="L48" s="286"/>
      <c r="M48" s="286"/>
      <c r="N48" s="272" t="s">
        <v>1620</v>
      </c>
      <c r="O48" s="272" t="s">
        <v>1621</v>
      </c>
      <c r="P48" s="272" t="s">
        <v>1622</v>
      </c>
      <c r="Q48" s="272" t="s">
        <v>1623</v>
      </c>
      <c r="R48" s="272" t="s">
        <v>1624</v>
      </c>
      <c r="S48" s="272" t="s">
        <v>1625</v>
      </c>
      <c r="T48" s="272" t="s">
        <v>1626</v>
      </c>
      <c r="U48" s="272" t="s">
        <v>1627</v>
      </c>
      <c r="V48" s="272" t="s">
        <v>1628</v>
      </c>
      <c r="W48" s="272" t="s">
        <v>1629</v>
      </c>
      <c r="X48" s="272" t="s">
        <v>1630</v>
      </c>
      <c r="Y48" s="272" t="s">
        <v>1631</v>
      </c>
      <c r="Z48" s="272" t="s">
        <v>1632</v>
      </c>
      <c r="AA48" s="272" t="s">
        <v>1633</v>
      </c>
      <c r="AB48" s="272" t="s">
        <v>1634</v>
      </c>
      <c r="AC48" s="272" t="s">
        <v>1635</v>
      </c>
      <c r="AD48" s="272" t="s">
        <v>1636</v>
      </c>
      <c r="AE48" s="272" t="s">
        <v>1637</v>
      </c>
      <c r="AF48" s="272" t="s">
        <v>1638</v>
      </c>
      <c r="AG48" s="272" t="s">
        <v>1639</v>
      </c>
      <c r="AH48" s="272" t="s">
        <v>1640</v>
      </c>
      <c r="AI48" s="272" t="s">
        <v>1641</v>
      </c>
      <c r="AJ48" s="272" t="s">
        <v>1642</v>
      </c>
      <c r="AK48" s="272" t="s">
        <v>1643</v>
      </c>
      <c r="AL48" s="272" t="s">
        <v>1644</v>
      </c>
      <c r="AM48" s="272" t="s">
        <v>1645</v>
      </c>
      <c r="AN48" s="272" t="s">
        <v>1646</v>
      </c>
      <c r="AO48" s="272" t="s">
        <v>1647</v>
      </c>
      <c r="AP48" s="272" t="s">
        <v>1648</v>
      </c>
      <c r="AQ48" s="272" t="s">
        <v>1649</v>
      </c>
      <c r="AR48" s="272" t="s">
        <v>1650</v>
      </c>
      <c r="AS48" s="272" t="s">
        <v>1651</v>
      </c>
      <c r="AT48" s="256"/>
      <c r="AU48" s="256"/>
      <c r="AV48" s="256"/>
      <c r="AW48" s="256"/>
      <c r="AX48" s="256"/>
      <c r="AY48" s="256"/>
      <c r="AZ48" s="256"/>
      <c r="BA48" s="256"/>
      <c r="BB48" s="256"/>
      <c r="BC48" s="256"/>
      <c r="BD48" s="256"/>
      <c r="BE48" s="256"/>
      <c r="BF48" s="256"/>
      <c r="BG48" s="256"/>
      <c r="BH48" s="256"/>
      <c r="BI48" s="256"/>
      <c r="BJ48" s="256"/>
      <c r="BK48" s="256"/>
      <c r="BL48" s="256"/>
      <c r="BM48" s="256"/>
      <c r="BN48" s="256"/>
      <c r="BO48" s="256"/>
      <c r="BP48" s="256"/>
      <c r="BQ48" s="256"/>
      <c r="BR48" s="256"/>
      <c r="BS48" s="256"/>
      <c r="BT48" s="256"/>
      <c r="BU48" s="256"/>
      <c r="BV48" s="256"/>
      <c r="BW48" s="256"/>
      <c r="BX48" s="256"/>
      <c r="BY48" s="256"/>
    </row>
    <row r="49" spans="1:78" ht="15.75" customHeight="1" x14ac:dyDescent="0.2">
      <c r="A49" s="284" t="s">
        <v>1653</v>
      </c>
      <c r="B49" s="284"/>
      <c r="C49" s="284"/>
      <c r="D49" s="284"/>
      <c r="E49" s="284"/>
      <c r="F49" s="284"/>
      <c r="G49" s="284"/>
      <c r="H49" s="287"/>
      <c r="I49" s="288"/>
      <c r="J49" s="288"/>
      <c r="K49" s="287"/>
      <c r="L49" s="286"/>
      <c r="M49" s="286"/>
      <c r="N49" s="285"/>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c r="AM49" s="285"/>
      <c r="AN49" s="285"/>
      <c r="AO49" s="285"/>
      <c r="AP49" s="285"/>
      <c r="AQ49" s="285"/>
      <c r="AR49" s="285"/>
      <c r="AS49" s="285"/>
      <c r="AT49" s="256"/>
      <c r="AU49" s="256"/>
      <c r="AV49" s="256"/>
      <c r="AW49" s="256"/>
      <c r="AX49" s="256"/>
      <c r="AY49" s="256"/>
      <c r="AZ49" s="256"/>
      <c r="BA49" s="256"/>
      <c r="BB49" s="256"/>
      <c r="BC49" s="256"/>
      <c r="BD49" s="256"/>
      <c r="BE49" s="256"/>
      <c r="BF49" s="256"/>
      <c r="BG49" s="256"/>
      <c r="BH49" s="256"/>
      <c r="BI49" s="256"/>
      <c r="BJ49" s="256"/>
      <c r="BK49" s="256"/>
      <c r="BL49" s="256"/>
      <c r="BM49" s="256"/>
      <c r="BN49" s="256"/>
      <c r="BO49" s="256"/>
      <c r="BP49" s="256"/>
      <c r="BQ49" s="256"/>
      <c r="BR49" s="256"/>
      <c r="BS49" s="256"/>
      <c r="BT49" s="256"/>
      <c r="BU49" s="256"/>
      <c r="BV49" s="256"/>
      <c r="BW49" s="256"/>
      <c r="BX49" s="256"/>
      <c r="BY49" s="256"/>
    </row>
    <row r="50" spans="1:78" x14ac:dyDescent="0.2">
      <c r="A50" s="251" t="s">
        <v>160</v>
      </c>
      <c r="B50" s="251" t="s">
        <v>207</v>
      </c>
      <c r="C50" s="251" t="s">
        <v>208</v>
      </c>
      <c r="D50" s="251" t="s">
        <v>151</v>
      </c>
      <c r="E50" s="251" t="str">
        <f>Commodities!C12</f>
        <v>NGAD1</v>
      </c>
      <c r="F50" s="251">
        <v>2010</v>
      </c>
      <c r="G50" s="280">
        <v>1</v>
      </c>
      <c r="H50" s="280"/>
      <c r="I50" s="280"/>
      <c r="J50" s="280"/>
      <c r="K50" s="280"/>
      <c r="N50" s="265">
        <f>N51</f>
        <v>5.628863067892162E-3</v>
      </c>
      <c r="O50" s="265">
        <f>O51</f>
        <v>5.628863067892162E-3</v>
      </c>
      <c r="P50" s="265">
        <f t="shared" ref="P50:AS50" si="8">P51</f>
        <v>7.3165000000000003E-4</v>
      </c>
      <c r="Q50" s="265">
        <f t="shared" si="8"/>
        <v>6.9187000000000003E-4</v>
      </c>
      <c r="R50" s="265">
        <f t="shared" si="8"/>
        <v>6.6925999999999997E-4</v>
      </c>
      <c r="S50" s="265">
        <f t="shared" si="8"/>
        <v>4.8229299999999996E-3</v>
      </c>
      <c r="T50" s="265">
        <f t="shared" si="8"/>
        <v>4.5913300000000002E-3</v>
      </c>
      <c r="U50" s="265">
        <f t="shared" si="8"/>
        <v>4.4275499999999997E-3</v>
      </c>
      <c r="V50" s="265">
        <f t="shared" si="8"/>
        <v>1.509156E-2</v>
      </c>
      <c r="W50" s="265">
        <f t="shared" si="8"/>
        <v>1.298537E-2</v>
      </c>
      <c r="X50" s="265">
        <f t="shared" si="8"/>
        <v>1.214993E-2</v>
      </c>
      <c r="Y50" s="265">
        <f t="shared" si="8"/>
        <v>3.5759000000000002E-4</v>
      </c>
      <c r="Z50" s="265">
        <f t="shared" si="8"/>
        <v>3.2223000000000001E-4</v>
      </c>
      <c r="AA50" s="265">
        <f t="shared" si="8"/>
        <v>2.9514E-4</v>
      </c>
      <c r="AB50" s="265">
        <f t="shared" si="8"/>
        <v>2.7726999999999998E-4</v>
      </c>
      <c r="AC50" s="265">
        <f t="shared" si="8"/>
        <v>2.4601000000000001E-4</v>
      </c>
      <c r="AD50" s="265">
        <f t="shared" si="8"/>
        <v>2.2243999999999999E-4</v>
      </c>
      <c r="AE50" s="265">
        <f t="shared" si="8"/>
        <v>5.4062999999999995E-4</v>
      </c>
      <c r="AF50" s="265">
        <f t="shared" si="8"/>
        <v>4.8401E-4</v>
      </c>
      <c r="AG50" s="265">
        <f t="shared" si="8"/>
        <v>4.8117E-4</v>
      </c>
      <c r="AH50" s="265">
        <f t="shared" si="8"/>
        <v>0.28887951369738457</v>
      </c>
      <c r="AI50" s="265">
        <f t="shared" si="8"/>
        <v>0.22518269559280807</v>
      </c>
      <c r="AJ50" s="265">
        <f t="shared" si="8"/>
        <v>0.22518269559280807</v>
      </c>
      <c r="AK50" s="265">
        <f t="shared" si="8"/>
        <v>4.3059000000000002E-5</v>
      </c>
      <c r="AL50" s="265">
        <f t="shared" si="8"/>
        <v>4.3050999999999998E-5</v>
      </c>
      <c r="AM50" s="265">
        <f t="shared" si="8"/>
        <v>4.3032999999999999E-5</v>
      </c>
      <c r="AN50" s="265">
        <f t="shared" si="8"/>
        <v>1.8008454495478929E-5</v>
      </c>
      <c r="AO50" s="265">
        <f>AN51</f>
        <v>1.8008454495478929E-5</v>
      </c>
      <c r="AP50" s="265">
        <f t="shared" si="8"/>
        <v>1.4447291874253735E-5</v>
      </c>
      <c r="AQ50" s="265">
        <f t="shared" si="8"/>
        <v>4.7390669724944556E-6</v>
      </c>
      <c r="AR50" s="265">
        <f t="shared" si="8"/>
        <v>4.2047746453037157E-6</v>
      </c>
      <c r="AS50" s="265">
        <f t="shared" si="8"/>
        <v>3.8019189142772993E-6</v>
      </c>
      <c r="AT50" s="256"/>
      <c r="AU50" s="256"/>
      <c r="AV50" s="256"/>
      <c r="AW50" s="256"/>
      <c r="AX50" s="256"/>
      <c r="AY50" s="256"/>
      <c r="AZ50" s="256"/>
      <c r="BA50" s="256"/>
      <c r="BB50" s="256"/>
      <c r="BC50" s="256"/>
      <c r="BD50" s="256"/>
      <c r="BE50" s="256"/>
      <c r="BF50" s="256"/>
      <c r="BG50" s="256"/>
      <c r="BH50" s="256"/>
      <c r="BI50" s="256"/>
      <c r="BJ50" s="256"/>
      <c r="BK50" s="256"/>
      <c r="BL50" s="256"/>
      <c r="BM50" s="256"/>
      <c r="BN50" s="256"/>
      <c r="BO50" s="256"/>
      <c r="BP50" s="256"/>
      <c r="BQ50" s="256"/>
      <c r="BR50" s="256"/>
      <c r="BS50" s="256"/>
      <c r="BT50" s="256"/>
      <c r="BU50" s="256"/>
      <c r="BV50" s="256"/>
      <c r="BW50" s="256"/>
      <c r="BX50" s="256"/>
      <c r="BY50" s="256"/>
    </row>
    <row r="51" spans="1:78" x14ac:dyDescent="0.2">
      <c r="A51" s="251" t="s">
        <v>168</v>
      </c>
      <c r="B51" s="251" t="s">
        <v>207</v>
      </c>
      <c r="C51" s="251" t="s">
        <v>208</v>
      </c>
      <c r="D51" s="251" t="s">
        <v>151</v>
      </c>
      <c r="E51" s="251" t="str">
        <f>Commodities!C13</f>
        <v>NGAD2</v>
      </c>
      <c r="F51" s="251">
        <v>2010</v>
      </c>
      <c r="G51" s="280">
        <v>1</v>
      </c>
      <c r="H51" s="280"/>
      <c r="I51" s="280"/>
      <c r="J51" s="280"/>
      <c r="K51" s="280"/>
      <c r="N51" s="265">
        <f>Emissions!G109/1000</f>
        <v>5.628863067892162E-3</v>
      </c>
      <c r="O51" s="265">
        <f>Emissions!H109/1000</f>
        <v>5.628863067892162E-3</v>
      </c>
      <c r="P51" s="265">
        <f>Emissions!D71</f>
        <v>7.3165000000000003E-4</v>
      </c>
      <c r="Q51" s="265">
        <f>Emissions!E71</f>
        <v>6.9187000000000003E-4</v>
      </c>
      <c r="R51" s="265">
        <f>Emissions!F71</f>
        <v>6.6925999999999997E-4</v>
      </c>
      <c r="S51" s="265">
        <f>Emissions!D72</f>
        <v>4.8229299999999996E-3</v>
      </c>
      <c r="T51" s="265">
        <f>Emissions!E72</f>
        <v>4.5913300000000002E-3</v>
      </c>
      <c r="U51" s="265">
        <f>Emissions!F72</f>
        <v>4.4275499999999997E-3</v>
      </c>
      <c r="V51" s="265">
        <f>Emissions!D73</f>
        <v>1.509156E-2</v>
      </c>
      <c r="W51" s="265">
        <f>Emissions!E73</f>
        <v>1.298537E-2</v>
      </c>
      <c r="X51" s="265">
        <f>Emissions!F73</f>
        <v>1.214993E-2</v>
      </c>
      <c r="Y51" s="265">
        <f>Emissions!D74</f>
        <v>3.5759000000000002E-4</v>
      </c>
      <c r="Z51" s="265">
        <f>Emissions!E74</f>
        <v>3.2223000000000001E-4</v>
      </c>
      <c r="AA51" s="265">
        <f>Emissions!F74</f>
        <v>2.9514E-4</v>
      </c>
      <c r="AB51" s="265">
        <f>Emissions!D75</f>
        <v>2.7726999999999998E-4</v>
      </c>
      <c r="AC51" s="265">
        <f>Emissions!E75</f>
        <v>2.4601000000000001E-4</v>
      </c>
      <c r="AD51" s="265">
        <f>Emissions!F75</f>
        <v>2.2243999999999999E-4</v>
      </c>
      <c r="AE51" s="265">
        <f>Emissions!D76</f>
        <v>5.4062999999999995E-4</v>
      </c>
      <c r="AF51" s="265">
        <f>Emissions!E76</f>
        <v>4.8401E-4</v>
      </c>
      <c r="AG51" s="265">
        <f>Emissions!F76</f>
        <v>4.8117E-4</v>
      </c>
      <c r="AH51" s="264">
        <f>Emissions!J109</f>
        <v>0.28887951369738457</v>
      </c>
      <c r="AI51" s="264">
        <f>Emissions!K109</f>
        <v>0.22518269559280807</v>
      </c>
      <c r="AJ51" s="264">
        <f>AI51</f>
        <v>0.22518269559280807</v>
      </c>
      <c r="AK51" s="265">
        <f>Emissions!D78</f>
        <v>4.3059000000000002E-5</v>
      </c>
      <c r="AL51" s="265">
        <f>Emissions!E78</f>
        <v>4.3050999999999998E-5</v>
      </c>
      <c r="AM51" s="265">
        <f>Emissions!F78</f>
        <v>4.3032999999999999E-5</v>
      </c>
      <c r="AN51" s="265">
        <f>Emissions!M11</f>
        <v>1.8008454495478929E-5</v>
      </c>
      <c r="AO51" s="265">
        <f>$AN51/$AB51*AC51</f>
        <v>1.5978143652154118E-5</v>
      </c>
      <c r="AP51" s="265">
        <f>$AN51/$AB51*AD51</f>
        <v>1.4447291874253735E-5</v>
      </c>
      <c r="AQ51" s="265">
        <f>Emissions!N11</f>
        <v>4.7390669724944556E-6</v>
      </c>
      <c r="AR51" s="265">
        <f>$AQ51/$AB51*AC51</f>
        <v>4.2047746453037157E-6</v>
      </c>
      <c r="AS51" s="265">
        <f>$AQ51/$AB51*AD51</f>
        <v>3.8019189142772993E-6</v>
      </c>
      <c r="AT51" s="256"/>
      <c r="AU51" s="256"/>
      <c r="AV51" s="256"/>
      <c r="AW51" s="256"/>
      <c r="AX51" s="256"/>
      <c r="AY51" s="256"/>
      <c r="AZ51" s="256"/>
      <c r="BA51" s="256"/>
      <c r="BB51" s="256"/>
      <c r="BC51" s="256"/>
      <c r="BD51" s="256"/>
      <c r="BE51" s="256"/>
      <c r="BF51" s="256"/>
      <c r="BG51" s="256"/>
      <c r="BH51" s="256"/>
      <c r="BI51" s="256"/>
      <c r="BJ51" s="256"/>
      <c r="BK51" s="256"/>
      <c r="BL51" s="256"/>
      <c r="BM51" s="256"/>
      <c r="BN51" s="256"/>
      <c r="BO51" s="256"/>
      <c r="BP51" s="256"/>
      <c r="BQ51" s="256"/>
      <c r="BR51" s="256"/>
      <c r="BS51" s="256"/>
      <c r="BT51" s="256"/>
      <c r="BU51" s="256"/>
      <c r="BV51" s="256"/>
      <c r="BW51" s="256"/>
      <c r="BX51" s="256"/>
      <c r="BY51" s="256"/>
    </row>
    <row r="52" spans="1:78" x14ac:dyDescent="0.2">
      <c r="A52" s="251" t="s">
        <v>165</v>
      </c>
      <c r="B52" s="251" t="s">
        <v>207</v>
      </c>
      <c r="C52" s="251" t="s">
        <v>208</v>
      </c>
      <c r="D52" s="251" t="s">
        <v>151</v>
      </c>
      <c r="E52" s="251" t="str">
        <f>Commodities!C14</f>
        <v>NGAD3</v>
      </c>
      <c r="F52" s="251">
        <v>2010</v>
      </c>
      <c r="G52" s="280">
        <v>1</v>
      </c>
      <c r="H52" s="280"/>
      <c r="I52" s="280"/>
      <c r="J52" s="280"/>
      <c r="K52" s="280"/>
      <c r="N52" s="265">
        <f>Emissions!G110/1000</f>
        <v>5.5391482811698294E-3</v>
      </c>
      <c r="O52" s="265">
        <f>Emissions!H110/1000</f>
        <v>5.5391482811698294E-3</v>
      </c>
      <c r="P52" s="265">
        <f t="shared" ref="P52:U55" si="9">P51</f>
        <v>7.3165000000000003E-4</v>
      </c>
      <c r="Q52" s="265">
        <f t="shared" si="9"/>
        <v>6.9187000000000003E-4</v>
      </c>
      <c r="R52" s="265">
        <f t="shared" si="9"/>
        <v>6.6925999999999997E-4</v>
      </c>
      <c r="S52" s="265">
        <f t="shared" si="9"/>
        <v>4.8229299999999996E-3</v>
      </c>
      <c r="T52" s="265">
        <f t="shared" si="9"/>
        <v>4.5913300000000002E-3</v>
      </c>
      <c r="U52" s="265">
        <f t="shared" si="9"/>
        <v>4.4275499999999997E-3</v>
      </c>
      <c r="V52" s="265">
        <f t="shared" ref="V52:AG55" si="10">V51</f>
        <v>1.509156E-2</v>
      </c>
      <c r="W52" s="265">
        <f t="shared" si="10"/>
        <v>1.298537E-2</v>
      </c>
      <c r="X52" s="265">
        <f t="shared" si="10"/>
        <v>1.214993E-2</v>
      </c>
      <c r="Y52" s="265">
        <f t="shared" si="10"/>
        <v>3.5759000000000002E-4</v>
      </c>
      <c r="Z52" s="265">
        <f t="shared" si="10"/>
        <v>3.2223000000000001E-4</v>
      </c>
      <c r="AA52" s="265">
        <f t="shared" si="10"/>
        <v>2.9514E-4</v>
      </c>
      <c r="AB52" s="265">
        <f t="shared" si="10"/>
        <v>2.7726999999999998E-4</v>
      </c>
      <c r="AC52" s="265">
        <f t="shared" si="10"/>
        <v>2.4601000000000001E-4</v>
      </c>
      <c r="AD52" s="265">
        <f t="shared" si="10"/>
        <v>2.2243999999999999E-4</v>
      </c>
      <c r="AE52" s="265">
        <f t="shared" si="10"/>
        <v>5.4062999999999995E-4</v>
      </c>
      <c r="AF52" s="265">
        <f t="shared" si="10"/>
        <v>4.8401E-4</v>
      </c>
      <c r="AG52" s="265">
        <f t="shared" si="10"/>
        <v>4.8117E-4</v>
      </c>
      <c r="AH52" s="264">
        <f>Emissions!J110</f>
        <v>0.30777942876688902</v>
      </c>
      <c r="AI52" s="264">
        <f>Emissions!K110</f>
        <v>0.26800655378826749</v>
      </c>
      <c r="AJ52" s="264">
        <f>AI52</f>
        <v>0.26800655378826749</v>
      </c>
      <c r="AK52" s="265">
        <f t="shared" ref="AK52:AS55" si="11">AK51</f>
        <v>4.3059000000000002E-5</v>
      </c>
      <c r="AL52" s="265">
        <f t="shared" si="11"/>
        <v>4.3050999999999998E-5</v>
      </c>
      <c r="AM52" s="265">
        <f t="shared" si="11"/>
        <v>4.3032999999999999E-5</v>
      </c>
      <c r="AN52" s="265">
        <f t="shared" si="11"/>
        <v>1.8008454495478929E-5</v>
      </c>
      <c r="AO52" s="265">
        <f t="shared" si="11"/>
        <v>1.5978143652154118E-5</v>
      </c>
      <c r="AP52" s="265">
        <f t="shared" si="11"/>
        <v>1.4447291874253735E-5</v>
      </c>
      <c r="AQ52" s="265">
        <f t="shared" si="11"/>
        <v>4.7390669724944556E-6</v>
      </c>
      <c r="AR52" s="265">
        <f t="shared" si="11"/>
        <v>4.2047746453037157E-6</v>
      </c>
      <c r="AS52" s="265">
        <f t="shared" si="11"/>
        <v>3.8019189142772993E-6</v>
      </c>
      <c r="AT52" s="256"/>
      <c r="AU52" s="256"/>
      <c r="AV52" s="256"/>
      <c r="AW52" s="256"/>
      <c r="AX52" s="256"/>
      <c r="AY52" s="256"/>
      <c r="AZ52" s="256"/>
      <c r="BA52" s="256"/>
      <c r="BB52" s="256"/>
      <c r="BC52" s="256"/>
      <c r="BD52" s="256"/>
      <c r="BE52" s="256"/>
      <c r="BF52" s="256"/>
      <c r="BG52" s="256"/>
      <c r="BH52" s="256"/>
      <c r="BI52" s="256"/>
      <c r="BJ52" s="256"/>
      <c r="BK52" s="256"/>
      <c r="BL52" s="256"/>
      <c r="BM52" s="256"/>
      <c r="BN52" s="256"/>
      <c r="BO52" s="256"/>
      <c r="BP52" s="256"/>
      <c r="BQ52" s="256"/>
      <c r="BR52" s="256"/>
      <c r="BS52" s="256"/>
      <c r="BT52" s="256"/>
      <c r="BU52" s="256"/>
      <c r="BV52" s="256"/>
      <c r="BW52" s="256"/>
      <c r="BX52" s="256"/>
      <c r="BY52" s="256"/>
    </row>
    <row r="53" spans="1:78" x14ac:dyDescent="0.2">
      <c r="A53" s="251" t="s">
        <v>196</v>
      </c>
      <c r="B53" s="251" t="s">
        <v>207</v>
      </c>
      <c r="C53" s="251" t="s">
        <v>208</v>
      </c>
      <c r="D53" s="251" t="s">
        <v>151</v>
      </c>
      <c r="E53" s="251" t="str">
        <f>Commodities!C15</f>
        <v>NGAD4</v>
      </c>
      <c r="F53" s="251">
        <v>2010</v>
      </c>
      <c r="G53" s="280">
        <v>1</v>
      </c>
      <c r="H53" s="280"/>
      <c r="I53" s="280"/>
      <c r="J53" s="280"/>
      <c r="K53" s="280"/>
      <c r="N53" s="265">
        <f>Emissions!G111/1000</f>
        <v>5.4616638346842378E-3</v>
      </c>
      <c r="O53" s="265">
        <f>Emissions!H111/1000</f>
        <v>5.4616638346842378E-3</v>
      </c>
      <c r="P53" s="265">
        <f t="shared" si="9"/>
        <v>7.3165000000000003E-4</v>
      </c>
      <c r="Q53" s="265">
        <f t="shared" si="9"/>
        <v>6.9187000000000003E-4</v>
      </c>
      <c r="R53" s="265">
        <f t="shared" si="9"/>
        <v>6.6925999999999997E-4</v>
      </c>
      <c r="S53" s="265">
        <f t="shared" si="9"/>
        <v>4.8229299999999996E-3</v>
      </c>
      <c r="T53" s="265">
        <f t="shared" si="9"/>
        <v>4.5913300000000002E-3</v>
      </c>
      <c r="U53" s="265">
        <f t="shared" si="9"/>
        <v>4.4275499999999997E-3</v>
      </c>
      <c r="V53" s="265">
        <f t="shared" si="10"/>
        <v>1.509156E-2</v>
      </c>
      <c r="W53" s="265">
        <f t="shared" si="10"/>
        <v>1.298537E-2</v>
      </c>
      <c r="X53" s="265">
        <f t="shared" si="10"/>
        <v>1.214993E-2</v>
      </c>
      <c r="Y53" s="265">
        <f t="shared" si="10"/>
        <v>3.5759000000000002E-4</v>
      </c>
      <c r="Z53" s="265">
        <f t="shared" si="10"/>
        <v>3.2223000000000001E-4</v>
      </c>
      <c r="AA53" s="265">
        <f t="shared" si="10"/>
        <v>2.9514E-4</v>
      </c>
      <c r="AB53" s="265">
        <f t="shared" si="10"/>
        <v>2.7726999999999998E-4</v>
      </c>
      <c r="AC53" s="265">
        <f t="shared" si="10"/>
        <v>2.4601000000000001E-4</v>
      </c>
      <c r="AD53" s="265">
        <f t="shared" si="10"/>
        <v>2.2243999999999999E-4</v>
      </c>
      <c r="AE53" s="265">
        <f t="shared" si="10"/>
        <v>5.4062999999999995E-4</v>
      </c>
      <c r="AF53" s="265">
        <f t="shared" si="10"/>
        <v>4.8401E-4</v>
      </c>
      <c r="AG53" s="265">
        <f t="shared" si="10"/>
        <v>4.8117E-4</v>
      </c>
      <c r="AH53" s="264">
        <f>Emissions!J111</f>
        <v>0.3241028188265207</v>
      </c>
      <c r="AI53" s="264">
        <f>Emissions!K111</f>
        <v>0.30499246291072407</v>
      </c>
      <c r="AJ53" s="264">
        <f>AI53</f>
        <v>0.30499246291072407</v>
      </c>
      <c r="AK53" s="265">
        <f t="shared" si="11"/>
        <v>4.3059000000000002E-5</v>
      </c>
      <c r="AL53" s="265">
        <f t="shared" si="11"/>
        <v>4.3050999999999998E-5</v>
      </c>
      <c r="AM53" s="265">
        <f t="shared" si="11"/>
        <v>4.3032999999999999E-5</v>
      </c>
      <c r="AN53" s="265">
        <f t="shared" si="11"/>
        <v>1.8008454495478929E-5</v>
      </c>
      <c r="AO53" s="265">
        <f t="shared" si="11"/>
        <v>1.5978143652154118E-5</v>
      </c>
      <c r="AP53" s="265">
        <f t="shared" si="11"/>
        <v>1.4447291874253735E-5</v>
      </c>
      <c r="AQ53" s="265">
        <f t="shared" si="11"/>
        <v>4.7390669724944556E-6</v>
      </c>
      <c r="AR53" s="265">
        <f t="shared" si="11"/>
        <v>4.2047746453037157E-6</v>
      </c>
      <c r="AS53" s="265">
        <f t="shared" si="11"/>
        <v>3.8019189142772993E-6</v>
      </c>
      <c r="AT53" s="256"/>
      <c r="AU53" s="256"/>
      <c r="AV53" s="256"/>
      <c r="AW53" s="256"/>
      <c r="AX53" s="256"/>
      <c r="AY53" s="256"/>
      <c r="AZ53" s="256"/>
      <c r="BA53" s="256"/>
      <c r="BB53" s="256"/>
      <c r="BC53" s="256"/>
      <c r="BD53" s="256"/>
      <c r="BE53" s="256"/>
      <c r="BF53" s="256"/>
      <c r="BG53" s="256"/>
      <c r="BH53" s="256"/>
      <c r="BI53" s="256"/>
      <c r="BJ53" s="256"/>
      <c r="BK53" s="256"/>
      <c r="BL53" s="256"/>
      <c r="BM53" s="256"/>
      <c r="BN53" s="256"/>
      <c r="BO53" s="256"/>
      <c r="BP53" s="256"/>
      <c r="BQ53" s="256"/>
      <c r="BR53" s="256"/>
      <c r="BS53" s="256"/>
      <c r="BT53" s="256"/>
      <c r="BU53" s="256"/>
      <c r="BV53" s="256"/>
      <c r="BW53" s="256"/>
      <c r="BX53" s="256"/>
      <c r="BY53" s="256"/>
    </row>
    <row r="54" spans="1:78" x14ac:dyDescent="0.2">
      <c r="A54" s="251" t="s">
        <v>195</v>
      </c>
      <c r="B54" s="251" t="s">
        <v>207</v>
      </c>
      <c r="C54" s="251" t="s">
        <v>208</v>
      </c>
      <c r="D54" s="251" t="s">
        <v>151</v>
      </c>
      <c r="E54" s="251" t="str">
        <f>Commodities!C16</f>
        <v>NGAD5</v>
      </c>
      <c r="F54" s="251">
        <v>2010</v>
      </c>
      <c r="G54" s="280">
        <v>1</v>
      </c>
      <c r="H54" s="280"/>
      <c r="I54" s="280"/>
      <c r="J54" s="280"/>
      <c r="K54" s="280"/>
      <c r="N54" s="265">
        <f>Emissions!G112/1000</f>
        <v>5.52096774078829E-3</v>
      </c>
      <c r="O54" s="265">
        <f>Emissions!H112/1000</f>
        <v>5.52096774078829E-3</v>
      </c>
      <c r="P54" s="265">
        <f t="shared" si="9"/>
        <v>7.3165000000000003E-4</v>
      </c>
      <c r="Q54" s="265">
        <f t="shared" si="9"/>
        <v>6.9187000000000003E-4</v>
      </c>
      <c r="R54" s="265">
        <f t="shared" si="9"/>
        <v>6.6925999999999997E-4</v>
      </c>
      <c r="S54" s="265">
        <f t="shared" si="9"/>
        <v>4.8229299999999996E-3</v>
      </c>
      <c r="T54" s="265">
        <f t="shared" si="9"/>
        <v>4.5913300000000002E-3</v>
      </c>
      <c r="U54" s="265">
        <f t="shared" si="9"/>
        <v>4.4275499999999997E-3</v>
      </c>
      <c r="V54" s="265">
        <f t="shared" si="10"/>
        <v>1.509156E-2</v>
      </c>
      <c r="W54" s="265">
        <f t="shared" si="10"/>
        <v>1.298537E-2</v>
      </c>
      <c r="X54" s="265">
        <f t="shared" si="10"/>
        <v>1.214993E-2</v>
      </c>
      <c r="Y54" s="265">
        <f t="shared" si="10"/>
        <v>3.5759000000000002E-4</v>
      </c>
      <c r="Z54" s="265">
        <f t="shared" si="10"/>
        <v>3.2223000000000001E-4</v>
      </c>
      <c r="AA54" s="265">
        <f t="shared" si="10"/>
        <v>2.9514E-4</v>
      </c>
      <c r="AB54" s="265">
        <f t="shared" si="10"/>
        <v>2.7726999999999998E-4</v>
      </c>
      <c r="AC54" s="265">
        <f t="shared" si="10"/>
        <v>2.4601000000000001E-4</v>
      </c>
      <c r="AD54" s="265">
        <f t="shared" si="10"/>
        <v>2.2243999999999999E-4</v>
      </c>
      <c r="AE54" s="265">
        <f t="shared" si="10"/>
        <v>5.4062999999999995E-4</v>
      </c>
      <c r="AF54" s="265">
        <f t="shared" si="10"/>
        <v>4.8401E-4</v>
      </c>
      <c r="AG54" s="265">
        <f t="shared" si="10"/>
        <v>4.8117E-4</v>
      </c>
      <c r="AH54" s="264">
        <f>Emissions!J112</f>
        <v>0.31160946260726696</v>
      </c>
      <c r="AI54" s="264">
        <f>Emissions!K112</f>
        <v>0.27668473173038971</v>
      </c>
      <c r="AJ54" s="264">
        <f>AI54</f>
        <v>0.27668473173038971</v>
      </c>
      <c r="AK54" s="265">
        <f t="shared" si="11"/>
        <v>4.3059000000000002E-5</v>
      </c>
      <c r="AL54" s="265">
        <f t="shared" si="11"/>
        <v>4.3050999999999998E-5</v>
      </c>
      <c r="AM54" s="265">
        <f t="shared" si="11"/>
        <v>4.3032999999999999E-5</v>
      </c>
      <c r="AN54" s="265">
        <f t="shared" si="11"/>
        <v>1.8008454495478929E-5</v>
      </c>
      <c r="AO54" s="265">
        <f t="shared" si="11"/>
        <v>1.5978143652154118E-5</v>
      </c>
      <c r="AP54" s="265">
        <f t="shared" si="11"/>
        <v>1.4447291874253735E-5</v>
      </c>
      <c r="AQ54" s="265">
        <f t="shared" si="11"/>
        <v>4.7390669724944556E-6</v>
      </c>
      <c r="AR54" s="265">
        <f t="shared" si="11"/>
        <v>4.2047746453037157E-6</v>
      </c>
      <c r="AS54" s="265">
        <f t="shared" si="11"/>
        <v>3.8019189142772993E-6</v>
      </c>
      <c r="AT54" s="256"/>
      <c r="AU54" s="256"/>
      <c r="AV54" s="256"/>
      <c r="AW54" s="256"/>
      <c r="AX54" s="256"/>
      <c r="AY54" s="256"/>
      <c r="AZ54" s="256"/>
      <c r="BA54" s="256"/>
      <c r="BB54" s="256"/>
      <c r="BC54" s="256"/>
      <c r="BD54" s="256"/>
      <c r="BE54" s="256"/>
      <c r="BF54" s="256"/>
      <c r="BG54" s="256"/>
      <c r="BH54" s="256"/>
      <c r="BI54" s="256"/>
      <c r="BJ54" s="256"/>
      <c r="BK54" s="256"/>
      <c r="BL54" s="256"/>
      <c r="BM54" s="256"/>
      <c r="BN54" s="256"/>
      <c r="BO54" s="256"/>
      <c r="BP54" s="256"/>
      <c r="BQ54" s="256"/>
      <c r="BR54" s="256"/>
      <c r="BS54" s="256"/>
      <c r="BT54" s="256"/>
      <c r="BU54" s="256"/>
      <c r="BV54" s="256"/>
      <c r="BW54" s="256"/>
      <c r="BX54" s="256"/>
      <c r="BY54" s="256"/>
    </row>
    <row r="55" spans="1:78" x14ac:dyDescent="0.2">
      <c r="A55" s="251" t="s">
        <v>197</v>
      </c>
      <c r="B55" s="251" t="s">
        <v>207</v>
      </c>
      <c r="C55" s="251" t="s">
        <v>208</v>
      </c>
      <c r="D55" s="251" t="s">
        <v>151</v>
      </c>
      <c r="E55" s="251" t="str">
        <f>Commodities!C17</f>
        <v>NGAD6</v>
      </c>
      <c r="F55" s="251">
        <v>2010</v>
      </c>
      <c r="G55" s="280">
        <v>1</v>
      </c>
      <c r="H55" s="280"/>
      <c r="I55" s="280"/>
      <c r="J55" s="280"/>
      <c r="K55" s="280"/>
      <c r="N55" s="265">
        <f>Emissions!G113/1000</f>
        <v>5.3899999999999998E-3</v>
      </c>
      <c r="O55" s="265">
        <f>Emissions!H113/1000</f>
        <v>5.3899999999999998E-3</v>
      </c>
      <c r="P55" s="265">
        <f t="shared" si="9"/>
        <v>7.3165000000000003E-4</v>
      </c>
      <c r="Q55" s="265">
        <f t="shared" si="9"/>
        <v>6.9187000000000003E-4</v>
      </c>
      <c r="R55" s="265">
        <f t="shared" si="9"/>
        <v>6.6925999999999997E-4</v>
      </c>
      <c r="S55" s="265">
        <f t="shared" si="9"/>
        <v>4.8229299999999996E-3</v>
      </c>
      <c r="T55" s="265">
        <f t="shared" si="9"/>
        <v>4.5913300000000002E-3</v>
      </c>
      <c r="U55" s="265">
        <f t="shared" si="9"/>
        <v>4.4275499999999997E-3</v>
      </c>
      <c r="V55" s="265">
        <f t="shared" si="10"/>
        <v>1.509156E-2</v>
      </c>
      <c r="W55" s="265">
        <f t="shared" si="10"/>
        <v>1.298537E-2</v>
      </c>
      <c r="X55" s="265">
        <f t="shared" si="10"/>
        <v>1.214993E-2</v>
      </c>
      <c r="Y55" s="265">
        <f t="shared" si="10"/>
        <v>3.5759000000000002E-4</v>
      </c>
      <c r="Z55" s="265">
        <f t="shared" si="10"/>
        <v>3.2223000000000001E-4</v>
      </c>
      <c r="AA55" s="265">
        <f t="shared" si="10"/>
        <v>2.9514E-4</v>
      </c>
      <c r="AB55" s="265">
        <f t="shared" si="10"/>
        <v>2.7726999999999998E-4</v>
      </c>
      <c r="AC55" s="265">
        <f t="shared" si="10"/>
        <v>2.4601000000000001E-4</v>
      </c>
      <c r="AD55" s="265">
        <f t="shared" si="10"/>
        <v>2.2243999999999999E-4</v>
      </c>
      <c r="AE55" s="265">
        <f t="shared" si="10"/>
        <v>5.4062999999999995E-4</v>
      </c>
      <c r="AF55" s="265">
        <f t="shared" si="10"/>
        <v>4.8401E-4</v>
      </c>
      <c r="AG55" s="265">
        <f t="shared" si="10"/>
        <v>4.8117E-4</v>
      </c>
      <c r="AH55" s="264">
        <f>Emissions!J113</f>
        <v>0.3392</v>
      </c>
      <c r="AI55" s="264">
        <f>Emissions!K113</f>
        <v>0.3392</v>
      </c>
      <c r="AJ55" s="264">
        <f>AI55</f>
        <v>0.3392</v>
      </c>
      <c r="AK55" s="265">
        <f t="shared" si="11"/>
        <v>4.3059000000000002E-5</v>
      </c>
      <c r="AL55" s="265">
        <f t="shared" si="11"/>
        <v>4.3050999999999998E-5</v>
      </c>
      <c r="AM55" s="265">
        <f t="shared" si="11"/>
        <v>4.3032999999999999E-5</v>
      </c>
      <c r="AN55" s="265">
        <f t="shared" si="11"/>
        <v>1.8008454495478929E-5</v>
      </c>
      <c r="AO55" s="265">
        <f t="shared" si="11"/>
        <v>1.5978143652154118E-5</v>
      </c>
      <c r="AP55" s="265">
        <f t="shared" si="11"/>
        <v>1.4447291874253735E-5</v>
      </c>
      <c r="AQ55" s="265">
        <f t="shared" si="11"/>
        <v>4.7390669724944556E-6</v>
      </c>
      <c r="AR55" s="265">
        <f t="shared" si="11"/>
        <v>4.2047746453037157E-6</v>
      </c>
      <c r="AS55" s="265">
        <f t="shared" si="11"/>
        <v>3.8019189142772993E-6</v>
      </c>
      <c r="AT55" s="256"/>
      <c r="AU55" s="256"/>
      <c r="AV55" s="256"/>
      <c r="AW55" s="256"/>
      <c r="AX55" s="256"/>
      <c r="AY55" s="256"/>
      <c r="AZ55" s="256"/>
      <c r="BA55" s="256"/>
      <c r="BB55" s="256"/>
      <c r="BC55" s="256"/>
      <c r="BD55" s="256"/>
      <c r="BE55" s="256"/>
      <c r="BF55" s="256"/>
      <c r="BG55" s="256"/>
      <c r="BH55" s="256"/>
      <c r="BI55" s="256"/>
      <c r="BJ55" s="256"/>
      <c r="BK55" s="256"/>
      <c r="BL55" s="256"/>
      <c r="BM55" s="256"/>
      <c r="BN55" s="256"/>
      <c r="BO55" s="256"/>
      <c r="BP55" s="256"/>
      <c r="BQ55" s="256"/>
      <c r="BR55" s="256"/>
      <c r="BS55" s="256"/>
      <c r="BT55" s="256"/>
      <c r="BU55" s="256"/>
      <c r="BV55" s="256"/>
      <c r="BW55" s="256"/>
      <c r="BX55" s="256"/>
      <c r="BY55" s="256"/>
    </row>
    <row r="56" spans="1:78" x14ac:dyDescent="0.2">
      <c r="A56" s="251" t="s">
        <v>231</v>
      </c>
      <c r="B56" s="251"/>
      <c r="C56" s="251"/>
      <c r="D56" s="251"/>
      <c r="E56" s="251"/>
      <c r="F56" s="251"/>
      <c r="G56" s="251"/>
      <c r="H56" s="280"/>
      <c r="I56" s="280"/>
      <c r="J56" s="280"/>
      <c r="K56" s="280"/>
      <c r="BZ56" s="257"/>
    </row>
    <row r="57" spans="1:78" x14ac:dyDescent="0.2">
      <c r="A57" s="251" t="s">
        <v>231</v>
      </c>
      <c r="B57" s="251"/>
      <c r="C57" s="251"/>
      <c r="D57" s="251"/>
      <c r="E57" s="251"/>
      <c r="F57" s="251"/>
      <c r="G57" s="251"/>
      <c r="H57" s="280"/>
      <c r="I57" s="280"/>
      <c r="J57" s="280"/>
      <c r="K57" s="280"/>
      <c r="BZ57" s="257"/>
    </row>
    <row r="58" spans="1:78" x14ac:dyDescent="0.2">
      <c r="A58" s="240"/>
      <c r="B58" s="240"/>
      <c r="C58" s="240"/>
      <c r="D58" s="240"/>
      <c r="E58" s="240"/>
      <c r="F58" s="240"/>
      <c r="G58" s="240"/>
      <c r="BZ58" s="257"/>
    </row>
    <row r="59" spans="1:78" x14ac:dyDescent="0.2">
      <c r="A59" s="240"/>
      <c r="B59" s="240"/>
      <c r="C59" s="240"/>
      <c r="D59" s="240"/>
      <c r="E59" s="240"/>
      <c r="F59" s="240"/>
      <c r="G59" s="240"/>
      <c r="BZ59" s="257"/>
    </row>
    <row r="60" spans="1:78" ht="17.25" customHeight="1" x14ac:dyDescent="0.2">
      <c r="D60" s="255" t="s">
        <v>1596</v>
      </c>
      <c r="E60" s="258"/>
      <c r="F60" s="258"/>
      <c r="G60" s="258"/>
      <c r="J60" s="258"/>
      <c r="K60" s="258"/>
      <c r="L60" s="258"/>
      <c r="M60" s="258"/>
      <c r="N60" s="258"/>
      <c r="O60" s="258"/>
      <c r="P60" s="258"/>
      <c r="Q60" s="258"/>
      <c r="V60" s="258"/>
      <c r="W60" s="258"/>
      <c r="AS60" s="262"/>
      <c r="AT60" s="262"/>
      <c r="BR60" s="258"/>
      <c r="BS60" s="258"/>
      <c r="BT60" s="258"/>
      <c r="BU60" s="258"/>
      <c r="BV60" s="258"/>
      <c r="BY60" s="256"/>
    </row>
    <row r="61" spans="1:78" ht="15.75" customHeight="1" x14ac:dyDescent="0.2">
      <c r="A61" s="244" t="s">
        <v>47</v>
      </c>
      <c r="B61" s="244" t="s">
        <v>130</v>
      </c>
      <c r="C61" s="244" t="s">
        <v>131</v>
      </c>
      <c r="D61" s="244" t="s">
        <v>134</v>
      </c>
      <c r="E61" s="244" t="s">
        <v>1601</v>
      </c>
      <c r="F61" s="244" t="s">
        <v>1602</v>
      </c>
      <c r="G61" s="244" t="s">
        <v>1603</v>
      </c>
      <c r="H61" s="244" t="s">
        <v>1604</v>
      </c>
      <c r="I61" s="244" t="s">
        <v>1605</v>
      </c>
      <c r="J61" s="244" t="s">
        <v>1606</v>
      </c>
      <c r="K61" s="244" t="s">
        <v>1607</v>
      </c>
      <c r="L61" s="244" t="s">
        <v>1608</v>
      </c>
      <c r="M61" s="244" t="s">
        <v>1609</v>
      </c>
      <c r="N61" s="244" t="s">
        <v>1610</v>
      </c>
      <c r="O61" s="244" t="s">
        <v>1611</v>
      </c>
      <c r="P61" s="244" t="s">
        <v>1691</v>
      </c>
      <c r="Q61" s="244" t="s">
        <v>1692</v>
      </c>
      <c r="R61" s="244" t="s">
        <v>1693</v>
      </c>
      <c r="S61" s="244" t="s">
        <v>1694</v>
      </c>
      <c r="T61" s="244" t="s">
        <v>1695</v>
      </c>
      <c r="U61" s="256"/>
      <c r="V61" s="273" t="s">
        <v>1613</v>
      </c>
      <c r="W61" s="273" t="s">
        <v>1614</v>
      </c>
      <c r="X61" s="273" t="s">
        <v>1615</v>
      </c>
      <c r="Y61" s="273" t="s">
        <v>1616</v>
      </c>
      <c r="Z61" s="273" t="s">
        <v>1617</v>
      </c>
      <c r="AA61" s="273" t="s">
        <v>1618</v>
      </c>
      <c r="AB61" s="256"/>
      <c r="AC61" s="256"/>
      <c r="AD61" s="256"/>
      <c r="AE61" s="256"/>
      <c r="AF61" s="256"/>
      <c r="AG61" s="256"/>
      <c r="AH61" s="256"/>
      <c r="AI61" s="256"/>
      <c r="AJ61" s="256"/>
      <c r="AK61" s="256"/>
      <c r="AL61" s="256"/>
      <c r="AM61" s="256"/>
      <c r="AN61" s="256"/>
      <c r="AO61" s="256"/>
      <c r="AP61" s="256"/>
      <c r="AQ61" s="256"/>
      <c r="AR61" s="256"/>
      <c r="AS61" s="256"/>
      <c r="AT61" s="256"/>
      <c r="AU61" s="256"/>
      <c r="AV61" s="256"/>
      <c r="AW61" s="256"/>
      <c r="AX61" s="256"/>
      <c r="AY61" s="256"/>
      <c r="AZ61" s="256"/>
      <c r="BA61" s="256"/>
      <c r="BB61" s="256"/>
      <c r="BC61" s="256"/>
      <c r="BD61" s="256"/>
      <c r="BE61" s="256"/>
      <c r="BF61" s="256"/>
      <c r="BG61" s="256"/>
      <c r="BH61" s="256"/>
      <c r="BI61" s="256"/>
      <c r="BJ61" s="256"/>
      <c r="BK61" s="256"/>
      <c r="BL61" s="256"/>
      <c r="BM61" s="256"/>
      <c r="BN61" s="256"/>
      <c r="BO61" s="256"/>
      <c r="BP61" s="256"/>
      <c r="BQ61" s="256"/>
      <c r="BR61" s="256"/>
      <c r="BS61" s="256"/>
      <c r="BT61" s="256"/>
      <c r="BU61" s="256"/>
      <c r="BV61" s="256"/>
      <c r="BW61" s="256"/>
      <c r="BX61" s="256"/>
      <c r="BY61" s="256"/>
    </row>
    <row r="62" spans="1:78" x14ac:dyDescent="0.2">
      <c r="A62" s="248" t="s">
        <v>229</v>
      </c>
      <c r="B62" s="249"/>
      <c r="C62" s="249"/>
      <c r="D62" s="249"/>
      <c r="E62" s="249"/>
      <c r="F62" s="289"/>
      <c r="G62" s="289"/>
      <c r="H62" s="289"/>
      <c r="I62" s="289"/>
      <c r="J62" s="289"/>
      <c r="K62" s="289"/>
      <c r="L62" s="289"/>
      <c r="M62" s="289"/>
      <c r="N62" s="289"/>
      <c r="O62" s="289"/>
      <c r="P62" s="277"/>
      <c r="Q62" s="277"/>
      <c r="R62" s="277"/>
      <c r="S62" s="277"/>
      <c r="T62" s="277"/>
      <c r="U62" s="256"/>
      <c r="V62" s="277"/>
      <c r="W62" s="277"/>
      <c r="X62" s="277"/>
      <c r="Y62" s="277"/>
      <c r="Z62" s="277"/>
      <c r="AA62" s="277"/>
      <c r="AB62" s="256"/>
      <c r="AC62" s="256"/>
      <c r="AD62" s="256"/>
      <c r="AE62" s="256"/>
      <c r="AF62" s="256"/>
      <c r="AG62" s="256"/>
      <c r="AH62" s="256"/>
      <c r="AI62" s="256"/>
      <c r="AJ62" s="256"/>
      <c r="AK62" s="256"/>
      <c r="AL62" s="256"/>
      <c r="AM62" s="256"/>
      <c r="AN62" s="256"/>
      <c r="AO62" s="256"/>
      <c r="AP62" s="256"/>
      <c r="AQ62" s="256"/>
      <c r="AR62" s="256"/>
      <c r="AS62" s="256"/>
      <c r="AT62" s="256"/>
      <c r="AU62" s="256"/>
      <c r="AV62" s="256"/>
      <c r="AW62" s="256"/>
      <c r="AX62" s="256"/>
      <c r="AY62" s="256"/>
      <c r="AZ62" s="256"/>
      <c r="BA62" s="256"/>
      <c r="BB62" s="256"/>
      <c r="BC62" s="256"/>
      <c r="BD62" s="256"/>
      <c r="BE62" s="256"/>
      <c r="BF62" s="256"/>
      <c r="BG62" s="256"/>
      <c r="BH62" s="256"/>
      <c r="BI62" s="256"/>
      <c r="BJ62" s="256"/>
      <c r="BK62" s="256"/>
      <c r="BL62" s="256"/>
      <c r="BM62" s="256"/>
      <c r="BN62" s="256"/>
      <c r="BO62" s="256"/>
      <c r="BP62" s="256"/>
      <c r="BQ62" s="256"/>
      <c r="BR62" s="256"/>
      <c r="BS62" s="256"/>
      <c r="BT62" s="256"/>
      <c r="BU62" s="256"/>
      <c r="BV62" s="256"/>
      <c r="BW62" s="256"/>
      <c r="BX62" s="256"/>
      <c r="BY62" s="256"/>
    </row>
    <row r="63" spans="1:78" x14ac:dyDescent="0.2">
      <c r="A63" s="251" t="s">
        <v>145</v>
      </c>
      <c r="B63" s="251" t="str">
        <f>Technologies!C30</f>
        <v>IMPNGALA</v>
      </c>
      <c r="C63" s="251" t="str">
        <f>Technologies!D30</f>
        <v>Imported LNG - Step A</v>
      </c>
      <c r="D63" s="251" t="str">
        <f>Commodities!$C$27</f>
        <v>NGAL</v>
      </c>
      <c r="E63" s="251">
        <v>2010</v>
      </c>
      <c r="F63" s="290">
        <f>F65*'Domestic NG Prices'!$N$19</f>
        <v>4.0308210963709028</v>
      </c>
      <c r="G63" s="290">
        <f>G65*'Domestic NG Prices'!$N$19</f>
        <v>3.8312125424796131</v>
      </c>
      <c r="H63" s="290">
        <f>H65*'Domestic NG Prices'!$N$19</f>
        <v>4.4927204763227087</v>
      </c>
      <c r="I63" s="290">
        <f>I65*'Domestic NG Prices'!$N$19</f>
        <v>4.9303750288803219</v>
      </c>
      <c r="J63" s="290">
        <f>J65*'Domestic NG Prices'!$N$19</f>
        <v>5.4268445659468423</v>
      </c>
      <c r="K63" s="290">
        <f>K65*'Domestic NG Prices'!$N$19</f>
        <v>6.1015640656927816</v>
      </c>
      <c r="L63" s="290">
        <f>L65*'Domestic NG Prices'!$N$19</f>
        <v>6.735712937058417</v>
      </c>
      <c r="M63" s="290">
        <f>M65*'Domestic NG Prices'!$N$19</f>
        <v>7.474302422117117</v>
      </c>
      <c r="N63" s="290">
        <f>N65*'Domestic NG Prices'!$N$19</f>
        <v>8.2938802795332514</v>
      </c>
      <c r="O63" s="290">
        <f>O65*'Domestic NG Prices'!$N$19</f>
        <v>9.2033271075143439</v>
      </c>
      <c r="P63" s="291">
        <f t="shared" ref="P63:P68" si="12">Q63*0.9</f>
        <v>143.62519530240002</v>
      </c>
      <c r="Q63" s="292">
        <f>'AEO NG Imports'!AB16</f>
        <v>159.583550336</v>
      </c>
      <c r="R63" s="292">
        <f>'AEO NG Imports'!AC16</f>
        <v>16.799403474559998</v>
      </c>
      <c r="S63" s="293">
        <v>0</v>
      </c>
      <c r="T63" s="293">
        <f>S63</f>
        <v>0</v>
      </c>
      <c r="U63" s="256"/>
      <c r="V63" s="280"/>
      <c r="W63" s="280"/>
      <c r="X63" s="280"/>
      <c r="Y63" s="280"/>
      <c r="Z63" s="280"/>
      <c r="AA63" s="280"/>
      <c r="AB63" s="256"/>
      <c r="AC63" s="256"/>
      <c r="AD63" s="256"/>
      <c r="AE63" s="256"/>
      <c r="AF63" s="256"/>
      <c r="AG63" s="256"/>
      <c r="AH63" s="256"/>
      <c r="AI63" s="256"/>
      <c r="AJ63" s="256"/>
      <c r="AK63" s="256"/>
      <c r="AL63" s="256"/>
      <c r="AM63" s="256"/>
      <c r="AN63" s="256"/>
      <c r="AO63" s="256"/>
      <c r="AP63" s="256"/>
      <c r="AQ63" s="256"/>
      <c r="AR63" s="256"/>
      <c r="AS63" s="256"/>
      <c r="AT63" s="256"/>
      <c r="AU63" s="256"/>
      <c r="AV63" s="256"/>
      <c r="AW63" s="256"/>
      <c r="AX63" s="256"/>
      <c r="AY63" s="256"/>
      <c r="AZ63" s="256"/>
      <c r="BA63" s="256"/>
      <c r="BB63" s="256"/>
      <c r="BC63" s="256"/>
      <c r="BD63" s="256"/>
      <c r="BE63" s="256"/>
      <c r="BF63" s="256"/>
      <c r="BG63" s="256"/>
      <c r="BH63" s="256"/>
      <c r="BI63" s="256"/>
      <c r="BJ63" s="256"/>
      <c r="BK63" s="256"/>
      <c r="BL63" s="256"/>
      <c r="BM63" s="256"/>
      <c r="BN63" s="256"/>
      <c r="BO63" s="256"/>
      <c r="BP63" s="256"/>
      <c r="BQ63" s="256"/>
      <c r="BR63" s="256"/>
      <c r="BS63" s="256"/>
      <c r="BT63" s="256"/>
      <c r="BU63" s="256"/>
      <c r="BV63" s="256"/>
      <c r="BW63" s="256"/>
      <c r="BX63" s="256"/>
      <c r="BY63" s="256"/>
    </row>
    <row r="64" spans="1:78" x14ac:dyDescent="0.2">
      <c r="A64" s="251" t="s">
        <v>145</v>
      </c>
      <c r="B64" s="251" t="str">
        <f>Technologies!C31</f>
        <v>IMPNGALB</v>
      </c>
      <c r="C64" s="251" t="str">
        <f>Technologies!D31</f>
        <v>Imported LNG - Step B</v>
      </c>
      <c r="D64" s="251" t="str">
        <f>Commodities!$C$27</f>
        <v>NGAL</v>
      </c>
      <c r="E64" s="251">
        <v>2010</v>
      </c>
      <c r="F64" s="290">
        <f>F65*'Domestic NG Prices'!$N$20</f>
        <v>4.3514545926731332</v>
      </c>
      <c r="G64" s="290">
        <f>G65*'Domestic NG Prices'!$N$20</f>
        <v>4.1359680856313998</v>
      </c>
      <c r="H64" s="290">
        <f>H65*'Domestic NG Prices'!$N$20</f>
        <v>4.8500959687574694</v>
      </c>
      <c r="I64" s="290">
        <f>I65*'Domestic NG Prices'!$N$20</f>
        <v>5.3225639516321657</v>
      </c>
      <c r="J64" s="290">
        <f>J65*'Domestic NG Prices'!$N$20</f>
        <v>5.858525383692613</v>
      </c>
      <c r="K64" s="290">
        <f>K65*'Domestic NG Prices'!$N$20</f>
        <v>6.586915752736525</v>
      </c>
      <c r="L64" s="290">
        <f>L65*'Domestic NG Prices'!$N$20</f>
        <v>7.271508284324427</v>
      </c>
      <c r="M64" s="290">
        <f>M65*'Domestic NG Prices'!$N$20</f>
        <v>8.0688492056946153</v>
      </c>
      <c r="N64" s="290">
        <f>N65*'Domestic NG Prices'!$N$20</f>
        <v>8.9536207563143062</v>
      </c>
      <c r="O64" s="290">
        <f>O65*'Domestic NG Prices'!$N$20</f>
        <v>9.9354099456120739</v>
      </c>
      <c r="P64" s="291">
        <f t="shared" si="12"/>
        <v>107.71889647679997</v>
      </c>
      <c r="Q64" s="292">
        <f>'AEO NG Imports'!AB17</f>
        <v>119.68766275199997</v>
      </c>
      <c r="R64" s="292">
        <f>'AEO NG Imports'!AC17</f>
        <v>12.599552605919996</v>
      </c>
      <c r="S64" s="293">
        <v>0</v>
      </c>
      <c r="T64" s="293">
        <f t="shared" ref="T64:T65" si="13">S64</f>
        <v>0</v>
      </c>
      <c r="U64" s="256"/>
      <c r="V64" s="280"/>
      <c r="W64" s="280"/>
      <c r="X64" s="280"/>
      <c r="Y64" s="280"/>
      <c r="Z64" s="280"/>
      <c r="AA64" s="280"/>
      <c r="AB64" s="256"/>
      <c r="AC64" s="256"/>
      <c r="AD64" s="256"/>
      <c r="AE64" s="256"/>
      <c r="AF64" s="256"/>
      <c r="AG64" s="256"/>
      <c r="AH64" s="256"/>
      <c r="AI64" s="256"/>
      <c r="AJ64" s="256"/>
      <c r="AK64" s="256"/>
      <c r="AL64" s="256"/>
      <c r="AM64" s="256"/>
      <c r="AN64" s="256"/>
      <c r="AO64" s="256"/>
      <c r="AP64" s="256"/>
      <c r="AQ64" s="256"/>
      <c r="AR64" s="256"/>
      <c r="AS64" s="256"/>
      <c r="AT64" s="256"/>
      <c r="AU64" s="256"/>
      <c r="AV64" s="256"/>
      <c r="AW64" s="256"/>
      <c r="AX64" s="256"/>
      <c r="AY64" s="256"/>
      <c r="AZ64" s="256"/>
      <c r="BA64" s="256"/>
      <c r="BB64" s="256"/>
      <c r="BC64" s="256"/>
      <c r="BD64" s="256"/>
      <c r="BE64" s="256"/>
      <c r="BF64" s="256"/>
      <c r="BG64" s="256"/>
      <c r="BH64" s="256"/>
      <c r="BI64" s="256"/>
      <c r="BJ64" s="256"/>
      <c r="BK64" s="256"/>
      <c r="BL64" s="256"/>
      <c r="BM64" s="256"/>
      <c r="BN64" s="256"/>
      <c r="BO64" s="256"/>
      <c r="BP64" s="256"/>
      <c r="BQ64" s="256"/>
      <c r="BR64" s="256"/>
      <c r="BS64" s="256"/>
      <c r="BT64" s="256"/>
      <c r="BU64" s="256"/>
      <c r="BV64" s="256"/>
      <c r="BW64" s="256"/>
      <c r="BX64" s="256"/>
      <c r="BY64" s="256"/>
    </row>
    <row r="65" spans="1:77" x14ac:dyDescent="0.2">
      <c r="A65" s="251" t="s">
        <v>145</v>
      </c>
      <c r="B65" s="251" t="str">
        <f>Technologies!C32</f>
        <v>IMPNGALC</v>
      </c>
      <c r="C65" s="251" t="str">
        <f>Technologies!D32</f>
        <v>Imported LNG - Step C</v>
      </c>
      <c r="D65" s="251" t="str">
        <f>Commodities!$C$27</f>
        <v>NGAL</v>
      </c>
      <c r="E65" s="251">
        <v>2010</v>
      </c>
      <c r="F65" s="294">
        <f>'AEO NG Imports'!L29*'Domestic NG Prices'!$P$27</f>
        <v>4.5804785186032984</v>
      </c>
      <c r="G65" s="294">
        <f>'AEO NG Imports'!M29*'Domestic NG Prices'!$P$27</f>
        <v>4.3536506164541056</v>
      </c>
      <c r="H65" s="294">
        <f>'AEO NG Imports'!N29*'Domestic NG Prices'!$P$27</f>
        <v>5.1053641776394416</v>
      </c>
      <c r="I65" s="294">
        <f>'AEO NG Imports'!O29*'Domestic NG Prices'!$P$27</f>
        <v>5.6026988964549114</v>
      </c>
      <c r="J65" s="294">
        <f>'AEO NG Imports'!P29*'Domestic NG Prices'!$P$27</f>
        <v>6.1668688249395931</v>
      </c>
      <c r="K65" s="294">
        <f>'AEO NG Imports'!Q29*'Domestic NG Prices'!$P$27</f>
        <v>6.9335955291963423</v>
      </c>
      <c r="L65" s="294">
        <f>'AEO NG Imports'!R29*'Domestic NG Prices'!$P$27</f>
        <v>7.6542192466572923</v>
      </c>
      <c r="M65" s="290">
        <f>L65*'AEO NG Imports'!$S$29</f>
        <v>8.4935254796785422</v>
      </c>
      <c r="N65" s="290">
        <f>M65*'AEO NG Imports'!$S$29</f>
        <v>9.4248639540150592</v>
      </c>
      <c r="O65" s="290">
        <f>N65*'AEO NG Imports'!$S$29</f>
        <v>10.458326258539026</v>
      </c>
      <c r="P65" s="291">
        <f t="shared" si="12"/>
        <v>107.7188964768</v>
      </c>
      <c r="Q65" s="292">
        <f>'AEO NG Imports'!AB18</f>
        <v>119.68766275199999</v>
      </c>
      <c r="R65" s="292">
        <f>'AEO NG Imports'!AC18</f>
        <v>12.59955260592</v>
      </c>
      <c r="S65" s="293">
        <v>0</v>
      </c>
      <c r="T65" s="293">
        <f t="shared" si="13"/>
        <v>0</v>
      </c>
      <c r="U65" s="256"/>
      <c r="V65" s="280"/>
      <c r="W65" s="280"/>
      <c r="X65" s="280"/>
      <c r="Y65" s="280"/>
      <c r="Z65" s="280"/>
      <c r="AA65" s="280"/>
      <c r="AB65" s="256"/>
      <c r="AC65" s="256"/>
      <c r="AD65" s="256"/>
      <c r="AE65" s="256"/>
      <c r="AF65" s="256"/>
      <c r="AG65" s="256"/>
      <c r="AH65" s="256"/>
      <c r="AI65" s="256"/>
      <c r="AJ65" s="256"/>
      <c r="AK65" s="256"/>
      <c r="AL65" s="256"/>
      <c r="AM65" s="256"/>
      <c r="AN65" s="256"/>
      <c r="AO65" s="256"/>
      <c r="AP65" s="256"/>
      <c r="AQ65" s="256"/>
      <c r="AR65" s="256"/>
      <c r="AS65" s="256"/>
      <c r="AT65" s="256"/>
      <c r="AU65" s="256"/>
      <c r="AV65" s="256"/>
      <c r="AW65" s="256"/>
      <c r="AX65" s="256"/>
      <c r="AY65" s="256"/>
      <c r="AZ65" s="256"/>
      <c r="BA65" s="256"/>
      <c r="BB65" s="256"/>
      <c r="BC65" s="256"/>
      <c r="BD65" s="256"/>
      <c r="BE65" s="256"/>
      <c r="BF65" s="256"/>
      <c r="BG65" s="256"/>
      <c r="BH65" s="256"/>
      <c r="BI65" s="256"/>
      <c r="BJ65" s="256"/>
      <c r="BK65" s="256"/>
      <c r="BL65" s="256"/>
      <c r="BM65" s="256"/>
      <c r="BN65" s="256"/>
      <c r="BO65" s="256"/>
      <c r="BP65" s="256"/>
      <c r="BQ65" s="256"/>
      <c r="BR65" s="256"/>
      <c r="BS65" s="256"/>
      <c r="BT65" s="256"/>
      <c r="BU65" s="256"/>
      <c r="BV65" s="256"/>
      <c r="BW65" s="256"/>
      <c r="BX65" s="256"/>
      <c r="BY65" s="256"/>
    </row>
    <row r="66" spans="1:77" x14ac:dyDescent="0.2">
      <c r="A66" s="251" t="s">
        <v>145</v>
      </c>
      <c r="B66" s="251" t="str">
        <f>Technologies!$C$34</f>
        <v>IMPNGAC1</v>
      </c>
      <c r="C66" s="251" t="str">
        <f>Technologies!$D$34</f>
        <v>Imported natural gas from Canada - Step 1</v>
      </c>
      <c r="D66" s="251" t="str">
        <f>Commodities!$C$25</f>
        <v>NGAC</v>
      </c>
      <c r="E66" s="251">
        <v>2010</v>
      </c>
      <c r="F66" s="281">
        <f>F68*'Domestic NG Prices'!$N$19</f>
        <v>3.6554814801096454</v>
      </c>
      <c r="G66" s="281">
        <f>G68*'Domestic NG Prices'!$N$19</f>
        <v>3.1311434784632497</v>
      </c>
      <c r="H66" s="281">
        <f>H68*'Domestic NG Prices'!$N$19</f>
        <v>4.2346096729613709</v>
      </c>
      <c r="I66" s="281">
        <f>I68*'Domestic NG Prices'!$N$19</f>
        <v>4.6125943194636791</v>
      </c>
      <c r="J66" s="281">
        <f>J68*'Domestic NG Prices'!$N$19</f>
        <v>5.193475365167461</v>
      </c>
      <c r="K66" s="281">
        <f>K68*'Domestic NG Prices'!$N$19</f>
        <v>5.7363474011446804</v>
      </c>
      <c r="L66" s="281">
        <f>L68*'Domestic NG Prices'!$N$19</f>
        <v>6.2166127536477811</v>
      </c>
      <c r="M66" s="281">
        <f>M68*'Domestic NG Prices'!$N$19</f>
        <v>6.8676713943161714</v>
      </c>
      <c r="N66" s="281">
        <f>N68*'Domestic NG Prices'!$N$19</f>
        <v>7.5869146510104271</v>
      </c>
      <c r="O66" s="281">
        <f>O68*'Domestic NG Prices'!$N$19</f>
        <v>8.3814834194535841</v>
      </c>
      <c r="P66" s="291">
        <f t="shared" si="12"/>
        <v>974.3222708351999</v>
      </c>
      <c r="Q66" s="292">
        <f>'AEO NG Imports'!AB9</f>
        <v>1082.5803009279998</v>
      </c>
      <c r="R66" s="292"/>
      <c r="S66" s="292"/>
      <c r="T66" s="280"/>
      <c r="U66" s="256"/>
      <c r="V66" s="280"/>
      <c r="W66" s="280">
        <v>1.0049999999999999</v>
      </c>
      <c r="X66" s="280">
        <v>1.0049999999999999</v>
      </c>
      <c r="Y66" s="280">
        <v>1.0049999999999999</v>
      </c>
      <c r="Z66" s="280">
        <v>1.25</v>
      </c>
      <c r="AA66" s="280">
        <v>1.25</v>
      </c>
      <c r="AB66" s="256"/>
      <c r="AC66" s="256"/>
      <c r="AD66" s="256"/>
      <c r="AE66" s="256"/>
      <c r="AF66" s="256"/>
      <c r="AG66" s="256"/>
      <c r="AH66" s="256"/>
      <c r="AI66" s="256"/>
      <c r="AJ66" s="256"/>
      <c r="AK66" s="256"/>
      <c r="AL66" s="256"/>
      <c r="AM66" s="256"/>
      <c r="AN66" s="256"/>
      <c r="AO66" s="256"/>
      <c r="AP66" s="256"/>
      <c r="AQ66" s="256"/>
      <c r="AR66" s="256"/>
      <c r="AS66" s="256"/>
      <c r="AT66" s="256"/>
      <c r="AU66" s="256"/>
      <c r="AV66" s="256"/>
      <c r="AW66" s="256"/>
      <c r="AX66" s="256"/>
      <c r="AY66" s="256"/>
      <c r="AZ66" s="256"/>
      <c r="BA66" s="256"/>
      <c r="BB66" s="256"/>
      <c r="BC66" s="256"/>
      <c r="BD66" s="256"/>
      <c r="BE66" s="256"/>
      <c r="BF66" s="256"/>
      <c r="BG66" s="256"/>
      <c r="BH66" s="256"/>
      <c r="BI66" s="256"/>
      <c r="BJ66" s="256"/>
      <c r="BK66" s="256"/>
      <c r="BL66" s="256"/>
      <c r="BM66" s="256"/>
      <c r="BN66" s="256"/>
      <c r="BO66" s="256"/>
      <c r="BP66" s="256"/>
      <c r="BQ66" s="256"/>
      <c r="BR66" s="256"/>
      <c r="BS66" s="256"/>
      <c r="BT66" s="256"/>
      <c r="BU66" s="256"/>
      <c r="BV66" s="256"/>
      <c r="BW66" s="256"/>
      <c r="BX66" s="256"/>
      <c r="BY66" s="256"/>
    </row>
    <row r="67" spans="1:77" x14ac:dyDescent="0.2">
      <c r="A67" s="251" t="s">
        <v>145</v>
      </c>
      <c r="B67" s="251" t="str">
        <f>Technologies!$C$35</f>
        <v>IMPNGAC2</v>
      </c>
      <c r="C67" s="251" t="str">
        <f>Technologies!$D$35</f>
        <v>Imported natural gas from Canada - Step 2</v>
      </c>
      <c r="D67" s="251" t="str">
        <f>Commodities!$C$25</f>
        <v>NGAC</v>
      </c>
      <c r="E67" s="251">
        <v>2010</v>
      </c>
      <c r="F67" s="281">
        <f>F68*'Domestic NG Prices'!$N$20</f>
        <v>3.9462584160274576</v>
      </c>
      <c r="G67" s="281">
        <f>G68*'Domestic NG Prices'!$N$20</f>
        <v>3.3802117097046445</v>
      </c>
      <c r="H67" s="281">
        <f>H68*'Domestic NG Prices'!$N$20</f>
        <v>4.5714536242196608</v>
      </c>
      <c r="I67" s="281">
        <f>I68*'Domestic NG Prices'!$N$20</f>
        <v>4.979505231239199</v>
      </c>
      <c r="J67" s="281">
        <f>J68*'Domestic NG Prices'!$N$20</f>
        <v>5.6065927237603264</v>
      </c>
      <c r="K67" s="281">
        <f>K68*'Domestic NG Prices'!$N$20</f>
        <v>6.1926477625993703</v>
      </c>
      <c r="L67" s="281">
        <f>L68*'Domestic NG Prices'!$N$20</f>
        <v>6.7111160408697632</v>
      </c>
      <c r="M67" s="281">
        <f>M68*'Domestic NG Prices'!$N$20</f>
        <v>7.4139634370458669</v>
      </c>
      <c r="N67" s="281">
        <f>N68*'Domestic NG Prices'!$N$20</f>
        <v>8.1904192255226196</v>
      </c>
      <c r="O67" s="281">
        <f>O68*'Domestic NG Prices'!$N$20</f>
        <v>9.0481923278192085</v>
      </c>
      <c r="P67" s="291">
        <f t="shared" si="12"/>
        <v>730.74170312639967</v>
      </c>
      <c r="Q67" s="292">
        <f>'AEO NG Imports'!AB10</f>
        <v>811.93522569599963</v>
      </c>
      <c r="R67" s="292"/>
      <c r="S67" s="292"/>
      <c r="T67" s="280"/>
      <c r="U67" s="256"/>
      <c r="V67" s="280"/>
      <c r="W67" s="280">
        <v>1.0049999999999999</v>
      </c>
      <c r="X67" s="280">
        <v>1.0049999999999999</v>
      </c>
      <c r="Y67" s="280">
        <v>1.0049999999999999</v>
      </c>
      <c r="Z67" s="280">
        <v>1.25</v>
      </c>
      <c r="AA67" s="280">
        <v>1.25</v>
      </c>
      <c r="AB67" s="256"/>
      <c r="AC67" s="256"/>
      <c r="AD67" s="256"/>
      <c r="AE67" s="256"/>
      <c r="AF67" s="256"/>
      <c r="AG67" s="256"/>
      <c r="AH67" s="256"/>
      <c r="AI67" s="256"/>
      <c r="AJ67" s="256"/>
      <c r="AK67" s="256"/>
      <c r="AL67" s="256"/>
      <c r="AM67" s="256"/>
      <c r="AN67" s="256"/>
      <c r="AO67" s="256"/>
      <c r="AP67" s="256"/>
      <c r="AQ67" s="256"/>
      <c r="AR67" s="256"/>
      <c r="AS67" s="256"/>
      <c r="AT67" s="256"/>
      <c r="AU67" s="256"/>
      <c r="AV67" s="256"/>
      <c r="AW67" s="256"/>
      <c r="AX67" s="256"/>
      <c r="AY67" s="256"/>
      <c r="AZ67" s="256"/>
      <c r="BA67" s="256"/>
      <c r="BB67" s="256"/>
      <c r="BC67" s="256"/>
      <c r="BD67" s="256"/>
      <c r="BE67" s="256"/>
      <c r="BF67" s="256"/>
      <c r="BG67" s="256"/>
      <c r="BH67" s="256"/>
      <c r="BI67" s="256"/>
      <c r="BJ67" s="256"/>
      <c r="BK67" s="256"/>
      <c r="BL67" s="256"/>
      <c r="BM67" s="256"/>
      <c r="BN67" s="256"/>
      <c r="BO67" s="256"/>
      <c r="BP67" s="256"/>
      <c r="BQ67" s="256"/>
      <c r="BR67" s="256"/>
      <c r="BS67" s="256"/>
      <c r="BT67" s="256"/>
      <c r="BU67" s="256"/>
      <c r="BV67" s="256"/>
      <c r="BW67" s="256"/>
      <c r="BX67" s="256"/>
      <c r="BY67" s="256"/>
    </row>
    <row r="68" spans="1:77" x14ac:dyDescent="0.2">
      <c r="A68" s="251" t="s">
        <v>145</v>
      </c>
      <c r="B68" s="251" t="str">
        <f>Technologies!$C$36</f>
        <v>IMPNGAC3</v>
      </c>
      <c r="C68" s="251" t="str">
        <f>Technologies!$D$36</f>
        <v>Imported natural gas from Canada - Step 3</v>
      </c>
      <c r="D68" s="251" t="str">
        <f>Commodities!$C$25</f>
        <v>NGAC</v>
      </c>
      <c r="E68" s="251">
        <v>2010</v>
      </c>
      <c r="F68" s="281">
        <f>'AEO NG Imports'!L26*'Domestic NG Prices'!$P$27</f>
        <v>4.1539562273973241</v>
      </c>
      <c r="G68" s="281">
        <f>'AEO NG Imports'!M26*'Domestic NG Prices'!$P$27</f>
        <v>3.5581175891627836</v>
      </c>
      <c r="H68" s="281">
        <f>'AEO NG Imports'!N26*'Domestic NG Prices'!$P$27</f>
        <v>4.8120564465470119</v>
      </c>
      <c r="I68" s="281">
        <f>'AEO NG Imports'!O26*'Domestic NG Prices'!$P$27</f>
        <v>5.2415844539359995</v>
      </c>
      <c r="J68" s="281">
        <f>'AEO NG Imports'!P26*'Domestic NG Prices'!$P$27</f>
        <v>5.90167655132666</v>
      </c>
      <c r="K68" s="281">
        <f>'AEO NG Imports'!Q26*'Domestic NG Prices'!$P$27</f>
        <v>6.5185765922098637</v>
      </c>
      <c r="L68" s="281">
        <f>'AEO NG Imports'!R26*'Domestic NG Prices'!$P$27</f>
        <v>7.0643326745997514</v>
      </c>
      <c r="M68" s="281">
        <f>L68*'AEO NG Imports'!$S$26</f>
        <v>7.8041720389956497</v>
      </c>
      <c r="N68" s="281">
        <f>M68*'AEO NG Imports'!$S$26</f>
        <v>8.6214939216027577</v>
      </c>
      <c r="O68" s="281">
        <f>N68*'AEO NG Imports'!$S$26</f>
        <v>9.5244129766517993</v>
      </c>
      <c r="P68" s="291">
        <f t="shared" si="12"/>
        <v>730.74170312640013</v>
      </c>
      <c r="Q68" s="292">
        <f>'AEO NG Imports'!AB11</f>
        <v>811.93522569600009</v>
      </c>
      <c r="R68" s="292"/>
      <c r="S68" s="292"/>
      <c r="T68" s="280"/>
      <c r="U68" s="256"/>
      <c r="V68" s="280"/>
      <c r="W68" s="280">
        <v>1.0049999999999999</v>
      </c>
      <c r="X68" s="280">
        <v>1.0049999999999999</v>
      </c>
      <c r="Y68" s="280">
        <v>1.0049999999999999</v>
      </c>
      <c r="Z68" s="280">
        <v>1.25</v>
      </c>
      <c r="AA68" s="280">
        <v>1.25</v>
      </c>
      <c r="AB68" s="256"/>
      <c r="AC68" s="256"/>
      <c r="AD68" s="256"/>
      <c r="AE68" s="256"/>
      <c r="AF68" s="256"/>
      <c r="AG68" s="256"/>
      <c r="AH68" s="256"/>
      <c r="AI68" s="256"/>
      <c r="AJ68" s="256"/>
      <c r="AK68" s="256"/>
      <c r="AL68" s="256"/>
      <c r="AM68" s="256"/>
      <c r="AN68" s="256"/>
      <c r="AO68" s="256"/>
      <c r="AP68" s="256"/>
      <c r="AQ68" s="256"/>
      <c r="AR68" s="256"/>
      <c r="AS68" s="256"/>
      <c r="AT68" s="256"/>
      <c r="AU68" s="256"/>
      <c r="AV68" s="256"/>
      <c r="AW68" s="256"/>
      <c r="AX68" s="256"/>
      <c r="AY68" s="256"/>
      <c r="AZ68" s="256"/>
      <c r="BA68" s="256"/>
      <c r="BB68" s="256"/>
      <c r="BC68" s="256"/>
      <c r="BD68" s="256"/>
      <c r="BE68" s="256"/>
      <c r="BF68" s="256"/>
      <c r="BG68" s="256"/>
      <c r="BH68" s="256"/>
      <c r="BI68" s="256"/>
      <c r="BJ68" s="256"/>
      <c r="BK68" s="256"/>
      <c r="BL68" s="256"/>
      <c r="BM68" s="256"/>
      <c r="BN68" s="256"/>
      <c r="BO68" s="256"/>
      <c r="BP68" s="256"/>
      <c r="BQ68" s="256"/>
      <c r="BR68" s="256"/>
      <c r="BS68" s="256"/>
      <c r="BT68" s="256"/>
      <c r="BU68" s="256"/>
      <c r="BV68" s="256"/>
      <c r="BW68" s="256"/>
      <c r="BX68" s="256"/>
      <c r="BY68" s="256"/>
    </row>
    <row r="69" spans="1:77" x14ac:dyDescent="0.2">
      <c r="A69" s="251" t="s">
        <v>145</v>
      </c>
      <c r="B69" s="251" t="str">
        <f>Technologies!$C$37</f>
        <v>IMPNGAC4</v>
      </c>
      <c r="C69" s="251" t="str">
        <f>Technologies!$D$37</f>
        <v>Imported natural gas from Canada - Step 4</v>
      </c>
      <c r="D69" s="251" t="str">
        <f>Commodities!$C$25</f>
        <v>NGAC</v>
      </c>
      <c r="E69" s="251">
        <v>2010</v>
      </c>
      <c r="F69" s="281">
        <f>F68*'Domestic NG Prices'!$N$22</f>
        <v>4.4862727255891102</v>
      </c>
      <c r="G69" s="281">
        <f>G68*'Domestic NG Prices'!$N$22</f>
        <v>3.8427669962958064</v>
      </c>
      <c r="H69" s="281">
        <f>H68*'Domestic NG Prices'!$N$22</f>
        <v>5.1970209622707735</v>
      </c>
      <c r="I69" s="281">
        <f>I68*'Domestic NG Prices'!$N$22</f>
        <v>5.6609112102508794</v>
      </c>
      <c r="J69" s="281">
        <f>J68*'Domestic NG Prices'!$N$22</f>
        <v>6.373810675432793</v>
      </c>
      <c r="K69" s="281">
        <f>K68*'Domestic NG Prices'!$N$22</f>
        <v>7.0400627195866532</v>
      </c>
      <c r="L69" s="281">
        <f>L68*'Domestic NG Prices'!$N$22</f>
        <v>7.6294792885677323</v>
      </c>
      <c r="M69" s="281">
        <f>M68*'Domestic NG Prices'!$N$22</f>
        <v>8.4285058021153016</v>
      </c>
      <c r="N69" s="281">
        <f>N68*'Domestic NG Prices'!$N$22</f>
        <v>9.3112134353309788</v>
      </c>
      <c r="O69" s="281">
        <f>O68*'Domestic NG Prices'!$N$22</f>
        <v>10.286366014783944</v>
      </c>
      <c r="P69" s="293"/>
      <c r="Q69" s="292">
        <f>'AEO NG Imports'!AB12</f>
        <v>135.32253761600032</v>
      </c>
      <c r="R69" s="292"/>
      <c r="S69" s="292"/>
      <c r="T69" s="280"/>
      <c r="U69" s="256"/>
      <c r="V69" s="280"/>
      <c r="W69" s="280">
        <v>1.0049999999999999</v>
      </c>
      <c r="X69" s="280">
        <v>1.0049999999999999</v>
      </c>
      <c r="Y69" s="280">
        <v>1.0049999999999999</v>
      </c>
      <c r="Z69" s="280">
        <v>1.25</v>
      </c>
      <c r="AA69" s="280">
        <v>1.25</v>
      </c>
      <c r="AB69" s="256"/>
      <c r="AC69" s="256"/>
      <c r="AD69" s="256"/>
      <c r="AE69" s="256"/>
      <c r="AF69" s="256"/>
      <c r="AG69" s="256"/>
      <c r="AH69" s="256"/>
      <c r="AI69" s="256"/>
      <c r="AJ69" s="256"/>
      <c r="AK69" s="256"/>
      <c r="AL69" s="256"/>
      <c r="AM69" s="256"/>
      <c r="AN69" s="256"/>
      <c r="AO69" s="256"/>
      <c r="AP69" s="256"/>
      <c r="AQ69" s="256"/>
      <c r="AR69" s="256"/>
      <c r="AS69" s="256"/>
      <c r="AT69" s="256"/>
      <c r="AU69" s="256"/>
      <c r="AV69" s="256"/>
      <c r="AW69" s="256"/>
      <c r="AX69" s="256"/>
      <c r="AY69" s="256"/>
      <c r="AZ69" s="256"/>
      <c r="BA69" s="256"/>
      <c r="BB69" s="256"/>
      <c r="BC69" s="256"/>
      <c r="BD69" s="256"/>
      <c r="BE69" s="256"/>
      <c r="BF69" s="256"/>
      <c r="BG69" s="256"/>
      <c r="BH69" s="256"/>
      <c r="BI69" s="256"/>
      <c r="BJ69" s="256"/>
      <c r="BK69" s="256"/>
      <c r="BL69" s="256"/>
      <c r="BM69" s="256"/>
      <c r="BN69" s="256"/>
      <c r="BO69" s="256"/>
      <c r="BP69" s="256"/>
      <c r="BQ69" s="256"/>
      <c r="BR69" s="256"/>
      <c r="BS69" s="256"/>
      <c r="BT69" s="256"/>
      <c r="BU69" s="256"/>
      <c r="BV69" s="256"/>
      <c r="BW69" s="256"/>
      <c r="BX69" s="256"/>
      <c r="BY69" s="256"/>
    </row>
    <row r="70" spans="1:77" x14ac:dyDescent="0.2">
      <c r="A70" s="251" t="s">
        <v>145</v>
      </c>
      <c r="B70" s="251" t="str">
        <f>Technologies!$C$38</f>
        <v>IMPNGAC5</v>
      </c>
      <c r="C70" s="251" t="str">
        <f>Technologies!$D$38</f>
        <v>Imported natural gas from Canada - Step 5</v>
      </c>
      <c r="D70" s="251" t="str">
        <f>Commodities!$C$25</f>
        <v>NGAC</v>
      </c>
      <c r="E70" s="251">
        <v>2010</v>
      </c>
      <c r="F70" s="281">
        <f>F68*'Domestic NG Prices'!$N$23</f>
        <v>4.6524309746850037</v>
      </c>
      <c r="G70" s="281">
        <f>G68*'Domestic NG Prices'!$N$23</f>
        <v>3.985091699862318</v>
      </c>
      <c r="H70" s="281">
        <f>H68*'Domestic NG Prices'!$N$23</f>
        <v>5.3895032201326538</v>
      </c>
      <c r="I70" s="281">
        <f>I68*'Domestic NG Prices'!$N$23</f>
        <v>5.8705745884083198</v>
      </c>
      <c r="J70" s="281">
        <f>J68*'Domestic NG Prices'!$N$23</f>
        <v>6.6098777374858599</v>
      </c>
      <c r="K70" s="281">
        <f>K68*'Domestic NG Prices'!$N$23</f>
        <v>7.3008057832750479</v>
      </c>
      <c r="L70" s="281">
        <f>L68*'Domestic NG Prices'!$N$23</f>
        <v>7.9120525955517227</v>
      </c>
      <c r="M70" s="281">
        <f>M68*'Domestic NG Prices'!$N$23</f>
        <v>8.740672683675129</v>
      </c>
      <c r="N70" s="281">
        <f>N68*'Domestic NG Prices'!$N$23</f>
        <v>9.6560731921950893</v>
      </c>
      <c r="O70" s="281">
        <f>O68*'Domestic NG Prices'!$N$23</f>
        <v>10.667342533850016</v>
      </c>
      <c r="P70" s="293"/>
      <c r="Q70" s="292">
        <f>'AEO NG Imports'!AB13</f>
        <v>135.32253761599986</v>
      </c>
      <c r="R70" s="292"/>
      <c r="S70" s="292"/>
      <c r="T70" s="280"/>
      <c r="U70" s="256"/>
      <c r="V70" s="280"/>
      <c r="W70" s="280">
        <v>1.0049999999999999</v>
      </c>
      <c r="X70" s="280">
        <v>1.0049999999999999</v>
      </c>
      <c r="Y70" s="280">
        <v>1.0049999999999999</v>
      </c>
      <c r="Z70" s="280">
        <v>1.25</v>
      </c>
      <c r="AA70" s="280">
        <v>1.25</v>
      </c>
      <c r="AB70" s="256"/>
      <c r="AC70" s="256"/>
      <c r="AD70" s="256"/>
      <c r="AE70" s="256"/>
      <c r="AF70" s="256"/>
      <c r="AG70" s="256"/>
      <c r="AH70" s="256"/>
      <c r="AI70" s="256"/>
      <c r="AJ70" s="256"/>
      <c r="AK70" s="256"/>
      <c r="AL70" s="256"/>
      <c r="AM70" s="256"/>
      <c r="AN70" s="256"/>
      <c r="AO70" s="256"/>
      <c r="AP70" s="256"/>
      <c r="AQ70" s="256"/>
      <c r="AR70" s="256"/>
      <c r="AS70" s="256"/>
      <c r="AT70" s="256"/>
      <c r="AU70" s="256"/>
      <c r="AV70" s="256"/>
      <c r="AW70" s="256"/>
      <c r="AX70" s="256"/>
      <c r="AY70" s="256"/>
      <c r="AZ70" s="256"/>
      <c r="BA70" s="256"/>
      <c r="BB70" s="256"/>
      <c r="BC70" s="256"/>
      <c r="BD70" s="256"/>
      <c r="BE70" s="256"/>
      <c r="BF70" s="256"/>
      <c r="BG70" s="256"/>
      <c r="BH70" s="256"/>
      <c r="BI70" s="256"/>
      <c r="BJ70" s="256"/>
      <c r="BK70" s="256"/>
      <c r="BL70" s="256"/>
      <c r="BM70" s="256"/>
      <c r="BN70" s="256"/>
      <c r="BO70" s="256"/>
      <c r="BP70" s="256"/>
      <c r="BQ70" s="256"/>
      <c r="BR70" s="256"/>
      <c r="BS70" s="256"/>
      <c r="BT70" s="256"/>
      <c r="BU70" s="256"/>
      <c r="BV70" s="256"/>
      <c r="BW70" s="256"/>
      <c r="BX70" s="256"/>
      <c r="BY70" s="256"/>
    </row>
    <row r="71" spans="1:77" x14ac:dyDescent="0.2">
      <c r="A71" s="251" t="s">
        <v>145</v>
      </c>
      <c r="B71" s="251" t="str">
        <f>Technologies!$C$39</f>
        <v>IMPNGAC6</v>
      </c>
      <c r="C71" s="251" t="str">
        <f>Technologies!$D$39</f>
        <v>Imported natural gas from Canada - Step 6</v>
      </c>
      <c r="D71" s="251" t="str">
        <f>Commodities!$C$25</f>
        <v>NGAC</v>
      </c>
      <c r="E71" s="251">
        <v>2010</v>
      </c>
      <c r="F71" s="281">
        <f>F68*'Domestic NG Prices'!$N$24</f>
        <v>6.3555530279179058</v>
      </c>
      <c r="G71" s="281">
        <f>G68*'Domestic NG Prices'!$N$24</f>
        <v>5.4439199114190595</v>
      </c>
      <c r="H71" s="281">
        <f>H68*'Domestic NG Prices'!$N$24</f>
        <v>7.3624463632169288</v>
      </c>
      <c r="I71" s="281">
        <f>I68*'Domestic NG Prices'!$N$24</f>
        <v>8.0196242145220786</v>
      </c>
      <c r="J71" s="281">
        <f>J68*'Domestic NG Prices'!$N$24</f>
        <v>9.0295651235297907</v>
      </c>
      <c r="K71" s="281">
        <f>K68*'Domestic NG Prices'!$N$24</f>
        <v>9.9734221860810912</v>
      </c>
      <c r="L71" s="281">
        <f>L68*'Domestic NG Prices'!$N$24</f>
        <v>10.808428992137619</v>
      </c>
      <c r="M71" s="281">
        <f>M68*'Domestic NG Prices'!$N$24</f>
        <v>11.940383219663344</v>
      </c>
      <c r="N71" s="281">
        <f>N68*'Domestic NG Prices'!$N$24</f>
        <v>13.19088570005222</v>
      </c>
      <c r="O71" s="281">
        <f>O68*'Domestic NG Prices'!$N$24</f>
        <v>14.572351854277253</v>
      </c>
      <c r="P71" s="293"/>
      <c r="Q71" s="292">
        <f>'AEO NG Imports'!AB14</f>
        <v>270.64507523199973</v>
      </c>
      <c r="R71" s="292"/>
      <c r="S71" s="292"/>
      <c r="T71" s="280"/>
      <c r="U71" s="256"/>
      <c r="V71" s="280"/>
      <c r="W71" s="280">
        <v>1.0049999999999999</v>
      </c>
      <c r="X71" s="280">
        <v>1.0049999999999999</v>
      </c>
      <c r="Y71" s="280">
        <v>1.0049999999999999</v>
      </c>
      <c r="Z71" s="280">
        <v>1.25</v>
      </c>
      <c r="AA71" s="280">
        <v>1.25</v>
      </c>
      <c r="AB71" s="256"/>
      <c r="AC71" s="256"/>
      <c r="AD71" s="256"/>
      <c r="AE71" s="256"/>
      <c r="AF71" s="256"/>
      <c r="AG71" s="256"/>
      <c r="AH71" s="256"/>
      <c r="AI71" s="256"/>
      <c r="AJ71" s="256"/>
      <c r="AK71" s="256"/>
      <c r="AL71" s="256"/>
      <c r="AM71" s="256"/>
      <c r="AN71" s="256"/>
      <c r="AO71" s="256"/>
      <c r="AP71" s="256"/>
      <c r="AQ71" s="256"/>
      <c r="AR71" s="256"/>
      <c r="AS71" s="256"/>
      <c r="AT71" s="256"/>
      <c r="AU71" s="256"/>
      <c r="AV71" s="256"/>
      <c r="AW71" s="256"/>
      <c r="AX71" s="256"/>
      <c r="AY71" s="256"/>
      <c r="AZ71" s="256"/>
      <c r="BA71" s="256"/>
      <c r="BB71" s="256"/>
      <c r="BC71" s="256"/>
      <c r="BD71" s="256"/>
      <c r="BE71" s="256"/>
      <c r="BF71" s="256"/>
      <c r="BG71" s="256"/>
      <c r="BH71" s="256"/>
      <c r="BI71" s="256"/>
      <c r="BJ71" s="256"/>
      <c r="BK71" s="256"/>
      <c r="BL71" s="256"/>
      <c r="BM71" s="256"/>
      <c r="BN71" s="256"/>
      <c r="BO71" s="256"/>
      <c r="BP71" s="256"/>
      <c r="BQ71" s="256"/>
      <c r="BR71" s="256"/>
      <c r="BS71" s="256"/>
      <c r="BT71" s="256"/>
      <c r="BU71" s="256"/>
      <c r="BV71" s="256"/>
      <c r="BW71" s="256"/>
      <c r="BX71" s="256"/>
      <c r="BY71" s="256"/>
    </row>
    <row r="72" spans="1:77" x14ac:dyDescent="0.2">
      <c r="A72" s="240"/>
      <c r="B72" s="240"/>
      <c r="C72" s="240"/>
      <c r="D72" s="240"/>
      <c r="E72" s="240"/>
      <c r="F72" s="240"/>
      <c r="G72" s="240"/>
      <c r="K72" s="268"/>
      <c r="T72" s="269"/>
      <c r="U72" s="269"/>
      <c r="V72" s="269"/>
      <c r="W72" s="269"/>
      <c r="X72" s="269"/>
      <c r="Y72" s="269"/>
      <c r="Z72" s="269"/>
      <c r="AA72" s="266"/>
      <c r="AB72" s="266"/>
      <c r="AC72" s="267"/>
      <c r="AD72" s="267"/>
      <c r="AE72" s="260"/>
      <c r="AF72" s="260"/>
      <c r="AG72" s="260"/>
      <c r="AH72" s="260"/>
      <c r="AJ72" s="267"/>
      <c r="AK72" s="267"/>
      <c r="AL72" s="267"/>
      <c r="AM72" s="267"/>
      <c r="AN72" s="267"/>
      <c r="AO72" s="267"/>
      <c r="AP72" s="267"/>
      <c r="AQ72" s="260"/>
      <c r="BP72" s="256"/>
      <c r="BQ72" s="256"/>
      <c r="BR72" s="256"/>
      <c r="BS72" s="256"/>
      <c r="BT72" s="256"/>
      <c r="BU72" s="256"/>
      <c r="BV72" s="256"/>
      <c r="BW72" s="256"/>
      <c r="BX72" s="256"/>
      <c r="BY72" s="256"/>
    </row>
    <row r="73" spans="1:77" x14ac:dyDescent="0.2">
      <c r="A73" s="240"/>
      <c r="B73" s="240"/>
      <c r="C73" s="240"/>
      <c r="D73" s="240"/>
      <c r="E73" s="240"/>
      <c r="F73" s="240"/>
      <c r="G73" s="240"/>
      <c r="K73" s="268"/>
      <c r="T73" s="269"/>
      <c r="U73" s="269"/>
      <c r="V73" s="269"/>
      <c r="W73" s="269"/>
      <c r="X73" s="269"/>
      <c r="Y73" s="269"/>
      <c r="Z73" s="269"/>
      <c r="AA73" s="266"/>
      <c r="AB73" s="266"/>
      <c r="AC73" s="266"/>
      <c r="AE73" s="263"/>
      <c r="AF73" s="260"/>
      <c r="AG73" s="260"/>
      <c r="AH73" s="267"/>
      <c r="AI73" s="267"/>
      <c r="AJ73" s="267"/>
      <c r="AK73" s="267"/>
      <c r="AL73" s="267"/>
      <c r="AM73" s="267"/>
      <c r="AN73" s="267"/>
      <c r="AO73" s="260"/>
      <c r="AP73" s="260"/>
      <c r="AQ73" s="260"/>
      <c r="AR73" s="260"/>
      <c r="AT73" s="267"/>
      <c r="AU73" s="267"/>
      <c r="AV73" s="267"/>
      <c r="AW73" s="267"/>
      <c r="AX73" s="267"/>
      <c r="AY73" s="267"/>
      <c r="AZ73" s="267"/>
      <c r="BA73" s="260"/>
    </row>
    <row r="74" spans="1:77" x14ac:dyDescent="0.2">
      <c r="A74" s="240"/>
      <c r="B74" s="240"/>
      <c r="C74" s="240"/>
      <c r="D74" s="240"/>
      <c r="E74" s="240"/>
      <c r="F74" s="240"/>
      <c r="G74" s="240"/>
      <c r="K74" s="268"/>
      <c r="T74" s="269"/>
      <c r="U74" s="269"/>
      <c r="V74" s="269"/>
      <c r="W74" s="269"/>
      <c r="X74" s="269"/>
      <c r="Y74" s="269"/>
      <c r="Z74" s="269"/>
      <c r="AA74" s="266"/>
      <c r="AB74" s="266"/>
      <c r="AC74" s="266"/>
      <c r="AE74" s="263"/>
      <c r="AF74" s="260"/>
      <c r="AG74" s="260"/>
      <c r="AH74" s="267"/>
      <c r="AI74" s="267"/>
      <c r="AJ74" s="267"/>
      <c r="AK74" s="267"/>
      <c r="AL74" s="267"/>
      <c r="AM74" s="267"/>
      <c r="AN74" s="267"/>
      <c r="AO74" s="260"/>
      <c r="AP74" s="260"/>
      <c r="AQ74" s="260"/>
      <c r="AR74" s="260"/>
      <c r="AT74" s="267"/>
      <c r="AU74" s="267"/>
      <c r="AV74" s="267"/>
      <c r="AW74" s="267"/>
      <c r="AX74" s="267"/>
      <c r="AY74" s="267"/>
      <c r="AZ74" s="267"/>
      <c r="BA74" s="260"/>
    </row>
    <row r="75" spans="1:77" ht="17.25" customHeight="1" x14ac:dyDescent="0.2">
      <c r="E75" s="255" t="s">
        <v>1596</v>
      </c>
      <c r="F75" s="258"/>
      <c r="G75" s="258"/>
      <c r="H75" s="258"/>
      <c r="K75" s="258"/>
      <c r="L75" s="258"/>
      <c r="M75" s="258"/>
      <c r="N75" s="258"/>
      <c r="O75" s="258"/>
      <c r="P75" s="258"/>
      <c r="Q75" s="258"/>
      <c r="R75" s="258"/>
      <c r="W75" s="258"/>
      <c r="X75" s="258"/>
      <c r="AT75" s="262"/>
      <c r="AU75" s="262"/>
      <c r="BS75" s="258"/>
      <c r="BT75" s="258"/>
      <c r="BU75" s="258"/>
      <c r="BV75" s="258"/>
      <c r="BW75" s="258"/>
    </row>
    <row r="76" spans="1:77" ht="15.75" customHeight="1" x14ac:dyDescent="0.2">
      <c r="A76" s="244" t="s">
        <v>47</v>
      </c>
      <c r="B76" s="244" t="s">
        <v>130</v>
      </c>
      <c r="C76" s="244" t="s">
        <v>131</v>
      </c>
      <c r="D76" s="244" t="s">
        <v>133</v>
      </c>
      <c r="E76" s="244" t="s">
        <v>134</v>
      </c>
      <c r="F76" s="244" t="s">
        <v>1601</v>
      </c>
      <c r="G76" s="244" t="s">
        <v>1612</v>
      </c>
      <c r="H76" s="244" t="s">
        <v>1665</v>
      </c>
      <c r="I76" s="256"/>
      <c r="J76" s="256"/>
      <c r="K76" s="256"/>
      <c r="L76" s="256"/>
      <c r="M76" s="256"/>
      <c r="N76" s="256"/>
      <c r="O76" s="256"/>
      <c r="P76" s="256"/>
      <c r="Q76" s="256"/>
      <c r="R76" s="256"/>
      <c r="S76" s="256"/>
      <c r="T76" s="256"/>
      <c r="U76" s="256"/>
      <c r="V76" s="256"/>
      <c r="W76" s="256"/>
      <c r="X76" s="256"/>
      <c r="Y76" s="256"/>
      <c r="Z76" s="256"/>
      <c r="AA76" s="256"/>
      <c r="AB76" s="256"/>
      <c r="AC76" s="256"/>
      <c r="AD76" s="256"/>
      <c r="AE76" s="256"/>
      <c r="AF76" s="256"/>
      <c r="AG76" s="256"/>
      <c r="AH76" s="256"/>
      <c r="AI76" s="256"/>
      <c r="AJ76" s="256"/>
      <c r="AK76" s="256"/>
      <c r="AL76" s="256"/>
      <c r="AM76" s="256"/>
      <c r="AN76" s="256"/>
      <c r="AO76" s="256"/>
      <c r="AP76" s="256"/>
      <c r="AQ76" s="256"/>
      <c r="AR76" s="256"/>
      <c r="AS76" s="256"/>
      <c r="AT76" s="256"/>
      <c r="AU76" s="256"/>
      <c r="AV76" s="256"/>
      <c r="AW76" s="256"/>
      <c r="AX76" s="256"/>
      <c r="AY76" s="256"/>
      <c r="AZ76" s="256"/>
      <c r="BA76" s="256"/>
      <c r="BB76" s="256"/>
      <c r="BC76" s="256"/>
      <c r="BD76" s="256"/>
      <c r="BE76" s="256"/>
      <c r="BF76" s="256"/>
      <c r="BG76" s="256"/>
      <c r="BH76" s="256"/>
      <c r="BI76" s="256"/>
      <c r="BJ76" s="256"/>
      <c r="BK76" s="256"/>
      <c r="BL76" s="256"/>
      <c r="BM76" s="256"/>
      <c r="BN76" s="256"/>
      <c r="BO76" s="256"/>
      <c r="BP76" s="256"/>
      <c r="BQ76" s="256"/>
      <c r="BR76" s="256"/>
      <c r="BS76" s="256"/>
      <c r="BT76" s="256"/>
      <c r="BU76" s="256"/>
      <c r="BV76" s="256"/>
      <c r="BW76" s="256"/>
      <c r="BX76" s="256"/>
      <c r="BY76" s="256"/>
    </row>
    <row r="77" spans="1:77" x14ac:dyDescent="0.2">
      <c r="A77" s="251" t="s">
        <v>145</v>
      </c>
      <c r="B77" s="251" t="s">
        <v>546</v>
      </c>
      <c r="C77" s="251" t="s">
        <v>219</v>
      </c>
      <c r="D77" s="251" t="s">
        <v>156</v>
      </c>
      <c r="E77" s="251"/>
      <c r="F77" s="251">
        <v>2010</v>
      </c>
      <c r="G77" s="280">
        <v>1</v>
      </c>
      <c r="H77" s="295"/>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c r="AL77" s="256"/>
      <c r="AM77" s="256"/>
      <c r="AN77" s="256"/>
      <c r="AO77" s="256"/>
      <c r="AP77" s="256"/>
      <c r="AQ77" s="256"/>
      <c r="AR77" s="256"/>
      <c r="AS77" s="256"/>
      <c r="AT77" s="256"/>
      <c r="AU77" s="256"/>
      <c r="AV77" s="256"/>
      <c r="AW77" s="256"/>
      <c r="AX77" s="256"/>
      <c r="AY77" s="256"/>
      <c r="AZ77" s="256"/>
      <c r="BA77" s="256"/>
      <c r="BB77" s="256"/>
      <c r="BC77" s="256"/>
      <c r="BD77" s="256"/>
      <c r="BE77" s="256"/>
      <c r="BF77" s="256"/>
      <c r="BG77" s="256"/>
      <c r="BH77" s="256"/>
      <c r="BI77" s="256"/>
      <c r="BJ77" s="256"/>
      <c r="BK77" s="256"/>
      <c r="BL77" s="256"/>
      <c r="BM77" s="256"/>
      <c r="BN77" s="256"/>
      <c r="BO77" s="256"/>
      <c r="BP77" s="256"/>
      <c r="BQ77" s="256"/>
      <c r="BR77" s="256"/>
      <c r="BS77" s="256"/>
      <c r="BT77" s="256"/>
      <c r="BU77" s="256"/>
      <c r="BV77" s="256"/>
      <c r="BW77" s="256"/>
      <c r="BX77" s="256"/>
      <c r="BY77" s="256"/>
    </row>
    <row r="78" spans="1:77" x14ac:dyDescent="0.2">
      <c r="A78" s="251" t="str">
        <f>A77</f>
        <v>R0</v>
      </c>
      <c r="B78" s="251"/>
      <c r="C78" s="251"/>
      <c r="D78" s="251"/>
      <c r="E78" s="251" t="s">
        <v>542</v>
      </c>
      <c r="F78" s="251"/>
      <c r="G78" s="280"/>
      <c r="H78" s="295">
        <v>0.266993002219099</v>
      </c>
      <c r="I78" s="256"/>
      <c r="J78" s="256"/>
      <c r="K78" s="256"/>
      <c r="L78" s="256"/>
      <c r="M78" s="256"/>
      <c r="N78" s="256"/>
      <c r="O78" s="256"/>
      <c r="P78" s="256"/>
      <c r="Q78" s="256"/>
      <c r="R78" s="256"/>
      <c r="S78" s="256"/>
      <c r="T78" s="256"/>
      <c r="U78" s="256"/>
      <c r="V78" s="256"/>
      <c r="W78" s="256"/>
      <c r="X78" s="256"/>
      <c r="Y78" s="256"/>
      <c r="Z78" s="256"/>
      <c r="AA78" s="256"/>
      <c r="AB78" s="256"/>
      <c r="AC78" s="256"/>
      <c r="AD78" s="256"/>
      <c r="AE78" s="256"/>
      <c r="AF78" s="256"/>
      <c r="AG78" s="256"/>
      <c r="AH78" s="256"/>
      <c r="AI78" s="256"/>
      <c r="AJ78" s="256"/>
      <c r="AK78" s="256"/>
      <c r="AL78" s="256"/>
      <c r="AM78" s="256"/>
      <c r="AN78" s="256"/>
      <c r="AO78" s="256"/>
      <c r="AP78" s="256"/>
      <c r="AQ78" s="256"/>
      <c r="AR78" s="256"/>
      <c r="AS78" s="256"/>
      <c r="AT78" s="256"/>
      <c r="AU78" s="256"/>
      <c r="AV78" s="256"/>
      <c r="AW78" s="256"/>
      <c r="AX78" s="256"/>
      <c r="AY78" s="256"/>
      <c r="AZ78" s="256"/>
      <c r="BA78" s="256"/>
      <c r="BB78" s="256"/>
      <c r="BC78" s="256"/>
      <c r="BD78" s="256"/>
      <c r="BE78" s="256"/>
      <c r="BF78" s="256"/>
      <c r="BG78" s="256"/>
      <c r="BH78" s="256"/>
      <c r="BI78" s="256"/>
      <c r="BJ78" s="256"/>
      <c r="BK78" s="256"/>
      <c r="BL78" s="256"/>
      <c r="BM78" s="256"/>
      <c r="BN78" s="256"/>
      <c r="BO78" s="256"/>
      <c r="BP78" s="256"/>
      <c r="BQ78" s="256"/>
      <c r="BR78" s="256"/>
      <c r="BS78" s="256"/>
      <c r="BT78" s="256"/>
      <c r="BU78" s="256"/>
      <c r="BV78" s="256"/>
      <c r="BW78" s="256"/>
      <c r="BX78" s="256"/>
      <c r="BY78" s="256"/>
    </row>
    <row r="79" spans="1:77" x14ac:dyDescent="0.2">
      <c r="A79" s="251" t="str">
        <f t="shared" ref="A79:A80" si="14">A78</f>
        <v>R0</v>
      </c>
      <c r="B79" s="251"/>
      <c r="C79" s="251"/>
      <c r="D79" s="251"/>
      <c r="E79" s="251" t="s">
        <v>1325</v>
      </c>
      <c r="F79" s="251"/>
      <c r="G79" s="280"/>
      <c r="H79" s="295">
        <v>0.56040000000000001</v>
      </c>
      <c r="I79" s="256"/>
      <c r="J79" s="256"/>
      <c r="K79" s="256"/>
      <c r="L79" s="256"/>
      <c r="M79" s="256"/>
      <c r="N79" s="256"/>
      <c r="O79" s="256"/>
      <c r="P79" s="256"/>
      <c r="Q79" s="256"/>
      <c r="R79" s="256"/>
      <c r="S79" s="256"/>
      <c r="T79" s="256"/>
      <c r="U79" s="256"/>
      <c r="V79" s="256"/>
      <c r="W79" s="256"/>
      <c r="X79" s="256"/>
      <c r="Y79" s="256"/>
      <c r="Z79" s="256"/>
      <c r="AA79" s="256"/>
      <c r="AB79" s="256"/>
      <c r="AC79" s="256"/>
      <c r="AD79" s="256"/>
      <c r="AE79" s="256"/>
      <c r="AF79" s="256"/>
      <c r="AG79" s="256"/>
      <c r="AH79" s="256"/>
      <c r="AI79" s="256"/>
      <c r="AJ79" s="256"/>
      <c r="AK79" s="256"/>
      <c r="AL79" s="256"/>
      <c r="AM79" s="256"/>
      <c r="AN79" s="256"/>
      <c r="AO79" s="256"/>
      <c r="AP79" s="256"/>
      <c r="AQ79" s="256"/>
      <c r="AR79" s="256"/>
      <c r="AS79" s="256"/>
      <c r="AT79" s="256"/>
      <c r="AU79" s="256"/>
      <c r="AV79" s="256"/>
      <c r="AW79" s="256"/>
      <c r="AX79" s="256"/>
      <c r="AY79" s="256"/>
      <c r="AZ79" s="256"/>
      <c r="BA79" s="256"/>
      <c r="BB79" s="256"/>
      <c r="BC79" s="256"/>
      <c r="BD79" s="256"/>
      <c r="BE79" s="256"/>
      <c r="BF79" s="256"/>
      <c r="BG79" s="256"/>
      <c r="BH79" s="256"/>
      <c r="BI79" s="256"/>
      <c r="BJ79" s="256"/>
      <c r="BK79" s="256"/>
      <c r="BL79" s="256"/>
      <c r="BM79" s="256"/>
      <c r="BN79" s="256"/>
      <c r="BO79" s="256"/>
      <c r="BP79" s="256"/>
      <c r="BQ79" s="256"/>
      <c r="BR79" s="256"/>
      <c r="BS79" s="256"/>
      <c r="BT79" s="256"/>
      <c r="BU79" s="256"/>
      <c r="BV79" s="256"/>
      <c r="BW79" s="256"/>
      <c r="BX79" s="256"/>
      <c r="BY79" s="256"/>
    </row>
    <row r="80" spans="1:77" x14ac:dyDescent="0.2">
      <c r="A80" s="251" t="str">
        <f t="shared" si="14"/>
        <v>R0</v>
      </c>
      <c r="B80" s="251"/>
      <c r="C80" s="251"/>
      <c r="D80" s="251"/>
      <c r="E80" s="251" t="s">
        <v>543</v>
      </c>
      <c r="F80" s="251"/>
      <c r="G80" s="280"/>
      <c r="H80" s="295">
        <v>0.17261824039783263</v>
      </c>
      <c r="I80" s="256"/>
      <c r="J80" s="256"/>
      <c r="K80" s="256"/>
      <c r="L80" s="256"/>
      <c r="M80" s="256"/>
      <c r="N80" s="256"/>
      <c r="O80" s="256"/>
      <c r="P80" s="256"/>
      <c r="Q80" s="256"/>
      <c r="R80" s="256"/>
      <c r="S80" s="256"/>
      <c r="T80" s="256"/>
      <c r="U80" s="256"/>
      <c r="V80" s="256"/>
      <c r="W80" s="256"/>
      <c r="X80" s="256"/>
      <c r="Y80" s="256"/>
      <c r="Z80" s="256"/>
      <c r="AA80" s="256"/>
      <c r="AB80" s="256"/>
      <c r="AC80" s="256"/>
      <c r="AD80" s="256"/>
      <c r="AE80" s="256"/>
      <c r="AF80" s="256"/>
      <c r="AG80" s="256"/>
      <c r="AH80" s="256"/>
      <c r="AI80" s="256"/>
      <c r="AJ80" s="256"/>
      <c r="AK80" s="256"/>
      <c r="AL80" s="256"/>
      <c r="AM80" s="256"/>
      <c r="AN80" s="256"/>
      <c r="AO80" s="256"/>
      <c r="AP80" s="256"/>
      <c r="AQ80" s="256"/>
      <c r="AR80" s="256"/>
      <c r="AS80" s="256"/>
      <c r="AT80" s="256"/>
      <c r="AU80" s="256"/>
      <c r="AV80" s="256"/>
      <c r="AW80" s="256"/>
      <c r="AX80" s="256"/>
      <c r="AY80" s="256"/>
      <c r="AZ80" s="256"/>
      <c r="BA80" s="256"/>
      <c r="BB80" s="256"/>
      <c r="BC80" s="256"/>
      <c r="BD80" s="256"/>
      <c r="BE80" s="256"/>
      <c r="BF80" s="256"/>
      <c r="BG80" s="256"/>
      <c r="BH80" s="256"/>
      <c r="BI80" s="256"/>
      <c r="BJ80" s="256"/>
      <c r="BK80" s="256"/>
      <c r="BL80" s="256"/>
      <c r="BM80" s="256"/>
      <c r="BN80" s="256"/>
      <c r="BO80" s="256"/>
      <c r="BP80" s="256"/>
      <c r="BQ80" s="256"/>
      <c r="BR80" s="256"/>
      <c r="BS80" s="256"/>
      <c r="BT80" s="256"/>
      <c r="BU80" s="256"/>
      <c r="BV80" s="256"/>
      <c r="BW80" s="256"/>
      <c r="BX80" s="256"/>
      <c r="BY80" s="256"/>
    </row>
    <row r="81" spans="1:77" x14ac:dyDescent="0.2">
      <c r="A81" s="251" t="s">
        <v>145</v>
      </c>
      <c r="B81" s="251" t="s">
        <v>545</v>
      </c>
      <c r="C81" s="251" t="s">
        <v>544</v>
      </c>
      <c r="D81" s="251" t="s">
        <v>154</v>
      </c>
      <c r="E81" s="251" t="s">
        <v>1248</v>
      </c>
      <c r="F81" s="251">
        <v>2010</v>
      </c>
      <c r="G81" s="280">
        <v>1</v>
      </c>
      <c r="H81" s="280"/>
      <c r="I81" s="256"/>
      <c r="J81" s="256"/>
      <c r="K81" s="256"/>
      <c r="L81" s="256"/>
      <c r="M81" s="256"/>
      <c r="N81" s="256"/>
      <c r="O81" s="256"/>
      <c r="P81" s="256"/>
      <c r="Q81" s="256"/>
      <c r="R81" s="256"/>
      <c r="S81" s="256"/>
      <c r="T81" s="256"/>
      <c r="U81" s="256"/>
      <c r="V81" s="256"/>
      <c r="W81" s="256"/>
      <c r="X81" s="256"/>
      <c r="Y81" s="256"/>
      <c r="Z81" s="256"/>
      <c r="AA81" s="256"/>
      <c r="AB81" s="256"/>
      <c r="AC81" s="256"/>
      <c r="AD81" s="256"/>
      <c r="AE81" s="256"/>
      <c r="AF81" s="256"/>
      <c r="AG81" s="256"/>
      <c r="AH81" s="256"/>
      <c r="AI81" s="256"/>
      <c r="AJ81" s="256"/>
      <c r="AK81" s="256"/>
      <c r="AL81" s="256"/>
      <c r="AM81" s="256"/>
      <c r="AN81" s="256"/>
      <c r="AO81" s="256"/>
      <c r="AP81" s="256"/>
      <c r="AQ81" s="256"/>
      <c r="AR81" s="256"/>
      <c r="AS81" s="256"/>
      <c r="AT81" s="256"/>
      <c r="AU81" s="256"/>
      <c r="AV81" s="256"/>
      <c r="AW81" s="256"/>
      <c r="AX81" s="256"/>
      <c r="AY81" s="256"/>
      <c r="AZ81" s="256"/>
      <c r="BA81" s="256"/>
      <c r="BB81" s="256"/>
      <c r="BC81" s="256"/>
      <c r="BD81" s="256"/>
      <c r="BE81" s="256"/>
      <c r="BF81" s="256"/>
      <c r="BG81" s="256"/>
      <c r="BH81" s="256"/>
      <c r="BI81" s="256"/>
      <c r="BJ81" s="256"/>
      <c r="BK81" s="256"/>
      <c r="BL81" s="256"/>
      <c r="BM81" s="256"/>
      <c r="BN81" s="256"/>
      <c r="BO81" s="256"/>
      <c r="BP81" s="256"/>
      <c r="BQ81" s="256"/>
      <c r="BR81" s="256"/>
      <c r="BS81" s="256"/>
      <c r="BT81" s="256"/>
      <c r="BU81" s="256"/>
      <c r="BV81" s="256"/>
      <c r="BW81" s="256"/>
      <c r="BX81" s="256"/>
      <c r="BY81" s="256"/>
    </row>
    <row r="82" spans="1:77" x14ac:dyDescent="0.2">
      <c r="A82" s="251" t="str">
        <f>Technologies!B41</f>
        <v>R0</v>
      </c>
      <c r="B82" s="251" t="str">
        <f>Technologies!C41</f>
        <v>SCNGAC1</v>
      </c>
      <c r="C82" s="251" t="str">
        <f>Technologies!D41</f>
        <v>Canadian imported natural gas in R1</v>
      </c>
      <c r="D82" s="251" t="s">
        <v>1248</v>
      </c>
      <c r="E82" s="251" t="str">
        <f>Commodities!C29</f>
        <v>NGAC1</v>
      </c>
      <c r="F82" s="251">
        <v>2010</v>
      </c>
      <c r="G82" s="280">
        <v>1</v>
      </c>
      <c r="H82" s="296"/>
      <c r="I82" s="256"/>
      <c r="J82" s="256"/>
      <c r="K82" s="256"/>
      <c r="L82" s="256"/>
      <c r="M82" s="256"/>
      <c r="N82" s="256"/>
      <c r="O82" s="256"/>
      <c r="P82" s="256"/>
      <c r="Q82" s="256"/>
      <c r="R82" s="256"/>
      <c r="S82" s="256"/>
      <c r="T82" s="256"/>
      <c r="U82" s="256"/>
      <c r="V82" s="256"/>
      <c r="W82" s="256"/>
      <c r="X82" s="256"/>
      <c r="Y82" s="256"/>
      <c r="Z82" s="256"/>
      <c r="AA82" s="256"/>
      <c r="AB82" s="256"/>
      <c r="AC82" s="256"/>
      <c r="AD82" s="256"/>
      <c r="AE82" s="256"/>
      <c r="AF82" s="256"/>
      <c r="AG82" s="256"/>
      <c r="AH82" s="256"/>
      <c r="AI82" s="256"/>
      <c r="AJ82" s="256"/>
      <c r="AK82" s="256"/>
      <c r="AL82" s="256"/>
      <c r="AM82" s="256"/>
      <c r="AN82" s="256"/>
      <c r="AO82" s="256"/>
      <c r="AP82" s="256"/>
      <c r="AQ82" s="256"/>
      <c r="AR82" s="256"/>
      <c r="AS82" s="256"/>
      <c r="AT82" s="256"/>
      <c r="AU82" s="256"/>
      <c r="AV82" s="256"/>
      <c r="AW82" s="256"/>
      <c r="AX82" s="256"/>
      <c r="AY82" s="256"/>
      <c r="AZ82" s="256"/>
      <c r="BA82" s="256"/>
      <c r="BB82" s="256"/>
      <c r="BC82" s="256"/>
      <c r="BD82" s="256"/>
      <c r="BE82" s="256"/>
      <c r="BF82" s="256"/>
      <c r="BG82" s="256"/>
      <c r="BH82" s="256"/>
      <c r="BI82" s="256"/>
      <c r="BJ82" s="256"/>
      <c r="BK82" s="256"/>
      <c r="BL82" s="256"/>
      <c r="BM82" s="256"/>
      <c r="BN82" s="256"/>
      <c r="BO82" s="256"/>
      <c r="BP82" s="256"/>
      <c r="BQ82" s="256"/>
      <c r="BR82" s="256"/>
      <c r="BS82" s="256"/>
      <c r="BT82" s="256"/>
      <c r="BU82" s="256"/>
      <c r="BV82" s="256"/>
      <c r="BW82" s="256"/>
      <c r="BX82" s="256"/>
      <c r="BY82" s="256"/>
    </row>
    <row r="83" spans="1:77" x14ac:dyDescent="0.2">
      <c r="A83" s="251" t="str">
        <f>Technologies!B42</f>
        <v>*R0</v>
      </c>
      <c r="B83" s="251" t="str">
        <f>Technologies!C42</f>
        <v>SCNGAC2</v>
      </c>
      <c r="C83" s="251" t="str">
        <f>Technologies!D42</f>
        <v>Canadian imported natural gas in R2</v>
      </c>
      <c r="D83" s="251" t="s">
        <v>1248</v>
      </c>
      <c r="E83" s="251" t="str">
        <f>Commodities!C30</f>
        <v>NGAC2</v>
      </c>
      <c r="F83" s="251">
        <v>2010</v>
      </c>
      <c r="G83" s="280">
        <v>1</v>
      </c>
      <c r="H83" s="296"/>
      <c r="I83" s="256"/>
      <c r="J83" s="256"/>
      <c r="K83" s="256"/>
      <c r="L83" s="256"/>
      <c r="M83" s="256"/>
      <c r="N83" s="256"/>
      <c r="O83" s="256"/>
      <c r="P83" s="256"/>
      <c r="Q83" s="256"/>
      <c r="R83" s="256"/>
      <c r="S83" s="256"/>
      <c r="T83" s="256"/>
      <c r="U83" s="256"/>
      <c r="V83" s="256"/>
      <c r="W83" s="256"/>
      <c r="X83" s="256"/>
      <c r="Y83" s="256"/>
      <c r="Z83" s="256"/>
      <c r="AA83" s="256"/>
      <c r="AB83" s="256"/>
      <c r="AC83" s="256"/>
      <c r="AD83" s="256"/>
      <c r="AE83" s="256"/>
      <c r="AF83" s="256"/>
      <c r="AG83" s="256"/>
      <c r="AH83" s="256"/>
      <c r="AI83" s="256"/>
      <c r="AJ83" s="256"/>
      <c r="AK83" s="256"/>
      <c r="AL83" s="256"/>
      <c r="AM83" s="256"/>
      <c r="AN83" s="256"/>
      <c r="AO83" s="256"/>
      <c r="AP83" s="256"/>
      <c r="AQ83" s="256"/>
      <c r="AR83" s="256"/>
      <c r="AS83" s="256"/>
      <c r="AT83" s="256"/>
      <c r="AU83" s="256"/>
      <c r="AV83" s="256"/>
      <c r="AW83" s="256"/>
      <c r="AX83" s="256"/>
      <c r="AY83" s="256"/>
      <c r="AZ83" s="256"/>
      <c r="BA83" s="256"/>
      <c r="BB83" s="256"/>
      <c r="BC83" s="256"/>
      <c r="BD83" s="256"/>
      <c r="BE83" s="256"/>
      <c r="BF83" s="256"/>
      <c r="BG83" s="256"/>
      <c r="BH83" s="256"/>
      <c r="BI83" s="256"/>
      <c r="BJ83" s="256"/>
      <c r="BK83" s="256"/>
      <c r="BL83" s="256"/>
      <c r="BM83" s="256"/>
      <c r="BN83" s="256"/>
      <c r="BO83" s="256"/>
      <c r="BP83" s="256"/>
      <c r="BQ83" s="256"/>
      <c r="BR83" s="256"/>
      <c r="BS83" s="256"/>
      <c r="BT83" s="256"/>
      <c r="BU83" s="256"/>
      <c r="BV83" s="256"/>
      <c r="BW83" s="256"/>
      <c r="BX83" s="256"/>
      <c r="BY83" s="256"/>
    </row>
    <row r="84" spans="1:77" x14ac:dyDescent="0.2">
      <c r="A84" s="251" t="str">
        <f>Technologies!B43</f>
        <v>*R0</v>
      </c>
      <c r="B84" s="251" t="str">
        <f>Technologies!C43</f>
        <v>SCNGAC3</v>
      </c>
      <c r="C84" s="251" t="str">
        <f>Technologies!D43</f>
        <v>Canadian imported natural gas in R3</v>
      </c>
      <c r="D84" s="251" t="s">
        <v>1248</v>
      </c>
      <c r="E84" s="251" t="str">
        <f>Commodities!C31</f>
        <v>NGAC3</v>
      </c>
      <c r="F84" s="251">
        <v>2010</v>
      </c>
      <c r="G84" s="280">
        <v>1</v>
      </c>
      <c r="H84" s="296"/>
      <c r="I84" s="256"/>
      <c r="J84" s="256"/>
      <c r="K84" s="256"/>
      <c r="L84" s="256"/>
      <c r="M84" s="256"/>
      <c r="N84" s="256"/>
      <c r="O84" s="256"/>
      <c r="P84" s="256"/>
      <c r="Q84" s="256"/>
      <c r="R84" s="256"/>
      <c r="S84" s="256"/>
      <c r="T84" s="256"/>
      <c r="U84" s="256"/>
      <c r="V84" s="256"/>
      <c r="W84" s="256"/>
      <c r="X84" s="256"/>
      <c r="Y84" s="256"/>
      <c r="Z84" s="256"/>
      <c r="AA84" s="256"/>
      <c r="AB84" s="256"/>
      <c r="AC84" s="256"/>
      <c r="AD84" s="256"/>
      <c r="AE84" s="256"/>
      <c r="AF84" s="256"/>
      <c r="AG84" s="256"/>
      <c r="AH84" s="256"/>
      <c r="AI84" s="256"/>
      <c r="AJ84" s="256"/>
      <c r="AK84" s="256"/>
      <c r="AL84" s="256"/>
      <c r="AM84" s="256"/>
      <c r="AN84" s="256"/>
      <c r="AO84" s="256"/>
      <c r="AP84" s="256"/>
      <c r="AQ84" s="256"/>
      <c r="AR84" s="256"/>
      <c r="AS84" s="256"/>
      <c r="AT84" s="256"/>
      <c r="AU84" s="256"/>
      <c r="AV84" s="256"/>
      <c r="AW84" s="256"/>
      <c r="AX84" s="256"/>
      <c r="AY84" s="256"/>
      <c r="AZ84" s="256"/>
      <c r="BA84" s="256"/>
      <c r="BB84" s="256"/>
      <c r="BC84" s="256"/>
      <c r="BD84" s="256"/>
      <c r="BE84" s="256"/>
      <c r="BF84" s="256"/>
      <c r="BG84" s="256"/>
      <c r="BH84" s="256"/>
      <c r="BI84" s="256"/>
      <c r="BJ84" s="256"/>
      <c r="BK84" s="256"/>
      <c r="BL84" s="256"/>
      <c r="BM84" s="256"/>
      <c r="BN84" s="256"/>
      <c r="BO84" s="256"/>
      <c r="BP84" s="256"/>
      <c r="BQ84" s="256"/>
      <c r="BR84" s="256"/>
      <c r="BS84" s="256"/>
      <c r="BT84" s="256"/>
      <c r="BU84" s="256"/>
      <c r="BV84" s="256"/>
      <c r="BW84" s="256"/>
      <c r="BX84" s="256"/>
      <c r="BY84" s="256"/>
    </row>
    <row r="85" spans="1:77" x14ac:dyDescent="0.2">
      <c r="A85" s="251" t="str">
        <f>Technologies!B44</f>
        <v>*R0</v>
      </c>
      <c r="B85" s="251" t="str">
        <f>Technologies!C44</f>
        <v>SCNGAC4</v>
      </c>
      <c r="C85" s="251" t="str">
        <f>Technologies!D44</f>
        <v>Canadian imported natural gas in R4</v>
      </c>
      <c r="D85" s="251" t="s">
        <v>1248</v>
      </c>
      <c r="E85" s="251" t="str">
        <f>Commodities!C32</f>
        <v>NGAC4</v>
      </c>
      <c r="F85" s="251">
        <v>2010</v>
      </c>
      <c r="G85" s="280">
        <v>1</v>
      </c>
      <c r="H85" s="296"/>
      <c r="I85" s="256"/>
      <c r="J85" s="256"/>
      <c r="K85" s="256"/>
      <c r="L85" s="256"/>
      <c r="M85" s="256"/>
      <c r="N85" s="256"/>
      <c r="O85" s="256"/>
      <c r="P85" s="256"/>
      <c r="Q85" s="256"/>
      <c r="R85" s="256"/>
      <c r="S85" s="256"/>
      <c r="T85" s="256"/>
      <c r="U85" s="256"/>
      <c r="V85" s="256"/>
      <c r="W85" s="256"/>
      <c r="X85" s="256"/>
      <c r="Y85" s="256"/>
      <c r="Z85" s="256"/>
      <c r="AA85" s="256"/>
      <c r="AB85" s="256"/>
      <c r="AC85" s="256"/>
      <c r="AD85" s="256"/>
      <c r="AE85" s="256"/>
      <c r="AF85" s="256"/>
      <c r="AG85" s="256"/>
      <c r="AH85" s="256"/>
      <c r="AI85" s="256"/>
      <c r="AJ85" s="256"/>
      <c r="AK85" s="256"/>
      <c r="AL85" s="256"/>
      <c r="AM85" s="256"/>
      <c r="AN85" s="256"/>
      <c r="AO85" s="256"/>
      <c r="AP85" s="256"/>
      <c r="AQ85" s="256"/>
      <c r="AR85" s="256"/>
      <c r="AS85" s="256"/>
      <c r="AT85" s="256"/>
      <c r="AU85" s="256"/>
      <c r="AV85" s="256"/>
      <c r="AW85" s="256"/>
      <c r="AX85" s="256"/>
      <c r="AY85" s="256"/>
      <c r="AZ85" s="256"/>
      <c r="BA85" s="256"/>
      <c r="BB85" s="256"/>
      <c r="BC85" s="256"/>
      <c r="BD85" s="256"/>
      <c r="BE85" s="256"/>
      <c r="BF85" s="256"/>
      <c r="BG85" s="256"/>
      <c r="BH85" s="256"/>
      <c r="BI85" s="256"/>
      <c r="BJ85" s="256"/>
      <c r="BK85" s="256"/>
      <c r="BL85" s="256"/>
      <c r="BM85" s="256"/>
      <c r="BN85" s="256"/>
      <c r="BO85" s="256"/>
      <c r="BP85" s="256"/>
      <c r="BQ85" s="256"/>
      <c r="BR85" s="256"/>
      <c r="BS85" s="256"/>
      <c r="BT85" s="256"/>
      <c r="BU85" s="256"/>
      <c r="BV85" s="256"/>
      <c r="BW85" s="256"/>
      <c r="BX85" s="256"/>
      <c r="BY85" s="256"/>
    </row>
    <row r="86" spans="1:77" x14ac:dyDescent="0.2">
      <c r="A86" s="251" t="str">
        <f>Technologies!B45</f>
        <v>*R0</v>
      </c>
      <c r="B86" s="251" t="str">
        <f>Technologies!C45</f>
        <v>SCNGAC5</v>
      </c>
      <c r="C86" s="251" t="str">
        <f>Technologies!D45</f>
        <v>Canadian imported natural gas in R5</v>
      </c>
      <c r="D86" s="251" t="s">
        <v>1248</v>
      </c>
      <c r="E86" s="251" t="str">
        <f>Commodities!C33</f>
        <v>NGAC5</v>
      </c>
      <c r="F86" s="251">
        <v>2010</v>
      </c>
      <c r="G86" s="280">
        <v>1</v>
      </c>
      <c r="H86" s="296"/>
      <c r="I86" s="256"/>
      <c r="J86" s="256"/>
      <c r="K86" s="256"/>
      <c r="L86" s="256"/>
      <c r="M86" s="256"/>
      <c r="N86" s="256"/>
      <c r="O86" s="256"/>
      <c r="P86" s="256"/>
      <c r="Q86" s="256"/>
      <c r="R86" s="256"/>
      <c r="S86" s="256"/>
      <c r="T86" s="256"/>
      <c r="U86" s="256"/>
      <c r="V86" s="256"/>
      <c r="W86" s="256"/>
      <c r="X86" s="256"/>
      <c r="Y86" s="256"/>
      <c r="Z86" s="256"/>
      <c r="AA86" s="256"/>
      <c r="AB86" s="256"/>
      <c r="AC86" s="256"/>
      <c r="AD86" s="256"/>
      <c r="AE86" s="256"/>
      <c r="AF86" s="256"/>
      <c r="AG86" s="256"/>
      <c r="AH86" s="256"/>
      <c r="AI86" s="256"/>
      <c r="AJ86" s="256"/>
      <c r="AK86" s="256"/>
      <c r="AL86" s="256"/>
      <c r="AM86" s="256"/>
      <c r="AN86" s="256"/>
      <c r="AO86" s="256"/>
      <c r="AP86" s="256"/>
      <c r="AQ86" s="256"/>
      <c r="AR86" s="256"/>
      <c r="AS86" s="256"/>
      <c r="AT86" s="256"/>
      <c r="AU86" s="256"/>
      <c r="AV86" s="256"/>
      <c r="AW86" s="256"/>
      <c r="AX86" s="256"/>
      <c r="AY86" s="256"/>
      <c r="AZ86" s="256"/>
      <c r="BA86" s="256"/>
      <c r="BB86" s="256"/>
      <c r="BC86" s="256"/>
      <c r="BD86" s="256"/>
      <c r="BE86" s="256"/>
      <c r="BF86" s="256"/>
      <c r="BG86" s="256"/>
      <c r="BH86" s="256"/>
      <c r="BI86" s="256"/>
      <c r="BJ86" s="256"/>
      <c r="BK86" s="256"/>
      <c r="BL86" s="256"/>
      <c r="BM86" s="256"/>
      <c r="BN86" s="256"/>
      <c r="BO86" s="256"/>
      <c r="BP86" s="256"/>
      <c r="BQ86" s="256"/>
      <c r="BR86" s="256"/>
      <c r="BS86" s="256"/>
      <c r="BT86" s="256"/>
      <c r="BU86" s="256"/>
      <c r="BV86" s="256"/>
      <c r="BW86" s="256"/>
      <c r="BX86" s="256"/>
      <c r="BY86" s="256"/>
    </row>
    <row r="87" spans="1:77" x14ac:dyDescent="0.2">
      <c r="A87" s="251" t="str">
        <f>Technologies!B46</f>
        <v>*R0</v>
      </c>
      <c r="B87" s="251" t="str">
        <f>Technologies!C46</f>
        <v>SCNGAC6</v>
      </c>
      <c r="C87" s="251" t="str">
        <f>Technologies!D46</f>
        <v>Canadian imported natural gas in R6</v>
      </c>
      <c r="D87" s="251" t="s">
        <v>1248</v>
      </c>
      <c r="E87" s="251" t="str">
        <f>Commodities!C34</f>
        <v>NGAC6</v>
      </c>
      <c r="F87" s="251">
        <v>2010</v>
      </c>
      <c r="G87" s="280">
        <v>1</v>
      </c>
      <c r="H87" s="296"/>
      <c r="I87" s="256"/>
      <c r="J87" s="256"/>
      <c r="K87" s="256"/>
      <c r="L87" s="256"/>
      <c r="M87" s="256"/>
      <c r="N87" s="256"/>
      <c r="O87" s="256"/>
      <c r="P87" s="256"/>
      <c r="Q87" s="256"/>
      <c r="R87" s="256"/>
      <c r="S87" s="256"/>
      <c r="T87" s="256"/>
      <c r="U87" s="256"/>
      <c r="V87" s="256"/>
      <c r="W87" s="256"/>
      <c r="X87" s="256"/>
      <c r="Y87" s="256"/>
      <c r="Z87" s="256"/>
      <c r="AA87" s="256"/>
      <c r="AB87" s="256"/>
      <c r="AC87" s="256"/>
      <c r="AD87" s="256"/>
      <c r="AE87" s="256"/>
      <c r="AF87" s="256"/>
      <c r="AG87" s="256"/>
      <c r="AH87" s="256"/>
      <c r="AI87" s="256"/>
      <c r="AJ87" s="256"/>
      <c r="AK87" s="256"/>
      <c r="AL87" s="256"/>
      <c r="AM87" s="256"/>
      <c r="AN87" s="256"/>
      <c r="AO87" s="256"/>
      <c r="AP87" s="256"/>
      <c r="AQ87" s="256"/>
      <c r="AR87" s="256"/>
      <c r="AS87" s="256"/>
      <c r="AT87" s="256"/>
      <c r="AU87" s="256"/>
      <c r="AV87" s="256"/>
      <c r="AW87" s="256"/>
      <c r="AX87" s="256"/>
      <c r="AY87" s="256"/>
      <c r="AZ87" s="256"/>
      <c r="BA87" s="256"/>
      <c r="BB87" s="256"/>
      <c r="BC87" s="256"/>
      <c r="BD87" s="256"/>
      <c r="BE87" s="256"/>
      <c r="BF87" s="256"/>
      <c r="BG87" s="256"/>
      <c r="BH87" s="256"/>
      <c r="BI87" s="256"/>
      <c r="BJ87" s="256"/>
      <c r="BK87" s="256"/>
      <c r="BL87" s="256"/>
      <c r="BM87" s="256"/>
      <c r="BN87" s="256"/>
      <c r="BO87" s="256"/>
      <c r="BP87" s="256"/>
      <c r="BQ87" s="256"/>
      <c r="BR87" s="256"/>
      <c r="BS87" s="256"/>
      <c r="BT87" s="256"/>
      <c r="BU87" s="256"/>
      <c r="BV87" s="256"/>
      <c r="BW87" s="256"/>
      <c r="BX87" s="256"/>
      <c r="BY87" s="256"/>
    </row>
    <row r="88" spans="1:77" x14ac:dyDescent="0.2">
      <c r="A88" s="240"/>
      <c r="B88" s="240"/>
      <c r="C88" s="240"/>
      <c r="D88" s="240"/>
      <c r="E88" s="240"/>
      <c r="F88" s="240"/>
      <c r="G88" s="240"/>
      <c r="K88" s="271"/>
    </row>
    <row r="89" spans="1:77" x14ac:dyDescent="0.2">
      <c r="A89" s="240"/>
      <c r="B89" s="240"/>
      <c r="C89" s="240"/>
      <c r="D89" s="240"/>
      <c r="E89" s="240"/>
      <c r="F89" s="240"/>
      <c r="G89" s="240"/>
      <c r="K89" s="271"/>
    </row>
    <row r="90" spans="1:77" x14ac:dyDescent="0.2">
      <c r="A90" s="240"/>
      <c r="B90" s="240"/>
      <c r="C90" s="240"/>
      <c r="D90" s="240"/>
      <c r="E90" s="240"/>
      <c r="F90" s="240"/>
      <c r="G90" s="240"/>
      <c r="K90" s="271"/>
    </row>
    <row r="91" spans="1:77" x14ac:dyDescent="0.2">
      <c r="A91" s="240"/>
      <c r="B91" s="240"/>
      <c r="C91" s="240"/>
      <c r="D91" s="240"/>
      <c r="E91" s="240"/>
      <c r="F91" s="240"/>
      <c r="G91" s="240"/>
      <c r="K91" s="271"/>
    </row>
    <row r="92" spans="1:77" x14ac:dyDescent="0.2">
      <c r="A92" s="240"/>
      <c r="B92" s="240"/>
      <c r="C92" s="240"/>
      <c r="D92" s="240"/>
      <c r="E92" s="240"/>
      <c r="F92" s="240"/>
      <c r="G92" s="240"/>
      <c r="K92" s="271"/>
    </row>
    <row r="93" spans="1:77" ht="17.25" customHeight="1" x14ac:dyDescent="0.2">
      <c r="D93" s="255" t="s">
        <v>1596</v>
      </c>
      <c r="F93" s="258"/>
      <c r="G93" s="258"/>
      <c r="H93" s="258"/>
      <c r="K93" s="258"/>
      <c r="L93" s="258"/>
      <c r="M93" s="258"/>
      <c r="N93" s="258"/>
      <c r="O93" s="258"/>
      <c r="P93" s="258"/>
      <c r="Q93" s="258"/>
      <c r="R93" s="258"/>
      <c r="W93" s="258"/>
      <c r="X93" s="258"/>
      <c r="AS93" s="262"/>
      <c r="AT93" s="262"/>
      <c r="BR93" s="258"/>
      <c r="BS93" s="258"/>
      <c r="BT93" s="258"/>
      <c r="BU93" s="258"/>
      <c r="BV93" s="258"/>
      <c r="BY93" s="256"/>
    </row>
    <row r="94" spans="1:77" ht="15.75" customHeight="1" x14ac:dyDescent="0.2">
      <c r="A94" s="244" t="s">
        <v>47</v>
      </c>
      <c r="B94" s="244" t="s">
        <v>130</v>
      </c>
      <c r="C94" s="244" t="s">
        <v>131</v>
      </c>
      <c r="D94" s="244" t="s">
        <v>133</v>
      </c>
      <c r="E94" s="244" t="s">
        <v>1696</v>
      </c>
      <c r="F94" s="244" t="s">
        <v>1697</v>
      </c>
      <c r="G94" s="244" t="s">
        <v>1698</v>
      </c>
      <c r="H94" s="244" t="s">
        <v>1699</v>
      </c>
      <c r="I94" s="244" t="s">
        <v>1700</v>
      </c>
      <c r="J94" s="244" t="s">
        <v>1701</v>
      </c>
      <c r="K94" s="244" t="s">
        <v>1702</v>
      </c>
      <c r="L94" s="244" t="s">
        <v>1703</v>
      </c>
      <c r="M94" s="244" t="s">
        <v>1704</v>
      </c>
      <c r="N94" s="244" t="s">
        <v>1705</v>
      </c>
      <c r="O94" s="256"/>
      <c r="P94" s="256"/>
      <c r="Q94" s="256"/>
      <c r="R94" s="256"/>
      <c r="S94" s="256"/>
      <c r="T94" s="256"/>
      <c r="U94" s="256"/>
      <c r="V94" s="256"/>
      <c r="W94" s="256"/>
      <c r="X94" s="256"/>
      <c r="Y94" s="256"/>
      <c r="Z94" s="256"/>
      <c r="AA94" s="256"/>
      <c r="AB94" s="256"/>
      <c r="AC94" s="256"/>
      <c r="AD94" s="256"/>
      <c r="AE94" s="256"/>
      <c r="AF94" s="256"/>
      <c r="AG94" s="256"/>
      <c r="AH94" s="256"/>
      <c r="AI94" s="256"/>
      <c r="AJ94" s="256"/>
      <c r="AK94" s="256"/>
      <c r="AL94" s="256"/>
      <c r="AM94" s="256"/>
      <c r="AN94" s="256"/>
      <c r="AO94" s="256"/>
      <c r="AP94" s="256"/>
      <c r="AQ94" s="256"/>
      <c r="AR94" s="256"/>
      <c r="AS94" s="256"/>
      <c r="AT94" s="256"/>
      <c r="AU94" s="256"/>
      <c r="AV94" s="256"/>
      <c r="AW94" s="256"/>
      <c r="AX94" s="256"/>
      <c r="AY94" s="256"/>
      <c r="AZ94" s="256"/>
      <c r="BA94" s="256"/>
      <c r="BB94" s="256"/>
      <c r="BC94" s="256"/>
      <c r="BD94" s="256"/>
      <c r="BE94" s="256"/>
      <c r="BF94" s="256"/>
      <c r="BG94" s="256"/>
      <c r="BH94" s="256"/>
      <c r="BI94" s="256"/>
      <c r="BJ94" s="256"/>
      <c r="BK94" s="256"/>
      <c r="BL94" s="256"/>
      <c r="BM94" s="256"/>
      <c r="BN94" s="256"/>
      <c r="BO94" s="256"/>
      <c r="BP94" s="256"/>
      <c r="BQ94" s="256"/>
      <c r="BR94" s="256"/>
      <c r="BS94" s="256"/>
      <c r="BT94" s="256"/>
      <c r="BU94" s="256"/>
      <c r="BV94" s="256"/>
      <c r="BW94" s="256"/>
      <c r="BX94" s="256"/>
      <c r="BY94" s="256"/>
    </row>
    <row r="95" spans="1:77" x14ac:dyDescent="0.2">
      <c r="A95" s="248" t="s">
        <v>1110</v>
      </c>
      <c r="B95" s="249"/>
      <c r="C95" s="249"/>
      <c r="D95" s="249"/>
      <c r="E95" s="277"/>
      <c r="F95" s="277"/>
      <c r="G95" s="277"/>
      <c r="H95" s="277"/>
      <c r="I95" s="277"/>
      <c r="J95" s="277"/>
      <c r="K95" s="277"/>
      <c r="L95" s="277"/>
      <c r="M95" s="277"/>
      <c r="N95" s="277"/>
      <c r="O95" s="256"/>
      <c r="P95" s="256"/>
      <c r="Q95" s="256"/>
      <c r="R95" s="256"/>
      <c r="S95" s="256"/>
      <c r="T95" s="256"/>
      <c r="U95" s="256"/>
      <c r="V95" s="256"/>
      <c r="W95" s="256"/>
      <c r="X95" s="256"/>
      <c r="Y95" s="256"/>
      <c r="Z95" s="256"/>
      <c r="AA95" s="256"/>
      <c r="AB95" s="256"/>
      <c r="AC95" s="256"/>
      <c r="AD95" s="256"/>
      <c r="AE95" s="256"/>
      <c r="AF95" s="256"/>
      <c r="AG95" s="256"/>
      <c r="AH95" s="256"/>
      <c r="AI95" s="256"/>
      <c r="AJ95" s="256"/>
      <c r="AK95" s="256"/>
      <c r="AL95" s="256"/>
      <c r="AM95" s="256"/>
      <c r="AN95" s="256"/>
      <c r="AO95" s="256"/>
      <c r="AP95" s="256"/>
      <c r="AQ95" s="256"/>
      <c r="AR95" s="256"/>
      <c r="AS95" s="256"/>
      <c r="AT95" s="256"/>
      <c r="AU95" s="256"/>
      <c r="AV95" s="256"/>
      <c r="AW95" s="256"/>
      <c r="AX95" s="256"/>
      <c r="AY95" s="256"/>
      <c r="AZ95" s="256"/>
      <c r="BA95" s="256"/>
      <c r="BB95" s="256"/>
      <c r="BC95" s="256"/>
      <c r="BD95" s="256"/>
      <c r="BE95" s="256"/>
      <c r="BF95" s="256"/>
      <c r="BG95" s="256"/>
      <c r="BH95" s="256"/>
      <c r="BI95" s="256"/>
      <c r="BJ95" s="256"/>
      <c r="BK95" s="256"/>
      <c r="BL95" s="256"/>
      <c r="BM95" s="256"/>
      <c r="BN95" s="256"/>
      <c r="BO95" s="256"/>
      <c r="BP95" s="256"/>
      <c r="BQ95" s="256"/>
      <c r="BR95" s="256"/>
      <c r="BS95" s="256"/>
      <c r="BT95" s="256"/>
      <c r="BU95" s="256"/>
      <c r="BV95" s="256"/>
      <c r="BW95" s="256"/>
      <c r="BX95" s="256"/>
      <c r="BY95" s="256"/>
    </row>
    <row r="96" spans="1:77" x14ac:dyDescent="0.2">
      <c r="A96" s="251" t="s">
        <v>160</v>
      </c>
      <c r="B96" s="251" t="str">
        <f>Technologies!C$49</f>
        <v>EXPNGAL</v>
      </c>
      <c r="C96" s="251" t="str">
        <f>Technologies!D$49</f>
        <v>Exported natural gas liquids</v>
      </c>
      <c r="D96" s="251" t="str">
        <f>Commodities!C18</f>
        <v>NGAR1</v>
      </c>
      <c r="E96" s="292"/>
      <c r="F96" s="292"/>
      <c r="G96" s="292">
        <v>0</v>
      </c>
      <c r="H96" s="292">
        <f>-'AEO NG Imports'!O$20*'LNG Export Regions'!AP17</f>
        <v>277.11467862399996</v>
      </c>
      <c r="I96" s="292">
        <f>-'AEO NG Imports'!P$20*'LNG Export Regions'!AQ17</f>
        <v>545.06408577599996</v>
      </c>
      <c r="J96" s="292">
        <f>-'AEO NG Imports'!Q$20*'LNG Export Regions'!AR17</f>
        <v>726.75211436799998</v>
      </c>
      <c r="K96" s="292">
        <f>-'AEO NG Imports'!R$20*'LNG Export Regions'!AS17</f>
        <v>908.44014295999989</v>
      </c>
      <c r="L96" s="292">
        <f t="shared" ref="L96" si="15">K96</f>
        <v>908.44014295999989</v>
      </c>
      <c r="M96" s="292">
        <f>L96</f>
        <v>908.44014295999989</v>
      </c>
      <c r="N96" s="292">
        <f>M96</f>
        <v>908.44014295999989</v>
      </c>
      <c r="O96" s="256"/>
      <c r="P96" s="256"/>
      <c r="Q96" s="256"/>
      <c r="R96" s="256"/>
      <c r="S96" s="256"/>
      <c r="T96" s="256"/>
      <c r="U96" s="256"/>
      <c r="V96" s="256"/>
      <c r="W96" s="256"/>
      <c r="X96" s="256"/>
      <c r="Y96" s="256"/>
      <c r="Z96" s="256"/>
      <c r="AA96" s="256"/>
      <c r="AB96" s="256"/>
      <c r="AC96" s="256"/>
      <c r="AD96" s="256"/>
      <c r="AE96" s="256"/>
      <c r="AF96" s="256"/>
      <c r="AG96" s="256"/>
      <c r="AH96" s="256"/>
      <c r="AI96" s="256"/>
      <c r="AJ96" s="256"/>
      <c r="AK96" s="256"/>
      <c r="AL96" s="256"/>
      <c r="AM96" s="256"/>
      <c r="AN96" s="256"/>
      <c r="AO96" s="256"/>
      <c r="AP96" s="256"/>
      <c r="AQ96" s="256"/>
      <c r="AR96" s="256"/>
      <c r="AS96" s="256"/>
      <c r="AT96" s="256"/>
      <c r="AU96" s="256"/>
      <c r="AV96" s="256"/>
      <c r="AW96" s="256"/>
      <c r="AX96" s="256"/>
      <c r="AY96" s="256"/>
      <c r="AZ96" s="256"/>
      <c r="BA96" s="256"/>
      <c r="BB96" s="256"/>
      <c r="BC96" s="256"/>
      <c r="BD96" s="256"/>
      <c r="BE96" s="256"/>
      <c r="BF96" s="256"/>
      <c r="BG96" s="256"/>
      <c r="BH96" s="256"/>
      <c r="BI96" s="256"/>
      <c r="BJ96" s="256"/>
      <c r="BK96" s="256"/>
      <c r="BL96" s="256"/>
      <c r="BM96" s="256"/>
      <c r="BN96" s="256"/>
      <c r="BO96" s="256"/>
      <c r="BP96" s="256"/>
      <c r="BQ96" s="256"/>
      <c r="BR96" s="256"/>
      <c r="BS96" s="256"/>
      <c r="BT96" s="256"/>
      <c r="BU96" s="256"/>
      <c r="BV96" s="256"/>
      <c r="BW96" s="256"/>
      <c r="BX96" s="256"/>
      <c r="BY96" s="256"/>
    </row>
    <row r="97" spans="1:78" x14ac:dyDescent="0.2">
      <c r="A97" s="251" t="s">
        <v>168</v>
      </c>
      <c r="B97" s="251" t="str">
        <f>Technologies!C$49</f>
        <v>EXPNGAL</v>
      </c>
      <c r="C97" s="251" t="str">
        <f>Technologies!D$49</f>
        <v>Exported natural gas liquids</v>
      </c>
      <c r="D97" s="251" t="str">
        <f>Commodities!C19</f>
        <v>NGAR2</v>
      </c>
      <c r="E97" s="292">
        <v>0</v>
      </c>
      <c r="F97" s="292">
        <v>0</v>
      </c>
      <c r="G97" s="292">
        <v>0</v>
      </c>
      <c r="H97" s="292">
        <v>0</v>
      </c>
      <c r="I97" s="292">
        <v>0</v>
      </c>
      <c r="J97" s="292">
        <v>0</v>
      </c>
      <c r="K97" s="292">
        <v>0</v>
      </c>
      <c r="L97" s="292">
        <v>0</v>
      </c>
      <c r="M97" s="292">
        <v>0</v>
      </c>
      <c r="N97" s="292">
        <v>0</v>
      </c>
      <c r="O97" s="256"/>
      <c r="P97" s="256"/>
      <c r="Q97" s="256"/>
      <c r="R97" s="256"/>
      <c r="S97" s="256"/>
      <c r="T97" s="256"/>
      <c r="U97" s="256"/>
      <c r="V97" s="256"/>
      <c r="W97" s="256"/>
      <c r="X97" s="256"/>
      <c r="Y97" s="256"/>
      <c r="Z97" s="256"/>
      <c r="AA97" s="256"/>
      <c r="AB97" s="256"/>
      <c r="AC97" s="256"/>
      <c r="AD97" s="256"/>
      <c r="AE97" s="256"/>
      <c r="AF97" s="256"/>
      <c r="AG97" s="256"/>
      <c r="AH97" s="256"/>
      <c r="AI97" s="256"/>
      <c r="AJ97" s="256"/>
      <c r="AK97" s="256"/>
      <c r="AL97" s="256"/>
      <c r="AM97" s="256"/>
      <c r="AN97" s="256"/>
      <c r="AO97" s="256"/>
      <c r="AP97" s="256"/>
      <c r="AQ97" s="256"/>
      <c r="AR97" s="256"/>
      <c r="AS97" s="256"/>
      <c r="AT97" s="256"/>
      <c r="AU97" s="256"/>
      <c r="AV97" s="256"/>
      <c r="AW97" s="256"/>
      <c r="AX97" s="256"/>
      <c r="AY97" s="256"/>
      <c r="AZ97" s="256"/>
      <c r="BA97" s="256"/>
      <c r="BB97" s="256"/>
      <c r="BC97" s="256"/>
      <c r="BD97" s="256"/>
      <c r="BE97" s="256"/>
      <c r="BF97" s="256"/>
      <c r="BG97" s="256"/>
      <c r="BH97" s="256"/>
      <c r="BI97" s="256"/>
      <c r="BJ97" s="256"/>
      <c r="BK97" s="256"/>
      <c r="BL97" s="256"/>
      <c r="BM97" s="256"/>
      <c r="BN97" s="256"/>
      <c r="BO97" s="256"/>
      <c r="BP97" s="256"/>
      <c r="BQ97" s="256"/>
      <c r="BR97" s="256"/>
      <c r="BS97" s="256"/>
      <c r="BT97" s="256"/>
      <c r="BU97" s="256"/>
      <c r="BV97" s="256"/>
      <c r="BW97" s="256"/>
      <c r="BX97" s="256"/>
      <c r="BY97" s="256"/>
    </row>
    <row r="98" spans="1:78" x14ac:dyDescent="0.2">
      <c r="A98" s="251" t="s">
        <v>165</v>
      </c>
      <c r="B98" s="251" t="str">
        <f>Technologies!C$49</f>
        <v>EXPNGAL</v>
      </c>
      <c r="C98" s="251" t="str">
        <f>Technologies!D$49</f>
        <v>Exported natural gas liquids</v>
      </c>
      <c r="D98" s="251" t="str">
        <f>Commodities!C20</f>
        <v>NGAR3</v>
      </c>
      <c r="E98" s="280">
        <v>0</v>
      </c>
      <c r="F98" s="280">
        <v>0</v>
      </c>
      <c r="G98" s="280">
        <v>0</v>
      </c>
      <c r="H98" s="280">
        <v>0</v>
      </c>
      <c r="I98" s="280">
        <v>0</v>
      </c>
      <c r="J98" s="280">
        <v>0</v>
      </c>
      <c r="K98" s="280">
        <v>0</v>
      </c>
      <c r="L98" s="280">
        <v>0</v>
      </c>
      <c r="M98" s="280">
        <v>0</v>
      </c>
      <c r="N98" s="280">
        <v>0</v>
      </c>
      <c r="O98" s="256"/>
      <c r="P98" s="256"/>
      <c r="Q98" s="256"/>
      <c r="R98" s="256"/>
      <c r="S98" s="256"/>
      <c r="T98" s="256"/>
      <c r="U98" s="256"/>
      <c r="V98" s="256"/>
      <c r="W98" s="256"/>
      <c r="X98" s="256"/>
      <c r="Y98" s="256"/>
      <c r="Z98" s="256"/>
      <c r="AA98" s="256"/>
      <c r="AB98" s="256"/>
      <c r="AC98" s="256"/>
      <c r="AD98" s="256"/>
      <c r="AE98" s="256"/>
      <c r="AF98" s="256"/>
      <c r="AG98" s="256"/>
      <c r="AH98" s="256"/>
      <c r="AI98" s="256"/>
      <c r="AJ98" s="256"/>
      <c r="AK98" s="256"/>
      <c r="AL98" s="256"/>
      <c r="AM98" s="256"/>
      <c r="AN98" s="256"/>
      <c r="AO98" s="256"/>
      <c r="AP98" s="256"/>
      <c r="AQ98" s="256"/>
      <c r="AR98" s="256"/>
      <c r="AS98" s="256"/>
      <c r="AT98" s="256"/>
      <c r="AU98" s="256"/>
      <c r="AV98" s="256"/>
      <c r="AW98" s="256"/>
      <c r="AX98" s="256"/>
      <c r="AY98" s="256"/>
      <c r="AZ98" s="256"/>
      <c r="BA98" s="256"/>
      <c r="BB98" s="256"/>
      <c r="BC98" s="256"/>
      <c r="BD98" s="256"/>
      <c r="BE98" s="256"/>
      <c r="BF98" s="256"/>
      <c r="BG98" s="256"/>
      <c r="BH98" s="256"/>
      <c r="BI98" s="256"/>
      <c r="BJ98" s="256"/>
      <c r="BK98" s="256"/>
      <c r="BL98" s="256"/>
      <c r="BM98" s="256"/>
      <c r="BN98" s="256"/>
      <c r="BO98" s="256"/>
      <c r="BP98" s="256"/>
      <c r="BQ98" s="256"/>
      <c r="BR98" s="256"/>
      <c r="BS98" s="256"/>
      <c r="BT98" s="256"/>
      <c r="BU98" s="256"/>
      <c r="BV98" s="256"/>
      <c r="BW98" s="256"/>
      <c r="BX98" s="256"/>
      <c r="BY98" s="256"/>
    </row>
    <row r="99" spans="1:78" x14ac:dyDescent="0.2">
      <c r="A99" s="251" t="s">
        <v>196</v>
      </c>
      <c r="B99" s="251" t="str">
        <f>Technologies!C$49</f>
        <v>EXPNGAL</v>
      </c>
      <c r="C99" s="251" t="str">
        <f>Technologies!D$49</f>
        <v>Exported natural gas liquids</v>
      </c>
      <c r="D99" s="251" t="str">
        <f>Commodities!C21</f>
        <v>NGAR4</v>
      </c>
      <c r="E99" s="280">
        <v>0</v>
      </c>
      <c r="F99" s="280">
        <v>0</v>
      </c>
      <c r="G99" s="280">
        <v>0</v>
      </c>
      <c r="H99" s="280">
        <v>0</v>
      </c>
      <c r="I99" s="280">
        <v>0</v>
      </c>
      <c r="J99" s="280">
        <v>0</v>
      </c>
      <c r="K99" s="280">
        <v>0</v>
      </c>
      <c r="L99" s="280">
        <v>0</v>
      </c>
      <c r="M99" s="280">
        <v>0</v>
      </c>
      <c r="N99" s="280">
        <v>0</v>
      </c>
      <c r="O99" s="256"/>
      <c r="P99" s="256"/>
      <c r="Q99" s="256"/>
      <c r="R99" s="256"/>
      <c r="S99" s="256"/>
      <c r="T99" s="256"/>
      <c r="U99" s="256"/>
      <c r="V99" s="256"/>
      <c r="W99" s="256"/>
      <c r="X99" s="256"/>
      <c r="Y99" s="256"/>
      <c r="Z99" s="256"/>
      <c r="AA99" s="256"/>
      <c r="AB99" s="256"/>
      <c r="AC99" s="256"/>
      <c r="AD99" s="256"/>
      <c r="AE99" s="256"/>
      <c r="AF99" s="256"/>
      <c r="AG99" s="256"/>
      <c r="AH99" s="256"/>
      <c r="AI99" s="256"/>
      <c r="AJ99" s="256"/>
      <c r="AK99" s="256"/>
      <c r="AL99" s="256"/>
      <c r="AM99" s="256"/>
      <c r="AN99" s="256"/>
      <c r="AO99" s="256"/>
      <c r="AP99" s="256"/>
      <c r="AQ99" s="256"/>
      <c r="AR99" s="256"/>
      <c r="AS99" s="256"/>
      <c r="AT99" s="256"/>
      <c r="AU99" s="256"/>
      <c r="AV99" s="256"/>
      <c r="AW99" s="256"/>
      <c r="AX99" s="256"/>
      <c r="AY99" s="256"/>
      <c r="AZ99" s="256"/>
      <c r="BA99" s="256"/>
      <c r="BB99" s="256"/>
      <c r="BC99" s="256"/>
      <c r="BD99" s="256"/>
      <c r="BE99" s="256"/>
      <c r="BF99" s="256"/>
      <c r="BG99" s="256"/>
      <c r="BH99" s="256"/>
      <c r="BI99" s="256"/>
      <c r="BJ99" s="256"/>
      <c r="BK99" s="256"/>
      <c r="BL99" s="256"/>
      <c r="BM99" s="256"/>
      <c r="BN99" s="256"/>
      <c r="BO99" s="256"/>
      <c r="BP99" s="256"/>
      <c r="BQ99" s="256"/>
      <c r="BR99" s="256"/>
      <c r="BS99" s="256"/>
      <c r="BT99" s="256"/>
      <c r="BU99" s="256"/>
      <c r="BV99" s="256"/>
      <c r="BW99" s="256"/>
      <c r="BX99" s="256"/>
      <c r="BY99" s="256"/>
    </row>
    <row r="100" spans="1:78" x14ac:dyDescent="0.2">
      <c r="A100" s="251" t="s">
        <v>195</v>
      </c>
      <c r="B100" s="251" t="str">
        <f>Technologies!C$49</f>
        <v>EXPNGAL</v>
      </c>
      <c r="C100" s="251" t="str">
        <f>Technologies!D$49</f>
        <v>Exported natural gas liquids</v>
      </c>
      <c r="D100" s="251" t="str">
        <f>Commodities!C22</f>
        <v>NGAR5</v>
      </c>
      <c r="E100" s="280">
        <v>0</v>
      </c>
      <c r="F100" s="280">
        <v>0</v>
      </c>
      <c r="G100" s="280">
        <v>0</v>
      </c>
      <c r="H100" s="280">
        <v>0</v>
      </c>
      <c r="I100" s="280">
        <v>0</v>
      </c>
      <c r="J100" s="280">
        <v>0</v>
      </c>
      <c r="K100" s="280">
        <v>0</v>
      </c>
      <c r="L100" s="280">
        <v>0</v>
      </c>
      <c r="M100" s="280">
        <v>0</v>
      </c>
      <c r="N100" s="280">
        <v>0</v>
      </c>
      <c r="O100" s="256"/>
      <c r="P100" s="256"/>
      <c r="Q100" s="256"/>
      <c r="R100" s="256"/>
      <c r="S100" s="256"/>
      <c r="T100" s="256"/>
      <c r="U100" s="256"/>
      <c r="V100" s="256"/>
      <c r="W100" s="256"/>
      <c r="X100" s="256"/>
      <c r="Y100" s="256"/>
      <c r="Z100" s="256"/>
      <c r="AA100" s="256"/>
      <c r="AB100" s="256"/>
      <c r="AC100" s="256"/>
      <c r="AD100" s="256"/>
      <c r="AE100" s="256"/>
      <c r="AF100" s="256"/>
      <c r="AG100" s="256"/>
      <c r="AH100" s="256"/>
      <c r="AI100" s="256"/>
      <c r="AJ100" s="256"/>
      <c r="AK100" s="256"/>
      <c r="AL100" s="256"/>
      <c r="AM100" s="256"/>
      <c r="AN100" s="256"/>
      <c r="AO100" s="256"/>
      <c r="AP100" s="256"/>
      <c r="AQ100" s="256"/>
      <c r="AR100" s="256"/>
      <c r="AS100" s="256"/>
      <c r="AT100" s="256"/>
      <c r="AU100" s="256"/>
      <c r="AV100" s="256"/>
      <c r="AW100" s="256"/>
      <c r="AX100" s="256"/>
      <c r="AY100" s="256"/>
      <c r="AZ100" s="256"/>
      <c r="BA100" s="256"/>
      <c r="BB100" s="256"/>
      <c r="BC100" s="256"/>
      <c r="BD100" s="256"/>
      <c r="BE100" s="256"/>
      <c r="BF100" s="256"/>
      <c r="BG100" s="256"/>
      <c r="BH100" s="256"/>
      <c r="BI100" s="256"/>
      <c r="BJ100" s="256"/>
      <c r="BK100" s="256"/>
      <c r="BL100" s="256"/>
      <c r="BM100" s="256"/>
      <c r="BN100" s="256"/>
      <c r="BO100" s="256"/>
      <c r="BP100" s="256"/>
      <c r="BQ100" s="256"/>
      <c r="BR100" s="256"/>
      <c r="BS100" s="256"/>
      <c r="BT100" s="256"/>
      <c r="BU100" s="256"/>
      <c r="BV100" s="256"/>
      <c r="BW100" s="256"/>
      <c r="BX100" s="256"/>
      <c r="BY100" s="256"/>
    </row>
    <row r="101" spans="1:78" x14ac:dyDescent="0.2">
      <c r="A101" s="251" t="s">
        <v>197</v>
      </c>
      <c r="B101" s="251" t="str">
        <f>Technologies!C$49</f>
        <v>EXPNGAL</v>
      </c>
      <c r="C101" s="251" t="str">
        <f>Technologies!D$49</f>
        <v>Exported natural gas liquids</v>
      </c>
      <c r="D101" s="251" t="str">
        <f>Commodities!C23</f>
        <v>NGAR6</v>
      </c>
      <c r="E101" s="280">
        <v>0</v>
      </c>
      <c r="F101" s="280">
        <v>0</v>
      </c>
      <c r="G101" s="280">
        <v>0</v>
      </c>
      <c r="H101" s="280">
        <v>0</v>
      </c>
      <c r="I101" s="280">
        <v>0</v>
      </c>
      <c r="J101" s="280">
        <v>0</v>
      </c>
      <c r="K101" s="280">
        <v>0</v>
      </c>
      <c r="L101" s="280">
        <v>0</v>
      </c>
      <c r="M101" s="280">
        <v>0</v>
      </c>
      <c r="N101" s="280">
        <v>0</v>
      </c>
      <c r="O101" s="256"/>
      <c r="P101" s="256"/>
      <c r="Q101" s="256"/>
      <c r="R101" s="256"/>
      <c r="S101" s="256"/>
      <c r="T101" s="256"/>
      <c r="U101" s="256"/>
      <c r="V101" s="256"/>
      <c r="W101" s="256"/>
      <c r="X101" s="256"/>
      <c r="Y101" s="256"/>
      <c r="Z101" s="256"/>
      <c r="AA101" s="256"/>
      <c r="AB101" s="256"/>
      <c r="AC101" s="256"/>
      <c r="AD101" s="256"/>
      <c r="AE101" s="256"/>
      <c r="AF101" s="256"/>
      <c r="AG101" s="256"/>
      <c r="AH101" s="256"/>
      <c r="AI101" s="256"/>
      <c r="AJ101" s="256"/>
      <c r="AK101" s="256"/>
      <c r="AL101" s="256"/>
      <c r="AM101" s="256"/>
      <c r="AN101" s="256"/>
      <c r="AO101" s="256"/>
      <c r="AP101" s="256"/>
      <c r="AQ101" s="256"/>
      <c r="AR101" s="256"/>
      <c r="AS101" s="256"/>
      <c r="AT101" s="256"/>
      <c r="AU101" s="256"/>
      <c r="AV101" s="256"/>
      <c r="AW101" s="256"/>
      <c r="AX101" s="256"/>
      <c r="AY101" s="256"/>
      <c r="AZ101" s="256"/>
      <c r="BA101" s="256"/>
      <c r="BB101" s="256"/>
      <c r="BC101" s="256"/>
      <c r="BD101" s="256"/>
      <c r="BE101" s="256"/>
      <c r="BF101" s="256"/>
      <c r="BG101" s="256"/>
      <c r="BH101" s="256"/>
      <c r="BI101" s="256"/>
      <c r="BJ101" s="256"/>
      <c r="BK101" s="256"/>
      <c r="BL101" s="256"/>
      <c r="BM101" s="256"/>
      <c r="BN101" s="256"/>
      <c r="BO101" s="256"/>
      <c r="BP101" s="256"/>
      <c r="BQ101" s="256"/>
      <c r="BR101" s="256"/>
      <c r="BS101" s="256"/>
      <c r="BT101" s="256"/>
      <c r="BU101" s="256"/>
      <c r="BV101" s="256"/>
      <c r="BW101" s="256"/>
      <c r="BX101" s="256"/>
      <c r="BY101" s="256"/>
    </row>
    <row r="102" spans="1:78" x14ac:dyDescent="0.2">
      <c r="A102" s="240"/>
      <c r="B102" s="240"/>
      <c r="C102" s="240"/>
      <c r="D102" s="240"/>
      <c r="E102" s="240"/>
      <c r="F102" s="240"/>
      <c r="G102" s="240"/>
      <c r="BZ102" s="257"/>
    </row>
    <row r="103" spans="1:78" x14ac:dyDescent="0.2">
      <c r="A103" s="240"/>
      <c r="B103" s="240"/>
      <c r="C103" s="240"/>
      <c r="D103" s="240"/>
      <c r="E103" s="240"/>
      <c r="F103" s="240"/>
      <c r="G103" s="240"/>
      <c r="BZ103" s="257"/>
    </row>
    <row r="104" spans="1:78" x14ac:dyDescent="0.2">
      <c r="A104" s="240"/>
      <c r="B104" s="240"/>
      <c r="C104" s="240"/>
      <c r="D104" s="240"/>
      <c r="E104" s="240"/>
      <c r="F104" s="240"/>
      <c r="G104" s="240"/>
      <c r="BZ104" s="257"/>
    </row>
    <row r="105" spans="1:78" x14ac:dyDescent="0.2">
      <c r="A105" s="240"/>
      <c r="B105" s="240"/>
      <c r="C105" s="240"/>
      <c r="D105" s="240"/>
      <c r="E105" s="240"/>
      <c r="F105" s="240"/>
      <c r="G105" s="240"/>
      <c r="BZ105" s="257"/>
    </row>
    <row r="106" spans="1:78" x14ac:dyDescent="0.2">
      <c r="A106" s="240"/>
      <c r="B106" s="240"/>
      <c r="C106" s="240"/>
      <c r="D106" s="240"/>
      <c r="E106" s="240"/>
      <c r="F106" s="240"/>
      <c r="G106" s="240"/>
      <c r="BZ106" s="257"/>
    </row>
    <row r="107" spans="1:78" x14ac:dyDescent="0.2">
      <c r="A107" s="240"/>
      <c r="B107" s="240"/>
      <c r="C107" s="240"/>
      <c r="D107" s="240"/>
      <c r="E107" s="240"/>
      <c r="F107" s="240"/>
      <c r="G107" s="240"/>
      <c r="BZ107" s="257"/>
    </row>
    <row r="108" spans="1:78" ht="17.25" customHeight="1" x14ac:dyDescent="0.2">
      <c r="D108" s="255" t="s">
        <v>1596</v>
      </c>
      <c r="G108" s="258"/>
      <c r="H108" s="258"/>
      <c r="I108" s="258"/>
      <c r="L108" s="258"/>
      <c r="M108" s="258"/>
      <c r="N108" s="258"/>
      <c r="O108" s="258"/>
      <c r="P108" s="258"/>
      <c r="Q108" s="258"/>
      <c r="R108" s="258"/>
      <c r="S108" s="258"/>
      <c r="X108" s="258"/>
      <c r="Y108" s="258"/>
      <c r="AU108" s="262"/>
      <c r="AV108" s="262"/>
      <c r="BT108" s="258"/>
      <c r="BU108" s="258"/>
      <c r="BV108" s="258"/>
      <c r="BW108" s="258"/>
      <c r="BX108" s="258"/>
      <c r="BZ108" s="257"/>
    </row>
    <row r="109" spans="1:78" ht="15.75" customHeight="1" x14ac:dyDescent="0.2">
      <c r="A109" s="244" t="s">
        <v>47</v>
      </c>
      <c r="B109" s="244" t="s">
        <v>130</v>
      </c>
      <c r="C109" s="244" t="s">
        <v>131</v>
      </c>
      <c r="D109" s="244" t="s">
        <v>134</v>
      </c>
      <c r="E109" s="244" t="s">
        <v>1601</v>
      </c>
      <c r="F109" s="244" t="s">
        <v>1602</v>
      </c>
      <c r="G109" s="244" t="s">
        <v>1603</v>
      </c>
      <c r="H109" s="244" t="s">
        <v>1604</v>
      </c>
      <c r="I109" s="244" t="s">
        <v>1605</v>
      </c>
      <c r="J109" s="244" t="s">
        <v>1606</v>
      </c>
      <c r="K109" s="244" t="s">
        <v>1607</v>
      </c>
      <c r="L109" s="244" t="s">
        <v>1608</v>
      </c>
      <c r="M109" s="244" t="s">
        <v>1609</v>
      </c>
      <c r="N109" s="244" t="s">
        <v>1610</v>
      </c>
      <c r="O109" s="244" t="s">
        <v>1611</v>
      </c>
      <c r="P109" s="256"/>
      <c r="Q109" s="256"/>
      <c r="R109" s="256"/>
      <c r="S109" s="256"/>
      <c r="T109" s="256"/>
      <c r="U109" s="256"/>
      <c r="V109" s="256"/>
      <c r="W109" s="256"/>
      <c r="X109" s="256"/>
      <c r="Y109" s="256"/>
      <c r="Z109" s="256"/>
      <c r="AA109" s="256"/>
      <c r="AB109" s="256"/>
      <c r="AC109" s="256"/>
      <c r="AD109" s="256"/>
      <c r="AE109" s="256"/>
      <c r="AF109" s="256"/>
      <c r="AG109" s="256"/>
      <c r="AH109" s="256"/>
      <c r="AI109" s="256"/>
      <c r="AJ109" s="256"/>
      <c r="AK109" s="256"/>
      <c r="AL109" s="256"/>
      <c r="AM109" s="256"/>
      <c r="AN109" s="256"/>
      <c r="AO109" s="256"/>
      <c r="AP109" s="256"/>
      <c r="AQ109" s="256"/>
      <c r="AR109" s="256"/>
      <c r="AS109" s="256"/>
      <c r="AT109" s="256"/>
      <c r="AU109" s="256"/>
      <c r="AV109" s="256"/>
      <c r="AW109" s="256"/>
      <c r="AX109" s="256"/>
      <c r="AY109" s="256"/>
      <c r="AZ109" s="256"/>
      <c r="BA109" s="256"/>
      <c r="BB109" s="256"/>
      <c r="BC109" s="256"/>
      <c r="BD109" s="256"/>
      <c r="BE109" s="256"/>
      <c r="BF109" s="256"/>
      <c r="BG109" s="256"/>
      <c r="BH109" s="256"/>
      <c r="BI109" s="256"/>
      <c r="BJ109" s="256"/>
      <c r="BK109" s="256"/>
      <c r="BL109" s="256"/>
      <c r="BM109" s="256"/>
      <c r="BN109" s="256"/>
      <c r="BO109" s="256"/>
      <c r="BP109" s="256"/>
      <c r="BQ109" s="256"/>
      <c r="BR109" s="256"/>
      <c r="BS109" s="256"/>
      <c r="BT109" s="256"/>
      <c r="BU109" s="256"/>
      <c r="BV109" s="256"/>
      <c r="BW109" s="256"/>
      <c r="BX109" s="256"/>
      <c r="BY109" s="256"/>
    </row>
    <row r="110" spans="1:78" x14ac:dyDescent="0.2">
      <c r="A110" s="248" t="s">
        <v>1547</v>
      </c>
      <c r="B110" s="249"/>
      <c r="C110" s="249"/>
      <c r="D110" s="249"/>
      <c r="E110" s="249"/>
      <c r="F110" s="277"/>
      <c r="G110" s="277"/>
      <c r="H110" s="277"/>
      <c r="I110" s="277"/>
      <c r="J110" s="277"/>
      <c r="K110" s="277"/>
      <c r="L110" s="277"/>
      <c r="M110" s="277"/>
      <c r="N110" s="277"/>
      <c r="O110" s="277"/>
      <c r="P110" s="256"/>
      <c r="Q110" s="256"/>
      <c r="R110" s="256"/>
      <c r="S110" s="256"/>
      <c r="T110" s="256"/>
      <c r="U110" s="256"/>
      <c r="V110" s="256"/>
      <c r="W110" s="256"/>
      <c r="X110" s="256"/>
      <c r="Y110" s="256"/>
      <c r="Z110" s="256"/>
      <c r="AA110" s="256"/>
      <c r="AB110" s="256"/>
      <c r="AC110" s="256"/>
      <c r="AD110" s="256"/>
      <c r="AE110" s="256"/>
      <c r="AF110" s="256"/>
      <c r="AG110" s="256"/>
      <c r="AH110" s="256"/>
      <c r="AI110" s="256"/>
      <c r="AJ110" s="256"/>
      <c r="AK110" s="256"/>
      <c r="AL110" s="256"/>
      <c r="AM110" s="256"/>
      <c r="AN110" s="256"/>
      <c r="AO110" s="256"/>
      <c r="AP110" s="256"/>
      <c r="AQ110" s="256"/>
      <c r="AR110" s="256"/>
      <c r="AS110" s="256"/>
      <c r="AT110" s="256"/>
      <c r="AU110" s="256"/>
      <c r="AV110" s="256"/>
      <c r="AW110" s="256"/>
      <c r="AX110" s="256"/>
      <c r="AY110" s="256"/>
      <c r="AZ110" s="256"/>
      <c r="BA110" s="256"/>
      <c r="BB110" s="256"/>
      <c r="BC110" s="256"/>
      <c r="BD110" s="256"/>
      <c r="BE110" s="256"/>
      <c r="BF110" s="256"/>
      <c r="BG110" s="256"/>
      <c r="BH110" s="256"/>
      <c r="BI110" s="256"/>
      <c r="BJ110" s="256"/>
      <c r="BK110" s="256"/>
      <c r="BL110" s="256"/>
      <c r="BM110" s="256"/>
      <c r="BN110" s="256"/>
      <c r="BO110" s="256"/>
      <c r="BP110" s="256"/>
      <c r="BQ110" s="256"/>
      <c r="BR110" s="256"/>
      <c r="BS110" s="256"/>
      <c r="BT110" s="256"/>
      <c r="BU110" s="256"/>
      <c r="BV110" s="256"/>
      <c r="BW110" s="256"/>
      <c r="BX110" s="256"/>
      <c r="BY110" s="256"/>
    </row>
    <row r="111" spans="1:78" x14ac:dyDescent="0.2">
      <c r="A111" s="251" t="str">
        <f>Technologies!B15</f>
        <v>R1</v>
      </c>
      <c r="B111" s="251" t="str">
        <f>Technologies!C15</f>
        <v>MINNGLDMY</v>
      </c>
      <c r="C111" s="251" t="str">
        <f>Technologies!D15</f>
        <v>Dummy NGL Resource Supply</v>
      </c>
      <c r="D111" s="251" t="str">
        <f>Commodities!C24</f>
        <v>NGL</v>
      </c>
      <c r="E111" s="251">
        <v>2010</v>
      </c>
      <c r="F111" s="292">
        <f>F65*1.25</f>
        <v>5.7255981482541234</v>
      </c>
      <c r="G111" s="292">
        <f t="shared" ref="G111:O111" si="16">G65*1.25</f>
        <v>5.4420632705676315</v>
      </c>
      <c r="H111" s="292">
        <f t="shared" si="16"/>
        <v>6.3817052220493018</v>
      </c>
      <c r="I111" s="292">
        <f t="shared" si="16"/>
        <v>7.003373620568639</v>
      </c>
      <c r="J111" s="292">
        <f t="shared" si="16"/>
        <v>7.7085860311744909</v>
      </c>
      <c r="K111" s="292">
        <f t="shared" si="16"/>
        <v>8.6669944114954269</v>
      </c>
      <c r="L111" s="292">
        <f t="shared" si="16"/>
        <v>9.567774058321616</v>
      </c>
      <c r="M111" s="292">
        <f t="shared" si="16"/>
        <v>10.616906849598177</v>
      </c>
      <c r="N111" s="292">
        <f t="shared" si="16"/>
        <v>11.781079942518824</v>
      </c>
      <c r="O111" s="292">
        <f t="shared" si="16"/>
        <v>13.072907823173782</v>
      </c>
      <c r="P111" s="256"/>
      <c r="Q111" s="256"/>
      <c r="R111" s="256"/>
      <c r="S111" s="256"/>
      <c r="T111" s="256"/>
      <c r="U111" s="256"/>
      <c r="V111" s="256"/>
      <c r="W111" s="256"/>
      <c r="X111" s="256"/>
      <c r="Y111" s="256"/>
      <c r="Z111" s="256"/>
      <c r="AA111" s="256"/>
      <c r="AB111" s="256"/>
      <c r="AC111" s="256"/>
      <c r="AD111" s="256"/>
      <c r="AE111" s="256"/>
      <c r="AF111" s="256"/>
      <c r="AG111" s="256"/>
      <c r="AH111" s="256"/>
      <c r="AI111" s="256"/>
      <c r="AJ111" s="256"/>
      <c r="AK111" s="256"/>
      <c r="AL111" s="256"/>
      <c r="AM111" s="256"/>
      <c r="AN111" s="256"/>
      <c r="AO111" s="256"/>
      <c r="AP111" s="256"/>
      <c r="AQ111" s="256"/>
      <c r="AR111" s="256"/>
      <c r="AS111" s="256"/>
      <c r="AT111" s="256"/>
      <c r="AU111" s="256"/>
      <c r="AV111" s="256"/>
      <c r="AW111" s="256"/>
      <c r="AX111" s="256"/>
      <c r="AY111" s="256"/>
      <c r="AZ111" s="256"/>
      <c r="BA111" s="256"/>
      <c r="BB111" s="256"/>
      <c r="BC111" s="256"/>
      <c r="BD111" s="256"/>
      <c r="BE111" s="256"/>
      <c r="BF111" s="256"/>
      <c r="BG111" s="256"/>
      <c r="BH111" s="256"/>
      <c r="BI111" s="256"/>
      <c r="BJ111" s="256"/>
      <c r="BK111" s="256"/>
      <c r="BL111" s="256"/>
      <c r="BM111" s="256"/>
      <c r="BN111" s="256"/>
      <c r="BO111" s="256"/>
      <c r="BP111" s="256"/>
      <c r="BQ111" s="256"/>
      <c r="BR111" s="256"/>
      <c r="BS111" s="256"/>
      <c r="BT111" s="256"/>
      <c r="BU111" s="256"/>
      <c r="BV111" s="256"/>
      <c r="BW111" s="256"/>
      <c r="BX111" s="256"/>
      <c r="BY111" s="256"/>
    </row>
    <row r="112" spans="1:78" x14ac:dyDescent="0.2">
      <c r="BZ112" s="257"/>
    </row>
    <row r="113" spans="78:78" x14ac:dyDescent="0.2">
      <c r="BZ113" s="257"/>
    </row>
    <row r="114" spans="78:78" x14ac:dyDescent="0.2">
      <c r="BZ114" s="257"/>
    </row>
    <row r="115" spans="78:78" x14ac:dyDescent="0.2">
      <c r="BZ115" s="257"/>
    </row>
    <row r="116" spans="78:78" x14ac:dyDescent="0.2">
      <c r="BZ116" s="257"/>
    </row>
    <row r="117" spans="78:78" x14ac:dyDescent="0.2">
      <c r="BZ117" s="257"/>
    </row>
    <row r="118" spans="78:78" x14ac:dyDescent="0.2">
      <c r="BZ118" s="257"/>
    </row>
    <row r="119" spans="78:78" x14ac:dyDescent="0.2">
      <c r="BZ119" s="257"/>
    </row>
    <row r="120" spans="78:78" x14ac:dyDescent="0.2">
      <c r="BZ120" s="257"/>
    </row>
    <row r="121" spans="78:78" x14ac:dyDescent="0.2">
      <c r="BZ121" s="257"/>
    </row>
    <row r="122" spans="78:78" x14ac:dyDescent="0.2">
      <c r="BZ122" s="257"/>
    </row>
    <row r="123" spans="78:78" x14ac:dyDescent="0.2">
      <c r="BZ123" s="257"/>
    </row>
    <row r="124" spans="78:78" x14ac:dyDescent="0.2">
      <c r="BZ124" s="257"/>
    </row>
  </sheetData>
  <phoneticPr fontId="0" type="noConversion"/>
  <pageMargins left="0.75" right="0.75" top="1" bottom="1" header="0.5" footer="0.5"/>
  <pageSetup paperSize="9" orientation="landscape" horizontalDpi="1200"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FFC000"/>
  </sheetPr>
  <dimension ref="B1:AK166"/>
  <sheetViews>
    <sheetView topLeftCell="B133" zoomScale="80" zoomScaleNormal="80" workbookViewId="0">
      <selection activeCell="K146" sqref="K146"/>
    </sheetView>
  </sheetViews>
  <sheetFormatPr defaultColWidth="9.140625" defaultRowHeight="12.75" x14ac:dyDescent="0.2"/>
  <cols>
    <col min="1" max="1" width="9.140625" style="246"/>
    <col min="2" max="2" width="19.140625" style="246" customWidth="1"/>
    <col min="3" max="3" width="30.7109375" style="246" bestFit="1" customWidth="1"/>
    <col min="4" max="4" width="67" style="246" customWidth="1"/>
    <col min="5" max="5" width="9.5703125" style="258" bestFit="1" customWidth="1"/>
    <col min="6" max="6" width="11.7109375" style="258" bestFit="1" customWidth="1"/>
    <col min="7" max="7" width="14.28515625" style="258" bestFit="1" customWidth="1"/>
    <col min="8" max="8" width="12.85546875" style="258" bestFit="1" customWidth="1"/>
    <col min="9" max="11" width="13.85546875" style="258" bestFit="1" customWidth="1"/>
    <col min="12" max="12" width="14.28515625" style="258" bestFit="1" customWidth="1"/>
    <col min="13" max="17" width="13.85546875" style="258" bestFit="1" customWidth="1"/>
    <col min="18" max="19" width="13.85546875" style="258" customWidth="1"/>
    <col min="20" max="21" width="13.85546875" style="258" bestFit="1" customWidth="1"/>
    <col min="22" max="22" width="13" style="258" bestFit="1" customWidth="1"/>
    <col min="23" max="23" width="15.7109375" style="258" bestFit="1" customWidth="1"/>
    <col min="24" max="24" width="14.28515625" style="258" bestFit="1" customWidth="1"/>
    <col min="25" max="25" width="15.7109375" style="258" bestFit="1" customWidth="1"/>
    <col min="26" max="29" width="16.5703125" style="258" bestFit="1" customWidth="1"/>
    <col min="30" max="30" width="15.140625" style="258" bestFit="1" customWidth="1"/>
    <col min="31" max="31" width="15.28515625" style="258" bestFit="1" customWidth="1"/>
    <col min="32" max="33" width="15.140625" style="258" bestFit="1" customWidth="1"/>
    <col min="34" max="34" width="15.28515625" style="258" bestFit="1" customWidth="1"/>
    <col min="35" max="16384" width="9.140625" style="246"/>
  </cols>
  <sheetData>
    <row r="1" spans="2:34" x14ac:dyDescent="0.2">
      <c r="B1" s="245" t="s">
        <v>228</v>
      </c>
      <c r="C1" s="246" t="s">
        <v>1350</v>
      </c>
    </row>
    <row r="2" spans="2:34" ht="17.25" customHeight="1" x14ac:dyDescent="0.2">
      <c r="Z2" s="298"/>
      <c r="AA2" s="298"/>
      <c r="AB2" s="298"/>
      <c r="AC2" s="298"/>
      <c r="AD2" s="298"/>
      <c r="AE2" s="298"/>
      <c r="AF2" s="298"/>
      <c r="AG2" s="298"/>
      <c r="AH2" s="298"/>
    </row>
    <row r="3" spans="2:34" ht="17.25" customHeight="1" x14ac:dyDescent="0.2">
      <c r="Z3" s="298"/>
      <c r="AA3" s="298"/>
      <c r="AB3" s="298"/>
      <c r="AC3" s="298"/>
      <c r="AD3" s="298"/>
      <c r="AE3" s="298"/>
      <c r="AF3" s="298"/>
      <c r="AG3" s="298"/>
      <c r="AH3" s="298"/>
    </row>
    <row r="4" spans="2:34" ht="17.25" customHeight="1" x14ac:dyDescent="0.2">
      <c r="F4" s="255" t="s">
        <v>1596</v>
      </c>
      <c r="Z4" s="298"/>
      <c r="AA4" s="298"/>
      <c r="AB4" s="298"/>
      <c r="AC4" s="298"/>
      <c r="AD4" s="298"/>
      <c r="AE4" s="298"/>
      <c r="AF4" s="298"/>
      <c r="AG4" s="298"/>
      <c r="AH4" s="298"/>
    </row>
    <row r="5" spans="2:34" ht="15.75" customHeight="1" x14ac:dyDescent="0.2">
      <c r="B5" s="244" t="s">
        <v>47</v>
      </c>
      <c r="C5" s="244" t="s">
        <v>130</v>
      </c>
      <c r="D5" s="244" t="s">
        <v>131</v>
      </c>
      <c r="E5" s="244" t="s">
        <v>133</v>
      </c>
      <c r="F5" s="244" t="s">
        <v>134</v>
      </c>
      <c r="G5" s="244" t="s">
        <v>1668</v>
      </c>
      <c r="H5" s="244" t="s">
        <v>1612</v>
      </c>
      <c r="I5" s="244" t="s">
        <v>1665</v>
      </c>
      <c r="J5" s="246"/>
      <c r="K5" s="246"/>
      <c r="L5" s="246"/>
      <c r="M5" s="246"/>
      <c r="N5" s="246"/>
      <c r="O5" s="246"/>
      <c r="P5" s="246"/>
      <c r="Q5" s="246"/>
      <c r="R5" s="246"/>
      <c r="S5" s="246"/>
      <c r="T5" s="246"/>
      <c r="U5" s="246"/>
      <c r="V5" s="246"/>
      <c r="W5" s="246"/>
      <c r="X5" s="246"/>
      <c r="Y5" s="246"/>
      <c r="Z5" s="246"/>
      <c r="AA5" s="246"/>
      <c r="AB5" s="246"/>
      <c r="AC5" s="246"/>
      <c r="AD5" s="246"/>
      <c r="AE5" s="246"/>
      <c r="AF5" s="246"/>
      <c r="AG5" s="246"/>
      <c r="AH5" s="246"/>
    </row>
    <row r="6" spans="2:34" x14ac:dyDescent="0.2">
      <c r="B6" s="275" t="s">
        <v>243</v>
      </c>
      <c r="C6" s="254"/>
      <c r="D6" s="254"/>
      <c r="E6" s="303"/>
      <c r="F6" s="303"/>
      <c r="G6" s="303"/>
      <c r="H6" s="303"/>
      <c r="I6" s="303"/>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row>
    <row r="7" spans="2:34" x14ac:dyDescent="0.2">
      <c r="B7" s="251" t="s">
        <v>160</v>
      </c>
      <c r="C7" s="251" t="str">
        <f>Technologies!C$23</f>
        <v>SCNGAD1</v>
      </c>
      <c r="D7" s="251" t="str">
        <f>Technologies!D$23</f>
        <v>Domestic natural gas Existing infrastructure in R1</v>
      </c>
      <c r="E7" s="251" t="str">
        <f>Commodities!C$12</f>
        <v>NGAD1</v>
      </c>
      <c r="F7" s="251"/>
      <c r="G7" s="304">
        <v>55</v>
      </c>
      <c r="H7" s="304">
        <v>1</v>
      </c>
      <c r="I7" s="253"/>
      <c r="J7" s="246"/>
      <c r="K7" s="246"/>
      <c r="L7" s="246"/>
      <c r="M7" s="246"/>
      <c r="N7" s="246"/>
      <c r="O7" s="246"/>
      <c r="P7" s="246"/>
      <c r="Q7" s="246"/>
      <c r="R7" s="246"/>
      <c r="S7" s="246"/>
      <c r="T7" s="246"/>
      <c r="U7" s="246"/>
      <c r="V7" s="246"/>
      <c r="W7" s="246"/>
      <c r="X7" s="246"/>
      <c r="Y7" s="246"/>
      <c r="Z7" s="246"/>
      <c r="AA7" s="246"/>
      <c r="AB7" s="246"/>
      <c r="AC7" s="246"/>
      <c r="AD7" s="246"/>
      <c r="AE7" s="246"/>
      <c r="AF7" s="246"/>
      <c r="AG7" s="246"/>
      <c r="AH7" s="246"/>
    </row>
    <row r="8" spans="2:34" x14ac:dyDescent="0.2">
      <c r="B8" s="251" t="str">
        <f>B7</f>
        <v>R1</v>
      </c>
      <c r="C8" s="251"/>
      <c r="D8" s="251"/>
      <c r="E8" s="251"/>
      <c r="F8" s="251" t="str">
        <f>Commodities!$C$9</f>
        <v>NGA</v>
      </c>
      <c r="G8" s="304"/>
      <c r="H8" s="304"/>
      <c r="I8" s="295">
        <f>'Domestic NG Production'!M59</f>
        <v>0.99573593072284916</v>
      </c>
      <c r="J8" s="246"/>
      <c r="K8" s="246"/>
      <c r="L8" s="246"/>
      <c r="M8" s="246"/>
      <c r="N8" s="246"/>
      <c r="O8" s="246"/>
      <c r="P8" s="246"/>
      <c r="Q8" s="246"/>
      <c r="R8" s="246"/>
      <c r="S8" s="246"/>
      <c r="T8" s="246"/>
      <c r="U8" s="246"/>
      <c r="V8" s="246"/>
      <c r="W8" s="246"/>
      <c r="X8" s="246"/>
      <c r="Y8" s="246"/>
      <c r="Z8" s="246"/>
      <c r="AA8" s="246"/>
      <c r="AB8" s="246"/>
      <c r="AC8" s="246"/>
      <c r="AD8" s="246"/>
      <c r="AE8" s="246"/>
      <c r="AF8" s="246"/>
      <c r="AG8" s="246"/>
      <c r="AH8" s="246"/>
    </row>
    <row r="9" spans="2:34" x14ac:dyDescent="0.2">
      <c r="B9" s="251" t="str">
        <f>B8</f>
        <v>R1</v>
      </c>
      <c r="C9" s="251"/>
      <c r="D9" s="251"/>
      <c r="E9" s="251"/>
      <c r="F9" s="251" t="s">
        <v>152</v>
      </c>
      <c r="G9" s="304"/>
      <c r="H9" s="304"/>
      <c r="I9" s="295">
        <f>'Domestic NG Production'!M60</f>
        <v>4.2640692771508393E-3</v>
      </c>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row>
    <row r="10" spans="2:34" x14ac:dyDescent="0.2">
      <c r="B10" s="251" t="s">
        <v>168</v>
      </c>
      <c r="C10" s="251" t="str">
        <f>Technologies!C$24</f>
        <v>SCNGAD2</v>
      </c>
      <c r="D10" s="251" t="str">
        <f>Technologies!D$24</f>
        <v>Domestic natural gas Existing infrastructure in R2</v>
      </c>
      <c r="E10" s="251" t="str">
        <f>Commodities!C$13</f>
        <v>NGAD2</v>
      </c>
      <c r="F10" s="251"/>
      <c r="G10" s="304">
        <v>55</v>
      </c>
      <c r="H10" s="304">
        <v>1</v>
      </c>
      <c r="I10" s="253"/>
      <c r="J10" s="246"/>
      <c r="K10" s="246"/>
      <c r="L10" s="246"/>
      <c r="M10" s="246"/>
      <c r="N10" s="246"/>
      <c r="O10" s="246"/>
      <c r="P10" s="246"/>
      <c r="Q10" s="246"/>
      <c r="R10" s="246"/>
      <c r="S10" s="246"/>
      <c r="T10" s="246"/>
      <c r="U10" s="246"/>
      <c r="V10" s="246"/>
      <c r="W10" s="246"/>
      <c r="X10" s="246"/>
      <c r="Y10" s="246"/>
      <c r="Z10" s="246"/>
      <c r="AA10" s="246"/>
      <c r="AB10" s="246"/>
      <c r="AC10" s="246"/>
      <c r="AD10" s="246"/>
      <c r="AE10" s="246"/>
      <c r="AF10" s="246"/>
      <c r="AG10" s="246"/>
      <c r="AH10" s="246"/>
    </row>
    <row r="11" spans="2:34" x14ac:dyDescent="0.2">
      <c r="B11" s="251" t="str">
        <f>B10</f>
        <v>R2</v>
      </c>
      <c r="C11" s="251"/>
      <c r="D11" s="251"/>
      <c r="E11" s="251"/>
      <c r="F11" s="251" t="str">
        <f>Commodities!$C$9</f>
        <v>NGA</v>
      </c>
      <c r="G11" s="304"/>
      <c r="H11" s="304"/>
      <c r="I11" s="295">
        <f>I8</f>
        <v>0.99573593072284916</v>
      </c>
      <c r="J11" s="246"/>
      <c r="K11" s="246"/>
      <c r="L11" s="246"/>
      <c r="M11" s="246"/>
      <c r="N11" s="246"/>
      <c r="O11" s="246"/>
      <c r="P11" s="246"/>
      <c r="Q11" s="246"/>
      <c r="R11" s="246"/>
      <c r="S11" s="246"/>
      <c r="T11" s="246"/>
      <c r="U11" s="246"/>
      <c r="V11" s="246"/>
      <c r="W11" s="246"/>
      <c r="X11" s="246"/>
      <c r="Y11" s="246"/>
      <c r="Z11" s="246"/>
      <c r="AA11" s="246"/>
      <c r="AB11" s="246"/>
      <c r="AC11" s="246"/>
      <c r="AD11" s="246"/>
      <c r="AE11" s="246"/>
      <c r="AF11" s="246"/>
      <c r="AG11" s="246"/>
      <c r="AH11" s="246"/>
    </row>
    <row r="12" spans="2:34" x14ac:dyDescent="0.2">
      <c r="B12" s="251" t="str">
        <f>B11</f>
        <v>R2</v>
      </c>
      <c r="C12" s="251"/>
      <c r="D12" s="251"/>
      <c r="E12" s="251"/>
      <c r="F12" s="251" t="s">
        <v>152</v>
      </c>
      <c r="G12" s="304"/>
      <c r="H12" s="304"/>
      <c r="I12" s="295">
        <f>I9</f>
        <v>4.2640692771508393E-3</v>
      </c>
      <c r="J12" s="246"/>
      <c r="K12" s="246"/>
      <c r="L12" s="246"/>
      <c r="M12" s="246"/>
      <c r="N12" s="246"/>
      <c r="O12" s="246"/>
      <c r="P12" s="246"/>
      <c r="Q12" s="246"/>
      <c r="R12" s="246"/>
      <c r="S12" s="246"/>
      <c r="T12" s="246"/>
      <c r="U12" s="246"/>
      <c r="V12" s="246"/>
      <c r="W12" s="246"/>
      <c r="X12" s="246"/>
      <c r="Y12" s="246"/>
      <c r="Z12" s="246"/>
      <c r="AA12" s="246"/>
      <c r="AB12" s="246"/>
      <c r="AC12" s="246"/>
      <c r="AD12" s="246"/>
      <c r="AE12" s="246"/>
      <c r="AF12" s="246"/>
      <c r="AG12" s="246"/>
      <c r="AH12" s="246"/>
    </row>
    <row r="13" spans="2:34" x14ac:dyDescent="0.2">
      <c r="B13" s="251" t="s">
        <v>165</v>
      </c>
      <c r="C13" s="251" t="str">
        <f>Technologies!C$25</f>
        <v>SCNGAD3</v>
      </c>
      <c r="D13" s="251" t="str">
        <f>Technologies!D$25</f>
        <v>Domestic natural gas Existing infrastructure in R3</v>
      </c>
      <c r="E13" s="251" t="str">
        <f>Commodities!C$14</f>
        <v>NGAD3</v>
      </c>
      <c r="F13" s="251"/>
      <c r="G13" s="304">
        <v>55</v>
      </c>
      <c r="H13" s="304">
        <v>1</v>
      </c>
      <c r="I13" s="253"/>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row>
    <row r="14" spans="2:34" x14ac:dyDescent="0.2">
      <c r="B14" s="251" t="str">
        <f>B13</f>
        <v>R3</v>
      </c>
      <c r="C14" s="251"/>
      <c r="D14" s="251"/>
      <c r="E14" s="251"/>
      <c r="F14" s="251" t="str">
        <f>Commodities!$C$9</f>
        <v>NGA</v>
      </c>
      <c r="G14" s="304"/>
      <c r="H14" s="304"/>
      <c r="I14" s="295">
        <f>I11</f>
        <v>0.99573593072284916</v>
      </c>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row>
    <row r="15" spans="2:34" x14ac:dyDescent="0.2">
      <c r="B15" s="251" t="str">
        <f>B14</f>
        <v>R3</v>
      </c>
      <c r="C15" s="251"/>
      <c r="D15" s="251"/>
      <c r="E15" s="251"/>
      <c r="F15" s="251" t="s">
        <v>152</v>
      </c>
      <c r="G15" s="304"/>
      <c r="H15" s="304"/>
      <c r="I15" s="295">
        <f>I12</f>
        <v>4.2640692771508393E-3</v>
      </c>
      <c r="J15" s="246"/>
      <c r="K15" s="246"/>
      <c r="L15" s="246"/>
      <c r="M15" s="246"/>
      <c r="N15" s="246"/>
      <c r="O15" s="246"/>
      <c r="P15" s="246"/>
      <c r="Q15" s="246"/>
      <c r="R15" s="246"/>
      <c r="S15" s="246"/>
      <c r="T15" s="246"/>
      <c r="U15" s="246"/>
      <c r="V15" s="246"/>
      <c r="W15" s="246"/>
      <c r="X15" s="246"/>
      <c r="Y15" s="246"/>
      <c r="Z15" s="246"/>
      <c r="AA15" s="246"/>
      <c r="AB15" s="246"/>
      <c r="AC15" s="246"/>
      <c r="AD15" s="246"/>
      <c r="AE15" s="246"/>
      <c r="AF15" s="246"/>
      <c r="AG15" s="246"/>
      <c r="AH15" s="246"/>
    </row>
    <row r="16" spans="2:34" x14ac:dyDescent="0.2">
      <c r="B16" s="251" t="s">
        <v>196</v>
      </c>
      <c r="C16" s="251" t="str">
        <f>Technologies!C$26</f>
        <v>SCNGAD4</v>
      </c>
      <c r="D16" s="251" t="str">
        <f>Technologies!D$26</f>
        <v>Domestic natural gas Existing infrastructure in R4</v>
      </c>
      <c r="E16" s="251" t="str">
        <f>Commodities!C$15</f>
        <v>NGAD4</v>
      </c>
      <c r="F16" s="251"/>
      <c r="G16" s="304">
        <v>55</v>
      </c>
      <c r="H16" s="304">
        <v>1</v>
      </c>
      <c r="I16" s="253"/>
      <c r="J16" s="246"/>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row>
    <row r="17" spans="2:34" x14ac:dyDescent="0.2">
      <c r="B17" s="251" t="str">
        <f>B16</f>
        <v>R4</v>
      </c>
      <c r="C17" s="251"/>
      <c r="D17" s="251"/>
      <c r="E17" s="251"/>
      <c r="F17" s="251" t="str">
        <f>Commodities!$C$9</f>
        <v>NGA</v>
      </c>
      <c r="G17" s="304"/>
      <c r="H17" s="304"/>
      <c r="I17" s="295">
        <f>I14</f>
        <v>0.99573593072284916</v>
      </c>
      <c r="J17" s="246"/>
      <c r="K17" s="246"/>
      <c r="L17" s="246"/>
      <c r="M17" s="246"/>
      <c r="N17" s="246"/>
      <c r="O17" s="246"/>
      <c r="P17" s="246"/>
      <c r="Q17" s="246"/>
      <c r="R17" s="246"/>
      <c r="S17" s="246"/>
      <c r="T17" s="246"/>
      <c r="U17" s="246"/>
      <c r="V17" s="246"/>
      <c r="W17" s="246"/>
      <c r="X17" s="246"/>
      <c r="Y17" s="246"/>
      <c r="Z17" s="246"/>
      <c r="AA17" s="246"/>
      <c r="AB17" s="246"/>
      <c r="AC17" s="246"/>
      <c r="AD17" s="246"/>
      <c r="AE17" s="246"/>
      <c r="AF17" s="246"/>
      <c r="AG17" s="246"/>
      <c r="AH17" s="246"/>
    </row>
    <row r="18" spans="2:34" x14ac:dyDescent="0.2">
      <c r="B18" s="251" t="str">
        <f>B17</f>
        <v>R4</v>
      </c>
      <c r="C18" s="251"/>
      <c r="D18" s="251"/>
      <c r="E18" s="251"/>
      <c r="F18" s="251" t="s">
        <v>152</v>
      </c>
      <c r="G18" s="304"/>
      <c r="H18" s="304"/>
      <c r="I18" s="295">
        <f>I15</f>
        <v>4.2640692771508393E-3</v>
      </c>
      <c r="J18" s="246"/>
      <c r="K18" s="246"/>
      <c r="L18" s="246"/>
      <c r="M18" s="246"/>
      <c r="N18" s="246"/>
      <c r="O18" s="246"/>
      <c r="P18" s="246"/>
      <c r="Q18" s="246"/>
      <c r="R18" s="246"/>
      <c r="S18" s="246"/>
      <c r="T18" s="246"/>
      <c r="U18" s="246"/>
      <c r="V18" s="246"/>
      <c r="W18" s="246"/>
      <c r="X18" s="246"/>
      <c r="Y18" s="246"/>
      <c r="Z18" s="246"/>
      <c r="AA18" s="246"/>
      <c r="AB18" s="246"/>
      <c r="AC18" s="246"/>
      <c r="AD18" s="246"/>
      <c r="AE18" s="246"/>
      <c r="AF18" s="246"/>
      <c r="AG18" s="246"/>
      <c r="AH18" s="246"/>
    </row>
    <row r="19" spans="2:34" x14ac:dyDescent="0.2">
      <c r="B19" s="251" t="s">
        <v>195</v>
      </c>
      <c r="C19" s="251" t="str">
        <f>Technologies!C$27</f>
        <v>SCNGAD5</v>
      </c>
      <c r="D19" s="251" t="str">
        <f>Technologies!D$27</f>
        <v>Domestic natural gas Existing infrastructure in R5</v>
      </c>
      <c r="E19" s="251" t="str">
        <f>Commodities!C$16</f>
        <v>NGAD5</v>
      </c>
      <c r="F19" s="251"/>
      <c r="G19" s="304">
        <v>55</v>
      </c>
      <c r="H19" s="304">
        <v>1</v>
      </c>
      <c r="I19" s="253"/>
      <c r="J19" s="246"/>
      <c r="K19" s="246"/>
      <c r="L19" s="246"/>
      <c r="M19" s="246"/>
      <c r="N19" s="246"/>
      <c r="O19" s="246"/>
      <c r="P19" s="246"/>
      <c r="Q19" s="246"/>
      <c r="R19" s="246"/>
      <c r="S19" s="246"/>
      <c r="T19" s="246"/>
      <c r="U19" s="246"/>
      <c r="V19" s="246"/>
      <c r="W19" s="246"/>
      <c r="X19" s="246"/>
      <c r="Y19" s="246"/>
      <c r="Z19" s="246"/>
      <c r="AA19" s="246"/>
      <c r="AB19" s="246"/>
      <c r="AC19" s="246"/>
      <c r="AD19" s="246"/>
      <c r="AE19" s="246"/>
      <c r="AF19" s="246"/>
      <c r="AG19" s="246"/>
      <c r="AH19" s="246"/>
    </row>
    <row r="20" spans="2:34" x14ac:dyDescent="0.2">
      <c r="B20" s="251" t="str">
        <f>B19</f>
        <v>R5</v>
      </c>
      <c r="C20" s="251"/>
      <c r="D20" s="251"/>
      <c r="E20" s="251"/>
      <c r="F20" s="251" t="str">
        <f>Commodities!$C$9</f>
        <v>NGA</v>
      </c>
      <c r="G20" s="304"/>
      <c r="H20" s="304"/>
      <c r="I20" s="295">
        <f>I17</f>
        <v>0.99573593072284916</v>
      </c>
      <c r="J20" s="246"/>
      <c r="K20" s="246"/>
      <c r="L20" s="246"/>
      <c r="M20" s="246"/>
      <c r="N20" s="246"/>
      <c r="O20" s="246"/>
      <c r="P20" s="246"/>
      <c r="Q20" s="246"/>
      <c r="R20" s="246"/>
      <c r="S20" s="246"/>
      <c r="T20" s="246"/>
      <c r="U20" s="246"/>
      <c r="V20" s="246"/>
      <c r="W20" s="246"/>
      <c r="X20" s="246"/>
      <c r="Y20" s="246"/>
      <c r="Z20" s="246"/>
      <c r="AA20" s="246"/>
      <c r="AB20" s="246"/>
      <c r="AC20" s="246"/>
      <c r="AD20" s="246"/>
      <c r="AE20" s="246"/>
      <c r="AF20" s="246"/>
      <c r="AG20" s="246"/>
      <c r="AH20" s="246"/>
    </row>
    <row r="21" spans="2:34" x14ac:dyDescent="0.2">
      <c r="B21" s="251" t="str">
        <f>B20</f>
        <v>R5</v>
      </c>
      <c r="C21" s="251"/>
      <c r="D21" s="251"/>
      <c r="E21" s="251"/>
      <c r="F21" s="251" t="s">
        <v>152</v>
      </c>
      <c r="G21" s="304"/>
      <c r="H21" s="304"/>
      <c r="I21" s="295">
        <f>I18</f>
        <v>4.2640692771508393E-3</v>
      </c>
      <c r="J21" s="246"/>
      <c r="K21" s="246"/>
      <c r="L21" s="246"/>
      <c r="M21" s="246"/>
      <c r="N21" s="246"/>
      <c r="O21" s="246"/>
      <c r="P21" s="246"/>
      <c r="Q21" s="246"/>
      <c r="R21" s="246"/>
      <c r="S21" s="246"/>
      <c r="T21" s="246"/>
      <c r="U21" s="246"/>
      <c r="V21" s="246"/>
      <c r="W21" s="246"/>
      <c r="X21" s="246"/>
      <c r="Y21" s="246"/>
      <c r="Z21" s="246"/>
      <c r="AA21" s="246"/>
      <c r="AB21" s="246"/>
      <c r="AC21" s="246"/>
      <c r="AD21" s="246"/>
      <c r="AE21" s="246"/>
      <c r="AF21" s="246"/>
      <c r="AG21" s="246"/>
      <c r="AH21" s="246"/>
    </row>
    <row r="22" spans="2:34" x14ac:dyDescent="0.2">
      <c r="B22" s="251" t="s">
        <v>197</v>
      </c>
      <c r="C22" s="251" t="str">
        <f>Technologies!C$28</f>
        <v>SCNGAD6</v>
      </c>
      <c r="D22" s="251" t="str">
        <f>Technologies!D$28</f>
        <v>Domestic natural gas Existing infrastructure in R6</v>
      </c>
      <c r="E22" s="251" t="str">
        <f>Commodities!C$17</f>
        <v>NGAD6</v>
      </c>
      <c r="F22" s="251"/>
      <c r="G22" s="304">
        <v>55</v>
      </c>
      <c r="H22" s="304">
        <v>1</v>
      </c>
      <c r="I22" s="253"/>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46"/>
      <c r="AG22" s="246"/>
      <c r="AH22" s="246"/>
    </row>
    <row r="23" spans="2:34" x14ac:dyDescent="0.2">
      <c r="B23" s="251" t="str">
        <f>B22</f>
        <v>R6</v>
      </c>
      <c r="C23" s="251"/>
      <c r="D23" s="251"/>
      <c r="E23" s="251"/>
      <c r="F23" s="251" t="str">
        <f>Commodities!$C$9</f>
        <v>NGA</v>
      </c>
      <c r="G23" s="304"/>
      <c r="H23" s="304"/>
      <c r="I23" s="295">
        <f>I20</f>
        <v>0.99573593072284916</v>
      </c>
      <c r="J23" s="246"/>
      <c r="K23" s="246"/>
      <c r="L23" s="246"/>
      <c r="M23" s="246"/>
      <c r="N23" s="246"/>
      <c r="O23" s="246"/>
      <c r="P23" s="246"/>
      <c r="Q23" s="246"/>
      <c r="R23" s="246"/>
      <c r="S23" s="246"/>
      <c r="T23" s="246"/>
      <c r="U23" s="246"/>
      <c r="V23" s="246"/>
      <c r="W23" s="246"/>
      <c r="X23" s="246"/>
      <c r="Y23" s="246"/>
      <c r="Z23" s="246"/>
      <c r="AA23" s="246"/>
      <c r="AB23" s="246"/>
      <c r="AC23" s="246"/>
      <c r="AD23" s="246"/>
      <c r="AE23" s="246"/>
      <c r="AF23" s="246"/>
      <c r="AG23" s="246"/>
      <c r="AH23" s="246"/>
    </row>
    <row r="24" spans="2:34" x14ac:dyDescent="0.2">
      <c r="B24" s="251" t="str">
        <f>B23</f>
        <v>R6</v>
      </c>
      <c r="C24" s="251"/>
      <c r="D24" s="251"/>
      <c r="E24" s="251"/>
      <c r="F24" s="251" t="s">
        <v>152</v>
      </c>
      <c r="G24" s="304"/>
      <c r="H24" s="304"/>
      <c r="I24" s="295">
        <f t="shared" ref="I24" si="0">I21</f>
        <v>4.2640692771508393E-3</v>
      </c>
      <c r="J24" s="246"/>
      <c r="K24" s="246"/>
      <c r="L24" s="246"/>
      <c r="M24" s="246"/>
      <c r="N24" s="246"/>
      <c r="O24" s="246"/>
      <c r="P24" s="246"/>
      <c r="Q24" s="246"/>
      <c r="R24" s="246"/>
      <c r="S24" s="246"/>
      <c r="T24" s="246"/>
      <c r="U24" s="246"/>
      <c r="V24" s="246"/>
      <c r="W24" s="246"/>
      <c r="X24" s="246"/>
      <c r="Y24" s="246"/>
      <c r="Z24" s="246"/>
      <c r="AA24" s="246"/>
      <c r="AB24" s="246"/>
      <c r="AC24" s="246"/>
      <c r="AD24" s="246"/>
      <c r="AE24" s="246"/>
      <c r="AF24" s="246"/>
      <c r="AG24" s="246"/>
      <c r="AH24" s="246"/>
    </row>
    <row r="25" spans="2:34" x14ac:dyDescent="0.2">
      <c r="B25" s="240"/>
      <c r="C25" s="240"/>
      <c r="D25" s="240"/>
      <c r="E25" s="240"/>
      <c r="F25" s="240"/>
      <c r="G25" s="240"/>
      <c r="J25" s="270"/>
      <c r="K25" s="299"/>
    </row>
    <row r="26" spans="2:34" x14ac:dyDescent="0.2">
      <c r="B26" s="240"/>
      <c r="C26" s="240"/>
      <c r="D26" s="240"/>
      <c r="E26" s="240"/>
      <c r="F26" s="240"/>
      <c r="G26" s="240"/>
      <c r="J26" s="270"/>
      <c r="K26" s="299"/>
    </row>
    <row r="27" spans="2:34" ht="17.25" customHeight="1" x14ac:dyDescent="0.2">
      <c r="F27" s="255" t="s">
        <v>1596</v>
      </c>
      <c r="Z27" s="298"/>
      <c r="AA27" s="298"/>
      <c r="AB27" s="298"/>
      <c r="AC27" s="298"/>
      <c r="AD27" s="298"/>
      <c r="AE27" s="298"/>
      <c r="AF27" s="298"/>
      <c r="AG27" s="298"/>
      <c r="AH27" s="298"/>
    </row>
    <row r="28" spans="2:34" ht="15.75" customHeight="1" x14ac:dyDescent="0.2">
      <c r="B28" s="244" t="s">
        <v>47</v>
      </c>
      <c r="C28" s="244" t="s">
        <v>130</v>
      </c>
      <c r="D28" s="244" t="s">
        <v>131</v>
      </c>
      <c r="E28" s="244" t="s">
        <v>133</v>
      </c>
      <c r="F28" s="244" t="s">
        <v>134</v>
      </c>
      <c r="G28" s="244" t="s">
        <v>1668</v>
      </c>
      <c r="H28" s="244" t="s">
        <v>1612</v>
      </c>
      <c r="I28" s="244" t="s">
        <v>1706</v>
      </c>
      <c r="J28" s="244" t="s">
        <v>1654</v>
      </c>
      <c r="K28" s="246"/>
      <c r="L28" s="246"/>
      <c r="M28" s="246"/>
      <c r="N28" s="246"/>
      <c r="O28" s="246"/>
      <c r="P28" s="246"/>
      <c r="Q28" s="246"/>
      <c r="R28" s="246"/>
      <c r="S28" s="246"/>
      <c r="T28" s="246"/>
      <c r="U28" s="246"/>
      <c r="V28" s="246"/>
      <c r="W28" s="246"/>
      <c r="X28" s="246"/>
      <c r="Y28" s="246"/>
      <c r="Z28" s="246"/>
      <c r="AA28" s="246"/>
      <c r="AB28" s="246"/>
      <c r="AC28" s="246"/>
      <c r="AD28" s="246"/>
      <c r="AE28" s="246"/>
      <c r="AF28" s="246"/>
      <c r="AG28" s="246"/>
      <c r="AH28" s="246"/>
    </row>
    <row r="29" spans="2:34" x14ac:dyDescent="0.2">
      <c r="B29" s="248" t="s">
        <v>227</v>
      </c>
      <c r="C29" s="249"/>
      <c r="D29" s="249"/>
      <c r="E29" s="249"/>
      <c r="F29" s="249"/>
      <c r="G29" s="303"/>
      <c r="H29" s="303"/>
      <c r="I29" s="303"/>
      <c r="J29" s="303"/>
      <c r="K29" s="300"/>
      <c r="L29" s="246"/>
      <c r="M29" s="246"/>
      <c r="N29" s="246"/>
      <c r="O29" s="246"/>
      <c r="P29" s="246"/>
      <c r="Q29" s="246"/>
      <c r="R29" s="246"/>
      <c r="S29" s="246"/>
      <c r="T29" s="246"/>
      <c r="U29" s="246"/>
      <c r="V29" s="246"/>
      <c r="W29" s="246"/>
      <c r="X29" s="246"/>
      <c r="Y29" s="246"/>
      <c r="Z29" s="246"/>
      <c r="AA29" s="246"/>
      <c r="AB29" s="246"/>
      <c r="AC29" s="246"/>
      <c r="AD29" s="246"/>
      <c r="AE29" s="246"/>
      <c r="AF29" s="246"/>
      <c r="AG29" s="246"/>
      <c r="AH29" s="246"/>
    </row>
    <row r="30" spans="2:34" x14ac:dyDescent="0.2">
      <c r="B30" s="251" t="str">
        <f>Technologies!$B$50</f>
        <v>R1</v>
      </c>
      <c r="C30" s="251" t="str">
        <f>Technologies!$C$50</f>
        <v>XNGAC1E</v>
      </c>
      <c r="D30" s="251" t="str">
        <f>Technologies!$D$50</f>
        <v>Existing Pipeline for Import Canadian natural gas to R1</v>
      </c>
      <c r="E30" s="251" t="str">
        <f>Commodities!C29</f>
        <v>NGAC1</v>
      </c>
      <c r="F30" s="251" t="str">
        <f>Commodities!$C$9</f>
        <v>NGA</v>
      </c>
      <c r="G30" s="304">
        <v>55</v>
      </c>
      <c r="H30" s="304">
        <v>1</v>
      </c>
      <c r="I30" s="306">
        <f>NGACap!B17*Conv!$D$6*Conv!$J$5*10^9</f>
        <v>1412.2711484215872</v>
      </c>
      <c r="J30" s="304"/>
      <c r="K30" s="300"/>
      <c r="L30" s="246"/>
      <c r="M30" s="246"/>
      <c r="N30" s="246"/>
      <c r="O30" s="246"/>
      <c r="P30" s="246"/>
      <c r="Q30" s="246"/>
      <c r="R30" s="246"/>
      <c r="S30" s="246"/>
      <c r="T30" s="246"/>
      <c r="U30" s="246"/>
      <c r="V30" s="246"/>
      <c r="W30" s="246"/>
      <c r="X30" s="246"/>
      <c r="Y30" s="246"/>
      <c r="Z30" s="246"/>
      <c r="AA30" s="246"/>
      <c r="AB30" s="246"/>
      <c r="AC30" s="246"/>
      <c r="AD30" s="246"/>
      <c r="AE30" s="246"/>
      <c r="AF30" s="246"/>
      <c r="AG30" s="246"/>
      <c r="AH30" s="246"/>
    </row>
    <row r="31" spans="2:34" x14ac:dyDescent="0.2">
      <c r="B31" s="251" t="str">
        <f>Technologies!$B$51</f>
        <v>*R2</v>
      </c>
      <c r="C31" s="251" t="str">
        <f>Technologies!$C$51</f>
        <v>XNGAC2E</v>
      </c>
      <c r="D31" s="251" t="str">
        <f>Technologies!$D$51</f>
        <v>Existing Pipeline for Import Canadian natural gas to R2</v>
      </c>
      <c r="E31" s="251" t="str">
        <f>Commodities!C30</f>
        <v>NGAC2</v>
      </c>
      <c r="F31" s="251" t="str">
        <f>Commodities!$C$9</f>
        <v>NGA</v>
      </c>
      <c r="G31" s="304">
        <v>55</v>
      </c>
      <c r="H31" s="304">
        <v>1</v>
      </c>
      <c r="I31" s="306">
        <v>9999</v>
      </c>
      <c r="J31" s="304"/>
      <c r="K31" s="300"/>
      <c r="L31" s="246"/>
      <c r="M31" s="246"/>
      <c r="N31" s="246"/>
      <c r="O31" s="246"/>
      <c r="P31" s="246"/>
      <c r="Q31" s="246"/>
      <c r="R31" s="246"/>
      <c r="S31" s="246"/>
      <c r="T31" s="246"/>
      <c r="U31" s="246"/>
      <c r="V31" s="246"/>
      <c r="W31" s="246"/>
      <c r="X31" s="246"/>
      <c r="Y31" s="246"/>
      <c r="Z31" s="246"/>
      <c r="AA31" s="246"/>
      <c r="AB31" s="246"/>
      <c r="AC31" s="246"/>
      <c r="AD31" s="246"/>
      <c r="AE31" s="246"/>
      <c r="AF31" s="246"/>
      <c r="AG31" s="246"/>
      <c r="AH31" s="246"/>
    </row>
    <row r="32" spans="2:34" x14ac:dyDescent="0.2">
      <c r="B32" s="251" t="str">
        <f>Technologies!$B$52</f>
        <v>*R3</v>
      </c>
      <c r="C32" s="251" t="str">
        <f>Technologies!$C$52</f>
        <v>XNGAC3E</v>
      </c>
      <c r="D32" s="251" t="str">
        <f>Technologies!$D$52</f>
        <v>Existing Pipeline for Import Canadian natural gas to R3</v>
      </c>
      <c r="E32" s="251" t="str">
        <f>Commodities!C31</f>
        <v>NGAC3</v>
      </c>
      <c r="F32" s="251" t="str">
        <f>Commodities!$C$9</f>
        <v>NGA</v>
      </c>
      <c r="G32" s="304">
        <v>55</v>
      </c>
      <c r="H32" s="304">
        <v>1</v>
      </c>
      <c r="I32" s="306">
        <v>9999</v>
      </c>
      <c r="J32" s="304"/>
      <c r="K32" s="300"/>
      <c r="L32" s="246"/>
      <c r="M32" s="246"/>
      <c r="N32" s="246"/>
      <c r="O32" s="246"/>
      <c r="P32" s="246"/>
      <c r="Q32" s="246"/>
      <c r="R32" s="246"/>
      <c r="S32" s="246"/>
      <c r="T32" s="246"/>
      <c r="U32" s="246"/>
      <c r="V32" s="246"/>
      <c r="W32" s="246"/>
      <c r="X32" s="246"/>
      <c r="Y32" s="246"/>
      <c r="Z32" s="246"/>
      <c r="AA32" s="246"/>
      <c r="AB32" s="246"/>
      <c r="AC32" s="246"/>
      <c r="AD32" s="246"/>
      <c r="AE32" s="246"/>
      <c r="AF32" s="246"/>
      <c r="AG32" s="246"/>
      <c r="AH32" s="246"/>
    </row>
    <row r="33" spans="2:34" x14ac:dyDescent="0.2">
      <c r="B33" s="251" t="str">
        <f>Technologies!$B$53</f>
        <v>*R4</v>
      </c>
      <c r="C33" s="251" t="str">
        <f>Technologies!$C$53</f>
        <v>XNGAC4E</v>
      </c>
      <c r="D33" s="251" t="str">
        <f>Technologies!$D$53</f>
        <v>Existing Pipeline for Import Canadian natural gas to R4</v>
      </c>
      <c r="E33" s="251" t="str">
        <f>Commodities!C32</f>
        <v>NGAC4</v>
      </c>
      <c r="F33" s="251" t="str">
        <f>Commodities!$C$9</f>
        <v>NGA</v>
      </c>
      <c r="G33" s="304">
        <v>55</v>
      </c>
      <c r="H33" s="304">
        <v>1</v>
      </c>
      <c r="I33" s="306">
        <v>9999</v>
      </c>
      <c r="J33" s="304"/>
      <c r="K33" s="246"/>
      <c r="L33" s="246"/>
      <c r="M33" s="246"/>
      <c r="N33" s="246"/>
      <c r="O33" s="246"/>
      <c r="P33" s="246"/>
      <c r="Q33" s="246"/>
      <c r="R33" s="246"/>
      <c r="S33" s="246"/>
      <c r="T33" s="246"/>
      <c r="U33" s="246"/>
      <c r="V33" s="246"/>
      <c r="W33" s="246"/>
      <c r="X33" s="246"/>
      <c r="Y33" s="246"/>
      <c r="Z33" s="246"/>
      <c r="AA33" s="246"/>
      <c r="AB33" s="246"/>
      <c r="AC33" s="246"/>
      <c r="AD33" s="246"/>
      <c r="AE33" s="246"/>
      <c r="AF33" s="246"/>
      <c r="AG33" s="246"/>
      <c r="AH33" s="246"/>
    </row>
    <row r="34" spans="2:34" x14ac:dyDescent="0.2">
      <c r="B34" s="251" t="str">
        <f>Technologies!$B$54</f>
        <v>*R5</v>
      </c>
      <c r="C34" s="251" t="str">
        <f>Technologies!$C$54</f>
        <v>XNGAC5E</v>
      </c>
      <c r="D34" s="251" t="str">
        <f>Technologies!$D$54</f>
        <v>Existing Pipeline for Import Canadian natural gas to R5</v>
      </c>
      <c r="E34" s="251" t="str">
        <f>Commodities!C33</f>
        <v>NGAC5</v>
      </c>
      <c r="F34" s="251" t="str">
        <f>Commodities!$C$9</f>
        <v>NGA</v>
      </c>
      <c r="G34" s="304">
        <v>55</v>
      </c>
      <c r="H34" s="304">
        <v>1</v>
      </c>
      <c r="I34" s="306">
        <v>9999</v>
      </c>
      <c r="J34" s="304"/>
      <c r="K34" s="246"/>
      <c r="L34" s="246"/>
      <c r="M34" s="246"/>
      <c r="N34" s="246"/>
      <c r="O34" s="246"/>
      <c r="P34" s="246"/>
      <c r="Q34" s="246"/>
      <c r="R34" s="246"/>
      <c r="S34" s="246"/>
      <c r="T34" s="246"/>
      <c r="U34" s="246"/>
      <c r="V34" s="246"/>
      <c r="W34" s="246"/>
      <c r="X34" s="246"/>
      <c r="Y34" s="246"/>
      <c r="Z34" s="246"/>
      <c r="AA34" s="246"/>
      <c r="AB34" s="246"/>
      <c r="AC34" s="246"/>
      <c r="AD34" s="246"/>
      <c r="AE34" s="246"/>
      <c r="AF34" s="246"/>
      <c r="AG34" s="246"/>
      <c r="AH34" s="246"/>
    </row>
    <row r="35" spans="2:34" x14ac:dyDescent="0.2">
      <c r="B35" s="251" t="str">
        <f>Technologies!$B$55</f>
        <v>*R6</v>
      </c>
      <c r="C35" s="251" t="str">
        <f>Technologies!$C$55</f>
        <v>XNGAC6E</v>
      </c>
      <c r="D35" s="251" t="str">
        <f>Technologies!$D$55</f>
        <v>Existing Pipeline for Import Canadian natural gas to R6</v>
      </c>
      <c r="E35" s="251" t="str">
        <f>Commodities!C34</f>
        <v>NGAC6</v>
      </c>
      <c r="F35" s="251" t="str">
        <f>Commodities!$C$9</f>
        <v>NGA</v>
      </c>
      <c r="G35" s="304">
        <v>55</v>
      </c>
      <c r="H35" s="304">
        <v>1</v>
      </c>
      <c r="I35" s="306">
        <v>9999</v>
      </c>
      <c r="J35" s="304"/>
      <c r="K35" s="246"/>
      <c r="L35" s="246"/>
      <c r="M35" s="246"/>
      <c r="N35" s="246"/>
      <c r="O35" s="246"/>
      <c r="P35" s="246"/>
      <c r="Q35" s="246"/>
      <c r="R35" s="246"/>
      <c r="S35" s="246"/>
      <c r="T35" s="246"/>
      <c r="U35" s="246"/>
      <c r="V35" s="246"/>
      <c r="W35" s="246"/>
      <c r="X35" s="246"/>
      <c r="Y35" s="246"/>
      <c r="Z35" s="246"/>
      <c r="AA35" s="246"/>
      <c r="AB35" s="246"/>
      <c r="AC35" s="246"/>
      <c r="AD35" s="246"/>
      <c r="AE35" s="246"/>
      <c r="AF35" s="246"/>
      <c r="AG35" s="246"/>
      <c r="AH35" s="246"/>
    </row>
    <row r="36" spans="2:34" x14ac:dyDescent="0.2">
      <c r="B36" s="248" t="s">
        <v>1666</v>
      </c>
      <c r="C36" s="249"/>
      <c r="D36" s="249"/>
      <c r="E36" s="249"/>
      <c r="F36" s="249"/>
      <c r="G36" s="303"/>
      <c r="H36" s="303"/>
      <c r="I36" s="309"/>
      <c r="J36" s="303"/>
      <c r="K36" s="246"/>
      <c r="L36" s="246"/>
      <c r="M36" s="246"/>
      <c r="N36" s="246"/>
      <c r="O36" s="246"/>
      <c r="P36" s="246"/>
      <c r="Q36" s="246"/>
      <c r="R36" s="246"/>
      <c r="S36" s="246"/>
      <c r="T36" s="246"/>
      <c r="U36" s="246"/>
      <c r="V36" s="246"/>
      <c r="W36" s="246"/>
      <c r="X36" s="246"/>
      <c r="Y36" s="246"/>
      <c r="Z36" s="246"/>
      <c r="AA36" s="246"/>
      <c r="AB36" s="246"/>
      <c r="AC36" s="246"/>
      <c r="AD36" s="246"/>
      <c r="AE36" s="246"/>
      <c r="AF36" s="246"/>
      <c r="AG36" s="246"/>
      <c r="AH36" s="246"/>
    </row>
    <row r="37" spans="2:34" ht="12" customHeight="1" x14ac:dyDescent="0.2">
      <c r="B37" s="251" t="str">
        <f>Technologies!$B$57</f>
        <v>R1</v>
      </c>
      <c r="C37" s="251" t="str">
        <f>Technologies!$C$57</f>
        <v>XNGALE1E</v>
      </c>
      <c r="D37" s="251" t="str">
        <f>Technologies!$D$57</f>
        <v>Infrastructure for Import LNG to Existing terminal in R1</v>
      </c>
      <c r="E37" s="251" t="str">
        <f>Commodities!C35</f>
        <v>NGALE1</v>
      </c>
      <c r="F37" s="251" t="str">
        <f>Commodities!$C$9</f>
        <v>NGA</v>
      </c>
      <c r="G37" s="304">
        <v>55</v>
      </c>
      <c r="H37" s="304">
        <v>1</v>
      </c>
      <c r="I37" s="306">
        <v>0</v>
      </c>
      <c r="J37" s="304"/>
      <c r="K37" s="246"/>
      <c r="L37" s="246"/>
      <c r="M37" s="246"/>
      <c r="N37" s="246"/>
      <c r="O37" s="246"/>
      <c r="P37" s="246"/>
      <c r="Q37" s="246"/>
      <c r="R37" s="246"/>
      <c r="S37" s="246"/>
      <c r="T37" s="246"/>
      <c r="U37" s="246"/>
      <c r="V37" s="246"/>
      <c r="W37" s="246"/>
      <c r="X37" s="246"/>
      <c r="Y37" s="246"/>
      <c r="Z37" s="246"/>
      <c r="AA37" s="246"/>
      <c r="AB37" s="246"/>
      <c r="AC37" s="246"/>
      <c r="AD37" s="246"/>
      <c r="AE37" s="246"/>
      <c r="AF37" s="246"/>
      <c r="AG37" s="246"/>
      <c r="AH37" s="246"/>
    </row>
    <row r="38" spans="2:34" x14ac:dyDescent="0.2">
      <c r="B38" s="251" t="str">
        <f>Technologies!$B$58</f>
        <v>R4</v>
      </c>
      <c r="C38" s="251" t="str">
        <f>Technologies!$C$58</f>
        <v>XNGALE4E</v>
      </c>
      <c r="D38" s="251" t="str">
        <f>Technologies!$D$58</f>
        <v>Infrastructure for Import LNG to Existing terminal in R4 - Manhattan</v>
      </c>
      <c r="E38" s="251" t="str">
        <f>Commodities!C36</f>
        <v>NGALE4</v>
      </c>
      <c r="F38" s="251" t="str">
        <f>Commodities!$C$9</f>
        <v>NGA</v>
      </c>
      <c r="G38" s="304">
        <v>55</v>
      </c>
      <c r="H38" s="304">
        <v>1</v>
      </c>
      <c r="I38" s="306">
        <v>0</v>
      </c>
      <c r="J38" s="304"/>
      <c r="K38" s="246"/>
      <c r="L38" s="246"/>
      <c r="M38" s="246"/>
      <c r="N38" s="246"/>
      <c r="O38" s="246"/>
      <c r="P38" s="246"/>
      <c r="Q38" s="246"/>
      <c r="R38" s="246"/>
      <c r="S38" s="246"/>
      <c r="T38" s="246"/>
      <c r="U38" s="246"/>
      <c r="V38" s="246"/>
      <c r="W38" s="246"/>
      <c r="X38" s="246"/>
      <c r="Y38" s="246"/>
      <c r="Z38" s="246"/>
      <c r="AA38" s="246"/>
      <c r="AB38" s="246"/>
      <c r="AC38" s="246"/>
      <c r="AD38" s="246"/>
      <c r="AE38" s="246"/>
      <c r="AF38" s="246"/>
      <c r="AG38" s="246"/>
      <c r="AH38" s="246"/>
    </row>
    <row r="39" spans="2:34" x14ac:dyDescent="0.2">
      <c r="B39" s="251" t="str">
        <f>Technologies!$B$59</f>
        <v>R5</v>
      </c>
      <c r="C39" s="251" t="str">
        <f>Technologies!$C$59</f>
        <v>XNGALE5E</v>
      </c>
      <c r="D39" s="251" t="str">
        <f>Technologies!$D$59</f>
        <v>Infrastructure for Import LNG to Existing terminal in R5 - Staten Island</v>
      </c>
      <c r="E39" s="251" t="str">
        <f>Commodities!C37</f>
        <v>NGALE5</v>
      </c>
      <c r="F39" s="251" t="str">
        <f>Commodities!$C$9</f>
        <v>NGA</v>
      </c>
      <c r="G39" s="304">
        <v>55</v>
      </c>
      <c r="H39" s="304">
        <v>1</v>
      </c>
      <c r="I39" s="306">
        <v>0</v>
      </c>
      <c r="J39" s="304"/>
      <c r="K39" s="246"/>
      <c r="L39" s="246"/>
      <c r="M39" s="246"/>
      <c r="N39" s="246"/>
      <c r="O39" s="246"/>
      <c r="P39" s="246"/>
      <c r="Q39" s="246"/>
      <c r="R39" s="246"/>
      <c r="S39" s="246"/>
      <c r="T39" s="246"/>
      <c r="U39" s="246"/>
      <c r="V39" s="246"/>
      <c r="W39" s="246"/>
      <c r="X39" s="246"/>
      <c r="Y39" s="246"/>
      <c r="Z39" s="246"/>
      <c r="AA39" s="246"/>
      <c r="AB39" s="246"/>
      <c r="AC39" s="246"/>
      <c r="AD39" s="246"/>
      <c r="AE39" s="246"/>
      <c r="AF39" s="246"/>
      <c r="AG39" s="246"/>
      <c r="AH39" s="246"/>
    </row>
    <row r="40" spans="2:34" x14ac:dyDescent="0.2">
      <c r="B40" s="240"/>
      <c r="C40" s="240"/>
      <c r="D40" s="240"/>
      <c r="E40" s="240"/>
      <c r="F40" s="240"/>
      <c r="G40" s="240"/>
      <c r="V40" s="301"/>
      <c r="W40" s="301"/>
      <c r="X40" s="301"/>
      <c r="Y40" s="301"/>
    </row>
    <row r="41" spans="2:34" ht="17.25" customHeight="1" x14ac:dyDescent="0.2">
      <c r="F41" s="255"/>
      <c r="Z41" s="298"/>
      <c r="AA41" s="298"/>
      <c r="AB41" s="298"/>
      <c r="AC41" s="298"/>
      <c r="AD41" s="298"/>
      <c r="AE41" s="298"/>
      <c r="AF41" s="298"/>
      <c r="AG41" s="298"/>
      <c r="AH41" s="298"/>
    </row>
    <row r="42" spans="2:34" ht="15.75" customHeight="1" x14ac:dyDescent="0.2">
      <c r="B42" s="244" t="s">
        <v>47</v>
      </c>
      <c r="C42" s="244" t="s">
        <v>130</v>
      </c>
      <c r="D42" s="244" t="s">
        <v>131</v>
      </c>
      <c r="E42" s="244" t="s">
        <v>133</v>
      </c>
      <c r="F42" s="244" t="s">
        <v>134</v>
      </c>
      <c r="G42" s="244" t="s">
        <v>1667</v>
      </c>
      <c r="H42" s="244" t="s">
        <v>1668</v>
      </c>
      <c r="I42" s="244" t="s">
        <v>1612</v>
      </c>
      <c r="J42" s="244" t="s">
        <v>1706</v>
      </c>
      <c r="K42" s="244" t="s">
        <v>1654</v>
      </c>
      <c r="L42" s="246"/>
      <c r="M42" s="246"/>
      <c r="N42" s="246"/>
      <c r="O42" s="246"/>
      <c r="P42" s="246"/>
      <c r="Q42" s="246"/>
      <c r="R42" s="246"/>
      <c r="S42" s="246"/>
      <c r="T42" s="246"/>
      <c r="U42" s="246"/>
      <c r="V42" s="246"/>
      <c r="W42" s="246"/>
      <c r="X42" s="246"/>
      <c r="Y42" s="246"/>
      <c r="Z42" s="246"/>
      <c r="AA42" s="246"/>
      <c r="AB42" s="246"/>
      <c r="AC42" s="246"/>
      <c r="AD42" s="246"/>
      <c r="AE42" s="246"/>
      <c r="AF42" s="246"/>
      <c r="AG42" s="246"/>
      <c r="AH42" s="246"/>
    </row>
    <row r="43" spans="2:34" x14ac:dyDescent="0.2">
      <c r="B43" s="248" t="s">
        <v>227</v>
      </c>
      <c r="C43" s="249"/>
      <c r="D43" s="249"/>
      <c r="E43" s="249"/>
      <c r="F43" s="249"/>
      <c r="G43" s="249"/>
      <c r="H43" s="303"/>
      <c r="I43" s="303"/>
      <c r="J43" s="303"/>
      <c r="K43" s="303"/>
      <c r="L43" s="300"/>
      <c r="M43" s="246"/>
      <c r="N43" s="246"/>
      <c r="O43" s="246"/>
      <c r="P43" s="246"/>
      <c r="Q43" s="246"/>
      <c r="R43" s="246"/>
      <c r="S43" s="246"/>
      <c r="T43" s="246"/>
      <c r="U43" s="246"/>
      <c r="V43" s="246"/>
      <c r="W43" s="246"/>
      <c r="X43" s="246"/>
      <c r="Y43" s="246"/>
      <c r="Z43" s="246"/>
      <c r="AA43" s="246"/>
      <c r="AB43" s="246"/>
      <c r="AC43" s="246"/>
      <c r="AD43" s="246"/>
      <c r="AE43" s="246"/>
      <c r="AF43" s="246"/>
      <c r="AG43" s="246"/>
      <c r="AH43" s="246"/>
    </row>
    <row r="44" spans="2:34" x14ac:dyDescent="0.2">
      <c r="B44" s="251" t="str">
        <f>Technologies!$B$123</f>
        <v>R1</v>
      </c>
      <c r="C44" s="251" t="str">
        <f>Technologies!$C$123</f>
        <v>XNGAC1N</v>
      </c>
      <c r="D44" s="251" t="str">
        <f>Technologies!$D$123</f>
        <v>New Pipeline for Import Canadian natural gas to R1</v>
      </c>
      <c r="E44" s="251" t="str">
        <f>Commodities!C29</f>
        <v>NGAC1</v>
      </c>
      <c r="F44" s="251" t="str">
        <f>Commodities!$C$9</f>
        <v>NGA</v>
      </c>
      <c r="G44" s="251">
        <v>2010</v>
      </c>
      <c r="H44" s="304">
        <v>55</v>
      </c>
      <c r="I44" s="304">
        <v>1</v>
      </c>
      <c r="J44" s="306"/>
      <c r="K44" s="308">
        <f>NGExpansion!M72</f>
        <v>4.2380353687958259</v>
      </c>
      <c r="L44" s="246"/>
      <c r="M44" s="246"/>
      <c r="N44" s="246"/>
      <c r="O44" s="246"/>
      <c r="P44" s="246"/>
      <c r="Q44" s="246"/>
      <c r="R44" s="246"/>
      <c r="S44" s="246"/>
      <c r="T44" s="246"/>
      <c r="U44" s="246"/>
      <c r="V44" s="246"/>
      <c r="W44" s="246"/>
      <c r="X44" s="246"/>
      <c r="Y44" s="246"/>
      <c r="Z44" s="246"/>
      <c r="AA44" s="246"/>
      <c r="AB44" s="246"/>
      <c r="AC44" s="246"/>
      <c r="AD44" s="246"/>
      <c r="AE44" s="246"/>
      <c r="AF44" s="246"/>
      <c r="AG44" s="246"/>
      <c r="AH44" s="246"/>
    </row>
    <row r="45" spans="2:34" x14ac:dyDescent="0.2">
      <c r="B45" s="251" t="str">
        <f>Technologies!$B$124</f>
        <v>*R2</v>
      </c>
      <c r="C45" s="251" t="str">
        <f>Technologies!$C$124</f>
        <v>XNGAC2N</v>
      </c>
      <c r="D45" s="251" t="str">
        <f>Technologies!$D$124</f>
        <v>New Pipeline for Import Canadian natural gas to R2</v>
      </c>
      <c r="E45" s="251" t="str">
        <f>Commodities!C30</f>
        <v>NGAC2</v>
      </c>
      <c r="F45" s="251" t="str">
        <f>Commodities!$C$9</f>
        <v>NGA</v>
      </c>
      <c r="G45" s="251">
        <v>2010</v>
      </c>
      <c r="H45" s="304">
        <v>55</v>
      </c>
      <c r="I45" s="304">
        <v>1</v>
      </c>
      <c r="J45" s="306"/>
      <c r="K45" s="308">
        <f>NGExpansion!M73</f>
        <v>2.6213700448894341</v>
      </c>
      <c r="L45" s="246"/>
      <c r="M45" s="246"/>
      <c r="N45" s="246"/>
      <c r="O45" s="246"/>
      <c r="P45" s="246"/>
      <c r="Q45" s="246"/>
      <c r="R45" s="246"/>
      <c r="S45" s="246"/>
      <c r="T45" s="246"/>
      <c r="U45" s="246"/>
      <c r="V45" s="246"/>
      <c r="W45" s="246"/>
      <c r="X45" s="246"/>
      <c r="Y45" s="246"/>
      <c r="Z45" s="246"/>
      <c r="AA45" s="246"/>
      <c r="AB45" s="246"/>
      <c r="AC45" s="246"/>
      <c r="AD45" s="246"/>
      <c r="AE45" s="246"/>
      <c r="AF45" s="246"/>
      <c r="AG45" s="246"/>
      <c r="AH45" s="246"/>
    </row>
    <row r="46" spans="2:34" x14ac:dyDescent="0.2">
      <c r="B46" s="251" t="str">
        <f>Technologies!$B$125</f>
        <v>*R3</v>
      </c>
      <c r="C46" s="251" t="str">
        <f>Technologies!$C$125</f>
        <v>XNGAC3N</v>
      </c>
      <c r="D46" s="251" t="str">
        <f>Technologies!$D$125</f>
        <v>New Pipeline for Import Canadian natural gas to R3</v>
      </c>
      <c r="E46" s="251" t="str">
        <f>Commodities!C31</f>
        <v>NGAC3</v>
      </c>
      <c r="F46" s="251" t="str">
        <f>Commodities!$C$9</f>
        <v>NGA</v>
      </c>
      <c r="G46" s="251">
        <v>2010</v>
      </c>
      <c r="H46" s="304">
        <v>55</v>
      </c>
      <c r="I46" s="304">
        <v>1</v>
      </c>
      <c r="J46" s="306"/>
      <c r="K46" s="308">
        <f>(NGExpansion!M75+NGExpansion!M76)/2</f>
        <v>8.5091105452765632</v>
      </c>
      <c r="L46" s="246"/>
      <c r="M46" s="246"/>
      <c r="N46" s="246"/>
      <c r="O46" s="246"/>
      <c r="P46" s="246"/>
      <c r="Q46" s="246"/>
      <c r="R46" s="246"/>
      <c r="S46" s="246"/>
      <c r="T46" s="246"/>
      <c r="U46" s="246"/>
      <c r="V46" s="246"/>
      <c r="W46" s="246"/>
      <c r="X46" s="246"/>
      <c r="Y46" s="246"/>
      <c r="Z46" s="246"/>
      <c r="AA46" s="246"/>
      <c r="AB46" s="246"/>
      <c r="AC46" s="246"/>
      <c r="AD46" s="246"/>
      <c r="AE46" s="246"/>
      <c r="AF46" s="246"/>
      <c r="AG46" s="246"/>
      <c r="AH46" s="246"/>
    </row>
    <row r="47" spans="2:34" x14ac:dyDescent="0.2">
      <c r="B47" s="251" t="str">
        <f>Technologies!$B$126</f>
        <v>*R4</v>
      </c>
      <c r="C47" s="251" t="str">
        <f>Technologies!$C$126</f>
        <v>XNGAC4N</v>
      </c>
      <c r="D47" s="251" t="str">
        <f>Technologies!$D$126</f>
        <v>New Pipeline for Import Canadian natural gas to R4</v>
      </c>
      <c r="E47" s="251" t="str">
        <f>Commodities!C32</f>
        <v>NGAC4</v>
      </c>
      <c r="F47" s="251" t="str">
        <f>Commodities!$C$9</f>
        <v>NGA</v>
      </c>
      <c r="G47" s="251">
        <v>2010</v>
      </c>
      <c r="H47" s="304">
        <v>55</v>
      </c>
      <c r="I47" s="304">
        <v>1</v>
      </c>
      <c r="J47" s="306"/>
      <c r="K47" s="308">
        <f>NGExpansion!M77</f>
        <v>7.9762288507832615</v>
      </c>
      <c r="L47" s="246"/>
      <c r="M47" s="246"/>
      <c r="N47" s="246"/>
      <c r="O47" s="246"/>
      <c r="P47" s="246"/>
      <c r="Q47" s="246"/>
      <c r="R47" s="246"/>
      <c r="S47" s="246"/>
      <c r="T47" s="246"/>
      <c r="U47" s="246"/>
      <c r="V47" s="246"/>
      <c r="W47" s="246"/>
      <c r="X47" s="246"/>
      <c r="Y47" s="246"/>
      <c r="Z47" s="246"/>
      <c r="AA47" s="246"/>
      <c r="AB47" s="246"/>
      <c r="AC47" s="246"/>
      <c r="AD47" s="246"/>
      <c r="AE47" s="246"/>
      <c r="AF47" s="246"/>
      <c r="AG47" s="246"/>
      <c r="AH47" s="246"/>
    </row>
    <row r="48" spans="2:34" x14ac:dyDescent="0.2">
      <c r="B48" s="251" t="str">
        <f>Technologies!$B$127</f>
        <v>*R5</v>
      </c>
      <c r="C48" s="251" t="str">
        <f>Technologies!$C$127</f>
        <v>XNGAC5N</v>
      </c>
      <c r="D48" s="251" t="str">
        <f>Technologies!$D$127</f>
        <v>New Pipeline for Import Canadian natural gas to R5</v>
      </c>
      <c r="E48" s="251" t="str">
        <f>Commodities!C33</f>
        <v>NGAC5</v>
      </c>
      <c r="F48" s="251" t="str">
        <f>Commodities!$C$9</f>
        <v>NGA</v>
      </c>
      <c r="G48" s="251">
        <v>2010</v>
      </c>
      <c r="H48" s="304">
        <v>55</v>
      </c>
      <c r="I48" s="304">
        <v>1</v>
      </c>
      <c r="J48" s="306"/>
      <c r="K48" s="308">
        <f>(NGExpansion!M78+NGExpansion!M79)/2</f>
        <v>8.5125579832067793</v>
      </c>
      <c r="L48" s="246"/>
      <c r="M48" s="246"/>
      <c r="N48" s="246"/>
      <c r="O48" s="246"/>
      <c r="P48" s="246"/>
      <c r="Q48" s="246"/>
      <c r="R48" s="246"/>
      <c r="S48" s="246"/>
      <c r="T48" s="246"/>
      <c r="U48" s="246"/>
      <c r="V48" s="246"/>
      <c r="W48" s="246"/>
      <c r="X48" s="246"/>
      <c r="Y48" s="246"/>
      <c r="Z48" s="246"/>
      <c r="AA48" s="246"/>
      <c r="AB48" s="246"/>
      <c r="AC48" s="246"/>
      <c r="AD48" s="246"/>
      <c r="AE48" s="246"/>
      <c r="AF48" s="246"/>
      <c r="AG48" s="246"/>
      <c r="AH48" s="246"/>
    </row>
    <row r="49" spans="2:34" x14ac:dyDescent="0.2">
      <c r="B49" s="251" t="str">
        <f>Technologies!$B$128</f>
        <v>*R6</v>
      </c>
      <c r="C49" s="251" t="str">
        <f>Technologies!$C$128</f>
        <v>XNGAC6N</v>
      </c>
      <c r="D49" s="251" t="str">
        <f>Technologies!$D$128</f>
        <v>New Pipeline for Import Canadian natural gas to R6</v>
      </c>
      <c r="E49" s="251" t="str">
        <f>Commodities!C34</f>
        <v>NGAC6</v>
      </c>
      <c r="F49" s="251" t="str">
        <f>Commodities!$C$9</f>
        <v>NGA</v>
      </c>
      <c r="G49" s="251">
        <v>2010</v>
      </c>
      <c r="H49" s="304">
        <v>55</v>
      </c>
      <c r="I49" s="304">
        <v>1</v>
      </c>
      <c r="J49" s="306"/>
      <c r="K49" s="308"/>
      <c r="L49" s="246"/>
      <c r="M49" s="246"/>
      <c r="N49" s="246"/>
      <c r="O49" s="246"/>
      <c r="P49" s="246"/>
      <c r="Q49" s="246"/>
      <c r="R49" s="246"/>
      <c r="S49" s="246"/>
      <c r="T49" s="246"/>
      <c r="U49" s="246"/>
      <c r="V49" s="246"/>
      <c r="W49" s="246"/>
      <c r="X49" s="246"/>
      <c r="Y49" s="246"/>
      <c r="Z49" s="246"/>
      <c r="AA49" s="246"/>
      <c r="AB49" s="246"/>
      <c r="AC49" s="246"/>
      <c r="AD49" s="246"/>
      <c r="AE49" s="246"/>
      <c r="AF49" s="246"/>
      <c r="AG49" s="246"/>
      <c r="AH49" s="246"/>
    </row>
    <row r="50" spans="2:34" x14ac:dyDescent="0.2">
      <c r="B50" s="248" t="s">
        <v>1666</v>
      </c>
      <c r="C50" s="249"/>
      <c r="D50" s="249"/>
      <c r="E50" s="249"/>
      <c r="F50" s="249"/>
      <c r="G50" s="249"/>
      <c r="H50" s="303"/>
      <c r="I50" s="303"/>
      <c r="J50" s="309"/>
      <c r="K50" s="303"/>
      <c r="L50" s="246"/>
      <c r="M50" s="246"/>
      <c r="N50" s="246"/>
      <c r="O50" s="246"/>
      <c r="P50" s="246"/>
      <c r="Q50" s="246"/>
      <c r="R50" s="246"/>
      <c r="S50" s="246"/>
      <c r="T50" s="246"/>
      <c r="U50" s="246"/>
      <c r="V50" s="246"/>
      <c r="W50" s="246"/>
      <c r="X50" s="246"/>
      <c r="Y50" s="246"/>
      <c r="Z50" s="246"/>
      <c r="AA50" s="246"/>
      <c r="AB50" s="246"/>
      <c r="AC50" s="246"/>
      <c r="AD50" s="246"/>
      <c r="AE50" s="246"/>
      <c r="AF50" s="246"/>
      <c r="AG50" s="246"/>
      <c r="AH50" s="246"/>
    </row>
    <row r="51" spans="2:34" x14ac:dyDescent="0.2">
      <c r="B51" s="251" t="str">
        <f>Technologies!$B$129</f>
        <v>R1</v>
      </c>
      <c r="C51" s="251" t="str">
        <f>Technologies!$C$129</f>
        <v>XNGALE1N</v>
      </c>
      <c r="D51" s="251" t="str">
        <f>Technologies!$D$129</f>
        <v>New Infrastructure for Import LNG to Existing terminal in R1</v>
      </c>
      <c r="E51" s="251" t="str">
        <f>Commodities!C35</f>
        <v>NGALE1</v>
      </c>
      <c r="F51" s="251" t="str">
        <f>Commodities!$C$9</f>
        <v>NGA</v>
      </c>
      <c r="G51" s="251">
        <v>2010</v>
      </c>
      <c r="H51" s="304">
        <v>55</v>
      </c>
      <c r="I51" s="304">
        <v>1</v>
      </c>
      <c r="J51" s="306">
        <v>0</v>
      </c>
      <c r="K51" s="308">
        <f>NGExpansion!M41</f>
        <v>4.495714126749311</v>
      </c>
      <c r="L51" s="246"/>
      <c r="M51" s="246"/>
      <c r="N51" s="246"/>
      <c r="O51" s="246"/>
      <c r="P51" s="246"/>
      <c r="Q51" s="246"/>
      <c r="R51" s="246"/>
      <c r="S51" s="246"/>
      <c r="T51" s="246"/>
      <c r="U51" s="246"/>
      <c r="V51" s="246"/>
      <c r="W51" s="246"/>
      <c r="X51" s="246"/>
      <c r="Y51" s="246"/>
      <c r="Z51" s="246"/>
      <c r="AA51" s="246"/>
      <c r="AB51" s="246"/>
      <c r="AC51" s="246"/>
      <c r="AD51" s="246"/>
      <c r="AE51" s="246"/>
      <c r="AF51" s="246"/>
      <c r="AG51" s="246"/>
      <c r="AH51" s="246"/>
    </row>
    <row r="52" spans="2:34" x14ac:dyDescent="0.2">
      <c r="B52" s="251" t="str">
        <f>Technologies!$B$130</f>
        <v>R4</v>
      </c>
      <c r="C52" s="251" t="str">
        <f>Technologies!$C$130</f>
        <v>XNGALE4N</v>
      </c>
      <c r="D52" s="251" t="str">
        <f>Technologies!$D$130</f>
        <v>New Infrastructure for Import LNG to Existing terminal in R4 - Manhattan</v>
      </c>
      <c r="E52" s="251" t="str">
        <f>Commodities!C36</f>
        <v>NGALE4</v>
      </c>
      <c r="F52" s="251" t="str">
        <f>Commodities!$C$9</f>
        <v>NGA</v>
      </c>
      <c r="G52" s="251">
        <v>2010</v>
      </c>
      <c r="H52" s="304">
        <v>55</v>
      </c>
      <c r="I52" s="304">
        <v>1</v>
      </c>
      <c r="J52" s="306">
        <v>0</v>
      </c>
      <c r="K52" s="308">
        <f>K51</f>
        <v>4.495714126749311</v>
      </c>
      <c r="L52" s="246"/>
      <c r="M52" s="246"/>
      <c r="N52" s="246"/>
      <c r="O52" s="246"/>
      <c r="P52" s="246"/>
      <c r="Q52" s="246"/>
      <c r="R52" s="246"/>
      <c r="S52" s="246"/>
      <c r="T52" s="246"/>
      <c r="U52" s="246"/>
      <c r="V52" s="246"/>
      <c r="W52" s="246"/>
      <c r="X52" s="246"/>
      <c r="Y52" s="246"/>
      <c r="Z52" s="246"/>
      <c r="AA52" s="246"/>
      <c r="AB52" s="246"/>
      <c r="AC52" s="246"/>
      <c r="AD52" s="246"/>
      <c r="AE52" s="246"/>
      <c r="AF52" s="246"/>
      <c r="AG52" s="246"/>
      <c r="AH52" s="246"/>
    </row>
    <row r="53" spans="2:34" x14ac:dyDescent="0.2">
      <c r="B53" s="251" t="str">
        <f>Technologies!$B$131</f>
        <v>R5</v>
      </c>
      <c r="C53" s="251" t="str">
        <f>Technologies!$C$131</f>
        <v>XNGALE5N</v>
      </c>
      <c r="D53" s="251" t="str">
        <f>Technologies!$D$131</f>
        <v>New Infrastructure for Import LNG to Existing terminal in R5 - Staten Island</v>
      </c>
      <c r="E53" s="251" t="str">
        <f>Commodities!C37</f>
        <v>NGALE5</v>
      </c>
      <c r="F53" s="251" t="str">
        <f>Commodities!$C$9</f>
        <v>NGA</v>
      </c>
      <c r="G53" s="251">
        <v>2010</v>
      </c>
      <c r="H53" s="304">
        <v>55</v>
      </c>
      <c r="I53" s="304">
        <v>1</v>
      </c>
      <c r="J53" s="306">
        <v>0</v>
      </c>
      <c r="K53" s="308">
        <f>K51</f>
        <v>4.495714126749311</v>
      </c>
      <c r="L53" s="246"/>
      <c r="M53" s="246"/>
      <c r="N53" s="246"/>
      <c r="O53" s="246"/>
      <c r="P53" s="246"/>
      <c r="Q53" s="246"/>
      <c r="R53" s="246"/>
      <c r="S53" s="246"/>
      <c r="T53" s="246"/>
      <c r="U53" s="246"/>
      <c r="V53" s="246"/>
      <c r="W53" s="246"/>
      <c r="X53" s="246"/>
      <c r="Y53" s="246"/>
      <c r="Z53" s="246"/>
      <c r="AA53" s="246"/>
      <c r="AB53" s="246"/>
      <c r="AC53" s="246"/>
      <c r="AD53" s="246"/>
      <c r="AE53" s="246"/>
      <c r="AF53" s="246"/>
      <c r="AG53" s="246"/>
      <c r="AH53" s="246"/>
    </row>
    <row r="54" spans="2:34" x14ac:dyDescent="0.2">
      <c r="B54" s="240"/>
      <c r="C54" s="240"/>
      <c r="D54" s="240"/>
      <c r="E54" s="240"/>
      <c r="F54" s="240"/>
      <c r="G54" s="240"/>
      <c r="J54" s="307"/>
      <c r="K54" s="301"/>
      <c r="L54" s="246"/>
      <c r="M54" s="246"/>
      <c r="N54" s="246"/>
      <c r="O54" s="246"/>
      <c r="P54" s="246"/>
      <c r="Q54" s="246"/>
      <c r="R54" s="246"/>
      <c r="S54" s="246"/>
      <c r="T54" s="246"/>
      <c r="U54" s="246"/>
      <c r="V54" s="246"/>
      <c r="W54" s="246"/>
      <c r="X54" s="246"/>
      <c r="Y54" s="246"/>
      <c r="Z54" s="246"/>
      <c r="AA54" s="246"/>
      <c r="AB54" s="246"/>
      <c r="AC54" s="246"/>
      <c r="AD54" s="246"/>
      <c r="AE54" s="246"/>
      <c r="AF54" s="246"/>
      <c r="AG54" s="246"/>
      <c r="AH54" s="246"/>
    </row>
    <row r="55" spans="2:34" x14ac:dyDescent="0.2">
      <c r="B55" s="240"/>
      <c r="C55" s="240"/>
      <c r="D55" s="240"/>
      <c r="E55" s="240"/>
      <c r="F55" s="240"/>
      <c r="G55" s="240"/>
      <c r="J55" s="307"/>
      <c r="K55" s="301"/>
      <c r="L55" s="246"/>
      <c r="M55" s="246"/>
      <c r="N55" s="246"/>
      <c r="O55" s="246"/>
      <c r="P55" s="246"/>
      <c r="Q55" s="246"/>
      <c r="R55" s="246"/>
      <c r="S55" s="246"/>
      <c r="T55" s="246"/>
      <c r="U55" s="246"/>
      <c r="V55" s="246"/>
      <c r="W55" s="246"/>
      <c r="X55" s="246"/>
      <c r="Y55" s="246"/>
      <c r="Z55" s="246"/>
      <c r="AA55" s="246"/>
      <c r="AB55" s="246"/>
      <c r="AC55" s="246"/>
      <c r="AD55" s="246"/>
      <c r="AE55" s="246"/>
      <c r="AF55" s="246"/>
      <c r="AG55" s="246"/>
      <c r="AH55" s="246"/>
    </row>
    <row r="56" spans="2:34" x14ac:dyDescent="0.2">
      <c r="B56" s="240"/>
      <c r="C56" s="240"/>
      <c r="D56" s="240"/>
      <c r="E56" s="240"/>
      <c r="F56" s="240"/>
      <c r="G56" s="240"/>
      <c r="J56" s="307"/>
      <c r="K56" s="301"/>
      <c r="L56" s="246"/>
      <c r="M56" s="246"/>
      <c r="N56" s="246"/>
      <c r="O56" s="246"/>
      <c r="P56" s="246"/>
      <c r="Q56" s="246"/>
      <c r="R56" s="246"/>
      <c r="S56" s="246"/>
      <c r="T56" s="246"/>
      <c r="U56" s="246"/>
      <c r="V56" s="246"/>
      <c r="W56" s="246"/>
      <c r="X56" s="246"/>
      <c r="Y56" s="246"/>
      <c r="Z56" s="246"/>
      <c r="AA56" s="246"/>
      <c r="AB56" s="246"/>
      <c r="AC56" s="246"/>
      <c r="AD56" s="246"/>
      <c r="AE56" s="246"/>
      <c r="AF56" s="246"/>
      <c r="AG56" s="246"/>
      <c r="AH56" s="246"/>
    </row>
    <row r="57" spans="2:34" ht="17.25" customHeight="1" x14ac:dyDescent="0.2">
      <c r="F57" s="255" t="s">
        <v>1596</v>
      </c>
      <c r="Z57" s="298"/>
      <c r="AA57" s="298"/>
      <c r="AB57" s="298"/>
      <c r="AC57" s="298"/>
      <c r="AD57" s="298"/>
      <c r="AE57" s="298"/>
      <c r="AF57" s="298"/>
      <c r="AG57" s="298"/>
      <c r="AH57" s="298"/>
    </row>
    <row r="58" spans="2:34" ht="15.75" customHeight="1" x14ac:dyDescent="0.2">
      <c r="B58" s="244" t="s">
        <v>47</v>
      </c>
      <c r="C58" s="244" t="s">
        <v>130</v>
      </c>
      <c r="D58" s="244" t="s">
        <v>131</v>
      </c>
      <c r="E58" s="244" t="s">
        <v>133</v>
      </c>
      <c r="F58" s="244" t="s">
        <v>134</v>
      </c>
      <c r="G58" s="244" t="s">
        <v>1612</v>
      </c>
      <c r="H58" s="244" t="s">
        <v>1706</v>
      </c>
      <c r="I58" s="244" t="s">
        <v>1672</v>
      </c>
      <c r="J58" s="244" t="s">
        <v>1673</v>
      </c>
      <c r="K58" s="244" t="s">
        <v>1674</v>
      </c>
      <c r="L58" s="244" t="s">
        <v>1675</v>
      </c>
      <c r="M58" s="244" t="s">
        <v>1676</v>
      </c>
      <c r="N58" s="244" t="s">
        <v>1677</v>
      </c>
      <c r="O58" s="244" t="s">
        <v>1678</v>
      </c>
      <c r="P58" s="244" t="s">
        <v>1679</v>
      </c>
      <c r="Q58" s="244" t="s">
        <v>1680</v>
      </c>
      <c r="R58" s="244" t="s">
        <v>1681</v>
      </c>
      <c r="S58" s="244" t="s">
        <v>1654</v>
      </c>
      <c r="W58" s="244" t="s">
        <v>1656</v>
      </c>
      <c r="X58" s="244" t="s">
        <v>1657</v>
      </c>
      <c r="Y58" s="244" t="s">
        <v>1658</v>
      </c>
      <c r="Z58" s="244" t="s">
        <v>1659</v>
      </c>
      <c r="AA58" s="244" t="s">
        <v>1660</v>
      </c>
      <c r="AB58" s="244" t="s">
        <v>1661</v>
      </c>
      <c r="AC58" s="244" t="s">
        <v>1662</v>
      </c>
      <c r="AD58" s="244" t="s">
        <v>1663</v>
      </c>
      <c r="AE58" s="244" t="s">
        <v>1664</v>
      </c>
      <c r="AF58" s="246"/>
      <c r="AG58" s="246"/>
      <c r="AH58" s="246"/>
    </row>
    <row r="59" spans="2:34" x14ac:dyDescent="0.2">
      <c r="B59" s="248" t="s">
        <v>244</v>
      </c>
      <c r="C59" s="249"/>
      <c r="D59" s="249"/>
      <c r="E59" s="249"/>
      <c r="F59" s="249"/>
      <c r="G59" s="303"/>
      <c r="H59" s="303"/>
      <c r="I59" s="310"/>
      <c r="J59" s="310"/>
      <c r="K59" s="310"/>
      <c r="L59" s="310"/>
      <c r="M59" s="310"/>
      <c r="N59" s="310"/>
      <c r="O59" s="310"/>
      <c r="P59" s="310"/>
      <c r="Q59" s="310"/>
      <c r="R59" s="310"/>
      <c r="S59" s="303"/>
      <c r="AF59" s="246"/>
      <c r="AG59" s="246"/>
      <c r="AH59" s="246"/>
    </row>
    <row r="60" spans="2:34" x14ac:dyDescent="0.2">
      <c r="B60" s="251" t="s">
        <v>1420</v>
      </c>
      <c r="C60" s="251" t="str">
        <f>Technologies!C61</f>
        <v>XNGARES</v>
      </c>
      <c r="D60" s="251" t="str">
        <f>Technologies!D61</f>
        <v>Domestic natural gas to residential end-use</v>
      </c>
      <c r="E60" s="251" t="str">
        <f>Commodities!$C$9</f>
        <v>NGA</v>
      </c>
      <c r="F60" s="251" t="str">
        <f>Commodities!C45</f>
        <v>RESNGA</v>
      </c>
      <c r="G60" s="304">
        <v>1</v>
      </c>
      <c r="H60" s="304"/>
      <c r="I60" s="294">
        <v>31.271380224583606</v>
      </c>
      <c r="J60" s="294">
        <v>27.875355677646098</v>
      </c>
      <c r="K60" s="294">
        <v>28.662273397152404</v>
      </c>
      <c r="L60" s="294">
        <v>32.15056044070549</v>
      </c>
      <c r="M60" s="294">
        <v>36.330812094789238</v>
      </c>
      <c r="N60" s="294">
        <v>35.987667137624292</v>
      </c>
      <c r="O60" s="294">
        <v>39.714140571783119</v>
      </c>
      <c r="P60" s="294">
        <v>39.714140571783119</v>
      </c>
      <c r="Q60" s="294">
        <v>39.714140571783119</v>
      </c>
      <c r="R60" s="294">
        <v>39.714140571783119</v>
      </c>
      <c r="S60" s="304"/>
      <c r="W60" s="258">
        <f>Emissions!A$46</f>
        <v>4.2702380285836546E-4</v>
      </c>
      <c r="X60" s="258">
        <f>Emissions!B$46</f>
        <v>9.8095010711004801E-4</v>
      </c>
      <c r="Y60" s="258">
        <f>Emissions!C$46</f>
        <v>2.6126521837571814E-3</v>
      </c>
      <c r="Z60" s="258">
        <f>Emissions!D$46</f>
        <v>1.371173763923653E-4</v>
      </c>
      <c r="AA60" s="258">
        <f>Emissions!E$46</f>
        <v>7.5384379564155695E-5</v>
      </c>
      <c r="AB60" s="258">
        <f>Emissions!F$46</f>
        <v>1.9290626913037349E-4</v>
      </c>
      <c r="AC60" s="258">
        <f>Emissions!G$46</f>
        <v>7.9544099694811812E-2</v>
      </c>
      <c r="AD60" s="258">
        <f>Emissions!H$46</f>
        <v>1.0079862516248546E-5</v>
      </c>
      <c r="AE60" s="258">
        <f>Emissions!I$46/1000</f>
        <v>3.4352762224830528E-4</v>
      </c>
      <c r="AF60" s="246"/>
      <c r="AG60" s="300"/>
      <c r="AH60" s="300"/>
    </row>
    <row r="61" spans="2:34" x14ac:dyDescent="0.2">
      <c r="B61" s="251" t="s">
        <v>1420</v>
      </c>
      <c r="C61" s="251" t="str">
        <f>Technologies!C62</f>
        <v>XNGACOM</v>
      </c>
      <c r="D61" s="251" t="str">
        <f>Technologies!D62</f>
        <v>Domestic natural gas to commercial end-use</v>
      </c>
      <c r="E61" s="251" t="str">
        <f>Commodities!$C$9</f>
        <v>NGA</v>
      </c>
      <c r="F61" s="251" t="str">
        <f>Commodities!C46</f>
        <v>COMNGA</v>
      </c>
      <c r="G61" s="304">
        <v>1</v>
      </c>
      <c r="H61" s="304"/>
      <c r="I61" s="294">
        <v>6.9577495540977932</v>
      </c>
      <c r="J61" s="294">
        <v>5.8354750659598906</v>
      </c>
      <c r="K61" s="294">
        <v>6.3184518807730408</v>
      </c>
      <c r="L61" s="294">
        <v>7.3716925703216702</v>
      </c>
      <c r="M61" s="294">
        <v>8.672195918838046</v>
      </c>
      <c r="N61" s="294">
        <v>8.5043044124234246</v>
      </c>
      <c r="O61" s="294">
        <v>9.5894071827526144</v>
      </c>
      <c r="P61" s="294">
        <v>9.5894071827526144</v>
      </c>
      <c r="Q61" s="294">
        <v>9.5894071827526144</v>
      </c>
      <c r="R61" s="294">
        <v>9.5894071827526144</v>
      </c>
      <c r="S61" s="304"/>
      <c r="W61" s="258">
        <f>W$60</f>
        <v>4.2702380285836546E-4</v>
      </c>
      <c r="X61" s="258">
        <f t="shared" ref="W61:AE76" si="1">X$60</f>
        <v>9.8095010711004801E-4</v>
      </c>
      <c r="Y61" s="258">
        <f t="shared" si="1"/>
        <v>2.6126521837571814E-3</v>
      </c>
      <c r="Z61" s="258">
        <f t="shared" si="1"/>
        <v>1.371173763923653E-4</v>
      </c>
      <c r="AA61" s="258">
        <f t="shared" si="1"/>
        <v>7.5384379564155695E-5</v>
      </c>
      <c r="AB61" s="258">
        <f t="shared" si="1"/>
        <v>1.9290626913037349E-4</v>
      </c>
      <c r="AC61" s="258">
        <f t="shared" si="1"/>
        <v>7.9544099694811812E-2</v>
      </c>
      <c r="AD61" s="258">
        <f t="shared" si="1"/>
        <v>1.0079862516248546E-5</v>
      </c>
      <c r="AE61" s="258">
        <f t="shared" si="1"/>
        <v>3.4352762224830528E-4</v>
      </c>
      <c r="AF61" s="246"/>
      <c r="AG61" s="300"/>
      <c r="AH61" s="300"/>
    </row>
    <row r="62" spans="2:34" x14ac:dyDescent="0.2">
      <c r="B62" s="251" t="s">
        <v>1420</v>
      </c>
      <c r="C62" s="251" t="str">
        <f>Technologies!C63</f>
        <v>XNGAIND</v>
      </c>
      <c r="D62" s="251" t="str">
        <f>Technologies!D63</f>
        <v>Domestic natural gas to industrial end-use</v>
      </c>
      <c r="E62" s="251" t="str">
        <f>Commodities!$C$9</f>
        <v>NGA</v>
      </c>
      <c r="F62" s="251" t="str">
        <f>Commodities!C47</f>
        <v>INDNGA</v>
      </c>
      <c r="G62" s="304">
        <v>1</v>
      </c>
      <c r="H62" s="304"/>
      <c r="I62" s="294">
        <f>DelivNGA!$B116*DelivNGA!C126*2</f>
        <v>6.3709196314133294</v>
      </c>
      <c r="J62" s="294">
        <f>DelivNGA!$B116*DelivNGA!D126*2</f>
        <v>5.343299922954416</v>
      </c>
      <c r="K62" s="294">
        <f>DelivNGA!$B116*DelivNGA!E126*2</f>
        <v>5.7855415482222243</v>
      </c>
      <c r="L62" s="294">
        <f>DelivNGA!$B116*DelivNGA!F126*2</f>
        <v>6.7499499008765289</v>
      </c>
      <c r="M62" s="294">
        <f>DelivNGA!$B116*DelivNGA!G126*2</f>
        <v>7.9407663062905502</v>
      </c>
      <c r="N62" s="294">
        <f>DelivNGA!$B116*DelivNGA!H126*2</f>
        <v>7.7870350910681649</v>
      </c>
      <c r="O62" s="294">
        <f>DelivNGA!$B116*DelivNGA!I126*2</f>
        <v>8.7806182155886106</v>
      </c>
      <c r="P62" s="294">
        <f>DelivNGA!$B116*DelivNGA!J126*2</f>
        <v>8.7806182155886106</v>
      </c>
      <c r="Q62" s="294">
        <f>DelivNGA!$B116*DelivNGA!K126*2</f>
        <v>8.7806182155886106</v>
      </c>
      <c r="R62" s="294">
        <f>DelivNGA!$B116*DelivNGA!L126*2</f>
        <v>8.7806182155886106</v>
      </c>
      <c r="S62" s="304"/>
      <c r="W62" s="258">
        <f t="shared" si="1"/>
        <v>4.2702380285836546E-4</v>
      </c>
      <c r="X62" s="258">
        <f t="shared" si="1"/>
        <v>9.8095010711004801E-4</v>
      </c>
      <c r="Y62" s="258">
        <f t="shared" si="1"/>
        <v>2.6126521837571814E-3</v>
      </c>
      <c r="Z62" s="258">
        <f t="shared" si="1"/>
        <v>1.371173763923653E-4</v>
      </c>
      <c r="AA62" s="258">
        <f t="shared" si="1"/>
        <v>7.5384379564155695E-5</v>
      </c>
      <c r="AB62" s="258">
        <f t="shared" si="1"/>
        <v>1.9290626913037349E-4</v>
      </c>
      <c r="AC62" s="258">
        <f t="shared" si="1"/>
        <v>7.9544099694811812E-2</v>
      </c>
      <c r="AD62" s="258">
        <f t="shared" si="1"/>
        <v>1.0079862516248546E-5</v>
      </c>
      <c r="AE62" s="258">
        <f t="shared" si="1"/>
        <v>3.4352762224830528E-4</v>
      </c>
      <c r="AF62" s="246"/>
      <c r="AG62" s="300"/>
      <c r="AH62" s="300"/>
    </row>
    <row r="63" spans="2:34" x14ac:dyDescent="0.2">
      <c r="B63" s="251" t="s">
        <v>160</v>
      </c>
      <c r="C63" s="251" t="str">
        <f>Technologies!C64</f>
        <v>XNGAELC</v>
      </c>
      <c r="D63" s="251" t="str">
        <f>Technologies!D64</f>
        <v>Domestic natural gas to electricity generation</v>
      </c>
      <c r="E63" s="251" t="str">
        <f>Commodities!$C$9</f>
        <v>NGA</v>
      </c>
      <c r="F63" s="251" t="str">
        <f>Commodities!C48</f>
        <v>ELCNGA</v>
      </c>
      <c r="G63" s="304">
        <v>1</v>
      </c>
      <c r="H63" s="304"/>
      <c r="I63" s="294">
        <f>DelivNGA!$B117*DelivNGA!C127*2</f>
        <v>1.9501678103606643</v>
      </c>
      <c r="J63" s="294">
        <f>DelivNGA!$B117*DelivNGA!D127*2</f>
        <v>1.5466660598419941</v>
      </c>
      <c r="K63" s="294">
        <f>DelivNGA!$B117*DelivNGA!E127*2</f>
        <v>1.7024673379376485</v>
      </c>
      <c r="L63" s="294">
        <f>DelivNGA!$B117*DelivNGA!F127*2</f>
        <v>2.1424886332426585</v>
      </c>
      <c r="M63" s="294">
        <f>DelivNGA!$B117*DelivNGA!G127*2</f>
        <v>2.6474741523242362</v>
      </c>
      <c r="N63" s="294">
        <f>DelivNGA!$B117*DelivNGA!H127*2</f>
        <v>2.5606574790030394</v>
      </c>
      <c r="O63" s="294">
        <f>DelivNGA!$B117*DelivNGA!I127*2</f>
        <v>2.9437925805977265</v>
      </c>
      <c r="P63" s="294">
        <f>DelivNGA!$B117*DelivNGA!J127*2</f>
        <v>2.9437925805977265</v>
      </c>
      <c r="Q63" s="294">
        <f>DelivNGA!$B117*DelivNGA!K127*2</f>
        <v>2.9437925805977265</v>
      </c>
      <c r="R63" s="294">
        <f>DelivNGA!$B117*DelivNGA!L127*2</f>
        <v>2.9437925805977265</v>
      </c>
      <c r="S63" s="304"/>
      <c r="W63" s="258">
        <f t="shared" si="1"/>
        <v>4.2702380285836546E-4</v>
      </c>
      <c r="X63" s="258">
        <f t="shared" si="1"/>
        <v>9.8095010711004801E-4</v>
      </c>
      <c r="Y63" s="258">
        <f t="shared" si="1"/>
        <v>2.6126521837571814E-3</v>
      </c>
      <c r="Z63" s="258">
        <f t="shared" si="1"/>
        <v>1.371173763923653E-4</v>
      </c>
      <c r="AA63" s="258">
        <f t="shared" si="1"/>
        <v>7.5384379564155695E-5</v>
      </c>
      <c r="AB63" s="258">
        <f t="shared" si="1"/>
        <v>1.9290626913037349E-4</v>
      </c>
      <c r="AC63" s="258">
        <f t="shared" si="1"/>
        <v>7.9544099694811812E-2</v>
      </c>
      <c r="AD63" s="258">
        <f t="shared" si="1"/>
        <v>1.0079862516248546E-5</v>
      </c>
      <c r="AE63" s="258">
        <f t="shared" si="1"/>
        <v>3.4352762224830528E-4</v>
      </c>
      <c r="AF63" s="246"/>
      <c r="AG63" s="300"/>
      <c r="AH63" s="300"/>
    </row>
    <row r="64" spans="2:34" x14ac:dyDescent="0.2">
      <c r="B64" s="251" t="s">
        <v>1420</v>
      </c>
      <c r="C64" s="251" t="str">
        <f>Technologies!C65</f>
        <v>XNGATRN</v>
      </c>
      <c r="D64" s="251" t="str">
        <f>Technologies!D65</f>
        <v>Domestic natural gas to transportation end-use</v>
      </c>
      <c r="E64" s="251" t="str">
        <f>Commodities!$C$9</f>
        <v>NGA</v>
      </c>
      <c r="F64" s="251" t="str">
        <f>Commodities!C49</f>
        <v>TRNNGA</v>
      </c>
      <c r="G64" s="304">
        <v>1</v>
      </c>
      <c r="H64" s="304"/>
      <c r="I64" s="294">
        <v>6.9577495540977932</v>
      </c>
      <c r="J64" s="294">
        <v>6.2153169621600322</v>
      </c>
      <c r="K64" s="294">
        <v>6.4216899262579723</v>
      </c>
      <c r="L64" s="294">
        <v>7.1569656605507621</v>
      </c>
      <c r="M64" s="294">
        <v>8.0581372890182408</v>
      </c>
      <c r="N64" s="294">
        <v>8.1972514511541927</v>
      </c>
      <c r="O64" s="294">
        <v>9.0431709876941309</v>
      </c>
      <c r="P64" s="294">
        <v>9.0431709876941309</v>
      </c>
      <c r="Q64" s="294">
        <v>9.0431709876941309</v>
      </c>
      <c r="R64" s="294">
        <v>9.0431709876941309</v>
      </c>
      <c r="S64" s="304"/>
      <c r="W64" s="258">
        <f t="shared" si="1"/>
        <v>4.2702380285836546E-4</v>
      </c>
      <c r="X64" s="258">
        <f t="shared" si="1"/>
        <v>9.8095010711004801E-4</v>
      </c>
      <c r="Y64" s="258">
        <f t="shared" si="1"/>
        <v>2.6126521837571814E-3</v>
      </c>
      <c r="Z64" s="258">
        <f t="shared" si="1"/>
        <v>1.371173763923653E-4</v>
      </c>
      <c r="AA64" s="258">
        <f t="shared" si="1"/>
        <v>7.5384379564155695E-5</v>
      </c>
      <c r="AB64" s="258">
        <f t="shared" si="1"/>
        <v>1.9290626913037349E-4</v>
      </c>
      <c r="AC64" s="258">
        <f t="shared" si="1"/>
        <v>7.9544099694811812E-2</v>
      </c>
      <c r="AD64" s="258">
        <f t="shared" si="1"/>
        <v>1.0079862516248546E-5</v>
      </c>
      <c r="AE64" s="258">
        <f t="shared" si="1"/>
        <v>3.4352762224830528E-4</v>
      </c>
      <c r="AF64" s="300"/>
      <c r="AG64" s="300"/>
      <c r="AH64" s="300"/>
    </row>
    <row r="65" spans="2:34" x14ac:dyDescent="0.2">
      <c r="B65" s="251" t="s">
        <v>168</v>
      </c>
      <c r="C65" s="251" t="str">
        <f t="shared" ref="C65:D89" si="2">C60</f>
        <v>XNGARES</v>
      </c>
      <c r="D65" s="251" t="str">
        <f t="shared" si="2"/>
        <v>Domestic natural gas to residential end-use</v>
      </c>
      <c r="E65" s="251" t="str">
        <f>Commodities!$C$9</f>
        <v>NGA</v>
      </c>
      <c r="F65" s="251" t="str">
        <f>Commodities!C45</f>
        <v>RESNGA</v>
      </c>
      <c r="G65" s="304">
        <v>1</v>
      </c>
      <c r="H65" s="304"/>
      <c r="I65" s="294">
        <f t="shared" ref="I65:R65" si="3">I60</f>
        <v>31.271380224583606</v>
      </c>
      <c r="J65" s="294">
        <f t="shared" si="3"/>
        <v>27.875355677646098</v>
      </c>
      <c r="K65" s="294">
        <f t="shared" si="3"/>
        <v>28.662273397152404</v>
      </c>
      <c r="L65" s="294">
        <f t="shared" si="3"/>
        <v>32.15056044070549</v>
      </c>
      <c r="M65" s="294">
        <f t="shared" si="3"/>
        <v>36.330812094789238</v>
      </c>
      <c r="N65" s="294">
        <f t="shared" si="3"/>
        <v>35.987667137624292</v>
      </c>
      <c r="O65" s="294">
        <f t="shared" si="3"/>
        <v>39.714140571783119</v>
      </c>
      <c r="P65" s="294">
        <f t="shared" si="3"/>
        <v>39.714140571783119</v>
      </c>
      <c r="Q65" s="294">
        <f t="shared" si="3"/>
        <v>39.714140571783119</v>
      </c>
      <c r="R65" s="294">
        <f t="shared" si="3"/>
        <v>39.714140571783119</v>
      </c>
      <c r="S65" s="304"/>
      <c r="W65" s="258">
        <f t="shared" si="1"/>
        <v>4.2702380285836546E-4</v>
      </c>
      <c r="X65" s="258">
        <f t="shared" si="1"/>
        <v>9.8095010711004801E-4</v>
      </c>
      <c r="Y65" s="258">
        <f t="shared" si="1"/>
        <v>2.6126521837571814E-3</v>
      </c>
      <c r="Z65" s="258">
        <f t="shared" si="1"/>
        <v>1.371173763923653E-4</v>
      </c>
      <c r="AA65" s="258">
        <f t="shared" si="1"/>
        <v>7.5384379564155695E-5</v>
      </c>
      <c r="AB65" s="258">
        <f t="shared" si="1"/>
        <v>1.9290626913037349E-4</v>
      </c>
      <c r="AC65" s="258">
        <f t="shared" si="1"/>
        <v>7.9544099694811812E-2</v>
      </c>
      <c r="AD65" s="258">
        <f t="shared" si="1"/>
        <v>1.0079862516248546E-5</v>
      </c>
      <c r="AE65" s="258">
        <f t="shared" si="1"/>
        <v>3.4352762224830528E-4</v>
      </c>
      <c r="AF65" s="300"/>
      <c r="AG65" s="300"/>
      <c r="AH65" s="300"/>
    </row>
    <row r="66" spans="2:34" x14ac:dyDescent="0.2">
      <c r="B66" s="251" t="s">
        <v>168</v>
      </c>
      <c r="C66" s="251" t="str">
        <f t="shared" si="2"/>
        <v>XNGACOM</v>
      </c>
      <c r="D66" s="251" t="str">
        <f t="shared" si="2"/>
        <v>Domestic natural gas to commercial end-use</v>
      </c>
      <c r="E66" s="251" t="str">
        <f>Commodities!$C$9</f>
        <v>NGA</v>
      </c>
      <c r="F66" s="251" t="str">
        <f>Commodities!C46</f>
        <v>COMNGA</v>
      </c>
      <c r="G66" s="304">
        <v>1</v>
      </c>
      <c r="H66" s="304"/>
      <c r="I66" s="294">
        <f t="shared" ref="I66:R66" si="4">I61</f>
        <v>6.9577495540977932</v>
      </c>
      <c r="J66" s="294">
        <f t="shared" si="4"/>
        <v>5.8354750659598906</v>
      </c>
      <c r="K66" s="294">
        <f t="shared" si="4"/>
        <v>6.3184518807730408</v>
      </c>
      <c r="L66" s="294">
        <f t="shared" si="4"/>
        <v>7.3716925703216702</v>
      </c>
      <c r="M66" s="294">
        <f t="shared" si="4"/>
        <v>8.672195918838046</v>
      </c>
      <c r="N66" s="294">
        <f t="shared" si="4"/>
        <v>8.5043044124234246</v>
      </c>
      <c r="O66" s="294">
        <f t="shared" si="4"/>
        <v>9.5894071827526144</v>
      </c>
      <c r="P66" s="294">
        <f t="shared" si="4"/>
        <v>9.5894071827526144</v>
      </c>
      <c r="Q66" s="294">
        <f t="shared" si="4"/>
        <v>9.5894071827526144</v>
      </c>
      <c r="R66" s="294">
        <f t="shared" si="4"/>
        <v>9.5894071827526144</v>
      </c>
      <c r="S66" s="304"/>
      <c r="W66" s="258">
        <f t="shared" si="1"/>
        <v>4.2702380285836546E-4</v>
      </c>
      <c r="X66" s="258">
        <f t="shared" si="1"/>
        <v>9.8095010711004801E-4</v>
      </c>
      <c r="Y66" s="258">
        <f t="shared" si="1"/>
        <v>2.6126521837571814E-3</v>
      </c>
      <c r="Z66" s="258">
        <f t="shared" si="1"/>
        <v>1.371173763923653E-4</v>
      </c>
      <c r="AA66" s="258">
        <f t="shared" si="1"/>
        <v>7.5384379564155695E-5</v>
      </c>
      <c r="AB66" s="258">
        <f t="shared" si="1"/>
        <v>1.9290626913037349E-4</v>
      </c>
      <c r="AC66" s="258">
        <f t="shared" si="1"/>
        <v>7.9544099694811812E-2</v>
      </c>
      <c r="AD66" s="258">
        <f t="shared" si="1"/>
        <v>1.0079862516248546E-5</v>
      </c>
      <c r="AE66" s="258">
        <f t="shared" si="1"/>
        <v>3.4352762224830528E-4</v>
      </c>
      <c r="AF66" s="300"/>
      <c r="AG66" s="300"/>
      <c r="AH66" s="300"/>
    </row>
    <row r="67" spans="2:34" x14ac:dyDescent="0.2">
      <c r="B67" s="251" t="s">
        <v>168</v>
      </c>
      <c r="C67" s="251" t="str">
        <f t="shared" si="2"/>
        <v>XNGAIND</v>
      </c>
      <c r="D67" s="251" t="str">
        <f t="shared" si="2"/>
        <v>Domestic natural gas to industrial end-use</v>
      </c>
      <c r="E67" s="251" t="str">
        <f>Commodities!$C$9</f>
        <v>NGA</v>
      </c>
      <c r="F67" s="251" t="str">
        <f>Commodities!C47</f>
        <v>INDNGA</v>
      </c>
      <c r="G67" s="304">
        <v>1</v>
      </c>
      <c r="H67" s="304"/>
      <c r="I67" s="294">
        <f t="shared" ref="I67:R67" si="5">I62</f>
        <v>6.3709196314133294</v>
      </c>
      <c r="J67" s="294">
        <f t="shared" si="5"/>
        <v>5.343299922954416</v>
      </c>
      <c r="K67" s="294">
        <f t="shared" si="5"/>
        <v>5.7855415482222243</v>
      </c>
      <c r="L67" s="294">
        <f t="shared" si="5"/>
        <v>6.7499499008765289</v>
      </c>
      <c r="M67" s="294">
        <f t="shared" si="5"/>
        <v>7.9407663062905502</v>
      </c>
      <c r="N67" s="294">
        <f t="shared" si="5"/>
        <v>7.7870350910681649</v>
      </c>
      <c r="O67" s="294">
        <f t="shared" si="5"/>
        <v>8.7806182155886106</v>
      </c>
      <c r="P67" s="294">
        <f t="shared" si="5"/>
        <v>8.7806182155886106</v>
      </c>
      <c r="Q67" s="294">
        <f t="shared" si="5"/>
        <v>8.7806182155886106</v>
      </c>
      <c r="R67" s="294">
        <f t="shared" si="5"/>
        <v>8.7806182155886106</v>
      </c>
      <c r="S67" s="304"/>
      <c r="W67" s="258">
        <f t="shared" si="1"/>
        <v>4.2702380285836546E-4</v>
      </c>
      <c r="X67" s="258">
        <f t="shared" si="1"/>
        <v>9.8095010711004801E-4</v>
      </c>
      <c r="Y67" s="258">
        <f t="shared" si="1"/>
        <v>2.6126521837571814E-3</v>
      </c>
      <c r="Z67" s="258">
        <f t="shared" si="1"/>
        <v>1.371173763923653E-4</v>
      </c>
      <c r="AA67" s="258">
        <f t="shared" si="1"/>
        <v>7.5384379564155695E-5</v>
      </c>
      <c r="AB67" s="258">
        <f t="shared" si="1"/>
        <v>1.9290626913037349E-4</v>
      </c>
      <c r="AC67" s="258">
        <f t="shared" si="1"/>
        <v>7.9544099694811812E-2</v>
      </c>
      <c r="AD67" s="258">
        <f t="shared" si="1"/>
        <v>1.0079862516248546E-5</v>
      </c>
      <c r="AE67" s="258">
        <f t="shared" si="1"/>
        <v>3.4352762224830528E-4</v>
      </c>
      <c r="AF67" s="300"/>
      <c r="AG67" s="300"/>
      <c r="AH67" s="300"/>
    </row>
    <row r="68" spans="2:34" x14ac:dyDescent="0.2">
      <c r="B68" s="251" t="s">
        <v>168</v>
      </c>
      <c r="C68" s="251" t="str">
        <f t="shared" si="2"/>
        <v>XNGAELC</v>
      </c>
      <c r="D68" s="251" t="str">
        <f t="shared" si="2"/>
        <v>Domestic natural gas to electricity generation</v>
      </c>
      <c r="E68" s="251" t="str">
        <f>Commodities!$C$9</f>
        <v>NGA</v>
      </c>
      <c r="F68" s="251" t="str">
        <f>Commodities!C48</f>
        <v>ELCNGA</v>
      </c>
      <c r="G68" s="304">
        <v>1</v>
      </c>
      <c r="H68" s="304"/>
      <c r="I68" s="294">
        <f t="shared" ref="I68:R68" si="6">I63</f>
        <v>1.9501678103606643</v>
      </c>
      <c r="J68" s="294">
        <f t="shared" si="6"/>
        <v>1.5466660598419941</v>
      </c>
      <c r="K68" s="294">
        <f t="shared" si="6"/>
        <v>1.7024673379376485</v>
      </c>
      <c r="L68" s="294">
        <f t="shared" si="6"/>
        <v>2.1424886332426585</v>
      </c>
      <c r="M68" s="294">
        <f t="shared" si="6"/>
        <v>2.6474741523242362</v>
      </c>
      <c r="N68" s="294">
        <f t="shared" si="6"/>
        <v>2.5606574790030394</v>
      </c>
      <c r="O68" s="294">
        <f t="shared" si="6"/>
        <v>2.9437925805977265</v>
      </c>
      <c r="P68" s="294">
        <f t="shared" si="6"/>
        <v>2.9437925805977265</v>
      </c>
      <c r="Q68" s="294">
        <f t="shared" si="6"/>
        <v>2.9437925805977265</v>
      </c>
      <c r="R68" s="294">
        <f t="shared" si="6"/>
        <v>2.9437925805977265</v>
      </c>
      <c r="S68" s="304"/>
      <c r="W68" s="258">
        <f t="shared" si="1"/>
        <v>4.2702380285836546E-4</v>
      </c>
      <c r="X68" s="258">
        <f t="shared" si="1"/>
        <v>9.8095010711004801E-4</v>
      </c>
      <c r="Y68" s="258">
        <f t="shared" si="1"/>
        <v>2.6126521837571814E-3</v>
      </c>
      <c r="Z68" s="258">
        <f t="shared" si="1"/>
        <v>1.371173763923653E-4</v>
      </c>
      <c r="AA68" s="258">
        <f t="shared" si="1"/>
        <v>7.5384379564155695E-5</v>
      </c>
      <c r="AB68" s="258">
        <f t="shared" si="1"/>
        <v>1.9290626913037349E-4</v>
      </c>
      <c r="AC68" s="258">
        <f t="shared" si="1"/>
        <v>7.9544099694811812E-2</v>
      </c>
      <c r="AD68" s="258">
        <f t="shared" si="1"/>
        <v>1.0079862516248546E-5</v>
      </c>
      <c r="AE68" s="258">
        <f t="shared" si="1"/>
        <v>3.4352762224830528E-4</v>
      </c>
      <c r="AF68" s="300"/>
      <c r="AG68" s="300"/>
      <c r="AH68" s="300"/>
    </row>
    <row r="69" spans="2:34" x14ac:dyDescent="0.2">
      <c r="B69" s="251" t="s">
        <v>168</v>
      </c>
      <c r="C69" s="251" t="str">
        <f t="shared" si="2"/>
        <v>XNGATRN</v>
      </c>
      <c r="D69" s="251" t="str">
        <f t="shared" si="2"/>
        <v>Domestic natural gas to transportation end-use</v>
      </c>
      <c r="E69" s="251" t="str">
        <f>Commodities!$C$9</f>
        <v>NGA</v>
      </c>
      <c r="F69" s="251" t="str">
        <f>Commodities!C49</f>
        <v>TRNNGA</v>
      </c>
      <c r="G69" s="304">
        <v>1</v>
      </c>
      <c r="H69" s="304"/>
      <c r="I69" s="294">
        <f t="shared" ref="I69:R69" si="7">I64</f>
        <v>6.9577495540977932</v>
      </c>
      <c r="J69" s="294">
        <f t="shared" si="7"/>
        <v>6.2153169621600322</v>
      </c>
      <c r="K69" s="294">
        <f t="shared" si="7"/>
        <v>6.4216899262579723</v>
      </c>
      <c r="L69" s="294">
        <f t="shared" si="7"/>
        <v>7.1569656605507621</v>
      </c>
      <c r="M69" s="294">
        <f t="shared" si="7"/>
        <v>8.0581372890182408</v>
      </c>
      <c r="N69" s="294">
        <f t="shared" si="7"/>
        <v>8.1972514511541927</v>
      </c>
      <c r="O69" s="294">
        <f t="shared" si="7"/>
        <v>9.0431709876941309</v>
      </c>
      <c r="P69" s="294">
        <f t="shared" si="7"/>
        <v>9.0431709876941309</v>
      </c>
      <c r="Q69" s="294">
        <f t="shared" si="7"/>
        <v>9.0431709876941309</v>
      </c>
      <c r="R69" s="294">
        <f t="shared" si="7"/>
        <v>9.0431709876941309</v>
      </c>
      <c r="S69" s="304"/>
      <c r="W69" s="258">
        <f t="shared" si="1"/>
        <v>4.2702380285836546E-4</v>
      </c>
      <c r="X69" s="258">
        <f t="shared" si="1"/>
        <v>9.8095010711004801E-4</v>
      </c>
      <c r="Y69" s="258">
        <f t="shared" si="1"/>
        <v>2.6126521837571814E-3</v>
      </c>
      <c r="Z69" s="258">
        <f t="shared" si="1"/>
        <v>1.371173763923653E-4</v>
      </c>
      <c r="AA69" s="258">
        <f t="shared" si="1"/>
        <v>7.5384379564155695E-5</v>
      </c>
      <c r="AB69" s="258">
        <f t="shared" si="1"/>
        <v>1.9290626913037349E-4</v>
      </c>
      <c r="AC69" s="258">
        <f t="shared" si="1"/>
        <v>7.9544099694811812E-2</v>
      </c>
      <c r="AD69" s="258">
        <f t="shared" si="1"/>
        <v>1.0079862516248546E-5</v>
      </c>
      <c r="AE69" s="258">
        <f t="shared" si="1"/>
        <v>3.4352762224830528E-4</v>
      </c>
      <c r="AF69" s="300"/>
      <c r="AG69" s="300"/>
      <c r="AH69" s="300"/>
    </row>
    <row r="70" spans="2:34" x14ac:dyDescent="0.2">
      <c r="B70" s="251" t="s">
        <v>165</v>
      </c>
      <c r="C70" s="251" t="str">
        <f t="shared" si="2"/>
        <v>XNGARES</v>
      </c>
      <c r="D70" s="251" t="str">
        <f t="shared" si="2"/>
        <v>Domestic natural gas to residential end-use</v>
      </c>
      <c r="E70" s="251" t="str">
        <f>Commodities!$C$9</f>
        <v>NGA</v>
      </c>
      <c r="F70" s="251" t="str">
        <f>Commodities!C45</f>
        <v>RESNGA</v>
      </c>
      <c r="G70" s="304">
        <v>1</v>
      </c>
      <c r="H70" s="304"/>
      <c r="I70" s="294">
        <f t="shared" ref="I70:R70" si="8">I65</f>
        <v>31.271380224583606</v>
      </c>
      <c r="J70" s="294">
        <f t="shared" si="8"/>
        <v>27.875355677646098</v>
      </c>
      <c r="K70" s="294">
        <f t="shared" si="8"/>
        <v>28.662273397152404</v>
      </c>
      <c r="L70" s="294">
        <f t="shared" si="8"/>
        <v>32.15056044070549</v>
      </c>
      <c r="M70" s="294">
        <f t="shared" si="8"/>
        <v>36.330812094789238</v>
      </c>
      <c r="N70" s="294">
        <f t="shared" si="8"/>
        <v>35.987667137624292</v>
      </c>
      <c r="O70" s="294">
        <f t="shared" si="8"/>
        <v>39.714140571783119</v>
      </c>
      <c r="P70" s="294">
        <f t="shared" si="8"/>
        <v>39.714140571783119</v>
      </c>
      <c r="Q70" s="294">
        <f t="shared" si="8"/>
        <v>39.714140571783119</v>
      </c>
      <c r="R70" s="294">
        <f t="shared" si="8"/>
        <v>39.714140571783119</v>
      </c>
      <c r="S70" s="304"/>
      <c r="W70" s="258">
        <f t="shared" si="1"/>
        <v>4.2702380285836546E-4</v>
      </c>
      <c r="X70" s="258">
        <f t="shared" si="1"/>
        <v>9.8095010711004801E-4</v>
      </c>
      <c r="Y70" s="258">
        <f t="shared" si="1"/>
        <v>2.6126521837571814E-3</v>
      </c>
      <c r="Z70" s="258">
        <f t="shared" si="1"/>
        <v>1.371173763923653E-4</v>
      </c>
      <c r="AA70" s="258">
        <f t="shared" si="1"/>
        <v>7.5384379564155695E-5</v>
      </c>
      <c r="AB70" s="258">
        <f t="shared" si="1"/>
        <v>1.9290626913037349E-4</v>
      </c>
      <c r="AC70" s="258">
        <f t="shared" si="1"/>
        <v>7.9544099694811812E-2</v>
      </c>
      <c r="AD70" s="258">
        <f t="shared" si="1"/>
        <v>1.0079862516248546E-5</v>
      </c>
      <c r="AE70" s="258">
        <f t="shared" si="1"/>
        <v>3.4352762224830528E-4</v>
      </c>
      <c r="AF70" s="300"/>
      <c r="AG70" s="300"/>
      <c r="AH70" s="300"/>
    </row>
    <row r="71" spans="2:34" x14ac:dyDescent="0.2">
      <c r="B71" s="251" t="s">
        <v>165</v>
      </c>
      <c r="C71" s="251" t="str">
        <f t="shared" si="2"/>
        <v>XNGACOM</v>
      </c>
      <c r="D71" s="251" t="str">
        <f t="shared" si="2"/>
        <v>Domestic natural gas to commercial end-use</v>
      </c>
      <c r="E71" s="251" t="str">
        <f>Commodities!$C$9</f>
        <v>NGA</v>
      </c>
      <c r="F71" s="251" t="str">
        <f>Commodities!C46</f>
        <v>COMNGA</v>
      </c>
      <c r="G71" s="304">
        <v>1</v>
      </c>
      <c r="H71" s="304"/>
      <c r="I71" s="294">
        <f t="shared" ref="I71:R71" si="9">I66</f>
        <v>6.9577495540977932</v>
      </c>
      <c r="J71" s="294">
        <f t="shared" si="9"/>
        <v>5.8354750659598906</v>
      </c>
      <c r="K71" s="294">
        <f t="shared" si="9"/>
        <v>6.3184518807730408</v>
      </c>
      <c r="L71" s="294">
        <f t="shared" si="9"/>
        <v>7.3716925703216702</v>
      </c>
      <c r="M71" s="294">
        <f t="shared" si="9"/>
        <v>8.672195918838046</v>
      </c>
      <c r="N71" s="294">
        <f t="shared" si="9"/>
        <v>8.5043044124234246</v>
      </c>
      <c r="O71" s="294">
        <f t="shared" si="9"/>
        <v>9.5894071827526144</v>
      </c>
      <c r="P71" s="294">
        <f t="shared" si="9"/>
        <v>9.5894071827526144</v>
      </c>
      <c r="Q71" s="294">
        <f t="shared" si="9"/>
        <v>9.5894071827526144</v>
      </c>
      <c r="R71" s="294">
        <f t="shared" si="9"/>
        <v>9.5894071827526144</v>
      </c>
      <c r="S71" s="304"/>
      <c r="W71" s="258">
        <f t="shared" si="1"/>
        <v>4.2702380285836546E-4</v>
      </c>
      <c r="X71" s="258">
        <f t="shared" si="1"/>
        <v>9.8095010711004801E-4</v>
      </c>
      <c r="Y71" s="258">
        <f t="shared" si="1"/>
        <v>2.6126521837571814E-3</v>
      </c>
      <c r="Z71" s="258">
        <f t="shared" si="1"/>
        <v>1.371173763923653E-4</v>
      </c>
      <c r="AA71" s="258">
        <f t="shared" si="1"/>
        <v>7.5384379564155695E-5</v>
      </c>
      <c r="AB71" s="258">
        <f t="shared" si="1"/>
        <v>1.9290626913037349E-4</v>
      </c>
      <c r="AC71" s="258">
        <f t="shared" si="1"/>
        <v>7.9544099694811812E-2</v>
      </c>
      <c r="AD71" s="258">
        <f t="shared" si="1"/>
        <v>1.0079862516248546E-5</v>
      </c>
      <c r="AE71" s="258">
        <f t="shared" si="1"/>
        <v>3.4352762224830528E-4</v>
      </c>
      <c r="AF71" s="300"/>
      <c r="AG71" s="300"/>
      <c r="AH71" s="300"/>
    </row>
    <row r="72" spans="2:34" x14ac:dyDescent="0.2">
      <c r="B72" s="251" t="s">
        <v>165</v>
      </c>
      <c r="C72" s="251" t="str">
        <f t="shared" si="2"/>
        <v>XNGAIND</v>
      </c>
      <c r="D72" s="251" t="str">
        <f t="shared" si="2"/>
        <v>Domestic natural gas to industrial end-use</v>
      </c>
      <c r="E72" s="251" t="str">
        <f>Commodities!$C$9</f>
        <v>NGA</v>
      </c>
      <c r="F72" s="251" t="str">
        <f>Commodities!C47</f>
        <v>INDNGA</v>
      </c>
      <c r="G72" s="304">
        <v>1</v>
      </c>
      <c r="H72" s="304"/>
      <c r="I72" s="294">
        <f t="shared" ref="I72:R72" si="10">I67</f>
        <v>6.3709196314133294</v>
      </c>
      <c r="J72" s="294">
        <f t="shared" si="10"/>
        <v>5.343299922954416</v>
      </c>
      <c r="K72" s="294">
        <f t="shared" si="10"/>
        <v>5.7855415482222243</v>
      </c>
      <c r="L72" s="294">
        <f t="shared" si="10"/>
        <v>6.7499499008765289</v>
      </c>
      <c r="M72" s="294">
        <f t="shared" si="10"/>
        <v>7.9407663062905502</v>
      </c>
      <c r="N72" s="294">
        <f t="shared" si="10"/>
        <v>7.7870350910681649</v>
      </c>
      <c r="O72" s="294">
        <f t="shared" si="10"/>
        <v>8.7806182155886106</v>
      </c>
      <c r="P72" s="294">
        <f t="shared" si="10"/>
        <v>8.7806182155886106</v>
      </c>
      <c r="Q72" s="294">
        <f t="shared" si="10"/>
        <v>8.7806182155886106</v>
      </c>
      <c r="R72" s="294">
        <f t="shared" si="10"/>
        <v>8.7806182155886106</v>
      </c>
      <c r="S72" s="304"/>
      <c r="W72" s="258">
        <f t="shared" si="1"/>
        <v>4.2702380285836546E-4</v>
      </c>
      <c r="X72" s="258">
        <f t="shared" si="1"/>
        <v>9.8095010711004801E-4</v>
      </c>
      <c r="Y72" s="258">
        <f t="shared" si="1"/>
        <v>2.6126521837571814E-3</v>
      </c>
      <c r="Z72" s="258">
        <f t="shared" si="1"/>
        <v>1.371173763923653E-4</v>
      </c>
      <c r="AA72" s="258">
        <f t="shared" si="1"/>
        <v>7.5384379564155695E-5</v>
      </c>
      <c r="AB72" s="258">
        <f t="shared" si="1"/>
        <v>1.9290626913037349E-4</v>
      </c>
      <c r="AC72" s="258">
        <f t="shared" si="1"/>
        <v>7.9544099694811812E-2</v>
      </c>
      <c r="AD72" s="258">
        <f t="shared" si="1"/>
        <v>1.0079862516248546E-5</v>
      </c>
      <c r="AE72" s="258">
        <f t="shared" si="1"/>
        <v>3.4352762224830528E-4</v>
      </c>
      <c r="AF72" s="300"/>
      <c r="AG72" s="300"/>
      <c r="AH72" s="300"/>
    </row>
    <row r="73" spans="2:34" x14ac:dyDescent="0.2">
      <c r="B73" s="251" t="s">
        <v>165</v>
      </c>
      <c r="C73" s="251" t="str">
        <f t="shared" si="2"/>
        <v>XNGAELC</v>
      </c>
      <c r="D73" s="251" t="str">
        <f t="shared" si="2"/>
        <v>Domestic natural gas to electricity generation</v>
      </c>
      <c r="E73" s="251" t="str">
        <f>Commodities!$C$9</f>
        <v>NGA</v>
      </c>
      <c r="F73" s="251" t="str">
        <f>Commodities!C48</f>
        <v>ELCNGA</v>
      </c>
      <c r="G73" s="304">
        <v>1</v>
      </c>
      <c r="H73" s="304"/>
      <c r="I73" s="294">
        <f t="shared" ref="I73:R73" si="11">I68</f>
        <v>1.9501678103606643</v>
      </c>
      <c r="J73" s="294">
        <f t="shared" si="11"/>
        <v>1.5466660598419941</v>
      </c>
      <c r="K73" s="294">
        <f t="shared" si="11"/>
        <v>1.7024673379376485</v>
      </c>
      <c r="L73" s="294">
        <f t="shared" si="11"/>
        <v>2.1424886332426585</v>
      </c>
      <c r="M73" s="294">
        <f t="shared" si="11"/>
        <v>2.6474741523242362</v>
      </c>
      <c r="N73" s="294">
        <f t="shared" si="11"/>
        <v>2.5606574790030394</v>
      </c>
      <c r="O73" s="294">
        <f t="shared" si="11"/>
        <v>2.9437925805977265</v>
      </c>
      <c r="P73" s="294">
        <f t="shared" si="11"/>
        <v>2.9437925805977265</v>
      </c>
      <c r="Q73" s="294">
        <f t="shared" si="11"/>
        <v>2.9437925805977265</v>
      </c>
      <c r="R73" s="294">
        <f t="shared" si="11"/>
        <v>2.9437925805977265</v>
      </c>
      <c r="S73" s="304"/>
      <c r="W73" s="258">
        <f t="shared" si="1"/>
        <v>4.2702380285836546E-4</v>
      </c>
      <c r="X73" s="258">
        <f t="shared" si="1"/>
        <v>9.8095010711004801E-4</v>
      </c>
      <c r="Y73" s="258">
        <f t="shared" si="1"/>
        <v>2.6126521837571814E-3</v>
      </c>
      <c r="Z73" s="258">
        <f t="shared" si="1"/>
        <v>1.371173763923653E-4</v>
      </c>
      <c r="AA73" s="258">
        <f t="shared" si="1"/>
        <v>7.5384379564155695E-5</v>
      </c>
      <c r="AB73" s="258">
        <f t="shared" si="1"/>
        <v>1.9290626913037349E-4</v>
      </c>
      <c r="AC73" s="258">
        <f t="shared" si="1"/>
        <v>7.9544099694811812E-2</v>
      </c>
      <c r="AD73" s="258">
        <f t="shared" si="1"/>
        <v>1.0079862516248546E-5</v>
      </c>
      <c r="AE73" s="258">
        <f t="shared" si="1"/>
        <v>3.4352762224830528E-4</v>
      </c>
      <c r="AF73" s="300"/>
      <c r="AG73" s="300"/>
      <c r="AH73" s="300"/>
    </row>
    <row r="74" spans="2:34" x14ac:dyDescent="0.2">
      <c r="B74" s="251" t="s">
        <v>165</v>
      </c>
      <c r="C74" s="251" t="str">
        <f t="shared" si="2"/>
        <v>XNGATRN</v>
      </c>
      <c r="D74" s="251" t="str">
        <f t="shared" si="2"/>
        <v>Domestic natural gas to transportation end-use</v>
      </c>
      <c r="E74" s="251" t="str">
        <f>Commodities!$C$9</f>
        <v>NGA</v>
      </c>
      <c r="F74" s="251" t="str">
        <f>Commodities!C49</f>
        <v>TRNNGA</v>
      </c>
      <c r="G74" s="304">
        <v>1</v>
      </c>
      <c r="H74" s="304"/>
      <c r="I74" s="294">
        <f t="shared" ref="I74:R74" si="12">I69</f>
        <v>6.9577495540977932</v>
      </c>
      <c r="J74" s="294">
        <f t="shared" si="12"/>
        <v>6.2153169621600322</v>
      </c>
      <c r="K74" s="294">
        <f t="shared" si="12"/>
        <v>6.4216899262579723</v>
      </c>
      <c r="L74" s="294">
        <f t="shared" si="12"/>
        <v>7.1569656605507621</v>
      </c>
      <c r="M74" s="294">
        <f t="shared" si="12"/>
        <v>8.0581372890182408</v>
      </c>
      <c r="N74" s="294">
        <f t="shared" si="12"/>
        <v>8.1972514511541927</v>
      </c>
      <c r="O74" s="294">
        <f t="shared" si="12"/>
        <v>9.0431709876941309</v>
      </c>
      <c r="P74" s="294">
        <f t="shared" si="12"/>
        <v>9.0431709876941309</v>
      </c>
      <c r="Q74" s="294">
        <f t="shared" si="12"/>
        <v>9.0431709876941309</v>
      </c>
      <c r="R74" s="294">
        <f t="shared" si="12"/>
        <v>9.0431709876941309</v>
      </c>
      <c r="S74" s="304"/>
      <c r="W74" s="258">
        <f t="shared" si="1"/>
        <v>4.2702380285836546E-4</v>
      </c>
      <c r="X74" s="258">
        <f t="shared" si="1"/>
        <v>9.8095010711004801E-4</v>
      </c>
      <c r="Y74" s="258">
        <f t="shared" si="1"/>
        <v>2.6126521837571814E-3</v>
      </c>
      <c r="Z74" s="258">
        <f t="shared" si="1"/>
        <v>1.371173763923653E-4</v>
      </c>
      <c r="AA74" s="258">
        <f t="shared" si="1"/>
        <v>7.5384379564155695E-5</v>
      </c>
      <c r="AB74" s="258">
        <f t="shared" si="1"/>
        <v>1.9290626913037349E-4</v>
      </c>
      <c r="AC74" s="258">
        <f t="shared" si="1"/>
        <v>7.9544099694811812E-2</v>
      </c>
      <c r="AD74" s="258">
        <f t="shared" si="1"/>
        <v>1.0079862516248546E-5</v>
      </c>
      <c r="AE74" s="258">
        <f t="shared" si="1"/>
        <v>3.4352762224830528E-4</v>
      </c>
      <c r="AF74" s="300"/>
      <c r="AG74" s="300"/>
      <c r="AH74" s="300"/>
    </row>
    <row r="75" spans="2:34" x14ac:dyDescent="0.2">
      <c r="B75" s="251" t="s">
        <v>196</v>
      </c>
      <c r="C75" s="251" t="str">
        <f t="shared" si="2"/>
        <v>XNGARES</v>
      </c>
      <c r="D75" s="251" t="str">
        <f t="shared" si="2"/>
        <v>Domestic natural gas to residential end-use</v>
      </c>
      <c r="E75" s="251" t="str">
        <f>Commodities!$C$9</f>
        <v>NGA</v>
      </c>
      <c r="F75" s="251" t="str">
        <f>Commodities!C45</f>
        <v>RESNGA</v>
      </c>
      <c r="G75" s="304">
        <v>1</v>
      </c>
      <c r="H75" s="304"/>
      <c r="I75" s="294">
        <f t="shared" ref="I75:R75" si="13">I70</f>
        <v>31.271380224583606</v>
      </c>
      <c r="J75" s="294">
        <f t="shared" si="13"/>
        <v>27.875355677646098</v>
      </c>
      <c r="K75" s="294">
        <f t="shared" si="13"/>
        <v>28.662273397152404</v>
      </c>
      <c r="L75" s="294">
        <f t="shared" si="13"/>
        <v>32.15056044070549</v>
      </c>
      <c r="M75" s="294">
        <f t="shared" si="13"/>
        <v>36.330812094789238</v>
      </c>
      <c r="N75" s="294">
        <f t="shared" si="13"/>
        <v>35.987667137624292</v>
      </c>
      <c r="O75" s="294">
        <f t="shared" si="13"/>
        <v>39.714140571783119</v>
      </c>
      <c r="P75" s="294">
        <f t="shared" si="13"/>
        <v>39.714140571783119</v>
      </c>
      <c r="Q75" s="294">
        <f t="shared" si="13"/>
        <v>39.714140571783119</v>
      </c>
      <c r="R75" s="294">
        <f t="shared" si="13"/>
        <v>39.714140571783119</v>
      </c>
      <c r="S75" s="304"/>
      <c r="W75" s="258">
        <f t="shared" si="1"/>
        <v>4.2702380285836546E-4</v>
      </c>
      <c r="X75" s="258">
        <f t="shared" si="1"/>
        <v>9.8095010711004801E-4</v>
      </c>
      <c r="Y75" s="258">
        <f t="shared" si="1"/>
        <v>2.6126521837571814E-3</v>
      </c>
      <c r="Z75" s="258">
        <f t="shared" si="1"/>
        <v>1.371173763923653E-4</v>
      </c>
      <c r="AA75" s="258">
        <f t="shared" si="1"/>
        <v>7.5384379564155695E-5</v>
      </c>
      <c r="AB75" s="258">
        <f t="shared" si="1"/>
        <v>1.9290626913037349E-4</v>
      </c>
      <c r="AC75" s="258">
        <f t="shared" si="1"/>
        <v>7.9544099694811812E-2</v>
      </c>
      <c r="AD75" s="258">
        <f t="shared" si="1"/>
        <v>1.0079862516248546E-5</v>
      </c>
      <c r="AE75" s="258">
        <f t="shared" si="1"/>
        <v>3.4352762224830528E-4</v>
      </c>
      <c r="AF75" s="300"/>
      <c r="AG75" s="300"/>
      <c r="AH75" s="300"/>
    </row>
    <row r="76" spans="2:34" x14ac:dyDescent="0.2">
      <c r="B76" s="251" t="s">
        <v>196</v>
      </c>
      <c r="C76" s="251" t="str">
        <f t="shared" si="2"/>
        <v>XNGACOM</v>
      </c>
      <c r="D76" s="251" t="str">
        <f t="shared" si="2"/>
        <v>Domestic natural gas to commercial end-use</v>
      </c>
      <c r="E76" s="251" t="str">
        <f>Commodities!$C$9</f>
        <v>NGA</v>
      </c>
      <c r="F76" s="251" t="str">
        <f>Commodities!C46</f>
        <v>COMNGA</v>
      </c>
      <c r="G76" s="304">
        <v>1</v>
      </c>
      <c r="H76" s="304"/>
      <c r="I76" s="294">
        <f t="shared" ref="I76:R76" si="14">I71</f>
        <v>6.9577495540977932</v>
      </c>
      <c r="J76" s="294">
        <f t="shared" si="14"/>
        <v>5.8354750659598906</v>
      </c>
      <c r="K76" s="294">
        <f t="shared" si="14"/>
        <v>6.3184518807730408</v>
      </c>
      <c r="L76" s="294">
        <f t="shared" si="14"/>
        <v>7.3716925703216702</v>
      </c>
      <c r="M76" s="294">
        <f t="shared" si="14"/>
        <v>8.672195918838046</v>
      </c>
      <c r="N76" s="294">
        <f t="shared" si="14"/>
        <v>8.5043044124234246</v>
      </c>
      <c r="O76" s="294">
        <f t="shared" si="14"/>
        <v>9.5894071827526144</v>
      </c>
      <c r="P76" s="294">
        <f t="shared" si="14"/>
        <v>9.5894071827526144</v>
      </c>
      <c r="Q76" s="294">
        <f t="shared" si="14"/>
        <v>9.5894071827526144</v>
      </c>
      <c r="R76" s="294">
        <f t="shared" si="14"/>
        <v>9.5894071827526144</v>
      </c>
      <c r="S76" s="304"/>
      <c r="W76" s="258">
        <f t="shared" si="1"/>
        <v>4.2702380285836546E-4</v>
      </c>
      <c r="X76" s="258">
        <f t="shared" si="1"/>
        <v>9.8095010711004801E-4</v>
      </c>
      <c r="Y76" s="258">
        <f t="shared" si="1"/>
        <v>2.6126521837571814E-3</v>
      </c>
      <c r="Z76" s="258">
        <f t="shared" si="1"/>
        <v>1.371173763923653E-4</v>
      </c>
      <c r="AA76" s="258">
        <f t="shared" si="1"/>
        <v>7.5384379564155695E-5</v>
      </c>
      <c r="AB76" s="258">
        <f t="shared" si="1"/>
        <v>1.9290626913037349E-4</v>
      </c>
      <c r="AC76" s="258">
        <f t="shared" si="1"/>
        <v>7.9544099694811812E-2</v>
      </c>
      <c r="AD76" s="258">
        <f t="shared" si="1"/>
        <v>1.0079862516248546E-5</v>
      </c>
      <c r="AE76" s="258">
        <f t="shared" si="1"/>
        <v>3.4352762224830528E-4</v>
      </c>
      <c r="AF76" s="300"/>
      <c r="AG76" s="300"/>
      <c r="AH76" s="300"/>
    </row>
    <row r="77" spans="2:34" x14ac:dyDescent="0.2">
      <c r="B77" s="251" t="s">
        <v>196</v>
      </c>
      <c r="C77" s="251" t="str">
        <f t="shared" si="2"/>
        <v>XNGAIND</v>
      </c>
      <c r="D77" s="251" t="str">
        <f t="shared" si="2"/>
        <v>Domestic natural gas to industrial end-use</v>
      </c>
      <c r="E77" s="251" t="str">
        <f>Commodities!$C$9</f>
        <v>NGA</v>
      </c>
      <c r="F77" s="251" t="str">
        <f>Commodities!C47</f>
        <v>INDNGA</v>
      </c>
      <c r="G77" s="304">
        <v>1</v>
      </c>
      <c r="H77" s="304"/>
      <c r="I77" s="294">
        <f t="shared" ref="I77:R77" si="15">I72</f>
        <v>6.3709196314133294</v>
      </c>
      <c r="J77" s="294">
        <f t="shared" si="15"/>
        <v>5.343299922954416</v>
      </c>
      <c r="K77" s="294">
        <f t="shared" si="15"/>
        <v>5.7855415482222243</v>
      </c>
      <c r="L77" s="294">
        <f t="shared" si="15"/>
        <v>6.7499499008765289</v>
      </c>
      <c r="M77" s="294">
        <f t="shared" si="15"/>
        <v>7.9407663062905502</v>
      </c>
      <c r="N77" s="294">
        <f t="shared" si="15"/>
        <v>7.7870350910681649</v>
      </c>
      <c r="O77" s="294">
        <f t="shared" si="15"/>
        <v>8.7806182155886106</v>
      </c>
      <c r="P77" s="294">
        <f t="shared" si="15"/>
        <v>8.7806182155886106</v>
      </c>
      <c r="Q77" s="294">
        <f t="shared" si="15"/>
        <v>8.7806182155886106</v>
      </c>
      <c r="R77" s="294">
        <f t="shared" si="15"/>
        <v>8.7806182155886106</v>
      </c>
      <c r="S77" s="304"/>
      <c r="W77" s="258">
        <f t="shared" ref="W77:AE89" si="16">W$60</f>
        <v>4.2702380285836546E-4</v>
      </c>
      <c r="X77" s="258">
        <f t="shared" si="16"/>
        <v>9.8095010711004801E-4</v>
      </c>
      <c r="Y77" s="258">
        <f t="shared" si="16"/>
        <v>2.6126521837571814E-3</v>
      </c>
      <c r="Z77" s="258">
        <f t="shared" si="16"/>
        <v>1.371173763923653E-4</v>
      </c>
      <c r="AA77" s="258">
        <f t="shared" si="16"/>
        <v>7.5384379564155695E-5</v>
      </c>
      <c r="AB77" s="258">
        <f t="shared" si="16"/>
        <v>1.9290626913037349E-4</v>
      </c>
      <c r="AC77" s="258">
        <f t="shared" si="16"/>
        <v>7.9544099694811812E-2</v>
      </c>
      <c r="AD77" s="258">
        <f t="shared" si="16"/>
        <v>1.0079862516248546E-5</v>
      </c>
      <c r="AE77" s="258">
        <f t="shared" si="16"/>
        <v>3.4352762224830528E-4</v>
      </c>
      <c r="AF77" s="300"/>
      <c r="AG77" s="300"/>
      <c r="AH77" s="300"/>
    </row>
    <row r="78" spans="2:34" x14ac:dyDescent="0.2">
      <c r="B78" s="251" t="s">
        <v>196</v>
      </c>
      <c r="C78" s="251" t="str">
        <f t="shared" si="2"/>
        <v>XNGAELC</v>
      </c>
      <c r="D78" s="251" t="str">
        <f t="shared" si="2"/>
        <v>Domestic natural gas to electricity generation</v>
      </c>
      <c r="E78" s="251" t="str">
        <f>Commodities!$C$9</f>
        <v>NGA</v>
      </c>
      <c r="F78" s="251" t="str">
        <f>Commodities!C48</f>
        <v>ELCNGA</v>
      </c>
      <c r="G78" s="304">
        <v>1</v>
      </c>
      <c r="H78" s="304"/>
      <c r="I78" s="294">
        <f t="shared" ref="I78:R78" si="17">I73</f>
        <v>1.9501678103606643</v>
      </c>
      <c r="J78" s="294">
        <f t="shared" si="17"/>
        <v>1.5466660598419941</v>
      </c>
      <c r="K78" s="294">
        <f t="shared" si="17"/>
        <v>1.7024673379376485</v>
      </c>
      <c r="L78" s="294">
        <f t="shared" si="17"/>
        <v>2.1424886332426585</v>
      </c>
      <c r="M78" s="294">
        <f t="shared" si="17"/>
        <v>2.6474741523242362</v>
      </c>
      <c r="N78" s="294">
        <f t="shared" si="17"/>
        <v>2.5606574790030394</v>
      </c>
      <c r="O78" s="294">
        <f t="shared" si="17"/>
        <v>2.9437925805977265</v>
      </c>
      <c r="P78" s="294">
        <f t="shared" si="17"/>
        <v>2.9437925805977265</v>
      </c>
      <c r="Q78" s="294">
        <f t="shared" si="17"/>
        <v>2.9437925805977265</v>
      </c>
      <c r="R78" s="294">
        <f t="shared" si="17"/>
        <v>2.9437925805977265</v>
      </c>
      <c r="S78" s="304"/>
      <c r="W78" s="258">
        <f t="shared" si="16"/>
        <v>4.2702380285836546E-4</v>
      </c>
      <c r="X78" s="258">
        <f t="shared" si="16"/>
        <v>9.8095010711004801E-4</v>
      </c>
      <c r="Y78" s="258">
        <f t="shared" si="16"/>
        <v>2.6126521837571814E-3</v>
      </c>
      <c r="Z78" s="258">
        <f t="shared" si="16"/>
        <v>1.371173763923653E-4</v>
      </c>
      <c r="AA78" s="258">
        <f t="shared" si="16"/>
        <v>7.5384379564155695E-5</v>
      </c>
      <c r="AB78" s="258">
        <f t="shared" si="16"/>
        <v>1.9290626913037349E-4</v>
      </c>
      <c r="AC78" s="258">
        <f t="shared" si="16"/>
        <v>7.9544099694811812E-2</v>
      </c>
      <c r="AD78" s="258">
        <f t="shared" si="16"/>
        <v>1.0079862516248546E-5</v>
      </c>
      <c r="AE78" s="258">
        <f t="shared" si="16"/>
        <v>3.4352762224830528E-4</v>
      </c>
      <c r="AF78" s="300"/>
      <c r="AG78" s="300"/>
      <c r="AH78" s="300"/>
    </row>
    <row r="79" spans="2:34" x14ac:dyDescent="0.2">
      <c r="B79" s="251" t="s">
        <v>196</v>
      </c>
      <c r="C79" s="251" t="str">
        <f t="shared" si="2"/>
        <v>XNGATRN</v>
      </c>
      <c r="D79" s="251" t="str">
        <f t="shared" si="2"/>
        <v>Domestic natural gas to transportation end-use</v>
      </c>
      <c r="E79" s="251" t="str">
        <f>Commodities!$C$9</f>
        <v>NGA</v>
      </c>
      <c r="F79" s="251" t="str">
        <f>Commodities!C49</f>
        <v>TRNNGA</v>
      </c>
      <c r="G79" s="304">
        <v>1</v>
      </c>
      <c r="H79" s="304"/>
      <c r="I79" s="294">
        <f t="shared" ref="I79:R79" si="18">I74</f>
        <v>6.9577495540977932</v>
      </c>
      <c r="J79" s="294">
        <f t="shared" si="18"/>
        <v>6.2153169621600322</v>
      </c>
      <c r="K79" s="294">
        <f t="shared" si="18"/>
        <v>6.4216899262579723</v>
      </c>
      <c r="L79" s="294">
        <f t="shared" si="18"/>
        <v>7.1569656605507621</v>
      </c>
      <c r="M79" s="294">
        <f t="shared" si="18"/>
        <v>8.0581372890182408</v>
      </c>
      <c r="N79" s="294">
        <f t="shared" si="18"/>
        <v>8.1972514511541927</v>
      </c>
      <c r="O79" s="294">
        <f t="shared" si="18"/>
        <v>9.0431709876941309</v>
      </c>
      <c r="P79" s="294">
        <f t="shared" si="18"/>
        <v>9.0431709876941309</v>
      </c>
      <c r="Q79" s="294">
        <f t="shared" si="18"/>
        <v>9.0431709876941309</v>
      </c>
      <c r="R79" s="294">
        <f t="shared" si="18"/>
        <v>9.0431709876941309</v>
      </c>
      <c r="S79" s="304"/>
      <c r="W79" s="258">
        <f t="shared" si="16"/>
        <v>4.2702380285836546E-4</v>
      </c>
      <c r="X79" s="258">
        <f t="shared" si="16"/>
        <v>9.8095010711004801E-4</v>
      </c>
      <c r="Y79" s="258">
        <f t="shared" si="16"/>
        <v>2.6126521837571814E-3</v>
      </c>
      <c r="Z79" s="258">
        <f t="shared" si="16"/>
        <v>1.371173763923653E-4</v>
      </c>
      <c r="AA79" s="258">
        <f t="shared" si="16"/>
        <v>7.5384379564155695E-5</v>
      </c>
      <c r="AB79" s="258">
        <f t="shared" si="16"/>
        <v>1.9290626913037349E-4</v>
      </c>
      <c r="AC79" s="258">
        <f t="shared" si="16"/>
        <v>7.9544099694811812E-2</v>
      </c>
      <c r="AD79" s="258">
        <f t="shared" si="16"/>
        <v>1.0079862516248546E-5</v>
      </c>
      <c r="AE79" s="258">
        <f t="shared" si="16"/>
        <v>3.4352762224830528E-4</v>
      </c>
      <c r="AF79" s="300"/>
      <c r="AG79" s="300"/>
      <c r="AH79" s="300"/>
    </row>
    <row r="80" spans="2:34" x14ac:dyDescent="0.2">
      <c r="B80" s="251" t="s">
        <v>195</v>
      </c>
      <c r="C80" s="251" t="str">
        <f t="shared" si="2"/>
        <v>XNGARES</v>
      </c>
      <c r="D80" s="251" t="str">
        <f t="shared" si="2"/>
        <v>Domestic natural gas to residential end-use</v>
      </c>
      <c r="E80" s="251" t="str">
        <f>Commodities!$C$9</f>
        <v>NGA</v>
      </c>
      <c r="F80" s="251" t="str">
        <f>Commodities!C45</f>
        <v>RESNGA</v>
      </c>
      <c r="G80" s="304">
        <v>1</v>
      </c>
      <c r="H80" s="304"/>
      <c r="I80" s="294">
        <f t="shared" ref="I80:R80" si="19">I75</f>
        <v>31.271380224583606</v>
      </c>
      <c r="J80" s="294">
        <f t="shared" si="19"/>
        <v>27.875355677646098</v>
      </c>
      <c r="K80" s="294">
        <f t="shared" si="19"/>
        <v>28.662273397152404</v>
      </c>
      <c r="L80" s="294">
        <f t="shared" si="19"/>
        <v>32.15056044070549</v>
      </c>
      <c r="M80" s="294">
        <f t="shared" si="19"/>
        <v>36.330812094789238</v>
      </c>
      <c r="N80" s="294">
        <f t="shared" si="19"/>
        <v>35.987667137624292</v>
      </c>
      <c r="O80" s="294">
        <f t="shared" si="19"/>
        <v>39.714140571783119</v>
      </c>
      <c r="P80" s="294">
        <f t="shared" si="19"/>
        <v>39.714140571783119</v>
      </c>
      <c r="Q80" s="294">
        <f t="shared" si="19"/>
        <v>39.714140571783119</v>
      </c>
      <c r="R80" s="294">
        <f t="shared" si="19"/>
        <v>39.714140571783119</v>
      </c>
      <c r="S80" s="304"/>
      <c r="W80" s="258">
        <f t="shared" si="16"/>
        <v>4.2702380285836546E-4</v>
      </c>
      <c r="X80" s="258">
        <f t="shared" si="16"/>
        <v>9.8095010711004801E-4</v>
      </c>
      <c r="Y80" s="258">
        <f t="shared" si="16"/>
        <v>2.6126521837571814E-3</v>
      </c>
      <c r="Z80" s="258">
        <f t="shared" si="16"/>
        <v>1.371173763923653E-4</v>
      </c>
      <c r="AA80" s="258">
        <f t="shared" si="16"/>
        <v>7.5384379564155695E-5</v>
      </c>
      <c r="AB80" s="258">
        <f t="shared" si="16"/>
        <v>1.9290626913037349E-4</v>
      </c>
      <c r="AC80" s="258">
        <f t="shared" si="16"/>
        <v>7.9544099694811812E-2</v>
      </c>
      <c r="AD80" s="258">
        <f t="shared" si="16"/>
        <v>1.0079862516248546E-5</v>
      </c>
      <c r="AE80" s="258">
        <f t="shared" si="16"/>
        <v>3.4352762224830528E-4</v>
      </c>
      <c r="AF80" s="300"/>
      <c r="AG80" s="300"/>
      <c r="AH80" s="300"/>
    </row>
    <row r="81" spans="2:37" x14ac:dyDescent="0.2">
      <c r="B81" s="251" t="s">
        <v>195</v>
      </c>
      <c r="C81" s="251" t="str">
        <f t="shared" si="2"/>
        <v>XNGACOM</v>
      </c>
      <c r="D81" s="251" t="str">
        <f t="shared" si="2"/>
        <v>Domestic natural gas to commercial end-use</v>
      </c>
      <c r="E81" s="251" t="str">
        <f>Commodities!$C$9</f>
        <v>NGA</v>
      </c>
      <c r="F81" s="251" t="str">
        <f>Commodities!C46</f>
        <v>COMNGA</v>
      </c>
      <c r="G81" s="304">
        <v>1</v>
      </c>
      <c r="H81" s="304"/>
      <c r="I81" s="294">
        <f t="shared" ref="I81:R81" si="20">I76</f>
        <v>6.9577495540977932</v>
      </c>
      <c r="J81" s="294">
        <f t="shared" si="20"/>
        <v>5.8354750659598906</v>
      </c>
      <c r="K81" s="294">
        <f t="shared" si="20"/>
        <v>6.3184518807730408</v>
      </c>
      <c r="L81" s="294">
        <f t="shared" si="20"/>
        <v>7.3716925703216702</v>
      </c>
      <c r="M81" s="294">
        <f t="shared" si="20"/>
        <v>8.672195918838046</v>
      </c>
      <c r="N81" s="294">
        <f t="shared" si="20"/>
        <v>8.5043044124234246</v>
      </c>
      <c r="O81" s="294">
        <f t="shared" si="20"/>
        <v>9.5894071827526144</v>
      </c>
      <c r="P81" s="294">
        <f t="shared" si="20"/>
        <v>9.5894071827526144</v>
      </c>
      <c r="Q81" s="294">
        <f t="shared" si="20"/>
        <v>9.5894071827526144</v>
      </c>
      <c r="R81" s="294">
        <f t="shared" si="20"/>
        <v>9.5894071827526144</v>
      </c>
      <c r="S81" s="304"/>
      <c r="W81" s="258">
        <f t="shared" si="16"/>
        <v>4.2702380285836546E-4</v>
      </c>
      <c r="X81" s="258">
        <f t="shared" si="16"/>
        <v>9.8095010711004801E-4</v>
      </c>
      <c r="Y81" s="258">
        <f t="shared" si="16"/>
        <v>2.6126521837571814E-3</v>
      </c>
      <c r="Z81" s="258">
        <f t="shared" si="16"/>
        <v>1.371173763923653E-4</v>
      </c>
      <c r="AA81" s="258">
        <f t="shared" si="16"/>
        <v>7.5384379564155695E-5</v>
      </c>
      <c r="AB81" s="258">
        <f t="shared" si="16"/>
        <v>1.9290626913037349E-4</v>
      </c>
      <c r="AC81" s="258">
        <f t="shared" si="16"/>
        <v>7.9544099694811812E-2</v>
      </c>
      <c r="AD81" s="258">
        <f t="shared" si="16"/>
        <v>1.0079862516248546E-5</v>
      </c>
      <c r="AE81" s="258">
        <f t="shared" si="16"/>
        <v>3.4352762224830528E-4</v>
      </c>
      <c r="AF81" s="300"/>
      <c r="AG81" s="300"/>
      <c r="AH81" s="300"/>
    </row>
    <row r="82" spans="2:37" x14ac:dyDescent="0.2">
      <c r="B82" s="251" t="s">
        <v>195</v>
      </c>
      <c r="C82" s="251" t="str">
        <f t="shared" si="2"/>
        <v>XNGAIND</v>
      </c>
      <c r="D82" s="251" t="str">
        <f t="shared" si="2"/>
        <v>Domestic natural gas to industrial end-use</v>
      </c>
      <c r="E82" s="251" t="str">
        <f>Commodities!$C$9</f>
        <v>NGA</v>
      </c>
      <c r="F82" s="251" t="str">
        <f>Commodities!C47</f>
        <v>INDNGA</v>
      </c>
      <c r="G82" s="304">
        <v>1</v>
      </c>
      <c r="H82" s="304"/>
      <c r="I82" s="294">
        <f t="shared" ref="I82:R82" si="21">I77</f>
        <v>6.3709196314133294</v>
      </c>
      <c r="J82" s="294">
        <f t="shared" si="21"/>
        <v>5.343299922954416</v>
      </c>
      <c r="K82" s="294">
        <f t="shared" si="21"/>
        <v>5.7855415482222243</v>
      </c>
      <c r="L82" s="294">
        <f t="shared" si="21"/>
        <v>6.7499499008765289</v>
      </c>
      <c r="M82" s="294">
        <f t="shared" si="21"/>
        <v>7.9407663062905502</v>
      </c>
      <c r="N82" s="294">
        <f t="shared" si="21"/>
        <v>7.7870350910681649</v>
      </c>
      <c r="O82" s="294">
        <f t="shared" si="21"/>
        <v>8.7806182155886106</v>
      </c>
      <c r="P82" s="294">
        <f t="shared" si="21"/>
        <v>8.7806182155886106</v>
      </c>
      <c r="Q82" s="294">
        <f t="shared" si="21"/>
        <v>8.7806182155886106</v>
      </c>
      <c r="R82" s="294">
        <f t="shared" si="21"/>
        <v>8.7806182155886106</v>
      </c>
      <c r="S82" s="304"/>
      <c r="W82" s="258">
        <f t="shared" si="16"/>
        <v>4.2702380285836546E-4</v>
      </c>
      <c r="X82" s="258">
        <f t="shared" si="16"/>
        <v>9.8095010711004801E-4</v>
      </c>
      <c r="Y82" s="258">
        <f t="shared" si="16"/>
        <v>2.6126521837571814E-3</v>
      </c>
      <c r="Z82" s="258">
        <f t="shared" si="16"/>
        <v>1.371173763923653E-4</v>
      </c>
      <c r="AA82" s="258">
        <f t="shared" si="16"/>
        <v>7.5384379564155695E-5</v>
      </c>
      <c r="AB82" s="258">
        <f t="shared" si="16"/>
        <v>1.9290626913037349E-4</v>
      </c>
      <c r="AC82" s="258">
        <f t="shared" si="16"/>
        <v>7.9544099694811812E-2</v>
      </c>
      <c r="AD82" s="258">
        <f t="shared" si="16"/>
        <v>1.0079862516248546E-5</v>
      </c>
      <c r="AE82" s="258">
        <f t="shared" si="16"/>
        <v>3.4352762224830528E-4</v>
      </c>
      <c r="AF82" s="300"/>
      <c r="AG82" s="300"/>
      <c r="AH82" s="300"/>
    </row>
    <row r="83" spans="2:37" x14ac:dyDescent="0.2">
      <c r="B83" s="251" t="s">
        <v>195</v>
      </c>
      <c r="C83" s="251" t="str">
        <f t="shared" si="2"/>
        <v>XNGAELC</v>
      </c>
      <c r="D83" s="251" t="str">
        <f t="shared" si="2"/>
        <v>Domestic natural gas to electricity generation</v>
      </c>
      <c r="E83" s="251" t="str">
        <f>Commodities!$C$9</f>
        <v>NGA</v>
      </c>
      <c r="F83" s="251" t="str">
        <f>Commodities!C48</f>
        <v>ELCNGA</v>
      </c>
      <c r="G83" s="304">
        <v>1</v>
      </c>
      <c r="H83" s="304"/>
      <c r="I83" s="294">
        <f t="shared" ref="I83:R83" si="22">I78</f>
        <v>1.9501678103606643</v>
      </c>
      <c r="J83" s="294">
        <f t="shared" si="22"/>
        <v>1.5466660598419941</v>
      </c>
      <c r="K83" s="294">
        <f t="shared" si="22"/>
        <v>1.7024673379376485</v>
      </c>
      <c r="L83" s="294">
        <f t="shared" si="22"/>
        <v>2.1424886332426585</v>
      </c>
      <c r="M83" s="294">
        <f t="shared" si="22"/>
        <v>2.6474741523242362</v>
      </c>
      <c r="N83" s="294">
        <f t="shared" si="22"/>
        <v>2.5606574790030394</v>
      </c>
      <c r="O83" s="294">
        <f t="shared" si="22"/>
        <v>2.9437925805977265</v>
      </c>
      <c r="P83" s="294">
        <f t="shared" si="22"/>
        <v>2.9437925805977265</v>
      </c>
      <c r="Q83" s="294">
        <f t="shared" si="22"/>
        <v>2.9437925805977265</v>
      </c>
      <c r="R83" s="294">
        <f t="shared" si="22"/>
        <v>2.9437925805977265</v>
      </c>
      <c r="S83" s="304"/>
      <c r="W83" s="258">
        <f t="shared" si="16"/>
        <v>4.2702380285836546E-4</v>
      </c>
      <c r="X83" s="258">
        <f t="shared" si="16"/>
        <v>9.8095010711004801E-4</v>
      </c>
      <c r="Y83" s="258">
        <f t="shared" si="16"/>
        <v>2.6126521837571814E-3</v>
      </c>
      <c r="Z83" s="258">
        <f t="shared" si="16"/>
        <v>1.371173763923653E-4</v>
      </c>
      <c r="AA83" s="258">
        <f t="shared" si="16"/>
        <v>7.5384379564155695E-5</v>
      </c>
      <c r="AB83" s="258">
        <f t="shared" si="16"/>
        <v>1.9290626913037349E-4</v>
      </c>
      <c r="AC83" s="258">
        <f t="shared" si="16"/>
        <v>7.9544099694811812E-2</v>
      </c>
      <c r="AD83" s="258">
        <f t="shared" si="16"/>
        <v>1.0079862516248546E-5</v>
      </c>
      <c r="AE83" s="258">
        <f t="shared" si="16"/>
        <v>3.4352762224830528E-4</v>
      </c>
      <c r="AF83" s="300"/>
      <c r="AG83" s="300"/>
      <c r="AH83" s="300"/>
    </row>
    <row r="84" spans="2:37" x14ac:dyDescent="0.2">
      <c r="B84" s="251" t="s">
        <v>195</v>
      </c>
      <c r="C84" s="251" t="str">
        <f t="shared" si="2"/>
        <v>XNGATRN</v>
      </c>
      <c r="D84" s="251" t="str">
        <f t="shared" si="2"/>
        <v>Domestic natural gas to transportation end-use</v>
      </c>
      <c r="E84" s="251" t="str">
        <f>Commodities!$C$9</f>
        <v>NGA</v>
      </c>
      <c r="F84" s="251" t="str">
        <f>Commodities!C49</f>
        <v>TRNNGA</v>
      </c>
      <c r="G84" s="304">
        <v>1</v>
      </c>
      <c r="H84" s="304"/>
      <c r="I84" s="294">
        <f t="shared" ref="I84:R84" si="23">I79</f>
        <v>6.9577495540977932</v>
      </c>
      <c r="J84" s="294">
        <f t="shared" si="23"/>
        <v>6.2153169621600322</v>
      </c>
      <c r="K84" s="294">
        <f t="shared" si="23"/>
        <v>6.4216899262579723</v>
      </c>
      <c r="L84" s="294">
        <f t="shared" si="23"/>
        <v>7.1569656605507621</v>
      </c>
      <c r="M84" s="294">
        <f t="shared" si="23"/>
        <v>8.0581372890182408</v>
      </c>
      <c r="N84" s="294">
        <f t="shared" si="23"/>
        <v>8.1972514511541927</v>
      </c>
      <c r="O84" s="294">
        <f t="shared" si="23"/>
        <v>9.0431709876941309</v>
      </c>
      <c r="P84" s="294">
        <f t="shared" si="23"/>
        <v>9.0431709876941309</v>
      </c>
      <c r="Q84" s="294">
        <f t="shared" si="23"/>
        <v>9.0431709876941309</v>
      </c>
      <c r="R84" s="294">
        <f t="shared" si="23"/>
        <v>9.0431709876941309</v>
      </c>
      <c r="S84" s="304"/>
      <c r="W84" s="258">
        <f t="shared" si="16"/>
        <v>4.2702380285836546E-4</v>
      </c>
      <c r="X84" s="258">
        <f t="shared" si="16"/>
        <v>9.8095010711004801E-4</v>
      </c>
      <c r="Y84" s="258">
        <f t="shared" si="16"/>
        <v>2.6126521837571814E-3</v>
      </c>
      <c r="Z84" s="258">
        <f t="shared" si="16"/>
        <v>1.371173763923653E-4</v>
      </c>
      <c r="AA84" s="258">
        <f t="shared" si="16"/>
        <v>7.5384379564155695E-5</v>
      </c>
      <c r="AB84" s="258">
        <f t="shared" si="16"/>
        <v>1.9290626913037349E-4</v>
      </c>
      <c r="AC84" s="258">
        <f t="shared" si="16"/>
        <v>7.9544099694811812E-2</v>
      </c>
      <c r="AD84" s="258">
        <f t="shared" si="16"/>
        <v>1.0079862516248546E-5</v>
      </c>
      <c r="AE84" s="258">
        <f t="shared" si="16"/>
        <v>3.4352762224830528E-4</v>
      </c>
      <c r="AF84" s="300"/>
      <c r="AG84" s="300"/>
      <c r="AH84" s="300"/>
    </row>
    <row r="85" spans="2:37" x14ac:dyDescent="0.2">
      <c r="B85" s="251" t="s">
        <v>197</v>
      </c>
      <c r="C85" s="251" t="str">
        <f t="shared" si="2"/>
        <v>XNGARES</v>
      </c>
      <c r="D85" s="251" t="str">
        <f t="shared" si="2"/>
        <v>Domestic natural gas to residential end-use</v>
      </c>
      <c r="E85" s="251" t="str">
        <f>Commodities!$C$9</f>
        <v>NGA</v>
      </c>
      <c r="F85" s="251" t="str">
        <f>Commodities!C45</f>
        <v>RESNGA</v>
      </c>
      <c r="G85" s="304">
        <v>1</v>
      </c>
      <c r="H85" s="304"/>
      <c r="I85" s="294">
        <f t="shared" ref="I85:R85" si="24">I80</f>
        <v>31.271380224583606</v>
      </c>
      <c r="J85" s="294">
        <f t="shared" si="24"/>
        <v>27.875355677646098</v>
      </c>
      <c r="K85" s="294">
        <f t="shared" si="24"/>
        <v>28.662273397152404</v>
      </c>
      <c r="L85" s="294">
        <f t="shared" si="24"/>
        <v>32.15056044070549</v>
      </c>
      <c r="M85" s="294">
        <f t="shared" si="24"/>
        <v>36.330812094789238</v>
      </c>
      <c r="N85" s="294">
        <f t="shared" si="24"/>
        <v>35.987667137624292</v>
      </c>
      <c r="O85" s="294">
        <f t="shared" si="24"/>
        <v>39.714140571783119</v>
      </c>
      <c r="P85" s="294">
        <f t="shared" si="24"/>
        <v>39.714140571783119</v>
      </c>
      <c r="Q85" s="294">
        <f t="shared" si="24"/>
        <v>39.714140571783119</v>
      </c>
      <c r="R85" s="294">
        <f t="shared" si="24"/>
        <v>39.714140571783119</v>
      </c>
      <c r="S85" s="304"/>
      <c r="W85" s="258">
        <f t="shared" si="16"/>
        <v>4.2702380285836546E-4</v>
      </c>
      <c r="X85" s="258">
        <f t="shared" si="16"/>
        <v>9.8095010711004801E-4</v>
      </c>
      <c r="Y85" s="258">
        <f t="shared" si="16"/>
        <v>2.6126521837571814E-3</v>
      </c>
      <c r="Z85" s="258">
        <f t="shared" si="16"/>
        <v>1.371173763923653E-4</v>
      </c>
      <c r="AA85" s="258">
        <f t="shared" si="16"/>
        <v>7.5384379564155695E-5</v>
      </c>
      <c r="AB85" s="258">
        <f t="shared" si="16"/>
        <v>1.9290626913037349E-4</v>
      </c>
      <c r="AC85" s="258">
        <f t="shared" si="16"/>
        <v>7.9544099694811812E-2</v>
      </c>
      <c r="AD85" s="258">
        <f t="shared" si="16"/>
        <v>1.0079862516248546E-5</v>
      </c>
      <c r="AE85" s="258">
        <f t="shared" si="16"/>
        <v>3.4352762224830528E-4</v>
      </c>
      <c r="AF85" s="300"/>
      <c r="AG85" s="300"/>
      <c r="AH85" s="300"/>
    </row>
    <row r="86" spans="2:37" x14ac:dyDescent="0.2">
      <c r="B86" s="251" t="s">
        <v>197</v>
      </c>
      <c r="C86" s="251" t="str">
        <f t="shared" si="2"/>
        <v>XNGACOM</v>
      </c>
      <c r="D86" s="251" t="str">
        <f t="shared" si="2"/>
        <v>Domestic natural gas to commercial end-use</v>
      </c>
      <c r="E86" s="251" t="str">
        <f>Commodities!$C$9</f>
        <v>NGA</v>
      </c>
      <c r="F86" s="251" t="str">
        <f>Commodities!C46</f>
        <v>COMNGA</v>
      </c>
      <c r="G86" s="304">
        <v>1</v>
      </c>
      <c r="H86" s="304"/>
      <c r="I86" s="294">
        <f t="shared" ref="I86:R86" si="25">I81</f>
        <v>6.9577495540977932</v>
      </c>
      <c r="J86" s="294">
        <f t="shared" si="25"/>
        <v>5.8354750659598906</v>
      </c>
      <c r="K86" s="294">
        <f t="shared" si="25"/>
        <v>6.3184518807730408</v>
      </c>
      <c r="L86" s="294">
        <f t="shared" si="25"/>
        <v>7.3716925703216702</v>
      </c>
      <c r="M86" s="294">
        <f t="shared" si="25"/>
        <v>8.672195918838046</v>
      </c>
      <c r="N86" s="294">
        <f t="shared" si="25"/>
        <v>8.5043044124234246</v>
      </c>
      <c r="O86" s="294">
        <f t="shared" si="25"/>
        <v>9.5894071827526144</v>
      </c>
      <c r="P86" s="294">
        <f t="shared" si="25"/>
        <v>9.5894071827526144</v>
      </c>
      <c r="Q86" s="294">
        <f t="shared" si="25"/>
        <v>9.5894071827526144</v>
      </c>
      <c r="R86" s="294">
        <f t="shared" si="25"/>
        <v>9.5894071827526144</v>
      </c>
      <c r="S86" s="304"/>
      <c r="W86" s="258">
        <f t="shared" si="16"/>
        <v>4.2702380285836546E-4</v>
      </c>
      <c r="X86" s="258">
        <f t="shared" si="16"/>
        <v>9.8095010711004801E-4</v>
      </c>
      <c r="Y86" s="258">
        <f t="shared" si="16"/>
        <v>2.6126521837571814E-3</v>
      </c>
      <c r="Z86" s="258">
        <f t="shared" si="16"/>
        <v>1.371173763923653E-4</v>
      </c>
      <c r="AA86" s="258">
        <f t="shared" si="16"/>
        <v>7.5384379564155695E-5</v>
      </c>
      <c r="AB86" s="258">
        <f t="shared" si="16"/>
        <v>1.9290626913037349E-4</v>
      </c>
      <c r="AC86" s="258">
        <f t="shared" si="16"/>
        <v>7.9544099694811812E-2</v>
      </c>
      <c r="AD86" s="258">
        <f t="shared" si="16"/>
        <v>1.0079862516248546E-5</v>
      </c>
      <c r="AE86" s="258">
        <f t="shared" si="16"/>
        <v>3.4352762224830528E-4</v>
      </c>
      <c r="AF86" s="300"/>
      <c r="AG86" s="300"/>
      <c r="AH86" s="300"/>
    </row>
    <row r="87" spans="2:37" x14ac:dyDescent="0.2">
      <c r="B87" s="251" t="s">
        <v>197</v>
      </c>
      <c r="C87" s="251" t="str">
        <f t="shared" si="2"/>
        <v>XNGAIND</v>
      </c>
      <c r="D87" s="251" t="str">
        <f t="shared" si="2"/>
        <v>Domestic natural gas to industrial end-use</v>
      </c>
      <c r="E87" s="251" t="str">
        <f>Commodities!$C$9</f>
        <v>NGA</v>
      </c>
      <c r="F87" s="251" t="str">
        <f>Commodities!C47</f>
        <v>INDNGA</v>
      </c>
      <c r="G87" s="304">
        <v>1</v>
      </c>
      <c r="H87" s="304"/>
      <c r="I87" s="294">
        <f t="shared" ref="I87:R87" si="26">I82</f>
        <v>6.3709196314133294</v>
      </c>
      <c r="J87" s="294">
        <f t="shared" si="26"/>
        <v>5.343299922954416</v>
      </c>
      <c r="K87" s="294">
        <f t="shared" si="26"/>
        <v>5.7855415482222243</v>
      </c>
      <c r="L87" s="294">
        <f t="shared" si="26"/>
        <v>6.7499499008765289</v>
      </c>
      <c r="M87" s="294">
        <f t="shared" si="26"/>
        <v>7.9407663062905502</v>
      </c>
      <c r="N87" s="294">
        <f t="shared" si="26"/>
        <v>7.7870350910681649</v>
      </c>
      <c r="O87" s="294">
        <f t="shared" si="26"/>
        <v>8.7806182155886106</v>
      </c>
      <c r="P87" s="294">
        <f t="shared" si="26"/>
        <v>8.7806182155886106</v>
      </c>
      <c r="Q87" s="294">
        <f t="shared" si="26"/>
        <v>8.7806182155886106</v>
      </c>
      <c r="R87" s="294">
        <f t="shared" si="26"/>
        <v>8.7806182155886106</v>
      </c>
      <c r="S87" s="304"/>
      <c r="W87" s="258">
        <f t="shared" si="16"/>
        <v>4.2702380285836546E-4</v>
      </c>
      <c r="X87" s="258">
        <f t="shared" si="16"/>
        <v>9.8095010711004801E-4</v>
      </c>
      <c r="Y87" s="258">
        <f t="shared" si="16"/>
        <v>2.6126521837571814E-3</v>
      </c>
      <c r="Z87" s="258">
        <f t="shared" si="16"/>
        <v>1.371173763923653E-4</v>
      </c>
      <c r="AA87" s="258">
        <f t="shared" si="16"/>
        <v>7.5384379564155695E-5</v>
      </c>
      <c r="AB87" s="258">
        <f t="shared" si="16"/>
        <v>1.9290626913037349E-4</v>
      </c>
      <c r="AC87" s="258">
        <f t="shared" si="16"/>
        <v>7.9544099694811812E-2</v>
      </c>
      <c r="AD87" s="258">
        <f t="shared" si="16"/>
        <v>1.0079862516248546E-5</v>
      </c>
      <c r="AE87" s="258">
        <f t="shared" si="16"/>
        <v>3.4352762224830528E-4</v>
      </c>
      <c r="AF87" s="300"/>
      <c r="AG87" s="300"/>
      <c r="AH87" s="300"/>
    </row>
    <row r="88" spans="2:37" x14ac:dyDescent="0.2">
      <c r="B88" s="251" t="s">
        <v>197</v>
      </c>
      <c r="C88" s="251" t="str">
        <f t="shared" si="2"/>
        <v>XNGAELC</v>
      </c>
      <c r="D88" s="251" t="str">
        <f t="shared" si="2"/>
        <v>Domestic natural gas to electricity generation</v>
      </c>
      <c r="E88" s="251" t="str">
        <f>Commodities!$C$9</f>
        <v>NGA</v>
      </c>
      <c r="F88" s="251" t="str">
        <f>Commodities!C48</f>
        <v>ELCNGA</v>
      </c>
      <c r="G88" s="304">
        <v>1</v>
      </c>
      <c r="H88" s="304"/>
      <c r="I88" s="294">
        <f t="shared" ref="I88:R88" si="27">I83</f>
        <v>1.9501678103606643</v>
      </c>
      <c r="J88" s="294">
        <f t="shared" si="27"/>
        <v>1.5466660598419941</v>
      </c>
      <c r="K88" s="294">
        <f t="shared" si="27"/>
        <v>1.7024673379376485</v>
      </c>
      <c r="L88" s="294">
        <f t="shared" si="27"/>
        <v>2.1424886332426585</v>
      </c>
      <c r="M88" s="294">
        <f t="shared" si="27"/>
        <v>2.6474741523242362</v>
      </c>
      <c r="N88" s="294">
        <f t="shared" si="27"/>
        <v>2.5606574790030394</v>
      </c>
      <c r="O88" s="294">
        <f t="shared" si="27"/>
        <v>2.9437925805977265</v>
      </c>
      <c r="P88" s="294">
        <f t="shared" si="27"/>
        <v>2.9437925805977265</v>
      </c>
      <c r="Q88" s="294">
        <f t="shared" si="27"/>
        <v>2.9437925805977265</v>
      </c>
      <c r="R88" s="294">
        <f t="shared" si="27"/>
        <v>2.9437925805977265</v>
      </c>
      <c r="S88" s="304"/>
      <c r="W88" s="258">
        <f t="shared" si="16"/>
        <v>4.2702380285836546E-4</v>
      </c>
      <c r="X88" s="258">
        <f t="shared" si="16"/>
        <v>9.8095010711004801E-4</v>
      </c>
      <c r="Y88" s="258">
        <f t="shared" si="16"/>
        <v>2.6126521837571814E-3</v>
      </c>
      <c r="Z88" s="258">
        <f t="shared" si="16"/>
        <v>1.371173763923653E-4</v>
      </c>
      <c r="AA88" s="258">
        <f t="shared" si="16"/>
        <v>7.5384379564155695E-5</v>
      </c>
      <c r="AB88" s="258">
        <f t="shared" si="16"/>
        <v>1.9290626913037349E-4</v>
      </c>
      <c r="AC88" s="258">
        <f t="shared" si="16"/>
        <v>7.9544099694811812E-2</v>
      </c>
      <c r="AD88" s="258">
        <f t="shared" si="16"/>
        <v>1.0079862516248546E-5</v>
      </c>
      <c r="AE88" s="258">
        <f t="shared" si="16"/>
        <v>3.4352762224830528E-4</v>
      </c>
      <c r="AF88" s="300"/>
      <c r="AG88" s="300"/>
      <c r="AH88" s="300"/>
    </row>
    <row r="89" spans="2:37" x14ac:dyDescent="0.2">
      <c r="B89" s="251" t="s">
        <v>197</v>
      </c>
      <c r="C89" s="251" t="str">
        <f t="shared" si="2"/>
        <v>XNGATRN</v>
      </c>
      <c r="D89" s="251" t="str">
        <f t="shared" si="2"/>
        <v>Domestic natural gas to transportation end-use</v>
      </c>
      <c r="E89" s="251" t="str">
        <f>Commodities!$C$9</f>
        <v>NGA</v>
      </c>
      <c r="F89" s="251" t="str">
        <f>Commodities!C49</f>
        <v>TRNNGA</v>
      </c>
      <c r="G89" s="304">
        <v>1</v>
      </c>
      <c r="H89" s="304"/>
      <c r="I89" s="294">
        <f t="shared" ref="I89:R89" si="28">I84</f>
        <v>6.9577495540977932</v>
      </c>
      <c r="J89" s="294">
        <f t="shared" si="28"/>
        <v>6.2153169621600322</v>
      </c>
      <c r="K89" s="294">
        <f t="shared" si="28"/>
        <v>6.4216899262579723</v>
      </c>
      <c r="L89" s="294">
        <f t="shared" si="28"/>
        <v>7.1569656605507621</v>
      </c>
      <c r="M89" s="294">
        <f t="shared" si="28"/>
        <v>8.0581372890182408</v>
      </c>
      <c r="N89" s="294">
        <f t="shared" si="28"/>
        <v>8.1972514511541927</v>
      </c>
      <c r="O89" s="294">
        <f t="shared" si="28"/>
        <v>9.0431709876941309</v>
      </c>
      <c r="P89" s="294">
        <f t="shared" si="28"/>
        <v>9.0431709876941309</v>
      </c>
      <c r="Q89" s="294">
        <f t="shared" si="28"/>
        <v>9.0431709876941309</v>
      </c>
      <c r="R89" s="294">
        <f t="shared" si="28"/>
        <v>9.0431709876941309</v>
      </c>
      <c r="S89" s="304"/>
      <c r="W89" s="258">
        <f t="shared" si="16"/>
        <v>4.2702380285836546E-4</v>
      </c>
      <c r="X89" s="258">
        <f t="shared" si="16"/>
        <v>9.8095010711004801E-4</v>
      </c>
      <c r="Y89" s="258">
        <f t="shared" si="16"/>
        <v>2.6126521837571814E-3</v>
      </c>
      <c r="Z89" s="258">
        <f t="shared" si="16"/>
        <v>1.371173763923653E-4</v>
      </c>
      <c r="AA89" s="258">
        <f t="shared" si="16"/>
        <v>7.5384379564155695E-5</v>
      </c>
      <c r="AB89" s="258">
        <f t="shared" si="16"/>
        <v>1.9290626913037349E-4</v>
      </c>
      <c r="AC89" s="258">
        <f t="shared" si="16"/>
        <v>7.9544099694811812E-2</v>
      </c>
      <c r="AD89" s="258">
        <f t="shared" si="16"/>
        <v>1.0079862516248546E-5</v>
      </c>
      <c r="AE89" s="258">
        <f t="shared" si="16"/>
        <v>3.4352762224830528E-4</v>
      </c>
      <c r="AF89" s="300"/>
      <c r="AG89" s="300"/>
      <c r="AH89" s="300"/>
    </row>
    <row r="90" spans="2:37" x14ac:dyDescent="0.2">
      <c r="B90" s="240"/>
      <c r="C90" s="240"/>
      <c r="D90" s="240"/>
      <c r="E90" s="240"/>
      <c r="F90" s="240"/>
      <c r="I90" s="269"/>
      <c r="J90" s="269"/>
      <c r="K90" s="269"/>
      <c r="L90" s="269"/>
      <c r="M90" s="269"/>
      <c r="N90" s="269"/>
      <c r="O90" s="269"/>
      <c r="P90" s="269"/>
      <c r="Q90" s="269"/>
      <c r="R90" s="269"/>
      <c r="AF90" s="300"/>
      <c r="AG90" s="300"/>
      <c r="AH90" s="300"/>
    </row>
    <row r="91" spans="2:37" x14ac:dyDescent="0.2">
      <c r="B91" s="240"/>
      <c r="C91" s="240"/>
      <c r="D91" s="240"/>
      <c r="E91" s="240"/>
      <c r="F91" s="240"/>
      <c r="I91" s="269"/>
      <c r="J91" s="269"/>
      <c r="K91" s="269"/>
      <c r="L91" s="269"/>
      <c r="M91" s="269"/>
      <c r="N91" s="269"/>
      <c r="O91" s="269"/>
      <c r="P91" s="269"/>
      <c r="Q91" s="269"/>
      <c r="R91" s="269"/>
      <c r="AF91" s="300"/>
      <c r="AG91" s="300"/>
      <c r="AH91" s="300"/>
    </row>
    <row r="92" spans="2:37" x14ac:dyDescent="0.2">
      <c r="B92" s="240"/>
      <c r="C92" s="240"/>
      <c r="D92" s="240"/>
      <c r="E92" s="240"/>
      <c r="F92" s="240"/>
      <c r="I92" s="269"/>
      <c r="J92" s="269"/>
      <c r="K92" s="269"/>
      <c r="L92" s="269"/>
      <c r="M92" s="269"/>
      <c r="N92" s="269"/>
      <c r="O92" s="269"/>
      <c r="P92" s="269"/>
      <c r="Q92" s="269"/>
      <c r="R92" s="269"/>
      <c r="AF92" s="300"/>
      <c r="AG92" s="300"/>
      <c r="AH92" s="300"/>
    </row>
    <row r="93" spans="2:37" x14ac:dyDescent="0.2">
      <c r="B93" s="240"/>
      <c r="C93" s="240"/>
      <c r="D93" s="240"/>
      <c r="E93" s="240"/>
      <c r="F93" s="240"/>
      <c r="I93" s="269"/>
      <c r="J93" s="269"/>
      <c r="K93" s="269"/>
      <c r="L93" s="269"/>
      <c r="M93" s="269"/>
      <c r="N93" s="269"/>
      <c r="O93" s="269"/>
      <c r="P93" s="269"/>
      <c r="Q93" s="269"/>
      <c r="R93" s="269"/>
      <c r="AF93" s="300"/>
      <c r="AG93" s="300"/>
      <c r="AH93" s="300"/>
    </row>
    <row r="94" spans="2:37" ht="17.25" customHeight="1" x14ac:dyDescent="0.2">
      <c r="F94" s="255" t="s">
        <v>1596</v>
      </c>
      <c r="Z94" s="298"/>
      <c r="AA94" s="298"/>
      <c r="AB94" s="298"/>
      <c r="AC94" s="298"/>
      <c r="AD94" s="298"/>
      <c r="AE94" s="298"/>
      <c r="AF94" s="298"/>
      <c r="AG94" s="298"/>
      <c r="AH94" s="298"/>
    </row>
    <row r="95" spans="2:37" ht="15.75" customHeight="1" x14ac:dyDescent="0.2">
      <c r="B95" s="244" t="s">
        <v>47</v>
      </c>
      <c r="C95" s="244" t="s">
        <v>130</v>
      </c>
      <c r="D95" s="244" t="s">
        <v>131</v>
      </c>
      <c r="E95" s="244" t="s">
        <v>133</v>
      </c>
      <c r="F95" s="244" t="s">
        <v>134</v>
      </c>
      <c r="G95" s="244" t="s">
        <v>1668</v>
      </c>
      <c r="H95" s="244" t="s">
        <v>1612</v>
      </c>
      <c r="I95" s="244" t="s">
        <v>1682</v>
      </c>
      <c r="J95" s="244" t="s">
        <v>1683</v>
      </c>
      <c r="K95" s="244" t="s">
        <v>1706</v>
      </c>
      <c r="L95" s="244" t="s">
        <v>1672</v>
      </c>
      <c r="M95" s="244" t="s">
        <v>1673</v>
      </c>
      <c r="N95" s="244" t="s">
        <v>1674</v>
      </c>
      <c r="O95" s="244" t="s">
        <v>1675</v>
      </c>
      <c r="P95" s="244" t="s">
        <v>1676</v>
      </c>
      <c r="Q95" s="244" t="s">
        <v>1677</v>
      </c>
      <c r="R95" s="244" t="s">
        <v>1678</v>
      </c>
      <c r="S95" s="244" t="s">
        <v>1679</v>
      </c>
      <c r="T95" s="244" t="s">
        <v>1680</v>
      </c>
      <c r="U95" s="244" t="s">
        <v>1681</v>
      </c>
      <c r="V95" s="244" t="s">
        <v>1654</v>
      </c>
      <c r="Z95" s="244" t="s">
        <v>1656</v>
      </c>
      <c r="AA95" s="244" t="s">
        <v>1657</v>
      </c>
      <c r="AB95" s="244" t="s">
        <v>1658</v>
      </c>
      <c r="AC95" s="244" t="s">
        <v>1659</v>
      </c>
      <c r="AD95" s="244" t="s">
        <v>1660</v>
      </c>
      <c r="AE95" s="244" t="s">
        <v>1661</v>
      </c>
      <c r="AF95" s="244" t="s">
        <v>1662</v>
      </c>
      <c r="AG95" s="244" t="s">
        <v>1663</v>
      </c>
      <c r="AH95" s="244" t="s">
        <v>1664</v>
      </c>
    </row>
    <row r="96" spans="2:37" x14ac:dyDescent="0.2">
      <c r="B96" s="248" t="s">
        <v>655</v>
      </c>
      <c r="C96" s="249"/>
      <c r="D96" s="249"/>
      <c r="E96" s="249"/>
      <c r="F96" s="249"/>
      <c r="G96" s="303"/>
      <c r="H96" s="303"/>
      <c r="I96" s="303"/>
      <c r="J96" s="303"/>
      <c r="K96" s="303"/>
      <c r="L96" s="310"/>
      <c r="M96" s="310"/>
      <c r="N96" s="310"/>
      <c r="O96" s="310"/>
      <c r="P96" s="310"/>
      <c r="Q96" s="310"/>
      <c r="R96" s="310"/>
      <c r="S96" s="310"/>
      <c r="T96" s="310"/>
      <c r="U96" s="310"/>
      <c r="V96" s="303"/>
      <c r="AI96" s="300"/>
      <c r="AJ96" s="300"/>
      <c r="AK96" s="300"/>
    </row>
    <row r="97" spans="2:37" x14ac:dyDescent="0.2">
      <c r="B97" s="251" t="s">
        <v>231</v>
      </c>
      <c r="C97" s="251" t="str">
        <f>Technologies!C$66</f>
        <v>XNGLFRAC</v>
      </c>
      <c r="D97" s="251" t="str">
        <f>Technologies!D$66</f>
        <v>Domestic natural gas liquids to end-products</v>
      </c>
      <c r="E97" s="251" t="s">
        <v>152</v>
      </c>
      <c r="F97" s="253"/>
      <c r="G97" s="304"/>
      <c r="H97" s="304">
        <v>1</v>
      </c>
      <c r="I97" s="253"/>
      <c r="J97" s="253"/>
      <c r="K97" s="304"/>
      <c r="L97" s="294">
        <f t="shared" ref="L97:U97" si="29">AVERAGE(I62,I67,I72,I77,I82,I87)</f>
        <v>6.3709196314133294</v>
      </c>
      <c r="M97" s="294">
        <f t="shared" si="29"/>
        <v>5.343299922954416</v>
      </c>
      <c r="N97" s="294">
        <f t="shared" si="29"/>
        <v>5.7855415482222243</v>
      </c>
      <c r="O97" s="294">
        <f t="shared" si="29"/>
        <v>6.7499499008765289</v>
      </c>
      <c r="P97" s="294">
        <f t="shared" si="29"/>
        <v>7.9407663062905494</v>
      </c>
      <c r="Q97" s="294">
        <f t="shared" si="29"/>
        <v>7.7870350910681649</v>
      </c>
      <c r="R97" s="294">
        <f t="shared" si="29"/>
        <v>8.7806182155886106</v>
      </c>
      <c r="S97" s="294">
        <f t="shared" si="29"/>
        <v>8.7806182155886106</v>
      </c>
      <c r="T97" s="294">
        <f t="shared" si="29"/>
        <v>8.7806182155886106</v>
      </c>
      <c r="U97" s="294">
        <f t="shared" si="29"/>
        <v>8.7806182155886106</v>
      </c>
      <c r="V97" s="294"/>
      <c r="W97" s="269"/>
      <c r="X97" s="269"/>
      <c r="Y97" s="269"/>
      <c r="Z97" s="302">
        <f t="shared" ref="Z97:AH97" si="30">W89</f>
        <v>4.2702380285836546E-4</v>
      </c>
      <c r="AA97" s="302">
        <f t="shared" si="30"/>
        <v>9.8095010711004801E-4</v>
      </c>
      <c r="AB97" s="302">
        <f t="shared" si="30"/>
        <v>2.6126521837571814E-3</v>
      </c>
      <c r="AC97" s="302">
        <f t="shared" si="30"/>
        <v>1.371173763923653E-4</v>
      </c>
      <c r="AD97" s="302">
        <f t="shared" si="30"/>
        <v>7.5384379564155695E-5</v>
      </c>
      <c r="AE97" s="302">
        <f t="shared" si="30"/>
        <v>1.9290626913037349E-4</v>
      </c>
      <c r="AF97" s="302">
        <f t="shared" si="30"/>
        <v>7.9544099694811812E-2</v>
      </c>
      <c r="AG97" s="302">
        <f t="shared" si="30"/>
        <v>1.0079862516248546E-5</v>
      </c>
      <c r="AH97" s="302">
        <f t="shared" si="30"/>
        <v>3.4352762224830528E-4</v>
      </c>
      <c r="AI97" s="300"/>
      <c r="AJ97" s="300"/>
      <c r="AK97" s="300"/>
    </row>
    <row r="98" spans="2:37" x14ac:dyDescent="0.2">
      <c r="B98" s="251" t="str">
        <f>B97</f>
        <v>*</v>
      </c>
      <c r="C98" s="251"/>
      <c r="D98" s="251"/>
      <c r="E98" s="251"/>
      <c r="F98" s="251" t="str">
        <f>Commodities!C56</f>
        <v>LPG_NGL</v>
      </c>
      <c r="G98" s="304"/>
      <c r="H98" s="304"/>
      <c r="I98" s="304">
        <v>0.37</v>
      </c>
      <c r="J98" s="304">
        <f>+I98</f>
        <v>0.37</v>
      </c>
      <c r="K98" s="304"/>
      <c r="L98" s="294"/>
      <c r="M98" s="294"/>
      <c r="N98" s="294"/>
      <c r="O98" s="294"/>
      <c r="P98" s="294"/>
      <c r="Q98" s="294"/>
      <c r="R98" s="294"/>
      <c r="S98" s="294"/>
      <c r="T98" s="294"/>
      <c r="U98" s="294"/>
      <c r="V98" s="294"/>
      <c r="W98" s="269"/>
      <c r="X98" s="269"/>
      <c r="Y98" s="269"/>
      <c r="Z98" s="302"/>
      <c r="AA98" s="302"/>
      <c r="AB98" s="302"/>
      <c r="AC98" s="302"/>
      <c r="AD98" s="302"/>
      <c r="AE98" s="302"/>
      <c r="AF98" s="302"/>
      <c r="AG98" s="302"/>
      <c r="AH98" s="302"/>
      <c r="AI98" s="300"/>
      <c r="AJ98" s="300"/>
      <c r="AK98" s="300"/>
    </row>
    <row r="99" spans="2:37" x14ac:dyDescent="0.2">
      <c r="B99" s="251" t="str">
        <f t="shared" ref="B99:B100" si="31">B98</f>
        <v>*</v>
      </c>
      <c r="C99" s="251"/>
      <c r="D99" s="251"/>
      <c r="E99" s="251"/>
      <c r="F99" s="251" t="str">
        <f>Commodities!C55</f>
        <v>PFS_NGL</v>
      </c>
      <c r="G99" s="304"/>
      <c r="H99" s="304"/>
      <c r="I99" s="304">
        <v>0.42</v>
      </c>
      <c r="J99" s="304">
        <f t="shared" ref="J99:J100" si="32">+I99</f>
        <v>0.42</v>
      </c>
      <c r="K99" s="304"/>
      <c r="L99" s="294"/>
      <c r="M99" s="294"/>
      <c r="N99" s="294"/>
      <c r="O99" s="294"/>
      <c r="P99" s="294"/>
      <c r="Q99" s="294"/>
      <c r="R99" s="294"/>
      <c r="S99" s="294"/>
      <c r="T99" s="294"/>
      <c r="U99" s="294"/>
      <c r="V99" s="304"/>
      <c r="AI99" s="300"/>
      <c r="AJ99" s="300"/>
      <c r="AK99" s="300"/>
    </row>
    <row r="100" spans="2:37" x14ac:dyDescent="0.2">
      <c r="B100" s="251" t="str">
        <f t="shared" si="31"/>
        <v>*</v>
      </c>
      <c r="C100" s="251"/>
      <c r="D100" s="251"/>
      <c r="E100" s="251"/>
      <c r="F100" s="251" t="str">
        <f>Commodities!C57</f>
        <v>NGLPENT</v>
      </c>
      <c r="G100" s="304"/>
      <c r="H100" s="304"/>
      <c r="I100" s="304">
        <v>0.21</v>
      </c>
      <c r="J100" s="304">
        <f t="shared" si="32"/>
        <v>0.21</v>
      </c>
      <c r="K100" s="304"/>
      <c r="L100" s="294"/>
      <c r="M100" s="294"/>
      <c r="N100" s="294"/>
      <c r="O100" s="294"/>
      <c r="P100" s="294"/>
      <c r="Q100" s="294"/>
      <c r="R100" s="294"/>
      <c r="S100" s="294"/>
      <c r="T100" s="294"/>
      <c r="U100" s="294"/>
      <c r="V100" s="304"/>
      <c r="AI100" s="300"/>
      <c r="AJ100" s="300"/>
      <c r="AK100" s="300"/>
    </row>
    <row r="101" spans="2:37" x14ac:dyDescent="0.2">
      <c r="B101" s="251" t="s">
        <v>231</v>
      </c>
      <c r="C101" s="251" t="str">
        <f>Technologies!C$69</f>
        <v>SCDENPENT</v>
      </c>
      <c r="D101" s="251" t="str">
        <f>Technologies!D$69</f>
        <v>Collector: Ethanol denaturant from NGL Pentanes</v>
      </c>
      <c r="E101" s="251" t="str">
        <f>Commodities!C52</f>
        <v>PENTS</v>
      </c>
      <c r="F101" s="251" t="str">
        <f>Commodities!C54</f>
        <v>DENAT</v>
      </c>
      <c r="G101" s="304">
        <v>55</v>
      </c>
      <c r="H101" s="304">
        <v>1</v>
      </c>
      <c r="I101" s="304"/>
      <c r="J101" s="304"/>
      <c r="K101" s="304"/>
      <c r="L101" s="294"/>
      <c r="M101" s="294"/>
      <c r="N101" s="294"/>
      <c r="O101" s="294"/>
      <c r="P101" s="294"/>
      <c r="Q101" s="294"/>
      <c r="R101" s="294"/>
      <c r="S101" s="294"/>
      <c r="T101" s="294"/>
      <c r="U101" s="294"/>
      <c r="V101" s="304"/>
      <c r="AI101" s="300"/>
      <c r="AJ101" s="300"/>
      <c r="AK101" s="300"/>
    </row>
    <row r="102" spans="2:37" x14ac:dyDescent="0.2">
      <c r="B102" s="251" t="s">
        <v>231</v>
      </c>
      <c r="C102" s="251" t="str">
        <f>Technologies!C$68</f>
        <v>SCGSRPENT</v>
      </c>
      <c r="D102" s="251" t="str">
        <f>Technologies!D$68</f>
        <v>Collector: GSR from NGL Pentanes</v>
      </c>
      <c r="E102" s="251" t="str">
        <f>Commodities!C52</f>
        <v>PENTS</v>
      </c>
      <c r="F102" s="251" t="str">
        <f>Commodities!C53</f>
        <v>GSR</v>
      </c>
      <c r="G102" s="304">
        <v>55</v>
      </c>
      <c r="H102" s="304">
        <v>1</v>
      </c>
      <c r="I102" s="304"/>
      <c r="J102" s="304"/>
      <c r="K102" s="304"/>
      <c r="L102" s="294"/>
      <c r="M102" s="294"/>
      <c r="N102" s="294"/>
      <c r="O102" s="294"/>
      <c r="P102" s="294"/>
      <c r="Q102" s="294"/>
      <c r="R102" s="294"/>
      <c r="S102" s="294"/>
      <c r="T102" s="294"/>
      <c r="U102" s="294"/>
      <c r="V102" s="304"/>
      <c r="AI102" s="300"/>
      <c r="AJ102" s="300"/>
      <c r="AK102" s="300"/>
    </row>
    <row r="103" spans="2:37" x14ac:dyDescent="0.2">
      <c r="B103" s="251" t="s">
        <v>231</v>
      </c>
      <c r="C103" s="251" t="str">
        <f>Technologies!C70</f>
        <v>SCPFSNGL</v>
      </c>
      <c r="D103" s="251" t="str">
        <f>Technologies!D70</f>
        <v>Collector: PFS from NGL</v>
      </c>
      <c r="E103" s="251" t="str">
        <f>Commodities!C55</f>
        <v>PFS_NGL</v>
      </c>
      <c r="F103" s="251" t="str">
        <f>Commodities!C51</f>
        <v>PFS</v>
      </c>
      <c r="G103" s="304">
        <v>55</v>
      </c>
      <c r="H103" s="304">
        <v>1</v>
      </c>
      <c r="I103" s="304"/>
      <c r="J103" s="304"/>
      <c r="K103" s="304"/>
      <c r="L103" s="294"/>
      <c r="M103" s="294"/>
      <c r="N103" s="294"/>
      <c r="O103" s="294"/>
      <c r="P103" s="294"/>
      <c r="Q103" s="294"/>
      <c r="R103" s="294"/>
      <c r="S103" s="294"/>
      <c r="T103" s="294"/>
      <c r="U103" s="294"/>
      <c r="V103" s="304"/>
      <c r="AI103" s="300"/>
      <c r="AJ103" s="300"/>
      <c r="AK103" s="300"/>
    </row>
    <row r="104" spans="2:37" x14ac:dyDescent="0.2">
      <c r="B104" s="251" t="s">
        <v>231</v>
      </c>
      <c r="C104" s="251" t="str">
        <f>Technologies!C71</f>
        <v>SCLPGNGL</v>
      </c>
      <c r="D104" s="251" t="str">
        <f>Technologies!D71</f>
        <v>Collector: LPG from NGL</v>
      </c>
      <c r="E104" s="251" t="str">
        <f>Commodities!C56</f>
        <v>LPG_NGL</v>
      </c>
      <c r="F104" s="251" t="str">
        <f>Commodities!C50</f>
        <v>LPG</v>
      </c>
      <c r="G104" s="304">
        <v>55</v>
      </c>
      <c r="H104" s="304">
        <v>1</v>
      </c>
      <c r="I104" s="304"/>
      <c r="J104" s="304"/>
      <c r="K104" s="304"/>
      <c r="L104" s="294"/>
      <c r="M104" s="294"/>
      <c r="N104" s="294"/>
      <c r="O104" s="294"/>
      <c r="P104" s="294"/>
      <c r="Q104" s="294"/>
      <c r="R104" s="294"/>
      <c r="S104" s="294"/>
      <c r="T104" s="294"/>
      <c r="U104" s="294"/>
      <c r="V104" s="304"/>
      <c r="AI104" s="300"/>
      <c r="AJ104" s="300"/>
      <c r="AK104" s="300"/>
    </row>
    <row r="105" spans="2:37" x14ac:dyDescent="0.2">
      <c r="B105" s="251" t="s">
        <v>231</v>
      </c>
      <c r="C105" s="251" t="str">
        <f>Technologies!C72</f>
        <v>SCPENTNGL</v>
      </c>
      <c r="D105" s="251" t="str">
        <f>Technologies!D72</f>
        <v>Collector: Pentanes from NGL</v>
      </c>
      <c r="E105" s="251" t="str">
        <f>Commodities!C57</f>
        <v>NGLPENT</v>
      </c>
      <c r="F105" s="251" t="str">
        <f>Commodities!C52</f>
        <v>PENTS</v>
      </c>
      <c r="G105" s="304">
        <v>55</v>
      </c>
      <c r="H105" s="304">
        <v>1</v>
      </c>
      <c r="I105" s="304"/>
      <c r="J105" s="304"/>
      <c r="K105" s="304"/>
      <c r="L105" s="294"/>
      <c r="M105" s="294"/>
      <c r="N105" s="294"/>
      <c r="O105" s="294"/>
      <c r="P105" s="294"/>
      <c r="Q105" s="294"/>
      <c r="R105" s="294"/>
      <c r="S105" s="294"/>
      <c r="T105" s="294"/>
      <c r="U105" s="294"/>
      <c r="V105" s="304"/>
      <c r="AI105" s="300"/>
      <c r="AJ105" s="300"/>
      <c r="AK105" s="300"/>
    </row>
    <row r="106" spans="2:37" x14ac:dyDescent="0.2">
      <c r="B106" s="240"/>
      <c r="C106" s="240"/>
      <c r="D106" s="240"/>
      <c r="E106" s="240"/>
      <c r="F106" s="240"/>
      <c r="G106" s="240"/>
      <c r="L106" s="269"/>
      <c r="M106" s="269"/>
      <c r="N106" s="269"/>
      <c r="O106" s="269"/>
      <c r="P106" s="269"/>
      <c r="Q106" s="269"/>
      <c r="R106" s="269"/>
      <c r="S106" s="269"/>
      <c r="T106" s="269"/>
      <c r="U106" s="269"/>
      <c r="AI106" s="300"/>
      <c r="AJ106" s="300"/>
      <c r="AK106" s="300"/>
    </row>
    <row r="107" spans="2:37" x14ac:dyDescent="0.2">
      <c r="B107" s="240"/>
      <c r="C107" s="240"/>
      <c r="D107" s="240"/>
      <c r="E107" s="240"/>
      <c r="F107" s="240"/>
      <c r="G107" s="240"/>
      <c r="L107" s="269"/>
      <c r="M107" s="269"/>
      <c r="N107" s="269"/>
      <c r="O107" s="269"/>
      <c r="P107" s="269"/>
      <c r="Q107" s="269"/>
      <c r="R107" s="269"/>
      <c r="S107" s="269"/>
      <c r="T107" s="269"/>
      <c r="U107" s="269"/>
      <c r="AI107" s="300"/>
      <c r="AJ107" s="300"/>
      <c r="AK107" s="300"/>
    </row>
    <row r="108" spans="2:37" x14ac:dyDescent="0.2">
      <c r="B108" s="240"/>
      <c r="C108" s="240"/>
      <c r="D108" s="240"/>
      <c r="E108" s="240"/>
      <c r="F108" s="240"/>
      <c r="G108" s="240"/>
      <c r="Z108" s="246"/>
      <c r="AA108" s="246"/>
      <c r="AB108" s="246"/>
      <c r="AC108" s="246"/>
      <c r="AD108" s="246"/>
      <c r="AE108" s="246"/>
      <c r="AF108" s="246"/>
      <c r="AG108" s="246"/>
      <c r="AH108" s="246"/>
    </row>
    <row r="109" spans="2:37" ht="17.25" customHeight="1" x14ac:dyDescent="0.2">
      <c r="F109" s="255" t="s">
        <v>1596</v>
      </c>
      <c r="Z109" s="246"/>
      <c r="AA109" s="246"/>
      <c r="AB109" s="246"/>
      <c r="AC109" s="246"/>
      <c r="AD109" s="246"/>
      <c r="AE109" s="246"/>
      <c r="AF109" s="246"/>
      <c r="AG109" s="246"/>
      <c r="AH109" s="246"/>
    </row>
    <row r="110" spans="2:37" ht="15.75" customHeight="1" x14ac:dyDescent="0.2">
      <c r="B110" s="244" t="s">
        <v>47</v>
      </c>
      <c r="C110" s="244" t="s">
        <v>130</v>
      </c>
      <c r="D110" s="244" t="s">
        <v>131</v>
      </c>
      <c r="E110" s="244" t="s">
        <v>133</v>
      </c>
      <c r="F110" s="244" t="s">
        <v>134</v>
      </c>
      <c r="G110" s="244" t="s">
        <v>1668</v>
      </c>
      <c r="H110" s="244" t="s">
        <v>1612</v>
      </c>
      <c r="I110" s="244" t="s">
        <v>1707</v>
      </c>
      <c r="J110" s="244" t="s">
        <v>1654</v>
      </c>
      <c r="K110" s="244" t="s">
        <v>1670</v>
      </c>
      <c r="L110" s="244" t="s">
        <v>1671</v>
      </c>
      <c r="M110" s="244" t="s">
        <v>1619</v>
      </c>
      <c r="N110" s="246"/>
      <c r="O110" s="246"/>
      <c r="P110" s="246"/>
      <c r="Q110" s="246"/>
      <c r="R110" s="246"/>
      <c r="S110" s="246"/>
      <c r="T110" s="246"/>
      <c r="U110" s="246"/>
      <c r="V110" s="246"/>
      <c r="W110" s="246"/>
      <c r="X110" s="246"/>
      <c r="Y110" s="246"/>
      <c r="Z110" s="246"/>
      <c r="AA110" s="246"/>
      <c r="AB110" s="246"/>
      <c r="AC110" s="246"/>
      <c r="AD110" s="246"/>
      <c r="AE110" s="246"/>
      <c r="AF110" s="246"/>
      <c r="AG110" s="246"/>
      <c r="AH110" s="246"/>
    </row>
    <row r="111" spans="2:37" x14ac:dyDescent="0.2">
      <c r="B111" s="248" t="s">
        <v>1542</v>
      </c>
      <c r="C111" s="249"/>
      <c r="D111" s="249"/>
      <c r="E111" s="249"/>
      <c r="F111" s="249"/>
      <c r="G111" s="303"/>
      <c r="H111" s="303"/>
      <c r="I111" s="303"/>
      <c r="J111" s="303"/>
      <c r="K111" s="288"/>
      <c r="L111" s="288"/>
      <c r="M111" s="287"/>
      <c r="N111" s="246"/>
      <c r="O111" s="246"/>
      <c r="P111" s="246"/>
      <c r="Q111" s="246"/>
      <c r="R111" s="246"/>
      <c r="S111" s="246"/>
      <c r="T111" s="246"/>
      <c r="U111" s="246"/>
      <c r="V111" s="246"/>
      <c r="W111" s="246"/>
      <c r="X111" s="246"/>
      <c r="Y111" s="246"/>
      <c r="Z111" s="246"/>
      <c r="AA111" s="246"/>
      <c r="AB111" s="246"/>
      <c r="AC111" s="246"/>
      <c r="AD111" s="246"/>
      <c r="AE111" s="246"/>
      <c r="AF111" s="246"/>
      <c r="AG111" s="246"/>
      <c r="AH111" s="246"/>
    </row>
    <row r="112" spans="2:37" x14ac:dyDescent="0.2">
      <c r="B112" s="251" t="str">
        <f>Technologies!B75</f>
        <v>R2</v>
      </c>
      <c r="C112" s="251" t="str">
        <f>Technologies!C75</f>
        <v>XNGA12E</v>
      </c>
      <c r="D112" s="251" t="str">
        <f>Technologies!D75</f>
        <v>Existing natural gas pipeline from R1 to R2</v>
      </c>
      <c r="E112" s="251" t="str">
        <f>Commodities!C$18</f>
        <v>NGAR1</v>
      </c>
      <c r="F112" s="251" t="str">
        <f>Commodities!$C$9</f>
        <v>NGA</v>
      </c>
      <c r="G112" s="304">
        <v>55</v>
      </c>
      <c r="H112" s="304">
        <v>1</v>
      </c>
      <c r="I112" s="305">
        <v>9999</v>
      </c>
      <c r="J112" s="304"/>
      <c r="K112" s="304"/>
      <c r="L112" s="304"/>
      <c r="M112" s="253"/>
      <c r="N112" s="246"/>
      <c r="O112" s="246"/>
      <c r="P112" s="246"/>
      <c r="Q112" s="246"/>
      <c r="R112" s="246"/>
      <c r="S112" s="246"/>
      <c r="T112" s="246"/>
      <c r="U112" s="246"/>
      <c r="V112" s="246"/>
      <c r="W112" s="246"/>
      <c r="X112" s="246"/>
      <c r="Y112" s="246"/>
      <c r="Z112" s="246"/>
      <c r="AA112" s="246"/>
      <c r="AB112" s="246"/>
      <c r="AC112" s="246"/>
      <c r="AD112" s="246"/>
      <c r="AE112" s="246"/>
      <c r="AF112" s="246"/>
      <c r="AG112" s="246"/>
      <c r="AH112" s="246"/>
    </row>
    <row r="113" spans="2:34" x14ac:dyDescent="0.2">
      <c r="B113" s="251" t="str">
        <f>Technologies!B76</f>
        <v>R3</v>
      </c>
      <c r="C113" s="251" t="str">
        <f>Technologies!C76</f>
        <v>XNGA13E</v>
      </c>
      <c r="D113" s="251" t="str">
        <f>Technologies!D76</f>
        <v>Existing natural gas pipeline from R1 to R3</v>
      </c>
      <c r="E113" s="251" t="str">
        <f>Commodities!C$18</f>
        <v>NGAR1</v>
      </c>
      <c r="F113" s="251" t="str">
        <f>Commodities!$C$9</f>
        <v>NGA</v>
      </c>
      <c r="G113" s="304">
        <v>55</v>
      </c>
      <c r="H113" s="304">
        <v>1</v>
      </c>
      <c r="I113" s="305">
        <v>9999</v>
      </c>
      <c r="J113" s="304"/>
      <c r="K113" s="304"/>
      <c r="L113" s="304"/>
      <c r="M113" s="253"/>
      <c r="N113" s="246"/>
      <c r="O113" s="246"/>
      <c r="P113" s="246"/>
      <c r="Q113" s="246"/>
      <c r="R113" s="246"/>
      <c r="S113" s="246"/>
      <c r="T113" s="246"/>
      <c r="U113" s="246"/>
      <c r="V113" s="246"/>
      <c r="W113" s="246"/>
      <c r="X113" s="246"/>
      <c r="Y113" s="246"/>
      <c r="Z113" s="246"/>
      <c r="AA113" s="246"/>
      <c r="AB113" s="246"/>
      <c r="AC113" s="246"/>
      <c r="AD113" s="246"/>
      <c r="AE113" s="246"/>
      <c r="AF113" s="246"/>
      <c r="AG113" s="246"/>
      <c r="AH113" s="246"/>
    </row>
    <row r="114" spans="2:34" x14ac:dyDescent="0.2">
      <c r="B114" s="251" t="str">
        <f>Technologies!B77</f>
        <v>R4</v>
      </c>
      <c r="C114" s="251" t="str">
        <f>Technologies!C77</f>
        <v>XNGA14E</v>
      </c>
      <c r="D114" s="251" t="str">
        <f>Technologies!D77</f>
        <v>Existing natural gas pipeline from R1 to R4</v>
      </c>
      <c r="E114" s="251" t="str">
        <f>Commodities!C$18</f>
        <v>NGAR1</v>
      </c>
      <c r="F114" s="251" t="str">
        <f>Commodities!$C$9</f>
        <v>NGA</v>
      </c>
      <c r="G114" s="304">
        <v>55</v>
      </c>
      <c r="H114" s="304">
        <v>1</v>
      </c>
      <c r="I114" s="305">
        <v>9999</v>
      </c>
      <c r="J114" s="304"/>
      <c r="K114" s="304"/>
      <c r="L114" s="304"/>
      <c r="M114" s="253"/>
      <c r="N114" s="246"/>
      <c r="O114" s="246"/>
      <c r="P114" s="246"/>
      <c r="Q114" s="246"/>
      <c r="R114" s="246"/>
      <c r="S114" s="246"/>
      <c r="T114" s="246"/>
      <c r="U114" s="246"/>
      <c r="V114" s="246"/>
      <c r="W114" s="246"/>
      <c r="X114" s="246"/>
      <c r="Y114" s="246"/>
      <c r="Z114" s="246"/>
      <c r="AA114" s="246"/>
      <c r="AB114" s="246"/>
      <c r="AC114" s="246"/>
      <c r="AD114" s="246"/>
      <c r="AE114" s="246"/>
      <c r="AF114" s="246"/>
      <c r="AG114" s="246"/>
      <c r="AH114" s="246"/>
    </row>
    <row r="115" spans="2:34" x14ac:dyDescent="0.2">
      <c r="B115" s="251" t="str">
        <f>Technologies!B78</f>
        <v>R5</v>
      </c>
      <c r="C115" s="251" t="str">
        <f>Technologies!C78</f>
        <v>XNGA15E</v>
      </c>
      <c r="D115" s="251" t="str">
        <f>Technologies!D78</f>
        <v>Existing natural gas pipeline from R1 to R5</v>
      </c>
      <c r="E115" s="251" t="str">
        <f>Commodities!C$18</f>
        <v>NGAR1</v>
      </c>
      <c r="F115" s="251" t="str">
        <f>Commodities!$C$9</f>
        <v>NGA</v>
      </c>
      <c r="G115" s="304">
        <v>55</v>
      </c>
      <c r="H115" s="304">
        <v>1</v>
      </c>
      <c r="I115" s="305">
        <v>9999</v>
      </c>
      <c r="J115" s="304"/>
      <c r="K115" s="304"/>
      <c r="L115" s="304"/>
      <c r="M115" s="253"/>
      <c r="N115" s="246"/>
      <c r="O115" s="246"/>
      <c r="P115" s="246"/>
      <c r="Q115" s="246"/>
      <c r="R115" s="246"/>
      <c r="S115" s="246"/>
      <c r="T115" s="246"/>
      <c r="U115" s="246"/>
      <c r="V115" s="246"/>
      <c r="W115" s="246"/>
      <c r="X115" s="246"/>
      <c r="Y115" s="246"/>
      <c r="Z115" s="246"/>
      <c r="AA115" s="246"/>
      <c r="AB115" s="246"/>
      <c r="AC115" s="246"/>
      <c r="AD115" s="246"/>
      <c r="AE115" s="246"/>
      <c r="AF115" s="246"/>
      <c r="AG115" s="246"/>
      <c r="AH115" s="246"/>
    </row>
    <row r="116" spans="2:34" x14ac:dyDescent="0.2">
      <c r="B116" s="251" t="str">
        <f>Technologies!B79</f>
        <v>R6</v>
      </c>
      <c r="C116" s="251" t="str">
        <f>Technologies!C79</f>
        <v>XNGA16E</v>
      </c>
      <c r="D116" s="251" t="str">
        <f>Technologies!D79</f>
        <v>Existing natural gas pipeline from R1 to R6</v>
      </c>
      <c r="E116" s="251" t="str">
        <f>Commodities!C$18</f>
        <v>NGAR1</v>
      </c>
      <c r="F116" s="251" t="str">
        <f>Commodities!$C$9</f>
        <v>NGA</v>
      </c>
      <c r="G116" s="304">
        <v>55</v>
      </c>
      <c r="H116" s="304">
        <v>1</v>
      </c>
      <c r="I116" s="305">
        <v>9999</v>
      </c>
      <c r="J116" s="304"/>
      <c r="K116" s="304"/>
      <c r="L116" s="304"/>
      <c r="M116" s="253"/>
      <c r="N116" s="246"/>
      <c r="O116" s="246"/>
      <c r="P116" s="246"/>
      <c r="Q116" s="246"/>
      <c r="R116" s="246"/>
      <c r="S116" s="246"/>
      <c r="T116" s="246"/>
      <c r="U116" s="246"/>
      <c r="V116" s="246"/>
      <c r="W116" s="246"/>
      <c r="X116" s="246"/>
      <c r="Y116" s="246"/>
      <c r="Z116" s="246"/>
      <c r="AA116" s="246"/>
      <c r="AB116" s="246"/>
      <c r="AC116" s="246"/>
      <c r="AD116" s="246"/>
      <c r="AE116" s="246"/>
      <c r="AF116" s="246"/>
      <c r="AG116" s="246"/>
      <c r="AH116" s="246"/>
    </row>
    <row r="117" spans="2:34" x14ac:dyDescent="0.2">
      <c r="B117" s="251" t="str">
        <f>Technologies!B80</f>
        <v>R3</v>
      </c>
      <c r="C117" s="251" t="str">
        <f>Technologies!C80</f>
        <v>XNGA23E</v>
      </c>
      <c r="D117" s="251" t="str">
        <f>Technologies!D80</f>
        <v>Existing natural gas pipeline from R2 to R3</v>
      </c>
      <c r="E117" s="251" t="str">
        <f>Commodities!C$19</f>
        <v>NGAR2</v>
      </c>
      <c r="F117" s="251" t="str">
        <f>Commodities!$C$9</f>
        <v>NGA</v>
      </c>
      <c r="G117" s="304">
        <v>55</v>
      </c>
      <c r="H117" s="304">
        <v>1</v>
      </c>
      <c r="I117" s="305">
        <v>9999</v>
      </c>
      <c r="J117" s="304"/>
      <c r="K117" s="304"/>
      <c r="L117" s="304"/>
      <c r="M117" s="253"/>
      <c r="N117" s="246"/>
      <c r="O117" s="246"/>
      <c r="P117" s="246"/>
      <c r="Q117" s="246"/>
      <c r="R117" s="246"/>
      <c r="S117" s="246"/>
      <c r="T117" s="246"/>
      <c r="U117" s="246"/>
      <c r="V117" s="246"/>
      <c r="W117" s="246"/>
      <c r="X117" s="246"/>
      <c r="Y117" s="246"/>
      <c r="Z117" s="246"/>
      <c r="AA117" s="246"/>
      <c r="AB117" s="246"/>
      <c r="AC117" s="246"/>
      <c r="AD117" s="246"/>
      <c r="AE117" s="246"/>
      <c r="AF117" s="246"/>
      <c r="AG117" s="246"/>
      <c r="AH117" s="246"/>
    </row>
    <row r="118" spans="2:34" x14ac:dyDescent="0.2">
      <c r="B118" s="251" t="str">
        <f>Technologies!B81</f>
        <v>R4</v>
      </c>
      <c r="C118" s="251" t="str">
        <f>Technologies!C81</f>
        <v>XNGA24E</v>
      </c>
      <c r="D118" s="251" t="str">
        <f>Technologies!D81</f>
        <v>Existing natural gas pipeline from R2 to R4</v>
      </c>
      <c r="E118" s="251" t="str">
        <f>Commodities!C$19</f>
        <v>NGAR2</v>
      </c>
      <c r="F118" s="251" t="str">
        <f>Commodities!$C$9</f>
        <v>NGA</v>
      </c>
      <c r="G118" s="304">
        <v>55</v>
      </c>
      <c r="H118" s="304">
        <v>1</v>
      </c>
      <c r="I118" s="305">
        <v>9999</v>
      </c>
      <c r="J118" s="304"/>
      <c r="K118" s="304"/>
      <c r="L118" s="304"/>
      <c r="M118" s="253"/>
      <c r="N118" s="246"/>
      <c r="O118" s="246"/>
      <c r="P118" s="246"/>
      <c r="Q118" s="246"/>
      <c r="R118" s="246"/>
      <c r="S118" s="246"/>
      <c r="T118" s="246"/>
      <c r="U118" s="246"/>
      <c r="V118" s="246"/>
      <c r="W118" s="246"/>
      <c r="X118" s="246"/>
      <c r="Y118" s="246"/>
      <c r="Z118" s="246"/>
      <c r="AA118" s="246"/>
      <c r="AB118" s="246"/>
      <c r="AC118" s="246"/>
      <c r="AD118" s="246"/>
      <c r="AE118" s="246"/>
      <c r="AF118" s="246"/>
      <c r="AG118" s="246"/>
      <c r="AH118" s="246"/>
    </row>
    <row r="119" spans="2:34" x14ac:dyDescent="0.2">
      <c r="B119" s="251" t="str">
        <f>Technologies!B82</f>
        <v>R5</v>
      </c>
      <c r="C119" s="251" t="str">
        <f>Technologies!C82</f>
        <v>XNGA25E</v>
      </c>
      <c r="D119" s="251" t="str">
        <f>Technologies!D82</f>
        <v>Existing natural gas pipeline from R2 to R5</v>
      </c>
      <c r="E119" s="251" t="str">
        <f>Commodities!C$19</f>
        <v>NGAR2</v>
      </c>
      <c r="F119" s="251" t="str">
        <f>Commodities!$C$9</f>
        <v>NGA</v>
      </c>
      <c r="G119" s="304">
        <v>55</v>
      </c>
      <c r="H119" s="304">
        <v>1</v>
      </c>
      <c r="I119" s="305">
        <v>9999</v>
      </c>
      <c r="J119" s="304"/>
      <c r="K119" s="304"/>
      <c r="L119" s="304"/>
      <c r="M119" s="253"/>
      <c r="N119" s="246"/>
      <c r="O119" s="246"/>
      <c r="P119" s="246"/>
      <c r="Q119" s="246"/>
      <c r="R119" s="246"/>
      <c r="S119" s="246"/>
      <c r="T119" s="246"/>
      <c r="U119" s="246"/>
      <c r="V119" s="246"/>
      <c r="W119" s="246"/>
      <c r="X119" s="246"/>
      <c r="Y119" s="246"/>
      <c r="Z119" s="246"/>
      <c r="AA119" s="246"/>
      <c r="AB119" s="246"/>
      <c r="AC119" s="246"/>
      <c r="AD119" s="246"/>
      <c r="AE119" s="246"/>
      <c r="AF119" s="246"/>
      <c r="AG119" s="246"/>
      <c r="AH119" s="246"/>
    </row>
    <row r="120" spans="2:34" x14ac:dyDescent="0.2">
      <c r="B120" s="251" t="str">
        <f>Technologies!B83</f>
        <v>R2</v>
      </c>
      <c r="C120" s="251" t="str">
        <f>Technologies!C83</f>
        <v>XNGA32E</v>
      </c>
      <c r="D120" s="251" t="str">
        <f>Technologies!D83</f>
        <v>Existing natural gas pipeline from R3 to R2</v>
      </c>
      <c r="E120" s="251" t="str">
        <f>Commodities!C$20</f>
        <v>NGAR3</v>
      </c>
      <c r="F120" s="251" t="str">
        <f>Commodities!$C$9</f>
        <v>NGA</v>
      </c>
      <c r="G120" s="304">
        <v>55</v>
      </c>
      <c r="H120" s="304">
        <v>1</v>
      </c>
      <c r="I120" s="305">
        <v>9999</v>
      </c>
      <c r="J120" s="304"/>
      <c r="K120" s="304"/>
      <c r="L120" s="304"/>
      <c r="M120" s="253"/>
      <c r="N120" s="246"/>
      <c r="O120" s="246"/>
      <c r="P120" s="246"/>
      <c r="Q120" s="246"/>
      <c r="R120" s="246"/>
      <c r="S120" s="246"/>
      <c r="T120" s="246"/>
      <c r="U120" s="246"/>
      <c r="V120" s="246"/>
      <c r="W120" s="246"/>
      <c r="X120" s="246"/>
      <c r="Y120" s="246"/>
      <c r="Z120" s="246"/>
      <c r="AA120" s="246"/>
      <c r="AB120" s="246"/>
      <c r="AC120" s="246"/>
      <c r="AD120" s="246"/>
      <c r="AE120" s="246"/>
      <c r="AF120" s="246"/>
      <c r="AG120" s="246"/>
      <c r="AH120" s="246"/>
    </row>
    <row r="121" spans="2:34" x14ac:dyDescent="0.2">
      <c r="B121" s="251" t="str">
        <f>Technologies!B84</f>
        <v>R4</v>
      </c>
      <c r="C121" s="251" t="str">
        <f>Technologies!C84</f>
        <v>XNGA34E</v>
      </c>
      <c r="D121" s="251" t="str">
        <f>Technologies!D84</f>
        <v>Existing natural gas pipeline from R3 to R4</v>
      </c>
      <c r="E121" s="251" t="str">
        <f>Commodities!C$20</f>
        <v>NGAR3</v>
      </c>
      <c r="F121" s="251" t="str">
        <f>Commodities!$C$9</f>
        <v>NGA</v>
      </c>
      <c r="G121" s="304">
        <v>55</v>
      </c>
      <c r="H121" s="304">
        <v>1</v>
      </c>
      <c r="I121" s="305">
        <v>9999</v>
      </c>
      <c r="J121" s="304"/>
      <c r="K121" s="304"/>
      <c r="L121" s="304"/>
      <c r="M121" s="253"/>
      <c r="N121" s="246"/>
      <c r="O121" s="246"/>
      <c r="P121" s="246"/>
      <c r="Q121" s="246"/>
      <c r="R121" s="246"/>
      <c r="S121" s="246"/>
      <c r="T121" s="246"/>
      <c r="U121" s="246"/>
      <c r="V121" s="246"/>
      <c r="W121" s="246"/>
      <c r="X121" s="246"/>
      <c r="Y121" s="246"/>
      <c r="Z121" s="246"/>
      <c r="AA121" s="246"/>
      <c r="AB121" s="246"/>
      <c r="AC121" s="246"/>
      <c r="AD121" s="246"/>
      <c r="AE121" s="246"/>
      <c r="AF121" s="246"/>
      <c r="AG121" s="246"/>
      <c r="AH121" s="246"/>
    </row>
    <row r="122" spans="2:34" x14ac:dyDescent="0.2">
      <c r="B122" s="251" t="str">
        <f>Technologies!B85</f>
        <v>R6</v>
      </c>
      <c r="C122" s="251" t="str">
        <f>Technologies!C85</f>
        <v>XNGA36E</v>
      </c>
      <c r="D122" s="251" t="str">
        <f>Technologies!D85</f>
        <v>Existing natural gas pipeline from R3 to R6</v>
      </c>
      <c r="E122" s="251" t="str">
        <f>Commodities!C$20</f>
        <v>NGAR3</v>
      </c>
      <c r="F122" s="251" t="str">
        <f>Commodities!$C$9</f>
        <v>NGA</v>
      </c>
      <c r="G122" s="304">
        <v>55</v>
      </c>
      <c r="H122" s="304">
        <v>1</v>
      </c>
      <c r="I122" s="305">
        <v>9999</v>
      </c>
      <c r="J122" s="304"/>
      <c r="K122" s="304"/>
      <c r="L122" s="304"/>
      <c r="M122" s="253"/>
      <c r="N122" s="246"/>
      <c r="O122" s="246"/>
      <c r="P122" s="246"/>
      <c r="Q122" s="246"/>
      <c r="R122" s="246"/>
      <c r="S122" s="246"/>
      <c r="T122" s="246"/>
      <c r="U122" s="246"/>
      <c r="V122" s="246"/>
      <c r="W122" s="246"/>
      <c r="X122" s="246"/>
      <c r="Y122" s="246"/>
      <c r="Z122" s="246"/>
      <c r="AA122" s="246"/>
      <c r="AB122" s="246"/>
      <c r="AC122" s="246"/>
      <c r="AD122" s="246"/>
      <c r="AE122" s="246"/>
      <c r="AF122" s="246"/>
      <c r="AG122" s="246"/>
      <c r="AH122" s="246"/>
    </row>
    <row r="123" spans="2:34" x14ac:dyDescent="0.2">
      <c r="B123" s="251" t="str">
        <f>Technologies!B86</f>
        <v>R2</v>
      </c>
      <c r="C123" s="251" t="str">
        <f>Technologies!C86</f>
        <v>XNGA42E</v>
      </c>
      <c r="D123" s="251" t="str">
        <f>Technologies!D86</f>
        <v>Existing natural gas pipeline from R4 to R2</v>
      </c>
      <c r="E123" s="251" t="str">
        <f>Commodities!C$21</f>
        <v>NGAR4</v>
      </c>
      <c r="F123" s="251" t="str">
        <f>Commodities!$C$9</f>
        <v>NGA</v>
      </c>
      <c r="G123" s="304">
        <v>55</v>
      </c>
      <c r="H123" s="304">
        <v>1</v>
      </c>
      <c r="I123" s="305">
        <v>9999</v>
      </c>
      <c r="J123" s="304"/>
      <c r="K123" s="304"/>
      <c r="L123" s="304"/>
      <c r="M123" s="253"/>
      <c r="N123" s="246"/>
      <c r="O123" s="246"/>
      <c r="P123" s="246"/>
      <c r="Q123" s="246"/>
      <c r="R123" s="246"/>
      <c r="S123" s="246"/>
      <c r="T123" s="246"/>
      <c r="U123" s="246"/>
      <c r="V123" s="246"/>
      <c r="W123" s="246"/>
      <c r="X123" s="246"/>
      <c r="Y123" s="246"/>
      <c r="Z123" s="246"/>
      <c r="AA123" s="246"/>
      <c r="AB123" s="246"/>
      <c r="AC123" s="246"/>
      <c r="AD123" s="246"/>
      <c r="AE123" s="246"/>
      <c r="AF123" s="246"/>
      <c r="AG123" s="246"/>
      <c r="AH123" s="246"/>
    </row>
    <row r="124" spans="2:34" x14ac:dyDescent="0.2">
      <c r="B124" s="251" t="str">
        <f>Technologies!B87</f>
        <v>R3</v>
      </c>
      <c r="C124" s="251" t="str">
        <f>Technologies!C87</f>
        <v>XNGA43E</v>
      </c>
      <c r="D124" s="251" t="str">
        <f>Technologies!D87</f>
        <v>Existing natural gas pipeline from R4 to R3</v>
      </c>
      <c r="E124" s="251" t="str">
        <f>Commodities!C$21</f>
        <v>NGAR4</v>
      </c>
      <c r="F124" s="251" t="str">
        <f>Commodities!$C$9</f>
        <v>NGA</v>
      </c>
      <c r="G124" s="304">
        <v>55</v>
      </c>
      <c r="H124" s="304">
        <v>1</v>
      </c>
      <c r="I124" s="305">
        <v>9999</v>
      </c>
      <c r="J124" s="304"/>
      <c r="K124" s="304"/>
      <c r="L124" s="304"/>
      <c r="M124" s="253"/>
      <c r="N124" s="246"/>
      <c r="O124" s="246"/>
      <c r="P124" s="246"/>
      <c r="Q124" s="246"/>
      <c r="R124" s="246"/>
      <c r="S124" s="246"/>
      <c r="T124" s="246"/>
      <c r="U124" s="246"/>
      <c r="V124" s="246"/>
      <c r="W124" s="246"/>
      <c r="X124" s="246"/>
      <c r="Y124" s="246"/>
      <c r="Z124" s="246"/>
      <c r="AA124" s="246"/>
      <c r="AB124" s="246"/>
      <c r="AC124" s="246"/>
      <c r="AD124" s="246"/>
      <c r="AE124" s="246"/>
      <c r="AF124" s="246"/>
      <c r="AG124" s="246"/>
      <c r="AH124" s="246"/>
    </row>
    <row r="125" spans="2:34" x14ac:dyDescent="0.2">
      <c r="B125" s="251" t="str">
        <f>Technologies!B88</f>
        <v>R5</v>
      </c>
      <c r="C125" s="251" t="str">
        <f>Technologies!C88</f>
        <v>XNGA45E</v>
      </c>
      <c r="D125" s="251" t="str">
        <f>Technologies!D88</f>
        <v>Existing natural gas pipeline from R4 to R5</v>
      </c>
      <c r="E125" s="251" t="str">
        <f>Commodities!C$21</f>
        <v>NGAR4</v>
      </c>
      <c r="F125" s="251" t="str">
        <f>Commodities!$C$9</f>
        <v>NGA</v>
      </c>
      <c r="G125" s="304">
        <v>55</v>
      </c>
      <c r="H125" s="304">
        <v>1</v>
      </c>
      <c r="I125" s="305">
        <v>9999</v>
      </c>
      <c r="J125" s="304"/>
      <c r="K125" s="304"/>
      <c r="L125" s="304"/>
      <c r="M125" s="253"/>
      <c r="N125" s="246"/>
      <c r="O125" s="246"/>
      <c r="P125" s="246"/>
      <c r="Q125" s="246"/>
      <c r="R125" s="246"/>
      <c r="S125" s="246"/>
      <c r="T125" s="246"/>
      <c r="U125" s="246"/>
      <c r="V125" s="246"/>
      <c r="W125" s="246"/>
      <c r="X125" s="246"/>
      <c r="Y125" s="246"/>
      <c r="Z125" s="246"/>
      <c r="AA125" s="246"/>
      <c r="AB125" s="246"/>
      <c r="AC125" s="246"/>
      <c r="AD125" s="246"/>
      <c r="AE125" s="246"/>
      <c r="AF125" s="246"/>
      <c r="AG125" s="246"/>
      <c r="AH125" s="246"/>
    </row>
    <row r="126" spans="2:34" x14ac:dyDescent="0.2">
      <c r="B126" s="251" t="str">
        <f>Technologies!B89</f>
        <v>R6</v>
      </c>
      <c r="C126" s="251" t="str">
        <f>Technologies!C89</f>
        <v>XNGA46E</v>
      </c>
      <c r="D126" s="251" t="str">
        <f>Technologies!D89</f>
        <v>Existing natural gas pipeline from R4 to R6</v>
      </c>
      <c r="E126" s="251" t="str">
        <f>Commodities!C$21</f>
        <v>NGAR4</v>
      </c>
      <c r="F126" s="251" t="str">
        <f>Commodities!$C$9</f>
        <v>NGA</v>
      </c>
      <c r="G126" s="304">
        <v>55</v>
      </c>
      <c r="H126" s="304">
        <v>1</v>
      </c>
      <c r="I126" s="305">
        <v>9999</v>
      </c>
      <c r="J126" s="304"/>
      <c r="K126" s="304"/>
      <c r="L126" s="304"/>
      <c r="M126" s="253"/>
      <c r="N126" s="246"/>
      <c r="O126" s="246"/>
      <c r="P126" s="246"/>
      <c r="Q126" s="246"/>
      <c r="R126" s="246"/>
      <c r="S126" s="246"/>
      <c r="T126" s="246"/>
      <c r="U126" s="246"/>
      <c r="V126" s="246"/>
      <c r="W126" s="246"/>
      <c r="X126" s="246"/>
      <c r="Y126" s="246"/>
      <c r="Z126" s="246"/>
      <c r="AA126" s="246"/>
      <c r="AB126" s="246"/>
      <c r="AC126" s="246"/>
      <c r="AD126" s="246"/>
      <c r="AE126" s="246"/>
      <c r="AF126" s="246"/>
      <c r="AG126" s="246"/>
      <c r="AH126" s="246"/>
    </row>
    <row r="127" spans="2:34" x14ac:dyDescent="0.2">
      <c r="B127" s="251" t="str">
        <f>Technologies!B90</f>
        <v>R2</v>
      </c>
      <c r="C127" s="251" t="str">
        <f>Technologies!C90</f>
        <v>XNGA52E</v>
      </c>
      <c r="D127" s="251" t="str">
        <f>Technologies!D90</f>
        <v>Existing natural gas pipeline from R5 to R2</v>
      </c>
      <c r="E127" s="251" t="str">
        <f>Commodities!C$22</f>
        <v>NGAR5</v>
      </c>
      <c r="F127" s="251" t="str">
        <f>Commodities!$C$9</f>
        <v>NGA</v>
      </c>
      <c r="G127" s="304">
        <v>55</v>
      </c>
      <c r="H127" s="304">
        <v>1</v>
      </c>
      <c r="I127" s="305">
        <v>9999</v>
      </c>
      <c r="J127" s="304"/>
      <c r="K127" s="304"/>
      <c r="L127" s="304"/>
      <c r="M127" s="253"/>
      <c r="N127" s="246"/>
      <c r="O127" s="246"/>
      <c r="P127" s="246"/>
      <c r="Q127" s="246"/>
      <c r="R127" s="246"/>
      <c r="S127" s="246"/>
      <c r="T127" s="246"/>
      <c r="U127" s="246"/>
      <c r="V127" s="246"/>
      <c r="W127" s="246"/>
      <c r="X127" s="246"/>
      <c r="Y127" s="246"/>
      <c r="Z127" s="246"/>
      <c r="AA127" s="246"/>
      <c r="AB127" s="246"/>
      <c r="AC127" s="246"/>
      <c r="AD127" s="246"/>
      <c r="AE127" s="246"/>
      <c r="AF127" s="246"/>
      <c r="AG127" s="246"/>
      <c r="AH127" s="246"/>
    </row>
    <row r="128" spans="2:34" x14ac:dyDescent="0.2">
      <c r="B128" s="251" t="str">
        <f>Technologies!B91</f>
        <v>R4</v>
      </c>
      <c r="C128" s="251" t="str">
        <f>Technologies!C91</f>
        <v>XNGA54E</v>
      </c>
      <c r="D128" s="251" t="str">
        <f>Technologies!D91</f>
        <v>Existing natural gas pipeline from R5 to R4</v>
      </c>
      <c r="E128" s="251" t="str">
        <f>Commodities!C$22</f>
        <v>NGAR5</v>
      </c>
      <c r="F128" s="251" t="str">
        <f>Commodities!$C$9</f>
        <v>NGA</v>
      </c>
      <c r="G128" s="304">
        <v>55</v>
      </c>
      <c r="H128" s="304">
        <v>1</v>
      </c>
      <c r="I128" s="305">
        <v>9999</v>
      </c>
      <c r="J128" s="304"/>
      <c r="K128" s="304"/>
      <c r="L128" s="304"/>
      <c r="M128" s="253"/>
      <c r="N128" s="246"/>
      <c r="O128" s="246"/>
      <c r="P128" s="246"/>
      <c r="Q128" s="246"/>
      <c r="R128" s="246"/>
      <c r="S128" s="246"/>
      <c r="T128" s="246"/>
      <c r="U128" s="246"/>
      <c r="V128" s="246"/>
      <c r="W128" s="246"/>
      <c r="X128" s="246"/>
      <c r="Y128" s="246"/>
      <c r="Z128" s="246"/>
      <c r="AA128" s="246"/>
      <c r="AB128" s="246"/>
      <c r="AC128" s="246"/>
      <c r="AD128" s="246"/>
      <c r="AE128" s="246"/>
      <c r="AF128" s="246"/>
      <c r="AG128" s="246"/>
      <c r="AH128" s="246"/>
    </row>
    <row r="129" spans="2:34" x14ac:dyDescent="0.2">
      <c r="B129" s="251" t="str">
        <f>Technologies!B92</f>
        <v>R3</v>
      </c>
      <c r="C129" s="251" t="str">
        <f>Technologies!C92</f>
        <v>XNGA63E</v>
      </c>
      <c r="D129" s="251" t="str">
        <f>Technologies!D92</f>
        <v>Existing natural gas pipeline from R6 to R3</v>
      </c>
      <c r="E129" s="251" t="str">
        <f>Commodities!C$23</f>
        <v>NGAR6</v>
      </c>
      <c r="F129" s="251" t="str">
        <f>Commodities!$C$9</f>
        <v>NGA</v>
      </c>
      <c r="G129" s="304">
        <v>55</v>
      </c>
      <c r="H129" s="304">
        <v>1</v>
      </c>
      <c r="I129" s="305">
        <v>9999</v>
      </c>
      <c r="J129" s="304"/>
      <c r="K129" s="304"/>
      <c r="L129" s="304"/>
      <c r="M129" s="253"/>
      <c r="N129" s="246"/>
      <c r="O129" s="246"/>
      <c r="P129" s="246"/>
      <c r="Q129" s="246"/>
      <c r="R129" s="246"/>
      <c r="S129" s="246"/>
      <c r="T129" s="246"/>
      <c r="U129" s="246"/>
      <c r="V129" s="246"/>
      <c r="W129" s="246"/>
      <c r="X129" s="246"/>
      <c r="Y129" s="246"/>
      <c r="Z129" s="246"/>
      <c r="AA129" s="246"/>
      <c r="AB129" s="246"/>
      <c r="AC129" s="246"/>
      <c r="AD129" s="246"/>
      <c r="AE129" s="246"/>
      <c r="AF129" s="246"/>
      <c r="AG129" s="246"/>
      <c r="AH129" s="246"/>
    </row>
    <row r="130" spans="2:34" x14ac:dyDescent="0.2">
      <c r="B130" s="251" t="str">
        <f>Technologies!B93</f>
        <v>R4</v>
      </c>
      <c r="C130" s="251" t="str">
        <f>Technologies!C93</f>
        <v>XNGA64E</v>
      </c>
      <c r="D130" s="251" t="str">
        <f>Technologies!D93</f>
        <v>Existing natural gas pipeline from R6 to R4</v>
      </c>
      <c r="E130" s="251" t="str">
        <f>Commodities!C$23</f>
        <v>NGAR6</v>
      </c>
      <c r="F130" s="251" t="str">
        <f>Commodities!$C$9</f>
        <v>NGA</v>
      </c>
      <c r="G130" s="304">
        <v>55</v>
      </c>
      <c r="H130" s="304">
        <v>1</v>
      </c>
      <c r="I130" s="305">
        <v>9999</v>
      </c>
      <c r="J130" s="304"/>
      <c r="K130" s="304"/>
      <c r="L130" s="304"/>
      <c r="M130" s="253"/>
      <c r="N130" s="246"/>
      <c r="O130" s="246"/>
      <c r="P130" s="246"/>
      <c r="Q130" s="246"/>
      <c r="R130" s="246"/>
      <c r="S130" s="246"/>
      <c r="T130" s="246"/>
      <c r="U130" s="246"/>
      <c r="V130" s="246"/>
      <c r="W130" s="246"/>
      <c r="X130" s="246"/>
      <c r="Y130" s="246"/>
      <c r="Z130" s="246"/>
      <c r="AA130" s="246"/>
      <c r="AB130" s="246"/>
      <c r="AC130" s="246"/>
      <c r="AD130" s="246"/>
      <c r="AE130" s="246"/>
      <c r="AF130" s="246"/>
      <c r="AG130" s="246"/>
      <c r="AH130" s="246"/>
    </row>
    <row r="131" spans="2:34" x14ac:dyDescent="0.2">
      <c r="B131" s="240"/>
      <c r="C131" s="240"/>
      <c r="D131" s="240"/>
      <c r="E131" s="240"/>
      <c r="F131" s="240"/>
      <c r="G131" s="240"/>
      <c r="K131" s="299"/>
      <c r="Z131" s="246"/>
      <c r="AA131" s="246"/>
      <c r="AB131" s="246"/>
      <c r="AC131" s="246"/>
      <c r="AD131" s="246"/>
      <c r="AE131" s="246"/>
      <c r="AF131" s="246"/>
      <c r="AG131" s="246"/>
      <c r="AH131" s="246"/>
    </row>
    <row r="132" spans="2:34" x14ac:dyDescent="0.2">
      <c r="B132" s="240"/>
      <c r="C132" s="240"/>
      <c r="D132" s="240"/>
      <c r="E132" s="240"/>
      <c r="F132" s="240"/>
      <c r="G132" s="240"/>
      <c r="K132" s="299"/>
      <c r="Z132" s="246"/>
      <c r="AA132" s="246"/>
      <c r="AB132" s="246"/>
      <c r="AC132" s="246"/>
      <c r="AD132" s="246"/>
      <c r="AE132" s="246"/>
      <c r="AF132" s="246"/>
      <c r="AG132" s="246"/>
      <c r="AH132" s="246"/>
    </row>
    <row r="133" spans="2:34" x14ac:dyDescent="0.2">
      <c r="B133" s="240"/>
      <c r="C133" s="240"/>
      <c r="D133" s="240"/>
      <c r="E133" s="240"/>
      <c r="F133" s="240"/>
      <c r="G133" s="240"/>
      <c r="K133" s="299"/>
      <c r="Z133" s="246"/>
      <c r="AA133" s="246"/>
      <c r="AB133" s="246"/>
      <c r="AC133" s="246"/>
      <c r="AD133" s="246"/>
      <c r="AE133" s="246"/>
      <c r="AF133" s="246"/>
      <c r="AG133" s="246"/>
      <c r="AH133" s="246"/>
    </row>
    <row r="134" spans="2:34" x14ac:dyDescent="0.2">
      <c r="B134" s="240"/>
      <c r="C134" s="240"/>
      <c r="D134" s="240"/>
      <c r="E134" s="240"/>
      <c r="F134" s="240"/>
      <c r="G134" s="240"/>
      <c r="K134" s="299"/>
      <c r="Z134" s="246"/>
      <c r="AA134" s="246"/>
      <c r="AB134" s="246"/>
      <c r="AC134" s="246"/>
      <c r="AD134" s="246"/>
      <c r="AE134" s="246"/>
      <c r="AF134" s="246"/>
      <c r="AG134" s="246"/>
      <c r="AH134" s="246"/>
    </row>
    <row r="135" spans="2:34" ht="17.25" customHeight="1" x14ac:dyDescent="0.2">
      <c r="F135" s="255"/>
      <c r="Z135" s="246"/>
      <c r="AA135" s="246"/>
      <c r="AB135" s="246"/>
      <c r="AC135" s="246"/>
      <c r="AD135" s="246"/>
      <c r="AE135" s="246"/>
      <c r="AF135" s="246"/>
      <c r="AG135" s="246"/>
      <c r="AH135" s="246"/>
    </row>
    <row r="136" spans="2:34" ht="15.75" customHeight="1" x14ac:dyDescent="0.2">
      <c r="B136" s="244" t="s">
        <v>47</v>
      </c>
      <c r="C136" s="244" t="s">
        <v>130</v>
      </c>
      <c r="D136" s="244" t="s">
        <v>131</v>
      </c>
      <c r="E136" s="244" t="s">
        <v>133</v>
      </c>
      <c r="F136" s="244" t="s">
        <v>134</v>
      </c>
      <c r="G136" s="244" t="s">
        <v>1667</v>
      </c>
      <c r="H136" s="244" t="s">
        <v>1668</v>
      </c>
      <c r="I136" s="244" t="s">
        <v>1612</v>
      </c>
      <c r="J136" s="244" t="s">
        <v>1707</v>
      </c>
      <c r="K136" s="244" t="s">
        <v>1654</v>
      </c>
      <c r="L136" s="244" t="s">
        <v>1670</v>
      </c>
      <c r="M136" s="244" t="s">
        <v>1671</v>
      </c>
      <c r="N136" s="244" t="s">
        <v>1619</v>
      </c>
      <c r="O136" s="246"/>
      <c r="P136" s="246"/>
      <c r="Q136" s="246"/>
      <c r="R136" s="246"/>
      <c r="S136" s="246"/>
      <c r="T136" s="246"/>
      <c r="U136" s="246"/>
      <c r="V136" s="246"/>
      <c r="W136" s="246"/>
      <c r="X136" s="246"/>
      <c r="Y136" s="246"/>
      <c r="Z136" s="246"/>
      <c r="AA136" s="246"/>
      <c r="AB136" s="246"/>
      <c r="AC136" s="246"/>
      <c r="AD136" s="246"/>
      <c r="AE136" s="246"/>
      <c r="AF136" s="246"/>
      <c r="AG136" s="246"/>
      <c r="AH136" s="246"/>
    </row>
    <row r="137" spans="2:34" x14ac:dyDescent="0.2">
      <c r="B137" s="248" t="s">
        <v>1543</v>
      </c>
      <c r="C137" s="249"/>
      <c r="D137" s="249"/>
      <c r="E137" s="249"/>
      <c r="F137" s="249"/>
      <c r="G137" s="249"/>
      <c r="H137" s="303"/>
      <c r="I137" s="303"/>
      <c r="J137" s="303"/>
      <c r="K137" s="303"/>
      <c r="L137" s="288"/>
      <c r="M137" s="288"/>
      <c r="N137" s="287"/>
      <c r="O137" s="246"/>
      <c r="P137" s="246"/>
      <c r="Q137" s="246"/>
      <c r="R137" s="246"/>
      <c r="S137" s="246"/>
      <c r="T137" s="246"/>
      <c r="U137" s="246"/>
      <c r="V137" s="246"/>
      <c r="W137" s="246"/>
      <c r="X137" s="246"/>
      <c r="Y137" s="246"/>
      <c r="Z137" s="246"/>
      <c r="AA137" s="246"/>
      <c r="AB137" s="246"/>
      <c r="AC137" s="246"/>
      <c r="AD137" s="246"/>
      <c r="AE137" s="246"/>
      <c r="AF137" s="246"/>
      <c r="AG137" s="246"/>
      <c r="AH137" s="246"/>
    </row>
    <row r="138" spans="2:34" x14ac:dyDescent="0.2">
      <c r="B138" s="251" t="str">
        <f>Technologies!B103</f>
        <v>R2</v>
      </c>
      <c r="C138" s="251" t="str">
        <f>Technologies!C103</f>
        <v>XNGA12N</v>
      </c>
      <c r="D138" s="251" t="str">
        <f>Technologies!D103</f>
        <v>New natural gas pipeline from R1 to R2</v>
      </c>
      <c r="E138" s="251" t="str">
        <f>E112</f>
        <v>NGAR1</v>
      </c>
      <c r="F138" s="251" t="str">
        <f>Commodities!$C$9</f>
        <v>NGA</v>
      </c>
      <c r="G138" s="251">
        <v>2010</v>
      </c>
      <c r="H138" s="304">
        <v>55</v>
      </c>
      <c r="I138" s="304">
        <v>1</v>
      </c>
      <c r="J138" s="304">
        <v>500</v>
      </c>
      <c r="K138" s="304">
        <f>AVERAGE(NGExpansion!M$41:M$79)</f>
        <v>8.183331515130476</v>
      </c>
      <c r="L138" s="304"/>
      <c r="M138" s="304"/>
      <c r="N138" s="304"/>
      <c r="O138" s="246"/>
      <c r="P138" s="246"/>
      <c r="Q138" s="246"/>
      <c r="R138" s="246"/>
      <c r="S138" s="246"/>
      <c r="T138" s="246"/>
      <c r="U138" s="246"/>
      <c r="V138" s="246"/>
      <c r="W138" s="246"/>
      <c r="X138" s="246"/>
      <c r="Y138" s="246"/>
      <c r="Z138" s="246"/>
      <c r="AA138" s="246"/>
      <c r="AB138" s="246"/>
      <c r="AC138" s="246"/>
      <c r="AD138" s="246"/>
      <c r="AE138" s="246"/>
      <c r="AF138" s="246"/>
      <c r="AG138" s="246"/>
      <c r="AH138" s="246"/>
    </row>
    <row r="139" spans="2:34" x14ac:dyDescent="0.2">
      <c r="B139" s="251" t="str">
        <f>Technologies!B104</f>
        <v>R3</v>
      </c>
      <c r="C139" s="251" t="str">
        <f>Technologies!C104</f>
        <v>XNGA13N</v>
      </c>
      <c r="D139" s="251" t="str">
        <f>Technologies!D104</f>
        <v>New natural gas pipeline from R1 to R3</v>
      </c>
      <c r="E139" s="251" t="str">
        <f t="shared" ref="E139:E156" si="33">E113</f>
        <v>NGAR1</v>
      </c>
      <c r="F139" s="251" t="str">
        <f>Commodities!$C$9</f>
        <v>NGA</v>
      </c>
      <c r="G139" s="251">
        <v>2010</v>
      </c>
      <c r="H139" s="304">
        <v>55</v>
      </c>
      <c r="I139" s="304">
        <v>1</v>
      </c>
      <c r="J139" s="304">
        <v>500</v>
      </c>
      <c r="K139" s="304">
        <f>AVERAGE(NGExpansion!M$41:M$79)</f>
        <v>8.183331515130476</v>
      </c>
      <c r="L139" s="304"/>
      <c r="M139" s="304"/>
      <c r="N139" s="304"/>
      <c r="O139" s="246"/>
      <c r="P139" s="246"/>
      <c r="Q139" s="246"/>
      <c r="R139" s="246"/>
      <c r="S139" s="246"/>
      <c r="T139" s="246"/>
      <c r="U139" s="246"/>
      <c r="V139" s="246"/>
      <c r="W139" s="246"/>
      <c r="X139" s="246"/>
      <c r="Y139" s="246"/>
      <c r="Z139" s="246"/>
      <c r="AA139" s="246"/>
      <c r="AB139" s="246"/>
      <c r="AC139" s="246"/>
      <c r="AD139" s="246"/>
      <c r="AE139" s="246"/>
      <c r="AF139" s="246"/>
      <c r="AG139" s="246"/>
      <c r="AH139" s="246"/>
    </row>
    <row r="140" spans="2:34" x14ac:dyDescent="0.2">
      <c r="B140" s="251" t="str">
        <f>Technologies!B105</f>
        <v>R4</v>
      </c>
      <c r="C140" s="251" t="str">
        <f>Technologies!C105</f>
        <v>XNGA14N</v>
      </c>
      <c r="D140" s="251" t="str">
        <f>Technologies!D105</f>
        <v>New natural gas pipeline from R1 to R4</v>
      </c>
      <c r="E140" s="251" t="str">
        <f t="shared" si="33"/>
        <v>NGAR1</v>
      </c>
      <c r="F140" s="251" t="str">
        <f>Commodities!$C$9</f>
        <v>NGA</v>
      </c>
      <c r="G140" s="251">
        <v>2010</v>
      </c>
      <c r="H140" s="304">
        <v>55</v>
      </c>
      <c r="I140" s="304">
        <v>1</v>
      </c>
      <c r="J140" s="304">
        <v>500</v>
      </c>
      <c r="K140" s="304">
        <f>AVERAGE(NGExpansion!M$41:M$79)</f>
        <v>8.183331515130476</v>
      </c>
      <c r="L140" s="304"/>
      <c r="M140" s="304"/>
      <c r="N140" s="304"/>
      <c r="O140" s="246"/>
      <c r="P140" s="246"/>
      <c r="Q140" s="246"/>
      <c r="R140" s="246"/>
      <c r="S140" s="246"/>
      <c r="T140" s="246"/>
      <c r="U140" s="246"/>
      <c r="V140" s="246"/>
      <c r="W140" s="246"/>
      <c r="X140" s="246"/>
      <c r="Y140" s="246"/>
      <c r="Z140" s="246"/>
      <c r="AA140" s="246"/>
      <c r="AB140" s="246"/>
      <c r="AC140" s="246"/>
      <c r="AD140" s="246"/>
      <c r="AE140" s="246"/>
      <c r="AF140" s="246"/>
      <c r="AG140" s="246"/>
      <c r="AH140" s="246"/>
    </row>
    <row r="141" spans="2:34" x14ac:dyDescent="0.2">
      <c r="B141" s="251" t="str">
        <f>Technologies!B106</f>
        <v>R5</v>
      </c>
      <c r="C141" s="251" t="str">
        <f>Technologies!C106</f>
        <v>XNGA15N</v>
      </c>
      <c r="D141" s="251" t="str">
        <f>Technologies!D106</f>
        <v>New natural gas pipeline from R1 to R5</v>
      </c>
      <c r="E141" s="251" t="str">
        <f t="shared" si="33"/>
        <v>NGAR1</v>
      </c>
      <c r="F141" s="251" t="str">
        <f>Commodities!$C$9</f>
        <v>NGA</v>
      </c>
      <c r="G141" s="251">
        <v>2010</v>
      </c>
      <c r="H141" s="304">
        <v>55</v>
      </c>
      <c r="I141" s="304">
        <v>1</v>
      </c>
      <c r="J141" s="304">
        <v>500</v>
      </c>
      <c r="K141" s="304">
        <f>AVERAGE(NGExpansion!M$41:M$79)</f>
        <v>8.183331515130476</v>
      </c>
      <c r="L141" s="304"/>
      <c r="M141" s="304"/>
      <c r="N141" s="304"/>
      <c r="O141" s="246"/>
      <c r="P141" s="246"/>
      <c r="Q141" s="246"/>
      <c r="R141" s="246"/>
      <c r="S141" s="246"/>
      <c r="T141" s="246"/>
      <c r="U141" s="246"/>
      <c r="V141" s="246"/>
      <c r="W141" s="246"/>
      <c r="X141" s="246"/>
      <c r="Y141" s="246"/>
      <c r="Z141" s="246"/>
      <c r="AA141" s="246"/>
      <c r="AB141" s="246"/>
      <c r="AC141" s="246"/>
      <c r="AD141" s="246"/>
      <c r="AE141" s="246"/>
      <c r="AF141" s="246"/>
      <c r="AG141" s="246"/>
      <c r="AH141" s="246"/>
    </row>
    <row r="142" spans="2:34" x14ac:dyDescent="0.2">
      <c r="B142" s="251" t="str">
        <f>Technologies!B107</f>
        <v>R6</v>
      </c>
      <c r="C142" s="251" t="str">
        <f>Technologies!C107</f>
        <v>XNGA16N</v>
      </c>
      <c r="D142" s="251" t="str">
        <f>Technologies!D107</f>
        <v>New natural gas pipeline from R1 to R6</v>
      </c>
      <c r="E142" s="251" t="str">
        <f t="shared" si="33"/>
        <v>NGAR1</v>
      </c>
      <c r="F142" s="251" t="str">
        <f>Commodities!$C$9</f>
        <v>NGA</v>
      </c>
      <c r="G142" s="251">
        <v>2010</v>
      </c>
      <c r="H142" s="304">
        <v>55</v>
      </c>
      <c r="I142" s="304">
        <v>1</v>
      </c>
      <c r="J142" s="304">
        <v>500</v>
      </c>
      <c r="K142" s="304">
        <f>AVERAGE(NGExpansion!M$41:M$79)</f>
        <v>8.183331515130476</v>
      </c>
      <c r="L142" s="304"/>
      <c r="M142" s="304"/>
      <c r="N142" s="304"/>
      <c r="O142" s="246"/>
      <c r="P142" s="246"/>
      <c r="Q142" s="246"/>
      <c r="R142" s="246"/>
      <c r="S142" s="246"/>
      <c r="T142" s="246"/>
      <c r="U142" s="246"/>
      <c r="V142" s="246"/>
      <c r="W142" s="246"/>
      <c r="X142" s="246"/>
      <c r="Y142" s="246"/>
      <c r="Z142" s="246"/>
      <c r="AA142" s="246"/>
      <c r="AB142" s="246"/>
      <c r="AC142" s="246"/>
      <c r="AD142" s="246"/>
      <c r="AE142" s="246"/>
      <c r="AF142" s="246"/>
      <c r="AG142" s="246"/>
      <c r="AH142" s="246"/>
    </row>
    <row r="143" spans="2:34" x14ac:dyDescent="0.2">
      <c r="B143" s="251" t="str">
        <f>Technologies!B108</f>
        <v>R3</v>
      </c>
      <c r="C143" s="251" t="str">
        <f>Technologies!C108</f>
        <v>XNGA23N</v>
      </c>
      <c r="D143" s="251" t="str">
        <f>Technologies!D108</f>
        <v>New natural gas pipeline from R2 to R3</v>
      </c>
      <c r="E143" s="251" t="str">
        <f t="shared" si="33"/>
        <v>NGAR2</v>
      </c>
      <c r="F143" s="251" t="str">
        <f>Commodities!$C$9</f>
        <v>NGA</v>
      </c>
      <c r="G143" s="251">
        <v>2010</v>
      </c>
      <c r="H143" s="304">
        <v>55</v>
      </c>
      <c r="I143" s="304">
        <v>1</v>
      </c>
      <c r="J143" s="304">
        <v>500</v>
      </c>
      <c r="K143" s="304">
        <f>AVERAGE(NGExpansion!M$41:M$79)</f>
        <v>8.183331515130476</v>
      </c>
      <c r="L143" s="304"/>
      <c r="M143" s="304"/>
      <c r="N143" s="304"/>
      <c r="O143" s="246"/>
      <c r="P143" s="246"/>
      <c r="Q143" s="246"/>
      <c r="R143" s="246"/>
      <c r="S143" s="246"/>
      <c r="T143" s="246"/>
      <c r="U143" s="246"/>
      <c r="V143" s="246"/>
      <c r="W143" s="246"/>
      <c r="X143" s="246"/>
      <c r="Y143" s="246"/>
      <c r="Z143" s="246"/>
      <c r="AA143" s="246"/>
      <c r="AB143" s="246"/>
      <c r="AC143" s="246"/>
      <c r="AD143" s="246"/>
      <c r="AE143" s="246"/>
      <c r="AF143" s="246"/>
      <c r="AG143" s="246"/>
      <c r="AH143" s="246"/>
    </row>
    <row r="144" spans="2:34" x14ac:dyDescent="0.2">
      <c r="B144" s="251" t="str">
        <f>Technologies!B109</f>
        <v>R4</v>
      </c>
      <c r="C144" s="251" t="str">
        <f>Technologies!C109</f>
        <v>XNGA24N</v>
      </c>
      <c r="D144" s="251" t="str">
        <f>Technologies!D109</f>
        <v>New natural gas pipeline from R2 to R4</v>
      </c>
      <c r="E144" s="251" t="str">
        <f t="shared" si="33"/>
        <v>NGAR2</v>
      </c>
      <c r="F144" s="251" t="str">
        <f>Commodities!$C$9</f>
        <v>NGA</v>
      </c>
      <c r="G144" s="251">
        <v>2010</v>
      </c>
      <c r="H144" s="304">
        <v>55</v>
      </c>
      <c r="I144" s="304">
        <v>1</v>
      </c>
      <c r="J144" s="304">
        <v>500</v>
      </c>
      <c r="K144" s="304">
        <f>AVERAGE(NGExpansion!M$41:M$79)</f>
        <v>8.183331515130476</v>
      </c>
      <c r="L144" s="304"/>
      <c r="M144" s="304"/>
      <c r="N144" s="304"/>
      <c r="O144" s="246"/>
      <c r="P144" s="246"/>
      <c r="Q144" s="246"/>
      <c r="R144" s="246"/>
      <c r="S144" s="246"/>
      <c r="T144" s="246"/>
      <c r="U144" s="246"/>
      <c r="V144" s="246"/>
      <c r="W144" s="246"/>
      <c r="X144" s="246"/>
      <c r="Y144" s="246"/>
      <c r="Z144" s="246"/>
      <c r="AA144" s="246"/>
      <c r="AB144" s="246"/>
      <c r="AC144" s="246"/>
      <c r="AD144" s="246"/>
      <c r="AE144" s="246"/>
      <c r="AF144" s="246"/>
      <c r="AG144" s="246"/>
      <c r="AH144" s="246"/>
    </row>
    <row r="145" spans="2:34" x14ac:dyDescent="0.2">
      <c r="B145" s="251" t="str">
        <f>Technologies!B110</f>
        <v>R5</v>
      </c>
      <c r="C145" s="251" t="str">
        <f>Technologies!C110</f>
        <v>XNGA25N</v>
      </c>
      <c r="D145" s="251" t="str">
        <f>Technologies!D110</f>
        <v>New natural gas pipeline from R2 to R5</v>
      </c>
      <c r="E145" s="251" t="str">
        <f t="shared" si="33"/>
        <v>NGAR2</v>
      </c>
      <c r="F145" s="251" t="str">
        <f>Commodities!$C$9</f>
        <v>NGA</v>
      </c>
      <c r="G145" s="251">
        <v>2010</v>
      </c>
      <c r="H145" s="304">
        <v>55</v>
      </c>
      <c r="I145" s="304">
        <v>1</v>
      </c>
      <c r="J145" s="304">
        <v>500</v>
      </c>
      <c r="K145" s="304">
        <f>AVERAGE(NGExpansion!M$41:M$79)</f>
        <v>8.183331515130476</v>
      </c>
      <c r="L145" s="304"/>
      <c r="M145" s="304"/>
      <c r="N145" s="304"/>
      <c r="O145" s="246"/>
      <c r="P145" s="246"/>
      <c r="Q145" s="246"/>
      <c r="R145" s="246"/>
      <c r="S145" s="246"/>
      <c r="T145" s="246"/>
      <c r="U145" s="246"/>
      <c r="V145" s="246"/>
      <c r="W145" s="246"/>
      <c r="X145" s="246"/>
      <c r="Y145" s="246"/>
      <c r="Z145" s="246"/>
      <c r="AA145" s="246"/>
      <c r="AB145" s="246"/>
      <c r="AC145" s="246"/>
      <c r="AD145" s="246"/>
      <c r="AE145" s="246"/>
      <c r="AF145" s="246"/>
      <c r="AG145" s="246"/>
      <c r="AH145" s="246"/>
    </row>
    <row r="146" spans="2:34" x14ac:dyDescent="0.2">
      <c r="B146" s="251" t="str">
        <f>Technologies!B111</f>
        <v>R2</v>
      </c>
      <c r="C146" s="251" t="str">
        <f>Technologies!C111</f>
        <v>XNGA32N</v>
      </c>
      <c r="D146" s="251" t="str">
        <f>Technologies!D111</f>
        <v>New natural gas pipeline from R3 to R3</v>
      </c>
      <c r="E146" s="251" t="str">
        <f t="shared" si="33"/>
        <v>NGAR3</v>
      </c>
      <c r="F146" s="251" t="str">
        <f>Commodities!$C$9</f>
        <v>NGA</v>
      </c>
      <c r="G146" s="251">
        <v>2010</v>
      </c>
      <c r="H146" s="304">
        <v>55</v>
      </c>
      <c r="I146" s="304">
        <v>1</v>
      </c>
      <c r="J146" s="304">
        <v>500</v>
      </c>
      <c r="K146" s="304">
        <f>AVERAGE(NGExpansion!M$41:M$79)</f>
        <v>8.183331515130476</v>
      </c>
      <c r="L146" s="304"/>
      <c r="M146" s="304"/>
      <c r="N146" s="304"/>
      <c r="O146" s="246"/>
      <c r="P146" s="246"/>
      <c r="Q146" s="246"/>
      <c r="R146" s="246"/>
      <c r="S146" s="246"/>
      <c r="T146" s="246"/>
      <c r="U146" s="246"/>
      <c r="V146" s="246"/>
      <c r="W146" s="246"/>
      <c r="X146" s="246"/>
      <c r="Y146" s="246"/>
      <c r="Z146" s="246"/>
      <c r="AA146" s="246"/>
      <c r="AB146" s="246"/>
      <c r="AC146" s="246"/>
      <c r="AD146" s="246"/>
      <c r="AE146" s="246"/>
      <c r="AF146" s="246"/>
      <c r="AG146" s="246"/>
      <c r="AH146" s="246"/>
    </row>
    <row r="147" spans="2:34" x14ac:dyDescent="0.2">
      <c r="B147" s="251" t="str">
        <f>Technologies!B112</f>
        <v>R4</v>
      </c>
      <c r="C147" s="251" t="str">
        <f>Technologies!C112</f>
        <v>XNGA34N</v>
      </c>
      <c r="D147" s="251" t="str">
        <f>Technologies!D112</f>
        <v>New natural gas pipeline from R3 to R4</v>
      </c>
      <c r="E147" s="251" t="str">
        <f t="shared" si="33"/>
        <v>NGAR3</v>
      </c>
      <c r="F147" s="251" t="str">
        <f>Commodities!$C$9</f>
        <v>NGA</v>
      </c>
      <c r="G147" s="251">
        <v>2010</v>
      </c>
      <c r="H147" s="304">
        <v>55</v>
      </c>
      <c r="I147" s="304">
        <v>1</v>
      </c>
      <c r="J147" s="304">
        <v>500</v>
      </c>
      <c r="K147" s="304">
        <f>AVERAGE(NGExpansion!M$41:M$79)</f>
        <v>8.183331515130476</v>
      </c>
      <c r="L147" s="304"/>
      <c r="M147" s="304"/>
      <c r="N147" s="304"/>
      <c r="O147" s="246"/>
      <c r="P147" s="246"/>
      <c r="Q147" s="246"/>
      <c r="R147" s="246"/>
      <c r="S147" s="246"/>
      <c r="T147" s="246"/>
      <c r="U147" s="246"/>
      <c r="V147" s="246"/>
      <c r="W147" s="246"/>
      <c r="X147" s="246"/>
      <c r="Y147" s="246"/>
      <c r="Z147" s="246"/>
      <c r="AA147" s="246"/>
      <c r="AB147" s="246"/>
      <c r="AC147" s="246"/>
      <c r="AD147" s="246"/>
      <c r="AE147" s="246"/>
      <c r="AF147" s="246"/>
      <c r="AG147" s="246"/>
      <c r="AH147" s="246"/>
    </row>
    <row r="148" spans="2:34" x14ac:dyDescent="0.2">
      <c r="B148" s="251" t="str">
        <f>Technologies!B113</f>
        <v>R6</v>
      </c>
      <c r="C148" s="251" t="str">
        <f>Technologies!C113</f>
        <v>XNGA36N</v>
      </c>
      <c r="D148" s="251" t="str">
        <f>Technologies!D113</f>
        <v>New natural gas pipeline from R3 to R6</v>
      </c>
      <c r="E148" s="251" t="str">
        <f t="shared" si="33"/>
        <v>NGAR3</v>
      </c>
      <c r="F148" s="251" t="str">
        <f>Commodities!$C$9</f>
        <v>NGA</v>
      </c>
      <c r="G148" s="251">
        <v>2010</v>
      </c>
      <c r="H148" s="304">
        <v>55</v>
      </c>
      <c r="I148" s="304">
        <v>1</v>
      </c>
      <c r="J148" s="304">
        <v>500</v>
      </c>
      <c r="K148" s="304">
        <f>AVERAGE(NGExpansion!M$41:M$79)</f>
        <v>8.183331515130476</v>
      </c>
      <c r="L148" s="304"/>
      <c r="M148" s="304"/>
      <c r="N148" s="304"/>
      <c r="O148" s="246"/>
      <c r="P148" s="246"/>
      <c r="Q148" s="246"/>
      <c r="R148" s="246"/>
      <c r="S148" s="246"/>
      <c r="T148" s="246"/>
      <c r="U148" s="246"/>
      <c r="V148" s="246"/>
      <c r="W148" s="246"/>
      <c r="X148" s="246"/>
      <c r="Y148" s="246"/>
      <c r="Z148" s="246"/>
      <c r="AA148" s="246"/>
      <c r="AB148" s="246"/>
      <c r="AC148" s="246"/>
      <c r="AD148" s="246"/>
      <c r="AE148" s="246"/>
      <c r="AF148" s="246"/>
      <c r="AG148" s="246"/>
      <c r="AH148" s="246"/>
    </row>
    <row r="149" spans="2:34" x14ac:dyDescent="0.2">
      <c r="B149" s="251" t="str">
        <f>Technologies!B114</f>
        <v>R2</v>
      </c>
      <c r="C149" s="251" t="str">
        <f>Technologies!C114</f>
        <v>XNGA42N</v>
      </c>
      <c r="D149" s="251" t="str">
        <f>Technologies!D114</f>
        <v>New natural gas pipeline from R4 to R2</v>
      </c>
      <c r="E149" s="251" t="str">
        <f t="shared" si="33"/>
        <v>NGAR4</v>
      </c>
      <c r="F149" s="251" t="str">
        <f>Commodities!$C$9</f>
        <v>NGA</v>
      </c>
      <c r="G149" s="251">
        <v>2010</v>
      </c>
      <c r="H149" s="304">
        <v>55</v>
      </c>
      <c r="I149" s="304">
        <v>1</v>
      </c>
      <c r="J149" s="304">
        <v>500</v>
      </c>
      <c r="K149" s="304">
        <f>AVERAGE(NGExpansion!M$41:M$79)</f>
        <v>8.183331515130476</v>
      </c>
      <c r="L149" s="304"/>
      <c r="M149" s="304"/>
      <c r="N149" s="304"/>
      <c r="O149" s="246"/>
      <c r="P149" s="246"/>
      <c r="Q149" s="246"/>
      <c r="R149" s="246"/>
      <c r="S149" s="246"/>
      <c r="T149" s="246"/>
      <c r="U149" s="246"/>
      <c r="V149" s="246"/>
      <c r="W149" s="246"/>
      <c r="X149" s="246"/>
      <c r="Y149" s="246"/>
      <c r="Z149" s="246"/>
      <c r="AA149" s="246"/>
      <c r="AB149" s="246"/>
      <c r="AC149" s="246"/>
      <c r="AD149" s="246"/>
      <c r="AE149" s="246"/>
      <c r="AF149" s="246"/>
      <c r="AG149" s="246"/>
      <c r="AH149" s="246"/>
    </row>
    <row r="150" spans="2:34" x14ac:dyDescent="0.2">
      <c r="B150" s="251" t="str">
        <f>Technologies!B115</f>
        <v>R3</v>
      </c>
      <c r="C150" s="251" t="str">
        <f>Technologies!C115</f>
        <v>XNGA43N</v>
      </c>
      <c r="D150" s="251" t="str">
        <f>Technologies!D115</f>
        <v>New natural gas pipeline from R4 to R3</v>
      </c>
      <c r="E150" s="251" t="str">
        <f t="shared" si="33"/>
        <v>NGAR4</v>
      </c>
      <c r="F150" s="251" t="str">
        <f>Commodities!$C$9</f>
        <v>NGA</v>
      </c>
      <c r="G150" s="251">
        <v>2010</v>
      </c>
      <c r="H150" s="304">
        <v>55</v>
      </c>
      <c r="I150" s="304">
        <v>1</v>
      </c>
      <c r="J150" s="304">
        <v>500</v>
      </c>
      <c r="K150" s="304">
        <f>AVERAGE(NGExpansion!M$41:M$79)</f>
        <v>8.183331515130476</v>
      </c>
      <c r="L150" s="304"/>
      <c r="M150" s="304"/>
      <c r="N150" s="304"/>
      <c r="O150" s="246"/>
      <c r="P150" s="246"/>
      <c r="Q150" s="246"/>
      <c r="R150" s="246"/>
      <c r="S150" s="246"/>
      <c r="T150" s="246"/>
      <c r="U150" s="246"/>
      <c r="V150" s="246"/>
      <c r="W150" s="246"/>
      <c r="X150" s="246"/>
      <c r="Y150" s="246"/>
      <c r="Z150" s="246"/>
      <c r="AA150" s="246"/>
      <c r="AB150" s="246"/>
      <c r="AC150" s="246"/>
      <c r="AD150" s="246"/>
      <c r="AE150" s="246"/>
      <c r="AF150" s="246"/>
      <c r="AG150" s="246"/>
      <c r="AH150" s="246"/>
    </row>
    <row r="151" spans="2:34" x14ac:dyDescent="0.2">
      <c r="B151" s="251" t="str">
        <f>Technologies!B116</f>
        <v>R5</v>
      </c>
      <c r="C151" s="251" t="str">
        <f>Technologies!C116</f>
        <v>XNGA45N</v>
      </c>
      <c r="D151" s="251" t="str">
        <f>Technologies!D116</f>
        <v>New natural gas pipeline from R4 to R5</v>
      </c>
      <c r="E151" s="251" t="str">
        <f t="shared" si="33"/>
        <v>NGAR4</v>
      </c>
      <c r="F151" s="251" t="str">
        <f>Commodities!$C$9</f>
        <v>NGA</v>
      </c>
      <c r="G151" s="251">
        <v>2010</v>
      </c>
      <c r="H151" s="304">
        <v>55</v>
      </c>
      <c r="I151" s="304">
        <v>1</v>
      </c>
      <c r="J151" s="304">
        <v>500</v>
      </c>
      <c r="K151" s="304">
        <f>AVERAGE(NGExpansion!M$41:M$79)</f>
        <v>8.183331515130476</v>
      </c>
      <c r="L151" s="304"/>
      <c r="M151" s="304"/>
      <c r="N151" s="304"/>
      <c r="O151" s="246"/>
      <c r="P151" s="246"/>
      <c r="Q151" s="246"/>
      <c r="R151" s="246"/>
      <c r="S151" s="246"/>
      <c r="T151" s="246"/>
      <c r="U151" s="246"/>
      <c r="V151" s="246"/>
      <c r="W151" s="246"/>
      <c r="X151" s="246"/>
      <c r="Y151" s="246"/>
      <c r="Z151" s="246"/>
      <c r="AA151" s="246"/>
      <c r="AB151" s="246"/>
      <c r="AC151" s="246"/>
      <c r="AD151" s="246"/>
      <c r="AE151" s="246"/>
      <c r="AF151" s="246"/>
      <c r="AG151" s="246"/>
      <c r="AH151" s="246"/>
    </row>
    <row r="152" spans="2:34" x14ac:dyDescent="0.2">
      <c r="B152" s="251" t="str">
        <f>Technologies!B117</f>
        <v>R6</v>
      </c>
      <c r="C152" s="251" t="str">
        <f>Technologies!C117</f>
        <v>XNGA46N</v>
      </c>
      <c r="D152" s="251" t="str">
        <f>Technologies!D117</f>
        <v>New natural gas pipeline from R4 to R6</v>
      </c>
      <c r="E152" s="251" t="str">
        <f t="shared" si="33"/>
        <v>NGAR4</v>
      </c>
      <c r="F152" s="251" t="str">
        <f>Commodities!$C$9</f>
        <v>NGA</v>
      </c>
      <c r="G152" s="251">
        <v>2010</v>
      </c>
      <c r="H152" s="304">
        <v>55</v>
      </c>
      <c r="I152" s="304">
        <v>1</v>
      </c>
      <c r="J152" s="304">
        <v>500</v>
      </c>
      <c r="K152" s="304">
        <f>AVERAGE(NGExpansion!M$41:M$79)</f>
        <v>8.183331515130476</v>
      </c>
      <c r="L152" s="304"/>
      <c r="M152" s="304"/>
      <c r="N152" s="304"/>
      <c r="O152" s="246"/>
      <c r="P152" s="246"/>
      <c r="Q152" s="246"/>
      <c r="R152" s="246"/>
      <c r="S152" s="246"/>
      <c r="T152" s="246"/>
      <c r="U152" s="246"/>
      <c r="V152" s="246"/>
      <c r="W152" s="246"/>
      <c r="X152" s="246"/>
      <c r="Y152" s="246"/>
      <c r="Z152" s="246"/>
      <c r="AA152" s="246"/>
      <c r="AB152" s="246"/>
      <c r="AC152" s="246"/>
      <c r="AD152" s="246"/>
      <c r="AE152" s="246"/>
      <c r="AF152" s="246"/>
      <c r="AG152" s="246"/>
      <c r="AH152" s="246"/>
    </row>
    <row r="153" spans="2:34" x14ac:dyDescent="0.2">
      <c r="B153" s="251" t="str">
        <f>Technologies!B118</f>
        <v>R2</v>
      </c>
      <c r="C153" s="251" t="str">
        <f>Technologies!C118</f>
        <v>XNGA52N</v>
      </c>
      <c r="D153" s="251" t="str">
        <f>Technologies!D118</f>
        <v>New natural gas pipeline from R5 to R2</v>
      </c>
      <c r="E153" s="251" t="str">
        <f t="shared" si="33"/>
        <v>NGAR5</v>
      </c>
      <c r="F153" s="251" t="str">
        <f>Commodities!$C$9</f>
        <v>NGA</v>
      </c>
      <c r="G153" s="251">
        <v>2010</v>
      </c>
      <c r="H153" s="304">
        <v>55</v>
      </c>
      <c r="I153" s="304">
        <v>1</v>
      </c>
      <c r="J153" s="304">
        <v>500</v>
      </c>
      <c r="K153" s="304">
        <f>AVERAGE(NGExpansion!M$41:M$79)</f>
        <v>8.183331515130476</v>
      </c>
      <c r="L153" s="304"/>
      <c r="M153" s="304"/>
      <c r="N153" s="304"/>
      <c r="O153" s="246"/>
      <c r="P153" s="246"/>
      <c r="Q153" s="246"/>
      <c r="R153" s="246"/>
      <c r="S153" s="246"/>
      <c r="T153" s="246"/>
      <c r="U153" s="246"/>
      <c r="V153" s="246"/>
      <c r="W153" s="246"/>
      <c r="X153" s="246"/>
      <c r="Y153" s="246"/>
      <c r="Z153" s="246"/>
      <c r="AA153" s="246"/>
      <c r="AB153" s="246"/>
      <c r="AC153" s="246"/>
      <c r="AD153" s="246"/>
      <c r="AE153" s="246"/>
      <c r="AF153" s="246"/>
      <c r="AG153" s="246"/>
      <c r="AH153" s="246"/>
    </row>
    <row r="154" spans="2:34" x14ac:dyDescent="0.2">
      <c r="B154" s="251" t="str">
        <f>Technologies!B119</f>
        <v>R4</v>
      </c>
      <c r="C154" s="251" t="str">
        <f>Technologies!C119</f>
        <v>XNGA54N</v>
      </c>
      <c r="D154" s="251" t="str">
        <f>Technologies!D119</f>
        <v>New natural gas pipeline from R5 to R4</v>
      </c>
      <c r="E154" s="251" t="str">
        <f t="shared" si="33"/>
        <v>NGAR5</v>
      </c>
      <c r="F154" s="251" t="str">
        <f>Commodities!$C$9</f>
        <v>NGA</v>
      </c>
      <c r="G154" s="251">
        <v>2010</v>
      </c>
      <c r="H154" s="304">
        <v>55</v>
      </c>
      <c r="I154" s="304">
        <v>1</v>
      </c>
      <c r="J154" s="304">
        <v>500</v>
      </c>
      <c r="K154" s="304">
        <f>AVERAGE(NGExpansion!M$41:M$79)</f>
        <v>8.183331515130476</v>
      </c>
      <c r="L154" s="304"/>
      <c r="M154" s="304"/>
      <c r="N154" s="304"/>
      <c r="O154" s="246"/>
      <c r="P154" s="246"/>
      <c r="Q154" s="246"/>
      <c r="R154" s="246"/>
      <c r="S154" s="246"/>
      <c r="T154" s="246"/>
      <c r="U154" s="246"/>
      <c r="V154" s="246"/>
      <c r="W154" s="246"/>
      <c r="X154" s="246"/>
      <c r="Y154" s="246"/>
      <c r="Z154" s="246"/>
      <c r="AA154" s="246"/>
      <c r="AB154" s="246"/>
      <c r="AC154" s="246"/>
      <c r="AD154" s="246"/>
      <c r="AE154" s="246"/>
      <c r="AF154" s="246"/>
      <c r="AG154" s="246"/>
      <c r="AH154" s="246"/>
    </row>
    <row r="155" spans="2:34" x14ac:dyDescent="0.2">
      <c r="B155" s="251" t="str">
        <f>Technologies!B120</f>
        <v>R3</v>
      </c>
      <c r="C155" s="251" t="str">
        <f>Technologies!C120</f>
        <v>XNGA63N</v>
      </c>
      <c r="D155" s="251" t="str">
        <f>Technologies!D120</f>
        <v>New natural gas pipeline from R6 to R3</v>
      </c>
      <c r="E155" s="251" t="str">
        <f t="shared" si="33"/>
        <v>NGAR6</v>
      </c>
      <c r="F155" s="251" t="str">
        <f>Commodities!$C$9</f>
        <v>NGA</v>
      </c>
      <c r="G155" s="251">
        <v>2010</v>
      </c>
      <c r="H155" s="304">
        <v>55</v>
      </c>
      <c r="I155" s="304">
        <v>1</v>
      </c>
      <c r="J155" s="304">
        <v>500</v>
      </c>
      <c r="K155" s="304">
        <f>AVERAGE(NGExpansion!M$41:M$79)</f>
        <v>8.183331515130476</v>
      </c>
      <c r="L155" s="304"/>
      <c r="M155" s="304"/>
      <c r="N155" s="304"/>
      <c r="O155" s="246"/>
      <c r="P155" s="246"/>
      <c r="Q155" s="246"/>
      <c r="R155" s="246"/>
      <c r="S155" s="246"/>
      <c r="T155" s="246"/>
      <c r="U155" s="246"/>
      <c r="V155" s="246"/>
      <c r="W155" s="246"/>
      <c r="X155" s="246"/>
      <c r="Y155" s="246"/>
      <c r="Z155" s="246"/>
      <c r="AA155" s="246"/>
      <c r="AB155" s="246"/>
      <c r="AC155" s="246"/>
      <c r="AD155" s="246"/>
      <c r="AE155" s="246"/>
      <c r="AF155" s="246"/>
      <c r="AG155" s="246"/>
      <c r="AH155" s="246"/>
    </row>
    <row r="156" spans="2:34" x14ac:dyDescent="0.2">
      <c r="B156" s="251" t="str">
        <f>Technologies!B121</f>
        <v>R4</v>
      </c>
      <c r="C156" s="251" t="str">
        <f>Technologies!C121</f>
        <v>XNGA64N</v>
      </c>
      <c r="D156" s="251" t="str">
        <f>Technologies!D121</f>
        <v>New natural gas pipeline from R6 to R4</v>
      </c>
      <c r="E156" s="251" t="str">
        <f t="shared" si="33"/>
        <v>NGAR6</v>
      </c>
      <c r="F156" s="251" t="str">
        <f>Commodities!$C$9</f>
        <v>NGA</v>
      </c>
      <c r="G156" s="251">
        <v>2010</v>
      </c>
      <c r="H156" s="304">
        <v>55</v>
      </c>
      <c r="I156" s="304">
        <v>1</v>
      </c>
      <c r="J156" s="304">
        <v>500</v>
      </c>
      <c r="K156" s="304">
        <f>AVERAGE(NGExpansion!M$41:M$79)</f>
        <v>8.183331515130476</v>
      </c>
      <c r="L156" s="304"/>
      <c r="M156" s="304"/>
      <c r="N156" s="304"/>
      <c r="O156" s="246"/>
      <c r="P156" s="246"/>
      <c r="Q156" s="246"/>
      <c r="R156" s="246"/>
      <c r="S156" s="246"/>
      <c r="T156" s="246"/>
      <c r="U156" s="246"/>
      <c r="V156" s="246"/>
      <c r="W156" s="246"/>
      <c r="X156" s="246"/>
      <c r="Y156" s="246"/>
      <c r="Z156" s="246"/>
      <c r="AA156" s="246"/>
      <c r="AB156" s="246"/>
      <c r="AC156" s="246"/>
      <c r="AD156" s="246"/>
      <c r="AE156" s="246"/>
      <c r="AF156" s="246"/>
      <c r="AG156" s="246"/>
      <c r="AH156" s="246"/>
    </row>
    <row r="157" spans="2:34" x14ac:dyDescent="0.2">
      <c r="Z157" s="246"/>
      <c r="AA157" s="246"/>
      <c r="AB157" s="246"/>
      <c r="AC157" s="246"/>
      <c r="AD157" s="246"/>
      <c r="AE157" s="246"/>
      <c r="AF157" s="246"/>
      <c r="AG157" s="246"/>
      <c r="AH157" s="246"/>
    </row>
    <row r="158" spans="2:34" x14ac:dyDescent="0.2">
      <c r="Z158" s="246"/>
      <c r="AA158" s="246"/>
      <c r="AB158" s="246"/>
      <c r="AC158" s="246"/>
      <c r="AD158" s="246"/>
      <c r="AE158" s="246"/>
      <c r="AF158" s="246"/>
      <c r="AG158" s="246"/>
      <c r="AH158" s="246"/>
    </row>
    <row r="159" spans="2:34" x14ac:dyDescent="0.2">
      <c r="Z159" s="246"/>
      <c r="AA159" s="246"/>
      <c r="AB159" s="246"/>
      <c r="AC159" s="246"/>
      <c r="AD159" s="246"/>
      <c r="AE159" s="246"/>
      <c r="AF159" s="246"/>
      <c r="AG159" s="246"/>
      <c r="AH159" s="246"/>
    </row>
    <row r="160" spans="2:34" x14ac:dyDescent="0.2">
      <c r="Z160" s="246"/>
      <c r="AA160" s="246"/>
      <c r="AB160" s="246"/>
      <c r="AC160" s="246"/>
      <c r="AD160" s="246"/>
      <c r="AE160" s="246"/>
      <c r="AF160" s="246"/>
      <c r="AG160" s="246"/>
      <c r="AH160" s="246"/>
    </row>
    <row r="161" spans="26:34" x14ac:dyDescent="0.2">
      <c r="Z161" s="246"/>
      <c r="AA161" s="246"/>
      <c r="AB161" s="246"/>
      <c r="AC161" s="246"/>
      <c r="AD161" s="246"/>
      <c r="AE161" s="246"/>
      <c r="AF161" s="246"/>
      <c r="AG161" s="246"/>
      <c r="AH161" s="246"/>
    </row>
    <row r="162" spans="26:34" x14ac:dyDescent="0.2">
      <c r="Z162" s="246"/>
      <c r="AA162" s="246"/>
      <c r="AB162" s="246"/>
      <c r="AC162" s="246"/>
      <c r="AD162" s="246"/>
      <c r="AE162" s="246"/>
      <c r="AF162" s="246"/>
      <c r="AG162" s="246"/>
      <c r="AH162" s="246"/>
    </row>
    <row r="163" spans="26:34" x14ac:dyDescent="0.2">
      <c r="Z163" s="246"/>
      <c r="AA163" s="246"/>
      <c r="AB163" s="246"/>
      <c r="AC163" s="246"/>
      <c r="AD163" s="246"/>
      <c r="AE163" s="246"/>
      <c r="AF163" s="246"/>
      <c r="AG163" s="246"/>
      <c r="AH163" s="246"/>
    </row>
    <row r="164" spans="26:34" x14ac:dyDescent="0.2">
      <c r="Z164" s="246"/>
      <c r="AA164" s="246"/>
      <c r="AB164" s="246"/>
      <c r="AC164" s="246"/>
      <c r="AD164" s="246"/>
      <c r="AE164" s="246"/>
      <c r="AF164" s="246"/>
      <c r="AG164" s="246"/>
      <c r="AH164" s="246"/>
    </row>
    <row r="165" spans="26:34" x14ac:dyDescent="0.2">
      <c r="Z165" s="246"/>
      <c r="AA165" s="246"/>
      <c r="AB165" s="246"/>
      <c r="AC165" s="246"/>
      <c r="AD165" s="246"/>
      <c r="AE165" s="246"/>
      <c r="AF165" s="246"/>
      <c r="AG165" s="246"/>
      <c r="AH165" s="246"/>
    </row>
    <row r="166" spans="26:34" x14ac:dyDescent="0.2">
      <c r="Z166" s="246"/>
      <c r="AA166" s="246"/>
      <c r="AB166" s="246"/>
      <c r="AC166" s="246"/>
      <c r="AD166" s="246"/>
      <c r="AE166" s="246"/>
      <c r="AF166" s="246"/>
      <c r="AG166" s="246"/>
      <c r="AH166" s="246"/>
    </row>
  </sheetData>
  <phoneticPr fontId="0" type="noConversion"/>
  <pageMargins left="0.75" right="0.75" top="1" bottom="1" header="0.5" footer="0.5"/>
  <pageSetup paperSize="9" orientation="landscape" horizont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FFC000"/>
  </sheetPr>
  <dimension ref="B1:O13"/>
  <sheetViews>
    <sheetView zoomScale="80" zoomScaleNormal="80" workbookViewId="0">
      <selection activeCell="H8" sqref="H8"/>
    </sheetView>
  </sheetViews>
  <sheetFormatPr defaultColWidth="9.140625" defaultRowHeight="12.75" x14ac:dyDescent="0.2"/>
  <cols>
    <col min="1" max="1" width="9.140625" style="246"/>
    <col min="2" max="2" width="28.5703125" style="246" bestFit="1" customWidth="1"/>
    <col min="3" max="3" width="30.7109375" style="246" bestFit="1" customWidth="1"/>
    <col min="4" max="4" width="23.42578125" style="246" bestFit="1" customWidth="1"/>
    <col min="5" max="5" width="9.5703125" style="258" bestFit="1" customWidth="1"/>
    <col min="6" max="6" width="11.7109375" style="258" bestFit="1" customWidth="1"/>
    <col min="7" max="7" width="5.5703125" style="258" bestFit="1" customWidth="1"/>
    <col min="8" max="8" width="4.42578125" style="258" bestFit="1" customWidth="1"/>
    <col min="9" max="9" width="13" style="258" bestFit="1" customWidth="1"/>
    <col min="10" max="10" width="12" style="258" bestFit="1" customWidth="1"/>
    <col min="11" max="11" width="11.7109375" style="258" bestFit="1" customWidth="1"/>
    <col min="12" max="12" width="5.140625" style="258" bestFit="1" customWidth="1"/>
    <col min="13" max="13" width="8.28515625" style="258" customWidth="1"/>
    <col min="14" max="16384" width="9.140625" style="246"/>
  </cols>
  <sheetData>
    <row r="1" spans="2:15" x14ac:dyDescent="0.2">
      <c r="B1" s="245" t="s">
        <v>228</v>
      </c>
      <c r="C1" s="246" t="s">
        <v>1350</v>
      </c>
    </row>
    <row r="4" spans="2:15" ht="17.25" customHeight="1" x14ac:dyDescent="0.2"/>
    <row r="5" spans="2:15" ht="29.25" customHeight="1" x14ac:dyDescent="0.2">
      <c r="B5" s="256"/>
      <c r="C5" s="256"/>
      <c r="D5" s="256"/>
      <c r="E5" s="256"/>
      <c r="F5" s="255" t="s">
        <v>1596</v>
      </c>
      <c r="G5" s="256"/>
      <c r="K5" s="257"/>
      <c r="L5" s="257"/>
      <c r="M5" s="261"/>
    </row>
    <row r="6" spans="2:15" ht="17.25" customHeight="1" x14ac:dyDescent="0.2">
      <c r="B6" s="244" t="s">
        <v>47</v>
      </c>
      <c r="C6" s="244" t="s">
        <v>130</v>
      </c>
      <c r="D6" s="244" t="s">
        <v>131</v>
      </c>
      <c r="E6" s="244" t="s">
        <v>133</v>
      </c>
      <c r="F6" s="244" t="s">
        <v>134</v>
      </c>
      <c r="G6" s="244" t="s">
        <v>1601</v>
      </c>
      <c r="H6" s="244" t="s">
        <v>1612</v>
      </c>
      <c r="I6" s="244" t="s">
        <v>1654</v>
      </c>
      <c r="J6" s="244" t="s">
        <v>1670</v>
      </c>
      <c r="K6" s="244" t="s">
        <v>1671</v>
      </c>
      <c r="L6" s="244" t="s">
        <v>1619</v>
      </c>
    </row>
    <row r="7" spans="2:15" ht="15.75" customHeight="1" x14ac:dyDescent="0.2">
      <c r="B7" s="284" t="s">
        <v>1655</v>
      </c>
      <c r="C7" s="284"/>
      <c r="D7" s="284"/>
      <c r="E7" s="284"/>
      <c r="F7" s="284"/>
      <c r="G7" s="284"/>
      <c r="H7" s="284"/>
      <c r="I7" s="287"/>
      <c r="J7" s="288"/>
      <c r="K7" s="288"/>
      <c r="L7" s="287"/>
    </row>
    <row r="8" spans="2:15" ht="15.75" customHeight="1" x14ac:dyDescent="0.2">
      <c r="B8" s="253" t="str">
        <f>Technologies!B16</f>
        <v>R1</v>
      </c>
      <c r="C8" s="253" t="str">
        <f>Technologies!C16</f>
        <v>SCNGAR1</v>
      </c>
      <c r="D8" s="253" t="str">
        <f>Technologies!D16</f>
        <v>Collector: Natural Gas R1</v>
      </c>
      <c r="E8" s="304" t="str">
        <f>Commodities!C$9</f>
        <v>NGA</v>
      </c>
      <c r="F8" s="304" t="str">
        <f>Commodities!C18</f>
        <v>NGAR1</v>
      </c>
      <c r="G8" s="304">
        <v>2010</v>
      </c>
      <c r="H8" s="304">
        <v>1</v>
      </c>
      <c r="I8" s="304"/>
      <c r="J8" s="304"/>
      <c r="K8" s="304"/>
      <c r="L8" s="253"/>
    </row>
    <row r="9" spans="2:15" x14ac:dyDescent="0.2">
      <c r="B9" s="253" t="str">
        <f>Technologies!B17</f>
        <v>R2</v>
      </c>
      <c r="C9" s="253" t="str">
        <f>Technologies!C17</f>
        <v>SCNGAR2</v>
      </c>
      <c r="D9" s="253" t="str">
        <f>Technologies!D17</f>
        <v>Collector: Natural Gas R2</v>
      </c>
      <c r="E9" s="304" t="str">
        <f>Commodities!C$9</f>
        <v>NGA</v>
      </c>
      <c r="F9" s="304" t="str">
        <f>Commodities!C19</f>
        <v>NGAR2</v>
      </c>
      <c r="G9" s="304">
        <v>2010</v>
      </c>
      <c r="H9" s="304">
        <v>1</v>
      </c>
      <c r="I9" s="304"/>
      <c r="J9" s="304"/>
      <c r="K9" s="304"/>
      <c r="L9" s="253"/>
      <c r="N9" s="297"/>
      <c r="O9" s="297"/>
    </row>
    <row r="10" spans="2:15" x14ac:dyDescent="0.2">
      <c r="B10" s="253" t="s">
        <v>165</v>
      </c>
      <c r="C10" s="253" t="s">
        <v>582</v>
      </c>
      <c r="D10" s="253" t="s">
        <v>587</v>
      </c>
      <c r="E10" s="304" t="str">
        <f>Commodities!C$9</f>
        <v>NGA</v>
      </c>
      <c r="F10" s="304" t="str">
        <f>Commodities!C20</f>
        <v>NGAR3</v>
      </c>
      <c r="G10" s="304">
        <v>2010</v>
      </c>
      <c r="H10" s="304">
        <v>1</v>
      </c>
      <c r="I10" s="304"/>
      <c r="J10" s="304"/>
      <c r="K10" s="304"/>
      <c r="L10" s="253"/>
      <c r="N10" s="297"/>
      <c r="O10" s="297"/>
    </row>
    <row r="11" spans="2:15" x14ac:dyDescent="0.2">
      <c r="B11" s="253" t="s">
        <v>196</v>
      </c>
      <c r="C11" s="253" t="s">
        <v>583</v>
      </c>
      <c r="D11" s="253" t="s">
        <v>588</v>
      </c>
      <c r="E11" s="304" t="str">
        <f>Commodities!C$9</f>
        <v>NGA</v>
      </c>
      <c r="F11" s="304" t="str">
        <f>Commodities!C21</f>
        <v>NGAR4</v>
      </c>
      <c r="G11" s="304">
        <v>2010</v>
      </c>
      <c r="H11" s="304">
        <v>1</v>
      </c>
      <c r="I11" s="304"/>
      <c r="J11" s="304"/>
      <c r="K11" s="304"/>
      <c r="L11" s="253"/>
      <c r="N11" s="297"/>
      <c r="O11" s="297"/>
    </row>
    <row r="12" spans="2:15" x14ac:dyDescent="0.2">
      <c r="B12" s="253" t="s">
        <v>195</v>
      </c>
      <c r="C12" s="253" t="s">
        <v>584</v>
      </c>
      <c r="D12" s="253" t="s">
        <v>589</v>
      </c>
      <c r="E12" s="304" t="str">
        <f>Commodities!C$9</f>
        <v>NGA</v>
      </c>
      <c r="F12" s="304" t="str">
        <f>Commodities!C22</f>
        <v>NGAR5</v>
      </c>
      <c r="G12" s="304">
        <v>2010</v>
      </c>
      <c r="H12" s="304">
        <v>1</v>
      </c>
      <c r="I12" s="304"/>
      <c r="J12" s="304"/>
      <c r="K12" s="304"/>
      <c r="L12" s="253"/>
      <c r="N12" s="297"/>
      <c r="O12" s="297"/>
    </row>
    <row r="13" spans="2:15" x14ac:dyDescent="0.2">
      <c r="B13" s="253" t="s">
        <v>197</v>
      </c>
      <c r="C13" s="253" t="s">
        <v>585</v>
      </c>
      <c r="D13" s="253" t="s">
        <v>590</v>
      </c>
      <c r="E13" s="304" t="str">
        <f>Commodities!C$9</f>
        <v>NGA</v>
      </c>
      <c r="F13" s="304" t="str">
        <f>Commodities!C23</f>
        <v>NGAR6</v>
      </c>
      <c r="G13" s="304">
        <v>2010</v>
      </c>
      <c r="H13" s="304">
        <v>1</v>
      </c>
      <c r="I13" s="304"/>
      <c r="J13" s="304"/>
      <c r="K13" s="304"/>
      <c r="L13" s="253"/>
      <c r="N13" s="297"/>
      <c r="O13" s="297"/>
    </row>
  </sheetData>
  <phoneticPr fontId="0" type="noConversion"/>
  <pageMargins left="0.75" right="0.75" top="1" bottom="1" header="0.5" footer="0.5"/>
  <pageSetup paperSize="9" orientation="landscape" horizont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70"/>
  <sheetViews>
    <sheetView tabSelected="1" zoomScale="80" zoomScaleNormal="80" workbookViewId="0">
      <selection activeCell="T6" sqref="T6"/>
    </sheetView>
  </sheetViews>
  <sheetFormatPr defaultColWidth="9.140625" defaultRowHeight="12.75" x14ac:dyDescent="0.2"/>
  <cols>
    <col min="1" max="1" width="22.5703125" style="20" customWidth="1"/>
    <col min="2" max="2" width="10.7109375" style="20" customWidth="1"/>
    <col min="3" max="3" width="16.28515625" style="20" customWidth="1"/>
    <col min="4" max="6" width="9.140625" style="20"/>
    <col min="7" max="7" width="10.5703125" style="20" customWidth="1"/>
    <col min="8" max="8" width="9.140625" style="20" customWidth="1"/>
    <col min="9" max="9" width="9.140625" style="20"/>
    <col min="10" max="10" width="12.42578125" style="20" bestFit="1" customWidth="1"/>
    <col min="11" max="11" width="10.5703125" style="20" customWidth="1"/>
    <col min="12" max="12" width="12.85546875" style="20" customWidth="1"/>
    <col min="13" max="17" width="9.140625" style="20"/>
    <col min="18" max="18" width="11.28515625" style="20" customWidth="1"/>
    <col min="19" max="19" width="9.140625" style="20"/>
    <col min="20" max="20" width="9.5703125" style="20" bestFit="1" customWidth="1"/>
    <col min="21" max="16384" width="9.140625" style="20"/>
  </cols>
  <sheetData>
    <row r="1" spans="1:20" x14ac:dyDescent="0.2">
      <c r="A1" s="17" t="s">
        <v>860</v>
      </c>
    </row>
    <row r="2" spans="1:20" x14ac:dyDescent="0.2">
      <c r="A2" s="21" t="s">
        <v>861</v>
      </c>
    </row>
    <row r="3" spans="1:20" s="23" customFormat="1" x14ac:dyDescent="0.2">
      <c r="A3" s="22" t="s">
        <v>858</v>
      </c>
      <c r="B3" s="20"/>
      <c r="C3" s="20"/>
      <c r="D3" s="20"/>
      <c r="E3" s="20"/>
      <c r="F3" s="20"/>
      <c r="G3" s="20"/>
      <c r="H3" s="20"/>
      <c r="I3" s="20"/>
      <c r="J3" s="20"/>
      <c r="K3" s="20"/>
      <c r="L3" s="20"/>
      <c r="M3" s="20"/>
      <c r="P3" s="20"/>
      <c r="Q3" s="20"/>
      <c r="R3" s="20"/>
      <c r="S3" s="20"/>
      <c r="T3" s="20"/>
    </row>
    <row r="4" spans="1:20" x14ac:dyDescent="0.2">
      <c r="A4" s="24" t="s">
        <v>859</v>
      </c>
    </row>
    <row r="5" spans="1:20" ht="25.5" x14ac:dyDescent="0.2">
      <c r="A5" s="25"/>
      <c r="B5" s="25"/>
      <c r="C5" s="311" t="s">
        <v>862</v>
      </c>
      <c r="D5" s="311"/>
      <c r="E5" s="311"/>
      <c r="F5" s="311"/>
      <c r="G5" s="311"/>
      <c r="H5" s="311"/>
      <c r="I5" s="311"/>
      <c r="J5" s="311"/>
      <c r="K5" s="311"/>
      <c r="L5" s="25"/>
      <c r="P5" s="23"/>
      <c r="Q5" s="32" t="s">
        <v>47</v>
      </c>
      <c r="R5" s="32" t="s">
        <v>462</v>
      </c>
      <c r="S5" s="32" t="s">
        <v>891</v>
      </c>
      <c r="T5" s="32" t="s">
        <v>463</v>
      </c>
    </row>
    <row r="6" spans="1:20" x14ac:dyDescent="0.2">
      <c r="A6" s="26"/>
      <c r="B6" s="27" t="s">
        <v>482</v>
      </c>
      <c r="C6" s="27"/>
      <c r="D6" s="27"/>
      <c r="E6" s="27"/>
      <c r="F6" s="27"/>
      <c r="G6" s="27"/>
      <c r="H6" s="27"/>
      <c r="I6" s="27"/>
      <c r="J6" s="27" t="s">
        <v>483</v>
      </c>
      <c r="K6" s="27"/>
      <c r="L6" s="27"/>
      <c r="Q6" s="20" t="s">
        <v>168</v>
      </c>
      <c r="R6" s="29">
        <f>L33</f>
        <v>253</v>
      </c>
      <c r="S6" s="33">
        <f>R6/$R$14</f>
        <v>7.2532532130764973E-4</v>
      </c>
      <c r="T6" s="231">
        <f>R6*1000000000*Conv!$D$6*Conv!$J$5*40</f>
        <v>10912.064387839999</v>
      </c>
    </row>
    <row r="7" spans="1:20" x14ac:dyDescent="0.2">
      <c r="A7" s="26"/>
      <c r="B7" s="27" t="s">
        <v>484</v>
      </c>
      <c r="C7" s="27"/>
      <c r="D7" s="27" t="s">
        <v>485</v>
      </c>
      <c r="E7" s="27" t="s">
        <v>485</v>
      </c>
      <c r="F7" s="27"/>
      <c r="G7" s="27"/>
      <c r="H7" s="27"/>
      <c r="I7" s="27" t="s">
        <v>486</v>
      </c>
      <c r="J7" s="27" t="s">
        <v>487</v>
      </c>
      <c r="K7" s="27" t="s">
        <v>488</v>
      </c>
      <c r="L7" s="27" t="s">
        <v>484</v>
      </c>
      <c r="Q7" s="20" t="s">
        <v>165</v>
      </c>
      <c r="R7" s="29">
        <f>L27+L35</f>
        <v>3307</v>
      </c>
      <c r="S7" s="33">
        <f t="shared" ref="S7:S13" si="0">R7/$R$14</f>
        <v>9.4808333500569081E-3</v>
      </c>
      <c r="T7" s="34">
        <f>R7*1000000000*Conv!$D$6*Conv!$J$5*20</f>
        <v>71316.594724479975</v>
      </c>
    </row>
    <row r="8" spans="1:20" x14ac:dyDescent="0.2">
      <c r="A8" s="26"/>
      <c r="B8" s="27" t="s">
        <v>489</v>
      </c>
      <c r="C8" s="27" t="s">
        <v>490</v>
      </c>
      <c r="D8" s="27" t="s">
        <v>491</v>
      </c>
      <c r="E8" s="27" t="s">
        <v>492</v>
      </c>
      <c r="F8" s="27" t="s">
        <v>493</v>
      </c>
      <c r="G8" s="27" t="s">
        <v>494</v>
      </c>
      <c r="H8" s="27" t="s">
        <v>495</v>
      </c>
      <c r="I8" s="27" t="s">
        <v>487</v>
      </c>
      <c r="J8" s="27" t="s">
        <v>496</v>
      </c>
      <c r="K8" s="27" t="s">
        <v>497</v>
      </c>
      <c r="L8" s="27" t="s">
        <v>489</v>
      </c>
      <c r="N8" s="28" t="s">
        <v>509</v>
      </c>
      <c r="Q8" s="20" t="s">
        <v>196</v>
      </c>
      <c r="R8" s="29">
        <f>L21+L34</f>
        <v>6399</v>
      </c>
      <c r="S8" s="33">
        <f t="shared" si="0"/>
        <v>1.8345283521927474E-2</v>
      </c>
      <c r="T8" s="34">
        <f>R8*1000000000*Conv!$D$6*Conv!$J$5*20</f>
        <v>137996.64035135997</v>
      </c>
    </row>
    <row r="9" spans="1:20" x14ac:dyDescent="0.2">
      <c r="A9" s="35" t="s">
        <v>863</v>
      </c>
      <c r="B9" s="36">
        <v>40543</v>
      </c>
      <c r="C9" s="37" t="s">
        <v>498</v>
      </c>
      <c r="D9" s="37" t="s">
        <v>499</v>
      </c>
      <c r="E9" s="37" t="s">
        <v>500</v>
      </c>
      <c r="F9" s="37" t="s">
        <v>500</v>
      </c>
      <c r="G9" s="37" t="s">
        <v>499</v>
      </c>
      <c r="H9" s="37" t="s">
        <v>499</v>
      </c>
      <c r="I9" s="37" t="s">
        <v>499</v>
      </c>
      <c r="J9" s="37" t="s">
        <v>499</v>
      </c>
      <c r="K9" s="37" t="s">
        <v>500</v>
      </c>
      <c r="L9" s="36">
        <v>40908</v>
      </c>
      <c r="Q9" s="20" t="s">
        <v>195</v>
      </c>
      <c r="R9" s="29">
        <f>L20+L53+L54</f>
        <v>13370</v>
      </c>
      <c r="S9" s="33">
        <f t="shared" si="0"/>
        <v>3.8330432987680935E-2</v>
      </c>
      <c r="T9" s="34">
        <f>R9*1000000000*Conv!$D$6*Conv!$J$5*20</f>
        <v>288328.65783679992</v>
      </c>
    </row>
    <row r="10" spans="1:20" x14ac:dyDescent="0.2">
      <c r="A10" s="38" t="s">
        <v>8</v>
      </c>
      <c r="B10" s="18">
        <v>8917</v>
      </c>
      <c r="C10" s="18">
        <v>-2</v>
      </c>
      <c r="D10" s="18">
        <v>938</v>
      </c>
      <c r="E10" s="18">
        <v>207</v>
      </c>
      <c r="F10" s="18">
        <v>36</v>
      </c>
      <c r="G10" s="18">
        <v>222</v>
      </c>
      <c r="H10" s="18">
        <v>4</v>
      </c>
      <c r="I10" s="18">
        <v>0</v>
      </c>
      <c r="J10" s="18">
        <v>3</v>
      </c>
      <c r="K10" s="18">
        <v>328</v>
      </c>
      <c r="L10" s="18">
        <v>9511</v>
      </c>
      <c r="M10" s="29"/>
      <c r="N10" s="18">
        <v>9</v>
      </c>
      <c r="Q10" s="20" t="s">
        <v>197</v>
      </c>
      <c r="R10" s="29">
        <f>L12+L22+L28</f>
        <v>5566</v>
      </c>
      <c r="S10" s="33">
        <f t="shared" si="0"/>
        <v>1.5957157068768293E-2</v>
      </c>
      <c r="T10" s="34">
        <f>R10*1000000000*Conv!$D$6*Conv!$J$5*20</f>
        <v>120032.70826623996</v>
      </c>
    </row>
    <row r="11" spans="1:20" x14ac:dyDescent="0.2">
      <c r="A11" s="39" t="s">
        <v>501</v>
      </c>
      <c r="B11" s="40">
        <v>308730</v>
      </c>
      <c r="C11" s="40">
        <v>2717</v>
      </c>
      <c r="D11" s="40">
        <v>55077</v>
      </c>
      <c r="E11" s="40">
        <v>55920</v>
      </c>
      <c r="F11" s="40">
        <v>44539</v>
      </c>
      <c r="G11" s="40">
        <v>47651</v>
      </c>
      <c r="H11" s="40">
        <v>47631</v>
      </c>
      <c r="I11" s="40">
        <v>987</v>
      </c>
      <c r="J11" s="40">
        <v>1257</v>
      </c>
      <c r="K11" s="40">
        <v>24293</v>
      </c>
      <c r="L11" s="40">
        <v>339298</v>
      </c>
      <c r="Q11" s="20" t="s">
        <v>198</v>
      </c>
      <c r="R11" s="29">
        <f>L13+L23+L36+L38+L58+L59</f>
        <v>191419</v>
      </c>
      <c r="S11" s="33">
        <f t="shared" si="0"/>
        <v>0.54877884458256521</v>
      </c>
      <c r="T11" s="34">
        <f>R11*1000000000*Conv!$D$6*Conv!$J$5*20</f>
        <v>4128016.7056441591</v>
      </c>
    </row>
    <row r="12" spans="1:20" x14ac:dyDescent="0.2">
      <c r="A12" s="38" t="s">
        <v>470</v>
      </c>
      <c r="B12" s="18">
        <v>2724</v>
      </c>
      <c r="C12" s="18">
        <v>-45</v>
      </c>
      <c r="D12" s="18">
        <v>472</v>
      </c>
      <c r="E12" s="18">
        <v>163</v>
      </c>
      <c r="F12" s="18">
        <v>595</v>
      </c>
      <c r="G12" s="18">
        <v>398</v>
      </c>
      <c r="H12" s="18">
        <v>3</v>
      </c>
      <c r="I12" s="18">
        <v>2</v>
      </c>
      <c r="J12" s="18">
        <v>0</v>
      </c>
      <c r="K12" s="18">
        <v>226</v>
      </c>
      <c r="L12" s="18">
        <v>2570</v>
      </c>
      <c r="M12" s="29"/>
      <c r="N12" s="18">
        <v>6</v>
      </c>
      <c r="Q12" s="20" t="s">
        <v>199</v>
      </c>
      <c r="R12" s="29">
        <f>L19+L29+L30+L52+L55</f>
        <v>88119</v>
      </c>
      <c r="S12" s="33">
        <f t="shared" si="0"/>
        <v>0.25262822920280154</v>
      </c>
      <c r="T12" s="34">
        <f>R12*1000000000*Conv!$D$6*Conv!$J$5*20</f>
        <v>1900316.6043321597</v>
      </c>
    </row>
    <row r="13" spans="1:20" x14ac:dyDescent="0.2">
      <c r="A13" s="38" t="s">
        <v>473</v>
      </c>
      <c r="B13" s="18">
        <v>14181</v>
      </c>
      <c r="C13" s="18">
        <v>729</v>
      </c>
      <c r="D13" s="18">
        <v>631</v>
      </c>
      <c r="E13" s="18">
        <v>324</v>
      </c>
      <c r="F13" s="18">
        <v>6762</v>
      </c>
      <c r="G13" s="18">
        <v>6882</v>
      </c>
      <c r="H13" s="18">
        <v>2094</v>
      </c>
      <c r="I13" s="18">
        <v>0</v>
      </c>
      <c r="J13" s="18">
        <v>23</v>
      </c>
      <c r="K13" s="18">
        <v>1080</v>
      </c>
      <c r="L13" s="18">
        <v>16374</v>
      </c>
      <c r="M13" s="29"/>
      <c r="N13" s="18">
        <v>7</v>
      </c>
      <c r="Q13" s="20" t="s">
        <v>200</v>
      </c>
      <c r="R13" s="29">
        <f>L10+L14+L57</f>
        <v>13264</v>
      </c>
      <c r="S13" s="33">
        <f t="shared" si="0"/>
        <v>3.8026541746342554E-2</v>
      </c>
      <c r="T13" s="34">
        <f>R13*1000000000*Conv!$D$6*Conv!$J$5*20</f>
        <v>286042.73130495992</v>
      </c>
    </row>
    <row r="14" spans="1:20" x14ac:dyDescent="0.2">
      <c r="A14" s="41" t="s">
        <v>256</v>
      </c>
      <c r="B14" s="42">
        <v>2785</v>
      </c>
      <c r="C14" s="42">
        <v>917</v>
      </c>
      <c r="D14" s="42">
        <v>1542</v>
      </c>
      <c r="E14" s="42">
        <v>1959</v>
      </c>
      <c r="F14" s="42">
        <v>49</v>
      </c>
      <c r="G14" s="42">
        <v>55</v>
      </c>
      <c r="H14" s="42">
        <v>75</v>
      </c>
      <c r="I14" s="42">
        <v>0</v>
      </c>
      <c r="J14" s="42">
        <v>0</v>
      </c>
      <c r="K14" s="42">
        <v>324</v>
      </c>
      <c r="L14" s="42">
        <v>3042</v>
      </c>
      <c r="M14" s="29"/>
      <c r="N14" s="18">
        <v>9</v>
      </c>
      <c r="Q14" s="17" t="s">
        <v>58</v>
      </c>
      <c r="R14" s="29">
        <f>SUM(R6:R13)+L60+L37</f>
        <v>348809</v>
      </c>
      <c r="S14" s="43">
        <f>SUM(S6:S13)</f>
        <v>0.92227264778145046</v>
      </c>
      <c r="T14" s="34">
        <f>SUM(T6:T13)</f>
        <v>6942962.7068479992</v>
      </c>
    </row>
    <row r="15" spans="1:20" x14ac:dyDescent="0.2">
      <c r="A15" s="38" t="s">
        <v>864</v>
      </c>
      <c r="B15" s="18">
        <v>180</v>
      </c>
      <c r="C15" s="18">
        <v>15</v>
      </c>
      <c r="D15" s="18">
        <v>21</v>
      </c>
      <c r="E15" s="18">
        <v>32</v>
      </c>
      <c r="F15" s="18">
        <v>0</v>
      </c>
      <c r="G15" s="18">
        <v>0</v>
      </c>
      <c r="H15" s="18">
        <v>1</v>
      </c>
      <c r="I15" s="18">
        <v>0</v>
      </c>
      <c r="J15" s="18">
        <v>0</v>
      </c>
      <c r="K15" s="18">
        <v>12</v>
      </c>
      <c r="L15" s="18">
        <v>173</v>
      </c>
      <c r="R15" s="29"/>
    </row>
    <row r="16" spans="1:20" x14ac:dyDescent="0.2">
      <c r="A16" s="38" t="s">
        <v>865</v>
      </c>
      <c r="B16" s="18">
        <v>92</v>
      </c>
      <c r="C16" s="18">
        <v>6</v>
      </c>
      <c r="D16" s="18">
        <v>12</v>
      </c>
      <c r="E16" s="18">
        <v>4</v>
      </c>
      <c r="F16" s="18">
        <v>0</v>
      </c>
      <c r="G16" s="18">
        <v>3</v>
      </c>
      <c r="H16" s="18">
        <v>0</v>
      </c>
      <c r="I16" s="18">
        <v>0</v>
      </c>
      <c r="J16" s="18">
        <v>0</v>
      </c>
      <c r="K16" s="18">
        <v>7</v>
      </c>
      <c r="L16" s="18">
        <v>102</v>
      </c>
    </row>
    <row r="17" spans="1:14" x14ac:dyDescent="0.2">
      <c r="A17" s="38" t="s">
        <v>866</v>
      </c>
      <c r="B17" s="18">
        <v>2447</v>
      </c>
      <c r="C17" s="18">
        <v>895</v>
      </c>
      <c r="D17" s="18">
        <v>1498</v>
      </c>
      <c r="E17" s="18">
        <v>1923</v>
      </c>
      <c r="F17" s="18">
        <v>47</v>
      </c>
      <c r="G17" s="18">
        <v>44</v>
      </c>
      <c r="H17" s="18">
        <v>71</v>
      </c>
      <c r="I17" s="18">
        <v>0</v>
      </c>
      <c r="J17" s="18">
        <v>0</v>
      </c>
      <c r="K17" s="18">
        <v>300</v>
      </c>
      <c r="L17" s="18">
        <v>2685</v>
      </c>
    </row>
    <row r="18" spans="1:14" x14ac:dyDescent="0.2">
      <c r="A18" s="38" t="s">
        <v>867</v>
      </c>
      <c r="B18" s="18">
        <v>66</v>
      </c>
      <c r="C18" s="18">
        <v>1</v>
      </c>
      <c r="D18" s="18">
        <v>11</v>
      </c>
      <c r="E18" s="18">
        <v>0</v>
      </c>
      <c r="F18" s="18">
        <v>2</v>
      </c>
      <c r="G18" s="18">
        <v>8</v>
      </c>
      <c r="H18" s="18">
        <v>3</v>
      </c>
      <c r="I18" s="18">
        <v>0</v>
      </c>
      <c r="J18" s="18">
        <v>0</v>
      </c>
      <c r="K18" s="18">
        <v>5</v>
      </c>
      <c r="L18" s="18">
        <v>82</v>
      </c>
    </row>
    <row r="19" spans="1:14" x14ac:dyDescent="0.2">
      <c r="A19" s="38" t="s">
        <v>477</v>
      </c>
      <c r="B19" s="18">
        <v>25372</v>
      </c>
      <c r="C19" s="18">
        <v>883</v>
      </c>
      <c r="D19" s="18">
        <v>2644</v>
      </c>
      <c r="E19" s="18">
        <v>3077</v>
      </c>
      <c r="F19" s="18">
        <v>1311</v>
      </c>
      <c r="G19" s="18">
        <v>1283</v>
      </c>
      <c r="H19" s="18">
        <v>2123</v>
      </c>
      <c r="I19" s="18">
        <v>19</v>
      </c>
      <c r="J19" s="18">
        <v>0</v>
      </c>
      <c r="K19" s="18">
        <v>1785</v>
      </c>
      <c r="L19" s="18">
        <v>26151</v>
      </c>
      <c r="M19" s="29"/>
      <c r="N19" s="18">
        <v>8</v>
      </c>
    </row>
    <row r="20" spans="1:14" x14ac:dyDescent="0.2">
      <c r="A20" s="38" t="s">
        <v>257</v>
      </c>
      <c r="B20" s="18">
        <v>56</v>
      </c>
      <c r="C20" s="18">
        <v>-54</v>
      </c>
      <c r="D20" s="18">
        <v>13</v>
      </c>
      <c r="E20" s="18">
        <v>9</v>
      </c>
      <c r="F20" s="18">
        <v>0</v>
      </c>
      <c r="G20" s="18">
        <v>0</v>
      </c>
      <c r="H20" s="18">
        <v>0</v>
      </c>
      <c r="I20" s="18">
        <v>0</v>
      </c>
      <c r="J20" s="18">
        <v>0</v>
      </c>
      <c r="K20" s="18">
        <v>0</v>
      </c>
      <c r="L20" s="18">
        <v>6</v>
      </c>
      <c r="M20" s="29"/>
      <c r="N20" s="18">
        <v>5</v>
      </c>
    </row>
    <row r="21" spans="1:14" x14ac:dyDescent="0.2">
      <c r="A21" s="38" t="s">
        <v>467</v>
      </c>
      <c r="B21" s="18">
        <v>3937</v>
      </c>
      <c r="C21" s="18">
        <v>145</v>
      </c>
      <c r="D21" s="18">
        <v>164</v>
      </c>
      <c r="E21" s="18">
        <v>258</v>
      </c>
      <c r="F21" s="18">
        <v>133</v>
      </c>
      <c r="G21" s="18">
        <v>131</v>
      </c>
      <c r="H21" s="18">
        <v>66</v>
      </c>
      <c r="I21" s="18">
        <v>0</v>
      </c>
      <c r="J21" s="18">
        <v>1</v>
      </c>
      <c r="K21" s="18">
        <v>306</v>
      </c>
      <c r="L21" s="18">
        <v>3747</v>
      </c>
      <c r="M21" s="29"/>
      <c r="N21" s="18">
        <v>4</v>
      </c>
    </row>
    <row r="22" spans="1:14" x14ac:dyDescent="0.2">
      <c r="A22" s="38" t="s">
        <v>471</v>
      </c>
      <c r="B22" s="18">
        <v>2785</v>
      </c>
      <c r="C22" s="18">
        <v>-48</v>
      </c>
      <c r="D22" s="18">
        <v>188</v>
      </c>
      <c r="E22" s="18">
        <v>678</v>
      </c>
      <c r="F22" s="18">
        <v>106</v>
      </c>
      <c r="G22" s="18">
        <v>89</v>
      </c>
      <c r="H22" s="18">
        <v>4</v>
      </c>
      <c r="I22" s="18">
        <v>2</v>
      </c>
      <c r="J22" s="18">
        <v>0</v>
      </c>
      <c r="K22" s="18">
        <v>108</v>
      </c>
      <c r="L22" s="18">
        <v>2128</v>
      </c>
      <c r="M22" s="29"/>
      <c r="N22" s="18">
        <v>6</v>
      </c>
    </row>
    <row r="23" spans="1:14" x14ac:dyDescent="0.2">
      <c r="A23" s="41" t="s">
        <v>474</v>
      </c>
      <c r="B23" s="42">
        <v>29517</v>
      </c>
      <c r="C23" s="42">
        <v>126</v>
      </c>
      <c r="D23" s="42">
        <v>3789</v>
      </c>
      <c r="E23" s="42">
        <v>5877</v>
      </c>
      <c r="F23" s="42">
        <v>5618</v>
      </c>
      <c r="G23" s="42">
        <v>5585</v>
      </c>
      <c r="H23" s="42">
        <v>5813</v>
      </c>
      <c r="I23" s="42">
        <v>49</v>
      </c>
      <c r="J23" s="42">
        <v>169</v>
      </c>
      <c r="K23" s="42">
        <v>3008</v>
      </c>
      <c r="L23" s="42">
        <v>30545</v>
      </c>
      <c r="M23" s="29"/>
      <c r="N23" s="18">
        <v>7</v>
      </c>
    </row>
    <row r="24" spans="1:14" x14ac:dyDescent="0.2">
      <c r="A24" s="38" t="s">
        <v>868</v>
      </c>
      <c r="B24" s="18">
        <v>26136</v>
      </c>
      <c r="C24" s="18">
        <v>177</v>
      </c>
      <c r="D24" s="18">
        <v>3105</v>
      </c>
      <c r="E24" s="18">
        <v>5335</v>
      </c>
      <c r="F24" s="18">
        <v>4999</v>
      </c>
      <c r="G24" s="18">
        <v>5060</v>
      </c>
      <c r="H24" s="18">
        <v>5693</v>
      </c>
      <c r="I24" s="18">
        <v>0</v>
      </c>
      <c r="J24" s="18">
        <v>144</v>
      </c>
      <c r="K24" s="18">
        <v>2570</v>
      </c>
      <c r="L24" s="18">
        <v>27411</v>
      </c>
    </row>
    <row r="25" spans="1:14" x14ac:dyDescent="0.2">
      <c r="A25" s="38" t="s">
        <v>869</v>
      </c>
      <c r="B25" s="18">
        <v>2995</v>
      </c>
      <c r="C25" s="18">
        <v>-48</v>
      </c>
      <c r="D25" s="18">
        <v>627</v>
      </c>
      <c r="E25" s="18">
        <v>523</v>
      </c>
      <c r="F25" s="18">
        <v>608</v>
      </c>
      <c r="G25" s="18">
        <v>381</v>
      </c>
      <c r="H25" s="18">
        <v>104</v>
      </c>
      <c r="I25" s="18">
        <v>49</v>
      </c>
      <c r="J25" s="18">
        <v>25</v>
      </c>
      <c r="K25" s="18">
        <v>387</v>
      </c>
      <c r="L25" s="18">
        <v>2615</v>
      </c>
    </row>
    <row r="26" spans="1:14" x14ac:dyDescent="0.2">
      <c r="A26" s="38" t="s">
        <v>867</v>
      </c>
      <c r="B26" s="18">
        <v>386</v>
      </c>
      <c r="C26" s="18">
        <v>-3</v>
      </c>
      <c r="D26" s="18">
        <v>57</v>
      </c>
      <c r="E26" s="18">
        <v>19</v>
      </c>
      <c r="F26" s="18">
        <v>11</v>
      </c>
      <c r="G26" s="18">
        <v>144</v>
      </c>
      <c r="H26" s="18">
        <v>16</v>
      </c>
      <c r="I26" s="18">
        <v>0</v>
      </c>
      <c r="J26" s="18">
        <v>0</v>
      </c>
      <c r="K26" s="18">
        <v>51</v>
      </c>
      <c r="L26" s="18">
        <v>519</v>
      </c>
    </row>
    <row r="27" spans="1:14" x14ac:dyDescent="0.2">
      <c r="A27" s="38" t="s">
        <v>465</v>
      </c>
      <c r="B27" s="18">
        <v>2975</v>
      </c>
      <c r="C27" s="18">
        <v>5</v>
      </c>
      <c r="D27" s="18">
        <v>213</v>
      </c>
      <c r="E27" s="18">
        <v>272</v>
      </c>
      <c r="F27" s="18">
        <v>654</v>
      </c>
      <c r="G27" s="18">
        <v>410</v>
      </c>
      <c r="H27" s="18">
        <v>0</v>
      </c>
      <c r="I27" s="18">
        <v>14</v>
      </c>
      <c r="J27" s="18">
        <v>0</v>
      </c>
      <c r="K27" s="18">
        <v>142</v>
      </c>
      <c r="L27" s="18">
        <v>2549</v>
      </c>
      <c r="M27" s="29"/>
      <c r="N27" s="18">
        <v>3</v>
      </c>
    </row>
    <row r="28" spans="1:14" x14ac:dyDescent="0.2">
      <c r="A28" s="38" t="s">
        <v>472</v>
      </c>
      <c r="B28" s="18">
        <v>858</v>
      </c>
      <c r="C28" s="18">
        <v>112</v>
      </c>
      <c r="D28" s="18">
        <v>106</v>
      </c>
      <c r="E28" s="18">
        <v>157</v>
      </c>
      <c r="F28" s="18">
        <v>11</v>
      </c>
      <c r="G28" s="18">
        <v>10</v>
      </c>
      <c r="H28" s="18">
        <v>24</v>
      </c>
      <c r="I28" s="18">
        <v>1</v>
      </c>
      <c r="J28" s="18">
        <v>0</v>
      </c>
      <c r="K28" s="18">
        <v>75</v>
      </c>
      <c r="L28" s="18">
        <v>868</v>
      </c>
      <c r="M28" s="29"/>
      <c r="N28" s="18">
        <v>6</v>
      </c>
    </row>
    <row r="29" spans="1:14" x14ac:dyDescent="0.2">
      <c r="A29" s="38" t="s">
        <v>478</v>
      </c>
      <c r="B29" s="18">
        <v>959</v>
      </c>
      <c r="C29" s="18">
        <v>-58</v>
      </c>
      <c r="D29" s="18">
        <v>44</v>
      </c>
      <c r="E29" s="18">
        <v>99</v>
      </c>
      <c r="F29" s="18">
        <v>45</v>
      </c>
      <c r="G29" s="18">
        <v>45</v>
      </c>
      <c r="H29" s="18">
        <v>14</v>
      </c>
      <c r="I29" s="18">
        <v>7</v>
      </c>
      <c r="J29" s="18">
        <v>1</v>
      </c>
      <c r="K29" s="18">
        <v>76</v>
      </c>
      <c r="L29" s="18">
        <v>792</v>
      </c>
      <c r="M29" s="29"/>
      <c r="N29" s="18">
        <v>8</v>
      </c>
    </row>
    <row r="30" spans="1:14" x14ac:dyDescent="0.2">
      <c r="A30" s="41" t="s">
        <v>479</v>
      </c>
      <c r="B30" s="42">
        <v>16529</v>
      </c>
      <c r="C30" s="42">
        <v>107</v>
      </c>
      <c r="D30" s="42">
        <v>2267</v>
      </c>
      <c r="E30" s="42">
        <v>2386</v>
      </c>
      <c r="F30" s="42">
        <v>1088</v>
      </c>
      <c r="G30" s="42">
        <v>1155</v>
      </c>
      <c r="H30" s="42">
        <v>802</v>
      </c>
      <c r="I30" s="42">
        <v>3</v>
      </c>
      <c r="J30" s="42">
        <v>9</v>
      </c>
      <c r="K30" s="42">
        <v>1260</v>
      </c>
      <c r="L30" s="42">
        <v>16138</v>
      </c>
      <c r="M30" s="29"/>
      <c r="N30" s="18">
        <v>8</v>
      </c>
    </row>
    <row r="31" spans="1:14" x14ac:dyDescent="0.2">
      <c r="A31" s="38" t="s">
        <v>870</v>
      </c>
      <c r="B31" s="18">
        <v>4720</v>
      </c>
      <c r="C31" s="18">
        <v>-143</v>
      </c>
      <c r="D31" s="18">
        <v>560</v>
      </c>
      <c r="E31" s="18">
        <v>481</v>
      </c>
      <c r="F31" s="18">
        <v>222</v>
      </c>
      <c r="G31" s="18">
        <v>286</v>
      </c>
      <c r="H31" s="18">
        <v>579</v>
      </c>
      <c r="I31" s="18">
        <v>3</v>
      </c>
      <c r="J31" s="18">
        <v>2</v>
      </c>
      <c r="K31" s="18">
        <v>420</v>
      </c>
      <c r="L31" s="18">
        <v>4884</v>
      </c>
    </row>
    <row r="32" spans="1:14" x14ac:dyDescent="0.2">
      <c r="A32" s="38" t="s">
        <v>871</v>
      </c>
      <c r="B32" s="18">
        <v>11809</v>
      </c>
      <c r="C32" s="18">
        <v>250</v>
      </c>
      <c r="D32" s="18">
        <v>1707</v>
      </c>
      <c r="E32" s="18">
        <v>1905</v>
      </c>
      <c r="F32" s="18">
        <v>866</v>
      </c>
      <c r="G32" s="18">
        <v>869</v>
      </c>
      <c r="H32" s="18">
        <v>223</v>
      </c>
      <c r="I32" s="18">
        <v>0</v>
      </c>
      <c r="J32" s="18">
        <v>7</v>
      </c>
      <c r="K32" s="18">
        <v>840</v>
      </c>
      <c r="L32" s="18">
        <v>11254</v>
      </c>
    </row>
    <row r="33" spans="1:14" s="235" customFormat="1" x14ac:dyDescent="0.2">
      <c r="A33" s="232" t="s">
        <v>502</v>
      </c>
      <c r="B33" s="233">
        <v>281</v>
      </c>
      <c r="C33" s="233">
        <v>-22</v>
      </c>
      <c r="D33" s="233">
        <v>48</v>
      </c>
      <c r="E33" s="233">
        <v>50</v>
      </c>
      <c r="F33" s="233">
        <v>0</v>
      </c>
      <c r="G33" s="233">
        <v>0</v>
      </c>
      <c r="H33" s="233">
        <v>0</v>
      </c>
      <c r="I33" s="233">
        <v>0</v>
      </c>
      <c r="J33" s="233">
        <v>27</v>
      </c>
      <c r="K33" s="233">
        <v>31</v>
      </c>
      <c r="L33" s="233">
        <v>253</v>
      </c>
      <c r="M33" s="234"/>
      <c r="N33" s="233">
        <v>2</v>
      </c>
    </row>
    <row r="34" spans="1:14" x14ac:dyDescent="0.2">
      <c r="A34" s="38" t="s">
        <v>468</v>
      </c>
      <c r="B34" s="18">
        <v>1869</v>
      </c>
      <c r="C34" s="18">
        <v>-15</v>
      </c>
      <c r="D34" s="18">
        <v>635</v>
      </c>
      <c r="E34" s="18">
        <v>417</v>
      </c>
      <c r="F34" s="18">
        <v>126</v>
      </c>
      <c r="G34" s="18">
        <v>188</v>
      </c>
      <c r="H34" s="18">
        <v>638</v>
      </c>
      <c r="I34" s="18">
        <v>11</v>
      </c>
      <c r="J34" s="18">
        <v>18</v>
      </c>
      <c r="K34" s="18">
        <v>149</v>
      </c>
      <c r="L34" s="18">
        <v>2652</v>
      </c>
      <c r="M34" s="29"/>
      <c r="N34" s="18">
        <v>4</v>
      </c>
    </row>
    <row r="35" spans="1:14" x14ac:dyDescent="0.2">
      <c r="A35" s="38" t="s">
        <v>466</v>
      </c>
      <c r="B35" s="18">
        <v>832</v>
      </c>
      <c r="C35" s="18">
        <v>-99</v>
      </c>
      <c r="D35" s="18">
        <v>17</v>
      </c>
      <c r="E35" s="18">
        <v>38</v>
      </c>
      <c r="F35" s="18">
        <v>0</v>
      </c>
      <c r="G35" s="18">
        <v>4</v>
      </c>
      <c r="H35" s="18">
        <v>118</v>
      </c>
      <c r="I35" s="18">
        <v>0</v>
      </c>
      <c r="J35" s="18">
        <v>0</v>
      </c>
      <c r="K35" s="18">
        <v>76</v>
      </c>
      <c r="L35" s="18">
        <v>758</v>
      </c>
      <c r="M35" s="29"/>
      <c r="N35" s="18">
        <v>3</v>
      </c>
    </row>
    <row r="36" spans="1:14" x14ac:dyDescent="0.2">
      <c r="A36" s="38" t="s">
        <v>475</v>
      </c>
      <c r="B36" s="18">
        <v>28182</v>
      </c>
      <c r="C36" s="18">
        <v>-238</v>
      </c>
      <c r="D36" s="18">
        <v>5531</v>
      </c>
      <c r="E36" s="18">
        <v>7375</v>
      </c>
      <c r="F36" s="18">
        <v>3222</v>
      </c>
      <c r="G36" s="18">
        <v>2645</v>
      </c>
      <c r="H36" s="18">
        <v>6170</v>
      </c>
      <c r="I36" s="18">
        <v>50</v>
      </c>
      <c r="J36" s="18">
        <v>19</v>
      </c>
      <c r="K36" s="18">
        <v>1825</v>
      </c>
      <c r="L36" s="18">
        <v>29937</v>
      </c>
      <c r="M36" s="29"/>
      <c r="N36" s="18">
        <v>7</v>
      </c>
    </row>
    <row r="37" spans="1:14" x14ac:dyDescent="0.2">
      <c r="A37" s="38" t="s">
        <v>464</v>
      </c>
      <c r="B37" s="18">
        <v>14068</v>
      </c>
      <c r="C37" s="18">
        <v>-231</v>
      </c>
      <c r="D37" s="18">
        <v>7127</v>
      </c>
      <c r="E37" s="18">
        <v>4907</v>
      </c>
      <c r="F37" s="18">
        <v>805</v>
      </c>
      <c r="G37" s="18">
        <v>1897</v>
      </c>
      <c r="H37" s="18">
        <v>10337</v>
      </c>
      <c r="I37" s="18">
        <v>166</v>
      </c>
      <c r="J37" s="18">
        <v>324</v>
      </c>
      <c r="K37" s="18">
        <v>1257</v>
      </c>
      <c r="L37" s="18">
        <v>26719</v>
      </c>
      <c r="M37" s="29"/>
      <c r="N37" s="18">
        <v>2</v>
      </c>
    </row>
    <row r="38" spans="1:14" x14ac:dyDescent="0.2">
      <c r="A38" s="41" t="s">
        <v>476</v>
      </c>
      <c r="B38" s="42">
        <v>94287</v>
      </c>
      <c r="C38" s="42">
        <v>676</v>
      </c>
      <c r="D38" s="42">
        <v>21098</v>
      </c>
      <c r="E38" s="42">
        <v>20135</v>
      </c>
      <c r="F38" s="42">
        <v>21329</v>
      </c>
      <c r="G38" s="42">
        <v>23629</v>
      </c>
      <c r="H38" s="42">
        <v>13321</v>
      </c>
      <c r="I38" s="42">
        <v>72</v>
      </c>
      <c r="J38" s="42">
        <v>446</v>
      </c>
      <c r="K38" s="42">
        <v>7611</v>
      </c>
      <c r="L38" s="42">
        <v>104454</v>
      </c>
      <c r="M38" s="29"/>
      <c r="N38" s="18">
        <v>7</v>
      </c>
    </row>
    <row r="39" spans="1:14" x14ac:dyDescent="0.2">
      <c r="A39" s="38" t="s">
        <v>872</v>
      </c>
      <c r="B39" s="18">
        <v>2599</v>
      </c>
      <c r="C39" s="18">
        <v>-57</v>
      </c>
      <c r="D39" s="18">
        <v>2303</v>
      </c>
      <c r="E39" s="18">
        <v>180</v>
      </c>
      <c r="F39" s="18">
        <v>1237</v>
      </c>
      <c r="G39" s="18">
        <v>1181</v>
      </c>
      <c r="H39" s="18">
        <v>1718</v>
      </c>
      <c r="I39" s="18">
        <v>24</v>
      </c>
      <c r="J39" s="18">
        <v>2</v>
      </c>
      <c r="K39" s="18">
        <v>226</v>
      </c>
      <c r="L39" s="18">
        <v>6127</v>
      </c>
    </row>
    <row r="40" spans="1:14" x14ac:dyDescent="0.2">
      <c r="A40" s="38" t="s">
        <v>873</v>
      </c>
      <c r="B40" s="18">
        <v>2235</v>
      </c>
      <c r="C40" s="18">
        <v>210</v>
      </c>
      <c r="D40" s="18">
        <v>458</v>
      </c>
      <c r="E40" s="18">
        <v>593</v>
      </c>
      <c r="F40" s="18">
        <v>175</v>
      </c>
      <c r="G40" s="18">
        <v>684</v>
      </c>
      <c r="H40" s="18">
        <v>1079</v>
      </c>
      <c r="I40" s="18">
        <v>0</v>
      </c>
      <c r="J40" s="18">
        <v>122</v>
      </c>
      <c r="K40" s="18">
        <v>330</v>
      </c>
      <c r="L40" s="18">
        <v>3690</v>
      </c>
    </row>
    <row r="41" spans="1:14" x14ac:dyDescent="0.2">
      <c r="A41" s="38" t="s">
        <v>874</v>
      </c>
      <c r="B41" s="18">
        <v>2774</v>
      </c>
      <c r="C41" s="18">
        <v>-28</v>
      </c>
      <c r="D41" s="18">
        <v>413</v>
      </c>
      <c r="E41" s="18">
        <v>277</v>
      </c>
      <c r="F41" s="18">
        <v>302</v>
      </c>
      <c r="G41" s="18">
        <v>225</v>
      </c>
      <c r="H41" s="18">
        <v>115</v>
      </c>
      <c r="I41" s="18">
        <v>17</v>
      </c>
      <c r="J41" s="18">
        <v>4</v>
      </c>
      <c r="K41" s="18">
        <v>451</v>
      </c>
      <c r="L41" s="18">
        <v>2490</v>
      </c>
    </row>
    <row r="42" spans="1:14" x14ac:dyDescent="0.2">
      <c r="A42" s="38" t="s">
        <v>875</v>
      </c>
      <c r="B42" s="18">
        <v>7392</v>
      </c>
      <c r="C42" s="18">
        <v>445</v>
      </c>
      <c r="D42" s="18">
        <v>2415</v>
      </c>
      <c r="E42" s="18">
        <v>1156</v>
      </c>
      <c r="F42" s="18">
        <v>998</v>
      </c>
      <c r="G42" s="18">
        <v>1323</v>
      </c>
      <c r="H42" s="18">
        <v>1543</v>
      </c>
      <c r="I42" s="18">
        <v>7</v>
      </c>
      <c r="J42" s="18">
        <v>24</v>
      </c>
      <c r="K42" s="18">
        <v>941</v>
      </c>
      <c r="L42" s="18">
        <v>10054</v>
      </c>
    </row>
    <row r="43" spans="1:14" x14ac:dyDescent="0.2">
      <c r="A43" s="38" t="s">
        <v>876</v>
      </c>
      <c r="B43" s="18">
        <v>24694</v>
      </c>
      <c r="C43" s="18">
        <v>653</v>
      </c>
      <c r="D43" s="18">
        <v>3739</v>
      </c>
      <c r="E43" s="18">
        <v>2184</v>
      </c>
      <c r="F43" s="18">
        <v>10687</v>
      </c>
      <c r="G43" s="18">
        <v>10827</v>
      </c>
      <c r="H43" s="18">
        <v>3071</v>
      </c>
      <c r="I43" s="18">
        <v>2</v>
      </c>
      <c r="J43" s="18">
        <v>0</v>
      </c>
      <c r="K43" s="18">
        <v>1928</v>
      </c>
      <c r="L43" s="18">
        <v>28187</v>
      </c>
    </row>
    <row r="44" spans="1:14" x14ac:dyDescent="0.2">
      <c r="A44" s="38" t="s">
        <v>877</v>
      </c>
      <c r="B44" s="18">
        <v>15416</v>
      </c>
      <c r="C44" s="18">
        <v>271</v>
      </c>
      <c r="D44" s="18">
        <v>5057</v>
      </c>
      <c r="E44" s="18">
        <v>5646</v>
      </c>
      <c r="F44" s="18">
        <v>4069</v>
      </c>
      <c r="G44" s="18">
        <v>4075</v>
      </c>
      <c r="H44" s="18">
        <v>1726</v>
      </c>
      <c r="I44" s="18">
        <v>3</v>
      </c>
      <c r="J44" s="18">
        <v>277</v>
      </c>
      <c r="K44" s="18">
        <v>1115</v>
      </c>
      <c r="L44" s="18">
        <v>15995</v>
      </c>
    </row>
    <row r="45" spans="1:14" x14ac:dyDescent="0.2">
      <c r="A45" s="38" t="s">
        <v>878</v>
      </c>
      <c r="B45" s="18">
        <v>2625</v>
      </c>
      <c r="C45" s="18">
        <v>-65</v>
      </c>
      <c r="D45" s="18">
        <v>456</v>
      </c>
      <c r="E45" s="18">
        <v>405</v>
      </c>
      <c r="F45" s="18">
        <v>803</v>
      </c>
      <c r="G45" s="18">
        <v>2182</v>
      </c>
      <c r="H45" s="18">
        <v>128</v>
      </c>
      <c r="I45" s="18">
        <v>0</v>
      </c>
      <c r="J45" s="18">
        <v>0</v>
      </c>
      <c r="K45" s="18">
        <v>231</v>
      </c>
      <c r="L45" s="18">
        <v>3887</v>
      </c>
    </row>
    <row r="46" spans="1:14" x14ac:dyDescent="0.2">
      <c r="A46" s="38" t="s">
        <v>879</v>
      </c>
      <c r="B46" s="18">
        <v>5432</v>
      </c>
      <c r="C46" s="18">
        <v>-195</v>
      </c>
      <c r="D46" s="18">
        <v>800</v>
      </c>
      <c r="E46" s="18">
        <v>828</v>
      </c>
      <c r="F46" s="18">
        <v>304</v>
      </c>
      <c r="G46" s="18">
        <v>318</v>
      </c>
      <c r="H46" s="18">
        <v>357</v>
      </c>
      <c r="I46" s="18">
        <v>0</v>
      </c>
      <c r="J46" s="18">
        <v>0</v>
      </c>
      <c r="K46" s="18">
        <v>344</v>
      </c>
      <c r="L46" s="18">
        <v>5236</v>
      </c>
    </row>
    <row r="47" spans="1:14" x14ac:dyDescent="0.2">
      <c r="A47" s="38" t="s">
        <v>880</v>
      </c>
      <c r="B47" s="18">
        <v>8105</v>
      </c>
      <c r="C47" s="18">
        <v>-631</v>
      </c>
      <c r="D47" s="18">
        <v>1214</v>
      </c>
      <c r="E47" s="18">
        <v>1182</v>
      </c>
      <c r="F47" s="18">
        <v>213</v>
      </c>
      <c r="G47" s="18">
        <v>554</v>
      </c>
      <c r="H47" s="18">
        <v>776</v>
      </c>
      <c r="I47" s="18">
        <v>4</v>
      </c>
      <c r="J47" s="18">
        <v>1</v>
      </c>
      <c r="K47" s="18">
        <v>540</v>
      </c>
      <c r="L47" s="18">
        <v>8088</v>
      </c>
    </row>
    <row r="48" spans="1:14" x14ac:dyDescent="0.2">
      <c r="A48" s="38" t="s">
        <v>881</v>
      </c>
      <c r="B48" s="18">
        <v>1228</v>
      </c>
      <c r="C48" s="18">
        <v>-36</v>
      </c>
      <c r="D48" s="18">
        <v>205</v>
      </c>
      <c r="E48" s="18">
        <v>38</v>
      </c>
      <c r="F48" s="18">
        <v>26</v>
      </c>
      <c r="G48" s="18">
        <v>43</v>
      </c>
      <c r="H48" s="18">
        <v>11</v>
      </c>
      <c r="I48" s="18">
        <v>0</v>
      </c>
      <c r="J48" s="18">
        <v>1</v>
      </c>
      <c r="K48" s="18">
        <v>99</v>
      </c>
      <c r="L48" s="18">
        <v>1289</v>
      </c>
    </row>
    <row r="49" spans="1:14" x14ac:dyDescent="0.2">
      <c r="A49" s="38" t="s">
        <v>882</v>
      </c>
      <c r="B49" s="18">
        <v>13172</v>
      </c>
      <c r="C49" s="18">
        <v>163</v>
      </c>
      <c r="D49" s="18">
        <v>3077</v>
      </c>
      <c r="E49" s="18">
        <v>6006</v>
      </c>
      <c r="F49" s="18">
        <v>1299</v>
      </c>
      <c r="G49" s="18">
        <v>1546</v>
      </c>
      <c r="H49" s="18">
        <v>917</v>
      </c>
      <c r="I49" s="18">
        <v>11</v>
      </c>
      <c r="J49" s="18">
        <v>0</v>
      </c>
      <c r="K49" s="18">
        <v>661</v>
      </c>
      <c r="L49" s="18">
        <v>10920</v>
      </c>
    </row>
    <row r="50" spans="1:14" x14ac:dyDescent="0.2">
      <c r="A50" s="38" t="s">
        <v>883</v>
      </c>
      <c r="B50" s="18">
        <v>8484</v>
      </c>
      <c r="C50" s="18">
        <v>-29</v>
      </c>
      <c r="D50" s="18">
        <v>886</v>
      </c>
      <c r="E50" s="18">
        <v>1574</v>
      </c>
      <c r="F50" s="18">
        <v>1214</v>
      </c>
      <c r="G50" s="18">
        <v>645</v>
      </c>
      <c r="H50" s="18">
        <v>1880</v>
      </c>
      <c r="I50" s="18">
        <v>4</v>
      </c>
      <c r="J50" s="18">
        <v>15</v>
      </c>
      <c r="K50" s="18">
        <v>724</v>
      </c>
      <c r="L50" s="18">
        <v>8373</v>
      </c>
    </row>
    <row r="51" spans="1:14" x14ac:dyDescent="0.2">
      <c r="A51" s="38" t="s">
        <v>867</v>
      </c>
      <c r="B51" s="18">
        <v>131</v>
      </c>
      <c r="C51" s="18">
        <v>-25</v>
      </c>
      <c r="D51" s="18">
        <v>75</v>
      </c>
      <c r="E51" s="18">
        <v>66</v>
      </c>
      <c r="F51" s="18">
        <v>2</v>
      </c>
      <c r="G51" s="18">
        <v>26</v>
      </c>
      <c r="H51" s="18">
        <v>0</v>
      </c>
      <c r="I51" s="18">
        <v>0</v>
      </c>
      <c r="J51" s="18">
        <v>0</v>
      </c>
      <c r="K51" s="18">
        <v>21</v>
      </c>
      <c r="L51" s="18">
        <v>118</v>
      </c>
    </row>
    <row r="52" spans="1:14" x14ac:dyDescent="0.2">
      <c r="A52" s="38" t="s">
        <v>480</v>
      </c>
      <c r="B52" s="18">
        <v>7146</v>
      </c>
      <c r="C52" s="18">
        <v>195</v>
      </c>
      <c r="D52" s="18">
        <v>839</v>
      </c>
      <c r="E52" s="18">
        <v>352</v>
      </c>
      <c r="F52" s="18">
        <v>782</v>
      </c>
      <c r="G52" s="18">
        <v>860</v>
      </c>
      <c r="H52" s="18">
        <v>664</v>
      </c>
      <c r="I52" s="18">
        <v>1</v>
      </c>
      <c r="J52" s="18">
        <v>0</v>
      </c>
      <c r="K52" s="18">
        <v>463</v>
      </c>
      <c r="L52" s="18">
        <v>8108</v>
      </c>
      <c r="M52" s="29"/>
      <c r="N52" s="18">
        <v>8</v>
      </c>
    </row>
    <row r="53" spans="1:14" x14ac:dyDescent="0.2">
      <c r="A53" s="38" t="s">
        <v>503</v>
      </c>
      <c r="B53" s="18">
        <v>3215</v>
      </c>
      <c r="C53" s="18">
        <v>-413</v>
      </c>
      <c r="D53" s="18">
        <v>378</v>
      </c>
      <c r="E53" s="18">
        <v>255</v>
      </c>
      <c r="F53" s="18">
        <v>3</v>
      </c>
      <c r="G53" s="18">
        <v>3</v>
      </c>
      <c r="H53" s="18">
        <v>63</v>
      </c>
      <c r="I53" s="18">
        <v>0</v>
      </c>
      <c r="J53" s="18">
        <v>0</v>
      </c>
      <c r="K53" s="18">
        <v>156</v>
      </c>
      <c r="L53" s="18">
        <v>2832</v>
      </c>
      <c r="M53" s="29"/>
      <c r="N53" s="18">
        <v>5</v>
      </c>
    </row>
    <row r="54" spans="1:14" x14ac:dyDescent="0.2">
      <c r="A54" s="38" t="s">
        <v>469</v>
      </c>
      <c r="B54" s="18">
        <v>7163</v>
      </c>
      <c r="C54" s="18">
        <v>-37</v>
      </c>
      <c r="D54" s="18">
        <v>1240</v>
      </c>
      <c r="E54" s="18">
        <v>773</v>
      </c>
      <c r="F54" s="18">
        <v>270</v>
      </c>
      <c r="G54" s="18">
        <v>601</v>
      </c>
      <c r="H54" s="18">
        <v>2871</v>
      </c>
      <c r="I54" s="18">
        <v>0</v>
      </c>
      <c r="J54" s="18">
        <v>139</v>
      </c>
      <c r="K54" s="18">
        <v>402</v>
      </c>
      <c r="L54" s="18">
        <v>10532</v>
      </c>
      <c r="M54" s="29"/>
      <c r="N54" s="18">
        <v>5</v>
      </c>
    </row>
    <row r="55" spans="1:14" x14ac:dyDescent="0.2">
      <c r="A55" s="38" t="s">
        <v>481</v>
      </c>
      <c r="B55" s="18">
        <v>36526</v>
      </c>
      <c r="C55" s="18">
        <v>-42</v>
      </c>
      <c r="D55" s="18">
        <v>3423</v>
      </c>
      <c r="E55" s="18">
        <v>3173</v>
      </c>
      <c r="F55" s="18">
        <v>1198</v>
      </c>
      <c r="G55" s="18">
        <v>1261</v>
      </c>
      <c r="H55" s="18">
        <v>2317</v>
      </c>
      <c r="I55" s="18">
        <v>0</v>
      </c>
      <c r="J55" s="18">
        <v>1</v>
      </c>
      <c r="K55" s="18">
        <v>2185</v>
      </c>
      <c r="L55" s="18">
        <v>36930</v>
      </c>
      <c r="M55" s="29"/>
      <c r="N55" s="18">
        <v>8</v>
      </c>
    </row>
    <row r="56" spans="1:14" ht="15" x14ac:dyDescent="0.2">
      <c r="A56" s="41" t="s">
        <v>504</v>
      </c>
      <c r="B56" s="42">
        <v>12120</v>
      </c>
      <c r="C56" s="42">
        <v>51</v>
      </c>
      <c r="D56" s="42">
        <v>2567</v>
      </c>
      <c r="E56" s="42">
        <v>3104</v>
      </c>
      <c r="F56" s="42">
        <v>332</v>
      </c>
      <c r="G56" s="42">
        <v>474</v>
      </c>
      <c r="H56" s="42">
        <v>98</v>
      </c>
      <c r="I56" s="42">
        <v>590</v>
      </c>
      <c r="J56" s="42">
        <v>80</v>
      </c>
      <c r="K56" s="42">
        <v>1724</v>
      </c>
      <c r="L56" s="42">
        <v>10820</v>
      </c>
    </row>
    <row r="57" spans="1:14" x14ac:dyDescent="0.2">
      <c r="A57" s="38" t="s">
        <v>884</v>
      </c>
      <c r="B57" s="18">
        <v>725</v>
      </c>
      <c r="C57" s="18">
        <v>-1</v>
      </c>
      <c r="D57" s="18">
        <v>39</v>
      </c>
      <c r="E57" s="18">
        <v>21</v>
      </c>
      <c r="F57" s="18">
        <v>0</v>
      </c>
      <c r="G57" s="18">
        <v>0</v>
      </c>
      <c r="H57" s="18">
        <v>0</v>
      </c>
      <c r="I57" s="18">
        <v>0</v>
      </c>
      <c r="J57" s="18">
        <v>0</v>
      </c>
      <c r="K57" s="18">
        <v>31</v>
      </c>
      <c r="L57" s="18">
        <v>711</v>
      </c>
      <c r="M57" s="29"/>
      <c r="N57" s="18">
        <v>9</v>
      </c>
    </row>
    <row r="58" spans="1:14" ht="15" x14ac:dyDescent="0.2">
      <c r="A58" s="38" t="s">
        <v>885</v>
      </c>
      <c r="B58" s="18">
        <v>9250</v>
      </c>
      <c r="C58" s="18">
        <v>51</v>
      </c>
      <c r="D58" s="18">
        <v>2150</v>
      </c>
      <c r="E58" s="18">
        <v>2371</v>
      </c>
      <c r="F58" s="18">
        <v>309</v>
      </c>
      <c r="G58" s="18">
        <v>404</v>
      </c>
      <c r="H58" s="18">
        <v>85</v>
      </c>
      <c r="I58" s="18">
        <v>590</v>
      </c>
      <c r="J58" s="18">
        <v>80</v>
      </c>
      <c r="K58" s="18">
        <v>1375</v>
      </c>
      <c r="L58" s="18">
        <v>8555</v>
      </c>
      <c r="M58" s="29"/>
      <c r="N58" s="18">
        <v>7</v>
      </c>
    </row>
    <row r="59" spans="1:14" x14ac:dyDescent="0.2">
      <c r="A59" s="38" t="s">
        <v>886</v>
      </c>
      <c r="B59" s="18">
        <v>2145</v>
      </c>
      <c r="C59" s="18">
        <v>1</v>
      </c>
      <c r="D59" s="18">
        <v>378</v>
      </c>
      <c r="E59" s="18">
        <v>712</v>
      </c>
      <c r="F59" s="18">
        <v>23</v>
      </c>
      <c r="G59" s="18">
        <v>70</v>
      </c>
      <c r="H59" s="18">
        <v>13</v>
      </c>
      <c r="I59" s="18">
        <v>0</v>
      </c>
      <c r="J59" s="18">
        <v>0</v>
      </c>
      <c r="K59" s="18">
        <v>318</v>
      </c>
      <c r="L59" s="18">
        <v>1554</v>
      </c>
      <c r="M59" s="29"/>
      <c r="N59" s="18">
        <v>7</v>
      </c>
    </row>
    <row r="60" spans="1:14" ht="15" x14ac:dyDescent="0.2">
      <c r="A60" s="25" t="s">
        <v>505</v>
      </c>
      <c r="B60" s="19">
        <v>363</v>
      </c>
      <c r="C60" s="19">
        <v>73</v>
      </c>
      <c r="D60" s="19">
        <v>101</v>
      </c>
      <c r="E60" s="19">
        <v>82</v>
      </c>
      <c r="F60" s="19">
        <v>100</v>
      </c>
      <c r="G60" s="19">
        <v>46</v>
      </c>
      <c r="H60" s="19">
        <v>16</v>
      </c>
      <c r="I60" s="19">
        <v>0</v>
      </c>
      <c r="J60" s="19">
        <v>0</v>
      </c>
      <c r="K60" s="19">
        <v>24</v>
      </c>
      <c r="L60" s="19">
        <v>393</v>
      </c>
      <c r="M60" s="19"/>
    </row>
    <row r="61" spans="1:14" x14ac:dyDescent="0.2">
      <c r="A61" s="44" t="s">
        <v>506</v>
      </c>
      <c r="B61" s="45">
        <v>317647</v>
      </c>
      <c r="C61" s="45">
        <v>2715</v>
      </c>
      <c r="D61" s="45">
        <v>56015</v>
      </c>
      <c r="E61" s="45">
        <v>56127</v>
      </c>
      <c r="F61" s="45">
        <v>44575</v>
      </c>
      <c r="G61" s="45">
        <v>47873</v>
      </c>
      <c r="H61" s="45">
        <v>47635</v>
      </c>
      <c r="I61" s="45">
        <v>987</v>
      </c>
      <c r="J61" s="45">
        <v>1260</v>
      </c>
      <c r="K61" s="45">
        <v>24621</v>
      </c>
      <c r="L61" s="45">
        <v>348809</v>
      </c>
      <c r="M61" s="29">
        <f>SUM(M10:M60)</f>
        <v>0</v>
      </c>
    </row>
    <row r="62" spans="1:14" ht="15" x14ac:dyDescent="0.2">
      <c r="A62" s="30" t="s">
        <v>1548</v>
      </c>
      <c r="B62" s="25"/>
      <c r="C62" s="25"/>
      <c r="D62" s="25"/>
      <c r="E62" s="25"/>
      <c r="F62" s="25"/>
      <c r="G62" s="25"/>
      <c r="H62" s="25"/>
      <c r="I62" s="25"/>
      <c r="J62" s="25"/>
      <c r="K62" s="25"/>
      <c r="L62" s="25"/>
    </row>
    <row r="63" spans="1:14" ht="15" x14ac:dyDescent="0.2">
      <c r="A63" s="30" t="s">
        <v>1549</v>
      </c>
      <c r="B63" s="25"/>
      <c r="C63" s="25"/>
      <c r="D63" s="25"/>
      <c r="E63" s="25"/>
      <c r="F63" s="25"/>
      <c r="G63" s="25"/>
      <c r="H63" s="25"/>
      <c r="I63" s="25"/>
      <c r="J63" s="25"/>
      <c r="K63" s="25"/>
      <c r="L63" s="25"/>
    </row>
    <row r="64" spans="1:14" ht="15" x14ac:dyDescent="0.2">
      <c r="A64" s="30"/>
      <c r="B64" s="25"/>
      <c r="C64" s="25"/>
      <c r="D64" s="25"/>
      <c r="E64" s="25"/>
      <c r="F64" s="25"/>
      <c r="G64" s="25"/>
      <c r="H64" s="25"/>
      <c r="I64" s="25"/>
      <c r="J64" s="25"/>
      <c r="K64" s="25"/>
      <c r="L64" s="25"/>
    </row>
    <row r="65" spans="1:12" x14ac:dyDescent="0.2">
      <c r="A65" s="25" t="s">
        <v>507</v>
      </c>
      <c r="B65" s="25"/>
      <c r="C65" s="25"/>
      <c r="D65" s="25"/>
      <c r="E65" s="25"/>
      <c r="F65" s="25"/>
      <c r="G65" s="25"/>
      <c r="H65" s="25"/>
      <c r="I65" s="25"/>
      <c r="J65" s="25"/>
      <c r="K65" s="25"/>
      <c r="L65" s="25"/>
    </row>
    <row r="66" spans="1:12" x14ac:dyDescent="0.2">
      <c r="A66" s="25" t="s">
        <v>887</v>
      </c>
      <c r="B66" s="25"/>
      <c r="C66" s="25"/>
      <c r="D66" s="25"/>
      <c r="E66" s="25"/>
      <c r="F66" s="25"/>
      <c r="G66" s="25"/>
      <c r="H66" s="25"/>
      <c r="I66" s="25"/>
      <c r="J66" s="25"/>
      <c r="K66" s="25"/>
      <c r="L66" s="25"/>
    </row>
    <row r="67" spans="1:12" x14ac:dyDescent="0.2">
      <c r="A67" s="25" t="s">
        <v>508</v>
      </c>
      <c r="B67" s="25"/>
      <c r="C67" s="25"/>
      <c r="D67" s="25"/>
      <c r="E67" s="25"/>
      <c r="F67" s="25"/>
      <c r="G67" s="25"/>
      <c r="H67" s="25"/>
      <c r="I67" s="25"/>
      <c r="J67" s="25"/>
      <c r="K67" s="25"/>
      <c r="L67" s="25"/>
    </row>
    <row r="68" spans="1:12" x14ac:dyDescent="0.2">
      <c r="A68" s="31" t="s">
        <v>888</v>
      </c>
      <c r="B68" s="25"/>
      <c r="C68" s="25"/>
      <c r="D68" s="25"/>
      <c r="E68" s="25"/>
      <c r="F68" s="25"/>
      <c r="G68" s="25"/>
      <c r="H68" s="25"/>
      <c r="I68" s="25"/>
      <c r="J68" s="25"/>
      <c r="K68" s="25"/>
      <c r="L68" s="25"/>
    </row>
    <row r="69" spans="1:12" x14ac:dyDescent="0.2">
      <c r="A69" s="25" t="s">
        <v>889</v>
      </c>
      <c r="B69" s="25"/>
      <c r="C69" s="25"/>
      <c r="D69" s="25"/>
      <c r="E69" s="25"/>
      <c r="F69" s="25"/>
      <c r="G69" s="25"/>
      <c r="H69" s="25"/>
      <c r="I69" s="25"/>
      <c r="J69" s="25"/>
      <c r="K69" s="25"/>
      <c r="L69" s="25"/>
    </row>
    <row r="70" spans="1:12" x14ac:dyDescent="0.2">
      <c r="A70" s="25" t="s">
        <v>890</v>
      </c>
      <c r="B70" s="25"/>
      <c r="C70" s="25"/>
      <c r="D70" s="25"/>
      <c r="E70" s="25"/>
      <c r="F70" s="25"/>
      <c r="G70" s="25"/>
      <c r="H70" s="25"/>
      <c r="I70" s="25"/>
      <c r="J70" s="25"/>
      <c r="K70" s="25"/>
      <c r="L70" s="25"/>
    </row>
  </sheetData>
  <mergeCells count="1">
    <mergeCell ref="C5:K5"/>
  </mergeCells>
  <hyperlinks>
    <hyperlink ref="A2" r:id="rId1" xr:uid="{00000000-0004-0000-1200-000000000000}"/>
    <hyperlink ref="A68" r:id="rId2" xr:uid="{00000000-0004-0000-1200-000001000000}"/>
  </hyperlinks>
  <pageMargins left="0.7" right="0.7" top="0.75" bottom="0.75" header="0.3" footer="0.3"/>
  <pageSetup orientation="portrait" horizontalDpi="300" verticalDpi="0"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68"/>
  <sheetViews>
    <sheetView zoomScale="75" workbookViewId="0">
      <selection activeCell="A20" sqref="A20"/>
    </sheetView>
  </sheetViews>
  <sheetFormatPr defaultColWidth="9.140625" defaultRowHeight="12.75" x14ac:dyDescent="0.2"/>
  <cols>
    <col min="1" max="1" width="29.5703125" style="13" customWidth="1"/>
    <col min="2" max="2" width="17.7109375" style="13" customWidth="1"/>
    <col min="3" max="3" width="9.85546875" style="13" bestFit="1" customWidth="1"/>
    <col min="4" max="5" width="10.28515625" style="13" customWidth="1"/>
    <col min="6" max="12" width="9.140625" style="13"/>
    <col min="13" max="13" width="27" style="13" customWidth="1"/>
    <col min="14" max="16" width="9.140625" style="13"/>
    <col min="17" max="17" width="8" style="13" customWidth="1"/>
    <col min="18" max="19" width="9.140625" style="13"/>
    <col min="20" max="20" width="9.28515625" style="13" customWidth="1"/>
    <col min="21" max="16384" width="9.140625" style="13"/>
  </cols>
  <sheetData>
    <row r="1" spans="1:22" ht="15.75" x14ac:dyDescent="0.25">
      <c r="A1" s="99" t="s">
        <v>1168</v>
      </c>
    </row>
    <row r="2" spans="1:22" ht="45" x14ac:dyDescent="0.25">
      <c r="B2" s="50" t="s">
        <v>1170</v>
      </c>
      <c r="C2" s="13">
        <v>2010</v>
      </c>
      <c r="D2" s="13">
        <v>2015</v>
      </c>
      <c r="E2" s="13">
        <v>2020</v>
      </c>
      <c r="F2" s="13">
        <v>2025</v>
      </c>
      <c r="G2" s="13">
        <v>2030</v>
      </c>
      <c r="I2" s="23"/>
    </row>
    <row r="3" spans="1:22" x14ac:dyDescent="0.2">
      <c r="A3" s="20" t="s">
        <v>1169</v>
      </c>
      <c r="B3" s="100">
        <f t="shared" ref="B3:G3" si="0">B29*T29</f>
        <v>841.51091013640337</v>
      </c>
      <c r="C3" s="100">
        <f t="shared" si="0"/>
        <v>931.0069137408791</v>
      </c>
      <c r="D3" s="100">
        <f t="shared" si="0"/>
        <v>997.04390322302743</v>
      </c>
      <c r="E3" s="100">
        <f t="shared" si="0"/>
        <v>1089.693243818853</v>
      </c>
      <c r="F3" s="100">
        <f t="shared" si="0"/>
        <v>1161.4342183523406</v>
      </c>
      <c r="G3" s="100">
        <f t="shared" si="0"/>
        <v>1090.6449986173825</v>
      </c>
      <c r="H3" s="101"/>
      <c r="I3" s="101"/>
      <c r="J3" s="102"/>
    </row>
    <row r="4" spans="1:22" x14ac:dyDescent="0.2">
      <c r="A4" s="20" t="s">
        <v>1171</v>
      </c>
      <c r="B4" s="100">
        <f t="shared" ref="B4:G4" si="1">B30*N77*T30</f>
        <v>711.53891657434713</v>
      </c>
      <c r="C4" s="100">
        <f t="shared" si="1"/>
        <v>740.76291260314213</v>
      </c>
      <c r="D4" s="100">
        <f t="shared" si="1"/>
        <v>588.95718243327281</v>
      </c>
      <c r="E4" s="100">
        <f t="shared" si="1"/>
        <v>1127.4329442191936</v>
      </c>
      <c r="F4" s="100">
        <f t="shared" si="1"/>
        <v>1672.5097189046789</v>
      </c>
      <c r="G4" s="100">
        <f t="shared" si="1"/>
        <v>1650.0836404147849</v>
      </c>
      <c r="H4" s="101"/>
      <c r="I4" s="101"/>
      <c r="J4" s="102"/>
    </row>
    <row r="5" spans="1:22" x14ac:dyDescent="0.2">
      <c r="A5" s="20" t="s">
        <v>1172</v>
      </c>
      <c r="B5" s="100">
        <f t="shared" ref="B5:G5" si="2">B35*N95*T35</f>
        <v>738.89619972553476</v>
      </c>
      <c r="C5" s="100">
        <f t="shared" si="2"/>
        <v>675.84917901247218</v>
      </c>
      <c r="D5" s="100">
        <f t="shared" si="2"/>
        <v>569.78050283282528</v>
      </c>
      <c r="E5" s="100">
        <f t="shared" si="2"/>
        <v>474.13149862380908</v>
      </c>
      <c r="F5" s="100">
        <f t="shared" si="2"/>
        <v>431.72837433311417</v>
      </c>
      <c r="G5" s="100">
        <f t="shared" si="2"/>
        <v>496.1202366943503</v>
      </c>
      <c r="H5" s="54"/>
      <c r="I5" s="101"/>
      <c r="J5" s="102"/>
    </row>
    <row r="6" spans="1:22" x14ac:dyDescent="0.2">
      <c r="A6" s="20" t="s">
        <v>1173</v>
      </c>
      <c r="B6" s="100">
        <f t="shared" ref="B6:G6" si="3">B33*N83*T33</f>
        <v>3980.2715009967387</v>
      </c>
      <c r="C6" s="100">
        <f t="shared" si="3"/>
        <v>3879.6745934599762</v>
      </c>
      <c r="D6" s="100">
        <f t="shared" si="3"/>
        <v>3479.9696711301385</v>
      </c>
      <c r="E6" s="100">
        <f t="shared" si="3"/>
        <v>3130.7141241095001</v>
      </c>
      <c r="F6" s="100">
        <f t="shared" si="3"/>
        <v>2867.0799287096011</v>
      </c>
      <c r="G6" s="100">
        <f t="shared" si="3"/>
        <v>2649.7340993462071</v>
      </c>
      <c r="H6" s="54"/>
      <c r="I6" s="101"/>
      <c r="J6" s="102"/>
    </row>
    <row r="7" spans="1:22" x14ac:dyDescent="0.2">
      <c r="A7" s="20" t="s">
        <v>1174</v>
      </c>
      <c r="B7" s="100">
        <f t="shared" ref="B7:G7" si="4">B30*N78*T30</f>
        <v>2370.5572231903707</v>
      </c>
      <c r="C7" s="100">
        <f t="shared" si="4"/>
        <v>2382.1155832006953</v>
      </c>
      <c r="D7" s="100">
        <f t="shared" si="4"/>
        <v>2721.9842130767229</v>
      </c>
      <c r="E7" s="100">
        <f t="shared" si="4"/>
        <v>2256.1001254935913</v>
      </c>
      <c r="F7" s="100">
        <f t="shared" si="4"/>
        <v>1640.5264218227885</v>
      </c>
      <c r="G7" s="100">
        <f t="shared" si="4"/>
        <v>1544.3134832255639</v>
      </c>
      <c r="H7" s="54"/>
      <c r="I7" s="101"/>
      <c r="J7" s="102"/>
    </row>
    <row r="8" spans="1:22" x14ac:dyDescent="0.2">
      <c r="A8" s="20" t="s">
        <v>1175</v>
      </c>
      <c r="B8" s="100">
        <f t="shared" ref="B8:G8" si="5">B33*N84*T33</f>
        <v>1773.1273344731612</v>
      </c>
      <c r="C8" s="100">
        <f t="shared" si="5"/>
        <v>2289.2650315952769</v>
      </c>
      <c r="D8" s="100">
        <f t="shared" si="5"/>
        <v>2944.4108183928738</v>
      </c>
      <c r="E8" s="100">
        <f t="shared" si="5"/>
        <v>3324.3183644332439</v>
      </c>
      <c r="F8" s="100">
        <f t="shared" si="5"/>
        <v>3587.8594154323846</v>
      </c>
      <c r="G8" s="100">
        <f t="shared" si="5"/>
        <v>3665.1130268942293</v>
      </c>
      <c r="H8" s="101"/>
      <c r="I8" s="101"/>
      <c r="J8" s="102"/>
    </row>
    <row r="9" spans="1:22" x14ac:dyDescent="0.2">
      <c r="A9" s="20" t="s">
        <v>1176</v>
      </c>
      <c r="B9" s="100">
        <f t="shared" ref="B9:G9" si="6">B35*N96*T35</f>
        <v>2906.931272730656</v>
      </c>
      <c r="C9" s="100">
        <f t="shared" si="6"/>
        <v>2912.2118595035008</v>
      </c>
      <c r="D9" s="100">
        <f t="shared" si="6"/>
        <v>3495.0084374626122</v>
      </c>
      <c r="E9" s="100">
        <f t="shared" si="6"/>
        <v>3360.2107801494831</v>
      </c>
      <c r="F9" s="100">
        <f t="shared" si="6"/>
        <v>3267.1701885122898</v>
      </c>
      <c r="G9" s="100">
        <f t="shared" si="6"/>
        <v>3050.4880615981242</v>
      </c>
      <c r="H9" s="101"/>
      <c r="I9" s="101"/>
      <c r="J9" s="102"/>
    </row>
    <row r="10" spans="1:22" x14ac:dyDescent="0.2">
      <c r="A10" s="20" t="s">
        <v>1177</v>
      </c>
      <c r="B10" s="100">
        <f t="shared" ref="B10:G10" si="7">B34*N87*T34</f>
        <v>2921.7355720884552</v>
      </c>
      <c r="C10" s="100">
        <f t="shared" si="7"/>
        <v>2053.0230489905666</v>
      </c>
      <c r="D10" s="100">
        <f t="shared" si="7"/>
        <v>3033.725578394899</v>
      </c>
      <c r="E10" s="100">
        <f t="shared" si="7"/>
        <v>3118.3710523058644</v>
      </c>
      <c r="F10" s="100">
        <f t="shared" si="7"/>
        <v>3206.3104210538318</v>
      </c>
      <c r="G10" s="100">
        <f t="shared" si="7"/>
        <v>2906.3653119842756</v>
      </c>
      <c r="H10" s="101"/>
      <c r="I10" s="101"/>
      <c r="J10" s="102"/>
    </row>
    <row r="11" spans="1:22" x14ac:dyDescent="0.2">
      <c r="A11" s="20" t="s">
        <v>1178</v>
      </c>
      <c r="B11" s="100">
        <f t="shared" ref="B11:G11" si="8">B36*T36</f>
        <v>5576.4598837400044</v>
      </c>
      <c r="C11" s="100">
        <f t="shared" si="8"/>
        <v>6099.025702171959</v>
      </c>
      <c r="D11" s="100">
        <f t="shared" si="8"/>
        <v>7138.2817957501175</v>
      </c>
      <c r="E11" s="100">
        <f t="shared" si="8"/>
        <v>7094.0284460949251</v>
      </c>
      <c r="F11" s="100">
        <f t="shared" si="8"/>
        <v>6684.2628010408198</v>
      </c>
      <c r="G11" s="100">
        <f t="shared" si="8"/>
        <v>6576.5554994144859</v>
      </c>
      <c r="H11" s="101"/>
      <c r="I11" s="101"/>
      <c r="J11" s="102"/>
    </row>
    <row r="12" spans="1:22" x14ac:dyDescent="0.2">
      <c r="A12" s="20" t="s">
        <v>1179</v>
      </c>
      <c r="B12" s="100">
        <f t="shared" ref="B12:G12" si="9">B34*N88*T34</f>
        <v>1950.410542652344</v>
      </c>
      <c r="C12" s="100">
        <f t="shared" si="9"/>
        <v>3120.4367717851228</v>
      </c>
      <c r="D12" s="100">
        <f t="shared" si="9"/>
        <v>2060.4606542151914</v>
      </c>
      <c r="E12" s="100">
        <f t="shared" si="9"/>
        <v>2050.3611793667574</v>
      </c>
      <c r="F12" s="100">
        <f t="shared" si="9"/>
        <v>1955.9731277370265</v>
      </c>
      <c r="G12" s="100">
        <f t="shared" si="9"/>
        <v>2161.9354853216805</v>
      </c>
      <c r="H12" s="101"/>
      <c r="I12" s="101"/>
      <c r="J12" s="102"/>
    </row>
    <row r="13" spans="1:22" x14ac:dyDescent="0.2">
      <c r="A13" s="20" t="s">
        <v>1180</v>
      </c>
      <c r="B13" s="100">
        <f t="shared" ref="B13:G13" si="10">B37*T37</f>
        <v>804.90139375733418</v>
      </c>
      <c r="C13" s="100">
        <f t="shared" si="10"/>
        <v>745.47850595725095</v>
      </c>
      <c r="D13" s="100">
        <f t="shared" si="10"/>
        <v>606.87025874151493</v>
      </c>
      <c r="E13" s="100">
        <f t="shared" si="10"/>
        <v>712.04624749451978</v>
      </c>
      <c r="F13" s="100">
        <f t="shared" si="10"/>
        <v>721.60296307403576</v>
      </c>
      <c r="G13" s="100">
        <f t="shared" si="10"/>
        <v>689.48572614281682</v>
      </c>
      <c r="H13" s="54"/>
      <c r="I13" s="101"/>
      <c r="J13" s="102"/>
      <c r="V13" s="103" t="s">
        <v>1155</v>
      </c>
    </row>
    <row r="14" spans="1:22" x14ac:dyDescent="0.2">
      <c r="A14" s="20" t="s">
        <v>1181</v>
      </c>
      <c r="B14" s="100">
        <f t="shared" ref="B14:G14" si="11">B39*T39</f>
        <v>2785.1306480913313</v>
      </c>
      <c r="C14" s="100">
        <f t="shared" si="11"/>
        <v>2904.4027678639354</v>
      </c>
      <c r="D14" s="100">
        <f t="shared" si="11"/>
        <v>3130.4790742571604</v>
      </c>
      <c r="E14" s="100">
        <f t="shared" si="11"/>
        <v>3104.65540948132</v>
      </c>
      <c r="F14" s="100">
        <f t="shared" si="11"/>
        <v>3205.0279408828101</v>
      </c>
      <c r="G14" s="100">
        <f t="shared" si="11"/>
        <v>3297.0240764998357</v>
      </c>
      <c r="H14" s="101"/>
      <c r="I14" s="101"/>
      <c r="J14" s="102"/>
    </row>
    <row r="15" spans="1:22" x14ac:dyDescent="0.2">
      <c r="B15" s="46"/>
      <c r="C15" s="46"/>
      <c r="D15" s="46"/>
      <c r="E15" s="46"/>
      <c r="F15" s="46"/>
      <c r="G15" s="46"/>
    </row>
    <row r="16" spans="1:22" ht="15" x14ac:dyDescent="0.2">
      <c r="A16" s="219" t="s">
        <v>1182</v>
      </c>
      <c r="B16" s="218">
        <f t="shared" ref="B16:G16" si="12">B41*N71</f>
        <v>314.14553369589635</v>
      </c>
      <c r="C16" s="218">
        <f t="shared" si="12"/>
        <v>269.642043058421</v>
      </c>
      <c r="D16" s="218">
        <f t="shared" si="12"/>
        <v>337.47455265076434</v>
      </c>
      <c r="E16" s="218">
        <f t="shared" si="12"/>
        <v>328.83673464111985</v>
      </c>
      <c r="F16" s="218">
        <f t="shared" si="12"/>
        <v>222.48606702458756</v>
      </c>
      <c r="G16" s="218">
        <f t="shared" si="12"/>
        <v>180.89988627232819</v>
      </c>
      <c r="V16" s="104" t="s">
        <v>1213</v>
      </c>
    </row>
    <row r="17" spans="1:25" ht="15" x14ac:dyDescent="0.2">
      <c r="A17" s="217" t="s">
        <v>1183</v>
      </c>
      <c r="B17" s="218">
        <f t="shared" ref="B17:G17" si="13">B41*N79</f>
        <v>1309.7598688982393</v>
      </c>
      <c r="C17" s="218">
        <f t="shared" si="13"/>
        <v>902.0751985954447</v>
      </c>
      <c r="D17" s="218">
        <f t="shared" si="13"/>
        <v>751.79974600417802</v>
      </c>
      <c r="E17" s="218">
        <f t="shared" si="13"/>
        <v>610.69679290493673</v>
      </c>
      <c r="F17" s="218">
        <f t="shared" si="13"/>
        <v>374.27562677033421</v>
      </c>
      <c r="G17" s="218">
        <f t="shared" si="13"/>
        <v>305.65842852910623</v>
      </c>
      <c r="V17" s="105" t="s">
        <v>1212</v>
      </c>
    </row>
    <row r="18" spans="1:25" x14ac:dyDescent="0.2">
      <c r="A18" s="219" t="s">
        <v>1184</v>
      </c>
      <c r="B18" s="218">
        <f t="shared" ref="B18:G18" si="14">B41*N89</f>
        <v>3318.1196339677608</v>
      </c>
      <c r="C18" s="218">
        <f t="shared" si="14"/>
        <v>3422.0026555414156</v>
      </c>
      <c r="D18" s="218">
        <f t="shared" si="14"/>
        <v>3991.2213182310697</v>
      </c>
      <c r="E18" s="218">
        <f t="shared" si="14"/>
        <v>4450.5294707018638</v>
      </c>
      <c r="F18" s="218">
        <f t="shared" si="14"/>
        <v>3983.9561160664462</v>
      </c>
      <c r="G18" s="218">
        <f t="shared" si="14"/>
        <v>4038.0181510443836</v>
      </c>
    </row>
    <row r="19" spans="1:25" x14ac:dyDescent="0.2">
      <c r="A19" s="219" t="s">
        <v>1185</v>
      </c>
      <c r="B19" s="218">
        <f t="shared" ref="B19:G19" si="15">B41*N106</f>
        <v>73.271146707896634</v>
      </c>
      <c r="C19" s="218">
        <f t="shared" si="15"/>
        <v>23.667127625946751</v>
      </c>
      <c r="D19" s="218">
        <f t="shared" si="15"/>
        <v>51.364971799658626</v>
      </c>
      <c r="E19" s="218">
        <f t="shared" si="15"/>
        <v>69.467499564973465</v>
      </c>
      <c r="F19" s="218">
        <f t="shared" si="15"/>
        <v>78.261399516067513</v>
      </c>
      <c r="G19" s="218">
        <f t="shared" si="15"/>
        <v>90.173498999613457</v>
      </c>
    </row>
    <row r="20" spans="1:25" x14ac:dyDescent="0.2">
      <c r="A20" s="219" t="s">
        <v>1186</v>
      </c>
      <c r="B20" s="218">
        <f t="shared" ref="B20:G20" si="16">B41*N110</f>
        <v>1486.5539143864571</v>
      </c>
      <c r="C20" s="218">
        <f t="shared" si="16"/>
        <v>1527.9715773310522</v>
      </c>
      <c r="D20" s="218">
        <f t="shared" si="16"/>
        <v>1506.9408242128191</v>
      </c>
      <c r="E20" s="218">
        <f t="shared" si="16"/>
        <v>1958.7231585144964</v>
      </c>
      <c r="F20" s="218">
        <f t="shared" si="16"/>
        <v>2035.6435478230956</v>
      </c>
      <c r="G20" s="218">
        <f t="shared" si="16"/>
        <v>2229.0192883211016</v>
      </c>
    </row>
    <row r="21" spans="1:25" x14ac:dyDescent="0.2">
      <c r="B21" s="100"/>
      <c r="C21" s="20"/>
    </row>
    <row r="22" spans="1:25" x14ac:dyDescent="0.2">
      <c r="B22" s="102"/>
    </row>
    <row r="24" spans="1:25" x14ac:dyDescent="0.2">
      <c r="A24" s="58" t="s">
        <v>1146</v>
      </c>
      <c r="F24" s="103" t="s">
        <v>1155</v>
      </c>
      <c r="J24" s="106"/>
      <c r="K24" s="102"/>
      <c r="L24" s="102"/>
      <c r="M24" s="58" t="s">
        <v>1156</v>
      </c>
    </row>
    <row r="25" spans="1:25" x14ac:dyDescent="0.2">
      <c r="A25" s="107" t="s">
        <v>1147</v>
      </c>
      <c r="M25" s="107" t="s">
        <v>1157</v>
      </c>
    </row>
    <row r="26" spans="1:25" x14ac:dyDescent="0.2">
      <c r="T26" s="108" t="s">
        <v>1214</v>
      </c>
      <c r="W26" s="20"/>
    </row>
    <row r="27" spans="1:25" x14ac:dyDescent="0.2">
      <c r="B27" s="109" t="s">
        <v>234</v>
      </c>
      <c r="C27" s="109" t="s">
        <v>235</v>
      </c>
      <c r="D27" s="109" t="s">
        <v>236</v>
      </c>
      <c r="E27" s="109" t="s">
        <v>237</v>
      </c>
      <c r="F27" s="109" t="s">
        <v>238</v>
      </c>
      <c r="G27" s="109" t="s">
        <v>239</v>
      </c>
      <c r="N27" s="109" t="s">
        <v>234</v>
      </c>
      <c r="O27" s="109" t="s">
        <v>235</v>
      </c>
      <c r="P27" s="109" t="s">
        <v>236</v>
      </c>
      <c r="Q27" s="109" t="s">
        <v>237</v>
      </c>
      <c r="R27" s="109" t="s">
        <v>238</v>
      </c>
      <c r="S27" s="109" t="s">
        <v>239</v>
      </c>
      <c r="T27" s="108" t="s">
        <v>234</v>
      </c>
      <c r="U27" s="108" t="s">
        <v>235</v>
      </c>
      <c r="V27" s="108" t="s">
        <v>236</v>
      </c>
      <c r="W27" s="108" t="s">
        <v>237</v>
      </c>
      <c r="X27" s="108" t="s">
        <v>238</v>
      </c>
      <c r="Y27" s="108" t="s">
        <v>239</v>
      </c>
    </row>
    <row r="28" spans="1:25" x14ac:dyDescent="0.2">
      <c r="A28" s="107" t="s">
        <v>1148</v>
      </c>
      <c r="M28" s="107" t="s">
        <v>1158</v>
      </c>
      <c r="T28" s="103"/>
      <c r="W28" s="102"/>
    </row>
    <row r="29" spans="1:25" x14ac:dyDescent="0.2">
      <c r="A29" s="107" t="s">
        <v>53</v>
      </c>
      <c r="B29" s="102">
        <v>1457.4599609375</v>
      </c>
      <c r="C29" s="102">
        <v>1807.61010742188</v>
      </c>
      <c r="D29" s="102">
        <v>1962.61010742188</v>
      </c>
      <c r="E29" s="102">
        <v>1962.61010742188</v>
      </c>
      <c r="F29" s="102">
        <v>1962.61010742188</v>
      </c>
      <c r="G29" s="102">
        <v>1962.61010742188</v>
      </c>
      <c r="M29" s="107" t="s">
        <v>53</v>
      </c>
      <c r="N29" s="110">
        <v>0.52738183736801103</v>
      </c>
      <c r="O29" s="110">
        <v>0.46504852175712602</v>
      </c>
      <c r="P29" s="110">
        <v>0.45801934599876398</v>
      </c>
      <c r="Q29" s="110">
        <v>0.50522655248642001</v>
      </c>
      <c r="R29" s="110">
        <v>0.54178041219711304</v>
      </c>
      <c r="S29" s="110">
        <v>0.50571149587631203</v>
      </c>
      <c r="T29" s="111">
        <f t="shared" ref="T29:Y29" si="17">N29+0.05</f>
        <v>0.57738183736801107</v>
      </c>
      <c r="U29" s="111">
        <f t="shared" si="17"/>
        <v>0.51504852175712601</v>
      </c>
      <c r="V29" s="111">
        <f t="shared" si="17"/>
        <v>0.50801934599876397</v>
      </c>
      <c r="W29" s="111">
        <f t="shared" si="17"/>
        <v>0.55522655248642006</v>
      </c>
      <c r="X29" s="111">
        <f t="shared" si="17"/>
        <v>0.59178041219711308</v>
      </c>
      <c r="Y29" s="111">
        <f t="shared" si="17"/>
        <v>0.55571149587631208</v>
      </c>
    </row>
    <row r="30" spans="1:25" x14ac:dyDescent="0.2">
      <c r="A30" s="107" t="s">
        <v>30</v>
      </c>
      <c r="B30" s="102">
        <v>4835.21142578125</v>
      </c>
      <c r="C30" s="102">
        <v>4894.70654296875</v>
      </c>
      <c r="D30" s="102">
        <v>4894.70654296875</v>
      </c>
      <c r="E30" s="102">
        <v>4894.70654296875</v>
      </c>
      <c r="F30" s="102">
        <v>4894.70654296875</v>
      </c>
      <c r="G30" s="102">
        <v>4894.70654296875</v>
      </c>
      <c r="M30" s="107" t="s">
        <v>30</v>
      </c>
      <c r="N30" s="110">
        <v>0.587427377700806</v>
      </c>
      <c r="O30" s="110">
        <v>0.58801138401031505</v>
      </c>
      <c r="P30" s="110">
        <v>0.62643307447433505</v>
      </c>
      <c r="Q30" s="110">
        <v>0.64126372337341297</v>
      </c>
      <c r="R30" s="110">
        <v>0.62686103582382202</v>
      </c>
      <c r="S30" s="110">
        <v>0.60262280702590898</v>
      </c>
      <c r="T30" s="111">
        <f t="shared" ref="T30:T41" si="18">N30+0.05</f>
        <v>0.63742737770080604</v>
      </c>
      <c r="U30" s="111">
        <f t="shared" ref="U30:U41" si="19">O30+0.05</f>
        <v>0.6380113840103151</v>
      </c>
      <c r="V30" s="111">
        <f t="shared" ref="V30:V41" si="20">P30+0.05</f>
        <v>0.67643307447433509</v>
      </c>
      <c r="W30" s="111">
        <f t="shared" ref="W30:W41" si="21">Q30+0.05</f>
        <v>0.69126372337341302</v>
      </c>
      <c r="X30" s="111">
        <f t="shared" ref="X30:X41" si="22">R30+0.05</f>
        <v>0.67686103582382207</v>
      </c>
      <c r="Y30" s="111">
        <f t="shared" ref="Y30:Y41" si="23">S30+0.05</f>
        <v>0.65262280702590902</v>
      </c>
    </row>
    <row r="31" spans="1:25" x14ac:dyDescent="0.2">
      <c r="A31" s="226" t="s">
        <v>1578</v>
      </c>
      <c r="B31" s="227"/>
      <c r="C31" s="227" t="e">
        <f>#REF!+#REF!+#REF!+#REF!+#REF!+#REF!+#REF!+#REF!+#REF!+#REF!+#REF!+#REF!+#REF!+#REF!+#REF!+#REF!+#REF!+#REF!+#REF!+#REF!+#REF!+#REF!+#REF!+#REF!</f>
        <v>#REF!</v>
      </c>
      <c r="D31" s="227" t="e">
        <f>SUM(#REF!)</f>
        <v>#REF!</v>
      </c>
      <c r="E31" s="227"/>
      <c r="F31" s="227"/>
      <c r="G31" s="227"/>
      <c r="M31" s="107"/>
      <c r="N31" s="110"/>
      <c r="O31" s="110"/>
      <c r="P31" s="110"/>
      <c r="Q31" s="110"/>
      <c r="R31" s="110"/>
      <c r="S31" s="110"/>
      <c r="T31" s="111"/>
      <c r="U31" s="111"/>
      <c r="V31" s="111"/>
      <c r="W31" s="111"/>
      <c r="X31" s="111"/>
      <c r="Y31" s="111"/>
    </row>
    <row r="32" spans="1:25" x14ac:dyDescent="0.2">
      <c r="A32" s="226" t="s">
        <v>1579</v>
      </c>
      <c r="B32" s="227"/>
      <c r="C32" s="228" t="e">
        <f>C31/C30</f>
        <v>#REF!</v>
      </c>
      <c r="D32" s="228" t="e">
        <f t="shared" ref="D32" si="24">D31/D30</f>
        <v>#REF!</v>
      </c>
      <c r="E32" s="228"/>
      <c r="F32" s="228"/>
      <c r="G32" s="228"/>
      <c r="M32" s="107"/>
      <c r="N32" s="110"/>
      <c r="O32" s="110"/>
      <c r="P32" s="110"/>
      <c r="Q32" s="110"/>
      <c r="R32" s="110"/>
      <c r="S32" s="110"/>
      <c r="T32" s="111"/>
      <c r="U32" s="111"/>
      <c r="V32" s="111"/>
      <c r="W32" s="111"/>
      <c r="X32" s="111"/>
      <c r="Y32" s="111"/>
    </row>
    <row r="33" spans="1:25" x14ac:dyDescent="0.2">
      <c r="A33" s="107" t="s">
        <v>31</v>
      </c>
      <c r="B33" s="102">
        <v>9278.541015625</v>
      </c>
      <c r="C33" s="102">
        <v>9717.5576171875</v>
      </c>
      <c r="D33" s="102">
        <v>10323.5244140625</v>
      </c>
      <c r="E33" s="102">
        <v>10380.955078125</v>
      </c>
      <c r="F33" s="102">
        <v>10426.6162109375</v>
      </c>
      <c r="G33" s="102">
        <v>10426.6162109375</v>
      </c>
      <c r="M33" s="107" t="s">
        <v>31</v>
      </c>
      <c r="N33" s="110">
        <v>0.57007580995559703</v>
      </c>
      <c r="O33" s="110">
        <v>0.58482408523559604</v>
      </c>
      <c r="P33" s="110">
        <v>0.57230496406555198</v>
      </c>
      <c r="Q33" s="110">
        <v>0.57181489467620805</v>
      </c>
      <c r="R33" s="110">
        <v>0.56908285617828402</v>
      </c>
      <c r="S33" s="110">
        <v>0.55564683675766002</v>
      </c>
      <c r="T33" s="111">
        <f t="shared" si="18"/>
        <v>0.62007580995559708</v>
      </c>
      <c r="U33" s="111">
        <f t="shared" si="19"/>
        <v>0.63482408523559608</v>
      </c>
      <c r="V33" s="111">
        <f t="shared" si="20"/>
        <v>0.62230496406555202</v>
      </c>
      <c r="W33" s="111">
        <f t="shared" si="21"/>
        <v>0.6218148946762081</v>
      </c>
      <c r="X33" s="111">
        <f t="shared" si="22"/>
        <v>0.61908285617828407</v>
      </c>
      <c r="Y33" s="111">
        <f t="shared" si="23"/>
        <v>0.60564683675766007</v>
      </c>
    </row>
    <row r="34" spans="1:25" x14ac:dyDescent="0.2">
      <c r="A34" s="107" t="s">
        <v>33</v>
      </c>
      <c r="B34" s="102">
        <v>7584.0048828125</v>
      </c>
      <c r="C34" s="102">
        <v>8211.8046875</v>
      </c>
      <c r="D34" s="102">
        <v>8441.9521484375</v>
      </c>
      <c r="E34" s="102">
        <v>9374.951171875</v>
      </c>
      <c r="F34" s="102">
        <v>9467.4111328125</v>
      </c>
      <c r="G34" s="102">
        <v>9467.4111328125</v>
      </c>
      <c r="M34" s="107" t="s">
        <v>33</v>
      </c>
      <c r="N34" s="110">
        <v>0.592423915863037</v>
      </c>
      <c r="O34" s="110">
        <v>0.58000278472900402</v>
      </c>
      <c r="P34" s="110">
        <v>0.55343699455261197</v>
      </c>
      <c r="Q34" s="110">
        <v>0.50133430957794201</v>
      </c>
      <c r="R34" s="110">
        <v>0.49526876211166398</v>
      </c>
      <c r="S34" s="110">
        <v>0.485341787338257</v>
      </c>
      <c r="T34" s="111">
        <f t="shared" si="18"/>
        <v>0.64242391586303704</v>
      </c>
      <c r="U34" s="111">
        <f t="shared" si="19"/>
        <v>0.63000278472900406</v>
      </c>
      <c r="V34" s="111">
        <f t="shared" si="20"/>
        <v>0.60343699455261202</v>
      </c>
      <c r="W34" s="111">
        <f t="shared" si="21"/>
        <v>0.55133430957794205</v>
      </c>
      <c r="X34" s="111">
        <f t="shared" si="22"/>
        <v>0.54526876211166397</v>
      </c>
      <c r="Y34" s="111">
        <f t="shared" si="23"/>
        <v>0.53534178733825699</v>
      </c>
    </row>
    <row r="35" spans="1:25" x14ac:dyDescent="0.2">
      <c r="A35" s="107" t="s">
        <v>32</v>
      </c>
      <c r="B35" s="102">
        <v>7253.31640625</v>
      </c>
      <c r="C35" s="102">
        <v>7594.73828125</v>
      </c>
      <c r="D35" s="102">
        <v>7594.73828125</v>
      </c>
      <c r="E35" s="102">
        <v>7594.73828125</v>
      </c>
      <c r="F35" s="102">
        <v>7594.73828125</v>
      </c>
      <c r="G35" s="102">
        <v>7594.73828125</v>
      </c>
      <c r="M35" s="107" t="s">
        <v>32</v>
      </c>
      <c r="N35" s="110">
        <v>0.45264282822608898</v>
      </c>
      <c r="O35" s="110">
        <v>0.42244037985801702</v>
      </c>
      <c r="P35" s="110">
        <v>0.48521119356155401</v>
      </c>
      <c r="Q35" s="110">
        <v>0.45486825704574602</v>
      </c>
      <c r="R35" s="110">
        <v>0.43703436851501498</v>
      </c>
      <c r="S35" s="110">
        <v>0.41698229312896701</v>
      </c>
      <c r="T35" s="111">
        <f t="shared" si="18"/>
        <v>0.50264282822608897</v>
      </c>
      <c r="U35" s="111">
        <f t="shared" si="19"/>
        <v>0.47244037985801701</v>
      </c>
      <c r="V35" s="111">
        <f t="shared" si="20"/>
        <v>0.535211193561554</v>
      </c>
      <c r="W35" s="111">
        <f t="shared" si="21"/>
        <v>0.50486825704574601</v>
      </c>
      <c r="X35" s="111">
        <f t="shared" si="22"/>
        <v>0.48703436851501497</v>
      </c>
      <c r="Y35" s="111">
        <f t="shared" si="23"/>
        <v>0.466982293128967</v>
      </c>
    </row>
    <row r="36" spans="1:25" x14ac:dyDescent="0.2">
      <c r="A36" s="107" t="s">
        <v>34</v>
      </c>
      <c r="B36" s="102">
        <v>9910.814453125</v>
      </c>
      <c r="C36" s="102">
        <v>12035.1435546875</v>
      </c>
      <c r="D36" s="102">
        <v>12035.1435546875</v>
      </c>
      <c r="E36" s="102">
        <v>12035.1435546875</v>
      </c>
      <c r="F36" s="102">
        <v>12035.1435546875</v>
      </c>
      <c r="G36" s="102">
        <v>12035.1435546875</v>
      </c>
      <c r="M36" s="107" t="s">
        <v>34</v>
      </c>
      <c r="N36" s="110">
        <v>0.51266413927078203</v>
      </c>
      <c r="O36" s="110">
        <v>0.45676800608634899</v>
      </c>
      <c r="P36" s="110">
        <v>0.54311978816986095</v>
      </c>
      <c r="Q36" s="110">
        <v>0.53944277763366699</v>
      </c>
      <c r="R36" s="110">
        <v>0.50539535284042403</v>
      </c>
      <c r="S36" s="110">
        <v>0.49644595384597801</v>
      </c>
      <c r="T36" s="111">
        <f t="shared" si="18"/>
        <v>0.56266413927078207</v>
      </c>
      <c r="U36" s="111">
        <f t="shared" si="19"/>
        <v>0.50676800608634898</v>
      </c>
      <c r="V36" s="111">
        <f t="shared" si="20"/>
        <v>0.593119788169861</v>
      </c>
      <c r="W36" s="111">
        <f t="shared" si="21"/>
        <v>0.58944277763366704</v>
      </c>
      <c r="X36" s="111">
        <f t="shared" si="22"/>
        <v>0.55539535284042407</v>
      </c>
      <c r="Y36" s="111">
        <f t="shared" si="23"/>
        <v>0.54644595384597805</v>
      </c>
    </row>
    <row r="37" spans="1:25" x14ac:dyDescent="0.2">
      <c r="A37" s="107" t="s">
        <v>35</v>
      </c>
      <c r="B37" s="102">
        <v>2155.07690429688</v>
      </c>
      <c r="C37" s="102">
        <v>2180.51000976563</v>
      </c>
      <c r="D37" s="102">
        <v>2180.51000976563</v>
      </c>
      <c r="E37" s="102">
        <v>2180.51000976563</v>
      </c>
      <c r="F37" s="102">
        <v>2180.51000976563</v>
      </c>
      <c r="G37" s="102">
        <v>2180.51000976563</v>
      </c>
      <c r="M37" s="107" t="s">
        <v>35</v>
      </c>
      <c r="N37" s="110">
        <v>0.32349079847335799</v>
      </c>
      <c r="O37" s="110">
        <v>0.291882634162903</v>
      </c>
      <c r="P37" s="110">
        <v>0.22831574082374601</v>
      </c>
      <c r="Q37" s="110">
        <v>0.276550322771072</v>
      </c>
      <c r="R37" s="110">
        <v>0.28093311190605202</v>
      </c>
      <c r="S37" s="110">
        <v>0.26620388031005898</v>
      </c>
      <c r="T37" s="111">
        <f t="shared" si="18"/>
        <v>0.37349079847335798</v>
      </c>
      <c r="U37" s="111">
        <f t="shared" si="19"/>
        <v>0.34188263416290299</v>
      </c>
      <c r="V37" s="111">
        <f t="shared" si="20"/>
        <v>0.27831574082374599</v>
      </c>
      <c r="W37" s="111">
        <f t="shared" si="21"/>
        <v>0.32655032277107199</v>
      </c>
      <c r="X37" s="111">
        <f t="shared" si="22"/>
        <v>0.33093311190605201</v>
      </c>
      <c r="Y37" s="111">
        <f t="shared" si="23"/>
        <v>0.31620388031005897</v>
      </c>
    </row>
    <row r="38" spans="1:25" x14ac:dyDescent="0.2">
      <c r="A38" s="107" t="s">
        <v>36</v>
      </c>
      <c r="B38" s="102">
        <v>2821.4599609375</v>
      </c>
      <c r="C38" s="102">
        <v>2821.4599609375</v>
      </c>
      <c r="D38" s="102">
        <v>2821.4599609375</v>
      </c>
      <c r="E38" s="102">
        <v>2841.82934570313</v>
      </c>
      <c r="F38" s="102">
        <v>2843.84790039063</v>
      </c>
      <c r="G38" s="102">
        <v>2843.84790039063</v>
      </c>
      <c r="M38" s="107" t="s">
        <v>36</v>
      </c>
      <c r="N38" s="110">
        <v>0.124511778354645</v>
      </c>
      <c r="O38" s="110">
        <v>0.13006356358528101</v>
      </c>
      <c r="P38" s="110">
        <v>0.130625560879707</v>
      </c>
      <c r="Q38" s="110">
        <v>0.12941578030586201</v>
      </c>
      <c r="R38" s="110">
        <v>0.13097327947616599</v>
      </c>
      <c r="S38" s="110">
        <v>0.131853982806206</v>
      </c>
      <c r="T38" s="111">
        <f t="shared" si="18"/>
        <v>0.17451177835464499</v>
      </c>
      <c r="U38" s="111">
        <f t="shared" si="19"/>
        <v>0.18006356358528103</v>
      </c>
      <c r="V38" s="111">
        <f t="shared" si="20"/>
        <v>0.18062556087970699</v>
      </c>
      <c r="W38" s="111">
        <f t="shared" si="21"/>
        <v>0.17941578030586203</v>
      </c>
      <c r="X38" s="111">
        <f t="shared" si="22"/>
        <v>0.18097327947616598</v>
      </c>
      <c r="Y38" s="111">
        <f t="shared" si="23"/>
        <v>0.18185398280620602</v>
      </c>
    </row>
    <row r="39" spans="1:25" x14ac:dyDescent="0.2">
      <c r="A39" s="107" t="s">
        <v>37</v>
      </c>
      <c r="B39" s="102">
        <v>4559.9697265625</v>
      </c>
      <c r="C39" s="102">
        <v>4603.77001953125</v>
      </c>
      <c r="D39" s="102">
        <v>4603.77001953125</v>
      </c>
      <c r="E39" s="102">
        <v>5232.5830078125</v>
      </c>
      <c r="F39" s="102">
        <v>5294.689453125</v>
      </c>
      <c r="G39" s="102">
        <v>5294.689453125</v>
      </c>
      <c r="M39" s="107" t="s">
        <v>37</v>
      </c>
      <c r="N39" s="110">
        <v>0.56077831983566295</v>
      </c>
      <c r="O39" s="110">
        <v>0.58087486028671298</v>
      </c>
      <c r="P39" s="110">
        <v>0.62998163700103804</v>
      </c>
      <c r="Q39" s="110">
        <v>0.54333132505416903</v>
      </c>
      <c r="R39" s="110">
        <v>0.55532878637313798</v>
      </c>
      <c r="S39" s="110">
        <v>0.572703957557678</v>
      </c>
      <c r="T39" s="111">
        <f t="shared" si="18"/>
        <v>0.610778319835663</v>
      </c>
      <c r="U39" s="111">
        <f t="shared" si="19"/>
        <v>0.63087486028671302</v>
      </c>
      <c r="V39" s="111">
        <f t="shared" si="20"/>
        <v>0.67998163700103809</v>
      </c>
      <c r="W39" s="111">
        <f t="shared" si="21"/>
        <v>0.59333132505416908</v>
      </c>
      <c r="X39" s="111">
        <f t="shared" si="22"/>
        <v>0.60532878637313803</v>
      </c>
      <c r="Y39" s="111">
        <f t="shared" si="23"/>
        <v>0.62270395755767805</v>
      </c>
    </row>
    <row r="40" spans="1:25" x14ac:dyDescent="0.2">
      <c r="A40" s="107" t="s">
        <v>54</v>
      </c>
      <c r="B40" s="102">
        <v>49855.85546875</v>
      </c>
      <c r="C40" s="102">
        <v>53867.30078125</v>
      </c>
      <c r="D40" s="102">
        <v>54858.41796875</v>
      </c>
      <c r="E40" s="102">
        <v>56498.02734375</v>
      </c>
      <c r="F40" s="102">
        <v>56700.27734375</v>
      </c>
      <c r="G40" s="102">
        <v>56700.27734375</v>
      </c>
      <c r="M40" s="107" t="s">
        <v>1159</v>
      </c>
      <c r="N40" s="110">
        <v>0.50868761539459195</v>
      </c>
      <c r="O40" s="110">
        <v>0.492839395999908</v>
      </c>
      <c r="P40" s="110">
        <v>0.52013313770294201</v>
      </c>
      <c r="Q40" s="110">
        <v>0.50492089986801103</v>
      </c>
      <c r="R40" s="110">
        <v>0.49525564908981301</v>
      </c>
      <c r="S40" s="110">
        <v>0.48430135846138</v>
      </c>
      <c r="T40" s="111">
        <f t="shared" si="18"/>
        <v>0.558687615394592</v>
      </c>
      <c r="U40" s="111">
        <f t="shared" si="19"/>
        <v>0.54283939599990805</v>
      </c>
      <c r="V40" s="111">
        <f t="shared" si="20"/>
        <v>0.57013313770294205</v>
      </c>
      <c r="W40" s="111">
        <f t="shared" si="21"/>
        <v>0.55492089986801107</v>
      </c>
      <c r="X40" s="111">
        <f t="shared" si="22"/>
        <v>0.54525564908981305</v>
      </c>
      <c r="Y40" s="111">
        <f t="shared" si="23"/>
        <v>0.53430135846138005</v>
      </c>
    </row>
    <row r="41" spans="1:25" x14ac:dyDescent="0.2">
      <c r="A41" s="107" t="s">
        <v>55</v>
      </c>
      <c r="B41" s="102">
        <v>6501.85009765625</v>
      </c>
      <c r="C41" s="102">
        <v>6945.0751953125</v>
      </c>
      <c r="D41" s="102">
        <v>7100.0751953125</v>
      </c>
      <c r="E41" s="102">
        <v>8680.16015625</v>
      </c>
      <c r="F41" s="102">
        <v>8836.7451171875</v>
      </c>
      <c r="G41" s="102">
        <v>8836.7451171875</v>
      </c>
      <c r="M41" s="107" t="s">
        <v>55</v>
      </c>
      <c r="N41" s="110">
        <v>0.64688348770141602</v>
      </c>
      <c r="O41" s="110">
        <v>0.56445765495300304</v>
      </c>
      <c r="P41" s="110">
        <v>0.53024685382842995</v>
      </c>
      <c r="Q41" s="110">
        <v>0.50292164087295499</v>
      </c>
      <c r="R41" s="110">
        <v>0.47014397382736201</v>
      </c>
      <c r="S41" s="110">
        <v>0.44361677765846302</v>
      </c>
      <c r="T41" s="111">
        <f t="shared" si="18"/>
        <v>0.69688348770141606</v>
      </c>
      <c r="U41" s="111">
        <f t="shared" si="19"/>
        <v>0.61445765495300309</v>
      </c>
      <c r="V41" s="111">
        <f t="shared" si="20"/>
        <v>0.58024685382843</v>
      </c>
      <c r="W41" s="111">
        <f t="shared" si="21"/>
        <v>0.55292164087295503</v>
      </c>
      <c r="X41" s="111">
        <f t="shared" si="22"/>
        <v>0.52014397382736199</v>
      </c>
      <c r="Y41" s="111">
        <f t="shared" si="23"/>
        <v>0.49361677765846301</v>
      </c>
    </row>
    <row r="42" spans="1:25" x14ac:dyDescent="0.2">
      <c r="B42" s="112"/>
      <c r="W42" s="102"/>
    </row>
    <row r="43" spans="1:25" x14ac:dyDescent="0.2">
      <c r="A43" s="107" t="s">
        <v>1149</v>
      </c>
      <c r="M43" s="107" t="s">
        <v>1160</v>
      </c>
      <c r="W43" s="102"/>
    </row>
    <row r="44" spans="1:25" x14ac:dyDescent="0.2">
      <c r="A44" s="107" t="s">
        <v>53</v>
      </c>
      <c r="B44" s="102">
        <v>132.86000061035199</v>
      </c>
      <c r="C44" s="102">
        <v>132.86000061035199</v>
      </c>
      <c r="D44" s="102">
        <v>132.86000061035199</v>
      </c>
      <c r="E44" s="102">
        <v>132.86000061035199</v>
      </c>
      <c r="F44" s="102">
        <v>132.86000061035199</v>
      </c>
      <c r="G44" s="102">
        <v>132.86000061035199</v>
      </c>
      <c r="M44" s="107" t="s">
        <v>53</v>
      </c>
      <c r="N44" s="110">
        <v>0.79432481527328502</v>
      </c>
      <c r="O44" s="110">
        <v>0.79432481527328502</v>
      </c>
      <c r="P44" s="110">
        <v>0.79432481527328502</v>
      </c>
      <c r="Q44" s="110">
        <v>0.79432481527328502</v>
      </c>
      <c r="R44" s="110">
        <v>0.79432481527328502</v>
      </c>
      <c r="S44" s="110">
        <v>0.79432481527328502</v>
      </c>
      <c r="W44" s="102"/>
    </row>
    <row r="45" spans="1:25" x14ac:dyDescent="0.2">
      <c r="A45" s="107" t="s">
        <v>30</v>
      </c>
      <c r="B45" s="102">
        <v>2280.45263671875</v>
      </c>
      <c r="C45" s="102">
        <v>2598.98071289063</v>
      </c>
      <c r="D45" s="102">
        <v>2598.98071289063</v>
      </c>
      <c r="E45" s="102">
        <v>2598.98071289063</v>
      </c>
      <c r="F45" s="102">
        <v>2598.98071289063</v>
      </c>
      <c r="G45" s="102">
        <v>2598.98071289063</v>
      </c>
      <c r="M45" s="107" t="s">
        <v>30</v>
      </c>
      <c r="N45" s="110">
        <v>0.28399223089218101</v>
      </c>
      <c r="O45" s="110">
        <v>0.264329433441162</v>
      </c>
      <c r="P45" s="110">
        <v>0.27671316266059898</v>
      </c>
      <c r="Q45" s="110">
        <v>0.29788711667060902</v>
      </c>
      <c r="R45" s="110">
        <v>0.300356686115265</v>
      </c>
      <c r="S45" s="110">
        <v>0.27832126617431602</v>
      </c>
      <c r="V45" s="102"/>
      <c r="W45" s="102"/>
    </row>
    <row r="46" spans="1:25" x14ac:dyDescent="0.2">
      <c r="A46" s="107" t="s">
        <v>31</v>
      </c>
      <c r="B46" s="102">
        <v>3799.32177734375</v>
      </c>
      <c r="C46" s="102">
        <v>3888.7470703125</v>
      </c>
      <c r="D46" s="102">
        <v>3888.7470703125</v>
      </c>
      <c r="E46" s="102">
        <v>3888.7470703125</v>
      </c>
      <c r="F46" s="102">
        <v>3888.7470703125</v>
      </c>
      <c r="G46" s="102">
        <v>3888.7470703125</v>
      </c>
      <c r="M46" s="107" t="s">
        <v>31</v>
      </c>
      <c r="N46" s="110">
        <v>0.52424746751785301</v>
      </c>
      <c r="O46" s="110">
        <v>0.49455159902572599</v>
      </c>
      <c r="P46" s="110">
        <v>0.49873405694961498</v>
      </c>
      <c r="Q46" s="110">
        <v>0.47750064730644198</v>
      </c>
      <c r="R46" s="110">
        <v>0.45452663302421598</v>
      </c>
      <c r="S46" s="110">
        <v>0.43679568171501199</v>
      </c>
      <c r="V46" s="102"/>
      <c r="W46" s="102"/>
    </row>
    <row r="47" spans="1:25" x14ac:dyDescent="0.2">
      <c r="A47" s="107" t="s">
        <v>33</v>
      </c>
      <c r="B47" s="102">
        <v>5642.7763671875</v>
      </c>
      <c r="C47" s="102">
        <v>5992.369140625</v>
      </c>
      <c r="D47" s="102">
        <v>6164.8486328125</v>
      </c>
      <c r="E47" s="102">
        <v>6164.8486328125</v>
      </c>
      <c r="F47" s="102">
        <v>6164.8486328125</v>
      </c>
      <c r="G47" s="102">
        <v>6164.8486328125</v>
      </c>
      <c r="M47" s="107" t="s">
        <v>33</v>
      </c>
      <c r="N47" s="110">
        <v>0.63224911689758301</v>
      </c>
      <c r="O47" s="110">
        <v>0.60877984762191795</v>
      </c>
      <c r="P47" s="110">
        <v>0.56554663181304898</v>
      </c>
      <c r="Q47" s="110">
        <v>0.56179559230804399</v>
      </c>
      <c r="R47" s="110">
        <v>0.55800133943557695</v>
      </c>
      <c r="S47" s="110">
        <v>0.53896319866180398</v>
      </c>
      <c r="V47" s="102"/>
      <c r="W47" s="102"/>
    </row>
    <row r="48" spans="1:25" x14ac:dyDescent="0.2">
      <c r="A48" s="107" t="s">
        <v>32</v>
      </c>
      <c r="B48" s="102">
        <v>3494.11596679688</v>
      </c>
      <c r="C48" s="102">
        <v>3559.47998046875</v>
      </c>
      <c r="D48" s="102">
        <v>3559.47998046875</v>
      </c>
      <c r="E48" s="102">
        <v>3559.47998046875</v>
      </c>
      <c r="F48" s="102">
        <v>3559.47998046875</v>
      </c>
      <c r="G48" s="102">
        <v>3559.47998046875</v>
      </c>
      <c r="M48" s="107" t="s">
        <v>32</v>
      </c>
      <c r="N48" s="110">
        <v>0.48443529009818997</v>
      </c>
      <c r="O48" s="110">
        <v>0.52294921875</v>
      </c>
      <c r="P48" s="110">
        <v>0.594171702861786</v>
      </c>
      <c r="Q48" s="110">
        <v>0.62353676557540905</v>
      </c>
      <c r="R48" s="110">
        <v>0.60782825946807895</v>
      </c>
      <c r="S48" s="110">
        <v>0.58816266059875499</v>
      </c>
      <c r="V48" s="102"/>
      <c r="W48" s="102"/>
    </row>
    <row r="49" spans="1:25" x14ac:dyDescent="0.2">
      <c r="A49" s="107" t="s">
        <v>34</v>
      </c>
      <c r="B49" s="102">
        <v>8769.1259765625</v>
      </c>
      <c r="C49" s="102">
        <v>8833.0009765625</v>
      </c>
      <c r="D49" s="102">
        <v>9266.48828125</v>
      </c>
      <c r="E49" s="102">
        <v>9323.9189453125</v>
      </c>
      <c r="F49" s="102">
        <v>9369.5791015625</v>
      </c>
      <c r="G49" s="102">
        <v>9369.5791015625</v>
      </c>
      <c r="M49" s="107" t="s">
        <v>34</v>
      </c>
      <c r="N49" s="110">
        <v>0.497378170490265</v>
      </c>
      <c r="O49" s="110">
        <v>0.53006023168563798</v>
      </c>
      <c r="P49" s="110">
        <v>0.60210055112838701</v>
      </c>
      <c r="Q49" s="110">
        <v>0.59064048528671298</v>
      </c>
      <c r="R49" s="110">
        <v>0.58273404836654696</v>
      </c>
      <c r="S49" s="110">
        <v>0.56905615329742398</v>
      </c>
      <c r="V49" s="102"/>
      <c r="W49" s="102"/>
    </row>
    <row r="50" spans="1:25" x14ac:dyDescent="0.2">
      <c r="A50" s="107" t="s">
        <v>35</v>
      </c>
      <c r="B50" s="102">
        <v>15456.7646484375</v>
      </c>
      <c r="C50" s="102">
        <v>17605.701171875</v>
      </c>
      <c r="D50" s="102">
        <v>17744.673828125</v>
      </c>
      <c r="E50" s="102">
        <v>17744.673828125</v>
      </c>
      <c r="F50" s="102">
        <v>17744.673828125</v>
      </c>
      <c r="G50" s="102">
        <v>17744.673828125</v>
      </c>
      <c r="M50" s="107" t="s">
        <v>35</v>
      </c>
      <c r="N50" s="110">
        <v>0.43317866325378401</v>
      </c>
      <c r="O50" s="110">
        <v>0.41197136044502303</v>
      </c>
      <c r="P50" s="110">
        <v>0.47257986664772</v>
      </c>
      <c r="Q50" s="110">
        <v>0.44521629810333302</v>
      </c>
      <c r="R50" s="110">
        <v>0.42324331402778598</v>
      </c>
      <c r="S50" s="110">
        <v>0.41618445515632602</v>
      </c>
      <c r="V50" s="102"/>
      <c r="W50" s="102"/>
    </row>
    <row r="51" spans="1:25" x14ac:dyDescent="0.2">
      <c r="A51" s="107" t="s">
        <v>36</v>
      </c>
      <c r="B51" s="102">
        <v>6007.8623046875</v>
      </c>
      <c r="C51" s="102">
        <v>6642.845703125</v>
      </c>
      <c r="D51" s="102">
        <v>6734.0205078125</v>
      </c>
      <c r="E51" s="102">
        <v>6736.1162109375</v>
      </c>
      <c r="F51" s="102">
        <v>6736.1162109375</v>
      </c>
      <c r="G51" s="102">
        <v>6736.1162109375</v>
      </c>
      <c r="M51" s="107" t="s">
        <v>36</v>
      </c>
      <c r="N51" s="110">
        <v>0.53964155912399303</v>
      </c>
      <c r="O51" s="110">
        <v>0.53460568189621005</v>
      </c>
      <c r="P51" s="110">
        <v>0.51661497354507402</v>
      </c>
      <c r="Q51" s="110">
        <v>0.49995324015617398</v>
      </c>
      <c r="R51" s="110">
        <v>0.56205862760543801</v>
      </c>
      <c r="S51" s="110">
        <v>0.59217536449432395</v>
      </c>
      <c r="V51" s="102"/>
      <c r="W51" s="102"/>
    </row>
    <row r="52" spans="1:25" x14ac:dyDescent="0.2">
      <c r="A52" s="107" t="s">
        <v>37</v>
      </c>
      <c r="B52" s="102">
        <v>519.82409667968795</v>
      </c>
      <c r="C52" s="102">
        <v>519.82409667968795</v>
      </c>
      <c r="D52" s="102">
        <v>519.82409667968795</v>
      </c>
      <c r="E52" s="102">
        <v>519.82409667968795</v>
      </c>
      <c r="F52" s="102">
        <v>519.82409667968795</v>
      </c>
      <c r="G52" s="102">
        <v>519.82409667968795</v>
      </c>
      <c r="M52" s="107" t="s">
        <v>37</v>
      </c>
      <c r="N52" s="110">
        <v>0.13755993545055401</v>
      </c>
      <c r="O52" s="110">
        <v>0.19193732738494901</v>
      </c>
      <c r="P52" s="110">
        <v>0.17656533420085899</v>
      </c>
      <c r="Q52" s="110">
        <v>0.190750002861023</v>
      </c>
      <c r="R52" s="110">
        <v>0.25690558552741999</v>
      </c>
      <c r="S52" s="110">
        <v>0.296601831912994</v>
      </c>
      <c r="W52" s="102"/>
    </row>
    <row r="53" spans="1:25" x14ac:dyDescent="0.2">
      <c r="A53" s="107" t="s">
        <v>54</v>
      </c>
      <c r="B53" s="102">
        <v>46103.09765625</v>
      </c>
      <c r="C53" s="102">
        <v>49773.8125</v>
      </c>
      <c r="D53" s="102">
        <v>50609.921875</v>
      </c>
      <c r="E53" s="102">
        <v>50669.4453125</v>
      </c>
      <c r="F53" s="102">
        <v>50715.109375</v>
      </c>
      <c r="G53" s="102">
        <v>50715.109375</v>
      </c>
      <c r="M53" s="107" t="s">
        <v>1159</v>
      </c>
      <c r="N53" s="110">
        <v>0.48534652590751598</v>
      </c>
      <c r="O53" s="110">
        <v>0.47839036583900502</v>
      </c>
      <c r="P53" s="110">
        <v>0.511785447597504</v>
      </c>
      <c r="Q53" s="110">
        <v>0.499189823865891</v>
      </c>
      <c r="R53" s="110">
        <v>0.49585151672363298</v>
      </c>
      <c r="S53" s="110">
        <v>0.48907855153083801</v>
      </c>
    </row>
    <row r="54" spans="1:25" x14ac:dyDescent="0.2">
      <c r="A54" s="107" t="s">
        <v>56</v>
      </c>
      <c r="B54" s="102">
        <v>2749.09521484375</v>
      </c>
      <c r="C54" s="102">
        <v>2851.57958984375</v>
      </c>
      <c r="D54" s="102">
        <v>2851.57958984375</v>
      </c>
      <c r="E54" s="102">
        <v>2851.57958984375</v>
      </c>
      <c r="F54" s="102">
        <v>2851.57958984375</v>
      </c>
      <c r="G54" s="102">
        <v>2851.57958984375</v>
      </c>
      <c r="M54" s="107" t="s">
        <v>56</v>
      </c>
      <c r="N54" s="110">
        <v>0.44409409165382402</v>
      </c>
      <c r="O54" s="110">
        <v>0.41506236791610701</v>
      </c>
      <c r="P54" s="110">
        <v>0.39716061949729897</v>
      </c>
      <c r="Q54" s="110">
        <v>0.39700007438659701</v>
      </c>
      <c r="R54" s="110">
        <v>0.42803466320037797</v>
      </c>
      <c r="S54" s="110">
        <v>0.44318720698356601</v>
      </c>
    </row>
    <row r="56" spans="1:25" x14ac:dyDescent="0.2">
      <c r="A56" s="107" t="s">
        <v>1150</v>
      </c>
      <c r="M56" s="107" t="s">
        <v>1161</v>
      </c>
    </row>
    <row r="57" spans="1:25" x14ac:dyDescent="0.2">
      <c r="A57" s="107" t="s">
        <v>1151</v>
      </c>
      <c r="M57" s="107" t="s">
        <v>1162</v>
      </c>
    </row>
    <row r="58" spans="1:25" x14ac:dyDescent="0.2">
      <c r="A58" s="107" t="s">
        <v>1152</v>
      </c>
      <c r="M58" s="107" t="s">
        <v>1152</v>
      </c>
    </row>
    <row r="59" spans="1:25" x14ac:dyDescent="0.2">
      <c r="A59" s="107" t="s">
        <v>1153</v>
      </c>
      <c r="M59" s="107" t="s">
        <v>1153</v>
      </c>
    </row>
    <row r="60" spans="1:25" x14ac:dyDescent="0.2">
      <c r="A60" s="63" t="s">
        <v>1154</v>
      </c>
      <c r="M60" s="107" t="s">
        <v>1154</v>
      </c>
    </row>
    <row r="61" spans="1:25" x14ac:dyDescent="0.2">
      <c r="A61" s="20" t="s">
        <v>1574</v>
      </c>
      <c r="U61" s="107"/>
    </row>
    <row r="62" spans="1:25" x14ac:dyDescent="0.2">
      <c r="U62" s="107"/>
    </row>
    <row r="63" spans="1:25" x14ac:dyDescent="0.2">
      <c r="U63" s="109"/>
      <c r="V63" s="109"/>
      <c r="W63" s="109"/>
      <c r="X63" s="109"/>
      <c r="Y63" s="109"/>
    </row>
    <row r="64" spans="1:25" ht="18" x14ac:dyDescent="0.2">
      <c r="A64" s="313" t="s">
        <v>1114</v>
      </c>
      <c r="B64" s="313"/>
      <c r="C64" s="313"/>
      <c r="D64" s="313"/>
      <c r="E64" s="313"/>
      <c r="F64" s="313"/>
      <c r="G64" s="313"/>
      <c r="H64" s="313"/>
      <c r="I64" s="313"/>
      <c r="Q64" s="109"/>
    </row>
    <row r="65" spans="1:29" ht="18" x14ac:dyDescent="0.2">
      <c r="A65" s="313" t="s">
        <v>1115</v>
      </c>
      <c r="B65" s="313"/>
      <c r="C65" s="313"/>
      <c r="D65" s="313"/>
      <c r="E65" s="313"/>
      <c r="F65" s="313"/>
      <c r="G65" s="313"/>
      <c r="H65" s="313"/>
      <c r="I65" s="313"/>
      <c r="U65" s="113"/>
      <c r="V65" s="113"/>
      <c r="W65" s="113"/>
      <c r="X65" s="113"/>
      <c r="Y65" s="113"/>
      <c r="Z65" s="109"/>
    </row>
    <row r="66" spans="1:29" ht="15" x14ac:dyDescent="0.25">
      <c r="N66" s="51" t="s">
        <v>1256</v>
      </c>
      <c r="Q66" s="113"/>
      <c r="U66" s="113"/>
      <c r="V66" s="113"/>
      <c r="W66" s="113"/>
      <c r="X66" s="113"/>
      <c r="Y66" s="113"/>
    </row>
    <row r="67" spans="1:29" x14ac:dyDescent="0.2">
      <c r="B67" s="109" t="s">
        <v>234</v>
      </c>
      <c r="C67" s="109" t="s">
        <v>235</v>
      </c>
      <c r="D67" s="109" t="s">
        <v>236</v>
      </c>
      <c r="E67" s="109" t="s">
        <v>237</v>
      </c>
      <c r="F67" s="109" t="s">
        <v>238</v>
      </c>
      <c r="G67" s="109" t="s">
        <v>239</v>
      </c>
      <c r="H67" s="13">
        <v>2035</v>
      </c>
      <c r="I67" s="13">
        <v>2040</v>
      </c>
      <c r="J67" s="13">
        <v>2045</v>
      </c>
      <c r="K67" s="13">
        <v>2050</v>
      </c>
      <c r="L67" s="13">
        <v>2055</v>
      </c>
      <c r="N67" s="109"/>
      <c r="O67" s="109"/>
      <c r="P67" s="109"/>
      <c r="Q67" s="112" t="s">
        <v>1187</v>
      </c>
      <c r="R67" s="108"/>
      <c r="S67" s="114">
        <f>B71+B79+B89+B90+B106+B110+B111</f>
        <v>4249.8469238281295</v>
      </c>
      <c r="T67" s="109"/>
      <c r="Z67" s="113"/>
      <c r="AA67" s="109"/>
      <c r="AB67" s="109"/>
    </row>
    <row r="68" spans="1:29" x14ac:dyDescent="0.2">
      <c r="Z68" s="113"/>
    </row>
    <row r="69" spans="1:29" ht="15" x14ac:dyDescent="0.25">
      <c r="A69" s="115" t="s">
        <v>1116</v>
      </c>
      <c r="N69" s="109" t="s">
        <v>234</v>
      </c>
      <c r="O69" s="109" t="s">
        <v>235</v>
      </c>
      <c r="P69" s="109" t="s">
        <v>236</v>
      </c>
      <c r="Q69" s="109" t="s">
        <v>237</v>
      </c>
      <c r="R69" s="109" t="s">
        <v>238</v>
      </c>
      <c r="S69" s="109" t="s">
        <v>239</v>
      </c>
      <c r="T69" s="13">
        <v>2035</v>
      </c>
      <c r="U69" s="13">
        <v>2040</v>
      </c>
      <c r="V69" s="113"/>
      <c r="W69" s="113"/>
      <c r="X69" s="113"/>
      <c r="Y69" s="113"/>
      <c r="AA69" s="113"/>
      <c r="AB69" s="113"/>
      <c r="AC69" s="109"/>
    </row>
    <row r="70" spans="1:29" x14ac:dyDescent="0.2">
      <c r="A70" s="116" t="s">
        <v>1117</v>
      </c>
      <c r="B70" s="102">
        <v>603.431396484375</v>
      </c>
      <c r="C70" s="117">
        <v>728</v>
      </c>
      <c r="D70" s="117">
        <v>816</v>
      </c>
      <c r="E70" s="117">
        <v>876</v>
      </c>
      <c r="F70" s="117">
        <v>963</v>
      </c>
      <c r="G70" s="117">
        <v>1058</v>
      </c>
      <c r="H70" s="117">
        <v>1122</v>
      </c>
      <c r="I70" s="56">
        <f t="shared" ref="I70:L71" si="25">H70*(AVERAGE((H70/G70),(G70/F70)))</f>
        <v>1211.2784069160055</v>
      </c>
      <c r="J70" s="56">
        <f t="shared" si="25"/>
        <v>1296.1056061526649</v>
      </c>
      <c r="K70" s="56">
        <f t="shared" si="25"/>
        <v>1393.055540467986</v>
      </c>
      <c r="L70" s="56">
        <f t="shared" si="25"/>
        <v>1493.9351102857381</v>
      </c>
      <c r="N70" s="118">
        <v>1</v>
      </c>
      <c r="O70" s="118">
        <v>1</v>
      </c>
      <c r="P70" s="118">
        <v>1</v>
      </c>
      <c r="Q70" s="118">
        <v>1</v>
      </c>
      <c r="R70" s="118">
        <v>1</v>
      </c>
      <c r="S70" s="118">
        <v>1</v>
      </c>
      <c r="T70" s="118">
        <v>1</v>
      </c>
      <c r="U70" s="118">
        <v>1</v>
      </c>
      <c r="V70" s="113"/>
      <c r="W70" s="113"/>
      <c r="X70" s="113"/>
      <c r="Y70" s="113"/>
      <c r="AA70" s="113"/>
      <c r="AB70" s="113"/>
    </row>
    <row r="71" spans="1:29" x14ac:dyDescent="0.2">
      <c r="A71" s="119" t="s">
        <v>1118</v>
      </c>
      <c r="B71" s="112">
        <v>205.33700561523401</v>
      </c>
      <c r="C71" s="120">
        <v>165</v>
      </c>
      <c r="D71" s="120">
        <v>202</v>
      </c>
      <c r="E71" s="120">
        <v>161</v>
      </c>
      <c r="F71" s="120">
        <v>107</v>
      </c>
      <c r="G71" s="120">
        <v>87</v>
      </c>
      <c r="H71" s="120">
        <v>75</v>
      </c>
      <c r="I71" s="121">
        <f t="shared" si="25"/>
        <v>62.818240412504025</v>
      </c>
      <c r="J71" s="121">
        <f t="shared" si="25"/>
        <v>53.384369954164711</v>
      </c>
      <c r="K71" s="121">
        <f t="shared" si="25"/>
        <v>45.040374005801873</v>
      </c>
      <c r="L71" s="121">
        <f t="shared" si="25"/>
        <v>38.138441089347218</v>
      </c>
      <c r="N71" s="122">
        <f>B71/$S$67</f>
        <v>4.83163298103624E-2</v>
      </c>
      <c r="O71" s="122">
        <f t="shared" ref="O71:U71" si="26">C71/$S$67</f>
        <v>3.8824927805016833E-2</v>
      </c>
      <c r="P71" s="122">
        <f t="shared" si="26"/>
        <v>4.7531123737050908E-2</v>
      </c>
      <c r="Q71" s="122">
        <f t="shared" si="26"/>
        <v>3.7883717433986122E-2</v>
      </c>
      <c r="R71" s="122">
        <f t="shared" si="26"/>
        <v>2.517737742507152E-2</v>
      </c>
      <c r="S71" s="122">
        <f t="shared" si="26"/>
        <v>2.0471325569917966E-2</v>
      </c>
      <c r="T71" s="122">
        <f t="shared" si="26"/>
        <v>1.7647694456825833E-2</v>
      </c>
      <c r="U71" s="122">
        <f t="shared" si="26"/>
        <v>1.4781294841537332E-2</v>
      </c>
      <c r="V71" s="113"/>
      <c r="W71" s="113"/>
      <c r="X71" s="113"/>
      <c r="Y71" s="113"/>
      <c r="Z71" s="113"/>
      <c r="AC71" s="113"/>
    </row>
    <row r="72" spans="1:29" x14ac:dyDescent="0.2">
      <c r="A72" s="82" t="s">
        <v>1572</v>
      </c>
      <c r="B72" s="102">
        <v>603.431396484375</v>
      </c>
      <c r="C72" s="117">
        <v>742.58483899999999</v>
      </c>
      <c r="D72" s="117">
        <v>928.89550799999995</v>
      </c>
      <c r="E72" s="117">
        <v>958.91857900000002</v>
      </c>
      <c r="F72" s="117">
        <v>944.946777</v>
      </c>
      <c r="G72" s="117">
        <v>854.27960199999995</v>
      </c>
      <c r="H72" s="117">
        <v>848.02502400000003</v>
      </c>
      <c r="I72" s="117">
        <v>770.81579599999998</v>
      </c>
      <c r="J72" s="56">
        <f t="shared" ref="J72:J73" si="27">I72*(AVERAGE((I72/H72),(H72/G72)))</f>
        <v>732.90422468777922</v>
      </c>
      <c r="K72" s="56">
        <f t="shared" ref="K72:K73" si="28">J72*(AVERAGE((J72/I72),(I72/H72)))</f>
        <v>681.51678085598655</v>
      </c>
      <c r="L72" s="56">
        <f t="shared" ref="L72:L73" si="29">K72*(AVERAGE((K72/J72),(J72/I72)))</f>
        <v>640.86481172801814</v>
      </c>
      <c r="N72" s="122"/>
      <c r="O72" s="122"/>
      <c r="P72" s="122"/>
      <c r="Q72" s="122"/>
      <c r="R72" s="122"/>
      <c r="S72" s="122"/>
      <c r="T72" s="122"/>
      <c r="U72" s="122"/>
      <c r="V72" s="113"/>
      <c r="W72" s="113"/>
      <c r="X72" s="113"/>
      <c r="Y72" s="113"/>
      <c r="Z72" s="113"/>
      <c r="AC72" s="113"/>
    </row>
    <row r="73" spans="1:29" x14ac:dyDescent="0.2">
      <c r="A73" s="119" t="s">
        <v>1573</v>
      </c>
      <c r="B73" s="112">
        <v>205.33700561523401</v>
      </c>
      <c r="C73" s="120">
        <v>192.60810900000001</v>
      </c>
      <c r="D73" s="120">
        <v>204.17950400000001</v>
      </c>
      <c r="E73" s="120">
        <v>200.80328399999999</v>
      </c>
      <c r="F73" s="120">
        <v>194.46762100000001</v>
      </c>
      <c r="G73" s="120">
        <v>255.27981600000001</v>
      </c>
      <c r="H73" s="120">
        <v>322.76916499999999</v>
      </c>
      <c r="I73" s="120">
        <v>396.94946299999998</v>
      </c>
      <c r="J73" s="121">
        <f t="shared" si="27"/>
        <v>495.03540202967713</v>
      </c>
      <c r="K73" s="121">
        <f t="shared" si="28"/>
        <v>613.08251506149395</v>
      </c>
      <c r="L73" s="121">
        <f t="shared" si="29"/>
        <v>761.92707834432247</v>
      </c>
      <c r="N73" s="122"/>
      <c r="O73" s="122"/>
      <c r="P73" s="122"/>
      <c r="Q73" s="122"/>
      <c r="R73" s="122"/>
      <c r="S73" s="122"/>
      <c r="T73" s="122"/>
      <c r="U73" s="122"/>
      <c r="V73" s="113"/>
      <c r="W73" s="113"/>
      <c r="X73" s="113"/>
      <c r="Y73" s="113"/>
      <c r="Z73" s="113"/>
      <c r="AC73" s="113"/>
    </row>
    <row r="74" spans="1:29" x14ac:dyDescent="0.2">
      <c r="A74" s="119"/>
      <c r="B74" s="112"/>
      <c r="C74" s="120"/>
      <c r="D74" s="120"/>
      <c r="E74" s="120"/>
      <c r="F74" s="120"/>
      <c r="G74" s="120"/>
      <c r="H74" s="120"/>
      <c r="I74" s="120"/>
      <c r="J74" s="121"/>
      <c r="K74" s="121"/>
      <c r="L74" s="121"/>
      <c r="N74" s="122"/>
      <c r="O74" s="122"/>
      <c r="P74" s="122"/>
      <c r="Q74" s="122"/>
      <c r="R74" s="122"/>
      <c r="S74" s="122"/>
      <c r="T74" s="122"/>
      <c r="U74" s="122"/>
      <c r="V74" s="113"/>
      <c r="W74" s="113"/>
      <c r="X74" s="113"/>
      <c r="Y74" s="113"/>
      <c r="Z74" s="113"/>
      <c r="AC74" s="113"/>
    </row>
    <row r="75" spans="1:29" x14ac:dyDescent="0.2">
      <c r="A75" s="116"/>
      <c r="C75" s="56"/>
      <c r="D75" s="56"/>
      <c r="E75" s="56"/>
      <c r="F75" s="56"/>
      <c r="G75" s="56"/>
      <c r="H75" s="56"/>
      <c r="I75" s="56"/>
      <c r="Z75" s="113"/>
      <c r="AC75" s="113"/>
    </row>
    <row r="76" spans="1:29" ht="15" x14ac:dyDescent="0.25">
      <c r="A76" s="115" t="s">
        <v>1119</v>
      </c>
      <c r="C76" s="56"/>
      <c r="D76" s="56"/>
      <c r="E76" s="56"/>
      <c r="F76" s="56"/>
      <c r="G76" s="56"/>
      <c r="H76" s="56"/>
      <c r="I76" s="56"/>
      <c r="N76" s="113"/>
      <c r="O76" s="113"/>
      <c r="P76" s="113"/>
      <c r="Q76" s="113"/>
      <c r="R76" s="113"/>
      <c r="S76" s="113"/>
      <c r="T76" s="113"/>
      <c r="U76" s="113"/>
      <c r="Z76" s="113"/>
      <c r="AA76" s="113"/>
      <c r="AB76" s="113"/>
    </row>
    <row r="77" spans="1:29" x14ac:dyDescent="0.2">
      <c r="A77" s="116" t="s">
        <v>1120</v>
      </c>
      <c r="B77" s="102">
        <v>456.14691162109398</v>
      </c>
      <c r="C77" s="117">
        <v>553.83349599999997</v>
      </c>
      <c r="D77" s="117">
        <v>67.532448000000002</v>
      </c>
      <c r="E77" s="117">
        <v>36.491118999999998</v>
      </c>
      <c r="F77" s="117">
        <v>47.457565000000002</v>
      </c>
      <c r="G77" s="117">
        <v>56.288845000000002</v>
      </c>
      <c r="H77" s="117">
        <v>47.872123999999999</v>
      </c>
      <c r="I77" s="117">
        <v>49.562598999999999</v>
      </c>
      <c r="J77" s="56">
        <f t="shared" ref="I77:L79" si="30">I77*(AVERAGE((I77/H77),(H77/G77)))</f>
        <v>46.732202104104367</v>
      </c>
      <c r="K77" s="56">
        <f t="shared" si="30"/>
        <v>46.222932989297249</v>
      </c>
      <c r="L77" s="56">
        <f t="shared" si="30"/>
        <v>44.651234905378722</v>
      </c>
      <c r="N77" s="118">
        <f>B77/SUM(B77:B78)</f>
        <v>0.23086201218520877</v>
      </c>
      <c r="O77" s="118">
        <f t="shared" ref="O77:U77" si="31">C77/SUM(C77:C78)</f>
        <v>0.23720516619474424</v>
      </c>
      <c r="P77" s="118">
        <f t="shared" si="31"/>
        <v>0.17788209215420248</v>
      </c>
      <c r="Q77" s="118">
        <f t="shared" si="31"/>
        <v>0.33321174080172267</v>
      </c>
      <c r="R77" s="118">
        <f t="shared" si="31"/>
        <v>0.50482688623415795</v>
      </c>
      <c r="S77" s="118">
        <f t="shared" si="31"/>
        <v>0.51655557419684328</v>
      </c>
      <c r="T77" s="118">
        <f t="shared" si="31"/>
        <v>0.51753147939879895</v>
      </c>
      <c r="U77" s="118">
        <f t="shared" si="31"/>
        <v>0.49999911223537985</v>
      </c>
      <c r="V77" s="113"/>
      <c r="W77" s="113"/>
      <c r="X77" s="113"/>
      <c r="Y77" s="113"/>
      <c r="AA77" s="113"/>
      <c r="AB77" s="113"/>
    </row>
    <row r="78" spans="1:29" x14ac:dyDescent="0.2">
      <c r="A78" s="116" t="s">
        <v>1121</v>
      </c>
      <c r="B78" s="102">
        <v>1519.6953125</v>
      </c>
      <c r="C78" s="117">
        <v>1780.9954829999999</v>
      </c>
      <c r="D78" s="117">
        <v>312.11480699999998</v>
      </c>
      <c r="E78" s="117">
        <v>73.022186000000005</v>
      </c>
      <c r="F78" s="117">
        <v>46.550037000000003</v>
      </c>
      <c r="G78" s="117">
        <v>52.680737000000001</v>
      </c>
      <c r="H78" s="117">
        <v>44.628768999999998</v>
      </c>
      <c r="I78" s="117">
        <v>49.562775000000002</v>
      </c>
      <c r="J78" s="56">
        <f t="shared" si="30"/>
        <v>48.514819402578567</v>
      </c>
      <c r="K78" s="56">
        <f t="shared" si="30"/>
        <v>50.683737898558633</v>
      </c>
      <c r="L78" s="56">
        <f t="shared" si="30"/>
        <v>51.280850694861812</v>
      </c>
      <c r="N78" s="118">
        <f>B78/SUM(B77:B78)</f>
        <v>0.76913798781479126</v>
      </c>
      <c r="O78" s="118">
        <f t="shared" ref="O78:U78" si="32">C78/SUM(C77:C78)</f>
        <v>0.76279483380525581</v>
      </c>
      <c r="P78" s="118">
        <f t="shared" si="32"/>
        <v>0.82211790784579752</v>
      </c>
      <c r="Q78" s="118">
        <f t="shared" si="32"/>
        <v>0.66678825919827733</v>
      </c>
      <c r="R78" s="118">
        <f t="shared" si="32"/>
        <v>0.49517311376584205</v>
      </c>
      <c r="S78" s="118">
        <f t="shared" si="32"/>
        <v>0.48344442580315672</v>
      </c>
      <c r="T78" s="118">
        <f t="shared" si="32"/>
        <v>0.48246852060120116</v>
      </c>
      <c r="U78" s="118">
        <f t="shared" si="32"/>
        <v>0.50000088776462026</v>
      </c>
      <c r="V78" s="113"/>
      <c r="W78" s="113"/>
      <c r="X78" s="113"/>
      <c r="Y78" s="113"/>
      <c r="AA78" s="113"/>
      <c r="AB78" s="113"/>
      <c r="AC78" s="113"/>
    </row>
    <row r="79" spans="1:29" x14ac:dyDescent="0.2">
      <c r="A79" s="119" t="s">
        <v>1118</v>
      </c>
      <c r="B79" s="112">
        <v>856.10693359375</v>
      </c>
      <c r="C79" s="120">
        <v>552</v>
      </c>
      <c r="D79" s="120">
        <v>450</v>
      </c>
      <c r="E79" s="120">
        <v>299</v>
      </c>
      <c r="F79" s="120">
        <v>180</v>
      </c>
      <c r="G79" s="120">
        <v>147</v>
      </c>
      <c r="H79" s="120">
        <v>112</v>
      </c>
      <c r="I79" s="121">
        <f t="shared" si="30"/>
        <v>88.399999999999991</v>
      </c>
      <c r="J79" s="121">
        <f t="shared" si="30"/>
        <v>68.562619047619037</v>
      </c>
      <c r="K79" s="121">
        <f t="shared" si="30"/>
        <v>53.64616829648525</v>
      </c>
      <c r="L79" s="121">
        <f t="shared" si="30"/>
        <v>41.791323070253014</v>
      </c>
      <c r="N79" s="122">
        <f>B79/$S$67</f>
        <v>0.20144418115243445</v>
      </c>
      <c r="O79" s="122">
        <f t="shared" ref="O79:U79" si="33">C79/$S$67</f>
        <v>0.12988703120223813</v>
      </c>
      <c r="P79" s="122">
        <f t="shared" si="33"/>
        <v>0.105886166740955</v>
      </c>
      <c r="Q79" s="122">
        <f t="shared" si="33"/>
        <v>7.0355475234545647E-2</v>
      </c>
      <c r="R79" s="122">
        <f t="shared" si="33"/>
        <v>4.2354466696382001E-2</v>
      </c>
      <c r="S79" s="122">
        <f t="shared" si="33"/>
        <v>3.458948113537863E-2</v>
      </c>
      <c r="T79" s="122">
        <f t="shared" si="33"/>
        <v>2.6353890388859911E-2</v>
      </c>
      <c r="U79" s="122">
        <f t="shared" si="33"/>
        <v>2.0800749199778715E-2</v>
      </c>
      <c r="Z79" s="113"/>
      <c r="AC79" s="113"/>
    </row>
    <row r="80" spans="1:29" x14ac:dyDescent="0.2">
      <c r="A80" s="221" t="s">
        <v>1569</v>
      </c>
      <c r="B80" s="220">
        <v>856.10693359375</v>
      </c>
      <c r="C80" s="220">
        <v>432</v>
      </c>
      <c r="D80" s="220">
        <v>190.44018600000001</v>
      </c>
      <c r="E80" s="220">
        <v>116.301506</v>
      </c>
      <c r="F80" s="220">
        <v>166.00392199999999</v>
      </c>
      <c r="G80" s="220">
        <v>401.69433600000002</v>
      </c>
      <c r="H80" s="220">
        <v>479.26025399999997</v>
      </c>
      <c r="I80" s="220">
        <v>504.17849699999999</v>
      </c>
      <c r="J80" s="220">
        <v>565.96305151592367</v>
      </c>
      <c r="K80" s="220">
        <v>615.35411954754102</v>
      </c>
      <c r="L80" s="220">
        <v>679.90909545759473</v>
      </c>
      <c r="Z80" s="113"/>
      <c r="AC80" s="113"/>
    </row>
    <row r="81" spans="1:29" x14ac:dyDescent="0.2">
      <c r="A81" s="221" t="s">
        <v>1577</v>
      </c>
      <c r="B81" s="220"/>
      <c r="C81" s="220"/>
      <c r="D81" s="220"/>
      <c r="E81" s="220"/>
      <c r="F81" s="220"/>
      <c r="G81" s="220"/>
      <c r="H81" s="220"/>
      <c r="I81" s="220"/>
      <c r="J81" s="220"/>
      <c r="K81" s="220"/>
      <c r="L81" s="220"/>
      <c r="Z81" s="113"/>
      <c r="AC81" s="113"/>
    </row>
    <row r="82" spans="1:29" ht="15" x14ac:dyDescent="0.25">
      <c r="A82" s="115" t="s">
        <v>1122</v>
      </c>
      <c r="C82" s="56"/>
      <c r="D82" s="56"/>
      <c r="E82" s="56"/>
      <c r="F82" s="56"/>
      <c r="G82" s="56"/>
      <c r="H82" s="56"/>
      <c r="I82" s="56"/>
      <c r="N82" s="113"/>
      <c r="O82" s="113"/>
      <c r="P82" s="113"/>
      <c r="Q82" s="113"/>
      <c r="R82" s="113"/>
      <c r="S82" s="113"/>
      <c r="T82" s="113"/>
      <c r="U82" s="113"/>
      <c r="V82" s="113"/>
      <c r="W82" s="113"/>
      <c r="X82" s="113"/>
      <c r="Y82" s="113"/>
      <c r="AA82" s="113"/>
      <c r="AB82" s="113"/>
    </row>
    <row r="83" spans="1:29" x14ac:dyDescent="0.2">
      <c r="A83" s="116" t="s">
        <v>1123</v>
      </c>
      <c r="B83" s="102">
        <v>3643.94189453125</v>
      </c>
      <c r="C83" s="117">
        <v>3471.0222170000002</v>
      </c>
      <c r="D83" s="117">
        <v>2676.953125</v>
      </c>
      <c r="E83" s="117">
        <v>2471.8652339999999</v>
      </c>
      <c r="F83" s="117">
        <v>2118.4582519999999</v>
      </c>
      <c r="G83" s="117">
        <v>2019.923096</v>
      </c>
      <c r="H83" s="117">
        <v>1777.055298</v>
      </c>
      <c r="I83" s="117">
        <v>1603.3760990000001</v>
      </c>
      <c r="J83" s="56">
        <f t="shared" ref="J83:L84" si="34">I83*(AVERAGE((I83/H83),(H83/G83)))</f>
        <v>1428.6318110410336</v>
      </c>
      <c r="K83" s="56">
        <f t="shared" si="34"/>
        <v>1280.9687966591434</v>
      </c>
      <c r="L83" s="56">
        <f t="shared" si="34"/>
        <v>1144.9651654601714</v>
      </c>
      <c r="N83" s="118">
        <f>B83/SUM(B83:B84)</f>
        <v>0.69181219915751868</v>
      </c>
      <c r="O83" s="118">
        <f t="shared" ref="O83:U83" si="35">C83/SUM(C83:C84)</f>
        <v>0.62890461396357511</v>
      </c>
      <c r="P83" s="118">
        <f t="shared" si="35"/>
        <v>0.54168175076263481</v>
      </c>
      <c r="Q83" s="118">
        <f t="shared" si="35"/>
        <v>0.48500361999204661</v>
      </c>
      <c r="R83" s="118">
        <f t="shared" si="35"/>
        <v>0.4441683764715072</v>
      </c>
      <c r="S83" s="118">
        <f t="shared" si="35"/>
        <v>0.41960383939234558</v>
      </c>
      <c r="T83" s="118">
        <f t="shared" si="35"/>
        <v>0.39605568440604522</v>
      </c>
      <c r="U83" s="118">
        <f t="shared" si="35"/>
        <v>0.36683770591247239</v>
      </c>
      <c r="V83" s="113"/>
      <c r="W83" s="113"/>
      <c r="X83" s="113"/>
      <c r="Y83" s="113"/>
      <c r="AA83" s="113"/>
      <c r="AB83" s="113"/>
    </row>
    <row r="84" spans="1:29" x14ac:dyDescent="0.2">
      <c r="A84" s="116" t="s">
        <v>1124</v>
      </c>
      <c r="B84" s="102">
        <v>1623.29956054688</v>
      </c>
      <c r="C84" s="117">
        <v>2048.133057</v>
      </c>
      <c r="D84" s="117">
        <v>2264.9765619999998</v>
      </c>
      <c r="E84" s="117">
        <v>2624.7260740000002</v>
      </c>
      <c r="F84" s="117">
        <v>2651.0354000000002</v>
      </c>
      <c r="G84" s="117">
        <v>2793.9582519999999</v>
      </c>
      <c r="H84" s="117">
        <v>2709.8271479999999</v>
      </c>
      <c r="I84" s="117">
        <v>2767.4289549999999</v>
      </c>
      <c r="J84" s="56">
        <f t="shared" si="34"/>
        <v>2755.175939201923</v>
      </c>
      <c r="K84" s="56">
        <f t="shared" si="34"/>
        <v>2778.3594417672157</v>
      </c>
      <c r="L84" s="56">
        <f t="shared" si="34"/>
        <v>2783.8980264483148</v>
      </c>
      <c r="N84" s="118">
        <f>B84/SUM(B83:B84)</f>
        <v>0.30818780084248126</v>
      </c>
      <c r="O84" s="118">
        <f t="shared" ref="O84:U84" si="36">C84/SUM(C83:C84)</f>
        <v>0.37109538603642478</v>
      </c>
      <c r="P84" s="118">
        <f t="shared" si="36"/>
        <v>0.45831824923736514</v>
      </c>
      <c r="Q84" s="118">
        <f t="shared" si="36"/>
        <v>0.51499638000795334</v>
      </c>
      <c r="R84" s="118">
        <f t="shared" si="36"/>
        <v>0.5558316235284928</v>
      </c>
      <c r="S84" s="118">
        <f t="shared" si="36"/>
        <v>0.58039616060765442</v>
      </c>
      <c r="T84" s="118">
        <f t="shared" si="36"/>
        <v>0.60394431559395489</v>
      </c>
      <c r="U84" s="118">
        <f t="shared" si="36"/>
        <v>0.63316229408752756</v>
      </c>
      <c r="V84" s="113"/>
      <c r="W84" s="113"/>
      <c r="X84" s="113"/>
      <c r="Y84" s="113"/>
      <c r="Z84" s="113"/>
      <c r="AC84" s="113"/>
    </row>
    <row r="85" spans="1:29" x14ac:dyDescent="0.2">
      <c r="A85" s="116"/>
      <c r="C85" s="56"/>
      <c r="D85" s="56"/>
      <c r="E85" s="56"/>
      <c r="F85" s="56"/>
      <c r="G85" s="56"/>
      <c r="H85" s="56"/>
      <c r="I85" s="56"/>
      <c r="V85" s="113"/>
      <c r="W85" s="113"/>
      <c r="X85" s="113"/>
      <c r="Y85" s="113"/>
      <c r="Z85" s="113"/>
      <c r="AC85" s="113"/>
    </row>
    <row r="86" spans="1:29" ht="15" x14ac:dyDescent="0.25">
      <c r="A86" s="115" t="s">
        <v>1125</v>
      </c>
      <c r="C86" s="56"/>
      <c r="D86" s="56"/>
      <c r="E86" s="56"/>
      <c r="F86" s="56"/>
      <c r="G86" s="56"/>
      <c r="H86" s="56"/>
      <c r="I86" s="56"/>
      <c r="N86" s="113"/>
      <c r="O86" s="113"/>
      <c r="P86" s="113"/>
      <c r="Q86" s="113"/>
      <c r="R86" s="113"/>
      <c r="S86" s="113"/>
      <c r="T86" s="113"/>
      <c r="U86" s="113"/>
      <c r="Z86" s="113"/>
      <c r="AA86" s="113"/>
      <c r="AB86" s="113"/>
    </row>
    <row r="87" spans="1:29" x14ac:dyDescent="0.2">
      <c r="A87" s="116" t="s">
        <v>1126</v>
      </c>
      <c r="B87" s="102">
        <v>1614.96801757813</v>
      </c>
      <c r="C87" s="117">
        <v>1456.2170410000001</v>
      </c>
      <c r="D87" s="117">
        <v>1822.193115</v>
      </c>
      <c r="E87" s="117">
        <v>2064.4091800000001</v>
      </c>
      <c r="F87" s="117">
        <v>2180.3017580000001</v>
      </c>
      <c r="G87" s="117">
        <v>2110.3286130000001</v>
      </c>
      <c r="H87" s="117">
        <v>1957.3739009999999</v>
      </c>
      <c r="I87" s="117">
        <v>2040.6125489999999</v>
      </c>
      <c r="J87" s="56">
        <f t="shared" ref="I87:L90" si="37">I87*(AVERAGE((I87/H87),(H87/G87)))</f>
        <v>2010.0508855593921</v>
      </c>
      <c r="K87" s="56">
        <f t="shared" si="37"/>
        <v>2037.7382966169935</v>
      </c>
      <c r="L87" s="56">
        <f t="shared" si="37"/>
        <v>2036.5133837301278</v>
      </c>
      <c r="N87" s="118">
        <f>B87/SUM(B87:B88)</f>
        <v>0.59968143468617896</v>
      </c>
      <c r="O87" s="118">
        <f t="shared" ref="O87:U87" si="38">C87/SUM(C87:C88)</f>
        <v>0.39683753621628481</v>
      </c>
      <c r="P87" s="118">
        <f t="shared" si="38"/>
        <v>0.59552702627452225</v>
      </c>
      <c r="Q87" s="118">
        <f t="shared" si="38"/>
        <v>0.60331449038843854</v>
      </c>
      <c r="R87" s="118">
        <f t="shared" si="38"/>
        <v>0.62110312049884076</v>
      </c>
      <c r="S87" s="118">
        <f t="shared" si="38"/>
        <v>0.57343978351268099</v>
      </c>
      <c r="T87" s="118">
        <f t="shared" si="38"/>
        <v>0.547493134107083</v>
      </c>
      <c r="U87" s="118">
        <f t="shared" si="38"/>
        <v>0.58806992575620476</v>
      </c>
      <c r="Z87" s="113"/>
      <c r="AA87" s="113"/>
      <c r="AB87" s="113"/>
    </row>
    <row r="88" spans="1:29" x14ac:dyDescent="0.2">
      <c r="A88" s="116" t="s">
        <v>1127</v>
      </c>
      <c r="B88" s="102">
        <v>1078.0751953125</v>
      </c>
      <c r="C88" s="117">
        <v>2213.3376459999999</v>
      </c>
      <c r="D88" s="117">
        <v>1237.6060789999999</v>
      </c>
      <c r="E88" s="117">
        <v>1357.370361</v>
      </c>
      <c r="F88" s="117">
        <v>1330.068237</v>
      </c>
      <c r="G88" s="117">
        <v>1569.793823</v>
      </c>
      <c r="H88" s="117">
        <v>1617.783081</v>
      </c>
      <c r="I88" s="117">
        <v>1429.404297</v>
      </c>
      <c r="J88" s="56">
        <f t="shared" si="37"/>
        <v>1368.0313033408208</v>
      </c>
      <c r="K88" s="56">
        <f t="shared" si="37"/>
        <v>1259.0138385618379</v>
      </c>
      <c r="L88" s="56">
        <f t="shared" si="37"/>
        <v>1181.8203201544618</v>
      </c>
      <c r="N88" s="118">
        <f>B88/SUM(B87:B88)</f>
        <v>0.40031856531382098</v>
      </c>
      <c r="O88" s="118">
        <f t="shared" ref="O88:U88" si="39">C88/SUM(C87:C88)</f>
        <v>0.6031624637837153</v>
      </c>
      <c r="P88" s="118">
        <f t="shared" si="39"/>
        <v>0.40447297372547769</v>
      </c>
      <c r="Q88" s="118">
        <f t="shared" si="39"/>
        <v>0.39668550961156152</v>
      </c>
      <c r="R88" s="118">
        <f t="shared" si="39"/>
        <v>0.37889687950115924</v>
      </c>
      <c r="S88" s="118">
        <f t="shared" si="39"/>
        <v>0.42656021648731907</v>
      </c>
      <c r="T88" s="118">
        <f t="shared" si="39"/>
        <v>0.45250686589291705</v>
      </c>
      <c r="U88" s="118">
        <f t="shared" si="39"/>
        <v>0.41193007424379519</v>
      </c>
      <c r="V88" s="113"/>
      <c r="W88" s="113"/>
      <c r="X88" s="113"/>
      <c r="Y88" s="113"/>
      <c r="AA88" s="113"/>
      <c r="AB88" s="113"/>
      <c r="AC88" s="113"/>
    </row>
    <row r="89" spans="1:29" x14ac:dyDescent="0.2">
      <c r="A89" s="119" t="s">
        <v>1128</v>
      </c>
      <c r="B89" s="112">
        <v>1487.88598632813</v>
      </c>
      <c r="C89" s="120">
        <v>1592</v>
      </c>
      <c r="D89" s="120">
        <v>1718</v>
      </c>
      <c r="E89" s="120">
        <v>1535</v>
      </c>
      <c r="F89" s="120">
        <v>1363</v>
      </c>
      <c r="G89" s="120">
        <v>1383</v>
      </c>
      <c r="H89" s="120">
        <v>1263</v>
      </c>
      <c r="I89" s="121">
        <f t="shared" si="37"/>
        <v>1217.4723980373776</v>
      </c>
      <c r="J89" s="121">
        <f t="shared" si="37"/>
        <v>1142.7104089991099</v>
      </c>
      <c r="K89" s="121">
        <f t="shared" si="37"/>
        <v>1087.0291394575852</v>
      </c>
      <c r="L89" s="121">
        <f t="shared" si="37"/>
        <v>1027.169211024139</v>
      </c>
      <c r="N89" s="122">
        <f t="shared" ref="N89:U89" si="40">(B89+B90)/$S$67</f>
        <v>0.51033468691686046</v>
      </c>
      <c r="O89" s="122">
        <f t="shared" si="40"/>
        <v>0.49272362923457724</v>
      </c>
      <c r="P89" s="122">
        <f t="shared" si="40"/>
        <v>0.56213789409809223</v>
      </c>
      <c r="Q89" s="122">
        <f t="shared" si="40"/>
        <v>0.51272434961897984</v>
      </c>
      <c r="R89" s="122">
        <f t="shared" si="40"/>
        <v>0.45083976772371059</v>
      </c>
      <c r="S89" s="122">
        <f t="shared" si="40"/>
        <v>0.45695763513541021</v>
      </c>
      <c r="T89" s="122">
        <f t="shared" si="40"/>
        <v>0.42048573325797017</v>
      </c>
      <c r="U89" s="122">
        <f t="shared" si="40"/>
        <v>0.40658188681556623</v>
      </c>
      <c r="V89" s="113"/>
      <c r="W89" s="113"/>
      <c r="X89" s="113"/>
      <c r="Y89" s="113"/>
      <c r="AA89" s="113"/>
      <c r="AB89" s="113"/>
      <c r="AC89" s="113"/>
    </row>
    <row r="90" spans="1:29" x14ac:dyDescent="0.2">
      <c r="A90" s="119" t="s">
        <v>1129</v>
      </c>
      <c r="B90" s="112">
        <v>680.95831298828102</v>
      </c>
      <c r="C90" s="120">
        <v>502</v>
      </c>
      <c r="D90" s="120">
        <v>671</v>
      </c>
      <c r="E90" s="120">
        <v>644</v>
      </c>
      <c r="F90" s="120">
        <v>553</v>
      </c>
      <c r="G90" s="120">
        <v>559</v>
      </c>
      <c r="H90" s="120">
        <v>524</v>
      </c>
      <c r="I90" s="121">
        <f t="shared" si="37"/>
        <v>510.43838292999322</v>
      </c>
      <c r="J90" s="121">
        <f t="shared" si="37"/>
        <v>487.85333344508666</v>
      </c>
      <c r="K90" s="121">
        <f t="shared" si="37"/>
        <v>470.74740849230682</v>
      </c>
      <c r="L90" s="121">
        <f t="shared" si="37"/>
        <v>452.07991039188238</v>
      </c>
      <c r="Z90" s="113"/>
      <c r="AC90" s="113"/>
    </row>
    <row r="91" spans="1:29" x14ac:dyDescent="0.2">
      <c r="A91" s="222" t="s">
        <v>1570</v>
      </c>
      <c r="B91" s="223">
        <v>1487.88598632813</v>
      </c>
      <c r="C91" s="224">
        <v>1240.923828</v>
      </c>
      <c r="D91" s="224">
        <v>876.57952899999998</v>
      </c>
      <c r="E91" s="224">
        <v>603.97534199999996</v>
      </c>
      <c r="F91" s="224">
        <v>398.79278599999998</v>
      </c>
      <c r="G91" s="224">
        <v>286.328979</v>
      </c>
      <c r="H91" s="224">
        <v>231.580276</v>
      </c>
      <c r="I91" s="224">
        <v>237.29284699999999</v>
      </c>
      <c r="J91" s="225">
        <f t="shared" ref="J91:J92" si="41">I91*(AVERAGE((I91/H91),(H91/G91)))</f>
        <v>217.53331626292456</v>
      </c>
      <c r="K91" s="225">
        <f t="shared" ref="K91:K92" si="42">J91*(AVERAGE((J91/I91),(I91/H91)))</f>
        <v>211.15927727828543</v>
      </c>
      <c r="L91" s="225">
        <f t="shared" ref="L91:L92" si="43">K91*(AVERAGE((K91/J91),(J91/I91)))</f>
        <v>199.27395640239885</v>
      </c>
      <c r="Z91" s="113"/>
      <c r="AC91" s="113"/>
    </row>
    <row r="92" spans="1:29" x14ac:dyDescent="0.2">
      <c r="A92" s="222" t="s">
        <v>1571</v>
      </c>
      <c r="B92" s="223">
        <v>680.95831298828102</v>
      </c>
      <c r="C92" s="224">
        <v>674.48236099999997</v>
      </c>
      <c r="D92" s="224">
        <v>726.41918899999996</v>
      </c>
      <c r="E92" s="224">
        <v>539.48852499999998</v>
      </c>
      <c r="F92" s="224">
        <v>381.06957999999997</v>
      </c>
      <c r="G92" s="224">
        <v>299.14532500000001</v>
      </c>
      <c r="H92" s="224">
        <v>260.53185999999999</v>
      </c>
      <c r="I92" s="224">
        <v>286.10449199999999</v>
      </c>
      <c r="J92" s="225">
        <f t="shared" si="41"/>
        <v>281.68077330076619</v>
      </c>
      <c r="K92" s="225">
        <f t="shared" si="42"/>
        <v>293.32737045517803</v>
      </c>
      <c r="L92" s="225">
        <f t="shared" si="43"/>
        <v>297.12374470671489</v>
      </c>
      <c r="Z92" s="113"/>
      <c r="AC92" s="113"/>
    </row>
    <row r="93" spans="1:29" x14ac:dyDescent="0.2">
      <c r="A93" s="116"/>
      <c r="C93" s="56"/>
      <c r="D93" s="56"/>
      <c r="E93" s="56"/>
      <c r="F93" s="56"/>
      <c r="G93" s="56"/>
      <c r="H93" s="56"/>
      <c r="I93" s="56"/>
      <c r="Z93" s="113"/>
      <c r="AC93" s="113"/>
    </row>
    <row r="94" spans="1:29" ht="15" x14ac:dyDescent="0.25">
      <c r="A94" s="115" t="s">
        <v>1130</v>
      </c>
      <c r="C94" s="56"/>
      <c r="D94" s="56"/>
      <c r="E94" s="56"/>
      <c r="F94" s="56"/>
      <c r="G94" s="56"/>
      <c r="H94" s="56"/>
      <c r="I94" s="56"/>
      <c r="N94" s="113"/>
      <c r="O94" s="113"/>
      <c r="P94" s="113"/>
      <c r="Q94" s="113"/>
      <c r="R94" s="113"/>
      <c r="S94" s="113"/>
      <c r="T94" s="113"/>
      <c r="U94" s="113"/>
      <c r="V94" s="113"/>
      <c r="W94" s="113"/>
      <c r="X94" s="113"/>
      <c r="Y94" s="113"/>
      <c r="AA94" s="113"/>
      <c r="AB94" s="113"/>
    </row>
    <row r="95" spans="1:29" x14ac:dyDescent="0.2">
      <c r="A95" s="116" t="s">
        <v>1120</v>
      </c>
      <c r="B95" s="102">
        <v>654.68939208984398</v>
      </c>
      <c r="C95" s="117">
        <v>795.691284</v>
      </c>
      <c r="D95" s="117">
        <v>443.19665500000002</v>
      </c>
      <c r="E95" s="117">
        <v>348.81774899999999</v>
      </c>
      <c r="F95" s="117">
        <v>317.90310699999998</v>
      </c>
      <c r="G95" s="117">
        <v>447.009277</v>
      </c>
      <c r="H95" s="117">
        <v>504.61956800000002</v>
      </c>
      <c r="I95" s="117">
        <v>465.30542000000003</v>
      </c>
      <c r="J95" s="56">
        <f t="shared" ref="J95:L96" si="44">I95*(AVERAGE((I95/H95),(H95/G95)))</f>
        <v>477.16394247051909</v>
      </c>
      <c r="K95" s="56">
        <f t="shared" si="44"/>
        <v>464.65675280135753</v>
      </c>
      <c r="L95" s="56">
        <f t="shared" si="44"/>
        <v>464.48806960383286</v>
      </c>
      <c r="N95" s="118">
        <f>B95/SUM(B95:B96,B116)</f>
        <v>0.20266899772625302</v>
      </c>
      <c r="O95" s="118">
        <f t="shared" ref="O95:U95" si="45">C95/SUM(C95:C96,C116)</f>
        <v>0.18836055790511419</v>
      </c>
      <c r="P95" s="118">
        <f t="shared" si="45"/>
        <v>0.14017468340961692</v>
      </c>
      <c r="Q95" s="118">
        <f t="shared" si="45"/>
        <v>0.12365393179648436</v>
      </c>
      <c r="R95" s="118">
        <f t="shared" si="45"/>
        <v>0.11671808972263464</v>
      </c>
      <c r="S95" s="118">
        <f t="shared" si="45"/>
        <v>0.13988582751955125</v>
      </c>
      <c r="T95" s="118">
        <f t="shared" si="45"/>
        <v>0.15397444645075736</v>
      </c>
      <c r="U95" s="118">
        <f t="shared" si="45"/>
        <v>0.15488811074129788</v>
      </c>
      <c r="AA95" s="113"/>
      <c r="AB95" s="113"/>
    </row>
    <row r="96" spans="1:29" x14ac:dyDescent="0.2">
      <c r="A96" s="116" t="s">
        <v>1124</v>
      </c>
      <c r="B96" s="102">
        <v>1821.72827148438</v>
      </c>
      <c r="C96" s="117">
        <v>2345.320557</v>
      </c>
      <c r="D96" s="117">
        <v>1691.645264</v>
      </c>
      <c r="E96" s="117">
        <v>1327.375366</v>
      </c>
      <c r="F96" s="117">
        <v>1142.0986330000001</v>
      </c>
      <c r="G96" s="117">
        <v>1422.7680660000001</v>
      </c>
      <c r="H96" s="117">
        <v>1406.5107419999999</v>
      </c>
      <c r="I96" s="117">
        <v>1226.7991939999999</v>
      </c>
      <c r="J96" s="56">
        <f t="shared" si="44"/>
        <v>1141.4153605778699</v>
      </c>
      <c r="K96" s="56">
        <f t="shared" si="44"/>
        <v>1028.7747547493043</v>
      </c>
      <c r="L96" s="56">
        <f t="shared" si="44"/>
        <v>942.2116440085581</v>
      </c>
      <c r="N96" s="118">
        <f>(B96+B116)/SUM(B95:B96,B116)</f>
        <v>0.79733100227374676</v>
      </c>
      <c r="O96" s="118">
        <f t="shared" ref="O96:U96" si="46">(C96+C116)/SUM(C95:C96,C116)</f>
        <v>0.81163944209488581</v>
      </c>
      <c r="P96" s="118">
        <f t="shared" si="46"/>
        <v>0.85982531659038297</v>
      </c>
      <c r="Q96" s="118">
        <f t="shared" si="46"/>
        <v>0.87634606820351557</v>
      </c>
      <c r="R96" s="118">
        <f t="shared" si="46"/>
        <v>0.88328191027736536</v>
      </c>
      <c r="S96" s="118">
        <f t="shared" si="46"/>
        <v>0.86011417248044875</v>
      </c>
      <c r="T96" s="118">
        <f t="shared" si="46"/>
        <v>0.84602555354924258</v>
      </c>
      <c r="U96" s="118">
        <f t="shared" si="46"/>
        <v>0.84511188925870206</v>
      </c>
      <c r="Z96" s="113"/>
      <c r="AC96" s="113"/>
    </row>
    <row r="97" spans="1:30" x14ac:dyDescent="0.2">
      <c r="A97" s="116"/>
      <c r="C97" s="56"/>
      <c r="D97" s="56"/>
      <c r="E97" s="56"/>
      <c r="F97" s="56"/>
      <c r="G97" s="56"/>
      <c r="H97" s="56"/>
      <c r="I97" s="56"/>
      <c r="V97" s="113"/>
      <c r="W97" s="113"/>
      <c r="X97" s="113"/>
      <c r="Y97" s="113"/>
      <c r="AC97" s="113"/>
    </row>
    <row r="98" spans="1:30" ht="15" x14ac:dyDescent="0.25">
      <c r="A98" s="115" t="s">
        <v>1131</v>
      </c>
      <c r="C98" s="56"/>
      <c r="D98" s="56"/>
      <c r="E98" s="56"/>
      <c r="F98" s="56"/>
      <c r="G98" s="56"/>
      <c r="H98" s="56"/>
      <c r="I98" s="56"/>
      <c r="N98" s="113"/>
      <c r="O98" s="113"/>
      <c r="P98" s="113"/>
      <c r="Q98" s="113"/>
      <c r="R98" s="113"/>
      <c r="S98" s="113"/>
      <c r="T98" s="113"/>
      <c r="U98" s="113"/>
      <c r="V98" s="113"/>
      <c r="W98" s="113"/>
      <c r="X98" s="113"/>
      <c r="Y98" s="113"/>
      <c r="AA98" s="113"/>
      <c r="AB98" s="113"/>
    </row>
    <row r="99" spans="1:30" x14ac:dyDescent="0.2">
      <c r="A99" s="116" t="s">
        <v>1126</v>
      </c>
      <c r="B99" s="102">
        <v>4816.31982421875</v>
      </c>
      <c r="C99" s="117">
        <v>6716.5371089999999</v>
      </c>
      <c r="D99" s="117">
        <v>6148.6123049999997</v>
      </c>
      <c r="E99" s="117">
        <v>6331.9453119999998</v>
      </c>
      <c r="F99" s="117">
        <v>5846.904297</v>
      </c>
      <c r="G99" s="117">
        <v>6044.5571289999998</v>
      </c>
      <c r="H99" s="117">
        <v>5670.9853519999997</v>
      </c>
      <c r="I99" s="117">
        <v>5484.8203119999998</v>
      </c>
      <c r="J99" s="56">
        <f>I99*(AVERAGE((I99/H99),(H99/G99)))</f>
        <v>5225.3042903781334</v>
      </c>
      <c r="K99" s="56">
        <f>J99*(AVERAGE((J99/I99),(I99/H99)))</f>
        <v>5015.9186289332256</v>
      </c>
      <c r="L99" s="56">
        <f>K99*(AVERAGE((K99/J99),(J99/I99)))</f>
        <v>4796.7561000833584</v>
      </c>
      <c r="Z99" s="113"/>
    </row>
    <row r="100" spans="1:30" x14ac:dyDescent="0.2">
      <c r="A100" s="116"/>
      <c r="C100" s="56"/>
      <c r="D100" s="56"/>
      <c r="E100" s="56"/>
      <c r="F100" s="56"/>
      <c r="G100" s="56"/>
      <c r="H100" s="56"/>
      <c r="I100" s="56"/>
      <c r="Z100" s="113"/>
      <c r="AC100" s="113"/>
    </row>
    <row r="101" spans="1:30" ht="15" x14ac:dyDescent="0.25">
      <c r="A101" s="115" t="s">
        <v>1132</v>
      </c>
      <c r="C101" s="56"/>
      <c r="D101" s="56"/>
      <c r="E101" s="56"/>
      <c r="F101" s="56"/>
      <c r="G101" s="56"/>
      <c r="H101" s="56"/>
      <c r="I101" s="56"/>
      <c r="N101" s="113"/>
      <c r="O101" s="113"/>
      <c r="P101" s="113"/>
      <c r="Q101" s="113"/>
      <c r="R101" s="113"/>
      <c r="S101" s="113"/>
      <c r="T101" s="113"/>
      <c r="U101" s="113"/>
      <c r="V101" s="113"/>
      <c r="W101" s="113"/>
      <c r="X101" s="113"/>
      <c r="Y101" s="113"/>
      <c r="AA101" s="113"/>
      <c r="AB101" s="113"/>
    </row>
    <row r="102" spans="1:30" x14ac:dyDescent="0.2">
      <c r="A102" s="116" t="s">
        <v>1127</v>
      </c>
      <c r="B102" s="102">
        <v>147.866775512695</v>
      </c>
      <c r="C102" s="117">
        <v>225.48239100000001</v>
      </c>
      <c r="D102" s="117">
        <v>180.50402800000001</v>
      </c>
      <c r="E102" s="117">
        <v>222.278671</v>
      </c>
      <c r="F102" s="117">
        <v>244.57231100000001</v>
      </c>
      <c r="G102" s="117">
        <v>319.49865699999998</v>
      </c>
      <c r="H102" s="117">
        <v>364.74658199999999</v>
      </c>
      <c r="I102" s="117">
        <v>351.19082600000002</v>
      </c>
      <c r="J102" s="56">
        <f t="shared" ref="J102:L103" si="47">I102*(AVERAGE((I102/H102),(H102/G102)))</f>
        <v>369.53295792823923</v>
      </c>
      <c r="K102" s="56">
        <f t="shared" si="47"/>
        <v>372.31619341749632</v>
      </c>
      <c r="L102" s="56">
        <f t="shared" si="47"/>
        <v>383.4410304437377</v>
      </c>
      <c r="N102" s="118"/>
      <c r="O102" s="118"/>
      <c r="P102" s="118"/>
      <c r="Q102" s="118"/>
      <c r="R102" s="118"/>
      <c r="S102" s="118"/>
      <c r="T102" s="118"/>
      <c r="U102" s="118"/>
      <c r="V102" s="123"/>
      <c r="W102" s="123"/>
      <c r="X102" s="123"/>
      <c r="Y102" s="123"/>
      <c r="AA102" s="113"/>
      <c r="AB102" s="113"/>
      <c r="AD102" s="123"/>
    </row>
    <row r="103" spans="1:30" x14ac:dyDescent="0.2">
      <c r="A103" s="116" t="s">
        <v>1133</v>
      </c>
      <c r="B103" s="102">
        <v>534.758056640625</v>
      </c>
      <c r="C103" s="117">
        <v>219.114563</v>
      </c>
      <c r="D103" s="117">
        <v>494.13861100000003</v>
      </c>
      <c r="E103" s="117">
        <v>641.58953899999995</v>
      </c>
      <c r="F103" s="117">
        <v>526.79840100000001</v>
      </c>
      <c r="G103" s="117">
        <v>622.32769800000005</v>
      </c>
      <c r="H103" s="117">
        <v>642.21044900000004</v>
      </c>
      <c r="I103" s="117">
        <v>639.66747999999995</v>
      </c>
      <c r="J103" s="56">
        <f t="shared" si="47"/>
        <v>648.61940010817762</v>
      </c>
      <c r="K103" s="56">
        <f t="shared" si="47"/>
        <v>651.87382633671598</v>
      </c>
      <c r="L103" s="56">
        <f t="shared" si="47"/>
        <v>658.07057574222688</v>
      </c>
      <c r="N103" s="118"/>
      <c r="O103" s="118"/>
      <c r="P103" s="118"/>
      <c r="Q103" s="118"/>
      <c r="R103" s="118"/>
      <c r="S103" s="118"/>
      <c r="T103" s="118"/>
      <c r="U103" s="118"/>
      <c r="V103" s="123"/>
      <c r="W103" s="123"/>
      <c r="X103" s="123"/>
      <c r="Y103" s="123"/>
      <c r="Z103" s="113"/>
      <c r="AC103" s="113"/>
    </row>
    <row r="104" spans="1:30" x14ac:dyDescent="0.2">
      <c r="A104" s="116"/>
      <c r="C104" s="56"/>
      <c r="D104" s="56"/>
      <c r="E104" s="56"/>
      <c r="F104" s="56"/>
      <c r="G104" s="56"/>
      <c r="H104" s="56"/>
      <c r="I104" s="56"/>
      <c r="V104" s="113"/>
      <c r="W104" s="113"/>
      <c r="X104" s="113"/>
      <c r="Y104" s="113"/>
      <c r="Z104" s="123"/>
      <c r="AC104" s="113"/>
    </row>
    <row r="105" spans="1:30" ht="15" x14ac:dyDescent="0.25">
      <c r="A105" s="115" t="s">
        <v>1134</v>
      </c>
      <c r="C105" s="56"/>
      <c r="D105" s="56"/>
      <c r="E105" s="56"/>
      <c r="F105" s="56"/>
      <c r="G105" s="56"/>
      <c r="H105" s="56"/>
      <c r="I105" s="56"/>
      <c r="N105" s="113"/>
      <c r="O105" s="113"/>
      <c r="P105" s="113"/>
      <c r="Q105" s="113"/>
      <c r="R105" s="113"/>
      <c r="S105" s="113"/>
      <c r="T105" s="113"/>
      <c r="U105" s="113"/>
      <c r="V105" s="113"/>
      <c r="W105" s="113"/>
      <c r="X105" s="113"/>
      <c r="Y105" s="113"/>
      <c r="Z105" s="123"/>
      <c r="AA105" s="113"/>
      <c r="AB105" s="113"/>
    </row>
    <row r="106" spans="1:30" x14ac:dyDescent="0.2">
      <c r="A106" s="119" t="s">
        <v>1118</v>
      </c>
      <c r="B106" s="112">
        <v>47.8927001953125</v>
      </c>
      <c r="C106" s="120">
        <v>14.482445</v>
      </c>
      <c r="D106" s="120">
        <v>30.745204999999999</v>
      </c>
      <c r="E106" s="120">
        <v>34.011612</v>
      </c>
      <c r="F106" s="120">
        <v>37.638176000000001</v>
      </c>
      <c r="G106" s="120">
        <v>43.367049999999999</v>
      </c>
      <c r="H106" s="120">
        <v>43.928176999999998</v>
      </c>
      <c r="I106" s="120">
        <v>43.966380999999998</v>
      </c>
      <c r="J106" s="121">
        <f>I106*(AVERAGE((I106/H106),(H106/G106)))</f>
        <v>44.269940489881726</v>
      </c>
      <c r="K106" s="121">
        <f>J106*(AVERAGE((J106/I106),(I106/H106)))</f>
        <v>44.44201879056827</v>
      </c>
      <c r="L106" s="121">
        <f>K106*(AVERAGE((K106/J106),(J106/I106)))</f>
        <v>44.681814108065481</v>
      </c>
      <c r="N106" s="124">
        <f>B106/$S$67</f>
        <v>1.1269276530123173E-2</v>
      </c>
      <c r="O106" s="124">
        <f t="shared" ref="O106:U106" si="48">C106/$S$67</f>
        <v>3.4077568579704669E-3</v>
      </c>
      <c r="P106" s="124">
        <f t="shared" si="48"/>
        <v>7.234426451366318E-3</v>
      </c>
      <c r="Q106" s="124">
        <f t="shared" si="48"/>
        <v>8.003020487468147E-3</v>
      </c>
      <c r="R106" s="124">
        <f t="shared" si="48"/>
        <v>8.8563603994698016E-3</v>
      </c>
      <c r="S106" s="124">
        <f t="shared" si="48"/>
        <v>1.0204379305251849E-2</v>
      </c>
      <c r="T106" s="124">
        <f t="shared" si="48"/>
        <v>1.0336413943218187E-2</v>
      </c>
      <c r="U106" s="124">
        <f t="shared" si="48"/>
        <v>1.0345403443471901E-2</v>
      </c>
      <c r="V106" s="113"/>
      <c r="W106" s="113"/>
      <c r="X106" s="113"/>
      <c r="Y106" s="113"/>
      <c r="Z106" s="113"/>
      <c r="AA106" s="123"/>
      <c r="AB106" s="123"/>
    </row>
    <row r="107" spans="1:30" x14ac:dyDescent="0.2">
      <c r="A107" s="221" t="s">
        <v>1573</v>
      </c>
      <c r="B107" s="217">
        <v>47.8927001953125</v>
      </c>
      <c r="C107" s="220">
        <v>14.482445</v>
      </c>
      <c r="D107" s="220">
        <v>30.745204999999999</v>
      </c>
      <c r="E107" s="220">
        <v>34.011612</v>
      </c>
      <c r="F107" s="220">
        <v>37.638176000000001</v>
      </c>
      <c r="G107" s="220">
        <v>43.367049999999999</v>
      </c>
      <c r="H107" s="220">
        <v>43.928176999999998</v>
      </c>
      <c r="I107" s="220">
        <v>43.966380999999998</v>
      </c>
      <c r="J107" s="217">
        <v>44.269940489881726</v>
      </c>
      <c r="K107" s="217">
        <v>44.44201879056827</v>
      </c>
      <c r="L107" s="217">
        <v>44.681814108065481</v>
      </c>
      <c r="N107" s="123"/>
      <c r="O107" s="123"/>
      <c r="P107" s="123"/>
      <c r="Q107" s="123"/>
      <c r="R107" s="123"/>
      <c r="S107" s="123"/>
      <c r="T107" s="123"/>
      <c r="U107" s="123"/>
      <c r="V107" s="123"/>
      <c r="W107" s="123"/>
      <c r="X107" s="123"/>
      <c r="Y107" s="123"/>
      <c r="Z107" s="113"/>
      <c r="AA107" s="123"/>
      <c r="AB107" s="123"/>
      <c r="AC107" s="113"/>
    </row>
    <row r="108" spans="1:30" ht="15" x14ac:dyDescent="0.25">
      <c r="A108" s="115" t="s">
        <v>1135</v>
      </c>
      <c r="C108" s="56"/>
      <c r="D108" s="56"/>
      <c r="E108" s="56"/>
      <c r="F108" s="56"/>
      <c r="G108" s="56"/>
      <c r="H108" s="56"/>
      <c r="I108" s="56"/>
      <c r="N108" s="113"/>
      <c r="O108" s="113"/>
      <c r="P108" s="113"/>
      <c r="Q108" s="113"/>
      <c r="R108" s="113"/>
      <c r="S108" s="113"/>
      <c r="T108" s="113"/>
      <c r="U108" s="113"/>
      <c r="V108" s="123"/>
      <c r="W108" s="123"/>
      <c r="X108" s="123"/>
      <c r="Y108" s="123"/>
      <c r="Z108" s="113"/>
      <c r="AA108" s="113"/>
      <c r="AB108" s="113"/>
      <c r="AC108" s="123"/>
    </row>
    <row r="109" spans="1:30" x14ac:dyDescent="0.2">
      <c r="A109" s="116" t="s">
        <v>1127</v>
      </c>
      <c r="B109" s="102">
        <v>85.877914428710895</v>
      </c>
      <c r="C109" s="117">
        <v>80.160347000000002</v>
      </c>
      <c r="D109" s="117">
        <v>492.87271099999998</v>
      </c>
      <c r="E109" s="117">
        <v>548.34509300000002</v>
      </c>
      <c r="F109" s="117">
        <v>723.30017099999998</v>
      </c>
      <c r="G109" s="117">
        <v>874.020264</v>
      </c>
      <c r="H109" s="117">
        <v>973.00994900000001</v>
      </c>
      <c r="I109" s="117">
        <v>927.07049600000005</v>
      </c>
      <c r="J109" s="56">
        <f t="shared" ref="I109:L111" si="49">I109*(AVERAGE((I109/H109),(H109/G109)))</f>
        <v>957.68427752181879</v>
      </c>
      <c r="K109" s="56">
        <f t="shared" si="49"/>
        <v>950.88869816001693</v>
      </c>
      <c r="L109" s="56">
        <f t="shared" si="49"/>
        <v>963.21517253106526</v>
      </c>
      <c r="N109" s="118">
        <v>1</v>
      </c>
      <c r="O109" s="118">
        <v>2</v>
      </c>
      <c r="P109" s="118">
        <v>3</v>
      </c>
      <c r="Q109" s="118">
        <v>4</v>
      </c>
      <c r="R109" s="118">
        <v>5</v>
      </c>
      <c r="S109" s="118">
        <v>6</v>
      </c>
      <c r="T109" s="118">
        <v>7</v>
      </c>
      <c r="U109" s="118">
        <v>8</v>
      </c>
      <c r="V109" s="113"/>
      <c r="W109" s="113"/>
      <c r="X109" s="113"/>
      <c r="Y109" s="113"/>
      <c r="Z109" s="123"/>
      <c r="AA109" s="113"/>
      <c r="AB109" s="113"/>
      <c r="AC109" s="123"/>
    </row>
    <row r="110" spans="1:30" x14ac:dyDescent="0.2">
      <c r="A110" s="119" t="s">
        <v>1136</v>
      </c>
      <c r="B110" s="112">
        <v>336.68399047851602</v>
      </c>
      <c r="C110" s="120">
        <v>276</v>
      </c>
      <c r="D110" s="120">
        <v>220</v>
      </c>
      <c r="E110" s="120">
        <v>250</v>
      </c>
      <c r="F110" s="120">
        <v>244</v>
      </c>
      <c r="G110" s="120">
        <v>326</v>
      </c>
      <c r="H110" s="120">
        <v>332</v>
      </c>
      <c r="I110" s="121">
        <f t="shared" si="49"/>
        <v>390.84209996982798</v>
      </c>
      <c r="J110" s="121">
        <f t="shared" si="49"/>
        <v>429.07430327699416</v>
      </c>
      <c r="K110" s="121">
        <f t="shared" si="49"/>
        <v>488.08388716388282</v>
      </c>
      <c r="L110" s="121">
        <f t="shared" si="49"/>
        <v>545.51860511653456</v>
      </c>
      <c r="N110" s="122">
        <f>(B110+B111)/$S$67</f>
        <v>0.22863552559021955</v>
      </c>
      <c r="O110" s="122">
        <f t="shared" ref="O110:U110" si="50">(C110+C111)/$S$67</f>
        <v>0.22000792422842871</v>
      </c>
      <c r="P110" s="122">
        <f t="shared" si="50"/>
        <v>0.21224293866742536</v>
      </c>
      <c r="Q110" s="122">
        <f t="shared" si="50"/>
        <v>0.22565518645461299</v>
      </c>
      <c r="R110" s="122">
        <f t="shared" si="50"/>
        <v>0.23036123830976654</v>
      </c>
      <c r="S110" s="122">
        <f t="shared" si="50"/>
        <v>0.25224437943623057</v>
      </c>
      <c r="T110" s="122">
        <f t="shared" si="50"/>
        <v>0.25412680017829198</v>
      </c>
      <c r="U110" s="122">
        <f t="shared" si="50"/>
        <v>0.269525486535586</v>
      </c>
      <c r="V110" s="123"/>
      <c r="W110" s="123"/>
      <c r="X110" s="123"/>
      <c r="Y110" s="123"/>
      <c r="Z110" s="123"/>
      <c r="AA110" s="113"/>
      <c r="AB110" s="113"/>
      <c r="AC110" s="113"/>
    </row>
    <row r="111" spans="1:30" x14ac:dyDescent="0.2">
      <c r="A111" s="119" t="s">
        <v>1137</v>
      </c>
      <c r="B111" s="112">
        <v>634.98199462890602</v>
      </c>
      <c r="C111" s="120">
        <v>659</v>
      </c>
      <c r="D111" s="120">
        <v>682</v>
      </c>
      <c r="E111" s="120">
        <v>709</v>
      </c>
      <c r="F111" s="120">
        <v>735</v>
      </c>
      <c r="G111" s="120">
        <v>746</v>
      </c>
      <c r="H111" s="120">
        <v>748</v>
      </c>
      <c r="I111" s="121">
        <f t="shared" si="49"/>
        <v>754.59995987671209</v>
      </c>
      <c r="J111" s="121">
        <f t="shared" si="49"/>
        <v>758.94058520444855</v>
      </c>
      <c r="K111" s="121">
        <f t="shared" si="49"/>
        <v>764.47162891781693</v>
      </c>
      <c r="L111" s="121">
        <f t="shared" si="49"/>
        <v>769.45601014993235</v>
      </c>
      <c r="N111" s="118"/>
      <c r="O111" s="123"/>
      <c r="P111" s="123"/>
      <c r="Q111" s="123"/>
      <c r="R111" s="123"/>
      <c r="S111" s="123"/>
      <c r="T111" s="123"/>
      <c r="U111" s="123"/>
      <c r="V111" s="123"/>
      <c r="W111" s="123"/>
      <c r="X111" s="123"/>
      <c r="Y111" s="123"/>
      <c r="Z111" s="113"/>
      <c r="AA111" s="123"/>
      <c r="AB111" s="123"/>
      <c r="AC111" s="113"/>
    </row>
    <row r="112" spans="1:30" x14ac:dyDescent="0.2">
      <c r="A112" s="119" t="s">
        <v>1575</v>
      </c>
      <c r="B112" s="112">
        <v>336.68399047851602</v>
      </c>
      <c r="C112" s="120">
        <v>324.20700099999999</v>
      </c>
      <c r="D112" s="120">
        <v>339.391907</v>
      </c>
      <c r="E112" s="120">
        <v>251.44253499999999</v>
      </c>
      <c r="F112" s="120">
        <v>237.14683500000001</v>
      </c>
      <c r="G112" s="120">
        <v>188.74972500000001</v>
      </c>
      <c r="H112" s="120">
        <v>175.384064</v>
      </c>
      <c r="I112" s="120">
        <v>204.00885</v>
      </c>
      <c r="J112" s="121">
        <f t="shared" ref="J112:J113" si="51">I112*(AVERAGE((I112/H112),(H112/G112)))</f>
        <v>213.43410579843066</v>
      </c>
      <c r="K112" s="121">
        <f t="shared" ref="K112:K113" si="52">J112*(AVERAGE((J112/I112),(I112/H112)))</f>
        <v>235.78196313448174</v>
      </c>
      <c r="L112" s="121">
        <f t="shared" ref="L112:L113" si="53">K112*(AVERAGE((K112/J112),(J112/I112)))</f>
        <v>253.57246099820225</v>
      </c>
      <c r="N112" s="118"/>
      <c r="O112" s="123"/>
      <c r="P112" s="123"/>
      <c r="Q112" s="123"/>
      <c r="R112" s="123"/>
      <c r="S112" s="123"/>
      <c r="T112" s="123"/>
      <c r="U112" s="123"/>
      <c r="V112" s="123"/>
      <c r="W112" s="123"/>
      <c r="X112" s="123"/>
      <c r="Y112" s="123"/>
      <c r="Z112" s="113"/>
      <c r="AA112" s="123"/>
      <c r="AB112" s="123"/>
      <c r="AC112" s="113"/>
    </row>
    <row r="113" spans="1:29" x14ac:dyDescent="0.2">
      <c r="A113" s="119" t="s">
        <v>1576</v>
      </c>
      <c r="B113" s="112">
        <v>634.98199462890602</v>
      </c>
      <c r="C113" s="120">
        <v>691.46179199999995</v>
      </c>
      <c r="D113" s="120">
        <v>628.49548300000004</v>
      </c>
      <c r="E113" s="120">
        <v>479.118042</v>
      </c>
      <c r="F113" s="120">
        <v>463.16021699999999</v>
      </c>
      <c r="G113" s="120">
        <v>379.19091800000001</v>
      </c>
      <c r="H113" s="120">
        <v>359.58288599999997</v>
      </c>
      <c r="I113" s="120">
        <v>425.40423600000003</v>
      </c>
      <c r="J113" s="121">
        <f t="shared" si="51"/>
        <v>453.34031727018163</v>
      </c>
      <c r="K113" s="121">
        <f t="shared" si="52"/>
        <v>509.71741721772793</v>
      </c>
      <c r="L113" s="121">
        <f t="shared" si="53"/>
        <v>558.14791913717761</v>
      </c>
      <c r="N113" s="118"/>
      <c r="O113" s="123"/>
      <c r="P113" s="123"/>
      <c r="Q113" s="123"/>
      <c r="R113" s="123"/>
      <c r="S113" s="123"/>
      <c r="T113" s="123"/>
      <c r="U113" s="123"/>
      <c r="V113" s="123"/>
      <c r="W113" s="123"/>
      <c r="X113" s="123"/>
      <c r="Y113" s="123"/>
      <c r="Z113" s="113"/>
      <c r="AA113" s="123"/>
      <c r="AB113" s="123"/>
      <c r="AC113" s="113"/>
    </row>
    <row r="114" spans="1:29" x14ac:dyDescent="0.2">
      <c r="A114" s="116"/>
      <c r="C114" s="56"/>
      <c r="D114" s="56"/>
      <c r="E114" s="56"/>
      <c r="F114" s="56"/>
      <c r="G114" s="56"/>
      <c r="H114" s="56"/>
      <c r="I114" s="56"/>
      <c r="N114" s="123"/>
      <c r="O114" s="123"/>
      <c r="P114" s="123"/>
      <c r="Q114" s="123"/>
      <c r="R114" s="123"/>
      <c r="S114" s="123"/>
      <c r="T114" s="123"/>
      <c r="U114" s="113"/>
      <c r="V114" s="113"/>
      <c r="W114" s="113"/>
      <c r="X114" s="113"/>
      <c r="Y114" s="113"/>
      <c r="Z114" s="123"/>
      <c r="AA114" s="123"/>
      <c r="AB114" s="123"/>
      <c r="AC114" s="113"/>
    </row>
    <row r="115" spans="1:29" ht="15" x14ac:dyDescent="0.25">
      <c r="A115" s="115" t="s">
        <v>1138</v>
      </c>
      <c r="C115" s="56"/>
      <c r="D115" s="56"/>
      <c r="E115" s="56"/>
      <c r="F115" s="56"/>
      <c r="G115" s="56"/>
      <c r="H115" s="56"/>
      <c r="I115" s="56"/>
      <c r="N115" s="113"/>
      <c r="O115" s="113"/>
      <c r="P115" s="113"/>
      <c r="Q115" s="113"/>
      <c r="R115" s="113"/>
      <c r="S115" s="113"/>
      <c r="T115" s="113"/>
      <c r="U115" s="123"/>
      <c r="V115" s="123"/>
      <c r="W115" s="123"/>
      <c r="X115" s="123"/>
      <c r="Y115" s="123"/>
      <c r="Z115" s="123"/>
      <c r="AA115" s="113"/>
      <c r="AB115" s="113"/>
      <c r="AC115" s="123"/>
    </row>
    <row r="116" spans="1:29" x14ac:dyDescent="0.2">
      <c r="A116" s="116" t="s">
        <v>1124</v>
      </c>
      <c r="B116" s="102">
        <v>753.92047119140602</v>
      </c>
      <c r="C116" s="117">
        <v>1083.286987</v>
      </c>
      <c r="D116" s="117">
        <v>1026.903442</v>
      </c>
      <c r="E116" s="117">
        <v>1144.7260739999999</v>
      </c>
      <c r="F116" s="117">
        <v>1263.681519</v>
      </c>
      <c r="G116" s="117">
        <v>1325.7520750000001</v>
      </c>
      <c r="H116" s="117">
        <v>1366.1639399999999</v>
      </c>
      <c r="I116" s="117">
        <v>1312.0344239999999</v>
      </c>
      <c r="J116" s="56">
        <f>I116*(AVERAGE((I116/H116),(H116/G116)))</f>
        <v>1306.0388736078773</v>
      </c>
      <c r="K116" s="56">
        <f>J116*(AVERAGE((J116/I116),(I116/H116)))</f>
        <v>1277.1811630145303</v>
      </c>
      <c r="L116" s="56">
        <f>K116*(AVERAGE((K116/J116),(J116/I116)))</f>
        <v>1260.1529804806521</v>
      </c>
      <c r="N116" s="123"/>
      <c r="O116" s="123"/>
      <c r="P116" s="123"/>
      <c r="Q116" s="123"/>
      <c r="R116" s="123"/>
      <c r="S116" s="123"/>
      <c r="T116" s="123"/>
      <c r="U116" s="123"/>
      <c r="V116" s="123"/>
      <c r="W116" s="123"/>
      <c r="X116" s="123"/>
      <c r="Y116" s="123"/>
      <c r="Z116" s="113"/>
      <c r="AA116" s="123"/>
      <c r="AB116" s="123"/>
      <c r="AC116" s="123"/>
    </row>
    <row r="117" spans="1:29" x14ac:dyDescent="0.2">
      <c r="A117" s="116"/>
      <c r="C117" s="56"/>
      <c r="D117" s="56"/>
      <c r="E117" s="56"/>
      <c r="F117" s="56"/>
      <c r="G117" s="56"/>
      <c r="H117" s="56"/>
      <c r="I117" s="56"/>
      <c r="N117" s="123"/>
      <c r="O117" s="123"/>
      <c r="P117" s="123"/>
      <c r="Q117" s="123"/>
      <c r="R117" s="123"/>
      <c r="S117" s="123"/>
      <c r="T117" s="123"/>
      <c r="U117" s="113"/>
      <c r="V117" s="113"/>
      <c r="W117" s="113"/>
      <c r="X117" s="113"/>
      <c r="Y117" s="113"/>
      <c r="Z117" s="123"/>
      <c r="AA117" s="123"/>
      <c r="AB117" s="123"/>
      <c r="AC117" s="113"/>
    </row>
    <row r="118" spans="1:29" ht="15" x14ac:dyDescent="0.25">
      <c r="A118" s="115" t="s">
        <v>1139</v>
      </c>
      <c r="C118" s="56"/>
      <c r="D118" s="56"/>
      <c r="E118" s="56"/>
      <c r="F118" s="56"/>
      <c r="G118" s="56"/>
      <c r="H118" s="56"/>
      <c r="I118" s="56"/>
      <c r="N118" s="113"/>
      <c r="O118" s="113"/>
      <c r="P118" s="113"/>
      <c r="Q118" s="113"/>
      <c r="R118" s="113"/>
      <c r="S118" s="113"/>
      <c r="T118" s="113"/>
      <c r="U118" s="113"/>
      <c r="V118" s="113"/>
      <c r="W118" s="113"/>
      <c r="X118" s="113"/>
      <c r="Y118" s="113"/>
      <c r="Z118" s="123"/>
      <c r="AA118" s="113"/>
      <c r="AB118" s="113"/>
      <c r="AC118" s="123"/>
    </row>
    <row r="119" spans="1:29" x14ac:dyDescent="0.2">
      <c r="A119" s="116" t="s">
        <v>1127</v>
      </c>
      <c r="B119" s="102">
        <v>606.0712890625</v>
      </c>
      <c r="C119" s="117">
        <v>650.20391800000004</v>
      </c>
      <c r="D119" s="117">
        <v>840.08532700000001</v>
      </c>
      <c r="E119" s="117">
        <v>1066.714111</v>
      </c>
      <c r="F119" s="117">
        <v>1054.6685789999999</v>
      </c>
      <c r="G119" s="117">
        <v>1035.904297</v>
      </c>
      <c r="H119" s="117">
        <v>1012.6300660000001</v>
      </c>
      <c r="I119" s="117">
        <v>967.22522000000004</v>
      </c>
      <c r="J119" s="56">
        <f>I119*(AVERAGE((I119/H119),(H119/G119)))</f>
        <v>934.67515010744773</v>
      </c>
      <c r="K119" s="56">
        <f>J119*(AVERAGE((J119/I119),(I119/H119)))</f>
        <v>897.99308858802829</v>
      </c>
      <c r="L119" s="56">
        <f>K119*(AVERAGE((K119/J119),(J119/I119)))</f>
        <v>865.26176693716457</v>
      </c>
      <c r="N119" s="123"/>
      <c r="O119" s="123"/>
      <c r="P119" s="123"/>
      <c r="Q119" s="113"/>
      <c r="R119" s="123"/>
      <c r="S119" s="123"/>
      <c r="T119" s="123"/>
      <c r="U119" s="113"/>
      <c r="V119" s="113"/>
      <c r="W119" s="113"/>
      <c r="X119" s="113"/>
      <c r="Y119" s="113"/>
      <c r="Z119" s="113"/>
      <c r="AA119" s="123"/>
      <c r="AB119" s="123"/>
      <c r="AC119" s="123"/>
    </row>
    <row r="120" spans="1:29" x14ac:dyDescent="0.2">
      <c r="A120" s="116"/>
      <c r="C120" s="56"/>
      <c r="D120" s="56"/>
      <c r="E120" s="56"/>
      <c r="F120" s="56"/>
      <c r="G120" s="56"/>
      <c r="H120" s="56"/>
      <c r="I120" s="56"/>
      <c r="N120" s="123"/>
      <c r="O120" s="123"/>
      <c r="P120" s="123"/>
      <c r="Q120" s="113"/>
      <c r="R120" s="123"/>
      <c r="S120" s="123"/>
      <c r="T120" s="123"/>
      <c r="Z120" s="113"/>
      <c r="AA120" s="123"/>
      <c r="AB120" s="123"/>
      <c r="AC120" s="113"/>
    </row>
    <row r="121" spans="1:29" ht="15" x14ac:dyDescent="0.25">
      <c r="A121" s="115" t="s">
        <v>1140</v>
      </c>
      <c r="C121" s="56"/>
      <c r="D121" s="56"/>
      <c r="E121" s="56"/>
      <c r="F121" s="56"/>
      <c r="G121" s="56"/>
      <c r="H121" s="56"/>
      <c r="I121" s="56"/>
      <c r="N121" s="113"/>
      <c r="O121" s="113"/>
      <c r="P121" s="113"/>
      <c r="R121" s="113"/>
      <c r="S121" s="113"/>
      <c r="T121" s="113"/>
      <c r="Z121" s="113"/>
      <c r="AA121" s="113"/>
      <c r="AB121" s="113"/>
      <c r="AC121" s="123"/>
    </row>
    <row r="122" spans="1:29" x14ac:dyDescent="0.2">
      <c r="A122" s="116" t="s">
        <v>1127</v>
      </c>
      <c r="B122" s="102">
        <v>475.65109252929699</v>
      </c>
      <c r="C122" s="117">
        <v>556.38378899999998</v>
      </c>
      <c r="D122" s="117">
        <v>617.22399900000005</v>
      </c>
      <c r="E122" s="117">
        <v>759.13940400000001</v>
      </c>
      <c r="F122" s="117">
        <v>867.97558600000002</v>
      </c>
      <c r="G122" s="117">
        <v>936.71118200000001</v>
      </c>
      <c r="H122" s="117">
        <v>971.95141599999999</v>
      </c>
      <c r="I122" s="117">
        <v>960.785889</v>
      </c>
      <c r="J122" s="56">
        <f t="shared" ref="J122:L124" si="54">I122*(AVERAGE((I122/H122),(H122/G122)))</f>
        <v>973.34023598300234</v>
      </c>
      <c r="K122" s="56">
        <f t="shared" si="54"/>
        <v>974.10869101519654</v>
      </c>
      <c r="L122" s="56">
        <f t="shared" si="54"/>
        <v>980.85743821909682</v>
      </c>
      <c r="N122" s="113"/>
      <c r="O122" s="113"/>
      <c r="P122" s="113"/>
      <c r="R122" s="113"/>
      <c r="S122" s="113"/>
      <c r="T122" s="113"/>
      <c r="AA122" s="113"/>
      <c r="AB122" s="113"/>
      <c r="AC122" s="123"/>
    </row>
    <row r="123" spans="1:29" x14ac:dyDescent="0.2">
      <c r="A123" s="116" t="s">
        <v>1141</v>
      </c>
      <c r="B123" s="102">
        <v>523.17541503906295</v>
      </c>
      <c r="C123" s="117">
        <v>430.149902</v>
      </c>
      <c r="D123" s="117">
        <v>870.05407700000001</v>
      </c>
      <c r="E123" s="117">
        <v>688.19641100000001</v>
      </c>
      <c r="F123" s="117">
        <v>714.96740699999998</v>
      </c>
      <c r="G123" s="117">
        <v>680.59167500000001</v>
      </c>
      <c r="H123" s="117">
        <v>697.63403300000004</v>
      </c>
      <c r="I123" s="117">
        <v>721.74328600000001</v>
      </c>
      <c r="J123" s="56">
        <f t="shared" si="54"/>
        <v>743.25091099527833</v>
      </c>
      <c r="K123" s="56">
        <f t="shared" si="54"/>
        <v>767.16803640244348</v>
      </c>
      <c r="L123" s="56">
        <f t="shared" si="54"/>
        <v>790.94204562317157</v>
      </c>
      <c r="N123" s="113"/>
      <c r="O123" s="113"/>
      <c r="P123" s="113"/>
      <c r="R123" s="113"/>
      <c r="S123" s="113"/>
      <c r="T123" s="113"/>
      <c r="AA123" s="113"/>
      <c r="AB123" s="113"/>
      <c r="AC123" s="113"/>
    </row>
    <row r="124" spans="1:29" x14ac:dyDescent="0.2">
      <c r="A124" s="116" t="s">
        <v>1133</v>
      </c>
      <c r="B124" s="102">
        <v>1037.80688476563</v>
      </c>
      <c r="C124" s="117">
        <v>1236.3748780000001</v>
      </c>
      <c r="D124" s="117">
        <v>1107.7320560000001</v>
      </c>
      <c r="E124" s="117">
        <v>1289.1326899999999</v>
      </c>
      <c r="F124" s="117">
        <v>1398.1870120000001</v>
      </c>
      <c r="G124" s="117">
        <v>1549.4853519999999</v>
      </c>
      <c r="H124" s="117">
        <v>1671.809937</v>
      </c>
      <c r="I124" s="117">
        <v>1816.0855710000001</v>
      </c>
      <c r="J124" s="56">
        <f t="shared" si="54"/>
        <v>1966.1345236920713</v>
      </c>
      <c r="K124" s="56">
        <f t="shared" si="54"/>
        <v>2132.1954712640477</v>
      </c>
      <c r="L124" s="56">
        <f t="shared" si="54"/>
        <v>2310.3220718397902</v>
      </c>
      <c r="AC124" s="113"/>
    </row>
    <row r="125" spans="1:29" x14ac:dyDescent="0.2">
      <c r="A125" s="107"/>
      <c r="B125" s="102"/>
      <c r="AC125" s="113"/>
    </row>
    <row r="126" spans="1:29" x14ac:dyDescent="0.2">
      <c r="A126" s="312" t="s">
        <v>1142</v>
      </c>
      <c r="B126" s="312"/>
      <c r="C126" s="312"/>
      <c r="D126" s="312"/>
      <c r="E126" s="312"/>
      <c r="F126" s="312"/>
      <c r="G126" s="312"/>
      <c r="H126" s="312"/>
      <c r="I126" s="312"/>
    </row>
    <row r="127" spans="1:29" x14ac:dyDescent="0.2">
      <c r="A127" s="312" t="s">
        <v>1143</v>
      </c>
      <c r="B127" s="312"/>
      <c r="C127" s="312"/>
      <c r="D127" s="312"/>
      <c r="E127" s="312"/>
      <c r="F127" s="312"/>
      <c r="G127" s="312"/>
      <c r="H127" s="312"/>
      <c r="I127" s="312"/>
    </row>
    <row r="128" spans="1:29" x14ac:dyDescent="0.2">
      <c r="A128" s="312" t="s">
        <v>1144</v>
      </c>
      <c r="B128" s="312"/>
      <c r="C128" s="312"/>
      <c r="D128" s="312"/>
      <c r="E128" s="312"/>
      <c r="F128" s="312"/>
      <c r="G128" s="312"/>
      <c r="H128" s="312"/>
      <c r="I128" s="312"/>
    </row>
    <row r="129" spans="1:12" x14ac:dyDescent="0.2">
      <c r="A129" s="312" t="s">
        <v>1145</v>
      </c>
      <c r="B129" s="312"/>
      <c r="C129" s="312"/>
      <c r="D129" s="312"/>
      <c r="E129" s="312"/>
      <c r="F129" s="312"/>
      <c r="G129" s="312"/>
      <c r="H129" s="312"/>
      <c r="I129" s="312"/>
    </row>
    <row r="131" spans="1:12" x14ac:dyDescent="0.2">
      <c r="B131" s="102">
        <f>SUM(B70:B124)</f>
        <v>31100.548919677763</v>
      </c>
    </row>
    <row r="136" spans="1:12" ht="15.75" x14ac:dyDescent="0.25">
      <c r="A136" s="125" t="s">
        <v>38</v>
      </c>
      <c r="B136" s="102"/>
      <c r="D136" s="102"/>
      <c r="E136" s="102"/>
      <c r="F136" s="102"/>
      <c r="G136" s="102"/>
      <c r="H136" s="102"/>
      <c r="I136" s="102"/>
      <c r="J136" s="102"/>
      <c r="K136" s="102"/>
    </row>
    <row r="137" spans="1:12" x14ac:dyDescent="0.2">
      <c r="A137" s="107" t="s">
        <v>39</v>
      </c>
      <c r="B137" s="102"/>
      <c r="C137" s="102"/>
      <c r="D137" s="102"/>
      <c r="E137" s="102"/>
      <c r="F137" s="102"/>
      <c r="G137" s="102"/>
      <c r="H137" s="102"/>
      <c r="I137" s="102"/>
      <c r="J137" s="102"/>
      <c r="K137" s="102"/>
    </row>
    <row r="138" spans="1:12" x14ac:dyDescent="0.2">
      <c r="A138" s="107" t="s">
        <v>29</v>
      </c>
      <c r="B138" s="13">
        <v>2005</v>
      </c>
      <c r="C138" s="13">
        <v>2010</v>
      </c>
      <c r="D138" s="13">
        <v>2015</v>
      </c>
      <c r="E138" s="13">
        <v>2020</v>
      </c>
      <c r="F138" s="13">
        <v>2025</v>
      </c>
      <c r="G138" s="13">
        <v>2030</v>
      </c>
    </row>
    <row r="139" spans="1:12" x14ac:dyDescent="0.2">
      <c r="A139" s="126" t="s">
        <v>12</v>
      </c>
      <c r="B139" s="127">
        <v>0.16854201257228851</v>
      </c>
      <c r="C139" s="127">
        <v>0.10983339697122574</v>
      </c>
      <c r="D139" s="127">
        <v>0.13085220754146576</v>
      </c>
      <c r="E139" s="127">
        <v>0.13357368111610413</v>
      </c>
      <c r="F139" s="127">
        <v>0.1399369090795517</v>
      </c>
      <c r="G139" s="127">
        <v>0.15456068515777588</v>
      </c>
      <c r="H139" s="48"/>
      <c r="I139" s="48"/>
      <c r="J139" s="48"/>
      <c r="K139" s="48"/>
      <c r="L139" s="48"/>
    </row>
    <row r="140" spans="1:12" x14ac:dyDescent="0.2">
      <c r="A140" s="126" t="s">
        <v>13</v>
      </c>
      <c r="B140" s="127">
        <v>0.22168900072574615</v>
      </c>
      <c r="C140" s="127">
        <v>0.13433676958084106</v>
      </c>
      <c r="D140" s="127">
        <v>0.19125309586524963</v>
      </c>
      <c r="E140" s="127">
        <v>0.21416524052619934</v>
      </c>
      <c r="F140" s="127">
        <v>0.23164863884449005</v>
      </c>
      <c r="G140" s="127">
        <v>0.25247180461883545</v>
      </c>
      <c r="H140" s="48"/>
      <c r="I140" s="48"/>
      <c r="J140" s="48"/>
      <c r="K140" s="48"/>
      <c r="L140" s="48"/>
    </row>
    <row r="141" spans="1:12" x14ac:dyDescent="0.2">
      <c r="A141" s="126" t="s">
        <v>14</v>
      </c>
      <c r="B141" s="127">
        <v>0.13206200301647186</v>
      </c>
      <c r="C141" s="127">
        <v>0.12938638031482697</v>
      </c>
      <c r="D141" s="127">
        <v>0.18086770176887512</v>
      </c>
      <c r="E141" s="127">
        <v>0.20183037221431732</v>
      </c>
      <c r="F141" s="127">
        <v>0.21747057139873505</v>
      </c>
      <c r="G141" s="127">
        <v>0.23638400435447693</v>
      </c>
      <c r="H141" s="48"/>
      <c r="I141" s="48"/>
      <c r="J141" s="48"/>
      <c r="K141" s="48"/>
      <c r="L141" s="48"/>
    </row>
    <row r="142" spans="1:12" x14ac:dyDescent="0.2">
      <c r="A142" s="126" t="s">
        <v>15</v>
      </c>
      <c r="B142" s="127">
        <v>0.10376899689435959</v>
      </c>
      <c r="C142" s="127">
        <v>0.14705197513103485</v>
      </c>
      <c r="D142" s="127">
        <v>0.2872026264667511</v>
      </c>
      <c r="E142" s="127">
        <v>0.323182612657547</v>
      </c>
      <c r="F142" s="127">
        <v>0.35317125916481018</v>
      </c>
      <c r="G142" s="127">
        <v>0.38334399461746216</v>
      </c>
      <c r="H142" s="48"/>
      <c r="I142" s="48"/>
      <c r="J142" s="48"/>
      <c r="K142" s="48"/>
      <c r="L142" s="48"/>
    </row>
    <row r="143" spans="1:12" x14ac:dyDescent="0.2">
      <c r="A143" s="126" t="s">
        <v>16</v>
      </c>
      <c r="B143" s="127">
        <v>0</v>
      </c>
      <c r="C143" s="127">
        <v>5.9476383030414581E-2</v>
      </c>
      <c r="D143" s="127">
        <v>9.3320019543170929E-2</v>
      </c>
      <c r="E143" s="127">
        <v>9.4852723181247711E-2</v>
      </c>
      <c r="F143" s="127">
        <v>9.9789887666702271E-2</v>
      </c>
      <c r="G143" s="127">
        <v>0.11121117323637009</v>
      </c>
      <c r="H143" s="48"/>
      <c r="I143" s="48"/>
      <c r="J143" s="48"/>
      <c r="K143" s="48"/>
      <c r="L143" s="48"/>
    </row>
    <row r="144" spans="1:12" x14ac:dyDescent="0.2">
      <c r="A144" s="126" t="s">
        <v>17</v>
      </c>
      <c r="B144" s="127">
        <v>0</v>
      </c>
      <c r="C144" s="127">
        <v>0</v>
      </c>
      <c r="D144" s="127">
        <v>0</v>
      </c>
      <c r="E144" s="127">
        <v>0</v>
      </c>
      <c r="F144" s="127">
        <v>0</v>
      </c>
      <c r="G144" s="127">
        <v>0</v>
      </c>
      <c r="H144" s="48"/>
      <c r="I144" s="48"/>
      <c r="J144" s="48"/>
      <c r="K144" s="48"/>
      <c r="L144" s="48"/>
    </row>
    <row r="145" spans="1:12" x14ac:dyDescent="0.2">
      <c r="A145" s="126" t="s">
        <v>18</v>
      </c>
      <c r="B145" s="127">
        <v>0</v>
      </c>
      <c r="C145" s="127">
        <v>0</v>
      </c>
      <c r="D145" s="127">
        <v>0</v>
      </c>
      <c r="E145" s="127">
        <v>0</v>
      </c>
      <c r="F145" s="127">
        <v>0</v>
      </c>
      <c r="G145" s="127">
        <v>0</v>
      </c>
      <c r="H145" s="48"/>
      <c r="I145" s="48"/>
      <c r="J145" s="48"/>
      <c r="K145" s="48"/>
      <c r="L145" s="48"/>
    </row>
    <row r="146" spans="1:12" x14ac:dyDescent="0.2">
      <c r="A146" s="126" t="s">
        <v>19</v>
      </c>
      <c r="B146" s="127">
        <v>0</v>
      </c>
      <c r="C146" s="127">
        <v>0</v>
      </c>
      <c r="D146" s="127">
        <v>0</v>
      </c>
      <c r="E146" s="127">
        <v>0</v>
      </c>
      <c r="F146" s="127">
        <v>0</v>
      </c>
      <c r="G146" s="127">
        <v>0</v>
      </c>
      <c r="H146" s="48"/>
      <c r="I146" s="48"/>
      <c r="J146" s="48"/>
      <c r="K146" s="48"/>
      <c r="L146" s="48"/>
    </row>
    <row r="147" spans="1:12" x14ac:dyDescent="0.2">
      <c r="A147" s="126" t="s">
        <v>20</v>
      </c>
      <c r="B147" s="127">
        <v>5.1979999989271164E-3</v>
      </c>
      <c r="C147" s="127">
        <v>0.66248083114624023</v>
      </c>
      <c r="D147" s="127">
        <v>1.2350699901580811</v>
      </c>
      <c r="E147" s="127">
        <v>1.4036171436309814</v>
      </c>
      <c r="F147" s="127">
        <v>1.5546315908432007</v>
      </c>
      <c r="G147" s="127">
        <v>1.704231858253479</v>
      </c>
      <c r="H147" s="48"/>
      <c r="I147" s="48"/>
      <c r="J147" s="48"/>
      <c r="K147" s="48"/>
      <c r="L147" s="48"/>
    </row>
    <row r="148" spans="1:12" x14ac:dyDescent="0.2">
      <c r="A148" s="126" t="s">
        <v>21</v>
      </c>
      <c r="B148" s="127">
        <v>0</v>
      </c>
      <c r="C148" s="127">
        <v>0</v>
      </c>
      <c r="D148" s="127">
        <v>0</v>
      </c>
      <c r="E148" s="127">
        <v>0</v>
      </c>
      <c r="F148" s="127">
        <v>0</v>
      </c>
      <c r="G148" s="127">
        <v>0</v>
      </c>
      <c r="H148" s="48"/>
      <c r="I148" s="48"/>
      <c r="J148" s="48"/>
      <c r="K148" s="48"/>
      <c r="L148" s="48"/>
    </row>
    <row r="149" spans="1:12" x14ac:dyDescent="0.2">
      <c r="A149" s="126" t="s">
        <v>22</v>
      </c>
      <c r="B149" s="127">
        <v>0</v>
      </c>
      <c r="C149" s="127">
        <v>0</v>
      </c>
      <c r="D149" s="127">
        <v>0</v>
      </c>
      <c r="E149" s="127">
        <v>0</v>
      </c>
      <c r="F149" s="127">
        <v>0</v>
      </c>
      <c r="G149" s="127">
        <v>0</v>
      </c>
      <c r="H149" s="48"/>
      <c r="I149" s="48"/>
      <c r="J149" s="48"/>
      <c r="K149" s="48"/>
      <c r="L149" s="48"/>
    </row>
    <row r="150" spans="1:12" x14ac:dyDescent="0.2">
      <c r="A150" s="126" t="s">
        <v>40</v>
      </c>
      <c r="B150" s="127">
        <v>0.63126003742218018</v>
      </c>
      <c r="C150" s="127">
        <v>1.2425657510757446</v>
      </c>
      <c r="D150" s="127">
        <v>2.118565559387207</v>
      </c>
      <c r="E150" s="127">
        <v>2.3712217807769775</v>
      </c>
      <c r="F150" s="127">
        <v>2.5966486930847168</v>
      </c>
      <c r="G150" s="127">
        <v>2.8422036170959473</v>
      </c>
      <c r="H150" s="48"/>
      <c r="I150" s="48"/>
      <c r="J150" s="48"/>
      <c r="K150" s="48"/>
      <c r="L150" s="48"/>
    </row>
    <row r="151" spans="1:12" x14ac:dyDescent="0.2">
      <c r="A151" s="126" t="s">
        <v>41</v>
      </c>
      <c r="B151" s="127">
        <v>0</v>
      </c>
      <c r="C151" s="127">
        <v>0.14599999785423279</v>
      </c>
      <c r="D151" s="127">
        <v>0.14599999785423279</v>
      </c>
      <c r="E151" s="127">
        <v>0.14599999785423279</v>
      </c>
      <c r="F151" s="127">
        <v>0.14599999785423279</v>
      </c>
      <c r="G151" s="127">
        <v>0.14599999785423279</v>
      </c>
      <c r="H151" s="48"/>
      <c r="I151" s="48"/>
      <c r="J151" s="48"/>
      <c r="K151" s="48"/>
      <c r="L151" s="48"/>
    </row>
    <row r="152" spans="1:12" x14ac:dyDescent="0.2">
      <c r="A152" s="126" t="s">
        <v>42</v>
      </c>
      <c r="B152" s="127">
        <v>0</v>
      </c>
      <c r="C152" s="127">
        <v>0</v>
      </c>
      <c r="D152" s="127">
        <v>0</v>
      </c>
      <c r="E152" s="127">
        <v>0</v>
      </c>
      <c r="F152" s="127">
        <v>0</v>
      </c>
      <c r="G152" s="127">
        <v>0</v>
      </c>
      <c r="H152" s="48"/>
      <c r="I152" s="48"/>
      <c r="J152" s="48"/>
      <c r="K152" s="48"/>
      <c r="L152" s="48"/>
    </row>
    <row r="153" spans="1:12" x14ac:dyDescent="0.2">
      <c r="A153" s="126" t="s">
        <v>43</v>
      </c>
      <c r="B153" s="127">
        <v>0</v>
      </c>
      <c r="C153" s="127">
        <v>0.31000000238418579</v>
      </c>
      <c r="D153" s="127">
        <v>0.4649999737739563</v>
      </c>
      <c r="E153" s="127">
        <v>0.4649999737739563</v>
      </c>
      <c r="F153" s="127">
        <v>0.4649999737739563</v>
      </c>
      <c r="G153" s="127">
        <v>0.4649999737739563</v>
      </c>
      <c r="H153" s="48"/>
      <c r="I153" s="48"/>
      <c r="J153" s="48"/>
      <c r="K153" s="48"/>
      <c r="L153" s="48"/>
    </row>
    <row r="156" spans="1:12" x14ac:dyDescent="0.2">
      <c r="A156" s="63" t="s">
        <v>44</v>
      </c>
    </row>
    <row r="157" spans="1:12" x14ac:dyDescent="0.2">
      <c r="A157" s="126" t="s">
        <v>12</v>
      </c>
      <c r="B157" s="127">
        <v>0.20000000298023224</v>
      </c>
      <c r="C157" s="127">
        <v>0.36500000953674316</v>
      </c>
      <c r="D157" s="127">
        <v>0.36500000953674316</v>
      </c>
      <c r="E157" s="127">
        <v>0.36500000953674316</v>
      </c>
      <c r="F157" s="127">
        <v>0.36500000953674316</v>
      </c>
      <c r="G157" s="127">
        <v>0.36500000953674316</v>
      </c>
      <c r="H157" s="48"/>
      <c r="I157" s="73" t="s">
        <v>160</v>
      </c>
      <c r="J157" s="48"/>
      <c r="K157" s="48"/>
      <c r="L157" s="48"/>
    </row>
    <row r="158" spans="1:12" x14ac:dyDescent="0.2">
      <c r="A158" s="126" t="s">
        <v>13</v>
      </c>
      <c r="B158" s="127">
        <v>0.36500000953674316</v>
      </c>
      <c r="C158" s="127">
        <v>0.36500000953674316</v>
      </c>
      <c r="D158" s="127">
        <v>0.36500000953674316</v>
      </c>
      <c r="E158" s="127">
        <v>0.36500000953674316</v>
      </c>
      <c r="F158" s="127">
        <v>0.36500000953674316</v>
      </c>
      <c r="G158" s="127">
        <v>0.36500000953674316</v>
      </c>
      <c r="H158" s="48"/>
      <c r="I158" s="73" t="s">
        <v>195</v>
      </c>
      <c r="J158" s="48"/>
      <c r="K158" s="48"/>
      <c r="L158" s="48"/>
    </row>
    <row r="159" spans="1:12" x14ac:dyDescent="0.2">
      <c r="A159" s="126" t="s">
        <v>14</v>
      </c>
      <c r="B159" s="127">
        <v>0.24800001084804535</v>
      </c>
      <c r="C159" s="127">
        <v>0.44499999284744263</v>
      </c>
      <c r="D159" s="127">
        <v>0.44499999284744263</v>
      </c>
      <c r="E159" s="127">
        <v>0.44499999284744263</v>
      </c>
      <c r="F159" s="127">
        <v>0.44499999284744263</v>
      </c>
      <c r="G159" s="127">
        <v>0.44499999284744263</v>
      </c>
      <c r="H159" s="48"/>
      <c r="I159" s="73" t="s">
        <v>195</v>
      </c>
      <c r="J159" s="48"/>
      <c r="K159" s="48"/>
      <c r="L159" s="48"/>
    </row>
    <row r="160" spans="1:12" x14ac:dyDescent="0.2">
      <c r="A160" s="126" t="s">
        <v>15</v>
      </c>
      <c r="B160" s="127">
        <v>0.36500000953674316</v>
      </c>
      <c r="C160" s="127">
        <v>0.76700007915496826</v>
      </c>
      <c r="D160" s="127">
        <v>0.76700007915496826</v>
      </c>
      <c r="E160" s="127">
        <v>0.76700007915496826</v>
      </c>
      <c r="F160" s="127">
        <v>0.76700007915496826</v>
      </c>
      <c r="G160" s="127">
        <v>0.76700007915496826</v>
      </c>
      <c r="H160" s="48"/>
      <c r="I160" s="73" t="s">
        <v>198</v>
      </c>
      <c r="J160" s="48"/>
      <c r="K160" s="48"/>
      <c r="L160" s="48"/>
    </row>
    <row r="161" spans="1:12" x14ac:dyDescent="0.2">
      <c r="A161" s="126" t="s">
        <v>16</v>
      </c>
      <c r="B161" s="127">
        <v>0</v>
      </c>
      <c r="C161" s="127">
        <v>0.29199999570846558</v>
      </c>
      <c r="D161" s="127">
        <v>0.29199999570846558</v>
      </c>
      <c r="E161" s="127">
        <v>0.29199999570846558</v>
      </c>
      <c r="F161" s="127">
        <v>0.29199999570846558</v>
      </c>
      <c r="G161" s="127">
        <v>0.29199999570846558</v>
      </c>
      <c r="H161" s="48"/>
      <c r="I161" s="48"/>
      <c r="J161" s="48"/>
      <c r="K161" s="48"/>
      <c r="L161" s="48"/>
    </row>
    <row r="162" spans="1:12" x14ac:dyDescent="0.2">
      <c r="A162" s="126" t="s">
        <v>17</v>
      </c>
      <c r="B162" s="127">
        <v>0</v>
      </c>
      <c r="C162" s="127">
        <v>0</v>
      </c>
      <c r="D162" s="127">
        <v>0</v>
      </c>
      <c r="E162" s="127">
        <v>0</v>
      </c>
      <c r="F162" s="127">
        <v>0</v>
      </c>
      <c r="G162" s="127">
        <v>0</v>
      </c>
      <c r="H162" s="48"/>
      <c r="I162" s="48"/>
      <c r="J162" s="48"/>
      <c r="K162" s="48"/>
      <c r="L162" s="48"/>
    </row>
    <row r="163" spans="1:12" x14ac:dyDescent="0.2">
      <c r="A163" s="126" t="s">
        <v>18</v>
      </c>
      <c r="B163" s="127">
        <v>0</v>
      </c>
      <c r="C163" s="127">
        <v>0</v>
      </c>
      <c r="D163" s="127">
        <v>0</v>
      </c>
      <c r="E163" s="127">
        <v>0</v>
      </c>
      <c r="F163" s="127">
        <v>0</v>
      </c>
      <c r="G163" s="127">
        <v>0</v>
      </c>
      <c r="H163" s="48"/>
      <c r="I163" s="48"/>
      <c r="J163" s="48"/>
      <c r="K163" s="48"/>
      <c r="L163" s="48"/>
    </row>
    <row r="164" spans="1:12" x14ac:dyDescent="0.2">
      <c r="A164" s="126" t="s">
        <v>19</v>
      </c>
      <c r="B164" s="127">
        <v>0</v>
      </c>
      <c r="C164" s="127">
        <v>0</v>
      </c>
      <c r="D164" s="127">
        <v>0</v>
      </c>
      <c r="E164" s="127">
        <v>0</v>
      </c>
      <c r="F164" s="127">
        <v>0</v>
      </c>
      <c r="G164" s="127">
        <v>0</v>
      </c>
      <c r="H164" s="48"/>
      <c r="I164" s="48"/>
      <c r="J164" s="48"/>
      <c r="K164" s="48"/>
      <c r="L164" s="48"/>
    </row>
    <row r="165" spans="1:12" x14ac:dyDescent="0.2">
      <c r="A165" s="126" t="s">
        <v>20</v>
      </c>
      <c r="B165" s="127">
        <v>0.18299999833106995</v>
      </c>
      <c r="C165" s="127">
        <v>2.9579999446868896</v>
      </c>
      <c r="D165" s="127">
        <v>2.9579999446868896</v>
      </c>
      <c r="E165" s="127">
        <v>2.9579999446868896</v>
      </c>
      <c r="F165" s="127">
        <v>2.9579999446868896</v>
      </c>
      <c r="G165" s="127">
        <v>2.9579999446868896</v>
      </c>
      <c r="H165" s="48"/>
      <c r="I165" s="73" t="s">
        <v>198</v>
      </c>
      <c r="J165" s="48"/>
      <c r="K165" s="48"/>
      <c r="L165" s="48"/>
    </row>
    <row r="166" spans="1:12" x14ac:dyDescent="0.2">
      <c r="A166" s="126" t="s">
        <v>21</v>
      </c>
      <c r="B166" s="127">
        <v>0</v>
      </c>
      <c r="C166" s="127">
        <v>0</v>
      </c>
      <c r="D166" s="127">
        <v>0</v>
      </c>
      <c r="E166" s="127">
        <v>0</v>
      </c>
      <c r="F166" s="127">
        <v>0</v>
      </c>
      <c r="G166" s="127">
        <v>0</v>
      </c>
      <c r="H166" s="48"/>
      <c r="I166" s="48"/>
      <c r="J166" s="48"/>
      <c r="K166" s="48"/>
      <c r="L166" s="48"/>
    </row>
    <row r="167" spans="1:12" x14ac:dyDescent="0.2">
      <c r="A167" s="126" t="s">
        <v>22</v>
      </c>
      <c r="B167" s="127">
        <v>0</v>
      </c>
      <c r="C167" s="127">
        <v>0</v>
      </c>
      <c r="D167" s="127">
        <v>0</v>
      </c>
      <c r="E167" s="127">
        <v>0</v>
      </c>
      <c r="F167" s="127">
        <v>0</v>
      </c>
      <c r="G167" s="127">
        <v>0</v>
      </c>
      <c r="H167" s="48"/>
      <c r="I167" s="48"/>
      <c r="J167" s="48"/>
      <c r="K167" s="48"/>
      <c r="L167" s="48"/>
    </row>
    <row r="168" spans="1:12" x14ac:dyDescent="0.2">
      <c r="A168" s="126" t="s">
        <v>40</v>
      </c>
      <c r="B168" s="127">
        <v>1.3609999418258667</v>
      </c>
      <c r="C168" s="127">
        <v>5.1919999122619629</v>
      </c>
      <c r="D168" s="127">
        <v>5.1919999122619629</v>
      </c>
      <c r="E168" s="127">
        <v>5.1919999122619629</v>
      </c>
      <c r="F168" s="127">
        <v>5.1919999122619629</v>
      </c>
      <c r="G168" s="127">
        <v>5.1919999122619629</v>
      </c>
      <c r="H168" s="48"/>
      <c r="I168" s="48"/>
      <c r="J168" s="48"/>
      <c r="K168" s="48"/>
      <c r="L168" s="48"/>
    </row>
  </sheetData>
  <mergeCells count="6">
    <mergeCell ref="A128:I128"/>
    <mergeCell ref="A129:I129"/>
    <mergeCell ref="A64:I64"/>
    <mergeCell ref="A65:I65"/>
    <mergeCell ref="A126:I126"/>
    <mergeCell ref="A127:I127"/>
  </mergeCells>
  <phoneticPr fontId="18" type="noConversion"/>
  <hyperlinks>
    <hyperlink ref="V17" r:id="rId1" xr:uid="{00000000-0004-0000-0B00-000000000000}"/>
  </hyperlinks>
  <pageMargins left="0.75" right="0.75" top="1" bottom="1" header="0.5" footer="0.5"/>
  <pageSetup orientation="portrait" r:id="rId2"/>
  <headerFooter alignWithMargins="0"/>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I99"/>
  <sheetViews>
    <sheetView topLeftCell="A19" zoomScale="80" zoomScaleNormal="80" workbookViewId="0">
      <selection activeCell="B34" sqref="B34"/>
    </sheetView>
  </sheetViews>
  <sheetFormatPr defaultColWidth="9.140625" defaultRowHeight="12.75" x14ac:dyDescent="0.2"/>
  <cols>
    <col min="1" max="1" width="26.7109375" style="20" customWidth="1"/>
    <col min="2" max="3" width="19" style="20" customWidth="1"/>
    <col min="4" max="4" width="16.140625" style="20" customWidth="1"/>
    <col min="5" max="35" width="19" style="20" customWidth="1"/>
    <col min="36" max="36" width="10.5703125" style="20" customWidth="1"/>
    <col min="37" max="37" width="8.7109375" style="20" customWidth="1"/>
    <col min="38" max="38" width="11.42578125" style="20" customWidth="1"/>
    <col min="39" max="39" width="13.7109375" style="20" customWidth="1"/>
    <col min="40" max="40" width="17.28515625" style="20" customWidth="1"/>
    <col min="41" max="94" width="9.140625" style="20"/>
    <col min="95" max="95" width="11.42578125" style="20" customWidth="1"/>
    <col min="96" max="256" width="9.140625" style="20"/>
    <col min="257" max="257" width="15.140625" style="20" customWidth="1"/>
    <col min="258" max="259" width="19" style="20" customWidth="1"/>
    <col min="260" max="260" width="16.140625" style="20" customWidth="1"/>
    <col min="261" max="291" width="19" style="20" customWidth="1"/>
    <col min="292" max="292" width="10.5703125" style="20" customWidth="1"/>
    <col min="293" max="293" width="8.7109375" style="20" customWidth="1"/>
    <col min="294" max="294" width="11.42578125" style="20" customWidth="1"/>
    <col min="295" max="512" width="9.140625" style="20"/>
    <col min="513" max="513" width="15.140625" style="20" customWidth="1"/>
    <col min="514" max="515" width="19" style="20" customWidth="1"/>
    <col min="516" max="516" width="16.140625" style="20" customWidth="1"/>
    <col min="517" max="547" width="19" style="20" customWidth="1"/>
    <col min="548" max="548" width="10.5703125" style="20" customWidth="1"/>
    <col min="549" max="549" width="8.7109375" style="20" customWidth="1"/>
    <col min="550" max="550" width="11.42578125" style="20" customWidth="1"/>
    <col min="551" max="768" width="9.140625" style="20"/>
    <col min="769" max="769" width="15.140625" style="20" customWidth="1"/>
    <col min="770" max="771" width="19" style="20" customWidth="1"/>
    <col min="772" max="772" width="16.140625" style="20" customWidth="1"/>
    <col min="773" max="803" width="19" style="20" customWidth="1"/>
    <col min="804" max="804" width="10.5703125" style="20" customWidth="1"/>
    <col min="805" max="805" width="8.7109375" style="20" customWidth="1"/>
    <col min="806" max="806" width="11.42578125" style="20" customWidth="1"/>
    <col min="807" max="1024" width="9.140625" style="20"/>
    <col min="1025" max="1025" width="15.140625" style="20" customWidth="1"/>
    <col min="1026" max="1027" width="19" style="20" customWidth="1"/>
    <col min="1028" max="1028" width="16.140625" style="20" customWidth="1"/>
    <col min="1029" max="1059" width="19" style="20" customWidth="1"/>
    <col min="1060" max="1060" width="10.5703125" style="20" customWidth="1"/>
    <col min="1061" max="1061" width="8.7109375" style="20" customWidth="1"/>
    <col min="1062" max="1062" width="11.42578125" style="20" customWidth="1"/>
    <col min="1063" max="1280" width="9.140625" style="20"/>
    <col min="1281" max="1281" width="15.140625" style="20" customWidth="1"/>
    <col min="1282" max="1283" width="19" style="20" customWidth="1"/>
    <col min="1284" max="1284" width="16.140625" style="20" customWidth="1"/>
    <col min="1285" max="1315" width="19" style="20" customWidth="1"/>
    <col min="1316" max="1316" width="10.5703125" style="20" customWidth="1"/>
    <col min="1317" max="1317" width="8.7109375" style="20" customWidth="1"/>
    <col min="1318" max="1318" width="11.42578125" style="20" customWidth="1"/>
    <col min="1319" max="1536" width="9.140625" style="20"/>
    <col min="1537" max="1537" width="15.140625" style="20" customWidth="1"/>
    <col min="1538" max="1539" width="19" style="20" customWidth="1"/>
    <col min="1540" max="1540" width="16.140625" style="20" customWidth="1"/>
    <col min="1541" max="1571" width="19" style="20" customWidth="1"/>
    <col min="1572" max="1572" width="10.5703125" style="20" customWidth="1"/>
    <col min="1573" max="1573" width="8.7109375" style="20" customWidth="1"/>
    <col min="1574" max="1574" width="11.42578125" style="20" customWidth="1"/>
    <col min="1575" max="1792" width="9.140625" style="20"/>
    <col min="1793" max="1793" width="15.140625" style="20" customWidth="1"/>
    <col min="1794" max="1795" width="19" style="20" customWidth="1"/>
    <col min="1796" max="1796" width="16.140625" style="20" customWidth="1"/>
    <col min="1797" max="1827" width="19" style="20" customWidth="1"/>
    <col min="1828" max="1828" width="10.5703125" style="20" customWidth="1"/>
    <col min="1829" max="1829" width="8.7109375" style="20" customWidth="1"/>
    <col min="1830" max="1830" width="11.42578125" style="20" customWidth="1"/>
    <col min="1831" max="2048" width="9.140625" style="20"/>
    <col min="2049" max="2049" width="15.140625" style="20" customWidth="1"/>
    <col min="2050" max="2051" width="19" style="20" customWidth="1"/>
    <col min="2052" max="2052" width="16.140625" style="20" customWidth="1"/>
    <col min="2053" max="2083" width="19" style="20" customWidth="1"/>
    <col min="2084" max="2084" width="10.5703125" style="20" customWidth="1"/>
    <col min="2085" max="2085" width="8.7109375" style="20" customWidth="1"/>
    <col min="2086" max="2086" width="11.42578125" style="20" customWidth="1"/>
    <col min="2087" max="2304" width="9.140625" style="20"/>
    <col min="2305" max="2305" width="15.140625" style="20" customWidth="1"/>
    <col min="2306" max="2307" width="19" style="20" customWidth="1"/>
    <col min="2308" max="2308" width="16.140625" style="20" customWidth="1"/>
    <col min="2309" max="2339" width="19" style="20" customWidth="1"/>
    <col min="2340" max="2340" width="10.5703125" style="20" customWidth="1"/>
    <col min="2341" max="2341" width="8.7109375" style="20" customWidth="1"/>
    <col min="2342" max="2342" width="11.42578125" style="20" customWidth="1"/>
    <col min="2343" max="2560" width="9.140625" style="20"/>
    <col min="2561" max="2561" width="15.140625" style="20" customWidth="1"/>
    <col min="2562" max="2563" width="19" style="20" customWidth="1"/>
    <col min="2564" max="2564" width="16.140625" style="20" customWidth="1"/>
    <col min="2565" max="2595" width="19" style="20" customWidth="1"/>
    <col min="2596" max="2596" width="10.5703125" style="20" customWidth="1"/>
    <col min="2597" max="2597" width="8.7109375" style="20" customWidth="1"/>
    <col min="2598" max="2598" width="11.42578125" style="20" customWidth="1"/>
    <col min="2599" max="2816" width="9.140625" style="20"/>
    <col min="2817" max="2817" width="15.140625" style="20" customWidth="1"/>
    <col min="2818" max="2819" width="19" style="20" customWidth="1"/>
    <col min="2820" max="2820" width="16.140625" style="20" customWidth="1"/>
    <col min="2821" max="2851" width="19" style="20" customWidth="1"/>
    <col min="2852" max="2852" width="10.5703125" style="20" customWidth="1"/>
    <col min="2853" max="2853" width="8.7109375" style="20" customWidth="1"/>
    <col min="2854" max="2854" width="11.42578125" style="20" customWidth="1"/>
    <col min="2855" max="3072" width="9.140625" style="20"/>
    <col min="3073" max="3073" width="15.140625" style="20" customWidth="1"/>
    <col min="3074" max="3075" width="19" style="20" customWidth="1"/>
    <col min="3076" max="3076" width="16.140625" style="20" customWidth="1"/>
    <col min="3077" max="3107" width="19" style="20" customWidth="1"/>
    <col min="3108" max="3108" width="10.5703125" style="20" customWidth="1"/>
    <col min="3109" max="3109" width="8.7109375" style="20" customWidth="1"/>
    <col min="3110" max="3110" width="11.42578125" style="20" customWidth="1"/>
    <col min="3111" max="3328" width="9.140625" style="20"/>
    <col min="3329" max="3329" width="15.140625" style="20" customWidth="1"/>
    <col min="3330" max="3331" width="19" style="20" customWidth="1"/>
    <col min="3332" max="3332" width="16.140625" style="20" customWidth="1"/>
    <col min="3333" max="3363" width="19" style="20" customWidth="1"/>
    <col min="3364" max="3364" width="10.5703125" style="20" customWidth="1"/>
    <col min="3365" max="3365" width="8.7109375" style="20" customWidth="1"/>
    <col min="3366" max="3366" width="11.42578125" style="20" customWidth="1"/>
    <col min="3367" max="3584" width="9.140625" style="20"/>
    <col min="3585" max="3585" width="15.140625" style="20" customWidth="1"/>
    <col min="3586" max="3587" width="19" style="20" customWidth="1"/>
    <col min="3588" max="3588" width="16.140625" style="20" customWidth="1"/>
    <col min="3589" max="3619" width="19" style="20" customWidth="1"/>
    <col min="3620" max="3620" width="10.5703125" style="20" customWidth="1"/>
    <col min="3621" max="3621" width="8.7109375" style="20" customWidth="1"/>
    <col min="3622" max="3622" width="11.42578125" style="20" customWidth="1"/>
    <col min="3623" max="3840" width="9.140625" style="20"/>
    <col min="3841" max="3841" width="15.140625" style="20" customWidth="1"/>
    <col min="3842" max="3843" width="19" style="20" customWidth="1"/>
    <col min="3844" max="3844" width="16.140625" style="20" customWidth="1"/>
    <col min="3845" max="3875" width="19" style="20" customWidth="1"/>
    <col min="3876" max="3876" width="10.5703125" style="20" customWidth="1"/>
    <col min="3877" max="3877" width="8.7109375" style="20" customWidth="1"/>
    <col min="3878" max="3878" width="11.42578125" style="20" customWidth="1"/>
    <col min="3879" max="4096" width="9.140625" style="20"/>
    <col min="4097" max="4097" width="15.140625" style="20" customWidth="1"/>
    <col min="4098" max="4099" width="19" style="20" customWidth="1"/>
    <col min="4100" max="4100" width="16.140625" style="20" customWidth="1"/>
    <col min="4101" max="4131" width="19" style="20" customWidth="1"/>
    <col min="4132" max="4132" width="10.5703125" style="20" customWidth="1"/>
    <col min="4133" max="4133" width="8.7109375" style="20" customWidth="1"/>
    <col min="4134" max="4134" width="11.42578125" style="20" customWidth="1"/>
    <col min="4135" max="4352" width="9.140625" style="20"/>
    <col min="4353" max="4353" width="15.140625" style="20" customWidth="1"/>
    <col min="4354" max="4355" width="19" style="20" customWidth="1"/>
    <col min="4356" max="4356" width="16.140625" style="20" customWidth="1"/>
    <col min="4357" max="4387" width="19" style="20" customWidth="1"/>
    <col min="4388" max="4388" width="10.5703125" style="20" customWidth="1"/>
    <col min="4389" max="4389" width="8.7109375" style="20" customWidth="1"/>
    <col min="4390" max="4390" width="11.42578125" style="20" customWidth="1"/>
    <col min="4391" max="4608" width="9.140625" style="20"/>
    <col min="4609" max="4609" width="15.140625" style="20" customWidth="1"/>
    <col min="4610" max="4611" width="19" style="20" customWidth="1"/>
    <col min="4612" max="4612" width="16.140625" style="20" customWidth="1"/>
    <col min="4613" max="4643" width="19" style="20" customWidth="1"/>
    <col min="4644" max="4644" width="10.5703125" style="20" customWidth="1"/>
    <col min="4645" max="4645" width="8.7109375" style="20" customWidth="1"/>
    <col min="4646" max="4646" width="11.42578125" style="20" customWidth="1"/>
    <col min="4647" max="4864" width="9.140625" style="20"/>
    <col min="4865" max="4865" width="15.140625" style="20" customWidth="1"/>
    <col min="4866" max="4867" width="19" style="20" customWidth="1"/>
    <col min="4868" max="4868" width="16.140625" style="20" customWidth="1"/>
    <col min="4869" max="4899" width="19" style="20" customWidth="1"/>
    <col min="4900" max="4900" width="10.5703125" style="20" customWidth="1"/>
    <col min="4901" max="4901" width="8.7109375" style="20" customWidth="1"/>
    <col min="4902" max="4902" width="11.42578125" style="20" customWidth="1"/>
    <col min="4903" max="5120" width="9.140625" style="20"/>
    <col min="5121" max="5121" width="15.140625" style="20" customWidth="1"/>
    <col min="5122" max="5123" width="19" style="20" customWidth="1"/>
    <col min="5124" max="5124" width="16.140625" style="20" customWidth="1"/>
    <col min="5125" max="5155" width="19" style="20" customWidth="1"/>
    <col min="5156" max="5156" width="10.5703125" style="20" customWidth="1"/>
    <col min="5157" max="5157" width="8.7109375" style="20" customWidth="1"/>
    <col min="5158" max="5158" width="11.42578125" style="20" customWidth="1"/>
    <col min="5159" max="5376" width="9.140625" style="20"/>
    <col min="5377" max="5377" width="15.140625" style="20" customWidth="1"/>
    <col min="5378" max="5379" width="19" style="20" customWidth="1"/>
    <col min="5380" max="5380" width="16.140625" style="20" customWidth="1"/>
    <col min="5381" max="5411" width="19" style="20" customWidth="1"/>
    <col min="5412" max="5412" width="10.5703125" style="20" customWidth="1"/>
    <col min="5413" max="5413" width="8.7109375" style="20" customWidth="1"/>
    <col min="5414" max="5414" width="11.42578125" style="20" customWidth="1"/>
    <col min="5415" max="5632" width="9.140625" style="20"/>
    <col min="5633" max="5633" width="15.140625" style="20" customWidth="1"/>
    <col min="5634" max="5635" width="19" style="20" customWidth="1"/>
    <col min="5636" max="5636" width="16.140625" style="20" customWidth="1"/>
    <col min="5637" max="5667" width="19" style="20" customWidth="1"/>
    <col min="5668" max="5668" width="10.5703125" style="20" customWidth="1"/>
    <col min="5669" max="5669" width="8.7109375" style="20" customWidth="1"/>
    <col min="5670" max="5670" width="11.42578125" style="20" customWidth="1"/>
    <col min="5671" max="5888" width="9.140625" style="20"/>
    <col min="5889" max="5889" width="15.140625" style="20" customWidth="1"/>
    <col min="5890" max="5891" width="19" style="20" customWidth="1"/>
    <col min="5892" max="5892" width="16.140625" style="20" customWidth="1"/>
    <col min="5893" max="5923" width="19" style="20" customWidth="1"/>
    <col min="5924" max="5924" width="10.5703125" style="20" customWidth="1"/>
    <col min="5925" max="5925" width="8.7109375" style="20" customWidth="1"/>
    <col min="5926" max="5926" width="11.42578125" style="20" customWidth="1"/>
    <col min="5927" max="6144" width="9.140625" style="20"/>
    <col min="6145" max="6145" width="15.140625" style="20" customWidth="1"/>
    <col min="6146" max="6147" width="19" style="20" customWidth="1"/>
    <col min="6148" max="6148" width="16.140625" style="20" customWidth="1"/>
    <col min="6149" max="6179" width="19" style="20" customWidth="1"/>
    <col min="6180" max="6180" width="10.5703125" style="20" customWidth="1"/>
    <col min="6181" max="6181" width="8.7109375" style="20" customWidth="1"/>
    <col min="6182" max="6182" width="11.42578125" style="20" customWidth="1"/>
    <col min="6183" max="6400" width="9.140625" style="20"/>
    <col min="6401" max="6401" width="15.140625" style="20" customWidth="1"/>
    <col min="6402" max="6403" width="19" style="20" customWidth="1"/>
    <col min="6404" max="6404" width="16.140625" style="20" customWidth="1"/>
    <col min="6405" max="6435" width="19" style="20" customWidth="1"/>
    <col min="6436" max="6436" width="10.5703125" style="20" customWidth="1"/>
    <col min="6437" max="6437" width="8.7109375" style="20" customWidth="1"/>
    <col min="6438" max="6438" width="11.42578125" style="20" customWidth="1"/>
    <col min="6439" max="6656" width="9.140625" style="20"/>
    <col min="6657" max="6657" width="15.140625" style="20" customWidth="1"/>
    <col min="6658" max="6659" width="19" style="20" customWidth="1"/>
    <col min="6660" max="6660" width="16.140625" style="20" customWidth="1"/>
    <col min="6661" max="6691" width="19" style="20" customWidth="1"/>
    <col min="6692" max="6692" width="10.5703125" style="20" customWidth="1"/>
    <col min="6693" max="6693" width="8.7109375" style="20" customWidth="1"/>
    <col min="6694" max="6694" width="11.42578125" style="20" customWidth="1"/>
    <col min="6695" max="6912" width="9.140625" style="20"/>
    <col min="6913" max="6913" width="15.140625" style="20" customWidth="1"/>
    <col min="6914" max="6915" width="19" style="20" customWidth="1"/>
    <col min="6916" max="6916" width="16.140625" style="20" customWidth="1"/>
    <col min="6917" max="6947" width="19" style="20" customWidth="1"/>
    <col min="6948" max="6948" width="10.5703125" style="20" customWidth="1"/>
    <col min="6949" max="6949" width="8.7109375" style="20" customWidth="1"/>
    <col min="6950" max="6950" width="11.42578125" style="20" customWidth="1"/>
    <col min="6951" max="7168" width="9.140625" style="20"/>
    <col min="7169" max="7169" width="15.140625" style="20" customWidth="1"/>
    <col min="7170" max="7171" width="19" style="20" customWidth="1"/>
    <col min="7172" max="7172" width="16.140625" style="20" customWidth="1"/>
    <col min="7173" max="7203" width="19" style="20" customWidth="1"/>
    <col min="7204" max="7204" width="10.5703125" style="20" customWidth="1"/>
    <col min="7205" max="7205" width="8.7109375" style="20" customWidth="1"/>
    <col min="7206" max="7206" width="11.42578125" style="20" customWidth="1"/>
    <col min="7207" max="7424" width="9.140625" style="20"/>
    <col min="7425" max="7425" width="15.140625" style="20" customWidth="1"/>
    <col min="7426" max="7427" width="19" style="20" customWidth="1"/>
    <col min="7428" max="7428" width="16.140625" style="20" customWidth="1"/>
    <col min="7429" max="7459" width="19" style="20" customWidth="1"/>
    <col min="7460" max="7460" width="10.5703125" style="20" customWidth="1"/>
    <col min="7461" max="7461" width="8.7109375" style="20" customWidth="1"/>
    <col min="7462" max="7462" width="11.42578125" style="20" customWidth="1"/>
    <col min="7463" max="7680" width="9.140625" style="20"/>
    <col min="7681" max="7681" width="15.140625" style="20" customWidth="1"/>
    <col min="7682" max="7683" width="19" style="20" customWidth="1"/>
    <col min="7684" max="7684" width="16.140625" style="20" customWidth="1"/>
    <col min="7685" max="7715" width="19" style="20" customWidth="1"/>
    <col min="7716" max="7716" width="10.5703125" style="20" customWidth="1"/>
    <col min="7717" max="7717" width="8.7109375" style="20" customWidth="1"/>
    <col min="7718" max="7718" width="11.42578125" style="20" customWidth="1"/>
    <col min="7719" max="7936" width="9.140625" style="20"/>
    <col min="7937" max="7937" width="15.140625" style="20" customWidth="1"/>
    <col min="7938" max="7939" width="19" style="20" customWidth="1"/>
    <col min="7940" max="7940" width="16.140625" style="20" customWidth="1"/>
    <col min="7941" max="7971" width="19" style="20" customWidth="1"/>
    <col min="7972" max="7972" width="10.5703125" style="20" customWidth="1"/>
    <col min="7973" max="7973" width="8.7109375" style="20" customWidth="1"/>
    <col min="7974" max="7974" width="11.42578125" style="20" customWidth="1"/>
    <col min="7975" max="8192" width="9.140625" style="20"/>
    <col min="8193" max="8193" width="15.140625" style="20" customWidth="1"/>
    <col min="8194" max="8195" width="19" style="20" customWidth="1"/>
    <col min="8196" max="8196" width="16.140625" style="20" customWidth="1"/>
    <col min="8197" max="8227" width="19" style="20" customWidth="1"/>
    <col min="8228" max="8228" width="10.5703125" style="20" customWidth="1"/>
    <col min="8229" max="8229" width="8.7109375" style="20" customWidth="1"/>
    <col min="8230" max="8230" width="11.42578125" style="20" customWidth="1"/>
    <col min="8231" max="8448" width="9.140625" style="20"/>
    <col min="8449" max="8449" width="15.140625" style="20" customWidth="1"/>
    <col min="8450" max="8451" width="19" style="20" customWidth="1"/>
    <col min="8452" max="8452" width="16.140625" style="20" customWidth="1"/>
    <col min="8453" max="8483" width="19" style="20" customWidth="1"/>
    <col min="8484" max="8484" width="10.5703125" style="20" customWidth="1"/>
    <col min="8485" max="8485" width="8.7109375" style="20" customWidth="1"/>
    <col min="8486" max="8486" width="11.42578125" style="20" customWidth="1"/>
    <col min="8487" max="8704" width="9.140625" style="20"/>
    <col min="8705" max="8705" width="15.140625" style="20" customWidth="1"/>
    <col min="8706" max="8707" width="19" style="20" customWidth="1"/>
    <col min="8708" max="8708" width="16.140625" style="20" customWidth="1"/>
    <col min="8709" max="8739" width="19" style="20" customWidth="1"/>
    <col min="8740" max="8740" width="10.5703125" style="20" customWidth="1"/>
    <col min="8741" max="8741" width="8.7109375" style="20" customWidth="1"/>
    <col min="8742" max="8742" width="11.42578125" style="20" customWidth="1"/>
    <col min="8743" max="8960" width="9.140625" style="20"/>
    <col min="8961" max="8961" width="15.140625" style="20" customWidth="1"/>
    <col min="8962" max="8963" width="19" style="20" customWidth="1"/>
    <col min="8964" max="8964" width="16.140625" style="20" customWidth="1"/>
    <col min="8965" max="8995" width="19" style="20" customWidth="1"/>
    <col min="8996" max="8996" width="10.5703125" style="20" customWidth="1"/>
    <col min="8997" max="8997" width="8.7109375" style="20" customWidth="1"/>
    <col min="8998" max="8998" width="11.42578125" style="20" customWidth="1"/>
    <col min="8999" max="9216" width="9.140625" style="20"/>
    <col min="9217" max="9217" width="15.140625" style="20" customWidth="1"/>
    <col min="9218" max="9219" width="19" style="20" customWidth="1"/>
    <col min="9220" max="9220" width="16.140625" style="20" customWidth="1"/>
    <col min="9221" max="9251" width="19" style="20" customWidth="1"/>
    <col min="9252" max="9252" width="10.5703125" style="20" customWidth="1"/>
    <col min="9253" max="9253" width="8.7109375" style="20" customWidth="1"/>
    <col min="9254" max="9254" width="11.42578125" style="20" customWidth="1"/>
    <col min="9255" max="9472" width="9.140625" style="20"/>
    <col min="9473" max="9473" width="15.140625" style="20" customWidth="1"/>
    <col min="9474" max="9475" width="19" style="20" customWidth="1"/>
    <col min="9476" max="9476" width="16.140625" style="20" customWidth="1"/>
    <col min="9477" max="9507" width="19" style="20" customWidth="1"/>
    <col min="9508" max="9508" width="10.5703125" style="20" customWidth="1"/>
    <col min="9509" max="9509" width="8.7109375" style="20" customWidth="1"/>
    <col min="9510" max="9510" width="11.42578125" style="20" customWidth="1"/>
    <col min="9511" max="9728" width="9.140625" style="20"/>
    <col min="9729" max="9729" width="15.140625" style="20" customWidth="1"/>
    <col min="9730" max="9731" width="19" style="20" customWidth="1"/>
    <col min="9732" max="9732" width="16.140625" style="20" customWidth="1"/>
    <col min="9733" max="9763" width="19" style="20" customWidth="1"/>
    <col min="9764" max="9764" width="10.5703125" style="20" customWidth="1"/>
    <col min="9765" max="9765" width="8.7109375" style="20" customWidth="1"/>
    <col min="9766" max="9766" width="11.42578125" style="20" customWidth="1"/>
    <col min="9767" max="9984" width="9.140625" style="20"/>
    <col min="9985" max="9985" width="15.140625" style="20" customWidth="1"/>
    <col min="9986" max="9987" width="19" style="20" customWidth="1"/>
    <col min="9988" max="9988" width="16.140625" style="20" customWidth="1"/>
    <col min="9989" max="10019" width="19" style="20" customWidth="1"/>
    <col min="10020" max="10020" width="10.5703125" style="20" customWidth="1"/>
    <col min="10021" max="10021" width="8.7109375" style="20" customWidth="1"/>
    <col min="10022" max="10022" width="11.42578125" style="20" customWidth="1"/>
    <col min="10023" max="10240" width="9.140625" style="20"/>
    <col min="10241" max="10241" width="15.140625" style="20" customWidth="1"/>
    <col min="10242" max="10243" width="19" style="20" customWidth="1"/>
    <col min="10244" max="10244" width="16.140625" style="20" customWidth="1"/>
    <col min="10245" max="10275" width="19" style="20" customWidth="1"/>
    <col min="10276" max="10276" width="10.5703125" style="20" customWidth="1"/>
    <col min="10277" max="10277" width="8.7109375" style="20" customWidth="1"/>
    <col min="10278" max="10278" width="11.42578125" style="20" customWidth="1"/>
    <col min="10279" max="10496" width="9.140625" style="20"/>
    <col min="10497" max="10497" width="15.140625" style="20" customWidth="1"/>
    <col min="10498" max="10499" width="19" style="20" customWidth="1"/>
    <col min="10500" max="10500" width="16.140625" style="20" customWidth="1"/>
    <col min="10501" max="10531" width="19" style="20" customWidth="1"/>
    <col min="10532" max="10532" width="10.5703125" style="20" customWidth="1"/>
    <col min="10533" max="10533" width="8.7109375" style="20" customWidth="1"/>
    <col min="10534" max="10534" width="11.42578125" style="20" customWidth="1"/>
    <col min="10535" max="10752" width="9.140625" style="20"/>
    <col min="10753" max="10753" width="15.140625" style="20" customWidth="1"/>
    <col min="10754" max="10755" width="19" style="20" customWidth="1"/>
    <col min="10756" max="10756" width="16.140625" style="20" customWidth="1"/>
    <col min="10757" max="10787" width="19" style="20" customWidth="1"/>
    <col min="10788" max="10788" width="10.5703125" style="20" customWidth="1"/>
    <col min="10789" max="10789" width="8.7109375" style="20" customWidth="1"/>
    <col min="10790" max="10790" width="11.42578125" style="20" customWidth="1"/>
    <col min="10791" max="11008" width="9.140625" style="20"/>
    <col min="11009" max="11009" width="15.140625" style="20" customWidth="1"/>
    <col min="11010" max="11011" width="19" style="20" customWidth="1"/>
    <col min="11012" max="11012" width="16.140625" style="20" customWidth="1"/>
    <col min="11013" max="11043" width="19" style="20" customWidth="1"/>
    <col min="11044" max="11044" width="10.5703125" style="20" customWidth="1"/>
    <col min="11045" max="11045" width="8.7109375" style="20" customWidth="1"/>
    <col min="11046" max="11046" width="11.42578125" style="20" customWidth="1"/>
    <col min="11047" max="11264" width="9.140625" style="20"/>
    <col min="11265" max="11265" width="15.140625" style="20" customWidth="1"/>
    <col min="11266" max="11267" width="19" style="20" customWidth="1"/>
    <col min="11268" max="11268" width="16.140625" style="20" customWidth="1"/>
    <col min="11269" max="11299" width="19" style="20" customWidth="1"/>
    <col min="11300" max="11300" width="10.5703125" style="20" customWidth="1"/>
    <col min="11301" max="11301" width="8.7109375" style="20" customWidth="1"/>
    <col min="11302" max="11302" width="11.42578125" style="20" customWidth="1"/>
    <col min="11303" max="11520" width="9.140625" style="20"/>
    <col min="11521" max="11521" width="15.140625" style="20" customWidth="1"/>
    <col min="11522" max="11523" width="19" style="20" customWidth="1"/>
    <col min="11524" max="11524" width="16.140625" style="20" customWidth="1"/>
    <col min="11525" max="11555" width="19" style="20" customWidth="1"/>
    <col min="11556" max="11556" width="10.5703125" style="20" customWidth="1"/>
    <col min="11557" max="11557" width="8.7109375" style="20" customWidth="1"/>
    <col min="11558" max="11558" width="11.42578125" style="20" customWidth="1"/>
    <col min="11559" max="11776" width="9.140625" style="20"/>
    <col min="11777" max="11777" width="15.140625" style="20" customWidth="1"/>
    <col min="11778" max="11779" width="19" style="20" customWidth="1"/>
    <col min="11780" max="11780" width="16.140625" style="20" customWidth="1"/>
    <col min="11781" max="11811" width="19" style="20" customWidth="1"/>
    <col min="11812" max="11812" width="10.5703125" style="20" customWidth="1"/>
    <col min="11813" max="11813" width="8.7109375" style="20" customWidth="1"/>
    <col min="11814" max="11814" width="11.42578125" style="20" customWidth="1"/>
    <col min="11815" max="12032" width="9.140625" style="20"/>
    <col min="12033" max="12033" width="15.140625" style="20" customWidth="1"/>
    <col min="12034" max="12035" width="19" style="20" customWidth="1"/>
    <col min="12036" max="12036" width="16.140625" style="20" customWidth="1"/>
    <col min="12037" max="12067" width="19" style="20" customWidth="1"/>
    <col min="12068" max="12068" width="10.5703125" style="20" customWidth="1"/>
    <col min="12069" max="12069" width="8.7109375" style="20" customWidth="1"/>
    <col min="12070" max="12070" width="11.42578125" style="20" customWidth="1"/>
    <col min="12071" max="12288" width="9.140625" style="20"/>
    <col min="12289" max="12289" width="15.140625" style="20" customWidth="1"/>
    <col min="12290" max="12291" width="19" style="20" customWidth="1"/>
    <col min="12292" max="12292" width="16.140625" style="20" customWidth="1"/>
    <col min="12293" max="12323" width="19" style="20" customWidth="1"/>
    <col min="12324" max="12324" width="10.5703125" style="20" customWidth="1"/>
    <col min="12325" max="12325" width="8.7109375" style="20" customWidth="1"/>
    <col min="12326" max="12326" width="11.42578125" style="20" customWidth="1"/>
    <col min="12327" max="12544" width="9.140625" style="20"/>
    <col min="12545" max="12545" width="15.140625" style="20" customWidth="1"/>
    <col min="12546" max="12547" width="19" style="20" customWidth="1"/>
    <col min="12548" max="12548" width="16.140625" style="20" customWidth="1"/>
    <col min="12549" max="12579" width="19" style="20" customWidth="1"/>
    <col min="12580" max="12580" width="10.5703125" style="20" customWidth="1"/>
    <col min="12581" max="12581" width="8.7109375" style="20" customWidth="1"/>
    <col min="12582" max="12582" width="11.42578125" style="20" customWidth="1"/>
    <col min="12583" max="12800" width="9.140625" style="20"/>
    <col min="12801" max="12801" width="15.140625" style="20" customWidth="1"/>
    <col min="12802" max="12803" width="19" style="20" customWidth="1"/>
    <col min="12804" max="12804" width="16.140625" style="20" customWidth="1"/>
    <col min="12805" max="12835" width="19" style="20" customWidth="1"/>
    <col min="12836" max="12836" width="10.5703125" style="20" customWidth="1"/>
    <col min="12837" max="12837" width="8.7109375" style="20" customWidth="1"/>
    <col min="12838" max="12838" width="11.42578125" style="20" customWidth="1"/>
    <col min="12839" max="13056" width="9.140625" style="20"/>
    <col min="13057" max="13057" width="15.140625" style="20" customWidth="1"/>
    <col min="13058" max="13059" width="19" style="20" customWidth="1"/>
    <col min="13060" max="13060" width="16.140625" style="20" customWidth="1"/>
    <col min="13061" max="13091" width="19" style="20" customWidth="1"/>
    <col min="13092" max="13092" width="10.5703125" style="20" customWidth="1"/>
    <col min="13093" max="13093" width="8.7109375" style="20" customWidth="1"/>
    <col min="13094" max="13094" width="11.42578125" style="20" customWidth="1"/>
    <col min="13095" max="13312" width="9.140625" style="20"/>
    <col min="13313" max="13313" width="15.140625" style="20" customWidth="1"/>
    <col min="13314" max="13315" width="19" style="20" customWidth="1"/>
    <col min="13316" max="13316" width="16.140625" style="20" customWidth="1"/>
    <col min="13317" max="13347" width="19" style="20" customWidth="1"/>
    <col min="13348" max="13348" width="10.5703125" style="20" customWidth="1"/>
    <col min="13349" max="13349" width="8.7109375" style="20" customWidth="1"/>
    <col min="13350" max="13350" width="11.42578125" style="20" customWidth="1"/>
    <col min="13351" max="13568" width="9.140625" style="20"/>
    <col min="13569" max="13569" width="15.140625" style="20" customWidth="1"/>
    <col min="13570" max="13571" width="19" style="20" customWidth="1"/>
    <col min="13572" max="13572" width="16.140625" style="20" customWidth="1"/>
    <col min="13573" max="13603" width="19" style="20" customWidth="1"/>
    <col min="13604" max="13604" width="10.5703125" style="20" customWidth="1"/>
    <col min="13605" max="13605" width="8.7109375" style="20" customWidth="1"/>
    <col min="13606" max="13606" width="11.42578125" style="20" customWidth="1"/>
    <col min="13607" max="13824" width="9.140625" style="20"/>
    <col min="13825" max="13825" width="15.140625" style="20" customWidth="1"/>
    <col min="13826" max="13827" width="19" style="20" customWidth="1"/>
    <col min="13828" max="13828" width="16.140625" style="20" customWidth="1"/>
    <col min="13829" max="13859" width="19" style="20" customWidth="1"/>
    <col min="13860" max="13860" width="10.5703125" style="20" customWidth="1"/>
    <col min="13861" max="13861" width="8.7109375" style="20" customWidth="1"/>
    <col min="13862" max="13862" width="11.42578125" style="20" customWidth="1"/>
    <col min="13863" max="14080" width="9.140625" style="20"/>
    <col min="14081" max="14081" width="15.140625" style="20" customWidth="1"/>
    <col min="14082" max="14083" width="19" style="20" customWidth="1"/>
    <col min="14084" max="14084" width="16.140625" style="20" customWidth="1"/>
    <col min="14085" max="14115" width="19" style="20" customWidth="1"/>
    <col min="14116" max="14116" width="10.5703125" style="20" customWidth="1"/>
    <col min="14117" max="14117" width="8.7109375" style="20" customWidth="1"/>
    <col min="14118" max="14118" width="11.42578125" style="20" customWidth="1"/>
    <col min="14119" max="14336" width="9.140625" style="20"/>
    <col min="14337" max="14337" width="15.140625" style="20" customWidth="1"/>
    <col min="14338" max="14339" width="19" style="20" customWidth="1"/>
    <col min="14340" max="14340" width="16.140625" style="20" customWidth="1"/>
    <col min="14341" max="14371" width="19" style="20" customWidth="1"/>
    <col min="14372" max="14372" width="10.5703125" style="20" customWidth="1"/>
    <col min="14373" max="14373" width="8.7109375" style="20" customWidth="1"/>
    <col min="14374" max="14374" width="11.42578125" style="20" customWidth="1"/>
    <col min="14375" max="14592" width="9.140625" style="20"/>
    <col min="14593" max="14593" width="15.140625" style="20" customWidth="1"/>
    <col min="14594" max="14595" width="19" style="20" customWidth="1"/>
    <col min="14596" max="14596" width="16.140625" style="20" customWidth="1"/>
    <col min="14597" max="14627" width="19" style="20" customWidth="1"/>
    <col min="14628" max="14628" width="10.5703125" style="20" customWidth="1"/>
    <col min="14629" max="14629" width="8.7109375" style="20" customWidth="1"/>
    <col min="14630" max="14630" width="11.42578125" style="20" customWidth="1"/>
    <col min="14631" max="14848" width="9.140625" style="20"/>
    <col min="14849" max="14849" width="15.140625" style="20" customWidth="1"/>
    <col min="14850" max="14851" width="19" style="20" customWidth="1"/>
    <col min="14852" max="14852" width="16.140625" style="20" customWidth="1"/>
    <col min="14853" max="14883" width="19" style="20" customWidth="1"/>
    <col min="14884" max="14884" width="10.5703125" style="20" customWidth="1"/>
    <col min="14885" max="14885" width="8.7109375" style="20" customWidth="1"/>
    <col min="14886" max="14886" width="11.42578125" style="20" customWidth="1"/>
    <col min="14887" max="15104" width="9.140625" style="20"/>
    <col min="15105" max="15105" width="15.140625" style="20" customWidth="1"/>
    <col min="15106" max="15107" width="19" style="20" customWidth="1"/>
    <col min="15108" max="15108" width="16.140625" style="20" customWidth="1"/>
    <col min="15109" max="15139" width="19" style="20" customWidth="1"/>
    <col min="15140" max="15140" width="10.5703125" style="20" customWidth="1"/>
    <col min="15141" max="15141" width="8.7109375" style="20" customWidth="1"/>
    <col min="15142" max="15142" width="11.42578125" style="20" customWidth="1"/>
    <col min="15143" max="15360" width="9.140625" style="20"/>
    <col min="15361" max="15361" width="15.140625" style="20" customWidth="1"/>
    <col min="15362" max="15363" width="19" style="20" customWidth="1"/>
    <col min="15364" max="15364" width="16.140625" style="20" customWidth="1"/>
    <col min="15365" max="15395" width="19" style="20" customWidth="1"/>
    <col min="15396" max="15396" width="10.5703125" style="20" customWidth="1"/>
    <col min="15397" max="15397" width="8.7109375" style="20" customWidth="1"/>
    <col min="15398" max="15398" width="11.42578125" style="20" customWidth="1"/>
    <col min="15399" max="15616" width="9.140625" style="20"/>
    <col min="15617" max="15617" width="15.140625" style="20" customWidth="1"/>
    <col min="15618" max="15619" width="19" style="20" customWidth="1"/>
    <col min="15620" max="15620" width="16.140625" style="20" customWidth="1"/>
    <col min="15621" max="15651" width="19" style="20" customWidth="1"/>
    <col min="15652" max="15652" width="10.5703125" style="20" customWidth="1"/>
    <col min="15653" max="15653" width="8.7109375" style="20" customWidth="1"/>
    <col min="15654" max="15654" width="11.42578125" style="20" customWidth="1"/>
    <col min="15655" max="15872" width="9.140625" style="20"/>
    <col min="15873" max="15873" width="15.140625" style="20" customWidth="1"/>
    <col min="15874" max="15875" width="19" style="20" customWidth="1"/>
    <col min="15876" max="15876" width="16.140625" style="20" customWidth="1"/>
    <col min="15877" max="15907" width="19" style="20" customWidth="1"/>
    <col min="15908" max="15908" width="10.5703125" style="20" customWidth="1"/>
    <col min="15909" max="15909" width="8.7109375" style="20" customWidth="1"/>
    <col min="15910" max="15910" width="11.42578125" style="20" customWidth="1"/>
    <col min="15911" max="16128" width="9.140625" style="20"/>
    <col min="16129" max="16129" width="15.140625" style="20" customWidth="1"/>
    <col min="16130" max="16131" width="19" style="20" customWidth="1"/>
    <col min="16132" max="16132" width="16.140625" style="20" customWidth="1"/>
    <col min="16133" max="16163" width="19" style="20" customWidth="1"/>
    <col min="16164" max="16164" width="10.5703125" style="20" customWidth="1"/>
    <col min="16165" max="16165" width="8.7109375" style="20" customWidth="1"/>
    <col min="16166" max="16166" width="11.42578125" style="20" customWidth="1"/>
    <col min="16167" max="16384" width="9.140625" style="20"/>
  </cols>
  <sheetData>
    <row r="1" spans="1:6" ht="18" x14ac:dyDescent="0.25">
      <c r="A1" s="61" t="s">
        <v>460</v>
      </c>
    </row>
    <row r="2" spans="1:6" ht="15" x14ac:dyDescent="0.2">
      <c r="A2" s="62" t="s">
        <v>457</v>
      </c>
      <c r="F2" s="20" t="s">
        <v>461</v>
      </c>
    </row>
    <row r="3" spans="1:6" x14ac:dyDescent="0.2">
      <c r="A3" s="63"/>
    </row>
    <row r="4" spans="1:6" x14ac:dyDescent="0.2">
      <c r="A4" s="49" t="s">
        <v>438</v>
      </c>
    </row>
    <row r="5" spans="1:6" x14ac:dyDescent="0.2">
      <c r="A5" s="64" t="s">
        <v>439</v>
      </c>
      <c r="B5" s="17" t="s">
        <v>7</v>
      </c>
      <c r="C5" s="65" t="s">
        <v>440</v>
      </c>
      <c r="D5" s="17" t="s">
        <v>441</v>
      </c>
      <c r="E5" s="17" t="s">
        <v>442</v>
      </c>
    </row>
    <row r="6" spans="1:6" x14ac:dyDescent="0.2">
      <c r="A6" s="66" t="s">
        <v>443</v>
      </c>
      <c r="B6" s="63"/>
      <c r="C6" s="46">
        <v>10</v>
      </c>
      <c r="D6" s="63" t="s">
        <v>253</v>
      </c>
      <c r="E6" s="63">
        <v>2011</v>
      </c>
      <c r="F6" s="20" t="s">
        <v>444</v>
      </c>
    </row>
    <row r="8" spans="1:6" x14ac:dyDescent="0.2">
      <c r="A8" s="20" t="s">
        <v>445</v>
      </c>
      <c r="B8" s="20" t="s">
        <v>446</v>
      </c>
    </row>
    <row r="9" spans="1:6" x14ac:dyDescent="0.2">
      <c r="A9" s="20" t="s">
        <v>447</v>
      </c>
      <c r="B9" s="20" t="s">
        <v>448</v>
      </c>
    </row>
    <row r="11" spans="1:6" x14ac:dyDescent="0.2">
      <c r="A11" s="20" t="s">
        <v>449</v>
      </c>
      <c r="B11" s="20" t="s">
        <v>458</v>
      </c>
    </row>
    <row r="12" spans="1:6" x14ac:dyDescent="0.2">
      <c r="A12" s="20" t="s">
        <v>450</v>
      </c>
      <c r="B12" s="67" t="s">
        <v>459</v>
      </c>
    </row>
    <row r="13" spans="1:6" x14ac:dyDescent="0.2">
      <c r="A13" s="20" t="s">
        <v>451</v>
      </c>
      <c r="B13" s="67" t="s">
        <v>452</v>
      </c>
    </row>
    <row r="14" spans="1:6" x14ac:dyDescent="0.2">
      <c r="A14" s="20" t="s">
        <v>453</v>
      </c>
      <c r="B14" s="67" t="s">
        <v>454</v>
      </c>
    </row>
    <row r="15" spans="1:6" x14ac:dyDescent="0.2">
      <c r="B15" s="20" t="s">
        <v>455</v>
      </c>
      <c r="E15" s="20" t="s">
        <v>456</v>
      </c>
    </row>
    <row r="17" spans="1:139" s="46" customFormat="1" x14ac:dyDescent="0.2">
      <c r="A17" s="68"/>
      <c r="F17" s="20" t="s">
        <v>929</v>
      </c>
      <c r="G17" s="20"/>
      <c r="EF17" s="20"/>
      <c r="EG17" s="20"/>
      <c r="EH17" s="20"/>
    </row>
    <row r="18" spans="1:139" s="51" customFormat="1" ht="15" x14ac:dyDescent="0.25">
      <c r="A18" s="50"/>
      <c r="B18" s="50">
        <v>9</v>
      </c>
      <c r="C18" s="50"/>
      <c r="D18" s="50"/>
      <c r="E18" s="50"/>
      <c r="F18" s="51" t="s">
        <v>930</v>
      </c>
      <c r="H18" s="50"/>
      <c r="I18" s="50"/>
      <c r="J18" s="50">
        <v>7</v>
      </c>
      <c r="K18" s="50"/>
      <c r="L18" s="50"/>
      <c r="M18" s="50"/>
      <c r="N18" s="50">
        <v>8</v>
      </c>
      <c r="O18" s="50"/>
      <c r="P18" s="50"/>
      <c r="Q18" s="50"/>
      <c r="R18" s="50">
        <v>7</v>
      </c>
      <c r="S18" s="50"/>
      <c r="T18" s="50"/>
      <c r="U18" s="50"/>
      <c r="V18" s="50">
        <v>7</v>
      </c>
      <c r="W18" s="50"/>
      <c r="X18" s="50"/>
      <c r="Y18" s="50"/>
      <c r="Z18" s="50">
        <v>8</v>
      </c>
      <c r="AA18" s="50"/>
      <c r="AB18" s="50"/>
      <c r="AC18" s="50"/>
      <c r="AD18" s="50">
        <v>6</v>
      </c>
      <c r="AE18" s="50"/>
      <c r="AF18" s="50"/>
      <c r="AG18" s="50"/>
      <c r="AH18" s="50">
        <v>8</v>
      </c>
      <c r="AI18" s="50"/>
      <c r="AJ18" s="50"/>
      <c r="AK18" s="50"/>
      <c r="AL18" s="50">
        <v>7</v>
      </c>
      <c r="AM18" s="50"/>
      <c r="AN18" s="50"/>
      <c r="AO18" s="50"/>
      <c r="AP18" s="50">
        <v>9</v>
      </c>
      <c r="AQ18" s="50"/>
      <c r="AR18" s="50"/>
      <c r="AS18" s="50"/>
      <c r="AT18" s="50">
        <v>8</v>
      </c>
      <c r="AU18" s="50"/>
      <c r="AV18" s="50"/>
      <c r="AW18" s="50"/>
      <c r="AX18" s="50">
        <v>5</v>
      </c>
      <c r="AY18" s="50"/>
      <c r="AZ18" s="50"/>
      <c r="BA18" s="50"/>
      <c r="BB18" s="50">
        <v>3</v>
      </c>
      <c r="BC18" s="50"/>
      <c r="BD18" s="50"/>
      <c r="BE18" s="50"/>
      <c r="BF18" s="50">
        <v>3</v>
      </c>
      <c r="BG18" s="50"/>
      <c r="BH18" s="50"/>
      <c r="BI18" s="50"/>
      <c r="BJ18" s="50">
        <v>4</v>
      </c>
      <c r="BK18" s="50"/>
      <c r="BL18" s="50"/>
      <c r="BM18" s="50"/>
      <c r="BN18" s="50">
        <v>6</v>
      </c>
      <c r="BO18" s="50"/>
      <c r="BP18" s="50"/>
      <c r="BQ18" s="50"/>
      <c r="BR18" s="50">
        <v>5</v>
      </c>
      <c r="BS18" s="50"/>
      <c r="BT18" s="50"/>
      <c r="BU18" s="50"/>
      <c r="BV18" s="50">
        <v>3</v>
      </c>
      <c r="BW18" s="50"/>
      <c r="BX18" s="50"/>
      <c r="BY18" s="50"/>
      <c r="BZ18" s="50">
        <v>6</v>
      </c>
      <c r="CA18" s="50"/>
      <c r="CB18" s="50"/>
      <c r="CC18" s="50"/>
      <c r="CD18" s="50">
        <v>8</v>
      </c>
      <c r="CE18" s="50"/>
      <c r="CF18" s="50"/>
      <c r="CG18" s="50"/>
      <c r="CH18" s="50">
        <v>4</v>
      </c>
      <c r="CI18" s="50"/>
      <c r="CJ18" s="50"/>
      <c r="CK18" s="50"/>
      <c r="CL18" s="50">
        <v>8</v>
      </c>
      <c r="CM18" s="50"/>
      <c r="CN18" s="50"/>
      <c r="CO18" s="50"/>
      <c r="CP18" s="50">
        <v>2</v>
      </c>
      <c r="CQ18" s="50"/>
      <c r="CR18" s="50"/>
      <c r="CS18" s="50"/>
      <c r="CT18" s="50">
        <v>4</v>
      </c>
      <c r="CU18" s="50"/>
      <c r="CV18" s="50"/>
      <c r="CW18" s="50"/>
      <c r="CX18" s="50">
        <v>3</v>
      </c>
      <c r="CY18" s="50"/>
      <c r="CZ18" s="50"/>
      <c r="DA18" s="50"/>
      <c r="DB18" s="50">
        <v>9</v>
      </c>
      <c r="DC18" s="50"/>
      <c r="DD18" s="50"/>
      <c r="DE18" s="50"/>
      <c r="DF18" s="50">
        <v>2</v>
      </c>
      <c r="DG18" s="50"/>
      <c r="DH18" s="50"/>
      <c r="DI18" s="50"/>
      <c r="DJ18" s="50">
        <v>4</v>
      </c>
      <c r="DK18" s="50"/>
      <c r="DL18" s="50"/>
      <c r="DM18" s="50"/>
      <c r="DN18" s="50">
        <v>6</v>
      </c>
      <c r="DO18" s="50"/>
      <c r="DP18" s="50"/>
      <c r="DQ18" s="50"/>
      <c r="DR18" s="50">
        <v>8</v>
      </c>
      <c r="DS18" s="50"/>
      <c r="DT18" s="50"/>
      <c r="DU18" s="50"/>
      <c r="DV18" s="50">
        <v>5</v>
      </c>
      <c r="DW18" s="50"/>
      <c r="DX18" s="50"/>
      <c r="DY18" s="50"/>
      <c r="DZ18" s="50">
        <v>5</v>
      </c>
      <c r="EA18" s="50"/>
      <c r="EB18" s="50"/>
      <c r="EC18" s="50"/>
      <c r="EF18" s="52"/>
      <c r="EG18" s="52"/>
      <c r="EH18" s="52"/>
      <c r="EI18" s="50"/>
    </row>
    <row r="19" spans="1:139" s="46" customFormat="1" ht="178.5" x14ac:dyDescent="0.2">
      <c r="A19" s="32" t="s">
        <v>403</v>
      </c>
      <c r="B19" s="32" t="s">
        <v>931</v>
      </c>
      <c r="C19" s="32" t="s">
        <v>932</v>
      </c>
      <c r="D19" s="32" t="s">
        <v>404</v>
      </c>
      <c r="E19" s="32" t="s">
        <v>933</v>
      </c>
      <c r="F19" s="32" t="s">
        <v>934</v>
      </c>
      <c r="G19" s="32" t="s">
        <v>935</v>
      </c>
      <c r="H19" s="32" t="s">
        <v>406</v>
      </c>
      <c r="I19" s="32" t="s">
        <v>933</v>
      </c>
      <c r="J19" s="32" t="s">
        <v>936</v>
      </c>
      <c r="K19" s="32" t="s">
        <v>937</v>
      </c>
      <c r="L19" s="32" t="s">
        <v>405</v>
      </c>
      <c r="M19" s="32" t="s">
        <v>933</v>
      </c>
      <c r="N19" s="32" t="s">
        <v>938</v>
      </c>
      <c r="O19" s="32" t="s">
        <v>939</v>
      </c>
      <c r="P19" s="32" t="s">
        <v>407</v>
      </c>
      <c r="Q19" s="32" t="s">
        <v>933</v>
      </c>
      <c r="R19" s="32" t="s">
        <v>940</v>
      </c>
      <c r="S19" s="32" t="s">
        <v>941</v>
      </c>
      <c r="T19" s="32" t="s">
        <v>408</v>
      </c>
      <c r="U19" s="32" t="s">
        <v>933</v>
      </c>
      <c r="V19" s="32" t="s">
        <v>942</v>
      </c>
      <c r="W19" s="32" t="s">
        <v>943</v>
      </c>
      <c r="X19" s="32" t="s">
        <v>409</v>
      </c>
      <c r="Y19" s="32" t="s">
        <v>933</v>
      </c>
      <c r="Z19" s="32" t="s">
        <v>944</v>
      </c>
      <c r="AA19" s="32" t="s">
        <v>945</v>
      </c>
      <c r="AB19" s="32" t="s">
        <v>410</v>
      </c>
      <c r="AC19" s="32" t="s">
        <v>933</v>
      </c>
      <c r="AD19" s="32" t="s">
        <v>946</v>
      </c>
      <c r="AE19" s="32" t="s">
        <v>947</v>
      </c>
      <c r="AF19" s="32" t="s">
        <v>411</v>
      </c>
      <c r="AG19" s="32" t="s">
        <v>933</v>
      </c>
      <c r="AH19" s="32" t="s">
        <v>948</v>
      </c>
      <c r="AI19" s="32" t="s">
        <v>949</v>
      </c>
      <c r="AJ19" s="32" t="s">
        <v>412</v>
      </c>
      <c r="AK19" s="32" t="s">
        <v>933</v>
      </c>
      <c r="AL19" s="32" t="s">
        <v>950</v>
      </c>
      <c r="AM19" s="32" t="s">
        <v>951</v>
      </c>
      <c r="AN19" s="32" t="s">
        <v>413</v>
      </c>
      <c r="AO19" s="32" t="s">
        <v>933</v>
      </c>
      <c r="AP19" s="32" t="s">
        <v>952</v>
      </c>
      <c r="AQ19" s="32" t="s">
        <v>953</v>
      </c>
      <c r="AR19" s="32" t="s">
        <v>414</v>
      </c>
      <c r="AS19" s="32" t="s">
        <v>933</v>
      </c>
      <c r="AT19" s="32" t="s">
        <v>954</v>
      </c>
      <c r="AU19" s="32" t="s">
        <v>955</v>
      </c>
      <c r="AV19" s="32" t="s">
        <v>415</v>
      </c>
      <c r="AW19" s="32" t="s">
        <v>933</v>
      </c>
      <c r="AX19" s="32" t="s">
        <v>956</v>
      </c>
      <c r="AY19" s="32" t="s">
        <v>957</v>
      </c>
      <c r="AZ19" s="32" t="s">
        <v>416</v>
      </c>
      <c r="BA19" s="32" t="s">
        <v>933</v>
      </c>
      <c r="BB19" s="32" t="s">
        <v>958</v>
      </c>
      <c r="BC19" s="32" t="s">
        <v>959</v>
      </c>
      <c r="BD19" s="32" t="s">
        <v>417</v>
      </c>
      <c r="BE19" s="32" t="s">
        <v>933</v>
      </c>
      <c r="BF19" s="32" t="s">
        <v>960</v>
      </c>
      <c r="BG19" s="32" t="s">
        <v>961</v>
      </c>
      <c r="BH19" s="32" t="s">
        <v>418</v>
      </c>
      <c r="BI19" s="32" t="s">
        <v>933</v>
      </c>
      <c r="BJ19" s="32" t="s">
        <v>962</v>
      </c>
      <c r="BK19" s="32" t="s">
        <v>963</v>
      </c>
      <c r="BL19" s="32" t="s">
        <v>419</v>
      </c>
      <c r="BM19" s="32" t="s">
        <v>933</v>
      </c>
      <c r="BN19" s="32" t="s">
        <v>964</v>
      </c>
      <c r="BO19" s="32" t="s">
        <v>965</v>
      </c>
      <c r="BP19" s="32" t="s">
        <v>420</v>
      </c>
      <c r="BQ19" s="32" t="s">
        <v>933</v>
      </c>
      <c r="BR19" s="32" t="s">
        <v>966</v>
      </c>
      <c r="BS19" s="32" t="s">
        <v>967</v>
      </c>
      <c r="BT19" s="32" t="s">
        <v>421</v>
      </c>
      <c r="BU19" s="32" t="s">
        <v>933</v>
      </c>
      <c r="BV19" s="32" t="s">
        <v>968</v>
      </c>
      <c r="BW19" s="32" t="s">
        <v>969</v>
      </c>
      <c r="BX19" s="32" t="s">
        <v>422</v>
      </c>
      <c r="BY19" s="32" t="s">
        <v>933</v>
      </c>
      <c r="BZ19" s="32" t="s">
        <v>970</v>
      </c>
      <c r="CA19" s="32" t="s">
        <v>971</v>
      </c>
      <c r="CB19" s="32" t="s">
        <v>423</v>
      </c>
      <c r="CC19" s="32" t="s">
        <v>933</v>
      </c>
      <c r="CD19" s="32" t="s">
        <v>972</v>
      </c>
      <c r="CE19" s="32" t="s">
        <v>973</v>
      </c>
      <c r="CF19" s="32" t="s">
        <v>424</v>
      </c>
      <c r="CG19" s="32" t="s">
        <v>933</v>
      </c>
      <c r="CH19" s="32" t="s">
        <v>974</v>
      </c>
      <c r="CI19" s="32" t="s">
        <v>975</v>
      </c>
      <c r="CJ19" s="32" t="s">
        <v>425</v>
      </c>
      <c r="CK19" s="32" t="s">
        <v>933</v>
      </c>
      <c r="CL19" s="32" t="s">
        <v>976</v>
      </c>
      <c r="CM19" s="32" t="s">
        <v>977</v>
      </c>
      <c r="CN19" s="32" t="s">
        <v>426</v>
      </c>
      <c r="CO19" s="32" t="s">
        <v>933</v>
      </c>
      <c r="CP19" s="32" t="s">
        <v>978</v>
      </c>
      <c r="CQ19" s="32" t="s">
        <v>979</v>
      </c>
      <c r="CR19" s="32" t="s">
        <v>427</v>
      </c>
      <c r="CS19" s="32" t="s">
        <v>933</v>
      </c>
      <c r="CT19" s="32" t="s">
        <v>980</v>
      </c>
      <c r="CU19" s="32" t="s">
        <v>981</v>
      </c>
      <c r="CV19" s="32" t="s">
        <v>428</v>
      </c>
      <c r="CW19" s="32" t="s">
        <v>933</v>
      </c>
      <c r="CX19" s="32" t="s">
        <v>982</v>
      </c>
      <c r="CY19" s="32" t="s">
        <v>983</v>
      </c>
      <c r="CZ19" s="32" t="s">
        <v>429</v>
      </c>
      <c r="DA19" s="32" t="s">
        <v>933</v>
      </c>
      <c r="DB19" s="32" t="s">
        <v>984</v>
      </c>
      <c r="DC19" s="32" t="s">
        <v>985</v>
      </c>
      <c r="DD19" s="32" t="s">
        <v>430</v>
      </c>
      <c r="DE19" s="32" t="s">
        <v>933</v>
      </c>
      <c r="DF19" s="32" t="s">
        <v>986</v>
      </c>
      <c r="DG19" s="32" t="s">
        <v>987</v>
      </c>
      <c r="DH19" s="32" t="s">
        <v>431</v>
      </c>
      <c r="DI19" s="32" t="s">
        <v>933</v>
      </c>
      <c r="DJ19" s="32" t="s">
        <v>988</v>
      </c>
      <c r="DK19" s="32" t="s">
        <v>989</v>
      </c>
      <c r="DL19" s="32" t="s">
        <v>432</v>
      </c>
      <c r="DM19" s="32" t="s">
        <v>933</v>
      </c>
      <c r="DN19" s="32" t="s">
        <v>990</v>
      </c>
      <c r="DO19" s="32" t="s">
        <v>991</v>
      </c>
      <c r="DP19" s="32" t="s">
        <v>433</v>
      </c>
      <c r="DQ19" s="32" t="s">
        <v>933</v>
      </c>
      <c r="DR19" s="32" t="s">
        <v>992</v>
      </c>
      <c r="DS19" s="32" t="s">
        <v>993</v>
      </c>
      <c r="DT19" s="32" t="s">
        <v>434</v>
      </c>
      <c r="DU19" s="32" t="s">
        <v>933</v>
      </c>
      <c r="DV19" s="32" t="s">
        <v>994</v>
      </c>
      <c r="DW19" s="32" t="s">
        <v>995</v>
      </c>
      <c r="DX19" s="32" t="s">
        <v>435</v>
      </c>
      <c r="DY19" s="32" t="s">
        <v>933</v>
      </c>
      <c r="DZ19" s="32" t="s">
        <v>996</v>
      </c>
      <c r="EA19" s="32" t="s">
        <v>997</v>
      </c>
      <c r="EB19" s="32" t="s">
        <v>436</v>
      </c>
      <c r="EC19" s="32" t="s">
        <v>933</v>
      </c>
      <c r="EF19" s="53" t="s">
        <v>998</v>
      </c>
      <c r="EG19" s="53" t="s">
        <v>999</v>
      </c>
      <c r="EH19" s="53" t="s">
        <v>437</v>
      </c>
      <c r="EI19" s="32" t="s">
        <v>933</v>
      </c>
    </row>
    <row r="20" spans="1:139" s="46" customFormat="1" x14ac:dyDescent="0.2">
      <c r="A20" s="69">
        <v>37802</v>
      </c>
      <c r="B20" s="46">
        <v>489757</v>
      </c>
      <c r="C20" s="46">
        <v>33316</v>
      </c>
      <c r="D20" s="46">
        <v>456441</v>
      </c>
      <c r="E20" s="70">
        <f>C20/B20</f>
        <v>6.802557186523113E-2</v>
      </c>
      <c r="F20" s="46">
        <v>4406450</v>
      </c>
      <c r="H20" s="46">
        <v>4406450</v>
      </c>
      <c r="I20" s="70">
        <f>G20/F20</f>
        <v>0</v>
      </c>
      <c r="J20" s="46">
        <v>1350399</v>
      </c>
      <c r="K20" s="46">
        <v>124955</v>
      </c>
      <c r="L20" s="46">
        <v>1225444</v>
      </c>
      <c r="M20" s="70">
        <f>K20/J20</f>
        <v>9.2531910938915093E-2</v>
      </c>
      <c r="N20" s="46">
        <v>1604015</v>
      </c>
      <c r="O20" s="46">
        <v>111292</v>
      </c>
      <c r="P20" s="46">
        <v>1492723</v>
      </c>
      <c r="Q20" s="70">
        <f>O20/N20</f>
        <v>6.9383391053076185E-2</v>
      </c>
      <c r="R20" s="46">
        <v>1558155</v>
      </c>
      <c r="S20" s="46">
        <v>74745</v>
      </c>
      <c r="T20" s="46">
        <v>1483410</v>
      </c>
      <c r="U20" s="70">
        <f>S20/R20</f>
        <v>4.7970195519701185E-2</v>
      </c>
      <c r="V20" s="46">
        <v>5243567</v>
      </c>
      <c r="W20" s="46">
        <v>332405</v>
      </c>
      <c r="X20" s="46">
        <v>4911162</v>
      </c>
      <c r="Y20" s="70">
        <f>W20/V20</f>
        <v>6.3392915547755946E-2</v>
      </c>
      <c r="Z20" s="46">
        <v>1539318</v>
      </c>
      <c r="AA20" s="46">
        <v>69817</v>
      </c>
      <c r="AB20" s="46">
        <v>1469501</v>
      </c>
      <c r="AC20" s="70">
        <f>AA20/Z20</f>
        <v>4.5355800425902898E-2</v>
      </c>
      <c r="AD20" s="46">
        <v>346145</v>
      </c>
      <c r="AE20" s="46">
        <v>11293</v>
      </c>
      <c r="AF20" s="46">
        <v>334852</v>
      </c>
      <c r="AG20" s="70">
        <f>AE20/AD20</f>
        <v>3.2625055973652659E-2</v>
      </c>
      <c r="AH20" s="46">
        <v>443</v>
      </c>
      <c r="AI20" s="46">
        <v>0</v>
      </c>
      <c r="AJ20" s="46">
        <v>443</v>
      </c>
      <c r="AK20" s="70">
        <f>AI20/AH20</f>
        <v>0</v>
      </c>
      <c r="AL20" s="46">
        <v>169599</v>
      </c>
      <c r="AM20" s="46">
        <v>320</v>
      </c>
      <c r="AN20" s="46">
        <v>169279</v>
      </c>
      <c r="AO20" s="70">
        <f>AM20/AL20</f>
        <v>1.8868035778512844E-3</v>
      </c>
      <c r="AP20" s="46">
        <v>337216</v>
      </c>
      <c r="AQ20" s="46">
        <v>13971</v>
      </c>
      <c r="AR20" s="46">
        <v>323245</v>
      </c>
      <c r="AS20" s="70">
        <f>AQ20/AP20</f>
        <v>4.1430418485481117E-2</v>
      </c>
      <c r="AT20" s="46">
        <v>1011285</v>
      </c>
      <c r="AU20" s="46">
        <v>33650</v>
      </c>
      <c r="AV20" s="46">
        <v>977635</v>
      </c>
      <c r="AW20" s="70">
        <f>AU20/AT20</f>
        <v>3.3274497297992159E-2</v>
      </c>
      <c r="AX20" s="46">
        <v>3087</v>
      </c>
      <c r="AY20" s="46">
        <v>771</v>
      </c>
      <c r="AZ20" s="46">
        <v>2316</v>
      </c>
      <c r="BA20" s="70">
        <f>AY20/AX20</f>
        <v>0.24975704567541301</v>
      </c>
      <c r="BB20" s="46">
        <v>174</v>
      </c>
      <c r="BC20" s="46">
        <v>48</v>
      </c>
      <c r="BD20" s="46">
        <v>126</v>
      </c>
      <c r="BE20" s="70">
        <f>BC20/BB20</f>
        <v>0.27586206896551724</v>
      </c>
      <c r="BF20" s="46">
        <v>1464</v>
      </c>
      <c r="BG20" s="46">
        <v>0</v>
      </c>
      <c r="BH20" s="46">
        <v>1464</v>
      </c>
      <c r="BI20" s="70">
        <f>BG20/BF20</f>
        <v>0</v>
      </c>
      <c r="BJ20" s="46">
        <v>418893</v>
      </c>
      <c r="BK20" s="46">
        <v>34724</v>
      </c>
      <c r="BL20" s="46">
        <v>384169</v>
      </c>
      <c r="BM20" s="70">
        <f>BK20/BJ20</f>
        <v>8.2894677160993385E-2</v>
      </c>
      <c r="BN20" s="46">
        <v>87608</v>
      </c>
      <c r="BO20" s="46">
        <v>1463</v>
      </c>
      <c r="BP20" s="46">
        <v>86145</v>
      </c>
      <c r="BQ20" s="70">
        <f>BO20/BN20</f>
        <v>1.6699388183727515E-2</v>
      </c>
      <c r="BR20" s="46">
        <v>48</v>
      </c>
      <c r="BT20" s="46">
        <v>48</v>
      </c>
      <c r="BU20" s="70">
        <f>BS20/BR20</f>
        <v>0</v>
      </c>
      <c r="BV20" s="46">
        <v>236987</v>
      </c>
      <c r="BW20" s="46">
        <v>3838</v>
      </c>
      <c r="BX20" s="46">
        <v>233149</v>
      </c>
      <c r="BY20" s="70">
        <f>BW20/BV20</f>
        <v>1.6194981159304098E-2</v>
      </c>
      <c r="BZ20" s="46">
        <v>133901</v>
      </c>
      <c r="CA20" s="46">
        <v>11430</v>
      </c>
      <c r="CB20" s="46">
        <v>122471</v>
      </c>
      <c r="CC20" s="70">
        <f>CA20/BZ20</f>
        <v>8.5361573102516033E-2</v>
      </c>
      <c r="CD20" s="46">
        <v>86027</v>
      </c>
      <c r="CE20" s="46">
        <v>615</v>
      </c>
      <c r="CF20" s="46">
        <v>85412</v>
      </c>
      <c r="CG20" s="70">
        <f>CE20/CD20</f>
        <v>7.1489183628395733E-3</v>
      </c>
      <c r="CH20" s="46">
        <v>1454</v>
      </c>
      <c r="CI20" s="46">
        <v>0</v>
      </c>
      <c r="CJ20" s="46">
        <v>1454</v>
      </c>
      <c r="CK20" s="70">
        <f>CI20/CH20</f>
        <v>0</v>
      </c>
      <c r="CL20" s="46">
        <v>6</v>
      </c>
      <c r="CN20" s="46">
        <v>6</v>
      </c>
      <c r="CO20" s="70">
        <f>CM20/CL20</f>
        <v>0</v>
      </c>
      <c r="CP20" s="46">
        <v>36137</v>
      </c>
      <c r="CR20" s="46">
        <v>36137</v>
      </c>
      <c r="CS20" s="70">
        <f>CQ20/CP20</f>
        <v>0</v>
      </c>
      <c r="CT20" s="46">
        <v>55693</v>
      </c>
      <c r="CU20" s="46">
        <v>5818</v>
      </c>
      <c r="CV20" s="46">
        <v>49875</v>
      </c>
      <c r="CW20" s="70">
        <f>CU20/CT20</f>
        <v>0.10446555222379832</v>
      </c>
      <c r="CX20" s="46">
        <v>93641</v>
      </c>
      <c r="CY20" s="46">
        <v>68</v>
      </c>
      <c r="CZ20" s="46">
        <v>93573</v>
      </c>
      <c r="DA20" s="70">
        <f>CY20/CX20</f>
        <v>7.2617763586463194E-4</v>
      </c>
      <c r="DB20" s="46">
        <v>731</v>
      </c>
      <c r="DD20" s="46">
        <v>731</v>
      </c>
      <c r="DE20" s="70">
        <f>DC20/DB20</f>
        <v>0</v>
      </c>
      <c r="DF20" s="46">
        <v>159827</v>
      </c>
      <c r="DG20" s="46">
        <v>647</v>
      </c>
      <c r="DH20" s="46">
        <v>159180</v>
      </c>
      <c r="DI20" s="70">
        <f>DG20/DF20</f>
        <v>4.0481270373591447E-3</v>
      </c>
      <c r="DJ20" s="46">
        <v>1103</v>
      </c>
      <c r="DK20" s="46">
        <v>0</v>
      </c>
      <c r="DL20" s="46">
        <v>1103</v>
      </c>
      <c r="DM20" s="70">
        <f>DK20/DJ20</f>
        <v>0</v>
      </c>
      <c r="DN20" s="46">
        <v>1803</v>
      </c>
      <c r="DP20" s="46">
        <v>1803</v>
      </c>
      <c r="DQ20" s="70">
        <f>DO20/DN20</f>
        <v>0</v>
      </c>
      <c r="DR20" s="46">
        <v>268058</v>
      </c>
      <c r="DS20" s="46">
        <v>3404</v>
      </c>
      <c r="DT20" s="46">
        <v>264654</v>
      </c>
      <c r="DU20" s="70">
        <f>DS20/DR20</f>
        <v>1.2698744301606368E-2</v>
      </c>
      <c r="DV20" s="46">
        <v>143644</v>
      </c>
      <c r="DX20" s="46">
        <v>143644</v>
      </c>
      <c r="DY20" s="70">
        <f>DW20/DV20</f>
        <v>0</v>
      </c>
      <c r="DZ20" s="46">
        <v>187723</v>
      </c>
      <c r="EA20" s="46">
        <v>7226</v>
      </c>
      <c r="EB20" s="46">
        <v>180497</v>
      </c>
      <c r="EC20" s="70">
        <f>EA20/DZ20</f>
        <v>3.8492885794495078E-2</v>
      </c>
      <c r="ED20" s="46">
        <f>B20+F20+J20+N20+R20+V20+Z20+AD20+AH20+AL20+AP20+AT20+AX20+BB20+BF20+BJ20+BN20+BR20+BV20+BZ20+CD20+CH20+CL20+CP20+CT20+CX20+DB20+DF20+DJ20+DN20+DR20+DV20+DZ20</f>
        <v>19974358</v>
      </c>
      <c r="EE20" s="46">
        <f>ED20-EF20</f>
        <v>-2</v>
      </c>
      <c r="EF20" s="20">
        <v>19974360</v>
      </c>
      <c r="EG20" s="20">
        <v>875816</v>
      </c>
      <c r="EH20" s="20">
        <v>19098544</v>
      </c>
      <c r="EI20" s="70">
        <f>EG20/EF20</f>
        <v>4.3847011869216336E-2</v>
      </c>
    </row>
    <row r="21" spans="1:139" s="46" customFormat="1" x14ac:dyDescent="0.2">
      <c r="A21" s="69">
        <v>38168</v>
      </c>
      <c r="B21" s="46">
        <v>471899</v>
      </c>
      <c r="C21" s="46">
        <v>33044</v>
      </c>
      <c r="D21" s="46">
        <v>438855</v>
      </c>
      <c r="E21" s="70">
        <f t="shared" ref="E21:E29" si="0">C21/B21</f>
        <v>7.0023458409532544E-2</v>
      </c>
      <c r="F21" s="46">
        <v>3969450</v>
      </c>
      <c r="H21" s="46">
        <v>3969450</v>
      </c>
      <c r="I21" s="70">
        <f t="shared" ref="I21:I29" si="1">G21/F21</f>
        <v>0</v>
      </c>
      <c r="J21" s="46">
        <v>1353249</v>
      </c>
      <c r="K21" s="46">
        <v>133434</v>
      </c>
      <c r="L21" s="46">
        <v>1219815</v>
      </c>
      <c r="M21" s="70">
        <f t="shared" ref="M21:M29" si="2">K21/J21</f>
        <v>9.8602696177865268E-2</v>
      </c>
      <c r="N21" s="46">
        <v>1632539</v>
      </c>
      <c r="O21" s="46">
        <v>105412</v>
      </c>
      <c r="P21" s="46">
        <v>1527127</v>
      </c>
      <c r="Q21" s="70">
        <f t="shared" ref="Q21:Q29" si="3">O21/N21</f>
        <v>6.4569360976981252E-2</v>
      </c>
      <c r="R21" s="46">
        <v>1655769</v>
      </c>
      <c r="S21" s="46">
        <v>84355</v>
      </c>
      <c r="T21" s="46">
        <v>1571414</v>
      </c>
      <c r="U21" s="70">
        <f t="shared" ref="U21:U29" si="4">S21/R21</f>
        <v>5.0946116275881477E-2</v>
      </c>
      <c r="V21" s="46">
        <v>5067315</v>
      </c>
      <c r="W21" s="46">
        <v>360110</v>
      </c>
      <c r="X21" s="46">
        <v>4707205</v>
      </c>
      <c r="Y21" s="70">
        <f t="shared" ref="Y21:Y29" si="5">W21/V21</f>
        <v>7.1065248558654828E-2</v>
      </c>
      <c r="Z21" s="46">
        <v>1592203</v>
      </c>
      <c r="AA21" s="46">
        <v>70831</v>
      </c>
      <c r="AB21" s="46">
        <v>1521372</v>
      </c>
      <c r="AC21" s="70">
        <f t="shared" ref="AC21:AC29" si="6">AA21/Z21</f>
        <v>4.4486161626375531E-2</v>
      </c>
      <c r="AD21" s="46">
        <v>316021</v>
      </c>
      <c r="AE21" s="46">
        <v>15133</v>
      </c>
      <c r="AF21" s="46">
        <v>300888</v>
      </c>
      <c r="AG21" s="70">
        <f t="shared" ref="AG21:AG29" si="7">AE21/AD21</f>
        <v>4.7886058204992706E-2</v>
      </c>
      <c r="AH21" s="46">
        <v>331</v>
      </c>
      <c r="AI21" s="46">
        <v>0</v>
      </c>
      <c r="AJ21" s="46">
        <v>331</v>
      </c>
      <c r="AK21" s="70">
        <f t="shared" ref="AK21:AK29" si="8">AI21/AH21</f>
        <v>0</v>
      </c>
      <c r="AL21" s="46">
        <v>187069</v>
      </c>
      <c r="AM21" s="46">
        <v>254</v>
      </c>
      <c r="AN21" s="46">
        <v>186815</v>
      </c>
      <c r="AO21" s="70">
        <f t="shared" ref="AO21:AO29" si="9">AM21/AL21</f>
        <v>1.3577877681497201E-3</v>
      </c>
      <c r="AP21" s="46">
        <v>319919</v>
      </c>
      <c r="AQ21" s="46">
        <v>14061</v>
      </c>
      <c r="AR21" s="46">
        <v>305858</v>
      </c>
      <c r="AS21" s="70">
        <f t="shared" ref="AS21:AS29" si="10">AQ21/AP21</f>
        <v>4.3951750286791345E-2</v>
      </c>
      <c r="AT21" s="46">
        <v>1079235</v>
      </c>
      <c r="AU21" s="46">
        <v>35821</v>
      </c>
      <c r="AV21" s="46">
        <v>1043414</v>
      </c>
      <c r="AW21" s="70">
        <f t="shared" ref="AW21:AW29" si="11">AU21/AT21</f>
        <v>3.3191102957187267E-2</v>
      </c>
      <c r="AX21" s="46">
        <v>3123</v>
      </c>
      <c r="AY21" s="46">
        <v>618</v>
      </c>
      <c r="AZ21" s="46">
        <v>2505</v>
      </c>
      <c r="BA21" s="70">
        <f t="shared" ref="BA21:BA29" si="12">AY21/AX21</f>
        <v>0.19788664745437079</v>
      </c>
      <c r="BB21" s="46">
        <v>170</v>
      </c>
      <c r="BC21" s="46">
        <v>49</v>
      </c>
      <c r="BD21" s="46">
        <v>121</v>
      </c>
      <c r="BE21" s="70">
        <f t="shared" ref="BE21:BE29" si="13">BC21/BB21</f>
        <v>0.28823529411764703</v>
      </c>
      <c r="BF21" s="46">
        <v>3401</v>
      </c>
      <c r="BG21" s="46">
        <v>0</v>
      </c>
      <c r="BH21" s="46">
        <v>3401</v>
      </c>
      <c r="BI21" s="70">
        <f t="shared" ref="BI21:BI29" si="14">BG21/BF21</f>
        <v>0</v>
      </c>
      <c r="BJ21" s="46">
        <v>397121</v>
      </c>
      <c r="BK21" s="46">
        <v>34573</v>
      </c>
      <c r="BL21" s="46">
        <v>362548</v>
      </c>
      <c r="BM21" s="70">
        <f t="shared" ref="BM21:BM29" si="15">BK21/BJ21</f>
        <v>8.7059107929321283E-2</v>
      </c>
      <c r="BN21" s="46">
        <v>94259</v>
      </c>
      <c r="BO21" s="46">
        <v>2413</v>
      </c>
      <c r="BP21" s="46">
        <v>91846</v>
      </c>
      <c r="BQ21" s="70">
        <f t="shared" ref="BQ21:BQ29" si="16">BO21/BN21</f>
        <v>2.559967748437815E-2</v>
      </c>
      <c r="BR21" s="46">
        <v>34</v>
      </c>
      <c r="BT21" s="46">
        <v>34</v>
      </c>
      <c r="BU21" s="70">
        <f t="shared" ref="BU21:BU29" si="17">BS21/BR21</f>
        <v>0</v>
      </c>
      <c r="BV21" s="46">
        <v>259681</v>
      </c>
      <c r="BW21" s="46">
        <v>4199</v>
      </c>
      <c r="BX21" s="46">
        <v>255482</v>
      </c>
      <c r="BY21" s="70">
        <f t="shared" ref="BY21:BY29" si="18">BW21/BV21</f>
        <v>1.6169839148801799E-2</v>
      </c>
      <c r="BZ21" s="46">
        <v>63353</v>
      </c>
      <c r="CA21" s="46">
        <v>13697</v>
      </c>
      <c r="CB21" s="46">
        <v>49656</v>
      </c>
      <c r="CC21" s="70">
        <f t="shared" ref="CC21:CC29" si="19">CA21/BZ21</f>
        <v>0.21620128486417375</v>
      </c>
      <c r="CD21" s="46">
        <v>96762</v>
      </c>
      <c r="CE21" s="46">
        <v>634</v>
      </c>
      <c r="CF21" s="46">
        <v>96128</v>
      </c>
      <c r="CG21" s="70">
        <f t="shared" ref="CG21:CG29" si="20">CE21/CD21</f>
        <v>6.5521589053554085E-3</v>
      </c>
      <c r="CH21" s="46">
        <v>1476</v>
      </c>
      <c r="CI21" s="46">
        <v>0</v>
      </c>
      <c r="CJ21" s="46">
        <v>1476</v>
      </c>
      <c r="CK21" s="70">
        <f t="shared" ref="CK21:CK29" si="21">CI21/CH21</f>
        <v>0</v>
      </c>
      <c r="CL21" s="46">
        <v>5</v>
      </c>
      <c r="CN21" s="46">
        <v>5</v>
      </c>
      <c r="CO21" s="70">
        <f t="shared" ref="CO21:CO29" si="22">CM21/CL21</f>
        <v>0</v>
      </c>
      <c r="CP21" s="46">
        <v>46050</v>
      </c>
      <c r="CR21" s="46">
        <v>46050</v>
      </c>
      <c r="CS21" s="70">
        <f t="shared" ref="CS21:CS29" si="23">CQ21/CP21</f>
        <v>0</v>
      </c>
      <c r="CT21" s="46">
        <v>55009</v>
      </c>
      <c r="CU21" s="46">
        <v>6233</v>
      </c>
      <c r="CV21" s="46">
        <v>48776</v>
      </c>
      <c r="CW21" s="70">
        <f t="shared" ref="CW21:CW29" si="24">CU21/CT21</f>
        <v>0.11330873129851479</v>
      </c>
      <c r="CX21" s="46">
        <v>90476</v>
      </c>
      <c r="CY21" s="46">
        <v>58</v>
      </c>
      <c r="CZ21" s="46">
        <v>90418</v>
      </c>
      <c r="DA21" s="70">
        <f t="shared" ref="DA21:DA29" si="25">CY21/CX21</f>
        <v>6.4105398116627609E-4</v>
      </c>
      <c r="DB21" s="46">
        <v>467</v>
      </c>
      <c r="DD21" s="46">
        <v>467</v>
      </c>
      <c r="DE21" s="70">
        <f t="shared" ref="DE21:DE29" si="26">DC21/DB21</f>
        <v>0</v>
      </c>
      <c r="DF21" s="46">
        <v>197217</v>
      </c>
      <c r="DG21" s="46">
        <v>634</v>
      </c>
      <c r="DH21" s="46">
        <v>196583</v>
      </c>
      <c r="DI21" s="70">
        <f t="shared" ref="DI21:DI29" si="27">DG21/DF21</f>
        <v>3.2147330098318098E-3</v>
      </c>
      <c r="DJ21" s="46">
        <v>1093</v>
      </c>
      <c r="DK21" s="46">
        <v>0</v>
      </c>
      <c r="DL21" s="46">
        <v>1093</v>
      </c>
      <c r="DM21" s="70">
        <f t="shared" ref="DM21:DM29" si="28">DK21/DJ21</f>
        <v>0</v>
      </c>
      <c r="DN21" s="46">
        <v>2100</v>
      </c>
      <c r="DP21" s="46">
        <v>2100</v>
      </c>
      <c r="DQ21" s="70">
        <f t="shared" ref="DQ21:DQ29" si="29">DO21/DN21</f>
        <v>0</v>
      </c>
      <c r="DR21" s="46">
        <v>277969</v>
      </c>
      <c r="DS21" s="46">
        <v>3381</v>
      </c>
      <c r="DT21" s="46">
        <v>274588</v>
      </c>
      <c r="DU21" s="70">
        <f t="shared" ref="DU21:DU29" si="30">DS21/DR21</f>
        <v>1.216322683464703E-2</v>
      </c>
      <c r="DV21" s="46">
        <v>85508</v>
      </c>
      <c r="DX21" s="46">
        <v>85508</v>
      </c>
      <c r="DY21" s="70">
        <f t="shared" ref="DY21:DY29" si="31">DW21/DV21</f>
        <v>0</v>
      </c>
      <c r="DZ21" s="46">
        <v>197217</v>
      </c>
      <c r="EA21" s="46">
        <v>7656</v>
      </c>
      <c r="EB21" s="46">
        <v>189561</v>
      </c>
      <c r="EC21" s="70">
        <f t="shared" ref="EC21:EC29" si="32">EA21/DZ21</f>
        <v>3.8820182844278128E-2</v>
      </c>
      <c r="ED21" s="46">
        <f t="shared" ref="ED21:ED29" si="33">B21+F21+J21+N21+R21+V21+Z21+AD21+AH21+AL21+AP21+AT21+AX21+BB21+BF21+BJ21+BN21+BR21+BV21+BZ21+CD21+CH21+CL21+CP21+CT21+CX21+DB21+DF21+DJ21+DN21+DR21+DV21+DZ21</f>
        <v>19517490</v>
      </c>
      <c r="EE21" s="46">
        <f t="shared" ref="EE21:EE29" si="34">ED21-EF21</f>
        <v>-1</v>
      </c>
      <c r="EF21" s="20">
        <v>19517491</v>
      </c>
      <c r="EG21" s="20">
        <v>926600</v>
      </c>
      <c r="EH21" s="20">
        <v>18590891</v>
      </c>
      <c r="EI21" s="70">
        <f t="shared" ref="EI21:EI29" si="35">EG21/EF21</f>
        <v>4.7475364533279406E-2</v>
      </c>
    </row>
    <row r="22" spans="1:139" s="46" customFormat="1" x14ac:dyDescent="0.2">
      <c r="A22" s="69">
        <v>38533</v>
      </c>
      <c r="B22" s="46">
        <v>487282</v>
      </c>
      <c r="C22" s="46">
        <v>27956</v>
      </c>
      <c r="D22" s="46">
        <v>459326</v>
      </c>
      <c r="E22" s="70">
        <f t="shared" si="0"/>
        <v>5.7371296292495925E-2</v>
      </c>
      <c r="F22" s="46">
        <v>3132089</v>
      </c>
      <c r="H22" s="46">
        <v>3132089</v>
      </c>
      <c r="I22" s="70">
        <f t="shared" si="1"/>
        <v>0</v>
      </c>
      <c r="J22" s="46">
        <v>1296048</v>
      </c>
      <c r="K22" s="46">
        <v>103381</v>
      </c>
      <c r="L22" s="46">
        <v>1192667</v>
      </c>
      <c r="M22" s="70">
        <f t="shared" si="2"/>
        <v>7.9766335814722908E-2</v>
      </c>
      <c r="N22" s="46">
        <v>1645166</v>
      </c>
      <c r="O22" s="46">
        <v>101064</v>
      </c>
      <c r="P22" s="46">
        <v>1544102</v>
      </c>
      <c r="Q22" s="70">
        <f t="shared" si="3"/>
        <v>6.1430882962570342E-2</v>
      </c>
      <c r="R22" s="46">
        <v>1639310</v>
      </c>
      <c r="S22" s="46">
        <v>87404</v>
      </c>
      <c r="T22" s="46">
        <v>1551906</v>
      </c>
      <c r="U22" s="70">
        <f t="shared" si="4"/>
        <v>5.3317554336885641E-2</v>
      </c>
      <c r="V22" s="46">
        <v>5276401</v>
      </c>
      <c r="W22" s="46">
        <v>355589</v>
      </c>
      <c r="X22" s="46">
        <v>4920812</v>
      </c>
      <c r="Y22" s="70">
        <f t="shared" si="5"/>
        <v>6.7392338072864433E-2</v>
      </c>
      <c r="Z22" s="46">
        <v>1639317</v>
      </c>
      <c r="AA22" s="46">
        <v>67563</v>
      </c>
      <c r="AB22" s="46">
        <v>1571754</v>
      </c>
      <c r="AC22" s="70">
        <f t="shared" si="6"/>
        <v>4.1214115390738951E-2</v>
      </c>
      <c r="AD22" s="46">
        <v>296528</v>
      </c>
      <c r="AE22" s="46">
        <v>13759</v>
      </c>
      <c r="AF22" s="46">
        <v>282769</v>
      </c>
      <c r="AG22" s="70">
        <f t="shared" si="7"/>
        <v>4.6400339934171475E-2</v>
      </c>
      <c r="AH22" s="46">
        <v>233</v>
      </c>
      <c r="AI22" s="46">
        <v>0</v>
      </c>
      <c r="AJ22" s="46">
        <v>233</v>
      </c>
      <c r="AK22" s="70">
        <f t="shared" si="8"/>
        <v>0</v>
      </c>
      <c r="AL22" s="46">
        <v>190533</v>
      </c>
      <c r="AM22" s="46">
        <v>231</v>
      </c>
      <c r="AN22" s="46">
        <v>190302</v>
      </c>
      <c r="AO22" s="70">
        <f t="shared" si="9"/>
        <v>1.2123884051581616E-3</v>
      </c>
      <c r="AP22" s="46">
        <v>317637</v>
      </c>
      <c r="AQ22" s="46">
        <v>13748</v>
      </c>
      <c r="AR22" s="46">
        <v>303889</v>
      </c>
      <c r="AS22" s="70">
        <f t="shared" si="10"/>
        <v>4.3282111340933203E-2</v>
      </c>
      <c r="AT22" s="46">
        <v>1133086</v>
      </c>
      <c r="AU22" s="46">
        <v>34782</v>
      </c>
      <c r="AV22" s="46">
        <v>1098304</v>
      </c>
      <c r="AW22" s="70">
        <f t="shared" si="11"/>
        <v>3.069669910315722E-2</v>
      </c>
      <c r="AX22" s="46">
        <v>2616</v>
      </c>
      <c r="AY22" s="46">
        <v>495</v>
      </c>
      <c r="AZ22" s="46">
        <v>2121</v>
      </c>
      <c r="BA22" s="70">
        <f t="shared" si="12"/>
        <v>0.18922018348623854</v>
      </c>
      <c r="BB22" s="46">
        <v>166</v>
      </c>
      <c r="BC22" s="46">
        <v>46</v>
      </c>
      <c r="BD22" s="46">
        <v>120</v>
      </c>
      <c r="BE22" s="70">
        <f t="shared" si="13"/>
        <v>0.27710843373493976</v>
      </c>
      <c r="BF22" s="46">
        <v>3135</v>
      </c>
      <c r="BG22" s="46">
        <v>0</v>
      </c>
      <c r="BH22" s="46">
        <v>3135</v>
      </c>
      <c r="BI22" s="70">
        <f t="shared" si="14"/>
        <v>0</v>
      </c>
      <c r="BJ22" s="46">
        <v>377229</v>
      </c>
      <c r="BK22" s="46">
        <v>31521</v>
      </c>
      <c r="BL22" s="46">
        <v>345708</v>
      </c>
      <c r="BM22" s="70">
        <f t="shared" si="15"/>
        <v>8.3559323381818471E-2</v>
      </c>
      <c r="BN22" s="46">
        <v>92795</v>
      </c>
      <c r="BO22" s="46">
        <v>1716</v>
      </c>
      <c r="BP22" s="46">
        <v>91079</v>
      </c>
      <c r="BQ22" s="70">
        <f t="shared" si="16"/>
        <v>1.8492375666792391E-2</v>
      </c>
      <c r="BR22" s="46">
        <v>46</v>
      </c>
      <c r="BT22" s="46">
        <v>46</v>
      </c>
      <c r="BU22" s="70">
        <f t="shared" si="17"/>
        <v>0</v>
      </c>
      <c r="BV22" s="46">
        <v>261112</v>
      </c>
      <c r="BW22" s="46">
        <v>3708</v>
      </c>
      <c r="BX22" s="46">
        <v>257404</v>
      </c>
      <c r="BY22" s="70">
        <f t="shared" si="18"/>
        <v>1.4200802720671589E-2</v>
      </c>
      <c r="BZ22" s="46">
        <v>52923</v>
      </c>
      <c r="CA22" s="46">
        <v>14308</v>
      </c>
      <c r="CB22" s="46">
        <v>38615</v>
      </c>
      <c r="CC22" s="70">
        <f t="shared" si="19"/>
        <v>0.27035504412070366</v>
      </c>
      <c r="CD22" s="46">
        <v>107918</v>
      </c>
      <c r="CE22" s="46">
        <v>1149</v>
      </c>
      <c r="CF22" s="46">
        <v>106769</v>
      </c>
      <c r="CG22" s="70">
        <f t="shared" si="20"/>
        <v>1.064697270149558E-2</v>
      </c>
      <c r="CH22" s="46">
        <v>1172</v>
      </c>
      <c r="CI22" s="46">
        <v>0</v>
      </c>
      <c r="CJ22" s="46">
        <v>1172</v>
      </c>
      <c r="CK22" s="70">
        <f t="shared" si="21"/>
        <v>0</v>
      </c>
      <c r="CL22" s="46">
        <v>5</v>
      </c>
      <c r="CN22" s="46">
        <v>5</v>
      </c>
      <c r="CO22" s="70">
        <f t="shared" si="22"/>
        <v>0</v>
      </c>
      <c r="CP22" s="46">
        <v>55180</v>
      </c>
      <c r="CR22" s="46">
        <v>55180</v>
      </c>
      <c r="CS22" s="70">
        <f t="shared" si="23"/>
        <v>0</v>
      </c>
      <c r="CT22" s="46">
        <v>52557</v>
      </c>
      <c r="CU22" s="46">
        <v>6858</v>
      </c>
      <c r="CV22" s="46">
        <v>45699</v>
      </c>
      <c r="CW22" s="70">
        <f t="shared" si="24"/>
        <v>0.13048689993721102</v>
      </c>
      <c r="CX22" s="46">
        <v>83523</v>
      </c>
      <c r="CY22" s="46">
        <v>29</v>
      </c>
      <c r="CZ22" s="46">
        <v>83494</v>
      </c>
      <c r="DA22" s="70">
        <f t="shared" si="25"/>
        <v>3.4720975060761704E-4</v>
      </c>
      <c r="DB22" s="46">
        <v>454</v>
      </c>
      <c r="DD22" s="46">
        <v>454</v>
      </c>
      <c r="DE22" s="70">
        <f t="shared" si="26"/>
        <v>0</v>
      </c>
      <c r="DF22" s="46">
        <v>168501</v>
      </c>
      <c r="DG22" s="46">
        <v>700</v>
      </c>
      <c r="DH22" s="46">
        <v>167801</v>
      </c>
      <c r="DI22" s="70">
        <f t="shared" si="27"/>
        <v>4.1542780161542064E-3</v>
      </c>
      <c r="DJ22" s="46">
        <v>992</v>
      </c>
      <c r="DK22" s="46">
        <v>0</v>
      </c>
      <c r="DL22" s="46">
        <v>992</v>
      </c>
      <c r="DM22" s="70">
        <f t="shared" si="28"/>
        <v>0</v>
      </c>
      <c r="DN22" s="46">
        <v>2200</v>
      </c>
      <c r="DP22" s="46">
        <v>2200</v>
      </c>
      <c r="DQ22" s="70">
        <f t="shared" si="29"/>
        <v>0</v>
      </c>
      <c r="DR22" s="46">
        <v>301223</v>
      </c>
      <c r="DS22" s="46">
        <v>2815</v>
      </c>
      <c r="DT22" s="46">
        <v>298408</v>
      </c>
      <c r="DU22" s="70">
        <f t="shared" si="30"/>
        <v>9.345235921559775E-3</v>
      </c>
      <c r="DV22" s="46">
        <v>88610</v>
      </c>
      <c r="DX22" s="46">
        <v>88610</v>
      </c>
      <c r="DY22" s="70">
        <f t="shared" si="31"/>
        <v>0</v>
      </c>
      <c r="DZ22" s="46">
        <v>221108</v>
      </c>
      <c r="EA22" s="46">
        <v>7675</v>
      </c>
      <c r="EB22" s="46">
        <v>213433</v>
      </c>
      <c r="EC22" s="70">
        <f t="shared" si="32"/>
        <v>3.4711543680011579E-2</v>
      </c>
      <c r="ED22" s="46">
        <f t="shared" si="33"/>
        <v>18927095</v>
      </c>
      <c r="EE22" s="46">
        <f t="shared" si="34"/>
        <v>0</v>
      </c>
      <c r="EF22" s="20">
        <v>18927095</v>
      </c>
      <c r="EG22" s="20">
        <v>876497</v>
      </c>
      <c r="EH22" s="20">
        <v>18050598</v>
      </c>
      <c r="EI22" s="70">
        <f t="shared" si="35"/>
        <v>4.6309113997684274E-2</v>
      </c>
    </row>
    <row r="23" spans="1:139" s="46" customFormat="1" x14ac:dyDescent="0.2">
      <c r="A23" s="69">
        <v>38898</v>
      </c>
      <c r="B23" s="46">
        <v>444724</v>
      </c>
      <c r="C23" s="46">
        <v>24638</v>
      </c>
      <c r="D23" s="46">
        <v>420086</v>
      </c>
      <c r="E23" s="70">
        <f t="shared" si="0"/>
        <v>5.5400652989269751E-2</v>
      </c>
      <c r="F23" s="46">
        <v>2901969</v>
      </c>
      <c r="H23" s="46">
        <v>2901969</v>
      </c>
      <c r="I23" s="70">
        <f t="shared" si="1"/>
        <v>0</v>
      </c>
      <c r="J23" s="46">
        <v>1361119</v>
      </c>
      <c r="K23" s="46">
        <v>105236</v>
      </c>
      <c r="L23" s="46">
        <v>1255883</v>
      </c>
      <c r="M23" s="70">
        <f t="shared" si="2"/>
        <v>7.7315796781912527E-2</v>
      </c>
      <c r="N23" s="46">
        <v>1609223</v>
      </c>
      <c r="O23" s="46">
        <v>99971</v>
      </c>
      <c r="P23" s="46">
        <v>1509252</v>
      </c>
      <c r="Q23" s="70">
        <f t="shared" si="3"/>
        <v>6.2123770291625212E-2</v>
      </c>
      <c r="R23" s="46">
        <v>1688985</v>
      </c>
      <c r="S23" s="46">
        <v>91937</v>
      </c>
      <c r="T23" s="46">
        <v>1597048</v>
      </c>
      <c r="U23" s="70">
        <f t="shared" si="4"/>
        <v>5.4433283895357273E-2</v>
      </c>
      <c r="V23" s="46">
        <v>5548022</v>
      </c>
      <c r="W23" s="46">
        <v>373350</v>
      </c>
      <c r="X23" s="46">
        <v>5174672</v>
      </c>
      <c r="Y23" s="70">
        <f t="shared" si="5"/>
        <v>6.729425369978706E-2</v>
      </c>
      <c r="Z23" s="46">
        <v>1816201</v>
      </c>
      <c r="AA23" s="46">
        <v>67435</v>
      </c>
      <c r="AB23" s="46">
        <v>1748766</v>
      </c>
      <c r="AC23" s="70">
        <f t="shared" si="6"/>
        <v>3.7129700952702925E-2</v>
      </c>
      <c r="AD23" s="46">
        <v>286220</v>
      </c>
      <c r="AE23" s="46">
        <v>21065</v>
      </c>
      <c r="AF23" s="46">
        <v>265155</v>
      </c>
      <c r="AG23" s="70">
        <f t="shared" si="7"/>
        <v>7.3597232897770939E-2</v>
      </c>
      <c r="AH23" s="46">
        <v>611</v>
      </c>
      <c r="AI23" s="46">
        <v>0</v>
      </c>
      <c r="AJ23" s="46">
        <v>611</v>
      </c>
      <c r="AK23" s="70">
        <f t="shared" si="8"/>
        <v>0</v>
      </c>
      <c r="AL23" s="46">
        <v>270293</v>
      </c>
      <c r="AM23" s="46">
        <v>212</v>
      </c>
      <c r="AN23" s="46">
        <v>270081</v>
      </c>
      <c r="AO23" s="70">
        <f t="shared" si="9"/>
        <v>7.8433403750744564E-4</v>
      </c>
      <c r="AP23" s="46">
        <v>315209</v>
      </c>
      <c r="AQ23" s="46">
        <v>14056</v>
      </c>
      <c r="AR23" s="46">
        <v>301153</v>
      </c>
      <c r="AS23" s="70">
        <f t="shared" si="10"/>
        <v>4.4592635362568959E-2</v>
      </c>
      <c r="AT23" s="46">
        <v>1202821</v>
      </c>
      <c r="AU23" s="46">
        <v>36317</v>
      </c>
      <c r="AV23" s="46">
        <v>1166504</v>
      </c>
      <c r="AW23" s="70">
        <f t="shared" si="11"/>
        <v>3.0193187515016782E-2</v>
      </c>
      <c r="AX23" s="46">
        <v>2540</v>
      </c>
      <c r="AY23" s="46">
        <v>485</v>
      </c>
      <c r="AZ23" s="46">
        <v>2055</v>
      </c>
      <c r="BA23" s="70">
        <f t="shared" si="12"/>
        <v>0.19094488188976377</v>
      </c>
      <c r="BB23" s="46">
        <v>170</v>
      </c>
      <c r="BC23" s="46">
        <v>47</v>
      </c>
      <c r="BD23" s="46">
        <v>123</v>
      </c>
      <c r="BE23" s="70">
        <f t="shared" si="13"/>
        <v>0.27647058823529413</v>
      </c>
      <c r="BF23" s="46">
        <v>2921</v>
      </c>
      <c r="BG23" s="46">
        <v>0</v>
      </c>
      <c r="BH23" s="46">
        <v>2921</v>
      </c>
      <c r="BI23" s="70">
        <f t="shared" si="14"/>
        <v>0</v>
      </c>
      <c r="BJ23" s="46">
        <v>371044</v>
      </c>
      <c r="BK23" s="46">
        <v>30726</v>
      </c>
      <c r="BL23" s="46">
        <v>340318</v>
      </c>
      <c r="BM23" s="70">
        <f t="shared" si="15"/>
        <v>8.2809585925119389E-2</v>
      </c>
      <c r="BN23" s="46">
        <v>95320</v>
      </c>
      <c r="BO23" s="46">
        <v>2252</v>
      </c>
      <c r="BP23" s="46">
        <v>93068</v>
      </c>
      <c r="BQ23" s="70">
        <f t="shared" si="16"/>
        <v>2.3625681913554342E-2</v>
      </c>
      <c r="BR23" s="46">
        <v>48</v>
      </c>
      <c r="BT23" s="46">
        <v>48</v>
      </c>
      <c r="BU23" s="70">
        <f t="shared" si="17"/>
        <v>0</v>
      </c>
      <c r="BV23" s="46">
        <v>263009</v>
      </c>
      <c r="BW23" s="46">
        <v>3277</v>
      </c>
      <c r="BX23" s="46">
        <v>259732</v>
      </c>
      <c r="BY23" s="70">
        <f t="shared" si="18"/>
        <v>1.2459649669783163E-2</v>
      </c>
      <c r="BZ23" s="46">
        <v>60531</v>
      </c>
      <c r="CA23" s="46">
        <v>14662</v>
      </c>
      <c r="CB23" s="46">
        <v>45869</v>
      </c>
      <c r="CC23" s="70">
        <f t="shared" si="19"/>
        <v>0.24222299317704979</v>
      </c>
      <c r="CD23" s="46">
        <v>112845</v>
      </c>
      <c r="CE23" s="46">
        <v>1422</v>
      </c>
      <c r="CF23" s="46">
        <v>111423</v>
      </c>
      <c r="CG23" s="70">
        <f t="shared" si="20"/>
        <v>1.2601355842084275E-2</v>
      </c>
      <c r="CH23" s="46">
        <v>1200</v>
      </c>
      <c r="CI23" s="46">
        <v>0</v>
      </c>
      <c r="CJ23" s="46">
        <v>1200</v>
      </c>
      <c r="CK23" s="70">
        <f t="shared" si="21"/>
        <v>0</v>
      </c>
      <c r="CL23" s="46">
        <v>5</v>
      </c>
      <c r="CN23" s="46">
        <v>5</v>
      </c>
      <c r="CO23" s="70">
        <f t="shared" si="22"/>
        <v>0</v>
      </c>
      <c r="CP23" s="46">
        <v>55980</v>
      </c>
      <c r="CR23" s="46">
        <v>55980</v>
      </c>
      <c r="CS23" s="70">
        <f t="shared" si="23"/>
        <v>0</v>
      </c>
      <c r="CT23" s="46">
        <v>55273</v>
      </c>
      <c r="CU23" s="46">
        <v>7254</v>
      </c>
      <c r="CV23" s="46">
        <v>48019</v>
      </c>
      <c r="CW23" s="70">
        <f t="shared" si="24"/>
        <v>0.13123948401570387</v>
      </c>
      <c r="CX23" s="46">
        <v>86315</v>
      </c>
      <c r="CY23" s="46">
        <v>5</v>
      </c>
      <c r="CZ23" s="46">
        <v>86310</v>
      </c>
      <c r="DA23" s="70">
        <f t="shared" si="25"/>
        <v>5.7927359091699013E-5</v>
      </c>
      <c r="DB23" s="46">
        <v>621</v>
      </c>
      <c r="DD23" s="46">
        <v>621</v>
      </c>
      <c r="DE23" s="70">
        <f t="shared" si="26"/>
        <v>0</v>
      </c>
      <c r="DF23" s="46">
        <v>175950</v>
      </c>
      <c r="DG23" s="46">
        <v>794</v>
      </c>
      <c r="DH23" s="46">
        <v>175156</v>
      </c>
      <c r="DI23" s="70">
        <f t="shared" si="27"/>
        <v>4.5126456379653308E-3</v>
      </c>
      <c r="DJ23" s="46">
        <v>963</v>
      </c>
      <c r="DK23" s="46">
        <v>0</v>
      </c>
      <c r="DL23" s="46">
        <v>963</v>
      </c>
      <c r="DM23" s="70">
        <f t="shared" si="28"/>
        <v>0</v>
      </c>
      <c r="DN23" s="46">
        <v>2663</v>
      </c>
      <c r="DP23" s="46">
        <v>2663</v>
      </c>
      <c r="DQ23" s="70">
        <f t="shared" si="29"/>
        <v>0</v>
      </c>
      <c r="DR23" s="46">
        <v>348320</v>
      </c>
      <c r="DS23" s="46">
        <v>2911</v>
      </c>
      <c r="DT23" s="46">
        <v>345409</v>
      </c>
      <c r="DU23" s="70">
        <f t="shared" si="30"/>
        <v>8.3572576940744141E-3</v>
      </c>
      <c r="DV23" s="46">
        <v>103027</v>
      </c>
      <c r="DX23" s="46">
        <v>103027</v>
      </c>
      <c r="DY23" s="70">
        <f t="shared" si="31"/>
        <v>0</v>
      </c>
      <c r="DZ23" s="46">
        <v>225530</v>
      </c>
      <c r="EA23" s="46">
        <v>8017</v>
      </c>
      <c r="EB23" s="46">
        <v>217513</v>
      </c>
      <c r="EC23" s="70">
        <f t="shared" si="32"/>
        <v>3.5547377289052454E-2</v>
      </c>
      <c r="ED23" s="46">
        <f t="shared" si="33"/>
        <v>19409672</v>
      </c>
      <c r="EE23" s="46">
        <f t="shared" si="34"/>
        <v>-2</v>
      </c>
      <c r="EF23" s="20">
        <v>19409674</v>
      </c>
      <c r="EG23" s="20">
        <v>906069</v>
      </c>
      <c r="EH23" s="20">
        <v>18503605</v>
      </c>
      <c r="EI23" s="70">
        <f t="shared" si="35"/>
        <v>4.6681309536677429E-2</v>
      </c>
    </row>
    <row r="24" spans="1:139" s="46" customFormat="1" x14ac:dyDescent="0.2">
      <c r="A24" s="69">
        <v>39263</v>
      </c>
      <c r="B24" s="46">
        <v>433485</v>
      </c>
      <c r="C24" s="46">
        <v>26332</v>
      </c>
      <c r="D24" s="46">
        <v>407153</v>
      </c>
      <c r="E24" s="70">
        <f t="shared" si="0"/>
        <v>6.0744893133557104E-2</v>
      </c>
      <c r="F24" s="46">
        <v>2798718</v>
      </c>
      <c r="G24" s="46">
        <v>0</v>
      </c>
      <c r="H24" s="46">
        <v>2798718</v>
      </c>
      <c r="I24" s="70">
        <f t="shared" si="1"/>
        <v>0</v>
      </c>
      <c r="J24" s="46">
        <v>1365333</v>
      </c>
      <c r="K24" s="46">
        <v>110745</v>
      </c>
      <c r="L24" s="46">
        <v>1254588</v>
      </c>
      <c r="M24" s="70">
        <f t="shared" si="2"/>
        <v>8.1112080349628995E-2</v>
      </c>
      <c r="N24" s="46">
        <v>1517922</v>
      </c>
      <c r="O24" s="46">
        <v>96250</v>
      </c>
      <c r="P24" s="46">
        <v>1421672</v>
      </c>
      <c r="Q24" s="70">
        <f t="shared" si="3"/>
        <v>6.3409055274249934E-2</v>
      </c>
      <c r="R24" s="46">
        <v>1783682</v>
      </c>
      <c r="S24" s="46">
        <v>96643</v>
      </c>
      <c r="T24" s="46">
        <v>1687039</v>
      </c>
      <c r="U24" s="70">
        <f t="shared" si="4"/>
        <v>5.4181743158253547E-2</v>
      </c>
      <c r="V24" s="46">
        <v>6123180</v>
      </c>
      <c r="W24" s="46">
        <v>387349</v>
      </c>
      <c r="X24" s="46">
        <v>5735831</v>
      </c>
      <c r="Y24" s="70">
        <f t="shared" si="5"/>
        <v>6.3259450154984825E-2</v>
      </c>
      <c r="Z24" s="46">
        <v>2047882</v>
      </c>
      <c r="AA24" s="46">
        <v>74234</v>
      </c>
      <c r="AB24" s="46">
        <v>1973648</v>
      </c>
      <c r="AC24" s="70">
        <f t="shared" si="6"/>
        <v>3.6249158887084312E-2</v>
      </c>
      <c r="AD24" s="46">
        <v>270407</v>
      </c>
      <c r="AE24" s="46">
        <v>19831</v>
      </c>
      <c r="AF24" s="46">
        <v>250576</v>
      </c>
      <c r="AG24" s="70">
        <f t="shared" si="7"/>
        <v>7.3337598508914345E-2</v>
      </c>
      <c r="AH24" s="46">
        <v>655</v>
      </c>
      <c r="AI24" s="46">
        <v>0</v>
      </c>
      <c r="AJ24" s="46">
        <v>655</v>
      </c>
      <c r="AK24" s="70">
        <f t="shared" si="8"/>
        <v>0</v>
      </c>
      <c r="AL24" s="46">
        <v>269886</v>
      </c>
      <c r="AM24" s="46">
        <v>162</v>
      </c>
      <c r="AN24" s="46">
        <v>269724</v>
      </c>
      <c r="AO24" s="70">
        <f t="shared" si="9"/>
        <v>6.002534403414775E-4</v>
      </c>
      <c r="AP24" s="46">
        <v>307160</v>
      </c>
      <c r="AQ24" s="46">
        <v>13521</v>
      </c>
      <c r="AR24" s="46">
        <v>293639</v>
      </c>
      <c r="AS24" s="70">
        <f t="shared" si="10"/>
        <v>4.4019403568172938E-2</v>
      </c>
      <c r="AT24" s="46">
        <v>1242571</v>
      </c>
      <c r="AU24" s="46">
        <v>38180</v>
      </c>
      <c r="AV24" s="46">
        <v>1204391</v>
      </c>
      <c r="AW24" s="70">
        <f t="shared" si="11"/>
        <v>3.0726614414789979E-2</v>
      </c>
      <c r="AX24" s="46">
        <v>1778</v>
      </c>
      <c r="AY24" s="46">
        <v>132</v>
      </c>
      <c r="AZ24" s="46">
        <v>1646</v>
      </c>
      <c r="BA24" s="70">
        <f t="shared" si="12"/>
        <v>7.4240719910011244E-2</v>
      </c>
      <c r="BB24" s="46">
        <v>1394</v>
      </c>
      <c r="BC24" s="46">
        <v>48</v>
      </c>
      <c r="BD24" s="46">
        <v>1346</v>
      </c>
      <c r="BE24" s="70">
        <f t="shared" si="13"/>
        <v>3.443328550932568E-2</v>
      </c>
      <c r="BF24" s="46">
        <v>3606</v>
      </c>
      <c r="BG24" s="46">
        <v>0</v>
      </c>
      <c r="BH24" s="46">
        <v>3606</v>
      </c>
      <c r="BI24" s="70">
        <f t="shared" si="14"/>
        <v>0</v>
      </c>
      <c r="BJ24" s="46">
        <v>365877</v>
      </c>
      <c r="BK24" s="46">
        <v>28063</v>
      </c>
      <c r="BL24" s="46">
        <v>337814</v>
      </c>
      <c r="BM24" s="70">
        <f t="shared" si="15"/>
        <v>7.6700639832512019E-2</v>
      </c>
      <c r="BN24" s="46">
        <v>95437</v>
      </c>
      <c r="BO24" s="46">
        <v>1957</v>
      </c>
      <c r="BP24" s="46">
        <v>93480</v>
      </c>
      <c r="BQ24" s="70">
        <f t="shared" si="16"/>
        <v>2.0505673900059727E-2</v>
      </c>
      <c r="BR24" s="46">
        <v>35</v>
      </c>
      <c r="BT24" s="46">
        <v>35</v>
      </c>
      <c r="BU24" s="70">
        <f t="shared" si="17"/>
        <v>0</v>
      </c>
      <c r="BV24" s="46">
        <v>264907</v>
      </c>
      <c r="BW24" s="46">
        <v>3094</v>
      </c>
      <c r="BX24" s="46">
        <v>261813</v>
      </c>
      <c r="BY24" s="70">
        <f t="shared" si="18"/>
        <v>1.1679570566274201E-2</v>
      </c>
      <c r="BZ24" s="46">
        <v>73460</v>
      </c>
      <c r="CA24" s="46">
        <v>13097</v>
      </c>
      <c r="CB24" s="46">
        <v>60363</v>
      </c>
      <c r="CC24" s="70">
        <f t="shared" si="19"/>
        <v>0.17828750340321264</v>
      </c>
      <c r="CD24" s="46">
        <v>116848</v>
      </c>
      <c r="CE24" s="46">
        <v>1576</v>
      </c>
      <c r="CF24" s="46">
        <v>115272</v>
      </c>
      <c r="CG24" s="70">
        <f t="shared" si="20"/>
        <v>1.3487607832397644E-2</v>
      </c>
      <c r="CH24" s="46">
        <v>1555</v>
      </c>
      <c r="CI24" s="46">
        <v>0</v>
      </c>
      <c r="CJ24" s="46">
        <v>1555</v>
      </c>
      <c r="CK24" s="70">
        <f t="shared" si="21"/>
        <v>0</v>
      </c>
      <c r="CL24" s="46">
        <v>5</v>
      </c>
      <c r="CN24" s="46">
        <v>5</v>
      </c>
      <c r="CO24" s="70">
        <f t="shared" si="22"/>
        <v>0</v>
      </c>
      <c r="CP24" s="46">
        <v>54942</v>
      </c>
      <c r="CR24" s="46">
        <v>54942</v>
      </c>
      <c r="CS24" s="70">
        <f t="shared" si="23"/>
        <v>0</v>
      </c>
      <c r="CT24" s="46">
        <v>60255</v>
      </c>
      <c r="CU24" s="46">
        <v>7438</v>
      </c>
      <c r="CV24" s="46">
        <v>52817</v>
      </c>
      <c r="CW24" s="70">
        <f t="shared" si="24"/>
        <v>0.12344203800514481</v>
      </c>
      <c r="CX24" s="46">
        <v>88095</v>
      </c>
      <c r="CY24" s="46">
        <v>9</v>
      </c>
      <c r="CZ24" s="46">
        <v>88086</v>
      </c>
      <c r="DA24" s="70">
        <f t="shared" si="25"/>
        <v>1.0216243827686021E-4</v>
      </c>
      <c r="DB24" s="46">
        <v>409</v>
      </c>
      <c r="DD24" s="46">
        <v>409</v>
      </c>
      <c r="DE24" s="70">
        <f t="shared" si="26"/>
        <v>0</v>
      </c>
      <c r="DF24" s="46">
        <v>182277</v>
      </c>
      <c r="DG24" s="46">
        <v>859</v>
      </c>
      <c r="DH24" s="46">
        <v>181418</v>
      </c>
      <c r="DI24" s="70">
        <f t="shared" si="27"/>
        <v>4.7126077343822865E-3</v>
      </c>
      <c r="DJ24" s="46">
        <v>995</v>
      </c>
      <c r="DK24" s="46">
        <v>0</v>
      </c>
      <c r="DL24" s="46">
        <v>995</v>
      </c>
      <c r="DM24" s="70">
        <f t="shared" si="28"/>
        <v>0</v>
      </c>
      <c r="DN24" s="46">
        <v>3942</v>
      </c>
      <c r="DO24" s="46">
        <v>0</v>
      </c>
      <c r="DP24" s="46">
        <v>3942</v>
      </c>
      <c r="DQ24" s="70">
        <f t="shared" si="29"/>
        <v>0</v>
      </c>
      <c r="DR24" s="46">
        <v>376409</v>
      </c>
      <c r="DS24" s="46">
        <v>2729</v>
      </c>
      <c r="DT24" s="46">
        <v>373680</v>
      </c>
      <c r="DU24" s="70">
        <f t="shared" si="30"/>
        <v>7.2500923197904403E-3</v>
      </c>
      <c r="DV24" s="46">
        <v>112057</v>
      </c>
      <c r="DX24" s="46">
        <v>112057</v>
      </c>
      <c r="DY24" s="70">
        <f t="shared" si="31"/>
        <v>0</v>
      </c>
      <c r="DZ24" s="46">
        <v>231184</v>
      </c>
      <c r="EA24" s="46">
        <v>8071</v>
      </c>
      <c r="EB24" s="46">
        <v>223113</v>
      </c>
      <c r="EC24" s="70">
        <f t="shared" si="32"/>
        <v>3.491158557685653E-2</v>
      </c>
      <c r="ED24" s="46">
        <f t="shared" si="33"/>
        <v>20196348</v>
      </c>
      <c r="EE24" s="46">
        <f t="shared" si="34"/>
        <v>2</v>
      </c>
      <c r="EF24" s="20">
        <v>20196346</v>
      </c>
      <c r="EG24" s="20">
        <v>930320</v>
      </c>
      <c r="EH24" s="20">
        <v>19266026</v>
      </c>
      <c r="EI24" s="70">
        <f t="shared" si="35"/>
        <v>4.6063778071538289E-2</v>
      </c>
    </row>
    <row r="25" spans="1:139" s="46" customFormat="1" x14ac:dyDescent="0.2">
      <c r="A25" s="69">
        <v>39629</v>
      </c>
      <c r="B25" s="46">
        <v>398442</v>
      </c>
      <c r="C25" s="46">
        <v>24337</v>
      </c>
      <c r="D25" s="46">
        <v>374105</v>
      </c>
      <c r="E25" s="70">
        <f t="shared" si="0"/>
        <v>6.1080408189899661E-2</v>
      </c>
      <c r="F25" s="46">
        <v>2314342</v>
      </c>
      <c r="G25" s="46">
        <v>0</v>
      </c>
      <c r="H25" s="46">
        <v>2314342</v>
      </c>
      <c r="I25" s="70">
        <f t="shared" si="1"/>
        <v>0</v>
      </c>
      <c r="J25" s="46">
        <v>1377969</v>
      </c>
      <c r="K25" s="46">
        <v>94785</v>
      </c>
      <c r="L25" s="46">
        <v>1283184</v>
      </c>
      <c r="M25" s="70">
        <f t="shared" si="2"/>
        <v>6.878601768254583E-2</v>
      </c>
      <c r="N25" s="46">
        <v>1446204</v>
      </c>
      <c r="O25" s="46">
        <v>92579</v>
      </c>
      <c r="P25" s="46">
        <v>1353625</v>
      </c>
      <c r="Q25" s="70">
        <f t="shared" si="3"/>
        <v>6.4015173516322729E-2</v>
      </c>
      <c r="R25" s="46">
        <v>1886710</v>
      </c>
      <c r="S25" s="46">
        <v>104689</v>
      </c>
      <c r="T25" s="46">
        <v>1782021</v>
      </c>
      <c r="U25" s="70">
        <f t="shared" si="4"/>
        <v>5.5487594807893108E-2</v>
      </c>
      <c r="V25" s="46">
        <v>6960693</v>
      </c>
      <c r="W25" s="46">
        <v>401503</v>
      </c>
      <c r="X25" s="46">
        <v>6559190</v>
      </c>
      <c r="Y25" s="70">
        <f t="shared" si="5"/>
        <v>5.7681469359444529E-2</v>
      </c>
      <c r="Z25" s="46">
        <v>2274850</v>
      </c>
      <c r="AA25" s="46">
        <v>82922</v>
      </c>
      <c r="AB25" s="46">
        <v>2191928</v>
      </c>
      <c r="AC25" s="70">
        <f t="shared" si="6"/>
        <v>3.6451634173681781E-2</v>
      </c>
      <c r="AD25" s="46">
        <v>257884</v>
      </c>
      <c r="AE25" s="46">
        <v>17222</v>
      </c>
      <c r="AF25" s="46">
        <v>240662</v>
      </c>
      <c r="AG25" s="70">
        <f t="shared" si="7"/>
        <v>6.6781963983806675E-2</v>
      </c>
      <c r="AH25" s="46">
        <v>523</v>
      </c>
      <c r="AI25" s="46">
        <v>0</v>
      </c>
      <c r="AJ25" s="46">
        <v>523</v>
      </c>
      <c r="AK25" s="70">
        <f t="shared" si="8"/>
        <v>0</v>
      </c>
      <c r="AL25" s="46">
        <v>446457</v>
      </c>
      <c r="AM25" s="46">
        <v>139</v>
      </c>
      <c r="AN25" s="46">
        <v>446318</v>
      </c>
      <c r="AO25" s="70">
        <f t="shared" si="9"/>
        <v>3.1134017385772873E-4</v>
      </c>
      <c r="AP25" s="46">
        <v>296469</v>
      </c>
      <c r="AQ25" s="46">
        <v>13972</v>
      </c>
      <c r="AR25" s="46">
        <v>282497</v>
      </c>
      <c r="AS25" s="70">
        <f t="shared" si="10"/>
        <v>4.7128030249368402E-2</v>
      </c>
      <c r="AT25" s="46">
        <v>1389399</v>
      </c>
      <c r="AU25" s="46">
        <v>53590</v>
      </c>
      <c r="AV25" s="46">
        <v>1335809</v>
      </c>
      <c r="AW25" s="70">
        <f t="shared" si="11"/>
        <v>3.8570633777626151E-2</v>
      </c>
      <c r="AX25" s="46">
        <v>2436</v>
      </c>
      <c r="AY25" s="46">
        <v>22</v>
      </c>
      <c r="AZ25" s="46">
        <v>2414</v>
      </c>
      <c r="BA25" s="70">
        <f t="shared" si="12"/>
        <v>9.0311986863710995E-3</v>
      </c>
      <c r="BB25" s="46">
        <v>1193</v>
      </c>
      <c r="BC25" s="46">
        <v>42</v>
      </c>
      <c r="BD25" s="46">
        <v>1151</v>
      </c>
      <c r="BE25" s="70">
        <f t="shared" si="13"/>
        <v>3.5205364626990782E-2</v>
      </c>
      <c r="BF25" s="46">
        <v>4701</v>
      </c>
      <c r="BG25" s="46">
        <v>0</v>
      </c>
      <c r="BH25" s="46">
        <v>4701</v>
      </c>
      <c r="BI25" s="70">
        <f t="shared" si="14"/>
        <v>0</v>
      </c>
      <c r="BJ25" s="46">
        <v>374310</v>
      </c>
      <c r="BK25" s="46">
        <v>28302</v>
      </c>
      <c r="BL25" s="46">
        <v>346008</v>
      </c>
      <c r="BM25" s="70">
        <f t="shared" si="15"/>
        <v>7.5611124469023003E-2</v>
      </c>
      <c r="BN25" s="46">
        <v>114116</v>
      </c>
      <c r="BO25" s="46">
        <v>2401</v>
      </c>
      <c r="BP25" s="46">
        <v>111715</v>
      </c>
      <c r="BQ25" s="70">
        <f t="shared" si="16"/>
        <v>2.1039994391671632E-2</v>
      </c>
      <c r="BR25" s="46">
        <v>28</v>
      </c>
      <c r="BT25" s="46">
        <v>28</v>
      </c>
      <c r="BU25" s="70">
        <f t="shared" si="17"/>
        <v>0</v>
      </c>
      <c r="BV25" s="46">
        <v>153130</v>
      </c>
      <c r="BW25" s="46">
        <v>3921</v>
      </c>
      <c r="BX25" s="46">
        <v>149209</v>
      </c>
      <c r="BY25" s="70">
        <f t="shared" si="18"/>
        <v>2.5605694507934436E-2</v>
      </c>
      <c r="BZ25" s="46">
        <v>96641</v>
      </c>
      <c r="CA25" s="46">
        <v>10846</v>
      </c>
      <c r="CB25" s="46">
        <v>85795</v>
      </c>
      <c r="CC25" s="70">
        <f t="shared" si="19"/>
        <v>0.11222979894661686</v>
      </c>
      <c r="CD25" s="46">
        <v>112529</v>
      </c>
      <c r="CE25" s="46">
        <v>1622</v>
      </c>
      <c r="CF25" s="46">
        <v>110907</v>
      </c>
      <c r="CG25" s="70">
        <f t="shared" si="20"/>
        <v>1.4414062152867261E-2</v>
      </c>
      <c r="CH25" s="46">
        <v>3082</v>
      </c>
      <c r="CI25" s="46">
        <v>0</v>
      </c>
      <c r="CJ25" s="46">
        <v>3082</v>
      </c>
      <c r="CK25" s="70">
        <f t="shared" si="21"/>
        <v>0</v>
      </c>
      <c r="CL25" s="46">
        <v>4</v>
      </c>
      <c r="CN25" s="46">
        <v>4</v>
      </c>
      <c r="CO25" s="70">
        <f t="shared" si="22"/>
        <v>0</v>
      </c>
      <c r="CP25" s="46">
        <v>50320</v>
      </c>
      <c r="CR25" s="46">
        <v>50320</v>
      </c>
      <c r="CS25" s="70">
        <f t="shared" si="23"/>
        <v>0</v>
      </c>
      <c r="CT25" s="46">
        <v>52444</v>
      </c>
      <c r="CU25" s="46">
        <v>7878</v>
      </c>
      <c r="CV25" s="46">
        <v>44566</v>
      </c>
      <c r="CW25" s="70">
        <f t="shared" si="24"/>
        <v>0.1502173747235146</v>
      </c>
      <c r="CX25" s="46">
        <v>84858</v>
      </c>
      <c r="CY25" s="46">
        <v>0</v>
      </c>
      <c r="CZ25" s="46">
        <v>84858</v>
      </c>
      <c r="DA25" s="70">
        <f t="shared" si="25"/>
        <v>0</v>
      </c>
      <c r="DB25" s="46">
        <v>778</v>
      </c>
      <c r="DD25" s="46">
        <v>778</v>
      </c>
      <c r="DE25" s="70">
        <f t="shared" si="26"/>
        <v>0</v>
      </c>
      <c r="DF25" s="46">
        <v>198295</v>
      </c>
      <c r="DG25" s="46">
        <v>1008</v>
      </c>
      <c r="DH25" s="46">
        <v>197287</v>
      </c>
      <c r="DI25" s="70">
        <f t="shared" si="27"/>
        <v>5.0833354345797927E-3</v>
      </c>
      <c r="DJ25" s="46">
        <v>1644</v>
      </c>
      <c r="DK25" s="46">
        <v>0</v>
      </c>
      <c r="DL25" s="46">
        <v>1644</v>
      </c>
      <c r="DM25" s="70">
        <f t="shared" si="28"/>
        <v>0</v>
      </c>
      <c r="DN25" s="46">
        <v>4700</v>
      </c>
      <c r="DO25" s="46">
        <v>0</v>
      </c>
      <c r="DP25" s="46">
        <v>4700</v>
      </c>
      <c r="DQ25" s="70">
        <f t="shared" si="29"/>
        <v>0</v>
      </c>
      <c r="DR25" s="46">
        <v>433566</v>
      </c>
      <c r="DS25" s="46">
        <v>3280</v>
      </c>
      <c r="DT25" s="46">
        <v>430286</v>
      </c>
      <c r="DU25" s="70">
        <f t="shared" si="30"/>
        <v>7.5651688554914361E-3</v>
      </c>
      <c r="DV25" s="46">
        <v>128454</v>
      </c>
      <c r="DX25" s="46">
        <v>128454</v>
      </c>
      <c r="DY25" s="70">
        <f t="shared" si="31"/>
        <v>0</v>
      </c>
      <c r="DZ25" s="46">
        <v>244880</v>
      </c>
      <c r="EA25" s="46">
        <v>8391</v>
      </c>
      <c r="EB25" s="46">
        <v>236489</v>
      </c>
      <c r="EC25" s="70">
        <f t="shared" si="32"/>
        <v>3.4265762822606995E-2</v>
      </c>
      <c r="ED25" s="46">
        <f t="shared" si="33"/>
        <v>21112051</v>
      </c>
      <c r="EE25" s="46">
        <f t="shared" si="34"/>
        <v>-2</v>
      </c>
      <c r="EF25" s="20">
        <v>21112053</v>
      </c>
      <c r="EG25" s="20">
        <v>953451</v>
      </c>
      <c r="EH25" s="20">
        <v>20158602</v>
      </c>
      <c r="EI25" s="70">
        <f t="shared" si="35"/>
        <v>4.5161453507150631E-2</v>
      </c>
    </row>
    <row r="26" spans="1:139" s="46" customFormat="1" x14ac:dyDescent="0.2">
      <c r="A26" s="69">
        <v>39994</v>
      </c>
      <c r="B26" s="46">
        <v>397077</v>
      </c>
      <c r="C26" s="46">
        <v>22925</v>
      </c>
      <c r="D26" s="46">
        <v>374152</v>
      </c>
      <c r="E26" s="70">
        <f t="shared" si="0"/>
        <v>5.7734394084774487E-2</v>
      </c>
      <c r="F26" s="46">
        <v>2428916</v>
      </c>
      <c r="G26" s="46">
        <v>0</v>
      </c>
      <c r="H26" s="46">
        <v>2428916</v>
      </c>
      <c r="I26" s="70">
        <f t="shared" si="1"/>
        <v>0</v>
      </c>
      <c r="J26" s="46">
        <v>1548607</v>
      </c>
      <c r="K26" s="46">
        <v>95359</v>
      </c>
      <c r="L26" s="46">
        <v>1453248</v>
      </c>
      <c r="M26" s="70">
        <f t="shared" si="2"/>
        <v>6.1577275577341446E-2</v>
      </c>
      <c r="N26" s="46">
        <v>1383004</v>
      </c>
      <c r="O26" s="46">
        <v>94840</v>
      </c>
      <c r="P26" s="46">
        <v>1288164</v>
      </c>
      <c r="Q26" s="70">
        <f t="shared" si="3"/>
        <v>6.8575362037998439E-2</v>
      </c>
      <c r="R26" s="46">
        <v>1901556</v>
      </c>
      <c r="S26" s="46">
        <v>112891</v>
      </c>
      <c r="T26" s="46">
        <v>1788665</v>
      </c>
      <c r="U26" s="70">
        <f t="shared" si="4"/>
        <v>5.9367696770434318E-2</v>
      </c>
      <c r="V26" s="46">
        <v>6818973</v>
      </c>
      <c r="W26" s="46">
        <v>424042</v>
      </c>
      <c r="X26" s="46">
        <v>6394931</v>
      </c>
      <c r="Y26" s="70">
        <f t="shared" si="5"/>
        <v>6.2185610648407025E-2</v>
      </c>
      <c r="Z26" s="46">
        <v>2335328</v>
      </c>
      <c r="AA26" s="46">
        <v>93796</v>
      </c>
      <c r="AB26" s="46">
        <v>2241532</v>
      </c>
      <c r="AC26" s="70">
        <f t="shared" si="6"/>
        <v>4.0163951273654068E-2</v>
      </c>
      <c r="AD26" s="46">
        <v>236029</v>
      </c>
      <c r="AE26" s="46">
        <v>17232</v>
      </c>
      <c r="AF26" s="46">
        <v>218797</v>
      </c>
      <c r="AG26" s="70">
        <f t="shared" si="7"/>
        <v>7.300797783323236E-2</v>
      </c>
      <c r="AH26" s="46">
        <v>712</v>
      </c>
      <c r="AI26" s="46">
        <v>0</v>
      </c>
      <c r="AJ26" s="46">
        <v>712</v>
      </c>
      <c r="AK26" s="70">
        <f t="shared" si="8"/>
        <v>0</v>
      </c>
      <c r="AL26" s="46">
        <v>679952</v>
      </c>
      <c r="AM26" s="46">
        <v>168</v>
      </c>
      <c r="AN26" s="46">
        <v>679784</v>
      </c>
      <c r="AO26" s="70">
        <f t="shared" si="9"/>
        <v>2.470762642068852E-4</v>
      </c>
      <c r="AP26" s="46">
        <v>276575</v>
      </c>
      <c r="AQ26" s="46">
        <v>13722</v>
      </c>
      <c r="AR26" s="46">
        <v>262853</v>
      </c>
      <c r="AS26" s="70">
        <f t="shared" si="10"/>
        <v>4.961402874446353E-2</v>
      </c>
      <c r="AT26" s="46">
        <v>1499070</v>
      </c>
      <c r="AU26" s="46">
        <v>67607</v>
      </c>
      <c r="AV26" s="46">
        <v>1431463</v>
      </c>
      <c r="AW26" s="70">
        <f t="shared" si="11"/>
        <v>4.5099294896168957E-2</v>
      </c>
      <c r="AX26" s="46">
        <v>257</v>
      </c>
      <c r="AY26" s="46">
        <v>0</v>
      </c>
      <c r="AZ26" s="46">
        <v>257</v>
      </c>
      <c r="BA26" s="70">
        <f t="shared" si="12"/>
        <v>0</v>
      </c>
      <c r="BB26" s="46">
        <v>1443</v>
      </c>
      <c r="BC26" s="46">
        <v>31</v>
      </c>
      <c r="BD26" s="46">
        <v>1412</v>
      </c>
      <c r="BE26" s="70">
        <f t="shared" si="13"/>
        <v>2.1483021483021482E-2</v>
      </c>
      <c r="BF26" s="46">
        <v>4927</v>
      </c>
      <c r="BG26" s="46">
        <v>0</v>
      </c>
      <c r="BH26" s="46">
        <v>4927</v>
      </c>
      <c r="BI26" s="70">
        <f t="shared" si="14"/>
        <v>0</v>
      </c>
      <c r="BJ26" s="46">
        <v>354440</v>
      </c>
      <c r="BK26" s="46">
        <v>26948</v>
      </c>
      <c r="BL26" s="46">
        <v>327492</v>
      </c>
      <c r="BM26" s="70">
        <f t="shared" si="15"/>
        <v>7.6029793477034188E-2</v>
      </c>
      <c r="BN26" s="46">
        <v>113300</v>
      </c>
      <c r="BO26" s="46">
        <v>3270</v>
      </c>
      <c r="BP26" s="46">
        <v>110030</v>
      </c>
      <c r="BQ26" s="70">
        <f t="shared" si="16"/>
        <v>2.8861429832303619E-2</v>
      </c>
      <c r="BR26" s="46">
        <v>43</v>
      </c>
      <c r="BT26" s="46">
        <v>43</v>
      </c>
      <c r="BU26" s="70">
        <f t="shared" si="17"/>
        <v>0</v>
      </c>
      <c r="BV26" s="46">
        <v>153736</v>
      </c>
      <c r="BW26" s="46">
        <v>2334</v>
      </c>
      <c r="BX26" s="46">
        <v>151402</v>
      </c>
      <c r="BY26" s="70">
        <f t="shared" si="18"/>
        <v>1.5181870219076859E-2</v>
      </c>
      <c r="BZ26" s="46">
        <v>88157</v>
      </c>
      <c r="CA26" s="46">
        <v>18354</v>
      </c>
      <c r="CB26" s="46">
        <v>69803</v>
      </c>
      <c r="CC26" s="70">
        <f t="shared" si="19"/>
        <v>0.20819673990721099</v>
      </c>
      <c r="CD26" s="46">
        <v>98245</v>
      </c>
      <c r="CE26" s="46">
        <v>1853</v>
      </c>
      <c r="CF26" s="46">
        <v>96392</v>
      </c>
      <c r="CG26" s="70">
        <f t="shared" si="20"/>
        <v>1.8861010738459971E-2</v>
      </c>
      <c r="CH26" s="46">
        <v>2908</v>
      </c>
      <c r="CI26" s="46">
        <v>0</v>
      </c>
      <c r="CJ26" s="46">
        <v>2908</v>
      </c>
      <c r="CK26" s="70">
        <f t="shared" si="21"/>
        <v>0</v>
      </c>
      <c r="CL26" s="46">
        <v>4</v>
      </c>
      <c r="CN26" s="46">
        <v>4</v>
      </c>
      <c r="CO26" s="70">
        <f t="shared" si="22"/>
        <v>0</v>
      </c>
      <c r="CP26" s="46">
        <v>44849</v>
      </c>
      <c r="CR26" s="46">
        <v>44849</v>
      </c>
      <c r="CS26" s="70">
        <f t="shared" si="23"/>
        <v>0</v>
      </c>
      <c r="CT26" s="46">
        <v>59369</v>
      </c>
      <c r="CU26" s="46">
        <v>10140</v>
      </c>
      <c r="CV26" s="46">
        <v>49229</v>
      </c>
      <c r="CW26" s="70">
        <f t="shared" si="24"/>
        <v>0.17079620677457932</v>
      </c>
      <c r="CX26" s="46">
        <v>88824</v>
      </c>
      <c r="CY26" s="46">
        <v>0</v>
      </c>
      <c r="CZ26" s="46">
        <v>88824</v>
      </c>
      <c r="DA26" s="70">
        <f t="shared" si="25"/>
        <v>0</v>
      </c>
      <c r="DB26" s="46">
        <v>821</v>
      </c>
      <c r="DD26" s="46">
        <v>821</v>
      </c>
      <c r="DE26" s="70">
        <f t="shared" si="26"/>
        <v>0</v>
      </c>
      <c r="DF26" s="46">
        <v>273869</v>
      </c>
      <c r="DG26" s="46">
        <v>1295</v>
      </c>
      <c r="DH26" s="46">
        <v>272574</v>
      </c>
      <c r="DI26" s="70">
        <f t="shared" si="27"/>
        <v>4.7285380966812602E-3</v>
      </c>
      <c r="DJ26" s="46">
        <v>2129</v>
      </c>
      <c r="DK26" s="46">
        <v>0</v>
      </c>
      <c r="DL26" s="46">
        <v>2129</v>
      </c>
      <c r="DM26" s="70">
        <f t="shared" si="28"/>
        <v>0</v>
      </c>
      <c r="DN26" s="46">
        <v>5478</v>
      </c>
      <c r="DO26" s="46">
        <v>0</v>
      </c>
      <c r="DP26" s="46">
        <v>5478</v>
      </c>
      <c r="DQ26" s="70">
        <f t="shared" si="29"/>
        <v>0</v>
      </c>
      <c r="DR26" s="46">
        <v>444162</v>
      </c>
      <c r="DS26" s="46">
        <v>8489</v>
      </c>
      <c r="DT26" s="46">
        <v>435673</v>
      </c>
      <c r="DU26" s="70">
        <f t="shared" si="30"/>
        <v>1.9112395927611998E-2</v>
      </c>
      <c r="DV26" s="46">
        <v>140738</v>
      </c>
      <c r="DX26" s="46">
        <v>140738</v>
      </c>
      <c r="DY26" s="70">
        <f t="shared" si="31"/>
        <v>0</v>
      </c>
      <c r="DZ26" s="46">
        <v>264436</v>
      </c>
      <c r="EA26" s="46">
        <v>8786</v>
      </c>
      <c r="EB26" s="46">
        <v>255650</v>
      </c>
      <c r="EC26" s="70">
        <f t="shared" si="32"/>
        <v>3.3225430728040052E-2</v>
      </c>
      <c r="ED26" s="46">
        <f t="shared" si="33"/>
        <v>21647934</v>
      </c>
      <c r="EE26" s="46">
        <f t="shared" si="34"/>
        <v>-2</v>
      </c>
      <c r="EF26" s="20">
        <v>21647936</v>
      </c>
      <c r="EG26" s="20">
        <v>1024082</v>
      </c>
      <c r="EH26" s="20">
        <v>20623854</v>
      </c>
      <c r="EI26" s="70">
        <f t="shared" si="35"/>
        <v>4.7306218939302112E-2</v>
      </c>
    </row>
    <row r="27" spans="1:139" s="46" customFormat="1" x14ac:dyDescent="0.2">
      <c r="A27" s="69">
        <v>40359</v>
      </c>
      <c r="B27" s="46">
        <v>374226</v>
      </c>
      <c r="C27" s="46">
        <v>20835</v>
      </c>
      <c r="D27" s="46">
        <v>353391</v>
      </c>
      <c r="E27" s="70">
        <f t="shared" si="0"/>
        <v>5.5674913020474261E-2</v>
      </c>
      <c r="F27" s="46">
        <v>2245062</v>
      </c>
      <c r="G27" s="46">
        <v>0</v>
      </c>
      <c r="H27" s="46">
        <v>2245062</v>
      </c>
      <c r="I27" s="70">
        <f t="shared" si="1"/>
        <v>0</v>
      </c>
      <c r="J27" s="46">
        <v>2210099</v>
      </c>
      <c r="K27" s="46">
        <v>102448</v>
      </c>
      <c r="L27" s="46">
        <v>2107651</v>
      </c>
      <c r="M27" s="70">
        <f t="shared" si="2"/>
        <v>4.6354484572863022E-2</v>
      </c>
      <c r="N27" s="46">
        <v>1292185</v>
      </c>
      <c r="O27" s="46">
        <v>91963</v>
      </c>
      <c r="P27" s="46">
        <v>1200222</v>
      </c>
      <c r="Q27" s="70">
        <f t="shared" si="3"/>
        <v>7.1168602019060737E-2</v>
      </c>
      <c r="R27" s="46">
        <v>1827328</v>
      </c>
      <c r="S27" s="46">
        <v>120631</v>
      </c>
      <c r="T27" s="46">
        <v>1706697</v>
      </c>
      <c r="U27" s="70">
        <f t="shared" si="4"/>
        <v>6.6014968303446345E-2</v>
      </c>
      <c r="V27" s="46">
        <v>6715294</v>
      </c>
      <c r="W27" s="46">
        <v>433622</v>
      </c>
      <c r="X27" s="46">
        <v>6281672</v>
      </c>
      <c r="Y27" s="70">
        <f t="shared" si="5"/>
        <v>6.4572303163495146E-2</v>
      </c>
      <c r="Z27" s="46">
        <v>2305525</v>
      </c>
      <c r="AA27" s="46">
        <v>92777</v>
      </c>
      <c r="AB27" s="46">
        <v>2212748</v>
      </c>
      <c r="AC27" s="70">
        <f t="shared" si="6"/>
        <v>4.0241159822600056E-2</v>
      </c>
      <c r="AD27" s="46">
        <v>222932</v>
      </c>
      <c r="AE27" s="46">
        <v>19059</v>
      </c>
      <c r="AF27" s="46">
        <v>203873</v>
      </c>
      <c r="AG27" s="70">
        <f t="shared" si="7"/>
        <v>8.5492437155724618E-2</v>
      </c>
      <c r="AH27" s="46">
        <v>183</v>
      </c>
      <c r="AI27" s="46">
        <v>0</v>
      </c>
      <c r="AJ27" s="46">
        <v>183</v>
      </c>
      <c r="AK27" s="70">
        <f t="shared" si="8"/>
        <v>0</v>
      </c>
      <c r="AL27" s="46">
        <v>926639</v>
      </c>
      <c r="AM27" s="46">
        <v>213</v>
      </c>
      <c r="AN27" s="46">
        <v>926426</v>
      </c>
      <c r="AO27" s="70">
        <f t="shared" si="9"/>
        <v>2.2986297792344161E-4</v>
      </c>
      <c r="AP27" s="46">
        <v>286841</v>
      </c>
      <c r="AQ27" s="46">
        <v>13244</v>
      </c>
      <c r="AR27" s="46">
        <v>273597</v>
      </c>
      <c r="AS27" s="70">
        <f t="shared" si="10"/>
        <v>4.6171921029420478E-2</v>
      </c>
      <c r="AT27" s="46">
        <v>1578379</v>
      </c>
      <c r="AU27" s="46">
        <v>82637</v>
      </c>
      <c r="AV27" s="46">
        <v>1495742</v>
      </c>
      <c r="AW27" s="70">
        <f t="shared" si="11"/>
        <v>5.2355612942138738E-2</v>
      </c>
      <c r="AX27" s="46">
        <v>12409</v>
      </c>
      <c r="AY27" s="46">
        <v>0</v>
      </c>
      <c r="AZ27" s="46">
        <v>12409</v>
      </c>
      <c r="BA27" s="70">
        <f t="shared" si="12"/>
        <v>0</v>
      </c>
      <c r="BB27" s="46">
        <v>1702</v>
      </c>
      <c r="BC27" s="46">
        <v>345</v>
      </c>
      <c r="BD27" s="46">
        <v>1357</v>
      </c>
      <c r="BE27" s="70">
        <f t="shared" si="13"/>
        <v>0.20270270270270271</v>
      </c>
      <c r="BF27" s="46">
        <v>6802</v>
      </c>
      <c r="BG27" s="46">
        <v>0</v>
      </c>
      <c r="BH27" s="46">
        <v>6802</v>
      </c>
      <c r="BI27" s="70">
        <f t="shared" si="14"/>
        <v>0</v>
      </c>
      <c r="BJ27" s="46">
        <v>324720</v>
      </c>
      <c r="BK27" s="46">
        <v>26251</v>
      </c>
      <c r="BL27" s="46">
        <v>298469</v>
      </c>
      <c r="BM27" s="70">
        <f t="shared" si="15"/>
        <v>8.084195614683419E-2</v>
      </c>
      <c r="BN27" s="46">
        <v>135330</v>
      </c>
      <c r="BO27" s="46">
        <v>4576</v>
      </c>
      <c r="BP27" s="46">
        <v>130754</v>
      </c>
      <c r="BQ27" s="70">
        <f t="shared" si="16"/>
        <v>3.3813640730067242E-2</v>
      </c>
      <c r="BR27" s="46">
        <v>43</v>
      </c>
      <c r="BT27" s="46">
        <v>43</v>
      </c>
      <c r="BU27" s="70">
        <f t="shared" si="17"/>
        <v>0</v>
      </c>
      <c r="BV27" s="46">
        <v>131118</v>
      </c>
      <c r="BW27" s="46">
        <v>2943</v>
      </c>
      <c r="BX27" s="46">
        <v>128175</v>
      </c>
      <c r="BY27" s="70">
        <f t="shared" si="18"/>
        <v>2.2445430833295199E-2</v>
      </c>
      <c r="BZ27" s="46">
        <v>73721</v>
      </c>
      <c r="CA27" s="46">
        <v>18405</v>
      </c>
      <c r="CB27" s="46">
        <v>55316</v>
      </c>
      <c r="CC27" s="70">
        <f t="shared" si="19"/>
        <v>0.24965749243770433</v>
      </c>
      <c r="CD27" s="46">
        <v>87539</v>
      </c>
      <c r="CE27" s="46">
        <v>1367</v>
      </c>
      <c r="CF27" s="46">
        <v>86172</v>
      </c>
      <c r="CG27" s="70">
        <f t="shared" si="20"/>
        <v>1.5615896914518101E-2</v>
      </c>
      <c r="CH27" s="46">
        <v>2231</v>
      </c>
      <c r="CI27" s="46">
        <v>0</v>
      </c>
      <c r="CJ27" s="46">
        <v>2231</v>
      </c>
      <c r="CK27" s="70">
        <f t="shared" si="21"/>
        <v>0</v>
      </c>
      <c r="CL27" s="46">
        <v>4</v>
      </c>
      <c r="CN27" s="46">
        <v>4</v>
      </c>
      <c r="CO27" s="70">
        <f t="shared" si="22"/>
        <v>0</v>
      </c>
      <c r="CP27" s="46">
        <v>35813</v>
      </c>
      <c r="CR27" s="46">
        <v>35813</v>
      </c>
      <c r="CS27" s="70">
        <f t="shared" si="23"/>
        <v>0</v>
      </c>
      <c r="CT27" s="46">
        <v>81837</v>
      </c>
      <c r="CU27" s="46">
        <v>11381</v>
      </c>
      <c r="CV27" s="46">
        <v>70456</v>
      </c>
      <c r="CW27" s="70">
        <f t="shared" si="24"/>
        <v>0.13906912521231227</v>
      </c>
      <c r="CX27" s="46">
        <v>78122</v>
      </c>
      <c r="CY27" s="46">
        <v>0</v>
      </c>
      <c r="CZ27" s="46">
        <v>78122</v>
      </c>
      <c r="DA27" s="70">
        <f t="shared" si="25"/>
        <v>0</v>
      </c>
      <c r="DB27" s="46">
        <v>1407</v>
      </c>
      <c r="DD27" s="46">
        <v>1407</v>
      </c>
      <c r="DE27" s="70">
        <f t="shared" si="26"/>
        <v>0</v>
      </c>
      <c r="DF27" s="46">
        <v>572902</v>
      </c>
      <c r="DG27" s="46">
        <v>4578</v>
      </c>
      <c r="DH27" s="46">
        <v>568324</v>
      </c>
      <c r="DI27" s="70">
        <f t="shared" si="27"/>
        <v>7.990895476015095E-3</v>
      </c>
      <c r="DJ27" s="46">
        <v>1862</v>
      </c>
      <c r="DK27" s="46">
        <v>0</v>
      </c>
      <c r="DL27" s="46">
        <v>1862</v>
      </c>
      <c r="DM27" s="70">
        <f t="shared" si="28"/>
        <v>0</v>
      </c>
      <c r="DN27" s="46">
        <v>5144</v>
      </c>
      <c r="DO27" s="46">
        <v>506</v>
      </c>
      <c r="DP27" s="46">
        <v>4638</v>
      </c>
      <c r="DQ27" s="70">
        <f t="shared" si="29"/>
        <v>9.8367029548989113E-2</v>
      </c>
      <c r="DR27" s="46">
        <v>432045</v>
      </c>
      <c r="DS27" s="46">
        <v>9978</v>
      </c>
      <c r="DT27" s="46">
        <v>422067</v>
      </c>
      <c r="DU27" s="70">
        <f t="shared" si="30"/>
        <v>2.309481651216887E-2</v>
      </c>
      <c r="DV27" s="46">
        <v>147255</v>
      </c>
      <c r="DX27" s="46">
        <v>147255</v>
      </c>
      <c r="DY27" s="70">
        <f t="shared" si="31"/>
        <v>0</v>
      </c>
      <c r="DZ27" s="46">
        <v>265174</v>
      </c>
      <c r="EA27" s="46">
        <v>8607</v>
      </c>
      <c r="EB27" s="46">
        <v>256567</v>
      </c>
      <c r="EC27" s="70">
        <f t="shared" si="32"/>
        <v>3.2457933281543443E-2</v>
      </c>
      <c r="ED27" s="46">
        <f t="shared" si="33"/>
        <v>22381873</v>
      </c>
      <c r="EE27" s="46">
        <f t="shared" si="34"/>
        <v>0</v>
      </c>
      <c r="EF27" s="20">
        <v>22381873</v>
      </c>
      <c r="EG27" s="20">
        <v>1066366</v>
      </c>
      <c r="EH27" s="20">
        <v>21315507</v>
      </c>
      <c r="EI27" s="70">
        <f t="shared" si="35"/>
        <v>4.764418062777856E-2</v>
      </c>
    </row>
    <row r="28" spans="1:139" s="46" customFormat="1" x14ac:dyDescent="0.2">
      <c r="A28" s="69">
        <v>40724</v>
      </c>
      <c r="B28" s="46">
        <v>356225</v>
      </c>
      <c r="C28" s="46">
        <v>21554</v>
      </c>
      <c r="D28" s="46">
        <v>334671</v>
      </c>
      <c r="E28" s="70">
        <f t="shared" si="0"/>
        <v>6.0506702224717525E-2</v>
      </c>
      <c r="F28" s="46">
        <v>1812328</v>
      </c>
      <c r="G28" s="46">
        <v>0</v>
      </c>
      <c r="H28" s="46">
        <v>1812328</v>
      </c>
      <c r="I28" s="70">
        <f t="shared" si="1"/>
        <v>0</v>
      </c>
      <c r="J28" s="46">
        <v>3029206</v>
      </c>
      <c r="K28" s="46">
        <v>95630</v>
      </c>
      <c r="L28" s="46">
        <v>2933576</v>
      </c>
      <c r="M28" s="70">
        <f t="shared" si="2"/>
        <v>3.1569328728386248E-2</v>
      </c>
      <c r="N28" s="46">
        <v>1237303</v>
      </c>
      <c r="O28" s="46">
        <v>90291</v>
      </c>
      <c r="P28" s="46">
        <v>1147012</v>
      </c>
      <c r="Q28" s="70">
        <f t="shared" si="3"/>
        <v>7.2974041120081337E-2</v>
      </c>
      <c r="R28" s="46">
        <v>1888870</v>
      </c>
      <c r="S28" s="46">
        <v>134032</v>
      </c>
      <c r="T28" s="46">
        <v>1754838</v>
      </c>
      <c r="U28" s="70">
        <f t="shared" si="4"/>
        <v>7.0958827235331173E-2</v>
      </c>
      <c r="V28" s="46">
        <v>7112863</v>
      </c>
      <c r="W28" s="46">
        <v>481308</v>
      </c>
      <c r="X28" s="46">
        <v>6631555</v>
      </c>
      <c r="Y28" s="70">
        <f t="shared" si="5"/>
        <v>6.7667267034385456E-2</v>
      </c>
      <c r="Z28" s="46">
        <v>2159422</v>
      </c>
      <c r="AA28" s="46">
        <v>97588</v>
      </c>
      <c r="AB28" s="46">
        <v>2061834</v>
      </c>
      <c r="AC28" s="70">
        <f t="shared" si="6"/>
        <v>4.5191722599843845E-2</v>
      </c>
      <c r="AD28" s="46">
        <v>195581</v>
      </c>
      <c r="AE28" s="46">
        <v>17271</v>
      </c>
      <c r="AF28" s="46">
        <v>178310</v>
      </c>
      <c r="AG28" s="70">
        <f t="shared" si="7"/>
        <v>8.8306123805482126E-2</v>
      </c>
      <c r="AH28" s="46">
        <v>168</v>
      </c>
      <c r="AI28" s="46">
        <v>0</v>
      </c>
      <c r="AJ28" s="46">
        <v>168</v>
      </c>
      <c r="AK28" s="70">
        <f t="shared" si="8"/>
        <v>0</v>
      </c>
      <c r="AL28" s="46">
        <v>1072212</v>
      </c>
      <c r="AM28" s="46">
        <v>268</v>
      </c>
      <c r="AN28" s="46">
        <v>1071944</v>
      </c>
      <c r="AO28" s="70">
        <f t="shared" si="9"/>
        <v>2.4995056947693179E-4</v>
      </c>
      <c r="AP28" s="46">
        <v>250177</v>
      </c>
      <c r="AQ28" s="46">
        <v>12095</v>
      </c>
      <c r="AR28" s="46">
        <v>238082</v>
      </c>
      <c r="AS28" s="70">
        <f t="shared" si="10"/>
        <v>4.8345771193994649E-2</v>
      </c>
      <c r="AT28" s="46">
        <v>1637576</v>
      </c>
      <c r="AU28" s="46">
        <v>90801</v>
      </c>
      <c r="AV28" s="46">
        <v>1546775</v>
      </c>
      <c r="AW28" s="70">
        <f t="shared" si="11"/>
        <v>5.5448418882543468E-2</v>
      </c>
      <c r="AX28" s="46">
        <v>15125</v>
      </c>
      <c r="AY28" s="46">
        <v>0</v>
      </c>
      <c r="AZ28" s="46">
        <v>15125</v>
      </c>
      <c r="BA28" s="70">
        <f t="shared" si="12"/>
        <v>0</v>
      </c>
      <c r="BB28" s="46">
        <v>2121</v>
      </c>
      <c r="BC28" s="46">
        <v>1043</v>
      </c>
      <c r="BD28" s="46">
        <v>1078</v>
      </c>
      <c r="BE28" s="70">
        <f t="shared" si="13"/>
        <v>0.49174917491749176</v>
      </c>
      <c r="BF28" s="46">
        <v>9075</v>
      </c>
      <c r="BG28" s="46">
        <v>0</v>
      </c>
      <c r="BH28" s="46">
        <v>9075</v>
      </c>
      <c r="BI28" s="70">
        <f t="shared" si="14"/>
        <v>0</v>
      </c>
      <c r="BJ28" s="46">
        <v>309124</v>
      </c>
      <c r="BK28" s="46">
        <v>25804</v>
      </c>
      <c r="BL28" s="46">
        <v>283320</v>
      </c>
      <c r="BM28" s="70">
        <f t="shared" si="15"/>
        <v>8.3474592720073501E-2</v>
      </c>
      <c r="BN28" s="46">
        <v>124243</v>
      </c>
      <c r="BO28" s="46">
        <v>4684</v>
      </c>
      <c r="BP28" s="46">
        <v>119559</v>
      </c>
      <c r="BQ28" s="70">
        <f t="shared" si="16"/>
        <v>3.7700313096110043E-2</v>
      </c>
      <c r="BR28" s="46">
        <v>34</v>
      </c>
      <c r="BT28" s="46">
        <v>34</v>
      </c>
      <c r="BU28" s="70">
        <f t="shared" si="17"/>
        <v>0</v>
      </c>
      <c r="BV28" s="46">
        <v>138162</v>
      </c>
      <c r="BW28" s="46">
        <v>2465</v>
      </c>
      <c r="BX28" s="46">
        <v>135697</v>
      </c>
      <c r="BY28" s="70">
        <f t="shared" si="18"/>
        <v>1.784137461820182E-2</v>
      </c>
      <c r="BZ28" s="46">
        <v>81487</v>
      </c>
      <c r="CA28" s="46">
        <v>11221</v>
      </c>
      <c r="CB28" s="46">
        <v>70266</v>
      </c>
      <c r="CC28" s="70">
        <f t="shared" si="19"/>
        <v>0.13770294648226097</v>
      </c>
      <c r="CD28" s="46">
        <v>74624</v>
      </c>
      <c r="CE28" s="46">
        <v>1252</v>
      </c>
      <c r="CF28" s="46">
        <v>73372</v>
      </c>
      <c r="CG28" s="70">
        <f t="shared" si="20"/>
        <v>1.6777444253859349E-2</v>
      </c>
      <c r="CH28" s="46">
        <v>1959</v>
      </c>
      <c r="CI28" s="46">
        <v>0</v>
      </c>
      <c r="CJ28" s="46">
        <v>1959</v>
      </c>
      <c r="CK28" s="70">
        <f t="shared" si="21"/>
        <v>0</v>
      </c>
      <c r="CL28" s="46">
        <v>3</v>
      </c>
      <c r="CN28" s="46">
        <v>3</v>
      </c>
      <c r="CO28" s="70">
        <f t="shared" si="22"/>
        <v>0</v>
      </c>
      <c r="CP28" s="46">
        <v>31124</v>
      </c>
      <c r="CR28" s="46">
        <v>31124</v>
      </c>
      <c r="CS28" s="70">
        <f t="shared" si="23"/>
        <v>0</v>
      </c>
      <c r="CT28" s="46">
        <v>97102</v>
      </c>
      <c r="CU28" s="46">
        <v>14182</v>
      </c>
      <c r="CV28" s="46">
        <v>82920</v>
      </c>
      <c r="CW28" s="70">
        <f t="shared" si="24"/>
        <v>0.14605260447776564</v>
      </c>
      <c r="CX28" s="46">
        <v>78858</v>
      </c>
      <c r="CY28" s="46">
        <v>0</v>
      </c>
      <c r="CZ28" s="46">
        <v>78858</v>
      </c>
      <c r="DA28" s="70">
        <f t="shared" si="25"/>
        <v>0</v>
      </c>
      <c r="DB28" s="46">
        <v>1344</v>
      </c>
      <c r="DD28" s="46">
        <v>1344</v>
      </c>
      <c r="DE28" s="70">
        <f t="shared" si="26"/>
        <v>0</v>
      </c>
      <c r="DF28" s="46">
        <v>1310592</v>
      </c>
      <c r="DG28" s="46">
        <v>8931</v>
      </c>
      <c r="DH28" s="46">
        <v>1301661</v>
      </c>
      <c r="DI28" s="70">
        <f t="shared" si="27"/>
        <v>6.8144777322004099E-3</v>
      </c>
      <c r="DJ28" s="46">
        <v>1848</v>
      </c>
      <c r="DK28" s="46">
        <v>0</v>
      </c>
      <c r="DL28" s="46">
        <v>1848</v>
      </c>
      <c r="DM28" s="70">
        <f t="shared" si="28"/>
        <v>0</v>
      </c>
      <c r="DN28" s="46">
        <v>4851</v>
      </c>
      <c r="DO28" s="46">
        <v>516</v>
      </c>
      <c r="DP28" s="46">
        <v>4335</v>
      </c>
      <c r="DQ28" s="70">
        <f t="shared" si="29"/>
        <v>0.10636982065553494</v>
      </c>
      <c r="DR28" s="46">
        <v>457525</v>
      </c>
      <c r="DS28" s="46">
        <v>14910</v>
      </c>
      <c r="DT28" s="46">
        <v>442615</v>
      </c>
      <c r="DU28" s="70">
        <f t="shared" si="30"/>
        <v>3.2588383148461832E-2</v>
      </c>
      <c r="DV28" s="46">
        <v>151094</v>
      </c>
      <c r="DX28" s="46">
        <v>151094</v>
      </c>
      <c r="DY28" s="70">
        <f t="shared" si="31"/>
        <v>0</v>
      </c>
      <c r="DZ28" s="46">
        <v>394125</v>
      </c>
      <c r="EA28" s="46">
        <v>8627</v>
      </c>
      <c r="EB28" s="46">
        <v>385498</v>
      </c>
      <c r="EC28" s="70">
        <f t="shared" si="32"/>
        <v>2.1888994608309547E-2</v>
      </c>
      <c r="ED28" s="46">
        <f t="shared" si="33"/>
        <v>24036351</v>
      </c>
      <c r="EE28" s="46">
        <f t="shared" si="34"/>
        <v>-1</v>
      </c>
      <c r="EF28" s="20">
        <v>24036352</v>
      </c>
      <c r="EG28" s="20">
        <v>1134473</v>
      </c>
      <c r="EH28" s="20">
        <v>22901879</v>
      </c>
      <c r="EI28" s="70">
        <f t="shared" si="35"/>
        <v>4.7198218764644487E-2</v>
      </c>
    </row>
    <row r="29" spans="1:139" s="46" customFormat="1" x14ac:dyDescent="0.2">
      <c r="A29" s="69">
        <v>41090</v>
      </c>
      <c r="B29" s="46">
        <v>351259</v>
      </c>
      <c r="C29" s="46">
        <v>21470</v>
      </c>
      <c r="D29" s="46">
        <v>329789</v>
      </c>
      <c r="E29" s="70">
        <f t="shared" si="0"/>
        <v>6.1122989019498433E-2</v>
      </c>
      <c r="F29" s="46">
        <v>1507564</v>
      </c>
      <c r="H29" s="46">
        <v>1423239</v>
      </c>
      <c r="I29" s="70">
        <f t="shared" si="1"/>
        <v>0</v>
      </c>
      <c r="J29" s="46">
        <v>2955437</v>
      </c>
      <c r="K29" s="46">
        <f>J29-L29</f>
        <v>37312</v>
      </c>
      <c r="L29" s="46">
        <v>2918125</v>
      </c>
      <c r="M29" s="70">
        <f t="shared" si="2"/>
        <v>1.2624867320805687E-2</v>
      </c>
      <c r="N29" s="46">
        <v>1215773</v>
      </c>
      <c r="O29" s="46">
        <f>N29-P29</f>
        <v>84562</v>
      </c>
      <c r="P29" s="46">
        <v>1131211</v>
      </c>
      <c r="Q29" s="70">
        <f t="shared" si="3"/>
        <v>6.9554102616195629E-2</v>
      </c>
      <c r="R29" s="46">
        <v>2023461</v>
      </c>
      <c r="S29" s="46">
        <f>R29-T29</f>
        <v>140257</v>
      </c>
      <c r="T29" s="46">
        <v>1883204</v>
      </c>
      <c r="U29" s="70">
        <f t="shared" si="4"/>
        <v>6.9315395750152831E-2</v>
      </c>
      <c r="V29" s="46">
        <v>7475495</v>
      </c>
      <c r="W29" s="46">
        <f>V29-X29</f>
        <v>580033</v>
      </c>
      <c r="X29" s="46">
        <v>6895462</v>
      </c>
      <c r="Y29" s="70">
        <f t="shared" si="5"/>
        <v>7.7591249810213231E-2</v>
      </c>
      <c r="Z29" s="46">
        <v>2022275</v>
      </c>
      <c r="AA29" s="46">
        <f>Z29-AB29</f>
        <v>102563</v>
      </c>
      <c r="AB29" s="46">
        <v>1919712</v>
      </c>
      <c r="AC29" s="70">
        <f t="shared" si="6"/>
        <v>5.0716643384307279E-2</v>
      </c>
      <c r="AD29" s="46">
        <v>215710</v>
      </c>
      <c r="AE29" s="46">
        <f>AD29-AF29</f>
        <v>7110</v>
      </c>
      <c r="AF29" s="46">
        <v>208600</v>
      </c>
      <c r="AG29" s="70">
        <f t="shared" si="7"/>
        <v>3.2960919753372585E-2</v>
      </c>
      <c r="AH29" s="46">
        <v>117</v>
      </c>
      <c r="AI29" s="46">
        <v>0</v>
      </c>
      <c r="AJ29" s="46">
        <v>117</v>
      </c>
      <c r="AK29" s="70">
        <f t="shared" si="8"/>
        <v>0</v>
      </c>
      <c r="AL29" s="46">
        <v>1146168</v>
      </c>
      <c r="AM29" s="46">
        <v>424</v>
      </c>
      <c r="AN29" s="46">
        <v>1145744</v>
      </c>
      <c r="AO29" s="70">
        <f t="shared" si="9"/>
        <v>3.6992831766372817E-4</v>
      </c>
      <c r="AP29" s="46">
        <v>246822</v>
      </c>
      <c r="AQ29" s="46">
        <v>12755</v>
      </c>
      <c r="AR29" s="46">
        <v>234067</v>
      </c>
      <c r="AS29" s="70">
        <f t="shared" si="10"/>
        <v>5.1676916968503621E-2</v>
      </c>
      <c r="AT29" s="46">
        <v>1709376</v>
      </c>
      <c r="AU29" s="46">
        <f>AT29-AV29</f>
        <v>81943</v>
      </c>
      <c r="AV29" s="46">
        <v>1627433</v>
      </c>
      <c r="AW29" s="70">
        <f t="shared" si="11"/>
        <v>4.7937375978134709E-2</v>
      </c>
      <c r="AX29" s="46">
        <v>18681</v>
      </c>
      <c r="AY29" s="46">
        <v>0</v>
      </c>
      <c r="AZ29" s="46">
        <v>18681</v>
      </c>
      <c r="BA29" s="70">
        <f t="shared" si="12"/>
        <v>0</v>
      </c>
      <c r="BB29" s="46">
        <v>2125</v>
      </c>
      <c r="BC29" s="46">
        <v>0</v>
      </c>
      <c r="BD29" s="46">
        <v>2125</v>
      </c>
      <c r="BE29" s="70">
        <f t="shared" si="13"/>
        <v>0</v>
      </c>
      <c r="BF29" s="46">
        <v>8814</v>
      </c>
      <c r="BG29" s="46">
        <v>0</v>
      </c>
      <c r="BH29" s="46">
        <v>8814</v>
      </c>
      <c r="BI29" s="70">
        <f t="shared" si="14"/>
        <v>0</v>
      </c>
      <c r="BJ29" s="46">
        <v>296299</v>
      </c>
      <c r="BK29" s="46">
        <f>BJ29-BL29</f>
        <v>21220</v>
      </c>
      <c r="BL29" s="46">
        <v>275079</v>
      </c>
      <c r="BM29" s="70">
        <f t="shared" si="15"/>
        <v>7.1616846496275727E-2</v>
      </c>
      <c r="BN29" s="46">
        <v>106122</v>
      </c>
      <c r="BO29" s="46">
        <f>BN29-BP29</f>
        <v>6571</v>
      </c>
      <c r="BP29" s="46">
        <v>99551</v>
      </c>
      <c r="BQ29" s="70">
        <f t="shared" si="16"/>
        <v>6.19193004278095E-2</v>
      </c>
      <c r="BR29" s="46">
        <v>44</v>
      </c>
      <c r="BT29" s="46">
        <v>44</v>
      </c>
      <c r="BU29" s="70">
        <f t="shared" si="17"/>
        <v>0</v>
      </c>
      <c r="BV29" s="46">
        <v>129333</v>
      </c>
      <c r="BW29" s="46">
        <v>2480</v>
      </c>
      <c r="BX29" s="46">
        <v>126853</v>
      </c>
      <c r="BY29" s="70">
        <f t="shared" si="18"/>
        <v>1.9175307152853486E-2</v>
      </c>
      <c r="BZ29" s="46">
        <v>63843</v>
      </c>
      <c r="CA29" s="46">
        <f>BZ29-CB29</f>
        <v>509</v>
      </c>
      <c r="CB29" s="46">
        <v>63334</v>
      </c>
      <c r="CC29" s="70">
        <f t="shared" si="19"/>
        <v>7.9726829879548274E-3</v>
      </c>
      <c r="CD29" s="46">
        <v>66954</v>
      </c>
      <c r="CE29" s="46">
        <f>CD29-CF29</f>
        <v>1474</v>
      </c>
      <c r="CF29" s="46">
        <v>65480</v>
      </c>
      <c r="CG29" s="70">
        <f t="shared" si="20"/>
        <v>2.2015114854975058E-2</v>
      </c>
      <c r="CH29" s="46">
        <v>1328</v>
      </c>
      <c r="CI29" s="46">
        <v>0</v>
      </c>
      <c r="CJ29" s="46">
        <v>1328</v>
      </c>
      <c r="CK29" s="70">
        <f t="shared" si="21"/>
        <v>0</v>
      </c>
      <c r="CL29" s="46">
        <v>4</v>
      </c>
      <c r="CN29" s="46">
        <v>4</v>
      </c>
      <c r="CO29" s="70">
        <f t="shared" si="22"/>
        <v>0</v>
      </c>
      <c r="CP29" s="46">
        <v>26424</v>
      </c>
      <c r="CR29" s="46">
        <v>26424</v>
      </c>
      <c r="CS29" s="70">
        <f t="shared" si="23"/>
        <v>0</v>
      </c>
      <c r="CT29" s="46">
        <v>179004</v>
      </c>
      <c r="CU29" s="46">
        <f>CT29-CV29</f>
        <v>26156</v>
      </c>
      <c r="CV29" s="46">
        <v>152848</v>
      </c>
      <c r="CW29" s="70">
        <f t="shared" si="24"/>
        <v>0.14611963978458581</v>
      </c>
      <c r="CX29" s="46">
        <v>84482</v>
      </c>
      <c r="CY29" s="46">
        <v>155</v>
      </c>
      <c r="CZ29" s="46">
        <v>84327</v>
      </c>
      <c r="DA29" s="70">
        <f t="shared" si="25"/>
        <v>1.8347103525011245E-3</v>
      </c>
      <c r="DB29" s="46">
        <v>770</v>
      </c>
      <c r="DD29" s="46">
        <v>770</v>
      </c>
      <c r="DE29" s="70">
        <f t="shared" si="26"/>
        <v>0</v>
      </c>
      <c r="DF29" s="46">
        <v>2256696</v>
      </c>
      <c r="DG29" s="46">
        <f>DF29-DH29</f>
        <v>12003</v>
      </c>
      <c r="DH29" s="46">
        <v>2244693</v>
      </c>
      <c r="DI29" s="70">
        <f t="shared" si="27"/>
        <v>5.3188378053579217E-3</v>
      </c>
      <c r="DJ29" s="46">
        <v>15085</v>
      </c>
      <c r="DK29" s="46">
        <v>6</v>
      </c>
      <c r="DL29" s="46">
        <v>15079</v>
      </c>
      <c r="DM29" s="70">
        <f t="shared" si="28"/>
        <v>3.9774610540271795E-4</v>
      </c>
      <c r="DN29" s="46">
        <v>5825</v>
      </c>
      <c r="DO29" s="46">
        <v>501</v>
      </c>
      <c r="DP29" s="46">
        <v>5324</v>
      </c>
      <c r="DQ29" s="70">
        <f t="shared" si="29"/>
        <v>8.6008583690987128E-2</v>
      </c>
      <c r="DR29" s="46">
        <v>490393</v>
      </c>
      <c r="DS29" s="46">
        <f>DR29-DT29</f>
        <v>15622</v>
      </c>
      <c r="DT29" s="46">
        <v>474771</v>
      </c>
      <c r="DU29" s="70">
        <f t="shared" si="30"/>
        <v>3.1856082774427856E-2</v>
      </c>
      <c r="DV29" s="46">
        <v>146405</v>
      </c>
      <c r="DX29" s="46">
        <v>146405</v>
      </c>
      <c r="DY29" s="70">
        <f t="shared" si="31"/>
        <v>0</v>
      </c>
      <c r="DZ29" s="46">
        <v>539860</v>
      </c>
      <c r="EA29" s="46">
        <v>10887</v>
      </c>
      <c r="EB29" s="46">
        <v>528973</v>
      </c>
      <c r="EC29" s="70">
        <f t="shared" si="32"/>
        <v>2.0166339421331458E-2</v>
      </c>
      <c r="ED29" s="46">
        <f t="shared" si="33"/>
        <v>25307948</v>
      </c>
      <c r="EE29" s="46">
        <f t="shared" si="34"/>
        <v>-1</v>
      </c>
      <c r="EF29" s="20">
        <v>25307949</v>
      </c>
      <c r="EG29" s="20">
        <v>1250340</v>
      </c>
      <c r="EH29" s="20">
        <v>24057609</v>
      </c>
      <c r="EI29" s="70">
        <f t="shared" si="35"/>
        <v>4.9405030806724003E-2</v>
      </c>
    </row>
    <row r="30" spans="1:139" x14ac:dyDescent="0.2">
      <c r="A30" s="69"/>
      <c r="B30" s="46"/>
      <c r="C30" s="46"/>
      <c r="D30" s="46"/>
      <c r="E30" s="71"/>
      <c r="F30" s="46"/>
      <c r="G30" s="46"/>
      <c r="H30" s="46"/>
      <c r="I30" s="71"/>
      <c r="J30" s="46"/>
      <c r="K30" s="46"/>
      <c r="L30" s="46"/>
      <c r="M30" s="71"/>
      <c r="N30" s="46"/>
      <c r="O30" s="46"/>
      <c r="P30" s="46"/>
      <c r="Q30" s="71"/>
      <c r="R30" s="46"/>
      <c r="S30" s="46"/>
      <c r="T30" s="46"/>
      <c r="U30" s="71"/>
      <c r="V30" s="46"/>
      <c r="W30" s="46"/>
      <c r="X30" s="46"/>
      <c r="Y30" s="71"/>
      <c r="Z30" s="46"/>
      <c r="AA30" s="46"/>
      <c r="AB30" s="46"/>
      <c r="AC30" s="71"/>
      <c r="AD30" s="46"/>
      <c r="AE30" s="46"/>
      <c r="AF30" s="46"/>
      <c r="AG30" s="71"/>
      <c r="AH30" s="46"/>
      <c r="AI30" s="46"/>
      <c r="AJ30" s="46"/>
      <c r="AK30" s="71"/>
      <c r="AL30" s="46"/>
      <c r="AO30" s="71"/>
      <c r="AS30" s="71"/>
      <c r="AW30" s="71"/>
      <c r="BA30" s="71"/>
    </row>
    <row r="31" spans="1:139" x14ac:dyDescent="0.2">
      <c r="A31" s="69"/>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row>
    <row r="32" spans="1:139" x14ac:dyDescent="0.2">
      <c r="A32" s="72"/>
      <c r="L32" s="17" t="s">
        <v>1001</v>
      </c>
    </row>
    <row r="33" spans="1:22" x14ac:dyDescent="0.2">
      <c r="A33" s="74"/>
      <c r="B33" s="74" t="s">
        <v>168</v>
      </c>
      <c r="C33" s="74" t="s">
        <v>165</v>
      </c>
      <c r="D33" s="74" t="s">
        <v>196</v>
      </c>
      <c r="E33" s="74" t="s">
        <v>195</v>
      </c>
      <c r="F33" s="74" t="s">
        <v>197</v>
      </c>
      <c r="G33" s="74" t="s">
        <v>198</v>
      </c>
      <c r="H33" s="74" t="s">
        <v>199</v>
      </c>
      <c r="I33" s="74" t="s">
        <v>200</v>
      </c>
      <c r="J33" s="74" t="s">
        <v>58</v>
      </c>
      <c r="M33" s="20" t="s">
        <v>168</v>
      </c>
      <c r="N33" s="20" t="s">
        <v>165</v>
      </c>
      <c r="O33" s="20" t="s">
        <v>196</v>
      </c>
      <c r="P33" s="20" t="s">
        <v>195</v>
      </c>
      <c r="Q33" s="20" t="s">
        <v>197</v>
      </c>
      <c r="R33" s="20" t="s">
        <v>198</v>
      </c>
      <c r="S33" s="20" t="s">
        <v>199</v>
      </c>
      <c r="T33" s="20" t="s">
        <v>200</v>
      </c>
    </row>
    <row r="34" spans="1:22" x14ac:dyDescent="0.2">
      <c r="A34" s="229">
        <v>37802</v>
      </c>
      <c r="B34" s="74">
        <f t="shared" ref="B34:B42" si="36">CP20+DF20</f>
        <v>195964</v>
      </c>
      <c r="C34" s="74">
        <f>BB20+BF20+BV20+CX20</f>
        <v>332266</v>
      </c>
      <c r="D34" s="74">
        <f>BJ20+CH20+CT20+DJ20</f>
        <v>477143</v>
      </c>
      <c r="E34" s="74">
        <f>AX20+BR20+DV20+DZ20</f>
        <v>334502</v>
      </c>
      <c r="F34" s="230">
        <f>AD20+BN20+BZ20+DN20+F20*0.061</f>
        <v>838250.45</v>
      </c>
      <c r="G34" s="230">
        <f>J20+R20+V20+AL20+F20*0.939</f>
        <v>12459376.550000001</v>
      </c>
      <c r="H34" s="74">
        <f>N20+Z20+AH20+AT20+CD20+CL20+DR20</f>
        <v>4509152</v>
      </c>
      <c r="I34" s="74">
        <f>B20+AP20+DB20</f>
        <v>827704</v>
      </c>
      <c r="J34" s="74">
        <f t="shared" ref="J34:J41" si="37">SUM(B34:I34)</f>
        <v>19974358</v>
      </c>
      <c r="L34" s="72">
        <v>37802</v>
      </c>
      <c r="M34" s="20">
        <f>CQ20+DG20</f>
        <v>647</v>
      </c>
      <c r="N34" s="20">
        <f>BC20+BG20+BW20+CY20</f>
        <v>3954</v>
      </c>
      <c r="O34" s="20">
        <f>BK20+CI20+CU20+DK20</f>
        <v>40542</v>
      </c>
      <c r="P34" s="20">
        <f>AY20+BS20+DW20+EA20</f>
        <v>7997</v>
      </c>
      <c r="Q34" s="34">
        <f>AE20+BO20+CA20+DO20</f>
        <v>24186</v>
      </c>
      <c r="R34" s="34">
        <f>K20+S20+W20+AM20</f>
        <v>532425</v>
      </c>
      <c r="S34" s="20">
        <f>O20+AA20+AI20+AU20+CE20+CM20+DS20</f>
        <v>218778</v>
      </c>
      <c r="T34" s="20">
        <f>C20+AQ20+DC20</f>
        <v>47287</v>
      </c>
      <c r="U34" s="20">
        <f>SUM(M34:T34)</f>
        <v>875816</v>
      </c>
      <c r="V34" s="20">
        <f>U34-EG20</f>
        <v>0</v>
      </c>
    </row>
    <row r="35" spans="1:22" x14ac:dyDescent="0.2">
      <c r="A35" s="229">
        <v>38168</v>
      </c>
      <c r="B35" s="74">
        <f t="shared" si="36"/>
        <v>243267</v>
      </c>
      <c r="C35" s="74">
        <f t="shared" ref="C35:C41" si="38">BB21+BF21+BV21+CX21</f>
        <v>353728</v>
      </c>
      <c r="D35" s="74">
        <f t="shared" ref="D35:D41" si="39">BJ21+CH21+CT21+DJ21</f>
        <v>454699</v>
      </c>
      <c r="E35" s="74">
        <f t="shared" ref="E35:E41" si="40">AX21+BR21+DV21+DZ21</f>
        <v>285882</v>
      </c>
      <c r="F35" s="230">
        <f>AD21+BN21+BZ21+DN21+F21*0.061</f>
        <v>717869.45</v>
      </c>
      <c r="G35" s="230">
        <f t="shared" ref="G35:G41" si="41">J21+R21+V21+AL21+F21*0.939</f>
        <v>11990715.550000001</v>
      </c>
      <c r="H35" s="74">
        <f t="shared" ref="H35:H41" si="42">N21+Z21+AH21+AT21+CD21+CL21+DR21</f>
        <v>4679044</v>
      </c>
      <c r="I35" s="74">
        <f t="shared" ref="I35:I41" si="43">B21+AP21+DB21</f>
        <v>792285</v>
      </c>
      <c r="J35" s="74">
        <f t="shared" si="37"/>
        <v>19517490</v>
      </c>
      <c r="L35" s="72">
        <v>38168</v>
      </c>
      <c r="M35" s="20">
        <f t="shared" ref="M35:M42" si="44">CQ21+DG21</f>
        <v>634</v>
      </c>
      <c r="N35" s="20">
        <f t="shared" ref="N35:N42" si="45">BC21+BG21+BW21+CY21</f>
        <v>4306</v>
      </c>
      <c r="O35" s="20">
        <f t="shared" ref="O35:O42" si="46">BK21+CI21+CU21+DK21</f>
        <v>40806</v>
      </c>
      <c r="P35" s="20">
        <f t="shared" ref="P35:P42" si="47">AY21+BS21+DW21+EA21</f>
        <v>8274</v>
      </c>
      <c r="Q35" s="34">
        <f t="shared" ref="Q35:Q42" si="48">AE21+BO21+CA21+DO21</f>
        <v>31243</v>
      </c>
      <c r="R35" s="34">
        <f t="shared" ref="R35:R42" si="49">K21+S21+W21+AM21</f>
        <v>578153</v>
      </c>
      <c r="S35" s="20">
        <f t="shared" ref="S35:S42" si="50">O21+AA21+AI21+AU21+CE21+CM21+DS21</f>
        <v>216079</v>
      </c>
      <c r="T35" s="20">
        <f t="shared" ref="T35:T42" si="51">C21+AQ21+DC21</f>
        <v>47105</v>
      </c>
      <c r="U35" s="20">
        <f t="shared" ref="U35:U42" si="52">SUM(M35:T35)</f>
        <v>926600</v>
      </c>
      <c r="V35" s="20">
        <f t="shared" ref="V35:V42" si="53">U35-EG21</f>
        <v>0</v>
      </c>
    </row>
    <row r="36" spans="1:22" x14ac:dyDescent="0.2">
      <c r="A36" s="229">
        <v>38533</v>
      </c>
      <c r="B36" s="74">
        <f t="shared" si="36"/>
        <v>223681</v>
      </c>
      <c r="C36" s="74">
        <f t="shared" si="38"/>
        <v>347936</v>
      </c>
      <c r="D36" s="74">
        <f t="shared" si="39"/>
        <v>431950</v>
      </c>
      <c r="E36" s="74">
        <f t="shared" si="40"/>
        <v>312380</v>
      </c>
      <c r="F36" s="230">
        <f t="shared" ref="F36:F41" si="54">AD22+BN22+BZ22+DN22+F22*0.061</f>
        <v>635503.429</v>
      </c>
      <c r="G36" s="230">
        <f t="shared" si="41"/>
        <v>11343323.571</v>
      </c>
      <c r="H36" s="74">
        <f t="shared" si="42"/>
        <v>4826948</v>
      </c>
      <c r="I36" s="74">
        <f t="shared" si="43"/>
        <v>805373</v>
      </c>
      <c r="J36" s="74">
        <f t="shared" si="37"/>
        <v>18927095</v>
      </c>
      <c r="L36" s="72">
        <v>38533</v>
      </c>
      <c r="M36" s="20">
        <f t="shared" si="44"/>
        <v>700</v>
      </c>
      <c r="N36" s="20">
        <f t="shared" si="45"/>
        <v>3783</v>
      </c>
      <c r="O36" s="20">
        <f t="shared" si="46"/>
        <v>38379</v>
      </c>
      <c r="P36" s="20">
        <f t="shared" si="47"/>
        <v>8170</v>
      </c>
      <c r="Q36" s="34">
        <f t="shared" si="48"/>
        <v>29783</v>
      </c>
      <c r="R36" s="34">
        <f t="shared" si="49"/>
        <v>546605</v>
      </c>
      <c r="S36" s="20">
        <f t="shared" si="50"/>
        <v>207373</v>
      </c>
      <c r="T36" s="20">
        <f t="shared" si="51"/>
        <v>41704</v>
      </c>
      <c r="U36" s="20">
        <f t="shared" si="52"/>
        <v>876497</v>
      </c>
      <c r="V36" s="20">
        <f t="shared" si="53"/>
        <v>0</v>
      </c>
    </row>
    <row r="37" spans="1:22" x14ac:dyDescent="0.2">
      <c r="A37" s="229">
        <v>38898</v>
      </c>
      <c r="B37" s="74">
        <f t="shared" si="36"/>
        <v>231930</v>
      </c>
      <c r="C37" s="74">
        <f t="shared" si="38"/>
        <v>352415</v>
      </c>
      <c r="D37" s="74">
        <f t="shared" si="39"/>
        <v>428480</v>
      </c>
      <c r="E37" s="74">
        <f t="shared" si="40"/>
        <v>331145</v>
      </c>
      <c r="F37" s="230">
        <f t="shared" si="54"/>
        <v>621754.10899999994</v>
      </c>
      <c r="G37" s="230">
        <f t="shared" si="41"/>
        <v>11593367.890999999</v>
      </c>
      <c r="H37" s="74">
        <f t="shared" si="42"/>
        <v>5090026</v>
      </c>
      <c r="I37" s="74">
        <f t="shared" si="43"/>
        <v>760554</v>
      </c>
      <c r="J37" s="74">
        <f t="shared" si="37"/>
        <v>19409672</v>
      </c>
      <c r="L37" s="72">
        <v>38898</v>
      </c>
      <c r="M37" s="20">
        <f t="shared" si="44"/>
        <v>794</v>
      </c>
      <c r="N37" s="20">
        <f t="shared" si="45"/>
        <v>3329</v>
      </c>
      <c r="O37" s="20">
        <f t="shared" si="46"/>
        <v>37980</v>
      </c>
      <c r="P37" s="20">
        <f t="shared" si="47"/>
        <v>8502</v>
      </c>
      <c r="Q37" s="34">
        <f t="shared" si="48"/>
        <v>37979</v>
      </c>
      <c r="R37" s="34">
        <f t="shared" si="49"/>
        <v>570735</v>
      </c>
      <c r="S37" s="20">
        <f t="shared" si="50"/>
        <v>208056</v>
      </c>
      <c r="T37" s="20">
        <f t="shared" si="51"/>
        <v>38694</v>
      </c>
      <c r="U37" s="20">
        <f t="shared" si="52"/>
        <v>906069</v>
      </c>
      <c r="V37" s="20">
        <f t="shared" si="53"/>
        <v>0</v>
      </c>
    </row>
    <row r="38" spans="1:22" x14ac:dyDescent="0.2">
      <c r="A38" s="229">
        <v>39263</v>
      </c>
      <c r="B38" s="74">
        <f t="shared" si="36"/>
        <v>237219</v>
      </c>
      <c r="C38" s="74">
        <f t="shared" si="38"/>
        <v>358002</v>
      </c>
      <c r="D38" s="74">
        <f t="shared" si="39"/>
        <v>428682</v>
      </c>
      <c r="E38" s="74">
        <f t="shared" si="40"/>
        <v>345054</v>
      </c>
      <c r="F38" s="230">
        <f t="shared" si="54"/>
        <v>613967.79799999995</v>
      </c>
      <c r="G38" s="230">
        <f t="shared" si="41"/>
        <v>12170077.202</v>
      </c>
      <c r="H38" s="74">
        <f t="shared" si="42"/>
        <v>5302292</v>
      </c>
      <c r="I38" s="74">
        <f t="shared" si="43"/>
        <v>741054</v>
      </c>
      <c r="J38" s="74">
        <f t="shared" si="37"/>
        <v>20196348</v>
      </c>
      <c r="L38" s="72">
        <v>39263</v>
      </c>
      <c r="M38" s="20">
        <f t="shared" si="44"/>
        <v>859</v>
      </c>
      <c r="N38" s="20">
        <f t="shared" si="45"/>
        <v>3151</v>
      </c>
      <c r="O38" s="20">
        <f t="shared" si="46"/>
        <v>35501</v>
      </c>
      <c r="P38" s="20">
        <f t="shared" si="47"/>
        <v>8203</v>
      </c>
      <c r="Q38" s="34">
        <f t="shared" si="48"/>
        <v>34885</v>
      </c>
      <c r="R38" s="34">
        <f t="shared" si="49"/>
        <v>594899</v>
      </c>
      <c r="S38" s="20">
        <f t="shared" si="50"/>
        <v>212969</v>
      </c>
      <c r="T38" s="20">
        <f t="shared" si="51"/>
        <v>39853</v>
      </c>
      <c r="U38" s="20">
        <f t="shared" si="52"/>
        <v>930320</v>
      </c>
      <c r="V38" s="20">
        <f t="shared" si="53"/>
        <v>0</v>
      </c>
    </row>
    <row r="39" spans="1:22" x14ac:dyDescent="0.2">
      <c r="A39" s="229">
        <v>39629</v>
      </c>
      <c r="B39" s="74">
        <f t="shared" si="36"/>
        <v>248615</v>
      </c>
      <c r="C39" s="74">
        <f t="shared" si="38"/>
        <v>243882</v>
      </c>
      <c r="D39" s="74">
        <f t="shared" si="39"/>
        <v>431480</v>
      </c>
      <c r="E39" s="74">
        <f t="shared" si="40"/>
        <v>375798</v>
      </c>
      <c r="F39" s="230">
        <f t="shared" si="54"/>
        <v>614515.86199999996</v>
      </c>
      <c r="G39" s="230">
        <f t="shared" si="41"/>
        <v>12844996.138</v>
      </c>
      <c r="H39" s="74">
        <f t="shared" si="42"/>
        <v>5657075</v>
      </c>
      <c r="I39" s="74">
        <f t="shared" si="43"/>
        <v>695689</v>
      </c>
      <c r="J39" s="74">
        <f t="shared" si="37"/>
        <v>21112051</v>
      </c>
      <c r="L39" s="72">
        <v>39629</v>
      </c>
      <c r="M39" s="20">
        <f t="shared" si="44"/>
        <v>1008</v>
      </c>
      <c r="N39" s="20">
        <f t="shared" si="45"/>
        <v>3963</v>
      </c>
      <c r="O39" s="20">
        <f t="shared" si="46"/>
        <v>36180</v>
      </c>
      <c r="P39" s="20">
        <f t="shared" si="47"/>
        <v>8413</v>
      </c>
      <c r="Q39" s="34">
        <f t="shared" si="48"/>
        <v>30469</v>
      </c>
      <c r="R39" s="34">
        <f t="shared" si="49"/>
        <v>601116</v>
      </c>
      <c r="S39" s="20">
        <f t="shared" si="50"/>
        <v>233993</v>
      </c>
      <c r="T39" s="20">
        <f t="shared" si="51"/>
        <v>38309</v>
      </c>
      <c r="U39" s="20">
        <f t="shared" si="52"/>
        <v>953451</v>
      </c>
      <c r="V39" s="20">
        <f t="shared" si="53"/>
        <v>0</v>
      </c>
    </row>
    <row r="40" spans="1:22" x14ac:dyDescent="0.2">
      <c r="A40" s="229">
        <v>39994</v>
      </c>
      <c r="B40" s="74">
        <f>CP26+DF26</f>
        <v>318718</v>
      </c>
      <c r="C40" s="74">
        <f t="shared" si="38"/>
        <v>248930</v>
      </c>
      <c r="D40" s="74">
        <f t="shared" si="39"/>
        <v>418846</v>
      </c>
      <c r="E40" s="74">
        <f t="shared" si="40"/>
        <v>405474</v>
      </c>
      <c r="F40" s="230">
        <f t="shared" si="54"/>
        <v>591127.87599999993</v>
      </c>
      <c r="G40" s="230">
        <f t="shared" si="41"/>
        <v>13229840.124</v>
      </c>
      <c r="H40" s="74">
        <f t="shared" si="42"/>
        <v>5760525</v>
      </c>
      <c r="I40" s="74">
        <f t="shared" si="43"/>
        <v>674473</v>
      </c>
      <c r="J40" s="74">
        <f t="shared" si="37"/>
        <v>21647934</v>
      </c>
      <c r="L40" s="72">
        <v>39994</v>
      </c>
      <c r="M40" s="20">
        <f t="shared" si="44"/>
        <v>1295</v>
      </c>
      <c r="N40" s="20">
        <f t="shared" si="45"/>
        <v>2365</v>
      </c>
      <c r="O40" s="20">
        <f t="shared" si="46"/>
        <v>37088</v>
      </c>
      <c r="P40" s="20">
        <f t="shared" si="47"/>
        <v>8786</v>
      </c>
      <c r="Q40" s="34">
        <f t="shared" si="48"/>
        <v>38856</v>
      </c>
      <c r="R40" s="34">
        <f t="shared" si="49"/>
        <v>632460</v>
      </c>
      <c r="S40" s="20">
        <f t="shared" si="50"/>
        <v>266585</v>
      </c>
      <c r="T40" s="20">
        <f t="shared" si="51"/>
        <v>36647</v>
      </c>
      <c r="U40" s="20">
        <f t="shared" si="52"/>
        <v>1024082</v>
      </c>
      <c r="V40" s="20">
        <f t="shared" si="53"/>
        <v>0</v>
      </c>
    </row>
    <row r="41" spans="1:22" x14ac:dyDescent="0.2">
      <c r="A41" s="229">
        <v>40359</v>
      </c>
      <c r="B41" s="74">
        <f>CP27+DF27</f>
        <v>608715</v>
      </c>
      <c r="C41" s="74">
        <f t="shared" si="38"/>
        <v>217744</v>
      </c>
      <c r="D41" s="74">
        <f t="shared" si="39"/>
        <v>410650</v>
      </c>
      <c r="E41" s="74">
        <f t="shared" si="40"/>
        <v>424881</v>
      </c>
      <c r="F41" s="230">
        <f t="shared" si="54"/>
        <v>574075.78200000001</v>
      </c>
      <c r="G41" s="230">
        <f t="shared" si="41"/>
        <v>13787473.218</v>
      </c>
      <c r="H41" s="74">
        <f t="shared" si="42"/>
        <v>5695860</v>
      </c>
      <c r="I41" s="74">
        <f t="shared" si="43"/>
        <v>662474</v>
      </c>
      <c r="J41" s="74">
        <f t="shared" si="37"/>
        <v>22381873</v>
      </c>
      <c r="L41" s="72">
        <v>40359</v>
      </c>
      <c r="M41" s="20">
        <f t="shared" si="44"/>
        <v>4578</v>
      </c>
      <c r="N41" s="20">
        <f t="shared" si="45"/>
        <v>3288</v>
      </c>
      <c r="O41" s="20">
        <f t="shared" si="46"/>
        <v>37632</v>
      </c>
      <c r="P41" s="20">
        <f t="shared" si="47"/>
        <v>8607</v>
      </c>
      <c r="Q41" s="34">
        <f t="shared" si="48"/>
        <v>42546</v>
      </c>
      <c r="R41" s="34">
        <f t="shared" si="49"/>
        <v>656914</v>
      </c>
      <c r="S41" s="20">
        <f t="shared" si="50"/>
        <v>278722</v>
      </c>
      <c r="T41" s="20">
        <f t="shared" si="51"/>
        <v>34079</v>
      </c>
      <c r="U41" s="20">
        <f t="shared" si="52"/>
        <v>1066366</v>
      </c>
      <c r="V41" s="20">
        <f t="shared" si="53"/>
        <v>0</v>
      </c>
    </row>
    <row r="42" spans="1:22" x14ac:dyDescent="0.2">
      <c r="A42" s="229">
        <v>40724</v>
      </c>
      <c r="B42" s="74">
        <f t="shared" si="36"/>
        <v>1341716</v>
      </c>
      <c r="C42" s="74">
        <f>BB28+BF28+BV28+CX28</f>
        <v>228216</v>
      </c>
      <c r="D42" s="74">
        <f>BJ28+CH28+CT28+DJ28</f>
        <v>410033</v>
      </c>
      <c r="E42" s="74">
        <f>AX28+BR28+DV28+DZ28</f>
        <v>560378</v>
      </c>
      <c r="F42" s="230">
        <f>AD28+BN28+BZ28+DN28+F28*0.061</f>
        <v>516714.00800000003</v>
      </c>
      <c r="G42" s="230">
        <f>J28+R28+V28+AL28+F28*0.939</f>
        <v>14804926.992000001</v>
      </c>
      <c r="H42" s="74">
        <f>N28+Z28+AH28+AT28+CD28+CL28+DR28</f>
        <v>5566621</v>
      </c>
      <c r="I42" s="74">
        <f>B28+AP28+DB28</f>
        <v>607746</v>
      </c>
      <c r="J42" s="74">
        <f>SUM(B42:I42)</f>
        <v>24036351</v>
      </c>
      <c r="L42" s="72">
        <v>40724</v>
      </c>
      <c r="M42" s="20">
        <f t="shared" si="44"/>
        <v>8931</v>
      </c>
      <c r="N42" s="20">
        <f t="shared" si="45"/>
        <v>3508</v>
      </c>
      <c r="O42" s="20">
        <f t="shared" si="46"/>
        <v>39986</v>
      </c>
      <c r="P42" s="20">
        <f t="shared" si="47"/>
        <v>8627</v>
      </c>
      <c r="Q42" s="34">
        <f t="shared" si="48"/>
        <v>33692</v>
      </c>
      <c r="R42" s="34">
        <f t="shared" si="49"/>
        <v>711238</v>
      </c>
      <c r="S42" s="20">
        <f t="shared" si="50"/>
        <v>294842</v>
      </c>
      <c r="T42" s="20">
        <f t="shared" si="51"/>
        <v>33649</v>
      </c>
      <c r="U42" s="20">
        <f t="shared" si="52"/>
        <v>1134473</v>
      </c>
      <c r="V42" s="20">
        <f t="shared" si="53"/>
        <v>0</v>
      </c>
    </row>
    <row r="44" spans="1:22" x14ac:dyDescent="0.2">
      <c r="L44" s="17" t="s">
        <v>1000</v>
      </c>
    </row>
    <row r="45" spans="1:22" x14ac:dyDescent="0.2">
      <c r="A45" s="72">
        <v>38533</v>
      </c>
      <c r="B45" s="34">
        <f>AVERAGE(B34:B38)</f>
        <v>226412.2</v>
      </c>
      <c r="C45" s="34">
        <f t="shared" ref="C45:I45" si="55">AVERAGE(C34:C38)</f>
        <v>348869.4</v>
      </c>
      <c r="D45" s="34">
        <f t="shared" si="55"/>
        <v>444190.8</v>
      </c>
      <c r="E45" s="34">
        <f t="shared" si="55"/>
        <v>321792.59999999998</v>
      </c>
      <c r="F45" s="34">
        <f t="shared" si="55"/>
        <v>685469.04720000003</v>
      </c>
      <c r="G45" s="34">
        <f t="shared" si="55"/>
        <v>11911372.152800001</v>
      </c>
      <c r="H45" s="34">
        <f t="shared" si="55"/>
        <v>4881492.4000000004</v>
      </c>
      <c r="I45" s="34">
        <f t="shared" si="55"/>
        <v>785394</v>
      </c>
      <c r="J45" s="34">
        <f>SUM(B45:I45)</f>
        <v>19604992.600000001</v>
      </c>
      <c r="M45" s="46" t="s">
        <v>168</v>
      </c>
      <c r="N45" s="46" t="s">
        <v>165</v>
      </c>
      <c r="O45" s="46" t="s">
        <v>196</v>
      </c>
      <c r="P45" s="46" t="s">
        <v>195</v>
      </c>
      <c r="Q45" s="46" t="s">
        <v>197</v>
      </c>
      <c r="R45" s="46" t="s">
        <v>198</v>
      </c>
      <c r="S45" s="46" t="s">
        <v>199</v>
      </c>
      <c r="T45" s="46" t="s">
        <v>200</v>
      </c>
      <c r="U45" s="46"/>
    </row>
    <row r="46" spans="1:22" x14ac:dyDescent="0.2">
      <c r="A46" s="72">
        <v>40359</v>
      </c>
      <c r="B46" s="34">
        <f>AVERAGE(B40:B42)</f>
        <v>756383</v>
      </c>
      <c r="C46" s="34">
        <f t="shared" ref="C46:I46" si="56">AVERAGE(C40:C42)</f>
        <v>231630</v>
      </c>
      <c r="D46" s="34">
        <f t="shared" si="56"/>
        <v>413176.33333333331</v>
      </c>
      <c r="E46" s="34">
        <f t="shared" si="56"/>
        <v>463577.66666666669</v>
      </c>
      <c r="F46" s="34">
        <f t="shared" si="56"/>
        <v>560639.22199999995</v>
      </c>
      <c r="G46" s="34">
        <f t="shared" si="56"/>
        <v>13940746.777999999</v>
      </c>
      <c r="H46" s="34">
        <f t="shared" si="56"/>
        <v>5674335.333333333</v>
      </c>
      <c r="I46" s="34">
        <f t="shared" si="56"/>
        <v>648231</v>
      </c>
      <c r="J46" s="34">
        <f>SUM(B46:I46)</f>
        <v>22688719.333333332</v>
      </c>
      <c r="L46" s="72">
        <v>37802</v>
      </c>
      <c r="M46" s="70">
        <f>M34/B34</f>
        <v>3.3016268294176481E-3</v>
      </c>
      <c r="N46" s="70">
        <f t="shared" ref="N46:U54" si="57">N34/C34</f>
        <v>1.1900104133435259E-2</v>
      </c>
      <c r="O46" s="70">
        <f t="shared" si="57"/>
        <v>8.4968238033461665E-2</v>
      </c>
      <c r="P46" s="70">
        <f t="shared" si="57"/>
        <v>2.3907181421934699E-2</v>
      </c>
      <c r="Q46" s="70">
        <f t="shared" si="57"/>
        <v>2.8852952002590637E-2</v>
      </c>
      <c r="R46" s="70">
        <f t="shared" si="57"/>
        <v>4.2732876549910516E-2</v>
      </c>
      <c r="S46" s="70">
        <f t="shared" si="57"/>
        <v>4.8518657166580326E-2</v>
      </c>
      <c r="T46" s="70">
        <f t="shared" si="57"/>
        <v>5.7130326783487818E-2</v>
      </c>
      <c r="U46" s="70">
        <f t="shared" si="57"/>
        <v>4.3847016259546366E-2</v>
      </c>
    </row>
    <row r="47" spans="1:22" x14ac:dyDescent="0.2">
      <c r="A47" s="20" t="s">
        <v>1581</v>
      </c>
      <c r="B47" s="34">
        <f>AVERAGE(CP26:CP28)</f>
        <v>37262</v>
      </c>
      <c r="L47" s="72">
        <v>38168</v>
      </c>
      <c r="M47" s="70">
        <f t="shared" ref="M47:M54" si="58">M35/B35</f>
        <v>2.6061899065635699E-3</v>
      </c>
      <c r="N47" s="70">
        <f t="shared" si="57"/>
        <v>1.2173195223448525E-2</v>
      </c>
      <c r="O47" s="70">
        <f t="shared" si="57"/>
        <v>8.9742884853496491E-2</v>
      </c>
      <c r="P47" s="70">
        <f t="shared" si="57"/>
        <v>2.8942011039519801E-2</v>
      </c>
      <c r="Q47" s="70">
        <f t="shared" si="57"/>
        <v>4.3521840914110502E-2</v>
      </c>
      <c r="R47" s="70">
        <f t="shared" si="57"/>
        <v>4.8216722145493641E-2</v>
      </c>
      <c r="S47" s="70">
        <f t="shared" si="57"/>
        <v>4.6180159878812854E-2</v>
      </c>
      <c r="T47" s="70">
        <f t="shared" si="57"/>
        <v>5.9454615447723985E-2</v>
      </c>
      <c r="U47" s="70">
        <f t="shared" si="57"/>
        <v>4.7475366965731763E-2</v>
      </c>
    </row>
    <row r="48" spans="1:22" x14ac:dyDescent="0.2">
      <c r="B48" s="33">
        <f>B45/$J$45</f>
        <v>1.1548701120142222E-2</v>
      </c>
      <c r="C48" s="33">
        <f t="shared" ref="C48:I48" si="59">C45/$J$45</f>
        <v>1.7794926380130336E-2</v>
      </c>
      <c r="D48" s="33">
        <f t="shared" si="59"/>
        <v>2.2657024619330893E-2</v>
      </c>
      <c r="E48" s="33">
        <f t="shared" si="59"/>
        <v>1.6413808796846979E-2</v>
      </c>
      <c r="F48" s="33">
        <f t="shared" si="59"/>
        <v>3.4964004383250827E-2</v>
      </c>
      <c r="G48" s="33">
        <f t="shared" si="59"/>
        <v>0.60756830649352045</v>
      </c>
      <c r="H48" s="33">
        <f t="shared" si="59"/>
        <v>0.24899231025468482</v>
      </c>
      <c r="I48" s="33">
        <f t="shared" si="59"/>
        <v>4.0060917952093489E-2</v>
      </c>
      <c r="L48" s="72">
        <v>38533</v>
      </c>
      <c r="M48" s="70">
        <f t="shared" si="58"/>
        <v>3.1294566816135478E-3</v>
      </c>
      <c r="N48" s="70">
        <f t="shared" si="57"/>
        <v>1.0872689230203255E-2</v>
      </c>
      <c r="O48" s="70">
        <f t="shared" si="57"/>
        <v>8.8850561407570319E-2</v>
      </c>
      <c r="P48" s="70">
        <f t="shared" si="57"/>
        <v>2.6154043152570586E-2</v>
      </c>
      <c r="Q48" s="70">
        <f t="shared" si="57"/>
        <v>4.6865207394498572E-2</v>
      </c>
      <c r="R48" s="70">
        <f t="shared" si="57"/>
        <v>4.8187376175835614E-2</v>
      </c>
      <c r="S48" s="70">
        <f t="shared" si="57"/>
        <v>4.2961515226598669E-2</v>
      </c>
      <c r="T48" s="70">
        <f t="shared" si="57"/>
        <v>5.1782217680503319E-2</v>
      </c>
      <c r="U48" s="70">
        <f t="shared" si="57"/>
        <v>4.6309113997684274E-2</v>
      </c>
    </row>
    <row r="49" spans="1:21" x14ac:dyDescent="0.2">
      <c r="B49" s="33">
        <f>B46/$J$46</f>
        <v>3.3337403882851745E-2</v>
      </c>
      <c r="C49" s="33">
        <f t="shared" ref="C49:I49" si="60">C46/$J$46</f>
        <v>1.0209038094966372E-2</v>
      </c>
      <c r="D49" s="33">
        <f t="shared" si="60"/>
        <v>1.8210650291147622E-2</v>
      </c>
      <c r="E49" s="33">
        <f t="shared" si="60"/>
        <v>2.0432077273995694E-2</v>
      </c>
      <c r="F49" s="33">
        <f t="shared" si="60"/>
        <v>2.4710042632346017E-2</v>
      </c>
      <c r="G49" s="33">
        <f t="shared" si="60"/>
        <v>0.61443515489738676</v>
      </c>
      <c r="H49" s="33">
        <f t="shared" si="60"/>
        <v>0.25009500315854466</v>
      </c>
      <c r="I49" s="33">
        <f t="shared" si="60"/>
        <v>2.8570629768761152E-2</v>
      </c>
      <c r="L49" s="72">
        <v>38898</v>
      </c>
      <c r="M49" s="70">
        <f t="shared" si="58"/>
        <v>3.4234467296166949E-3</v>
      </c>
      <c r="N49" s="70">
        <f t="shared" si="57"/>
        <v>9.4462494502220388E-3</v>
      </c>
      <c r="O49" s="70">
        <f t="shared" si="57"/>
        <v>8.8638909634055268E-2</v>
      </c>
      <c r="P49" s="70">
        <f t="shared" si="57"/>
        <v>2.5674553443355629E-2</v>
      </c>
      <c r="Q49" s="70">
        <f t="shared" si="57"/>
        <v>6.1083633304946927E-2</v>
      </c>
      <c r="R49" s="70">
        <f t="shared" si="57"/>
        <v>4.922943922473684E-2</v>
      </c>
      <c r="S49" s="70">
        <f t="shared" si="57"/>
        <v>4.0875233250282021E-2</v>
      </c>
      <c r="T49" s="70">
        <f t="shared" si="57"/>
        <v>5.0876071915998078E-2</v>
      </c>
      <c r="U49" s="70">
        <f t="shared" si="57"/>
        <v>4.6681314346785456E-2</v>
      </c>
    </row>
    <row r="50" spans="1:21" x14ac:dyDescent="0.2">
      <c r="L50" s="72">
        <v>39263</v>
      </c>
      <c r="M50" s="70">
        <f t="shared" si="58"/>
        <v>3.6211264696335453E-3</v>
      </c>
      <c r="N50" s="70">
        <f t="shared" si="57"/>
        <v>8.8016268065541532E-3</v>
      </c>
      <c r="O50" s="70">
        <f t="shared" si="57"/>
        <v>8.2814300577117764E-2</v>
      </c>
      <c r="P50" s="70">
        <f t="shared" si="57"/>
        <v>2.3773090588719448E-2</v>
      </c>
      <c r="Q50" s="70">
        <f t="shared" si="57"/>
        <v>5.6818940852660163E-2</v>
      </c>
      <c r="R50" s="70">
        <f t="shared" si="57"/>
        <v>4.8882105686415517E-2</v>
      </c>
      <c r="S50" s="70">
        <f t="shared" si="57"/>
        <v>4.0165460521600846E-2</v>
      </c>
      <c r="T50" s="70">
        <f t="shared" si="57"/>
        <v>5.3778806942544E-2</v>
      </c>
      <c r="U50" s="70">
        <f t="shared" si="57"/>
        <v>4.6063773509943479E-2</v>
      </c>
    </row>
    <row r="51" spans="1:21" x14ac:dyDescent="0.2">
      <c r="L51" s="72">
        <v>39629</v>
      </c>
      <c r="M51" s="70">
        <f t="shared" si="58"/>
        <v>4.0544617179172618E-3</v>
      </c>
      <c r="N51" s="70">
        <f t="shared" si="57"/>
        <v>1.6249661721652275E-2</v>
      </c>
      <c r="O51" s="70">
        <f t="shared" si="57"/>
        <v>8.3850931677018639E-2</v>
      </c>
      <c r="P51" s="70">
        <f t="shared" si="57"/>
        <v>2.2387027073055205E-2</v>
      </c>
      <c r="Q51" s="70">
        <f t="shared" si="57"/>
        <v>4.9582121282981631E-2</v>
      </c>
      <c r="R51" s="70">
        <f t="shared" si="57"/>
        <v>4.6797678531150994E-2</v>
      </c>
      <c r="S51" s="70">
        <f t="shared" si="57"/>
        <v>4.1362895135737106E-2</v>
      </c>
      <c r="T51" s="70">
        <f t="shared" si="57"/>
        <v>5.5066272429203277E-2</v>
      </c>
      <c r="U51" s="70">
        <f t="shared" si="57"/>
        <v>4.5161457785413646E-2</v>
      </c>
    </row>
    <row r="52" spans="1:21" x14ac:dyDescent="0.2">
      <c r="B52" s="74" t="s">
        <v>168</v>
      </c>
      <c r="C52" s="74" t="s">
        <v>165</v>
      </c>
      <c r="D52" s="74" t="s">
        <v>196</v>
      </c>
      <c r="E52" s="74" t="s">
        <v>195</v>
      </c>
      <c r="F52" s="74" t="s">
        <v>197</v>
      </c>
      <c r="G52" s="74" t="s">
        <v>198</v>
      </c>
      <c r="H52" s="74" t="s">
        <v>199</v>
      </c>
      <c r="I52" s="74" t="s">
        <v>200</v>
      </c>
      <c r="L52" s="72">
        <v>39994</v>
      </c>
      <c r="M52" s="70">
        <f t="shared" si="58"/>
        <v>4.063153006733225E-3</v>
      </c>
      <c r="N52" s="70">
        <f t="shared" si="57"/>
        <v>9.5006628369421128E-3</v>
      </c>
      <c r="O52" s="70">
        <f t="shared" si="57"/>
        <v>8.8548058236201377E-2</v>
      </c>
      <c r="P52" s="70">
        <f t="shared" si="57"/>
        <v>2.1668467028712075E-2</v>
      </c>
      <c r="Q52" s="70">
        <f t="shared" si="57"/>
        <v>6.573197031905835E-2</v>
      </c>
      <c r="R52" s="70">
        <f t="shared" si="57"/>
        <v>4.7805566361506242E-2</v>
      </c>
      <c r="S52" s="70">
        <f t="shared" si="57"/>
        <v>4.627790001779352E-2</v>
      </c>
      <c r="T52" s="70">
        <f t="shared" si="57"/>
        <v>5.4334272832270526E-2</v>
      </c>
      <c r="U52" s="70">
        <f t="shared" si="57"/>
        <v>4.7306223309808687E-2</v>
      </c>
    </row>
    <row r="53" spans="1:21" x14ac:dyDescent="0.2">
      <c r="A53" s="58">
        <v>2005</v>
      </c>
      <c r="L53" s="72">
        <v>40359</v>
      </c>
      <c r="M53" s="70">
        <f t="shared" si="58"/>
        <v>7.5207609472413197E-3</v>
      </c>
      <c r="N53" s="70">
        <f t="shared" si="57"/>
        <v>1.5100301271217576E-2</v>
      </c>
      <c r="O53" s="70">
        <f t="shared" si="57"/>
        <v>9.1640082795567998E-2</v>
      </c>
      <c r="P53" s="70">
        <f t="shared" si="57"/>
        <v>2.0257436788183043E-2</v>
      </c>
      <c r="Q53" s="70">
        <f t="shared" si="57"/>
        <v>7.4112166605906402E-2</v>
      </c>
      <c r="R53" s="70">
        <f t="shared" si="57"/>
        <v>4.7645713584587579E-2</v>
      </c>
      <c r="S53" s="70">
        <f t="shared" si="57"/>
        <v>4.8934138128395012E-2</v>
      </c>
      <c r="T53" s="70">
        <f t="shared" si="57"/>
        <v>5.144201885658909E-2</v>
      </c>
      <c r="U53" s="70">
        <f t="shared" si="57"/>
        <v>4.764418062777856E-2</v>
      </c>
    </row>
    <row r="54" spans="1:21" x14ac:dyDescent="0.2">
      <c r="A54" s="20" t="s">
        <v>201</v>
      </c>
      <c r="B54" s="73">
        <f>B56*'Domestic NG Prices'!$O$19</f>
        <v>97.653142474012157</v>
      </c>
      <c r="C54" s="73">
        <f>C56*'Domestic NG Prices'!$O$19</f>
        <v>150.46977690700029</v>
      </c>
      <c r="D54" s="73">
        <f>D56*'Domestic NG Prices'!$O$19</f>
        <v>191.58255375834622</v>
      </c>
      <c r="E54" s="73">
        <f>E56*'Domestic NG Prices'!$O$19</f>
        <v>138.79136643203327</v>
      </c>
      <c r="F54" s="73">
        <f>F56*'Domestic NG Prices'!$O$19</f>
        <v>295.64752485840853</v>
      </c>
      <c r="G54" s="73">
        <f>G56*'Domestic NG Prices'!$O$19</f>
        <v>5137.456912208615</v>
      </c>
      <c r="H54" s="73">
        <f>H56*'Domestic NG Prices'!$O$19</f>
        <v>2105.4213192708144</v>
      </c>
      <c r="I54" s="73">
        <f>I56*'Domestic NG Prices'!$O$19</f>
        <v>338.7458457637631</v>
      </c>
      <c r="J54" s="73"/>
      <c r="L54" s="72">
        <v>40724</v>
      </c>
      <c r="M54" s="70">
        <f t="shared" si="58"/>
        <v>6.6564012056202658E-3</v>
      </c>
      <c r="N54" s="70">
        <f t="shared" si="57"/>
        <v>1.5371402530935606E-2</v>
      </c>
      <c r="O54" s="70">
        <f t="shared" si="57"/>
        <v>9.7518980179644082E-2</v>
      </c>
      <c r="P54" s="70">
        <f t="shared" si="57"/>
        <v>1.5394965541116889E-2</v>
      </c>
      <c r="Q54" s="70">
        <f t="shared" si="57"/>
        <v>6.5204348011405178E-2</v>
      </c>
      <c r="R54" s="70">
        <f t="shared" si="57"/>
        <v>4.8040628662628662E-2</v>
      </c>
      <c r="S54" s="70">
        <f t="shared" si="57"/>
        <v>5.296606325453089E-2</v>
      </c>
      <c r="T54" s="70">
        <f t="shared" si="57"/>
        <v>5.5366880242732987E-2</v>
      </c>
      <c r="U54" s="70">
        <f t="shared" si="57"/>
        <v>4.7198220728262789E-2</v>
      </c>
    </row>
    <row r="55" spans="1:21" x14ac:dyDescent="0.2">
      <c r="A55" s="20" t="s">
        <v>202</v>
      </c>
      <c r="B55" s="73">
        <f>B56*'Domestic NG Prices'!$O$20</f>
        <v>170.89299932952125</v>
      </c>
      <c r="C55" s="73">
        <f>C56*'Domestic NG Prices'!$O$20</f>
        <v>263.32210958725045</v>
      </c>
      <c r="D55" s="73">
        <f>D56*'Domestic NG Prices'!$O$20</f>
        <v>335.26946907710584</v>
      </c>
      <c r="E55" s="73">
        <f>E56*'Domestic NG Prices'!$O$20</f>
        <v>242.88489125605818</v>
      </c>
      <c r="F55" s="73">
        <f>F56*'Domestic NG Prices'!$O$20</f>
        <v>517.38316850221486</v>
      </c>
      <c r="G55" s="73">
        <f>G56*'Domestic NG Prices'!$O$20</f>
        <v>8990.5495963650756</v>
      </c>
      <c r="H55" s="73">
        <f>H56*'Domestic NG Prices'!$O$20</f>
        <v>3684.4873087239248</v>
      </c>
      <c r="I55" s="73">
        <f>I56*'Domestic NG Prices'!$O$20</f>
        <v>592.80523008658542</v>
      </c>
      <c r="J55" s="73"/>
    </row>
    <row r="56" spans="1:21" x14ac:dyDescent="0.2">
      <c r="A56" s="20" t="s">
        <v>203</v>
      </c>
      <c r="B56" s="73">
        <f>B45*1000000*Conv!$D$6*Conv!$J$5</f>
        <v>244.13285618503036</v>
      </c>
      <c r="C56" s="73">
        <f>C45*1000000*Conv!$D$6*Conv!$J$5</f>
        <v>376.17444226750069</v>
      </c>
      <c r="D56" s="73">
        <f>D45*1000000*Conv!$D$6*Conv!$J$5</f>
        <v>478.95638439586554</v>
      </c>
      <c r="E56" s="73">
        <f>E45*1000000*Conv!$D$6*Conv!$J$5</f>
        <v>346.97841608008315</v>
      </c>
      <c r="F56" s="73">
        <f>F45*1000000*Conv!$D$6*Conv!$J$5</f>
        <v>739.11881214602124</v>
      </c>
      <c r="G56" s="73">
        <f>G45*1000000*Conv!$D$6*Conv!$J$5</f>
        <v>12843.642280521537</v>
      </c>
      <c r="H56" s="73">
        <f>H45*1000000*Conv!$D$6*Conv!$J$5</f>
        <v>5263.5532981770357</v>
      </c>
      <c r="I56" s="73">
        <f>I45*1000000*Conv!$D$6*Conv!$J$5</f>
        <v>846.86461440940775</v>
      </c>
      <c r="J56" s="73">
        <f>SUM(B56:I56)</f>
        <v>21139.421104182482</v>
      </c>
      <c r="L56" s="20">
        <v>2005</v>
      </c>
      <c r="M56" s="43">
        <f>AVERAGE(M46:M50)</f>
        <v>3.216369323369001E-3</v>
      </c>
      <c r="N56" s="43">
        <f t="shared" ref="N56:T56" si="61">AVERAGE(N46:N50)</f>
        <v>1.0638772968772647E-2</v>
      </c>
      <c r="O56" s="43">
        <f t="shared" si="61"/>
        <v>8.7002978901140296E-2</v>
      </c>
      <c r="P56" s="43">
        <f t="shared" si="61"/>
        <v>2.5690175929220033E-2</v>
      </c>
      <c r="Q56" s="43">
        <f t="shared" si="61"/>
        <v>4.7428514893761362E-2</v>
      </c>
      <c r="R56" s="43">
        <f t="shared" si="61"/>
        <v>4.744970395647842E-2</v>
      </c>
      <c r="S56" s="43">
        <f t="shared" si="61"/>
        <v>4.3740205208774939E-2</v>
      </c>
      <c r="T56" s="43">
        <f t="shared" si="61"/>
        <v>5.460440775405144E-2</v>
      </c>
    </row>
    <row r="57" spans="1:21" x14ac:dyDescent="0.2">
      <c r="A57" s="20" t="s">
        <v>204</v>
      </c>
      <c r="B57" s="73">
        <f>B56*'Domestic NG Prices'!$O$22</f>
        <v>256.33949899428188</v>
      </c>
      <c r="C57" s="73">
        <f>C56*'Domestic NG Prices'!$O$22</f>
        <v>394.98316438087573</v>
      </c>
      <c r="D57" s="73">
        <f>D56*'Domestic NG Prices'!$O$22</f>
        <v>502.90420361565884</v>
      </c>
      <c r="E57" s="73">
        <f>E56*'Domestic NG Prices'!$O$22</f>
        <v>364.32733688408734</v>
      </c>
      <c r="F57" s="73">
        <f>F56*'Domestic NG Prices'!$O$22</f>
        <v>776.07475275332229</v>
      </c>
      <c r="G57" s="73">
        <f>G56*'Domestic NG Prices'!$O$22</f>
        <v>13485.824394547615</v>
      </c>
      <c r="H57" s="73">
        <f>H56*'Domestic NG Prices'!$O$22</f>
        <v>5526.7309630858881</v>
      </c>
      <c r="I57" s="73">
        <f>I56*'Domestic NG Prices'!$O$22</f>
        <v>889.20784512987814</v>
      </c>
      <c r="J57" s="73"/>
      <c r="L57" s="20">
        <v>2010</v>
      </c>
      <c r="M57" s="43">
        <f>AVERAGE(M52:M54)</f>
        <v>6.0801050531982702E-3</v>
      </c>
      <c r="N57" s="43">
        <f t="shared" ref="N57:T57" si="62">AVERAGE(N52:N54)</f>
        <v>1.3324122213031765E-2</v>
      </c>
      <c r="O57" s="43">
        <f t="shared" si="62"/>
        <v>9.2569040403804495E-2</v>
      </c>
      <c r="P57" s="43">
        <f t="shared" si="62"/>
        <v>1.910695645267067E-2</v>
      </c>
      <c r="Q57" s="43">
        <f t="shared" si="62"/>
        <v>6.8349494978789976E-2</v>
      </c>
      <c r="R57" s="43">
        <f t="shared" si="62"/>
        <v>4.7830636202907485E-2</v>
      </c>
      <c r="S57" s="43">
        <f t="shared" si="62"/>
        <v>4.939270046690647E-2</v>
      </c>
      <c r="T57" s="43">
        <f t="shared" si="62"/>
        <v>5.3714390643864206E-2</v>
      </c>
    </row>
    <row r="58" spans="1:21" x14ac:dyDescent="0.2">
      <c r="A58" s="20" t="s">
        <v>205</v>
      </c>
      <c r="B58" s="73">
        <f>B56*'Domestic NG Prices'!$O$23</f>
        <v>268.54614180353343</v>
      </c>
      <c r="C58" s="73">
        <f>C56*'Domestic NG Prices'!$O$23</f>
        <v>413.79188649425078</v>
      </c>
      <c r="D58" s="73">
        <f>D56*'Domestic NG Prices'!$O$23</f>
        <v>526.85202283545209</v>
      </c>
      <c r="E58" s="73">
        <f>E56*'Domestic NG Prices'!$O$23</f>
        <v>381.67625768809148</v>
      </c>
      <c r="F58" s="73">
        <f>F56*'Domestic NG Prices'!$O$23</f>
        <v>813.03069336062345</v>
      </c>
      <c r="G58" s="73">
        <f>G56*'Domestic NG Prices'!$O$23</f>
        <v>14128.006508573691</v>
      </c>
      <c r="H58" s="73">
        <f>H56*'Domestic NG Prices'!$O$23</f>
        <v>5789.9086279947396</v>
      </c>
      <c r="I58" s="73">
        <f>I56*'Domestic NG Prices'!$O$23</f>
        <v>931.55107585034864</v>
      </c>
      <c r="J58" s="73"/>
      <c r="M58" s="43">
        <f>AVERAGE(M46:M54)</f>
        <v>4.2640692771507864E-3</v>
      </c>
      <c r="N58" s="43">
        <f t="shared" ref="N58:T58" si="63">AVERAGE(N46:N54)</f>
        <v>1.2157321467178978E-2</v>
      </c>
      <c r="O58" s="43">
        <f t="shared" si="63"/>
        <v>8.8508105266014853E-2</v>
      </c>
      <c r="P58" s="43">
        <f t="shared" si="63"/>
        <v>2.312875289746304E-2</v>
      </c>
      <c r="Q58" s="43">
        <f t="shared" si="63"/>
        <v>5.4641464520906485E-2</v>
      </c>
      <c r="R58" s="43">
        <f t="shared" si="63"/>
        <v>4.7504234102473952E-2</v>
      </c>
      <c r="S58" s="43">
        <f t="shared" si="63"/>
        <v>4.5360224731147918E-2</v>
      </c>
      <c r="T58" s="43">
        <f t="shared" si="63"/>
        <v>5.4359053681228127E-2</v>
      </c>
    </row>
    <row r="59" spans="1:21" x14ac:dyDescent="0.2">
      <c r="A59" s="20" t="s">
        <v>206</v>
      </c>
      <c r="B59" s="73">
        <f>B56*'Domestic NG Prices'!$O$24</f>
        <v>292.95942742203641</v>
      </c>
      <c r="C59" s="73">
        <f>C56*'Domestic NG Prices'!$O$24</f>
        <v>451.4093307210008</v>
      </c>
      <c r="D59" s="73">
        <f>D56*'Domestic NG Prices'!$O$24</f>
        <v>574.74766127503858</v>
      </c>
      <c r="E59" s="73">
        <f>E56*'Domestic NG Prices'!$O$24</f>
        <v>416.37409929609976</v>
      </c>
      <c r="F59" s="73">
        <f>F56*'Domestic NG Prices'!$O$24</f>
        <v>886.94257457522542</v>
      </c>
      <c r="G59" s="73">
        <f>G56*'Domestic NG Prices'!$O$24</f>
        <v>15412.370736625844</v>
      </c>
      <c r="H59" s="73">
        <f>H56*'Domestic NG Prices'!$O$24</f>
        <v>6316.2639578124426</v>
      </c>
      <c r="I59" s="73">
        <f>I56*'Domestic NG Prices'!$O$24</f>
        <v>1016.2375372912893</v>
      </c>
      <c r="J59" s="73"/>
      <c r="L59" s="74" t="s">
        <v>147</v>
      </c>
      <c r="M59" s="60">
        <f>1-M58</f>
        <v>0.99573593072284916</v>
      </c>
      <c r="N59" s="60">
        <f t="shared" ref="N59:T60" si="64">1-N58</f>
        <v>0.98784267853282104</v>
      </c>
      <c r="O59" s="60">
        <f t="shared" si="64"/>
        <v>0.91149189473398518</v>
      </c>
      <c r="P59" s="60">
        <f t="shared" si="64"/>
        <v>0.97687124710253692</v>
      </c>
      <c r="Q59" s="60">
        <f t="shared" si="64"/>
        <v>0.94535853547909354</v>
      </c>
      <c r="R59" s="60">
        <f t="shared" si="64"/>
        <v>0.95249576589752605</v>
      </c>
      <c r="S59" s="60">
        <f t="shared" si="64"/>
        <v>0.95463977526885213</v>
      </c>
      <c r="T59" s="60">
        <f t="shared" si="64"/>
        <v>0.94564094631877182</v>
      </c>
    </row>
    <row r="60" spans="1:21" x14ac:dyDescent="0.2">
      <c r="B60" s="73"/>
      <c r="C60" s="73"/>
      <c r="D60" s="73"/>
      <c r="E60" s="73"/>
      <c r="F60" s="73"/>
      <c r="G60" s="73"/>
      <c r="H60" s="73"/>
      <c r="I60" s="73"/>
      <c r="J60" s="73"/>
      <c r="L60" s="74" t="s">
        <v>152</v>
      </c>
      <c r="M60" s="60">
        <f>1-M59</f>
        <v>4.2640692771508393E-3</v>
      </c>
      <c r="N60" s="60">
        <f t="shared" si="64"/>
        <v>1.2157321467178961E-2</v>
      </c>
      <c r="O60" s="60">
        <f t="shared" si="64"/>
        <v>8.8508105266014825E-2</v>
      </c>
      <c r="P60" s="60">
        <f t="shared" si="64"/>
        <v>2.3128752897463078E-2</v>
      </c>
      <c r="Q60" s="60">
        <f t="shared" si="64"/>
        <v>5.4641464520906458E-2</v>
      </c>
      <c r="R60" s="60">
        <f t="shared" si="64"/>
        <v>4.7504234102473952E-2</v>
      </c>
      <c r="S60" s="60">
        <f t="shared" si="64"/>
        <v>4.5360224731147869E-2</v>
      </c>
      <c r="T60" s="60">
        <f t="shared" si="64"/>
        <v>5.4359053681228175E-2</v>
      </c>
    </row>
    <row r="61" spans="1:21" x14ac:dyDescent="0.2">
      <c r="A61" s="20" t="s">
        <v>258</v>
      </c>
      <c r="B61" s="73"/>
      <c r="C61" s="73"/>
      <c r="D61" s="73"/>
      <c r="E61" s="73"/>
      <c r="F61" s="73"/>
      <c r="G61" s="73"/>
      <c r="H61" s="73"/>
      <c r="I61" s="73"/>
      <c r="J61" s="73"/>
    </row>
    <row r="62" spans="1:21" x14ac:dyDescent="0.2">
      <c r="A62" s="20" t="s">
        <v>201</v>
      </c>
      <c r="B62" s="73">
        <f>B54</f>
        <v>97.653142474012157</v>
      </c>
      <c r="C62" s="73">
        <f t="shared" ref="C62:I62" si="65">C54</f>
        <v>150.46977690700029</v>
      </c>
      <c r="D62" s="73">
        <f t="shared" si="65"/>
        <v>191.58255375834622</v>
      </c>
      <c r="E62" s="73">
        <f t="shared" si="65"/>
        <v>138.79136643203327</v>
      </c>
      <c r="F62" s="73">
        <f t="shared" si="65"/>
        <v>295.64752485840853</v>
      </c>
      <c r="G62" s="73">
        <f t="shared" si="65"/>
        <v>5137.456912208615</v>
      </c>
      <c r="H62" s="73">
        <f t="shared" si="65"/>
        <v>2105.4213192708144</v>
      </c>
      <c r="I62" s="73">
        <f t="shared" si="65"/>
        <v>338.7458457637631</v>
      </c>
      <c r="J62" s="73"/>
    </row>
    <row r="63" spans="1:21" x14ac:dyDescent="0.2">
      <c r="A63" s="20" t="s">
        <v>202</v>
      </c>
      <c r="B63" s="73">
        <f>B55-B54</f>
        <v>73.239856855509089</v>
      </c>
      <c r="C63" s="73">
        <f t="shared" ref="C63:I63" si="66">C55-C54</f>
        <v>112.85233268025016</v>
      </c>
      <c r="D63" s="73">
        <f t="shared" si="66"/>
        <v>143.68691531875962</v>
      </c>
      <c r="E63" s="73">
        <f t="shared" si="66"/>
        <v>104.09352482402491</v>
      </c>
      <c r="F63" s="73">
        <f t="shared" si="66"/>
        <v>221.73564364380633</v>
      </c>
      <c r="G63" s="73">
        <f t="shared" si="66"/>
        <v>3853.0926841564606</v>
      </c>
      <c r="H63" s="73">
        <f t="shared" si="66"/>
        <v>1579.0659894531104</v>
      </c>
      <c r="I63" s="73">
        <f t="shared" si="66"/>
        <v>254.05938432282232</v>
      </c>
      <c r="J63" s="73"/>
    </row>
    <row r="64" spans="1:21" x14ac:dyDescent="0.2">
      <c r="A64" s="20" t="s">
        <v>203</v>
      </c>
      <c r="B64" s="73">
        <f>B56-B55</f>
        <v>73.239856855509117</v>
      </c>
      <c r="C64" s="73">
        <f t="shared" ref="C64:I64" si="67">C56-C55</f>
        <v>112.85233268025024</v>
      </c>
      <c r="D64" s="73">
        <f t="shared" si="67"/>
        <v>143.6869153187597</v>
      </c>
      <c r="E64" s="73">
        <f t="shared" si="67"/>
        <v>104.09352482402497</v>
      </c>
      <c r="F64" s="73">
        <f t="shared" si="67"/>
        <v>221.73564364380638</v>
      </c>
      <c r="G64" s="73">
        <f t="shared" si="67"/>
        <v>3853.0926841564615</v>
      </c>
      <c r="H64" s="73">
        <f t="shared" si="67"/>
        <v>1579.0659894531109</v>
      </c>
      <c r="I64" s="73">
        <f t="shared" si="67"/>
        <v>254.05938432282232</v>
      </c>
      <c r="J64" s="73"/>
    </row>
    <row r="65" spans="1:10" x14ac:dyDescent="0.2">
      <c r="A65" s="20" t="s">
        <v>204</v>
      </c>
      <c r="B65" s="73">
        <f>B57-B56</f>
        <v>12.20664280925152</v>
      </c>
      <c r="C65" s="73">
        <f t="shared" ref="C65:I65" si="68">C57-C56</f>
        <v>18.80872211337504</v>
      </c>
      <c r="D65" s="73">
        <f t="shared" si="68"/>
        <v>23.947819219793303</v>
      </c>
      <c r="E65" s="73">
        <f t="shared" si="68"/>
        <v>17.348920804004194</v>
      </c>
      <c r="F65" s="73">
        <f t="shared" si="68"/>
        <v>36.955940607301045</v>
      </c>
      <c r="G65" s="73">
        <f t="shared" si="68"/>
        <v>642.18211402607812</v>
      </c>
      <c r="H65" s="73">
        <f t="shared" si="68"/>
        <v>263.17766490885242</v>
      </c>
      <c r="I65" s="73">
        <f t="shared" si="68"/>
        <v>42.343230720470387</v>
      </c>
      <c r="J65" s="73"/>
    </row>
    <row r="66" spans="1:10" x14ac:dyDescent="0.2">
      <c r="A66" s="20" t="s">
        <v>205</v>
      </c>
      <c r="B66" s="73">
        <f t="shared" ref="B66:I67" si="69">B58-B57</f>
        <v>12.206642809251548</v>
      </c>
      <c r="C66" s="73">
        <f t="shared" si="69"/>
        <v>18.80872211337504</v>
      </c>
      <c r="D66" s="73">
        <f t="shared" si="69"/>
        <v>23.947819219793246</v>
      </c>
      <c r="E66" s="73">
        <f t="shared" si="69"/>
        <v>17.348920804004138</v>
      </c>
      <c r="F66" s="73">
        <f t="shared" si="69"/>
        <v>36.955940607301159</v>
      </c>
      <c r="G66" s="73">
        <f t="shared" si="69"/>
        <v>642.18211402607631</v>
      </c>
      <c r="H66" s="73">
        <f t="shared" si="69"/>
        <v>263.17766490885151</v>
      </c>
      <c r="I66" s="73">
        <f t="shared" si="69"/>
        <v>42.343230720470501</v>
      </c>
      <c r="J66" s="73"/>
    </row>
    <row r="67" spans="1:10" x14ac:dyDescent="0.2">
      <c r="A67" s="20" t="s">
        <v>206</v>
      </c>
      <c r="B67" s="73">
        <f t="shared" si="69"/>
        <v>24.413285618502982</v>
      </c>
      <c r="C67" s="73">
        <f t="shared" si="69"/>
        <v>37.617444226750024</v>
      </c>
      <c r="D67" s="73">
        <f t="shared" si="69"/>
        <v>47.895638439586492</v>
      </c>
      <c r="E67" s="73">
        <f t="shared" si="69"/>
        <v>34.697841608008275</v>
      </c>
      <c r="F67" s="73">
        <f t="shared" si="69"/>
        <v>73.911881214601976</v>
      </c>
      <c r="G67" s="73">
        <f t="shared" si="69"/>
        <v>1284.3642280521526</v>
      </c>
      <c r="H67" s="73">
        <f t="shared" si="69"/>
        <v>526.35532981770302</v>
      </c>
      <c r="I67" s="73">
        <f t="shared" si="69"/>
        <v>84.686461440940661</v>
      </c>
    </row>
    <row r="70" spans="1:10" x14ac:dyDescent="0.2">
      <c r="A70" s="58">
        <v>2010</v>
      </c>
    </row>
    <row r="71" spans="1:10" x14ac:dyDescent="0.2">
      <c r="A71" s="20" t="s">
        <v>201</v>
      </c>
      <c r="B71" s="73">
        <f>B73*'Domestic NG Prices'!$O$19</f>
        <v>326.23320149674237</v>
      </c>
      <c r="C71" s="73">
        <f>C73*'Domestic NG Prices'!$O$19</f>
        <v>99.903615579263985</v>
      </c>
      <c r="D71" s="73">
        <f>D73*'Domestic NG Prices'!$O$19</f>
        <v>178.20580050849705</v>
      </c>
      <c r="E71" s="73">
        <f>E73*'Domestic NG Prices'!$O$19</f>
        <v>199.9442429814741</v>
      </c>
      <c r="F71" s="73">
        <f>F73*'Domestic NG Prices'!$O$19</f>
        <v>241.8075608226294</v>
      </c>
      <c r="G71" s="73">
        <f>G73*'Domestic NG Prices'!$O$19</f>
        <v>6012.7401761307901</v>
      </c>
      <c r="H71" s="73">
        <f>H73*'Domestic NG Prices'!$O$19</f>
        <v>2447.3799413252518</v>
      </c>
      <c r="I71" s="73">
        <f>I73*'Domestic NG Prices'!$O$19</f>
        <v>279.58649842663675</v>
      </c>
      <c r="J71" s="73"/>
    </row>
    <row r="72" spans="1:10" x14ac:dyDescent="0.2">
      <c r="A72" s="20" t="s">
        <v>202</v>
      </c>
      <c r="B72" s="73">
        <f>B73*'Domestic NG Prices'!$O$20</f>
        <v>570.90810261929903</v>
      </c>
      <c r="C72" s="73">
        <f>C73*'Domestic NG Prices'!$O$20</f>
        <v>174.83132726371196</v>
      </c>
      <c r="D72" s="73">
        <f>D73*'Domestic NG Prices'!$O$20</f>
        <v>311.86015088986977</v>
      </c>
      <c r="E72" s="73">
        <f>E73*'Domestic NG Prices'!$O$20</f>
        <v>349.90242521757966</v>
      </c>
      <c r="F72" s="73">
        <f>F73*'Domestic NG Prices'!$O$20</f>
        <v>423.16323143960136</v>
      </c>
      <c r="G72" s="73">
        <f>G73*'Domestic NG Prices'!$O$20</f>
        <v>10522.295308228882</v>
      </c>
      <c r="H72" s="73">
        <f>H73*'Domestic NG Prices'!$O$20</f>
        <v>4282.9148973191905</v>
      </c>
      <c r="I72" s="73">
        <f>I73*'Domestic NG Prices'!$O$20</f>
        <v>489.27637224661424</v>
      </c>
      <c r="J72" s="73"/>
    </row>
    <row r="73" spans="1:10" x14ac:dyDescent="0.2">
      <c r="A73" s="20" t="s">
        <v>203</v>
      </c>
      <c r="B73" s="73">
        <f>B46*1000000*Conv!$D$6*Conv!$J$5</f>
        <v>815.5830037418558</v>
      </c>
      <c r="C73" s="73">
        <f>C46*1000000*Conv!$D$6*Conv!$J$5</f>
        <v>249.75903894815994</v>
      </c>
      <c r="D73" s="73">
        <f>D46*1000000*Conv!$D$6*Conv!$J$5</f>
        <v>445.51450127124258</v>
      </c>
      <c r="E73" s="73">
        <f>E46*1000000*Conv!$D$6*Conv!$J$5</f>
        <v>499.86060745368525</v>
      </c>
      <c r="F73" s="73">
        <f>F46*1000000*Conv!$D$6*Conv!$J$5</f>
        <v>604.51890205657344</v>
      </c>
      <c r="G73" s="73">
        <f>G46*1000000*Conv!$D$6*Conv!$J$5</f>
        <v>15031.850440326974</v>
      </c>
      <c r="H73" s="73">
        <f>H46*1000000*Conv!$D$6*Conv!$J$5</f>
        <v>6118.4498533131291</v>
      </c>
      <c r="I73" s="73">
        <f>I46*1000000*Conv!$D$6*Conv!$J$5</f>
        <v>698.96624606659179</v>
      </c>
      <c r="J73" s="73">
        <f>SUM(B73:I73)</f>
        <v>24464.502593178215</v>
      </c>
    </row>
    <row r="74" spans="1:10" x14ac:dyDescent="0.2">
      <c r="A74" s="20" t="s">
        <v>204</v>
      </c>
      <c r="B74" s="237">
        <f>B73*'Domestic NG Prices'!$O$22</f>
        <v>856.3621539289486</v>
      </c>
      <c r="C74" s="73">
        <f>C73*'Domestic NG Prices'!$O$22</f>
        <v>262.24699089556793</v>
      </c>
      <c r="D74" s="73">
        <f>D73*'Domestic NG Prices'!$O$22</f>
        <v>467.79022633480474</v>
      </c>
      <c r="E74" s="73">
        <f>E73*'Domestic NG Prices'!$O$22</f>
        <v>524.85363782636955</v>
      </c>
      <c r="F74" s="73">
        <f>F73*'Domestic NG Prices'!$O$22</f>
        <v>634.74484715940218</v>
      </c>
      <c r="G74" s="73">
        <f>G73*'Domestic NG Prices'!$O$22</f>
        <v>15783.442962343324</v>
      </c>
      <c r="H74" s="73">
        <f>H73*'Domestic NG Prices'!$O$22</f>
        <v>6424.3723459787861</v>
      </c>
      <c r="I74" s="73">
        <f>I73*'Domestic NG Prices'!$O$22</f>
        <v>733.91455836992145</v>
      </c>
      <c r="J74" s="73"/>
    </row>
    <row r="75" spans="1:10" x14ac:dyDescent="0.2">
      <c r="A75" s="20" t="s">
        <v>205</v>
      </c>
      <c r="B75" s="237">
        <f>B73*'Domestic NG Prices'!$O$23</f>
        <v>897.14130411604151</v>
      </c>
      <c r="C75" s="73">
        <f>C73*'Domestic NG Prices'!$O$23</f>
        <v>274.73494284297595</v>
      </c>
      <c r="D75" s="73">
        <f>D73*'Domestic NG Prices'!$O$23</f>
        <v>490.06595139836685</v>
      </c>
      <c r="E75" s="73">
        <f>E73*'Domestic NG Prices'!$O$23</f>
        <v>549.84666819905385</v>
      </c>
      <c r="F75" s="73">
        <f>F73*'Domestic NG Prices'!$O$23</f>
        <v>664.97079226223082</v>
      </c>
      <c r="G75" s="73">
        <f>G73*'Domestic NG Prices'!$O$23</f>
        <v>16535.035484359672</v>
      </c>
      <c r="H75" s="73">
        <f>H73*'Domestic NG Prices'!$O$23</f>
        <v>6730.2948386444423</v>
      </c>
      <c r="I75" s="73">
        <f>I73*'Domestic NG Prices'!$O$23</f>
        <v>768.862870673251</v>
      </c>
      <c r="J75" s="73"/>
    </row>
    <row r="76" spans="1:10" x14ac:dyDescent="0.2">
      <c r="A76" s="20" t="s">
        <v>206</v>
      </c>
      <c r="B76" s="73">
        <f>B73*'Domestic NG Prices'!$O$24</f>
        <v>978.69960449022687</v>
      </c>
      <c r="C76" s="73">
        <f>C73*'Domestic NG Prices'!$O$24</f>
        <v>299.71084673779194</v>
      </c>
      <c r="D76" s="73">
        <f>D73*'Domestic NG Prices'!$O$24</f>
        <v>534.61740152549112</v>
      </c>
      <c r="E76" s="73">
        <f>E73*'Domestic NG Prices'!$O$24</f>
        <v>599.83272894442223</v>
      </c>
      <c r="F76" s="73">
        <f>F73*'Domestic NG Prices'!$O$24</f>
        <v>725.42268246788808</v>
      </c>
      <c r="G76" s="73">
        <f>G73*'Domestic NG Prices'!$O$24</f>
        <v>18038.220528392369</v>
      </c>
      <c r="H76" s="73">
        <f>H73*'Domestic NG Prices'!$O$24</f>
        <v>7342.1398239757546</v>
      </c>
      <c r="I76" s="73">
        <f>I73*'Domestic NG Prices'!$O$24</f>
        <v>838.75949527991008</v>
      </c>
      <c r="J76" s="73"/>
    </row>
    <row r="77" spans="1:10" x14ac:dyDescent="0.2">
      <c r="B77" s="73"/>
      <c r="C77" s="73"/>
      <c r="D77" s="73"/>
      <c r="E77" s="73"/>
      <c r="F77" s="73"/>
      <c r="G77" s="73"/>
      <c r="H77" s="73"/>
      <c r="I77" s="73"/>
      <c r="J77" s="73"/>
    </row>
    <row r="78" spans="1:10" x14ac:dyDescent="0.2">
      <c r="A78" s="20" t="s">
        <v>258</v>
      </c>
      <c r="B78" s="73"/>
      <c r="C78" s="73"/>
      <c r="D78" s="73"/>
      <c r="E78" s="73"/>
      <c r="F78" s="73"/>
      <c r="G78" s="73"/>
      <c r="H78" s="73"/>
      <c r="I78" s="73"/>
      <c r="J78" s="73"/>
    </row>
    <row r="79" spans="1:10" x14ac:dyDescent="0.2">
      <c r="A79" s="20" t="s">
        <v>201</v>
      </c>
      <c r="B79" s="73">
        <f>B71</f>
        <v>326.23320149674237</v>
      </c>
      <c r="C79" s="73">
        <f t="shared" ref="C79:I79" si="70">C71</f>
        <v>99.903615579263985</v>
      </c>
      <c r="D79" s="73">
        <f t="shared" si="70"/>
        <v>178.20580050849705</v>
      </c>
      <c r="E79" s="73">
        <f t="shared" si="70"/>
        <v>199.9442429814741</v>
      </c>
      <c r="F79" s="73">
        <f t="shared" si="70"/>
        <v>241.8075608226294</v>
      </c>
      <c r="G79" s="73">
        <f t="shared" si="70"/>
        <v>6012.7401761307901</v>
      </c>
      <c r="H79" s="73">
        <f t="shared" si="70"/>
        <v>2447.3799413252518</v>
      </c>
      <c r="I79" s="73">
        <f t="shared" si="70"/>
        <v>279.58649842663675</v>
      </c>
      <c r="J79" s="73"/>
    </row>
    <row r="80" spans="1:10" x14ac:dyDescent="0.2">
      <c r="A80" s="20" t="s">
        <v>202</v>
      </c>
      <c r="B80" s="73">
        <f>B72-B71</f>
        <v>244.67490112255666</v>
      </c>
      <c r="C80" s="73">
        <f t="shared" ref="C80:I80" si="71">C72-C71</f>
        <v>74.927711684447971</v>
      </c>
      <c r="D80" s="73">
        <f t="shared" si="71"/>
        <v>133.65435038137272</v>
      </c>
      <c r="E80" s="73">
        <f t="shared" si="71"/>
        <v>149.95818223610556</v>
      </c>
      <c r="F80" s="73">
        <f t="shared" si="71"/>
        <v>181.35567061697196</v>
      </c>
      <c r="G80" s="73">
        <f t="shared" si="71"/>
        <v>4509.5551320980921</v>
      </c>
      <c r="H80" s="73">
        <f t="shared" si="71"/>
        <v>1835.5349559939386</v>
      </c>
      <c r="I80" s="73">
        <f t="shared" si="71"/>
        <v>209.68987381997749</v>
      </c>
      <c r="J80" s="73"/>
    </row>
    <row r="81" spans="1:10" x14ac:dyDescent="0.2">
      <c r="A81" s="20" t="s">
        <v>203</v>
      </c>
      <c r="B81" s="73">
        <f>B73-B72</f>
        <v>244.67490112255678</v>
      </c>
      <c r="C81" s="73">
        <f t="shared" ref="C81:I81" si="72">C73-C72</f>
        <v>74.927711684447985</v>
      </c>
      <c r="D81" s="73">
        <f t="shared" si="72"/>
        <v>133.65435038137281</v>
      </c>
      <c r="E81" s="73">
        <f t="shared" si="72"/>
        <v>149.95818223610559</v>
      </c>
      <c r="F81" s="73">
        <f t="shared" si="72"/>
        <v>181.35567061697208</v>
      </c>
      <c r="G81" s="73">
        <f t="shared" si="72"/>
        <v>4509.5551320980921</v>
      </c>
      <c r="H81" s="73">
        <f t="shared" si="72"/>
        <v>1835.5349559939386</v>
      </c>
      <c r="I81" s="73">
        <f t="shared" si="72"/>
        <v>209.68987381997755</v>
      </c>
      <c r="J81" s="73"/>
    </row>
    <row r="82" spans="1:10" x14ac:dyDescent="0.2">
      <c r="A82" s="20" t="s">
        <v>204</v>
      </c>
      <c r="B82" s="73">
        <f>B74-B73</f>
        <v>40.779150187092796</v>
      </c>
      <c r="C82" s="73">
        <f t="shared" ref="C82:I82" si="73">C74-C73</f>
        <v>12.487951947407993</v>
      </c>
      <c r="D82" s="73">
        <f t="shared" si="73"/>
        <v>22.275725063562163</v>
      </c>
      <c r="E82" s="73">
        <f t="shared" si="73"/>
        <v>24.993030372684302</v>
      </c>
      <c r="F82" s="73">
        <f t="shared" si="73"/>
        <v>30.225945102828746</v>
      </c>
      <c r="G82" s="73">
        <f t="shared" si="73"/>
        <v>751.5925220163499</v>
      </c>
      <c r="H82" s="73">
        <f t="shared" si="73"/>
        <v>305.92249266565705</v>
      </c>
      <c r="I82" s="73">
        <f t="shared" si="73"/>
        <v>34.948312303329658</v>
      </c>
      <c r="J82" s="73"/>
    </row>
    <row r="83" spans="1:10" x14ac:dyDescent="0.2">
      <c r="A83" s="20" t="s">
        <v>205</v>
      </c>
      <c r="B83" s="73">
        <f t="shared" ref="B83:I84" si="74">B75-B74</f>
        <v>40.77915018709291</v>
      </c>
      <c r="C83" s="73">
        <f t="shared" si="74"/>
        <v>12.487951947408021</v>
      </c>
      <c r="D83" s="73">
        <f t="shared" si="74"/>
        <v>22.275725063562106</v>
      </c>
      <c r="E83" s="73">
        <f t="shared" si="74"/>
        <v>24.993030372684302</v>
      </c>
      <c r="F83" s="73">
        <f t="shared" si="74"/>
        <v>30.225945102828632</v>
      </c>
      <c r="G83" s="73">
        <f t="shared" si="74"/>
        <v>751.59252201634808</v>
      </c>
      <c r="H83" s="73">
        <f t="shared" si="74"/>
        <v>305.92249266565614</v>
      </c>
      <c r="I83" s="73">
        <f t="shared" si="74"/>
        <v>34.948312303329544</v>
      </c>
      <c r="J83" s="73"/>
    </row>
    <row r="84" spans="1:10" x14ac:dyDescent="0.2">
      <c r="A84" s="20" t="s">
        <v>206</v>
      </c>
      <c r="B84" s="73">
        <f t="shared" si="74"/>
        <v>81.558300374185364</v>
      </c>
      <c r="C84" s="73">
        <f t="shared" si="74"/>
        <v>24.975903894815985</v>
      </c>
      <c r="D84" s="73">
        <f t="shared" si="74"/>
        <v>44.551450127124269</v>
      </c>
      <c r="E84" s="73">
        <f t="shared" si="74"/>
        <v>49.986060745368377</v>
      </c>
      <c r="F84" s="73">
        <f t="shared" si="74"/>
        <v>60.451890205657264</v>
      </c>
      <c r="G84" s="73">
        <f t="shared" si="74"/>
        <v>1503.1850440326962</v>
      </c>
      <c r="H84" s="73">
        <f t="shared" si="74"/>
        <v>611.84498533131227</v>
      </c>
      <c r="I84" s="73">
        <f t="shared" si="74"/>
        <v>69.896624606659088</v>
      </c>
    </row>
    <row r="85" spans="1:10" x14ac:dyDescent="0.2">
      <c r="A85" s="20" t="s">
        <v>1580</v>
      </c>
    </row>
    <row r="86" spans="1:10" x14ac:dyDescent="0.2">
      <c r="A86" s="20" t="s">
        <v>201</v>
      </c>
      <c r="B86" s="73">
        <f>B88*'Domestic NG Prices'!$O$19*0.9</f>
        <v>14.464221695562241</v>
      </c>
    </row>
    <row r="87" spans="1:10" x14ac:dyDescent="0.2">
      <c r="A87" s="20" t="s">
        <v>202</v>
      </c>
      <c r="B87" s="73">
        <f>B88*'Domestic NG Prices'!$O$20*0.9</f>
        <v>25.312387967233917</v>
      </c>
    </row>
    <row r="88" spans="1:10" x14ac:dyDescent="0.2">
      <c r="A88" s="20" t="s">
        <v>203</v>
      </c>
      <c r="B88" s="73">
        <f>B47*1000000*Conv!$D$6*Conv!$J$5</f>
        <v>40.178393598783998</v>
      </c>
    </row>
    <row r="89" spans="1:10" x14ac:dyDescent="0.2">
      <c r="A89" s="20" t="s">
        <v>204</v>
      </c>
      <c r="B89" s="73">
        <f>B88*'Domestic NG Prices'!$O$22</f>
        <v>42.187313278723202</v>
      </c>
    </row>
    <row r="90" spans="1:10" x14ac:dyDescent="0.2">
      <c r="A90" s="20" t="s">
        <v>205</v>
      </c>
      <c r="B90" s="73">
        <f>B88*'Domestic NG Prices'!$O$23</f>
        <v>44.196232958662399</v>
      </c>
    </row>
    <row r="91" spans="1:10" x14ac:dyDescent="0.2">
      <c r="A91" s="20" t="s">
        <v>206</v>
      </c>
      <c r="B91" s="73">
        <f>B88*'Domestic NG Prices'!$O$24</f>
        <v>48.214072318540794</v>
      </c>
    </row>
    <row r="92" spans="1:10" x14ac:dyDescent="0.2">
      <c r="B92" s="73"/>
    </row>
    <row r="93" spans="1:10" x14ac:dyDescent="0.2">
      <c r="A93" s="20" t="s">
        <v>258</v>
      </c>
      <c r="B93" s="73"/>
    </row>
    <row r="94" spans="1:10" x14ac:dyDescent="0.2">
      <c r="A94" s="20" t="s">
        <v>201</v>
      </c>
      <c r="B94" s="73">
        <f>B86</f>
        <v>14.464221695562241</v>
      </c>
    </row>
    <row r="95" spans="1:10" x14ac:dyDescent="0.2">
      <c r="A95" s="20" t="s">
        <v>202</v>
      </c>
      <c r="B95" s="73">
        <f>B87-B86</f>
        <v>10.848166271671676</v>
      </c>
    </row>
    <row r="96" spans="1:10" x14ac:dyDescent="0.2">
      <c r="A96" s="20" t="s">
        <v>203</v>
      </c>
      <c r="B96" s="73">
        <f>B87-B86</f>
        <v>10.848166271671676</v>
      </c>
    </row>
    <row r="97" spans="1:2" x14ac:dyDescent="0.2">
      <c r="A97" s="20" t="s">
        <v>204</v>
      </c>
      <c r="B97" s="73">
        <f>(B89-B88)*0.9</f>
        <v>1.8080277119452839</v>
      </c>
    </row>
    <row r="98" spans="1:2" x14ac:dyDescent="0.2">
      <c r="A98" s="20" t="s">
        <v>205</v>
      </c>
      <c r="B98" s="73">
        <f t="shared" ref="B98" si="75">B90-B89</f>
        <v>2.0089196799391971</v>
      </c>
    </row>
    <row r="99" spans="1:2" x14ac:dyDescent="0.2">
      <c r="A99" s="20" t="s">
        <v>206</v>
      </c>
      <c r="B99" s="73">
        <f t="shared" ref="B99" si="76">B91-B90</f>
        <v>4.0178393598783941</v>
      </c>
    </row>
  </sheetData>
  <hyperlinks>
    <hyperlink ref="A6" location="'Data 1'!A1" display="Data 1" xr:uid="{00000000-0004-0000-1300-000000000000}"/>
    <hyperlink ref="B12" r:id="rId1" xr:uid="{00000000-0004-0000-1300-000001000000}"/>
    <hyperlink ref="B13" r:id="rId2" display="http://www.eia.gov/" xr:uid="{00000000-0004-0000-1300-000002000000}"/>
    <hyperlink ref="B14" r:id="rId3" display="mailto:infoctr@eia.gov_x0003_" xr:uid="{00000000-0004-0000-1300-000003000000}"/>
  </hyperlinks>
  <pageMargins left="0.7" right="0.7" top="0.75" bottom="0.75" header="0.3" footer="0.3"/>
  <pageSetup orientation="portrait" r:id="rId4"/>
  <legacyDrawing r:id="rId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142</v>
      </c>
      <c r="B1" s="2"/>
    </row>
    <row r="4" spans="1:5" ht="17.25" customHeight="1" x14ac:dyDescent="0.2"/>
    <row r="5" spans="1:5" ht="18" customHeight="1" x14ac:dyDescent="0.2"/>
    <row r="6" spans="1:5" ht="17.25" customHeight="1" x14ac:dyDescent="0.2"/>
    <row r="7" spans="1:5" ht="15.75" customHeight="1" x14ac:dyDescent="0.2">
      <c r="B7" s="1" t="s">
        <v>135</v>
      </c>
      <c r="C7" s="1" t="s">
        <v>136</v>
      </c>
      <c r="D7" s="1" t="s">
        <v>132</v>
      </c>
      <c r="E7" s="1" t="s">
        <v>130</v>
      </c>
    </row>
    <row r="8" spans="1:5" x14ac:dyDescent="0.2">
      <c r="B8" s="3"/>
      <c r="E8" s="3"/>
    </row>
    <row r="9" spans="1:5" x14ac:dyDescent="0.2">
      <c r="B9" s="8"/>
      <c r="E9" s="3"/>
    </row>
    <row r="10" spans="1:5" x14ac:dyDescent="0.2">
      <c r="B10" s="8"/>
      <c r="E10" s="3"/>
    </row>
    <row r="11" spans="1:5" x14ac:dyDescent="0.2">
      <c r="B11" s="8"/>
      <c r="E11" s="3"/>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11265" r:id="rId14" name="cmdConstrNameAndDesc"/>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91"/>
  <sheetViews>
    <sheetView topLeftCell="A9" zoomScale="80" zoomScaleNormal="80" workbookViewId="0">
      <selection activeCell="C34" sqref="C34"/>
    </sheetView>
  </sheetViews>
  <sheetFormatPr defaultColWidth="9.140625" defaultRowHeight="12.75" x14ac:dyDescent="0.2"/>
  <cols>
    <col min="1" max="1" width="36.5703125" style="20" customWidth="1"/>
    <col min="2" max="10" width="11.42578125" style="20" customWidth="1"/>
    <col min="11" max="11" width="20.7109375" style="20" customWidth="1"/>
    <col min="12" max="12" width="9.140625" style="20" customWidth="1"/>
    <col min="13" max="13" width="10" style="20" customWidth="1"/>
    <col min="14" max="20" width="9.140625" style="20"/>
    <col min="21" max="21" width="13.42578125" style="20" bestFit="1" customWidth="1"/>
    <col min="22" max="24" width="9.140625" style="20"/>
    <col min="25" max="25" width="36.5703125" style="20" customWidth="1"/>
    <col min="26" max="33" width="10.5703125" style="20" customWidth="1"/>
    <col min="34" max="36" width="9.140625" style="20"/>
    <col min="37" max="37" width="19.140625" style="20" customWidth="1"/>
    <col min="38" max="16384" width="9.140625" style="20"/>
  </cols>
  <sheetData>
    <row r="1" spans="1:38" ht="18" x14ac:dyDescent="0.2">
      <c r="A1" s="316" t="s">
        <v>338</v>
      </c>
      <c r="B1" s="316"/>
      <c r="C1" s="316"/>
      <c r="D1" s="316"/>
      <c r="E1" s="316"/>
      <c r="F1" s="316"/>
      <c r="G1" s="316"/>
      <c r="H1" s="316"/>
      <c r="I1" s="77"/>
      <c r="J1" s="77"/>
      <c r="Y1" s="316"/>
      <c r="Z1" s="316"/>
      <c r="AA1" s="316"/>
      <c r="AB1" s="316"/>
      <c r="AC1" s="316"/>
      <c r="AD1" s="316"/>
      <c r="AE1" s="316"/>
      <c r="AF1" s="316"/>
      <c r="AG1" s="316"/>
      <c r="AK1" s="63"/>
    </row>
    <row r="2" spans="1:38" ht="18" x14ac:dyDescent="0.2">
      <c r="A2" s="316"/>
      <c r="B2" s="316"/>
      <c r="C2" s="316"/>
      <c r="D2" s="316"/>
      <c r="E2" s="316"/>
      <c r="F2" s="316"/>
      <c r="G2" s="316"/>
      <c r="H2" s="316"/>
      <c r="I2" s="77"/>
      <c r="J2" s="77"/>
      <c r="Y2" s="316"/>
      <c r="Z2" s="316"/>
      <c r="AA2" s="316"/>
      <c r="AB2" s="316"/>
      <c r="AC2" s="316"/>
      <c r="AD2" s="316"/>
      <c r="AE2" s="316"/>
      <c r="AF2" s="316"/>
      <c r="AG2" s="316"/>
    </row>
    <row r="3" spans="1:38" ht="31.5" customHeight="1" x14ac:dyDescent="0.25">
      <c r="A3" s="80" t="s">
        <v>47</v>
      </c>
      <c r="B3" s="81" t="s">
        <v>1550</v>
      </c>
      <c r="C3" s="81" t="s">
        <v>1551</v>
      </c>
      <c r="D3" s="81">
        <v>2015</v>
      </c>
      <c r="E3" s="81">
        <v>2020</v>
      </c>
      <c r="F3" s="81">
        <v>2025</v>
      </c>
      <c r="G3" s="81">
        <v>2030</v>
      </c>
      <c r="H3" s="81">
        <v>2035</v>
      </c>
      <c r="I3" s="81">
        <v>2040</v>
      </c>
      <c r="J3" s="81"/>
      <c r="Y3" s="80"/>
      <c r="Z3" s="81"/>
      <c r="AA3" s="81"/>
      <c r="AB3" s="81"/>
      <c r="AC3" s="81"/>
      <c r="AD3" s="81"/>
      <c r="AE3" s="81"/>
      <c r="AF3" s="81"/>
      <c r="AG3" s="81"/>
    </row>
    <row r="4" spans="1:38" x14ac:dyDescent="0.2">
      <c r="A4" s="82"/>
      <c r="Y4" s="82"/>
    </row>
    <row r="5" spans="1:38" ht="15" x14ac:dyDescent="0.25">
      <c r="A5" s="80" t="s">
        <v>339</v>
      </c>
      <c r="Y5" s="80"/>
      <c r="AK5" s="63"/>
    </row>
    <row r="6" spans="1:38" ht="15" x14ac:dyDescent="0.25">
      <c r="A6" s="80" t="s">
        <v>340</v>
      </c>
      <c r="B6" s="83">
        <v>17.7726020812988</v>
      </c>
      <c r="C6" s="80">
        <v>21.22</v>
      </c>
      <c r="D6" s="83">
        <v>24.329756</v>
      </c>
      <c r="E6" s="83">
        <v>28.812149000000002</v>
      </c>
      <c r="F6" s="83">
        <v>31.609116</v>
      </c>
      <c r="G6" s="83">
        <v>33.242812999999998</v>
      </c>
      <c r="H6" s="83">
        <v>34.918686000000001</v>
      </c>
      <c r="I6" s="83">
        <v>36.377583000000001</v>
      </c>
      <c r="J6" s="83"/>
      <c r="Y6" s="80"/>
      <c r="Z6" s="80"/>
      <c r="AA6" s="80"/>
      <c r="AB6" s="80"/>
      <c r="AC6" s="80"/>
      <c r="AD6" s="80"/>
      <c r="AE6" s="80"/>
      <c r="AF6" s="80"/>
      <c r="AG6" s="80"/>
      <c r="AK6" s="63"/>
      <c r="AL6" s="84"/>
    </row>
    <row r="7" spans="1:38" x14ac:dyDescent="0.2">
      <c r="A7" s="82"/>
      <c r="B7" s="73"/>
      <c r="D7" s="73"/>
      <c r="E7" s="73"/>
      <c r="F7" s="73"/>
      <c r="G7" s="73"/>
      <c r="H7" s="73"/>
      <c r="I7" s="73"/>
      <c r="J7" s="73"/>
      <c r="Y7" s="82"/>
    </row>
    <row r="8" spans="1:38" ht="15" x14ac:dyDescent="0.25">
      <c r="A8" s="80" t="s">
        <v>341</v>
      </c>
      <c r="B8" s="83"/>
      <c r="C8" s="80">
        <v>18.66</v>
      </c>
      <c r="D8" s="83">
        <v>22.213336999999999</v>
      </c>
      <c r="E8" s="83">
        <v>26.654738999999999</v>
      </c>
      <c r="F8" s="83">
        <v>29.519766000000001</v>
      </c>
      <c r="G8" s="83">
        <v>30.822949999999999</v>
      </c>
      <c r="H8" s="83">
        <v>32.458857999999999</v>
      </c>
      <c r="I8" s="83">
        <v>33.428997000000003</v>
      </c>
      <c r="J8" s="83"/>
      <c r="Y8" s="80"/>
      <c r="Z8" s="80"/>
      <c r="AA8" s="80"/>
      <c r="AB8" s="80"/>
      <c r="AC8" s="80"/>
      <c r="AD8" s="80"/>
      <c r="AE8" s="80"/>
      <c r="AF8" s="80"/>
      <c r="AG8" s="80"/>
      <c r="AK8" s="63"/>
    </row>
    <row r="9" spans="1:38" x14ac:dyDescent="0.2">
      <c r="A9" s="82" t="s">
        <v>342</v>
      </c>
      <c r="B9" s="78">
        <v>1.09566950798035</v>
      </c>
      <c r="C9" s="82">
        <v>1.52</v>
      </c>
      <c r="D9" s="78">
        <v>4.2551189999999997</v>
      </c>
      <c r="E9" s="78">
        <v>5.2879639999999997</v>
      </c>
      <c r="F9" s="78">
        <v>6.5266979999999997</v>
      </c>
      <c r="G9" s="78">
        <v>6.5713489999999997</v>
      </c>
      <c r="H9" s="78">
        <v>7.7223309999999996</v>
      </c>
      <c r="I9" s="78">
        <v>8.0838029999999996</v>
      </c>
      <c r="J9" s="78"/>
      <c r="K9" s="33"/>
      <c r="Y9" s="82"/>
      <c r="Z9" s="82"/>
      <c r="AA9" s="82"/>
      <c r="AB9" s="82"/>
      <c r="AC9" s="82"/>
      <c r="AD9" s="82"/>
      <c r="AE9" s="82"/>
      <c r="AF9" s="82"/>
      <c r="AG9" s="82"/>
      <c r="AK9" s="63"/>
      <c r="AL9" s="84"/>
    </row>
    <row r="10" spans="1:38" x14ac:dyDescent="0.2">
      <c r="A10" s="82" t="s">
        <v>343</v>
      </c>
      <c r="B10" s="78">
        <v>4.6516690254211399</v>
      </c>
      <c r="C10" s="82">
        <v>4.8499999999999996</v>
      </c>
      <c r="D10" s="78">
        <v>6.0217070000000001</v>
      </c>
      <c r="E10" s="78">
        <v>8.3274349999999995</v>
      </c>
      <c r="F10" s="78">
        <v>9.7616929999999993</v>
      </c>
      <c r="G10" s="78">
        <v>10.173031999999999</v>
      </c>
      <c r="H10" s="78">
        <v>10.303288999999999</v>
      </c>
      <c r="I10" s="78">
        <v>10.544703</v>
      </c>
      <c r="J10" s="78"/>
      <c r="K10" s="33"/>
      <c r="Y10" s="82"/>
      <c r="Z10" s="82"/>
      <c r="AA10" s="82"/>
      <c r="AB10" s="82"/>
      <c r="AC10" s="82"/>
      <c r="AD10" s="82"/>
      <c r="AE10" s="82"/>
      <c r="AF10" s="82"/>
      <c r="AG10" s="82"/>
      <c r="AK10" s="63"/>
      <c r="AL10" s="84"/>
    </row>
    <row r="11" spans="1:38" x14ac:dyDescent="0.2">
      <c r="A11" s="82" t="s">
        <v>344</v>
      </c>
      <c r="B11" s="78">
        <v>2.4793183803558301</v>
      </c>
      <c r="C11" s="82">
        <v>3.43</v>
      </c>
      <c r="D11" s="78">
        <v>3.387572</v>
      </c>
      <c r="E11" s="78">
        <v>3.7362479999999998</v>
      </c>
      <c r="F11" s="78">
        <v>3.7076069999999999</v>
      </c>
      <c r="G11" s="78">
        <v>3.4862030000000002</v>
      </c>
      <c r="H11" s="78">
        <v>3.278044</v>
      </c>
      <c r="I11" s="78">
        <v>2.9766379999999999</v>
      </c>
      <c r="J11" s="78"/>
      <c r="K11" s="33"/>
      <c r="Y11" s="82"/>
      <c r="Z11" s="82"/>
      <c r="AA11" s="82"/>
      <c r="AB11" s="82"/>
      <c r="AC11" s="82"/>
      <c r="AD11" s="82"/>
      <c r="AE11" s="82"/>
      <c r="AF11" s="82"/>
      <c r="AG11" s="82"/>
      <c r="AK11" s="63"/>
      <c r="AL11" s="84"/>
    </row>
    <row r="12" spans="1:38" x14ac:dyDescent="0.2">
      <c r="A12" s="82" t="s">
        <v>345</v>
      </c>
      <c r="B12" s="78">
        <v>1.8143150806427</v>
      </c>
      <c r="C12" s="82">
        <v>3.59</v>
      </c>
      <c r="D12" s="78">
        <v>3.4546350000000001</v>
      </c>
      <c r="E12" s="78">
        <v>3.461408</v>
      </c>
      <c r="F12" s="78">
        <v>3.271382</v>
      </c>
      <c r="G12" s="78">
        <v>3.288815</v>
      </c>
      <c r="H12" s="78">
        <v>3.3253089999999998</v>
      </c>
      <c r="I12" s="78">
        <v>4.2020949999999999</v>
      </c>
      <c r="J12" s="78"/>
      <c r="K12" s="33"/>
      <c r="Y12" s="82"/>
      <c r="Z12" s="82"/>
      <c r="AA12" s="82"/>
      <c r="AB12" s="82"/>
      <c r="AC12" s="82"/>
      <c r="AD12" s="82"/>
      <c r="AE12" s="82"/>
      <c r="AF12" s="82"/>
      <c r="AG12" s="82"/>
      <c r="AK12" s="63"/>
      <c r="AL12" s="84"/>
    </row>
    <row r="13" spans="1:38" x14ac:dyDescent="0.2">
      <c r="A13" s="82" t="s">
        <v>346</v>
      </c>
      <c r="B13" s="78">
        <v>4.07385349273682</v>
      </c>
      <c r="C13" s="82">
        <v>5.0599999999999996</v>
      </c>
      <c r="D13" s="78">
        <v>4.9434019999999999</v>
      </c>
      <c r="E13" s="78">
        <v>5.6983189999999997</v>
      </c>
      <c r="F13" s="78">
        <v>6.1229630000000004</v>
      </c>
      <c r="G13" s="78">
        <v>7.1913309999999999</v>
      </c>
      <c r="H13" s="78">
        <v>7.7228519999999996</v>
      </c>
      <c r="I13" s="78">
        <v>7.4986879999999996</v>
      </c>
      <c r="J13" s="78"/>
      <c r="K13" s="33"/>
      <c r="Y13" s="82"/>
      <c r="Z13" s="82"/>
      <c r="AA13" s="82"/>
      <c r="AB13" s="82"/>
      <c r="AC13" s="82"/>
      <c r="AD13" s="82"/>
      <c r="AE13" s="82"/>
      <c r="AF13" s="82"/>
      <c r="AG13" s="82"/>
      <c r="AK13" s="63"/>
      <c r="AL13" s="84"/>
    </row>
    <row r="14" spans="1:38" x14ac:dyDescent="0.2">
      <c r="A14" s="82" t="s">
        <v>347</v>
      </c>
      <c r="B14" s="78">
        <v>0.25004801154136702</v>
      </c>
      <c r="C14" s="82">
        <v>0.21</v>
      </c>
      <c r="D14" s="78">
        <v>0.15090200000000001</v>
      </c>
      <c r="E14" s="78">
        <v>0.14336299999999999</v>
      </c>
      <c r="F14" s="78">
        <v>0.12942300000000001</v>
      </c>
      <c r="G14" s="78">
        <v>0.112223</v>
      </c>
      <c r="H14" s="78">
        <v>0.107034</v>
      </c>
      <c r="I14" s="78">
        <v>0.123074</v>
      </c>
      <c r="J14" s="78"/>
      <c r="K14" s="33"/>
      <c r="Y14" s="82"/>
      <c r="Z14" s="82"/>
      <c r="AA14" s="82"/>
      <c r="AB14" s="82"/>
      <c r="AC14" s="82"/>
      <c r="AD14" s="82"/>
      <c r="AE14" s="82"/>
      <c r="AF14" s="82"/>
      <c r="AG14" s="82"/>
      <c r="AK14" s="63"/>
      <c r="AL14" s="84"/>
    </row>
    <row r="15" spans="1:38" x14ac:dyDescent="0.2">
      <c r="A15" s="82"/>
      <c r="B15" s="73"/>
      <c r="D15" s="73"/>
      <c r="E15" s="73"/>
      <c r="F15" s="73"/>
      <c r="G15" s="73"/>
      <c r="H15" s="73"/>
      <c r="I15" s="73"/>
      <c r="J15" s="73"/>
      <c r="K15" s="43"/>
      <c r="Y15" s="82"/>
    </row>
    <row r="16" spans="1:38" ht="15" x14ac:dyDescent="0.25">
      <c r="A16" s="80" t="s">
        <v>348</v>
      </c>
      <c r="B16" s="83"/>
      <c r="C16" s="80">
        <v>2.56</v>
      </c>
      <c r="D16" s="83">
        <v>2.1164200000000002</v>
      </c>
      <c r="E16" s="83">
        <v>2.157413</v>
      </c>
      <c r="F16" s="83">
        <v>2.0893480000000002</v>
      </c>
      <c r="G16" s="83">
        <v>2.4198650000000002</v>
      </c>
      <c r="H16" s="83">
        <v>2.459829</v>
      </c>
      <c r="I16" s="83">
        <v>2.9485869999999998</v>
      </c>
      <c r="J16" s="83"/>
      <c r="Y16" s="80"/>
      <c r="Z16" s="80"/>
      <c r="AA16" s="80"/>
      <c r="AB16" s="80"/>
      <c r="AC16" s="80"/>
      <c r="AD16" s="80"/>
      <c r="AE16" s="80"/>
      <c r="AF16" s="80"/>
      <c r="AG16" s="80"/>
      <c r="AK16" s="63"/>
    </row>
    <row r="17" spans="1:38" x14ac:dyDescent="0.2">
      <c r="A17" s="82" t="s">
        <v>349</v>
      </c>
      <c r="B17" s="78">
        <v>3.3515694141387899</v>
      </c>
      <c r="C17" s="82">
        <v>2.52</v>
      </c>
      <c r="D17" s="78">
        <v>2.0879699999999999</v>
      </c>
      <c r="E17" s="78">
        <v>2.1362839999999998</v>
      </c>
      <c r="F17" s="78">
        <v>2.0720559999999999</v>
      </c>
      <c r="G17" s="78">
        <v>2.3131140000000001</v>
      </c>
      <c r="H17" s="78">
        <v>2.2972519999999998</v>
      </c>
      <c r="I17" s="78">
        <v>2.4850319999999999</v>
      </c>
      <c r="J17" s="78"/>
      <c r="N17" s="314" t="s">
        <v>371</v>
      </c>
      <c r="O17" s="314"/>
      <c r="P17" s="17"/>
      <c r="Y17" s="82"/>
      <c r="Z17" s="82"/>
      <c r="AA17" s="82"/>
      <c r="AB17" s="82"/>
      <c r="AC17" s="82"/>
      <c r="AD17" s="82"/>
      <c r="AE17" s="82"/>
      <c r="AF17" s="82"/>
      <c r="AG17" s="82"/>
      <c r="AK17" s="63"/>
      <c r="AL17" s="84"/>
    </row>
    <row r="18" spans="1:38" x14ac:dyDescent="0.2">
      <c r="A18" s="82" t="s">
        <v>350</v>
      </c>
      <c r="B18" s="78">
        <v>1.9836394786834699</v>
      </c>
      <c r="C18" s="82">
        <v>0.94</v>
      </c>
      <c r="D18" s="78">
        <v>0.60970299999999999</v>
      </c>
      <c r="E18" s="78">
        <v>0.42043700000000001</v>
      </c>
      <c r="F18" s="78">
        <v>0.490367</v>
      </c>
      <c r="G18" s="78">
        <v>0.56764800000000004</v>
      </c>
      <c r="H18" s="78">
        <v>0.57753299999999996</v>
      </c>
      <c r="I18" s="78">
        <v>0.526555</v>
      </c>
      <c r="J18" s="78"/>
      <c r="N18" s="65" t="s">
        <v>354</v>
      </c>
      <c r="O18" s="65" t="s">
        <v>372</v>
      </c>
      <c r="Y18" s="82"/>
      <c r="Z18" s="82"/>
      <c r="AA18" s="82"/>
      <c r="AB18" s="82"/>
      <c r="AC18" s="82"/>
      <c r="AD18" s="82"/>
      <c r="AE18" s="82"/>
      <c r="AF18" s="82"/>
      <c r="AG18" s="82"/>
      <c r="AK18" s="63"/>
      <c r="AL18" s="84"/>
    </row>
    <row r="19" spans="1:38" x14ac:dyDescent="0.2">
      <c r="A19" s="82" t="s">
        <v>351</v>
      </c>
      <c r="B19" s="78">
        <v>1.36793005466461</v>
      </c>
      <c r="C19" s="82">
        <v>1.58</v>
      </c>
      <c r="D19" s="78">
        <v>1.4782660000000001</v>
      </c>
      <c r="E19" s="78">
        <v>1.7158469999999999</v>
      </c>
      <c r="F19" s="78">
        <v>1.5816889999999999</v>
      </c>
      <c r="G19" s="78">
        <v>1.745466</v>
      </c>
      <c r="H19" s="78">
        <v>1.719719</v>
      </c>
      <c r="I19" s="78">
        <v>1.958477</v>
      </c>
      <c r="J19" s="78"/>
      <c r="M19" s="82">
        <v>1</v>
      </c>
      <c r="N19" s="23">
        <v>0.88</v>
      </c>
      <c r="O19" s="23">
        <v>0.4</v>
      </c>
      <c r="Y19" s="82"/>
      <c r="Z19" s="82"/>
      <c r="AA19" s="82"/>
      <c r="AB19" s="82"/>
      <c r="AC19" s="82"/>
      <c r="AD19" s="82"/>
      <c r="AE19" s="82"/>
      <c r="AF19" s="82"/>
      <c r="AG19" s="82"/>
      <c r="AK19" s="63"/>
      <c r="AL19" s="84"/>
    </row>
    <row r="20" spans="1:38" x14ac:dyDescent="0.2">
      <c r="A20" s="82" t="s">
        <v>352</v>
      </c>
      <c r="B20" s="78">
        <v>5.61599358916283E-2</v>
      </c>
      <c r="C20" s="82">
        <v>0.04</v>
      </c>
      <c r="D20" s="78">
        <v>2.845E-2</v>
      </c>
      <c r="E20" s="78">
        <v>2.1129999999999999E-2</v>
      </c>
      <c r="F20" s="78">
        <v>1.7291999999999998E-2</v>
      </c>
      <c r="G20" s="78">
        <v>4.4992999999999998E-2</v>
      </c>
      <c r="H20" s="78">
        <v>0.119662</v>
      </c>
      <c r="I20" s="78">
        <v>0.154505</v>
      </c>
      <c r="J20" s="78"/>
      <c r="M20" s="82">
        <v>2</v>
      </c>
      <c r="N20" s="23">
        <v>0.95</v>
      </c>
      <c r="O20" s="23">
        <v>0.7</v>
      </c>
      <c r="Y20" s="82"/>
      <c r="Z20" s="82"/>
      <c r="AA20" s="82"/>
      <c r="AB20" s="82"/>
      <c r="AC20" s="82"/>
      <c r="AD20" s="82"/>
      <c r="AE20" s="82"/>
      <c r="AF20" s="82"/>
      <c r="AG20" s="82"/>
      <c r="AK20" s="63"/>
      <c r="AL20" s="84"/>
    </row>
    <row r="21" spans="1:38" x14ac:dyDescent="0.2">
      <c r="A21" s="82" t="s">
        <v>353</v>
      </c>
      <c r="B21" s="78">
        <v>0</v>
      </c>
      <c r="C21" s="82">
        <v>0</v>
      </c>
      <c r="D21" s="78">
        <v>0</v>
      </c>
      <c r="E21" s="78">
        <v>0</v>
      </c>
      <c r="F21" s="78">
        <v>0</v>
      </c>
      <c r="G21" s="78">
        <v>6.1758E-2</v>
      </c>
      <c r="H21" s="78">
        <v>4.2915000000000002E-2</v>
      </c>
      <c r="I21" s="78">
        <v>0.30904999999999999</v>
      </c>
      <c r="J21" s="78"/>
      <c r="M21" s="82">
        <v>3</v>
      </c>
      <c r="N21" s="23">
        <v>1</v>
      </c>
      <c r="O21" s="23">
        <v>1</v>
      </c>
      <c r="Y21" s="82"/>
      <c r="Z21" s="82"/>
      <c r="AA21" s="82"/>
      <c r="AB21" s="82"/>
      <c r="AC21" s="82"/>
      <c r="AD21" s="82"/>
      <c r="AE21" s="82"/>
      <c r="AF21" s="82"/>
      <c r="AG21" s="82"/>
      <c r="AK21" s="63"/>
      <c r="AL21" s="84"/>
    </row>
    <row r="22" spans="1:38" x14ac:dyDescent="0.2">
      <c r="A22" s="82"/>
      <c r="D22" s="73"/>
      <c r="E22" s="73"/>
      <c r="F22" s="73"/>
      <c r="G22" s="73"/>
      <c r="H22" s="73"/>
      <c r="I22" s="73"/>
      <c r="J22" s="73"/>
      <c r="M22" s="82">
        <v>4</v>
      </c>
      <c r="N22" s="23">
        <v>1.08</v>
      </c>
      <c r="O22" s="23">
        <v>1.05</v>
      </c>
      <c r="Y22" s="82"/>
    </row>
    <row r="23" spans="1:38" ht="15" x14ac:dyDescent="0.25">
      <c r="A23" s="80" t="s">
        <v>892</v>
      </c>
      <c r="D23" s="73"/>
      <c r="E23" s="73"/>
      <c r="F23" s="73"/>
      <c r="G23" s="73"/>
      <c r="H23" s="73"/>
      <c r="I23" s="73"/>
      <c r="J23" s="73"/>
      <c r="M23" s="82">
        <v>5</v>
      </c>
      <c r="N23" s="23">
        <v>1.1200000000000001</v>
      </c>
      <c r="O23" s="23">
        <v>1.1000000000000001</v>
      </c>
      <c r="R23" s="20" t="s">
        <v>1002</v>
      </c>
      <c r="Y23" s="80"/>
    </row>
    <row r="24" spans="1:38" ht="15" x14ac:dyDescent="0.25">
      <c r="A24" s="80" t="s">
        <v>1552</v>
      </c>
      <c r="D24" s="73"/>
      <c r="E24" s="73"/>
      <c r="F24" s="73"/>
      <c r="G24" s="73"/>
      <c r="H24" s="73"/>
      <c r="I24" s="73"/>
      <c r="J24" s="73"/>
      <c r="M24" s="82">
        <v>6</v>
      </c>
      <c r="N24" s="23">
        <v>1.53</v>
      </c>
      <c r="O24" s="23">
        <v>1.2</v>
      </c>
      <c r="R24" s="20" t="s">
        <v>1003</v>
      </c>
      <c r="Y24" s="80"/>
      <c r="AK24" s="63"/>
    </row>
    <row r="25" spans="1:38" x14ac:dyDescent="0.2">
      <c r="A25" s="82" t="s">
        <v>893</v>
      </c>
      <c r="B25" s="78">
        <v>8.6000003814697301</v>
      </c>
      <c r="C25" s="82">
        <v>4.3899999999999997</v>
      </c>
      <c r="D25" s="78">
        <v>3.7437749999999999</v>
      </c>
      <c r="E25" s="78">
        <v>4.3764770000000004</v>
      </c>
      <c r="F25" s="78">
        <v>5.2335279999999997</v>
      </c>
      <c r="G25" s="78">
        <v>6.0347580000000001</v>
      </c>
      <c r="H25" s="78">
        <v>6.9247709999999998</v>
      </c>
      <c r="I25" s="78">
        <v>7.6520159999999997</v>
      </c>
      <c r="J25" s="78"/>
      <c r="S25" s="20" t="s">
        <v>1004</v>
      </c>
      <c r="Y25" s="82"/>
      <c r="Z25" s="82"/>
      <c r="AA25" s="82"/>
      <c r="AB25" s="82"/>
      <c r="AC25" s="82"/>
      <c r="AD25" s="82"/>
      <c r="AE25" s="82"/>
      <c r="AF25" s="82"/>
      <c r="AG25" s="82"/>
      <c r="AK25" s="63"/>
      <c r="AL25" s="84"/>
    </row>
    <row r="26" spans="1:38" x14ac:dyDescent="0.2">
      <c r="A26" s="82" t="s">
        <v>894</v>
      </c>
      <c r="B26" s="78">
        <v>7.2912626266479501</v>
      </c>
      <c r="C26" s="82">
        <v>4.0599999999999996</v>
      </c>
      <c r="D26" s="78">
        <v>3.451457</v>
      </c>
      <c r="E26" s="78">
        <v>4.2442830000000002</v>
      </c>
      <c r="F26" s="78">
        <v>4.9052020000000001</v>
      </c>
      <c r="G26" s="78">
        <v>5.6313709999999997</v>
      </c>
      <c r="H26" s="78">
        <v>6.350606</v>
      </c>
      <c r="I26" s="78">
        <v>7.2639709999999997</v>
      </c>
      <c r="J26" s="85">
        <f>1+(I26-H26)/H26</f>
        <v>1.1438232823765164</v>
      </c>
      <c r="K26" s="78"/>
      <c r="L26" s="78"/>
      <c r="S26" s="20" t="s">
        <v>1005</v>
      </c>
      <c r="Y26" s="82"/>
      <c r="Z26" s="82"/>
      <c r="AA26" s="82"/>
      <c r="AB26" s="82"/>
      <c r="AC26" s="82"/>
      <c r="AD26" s="82"/>
      <c r="AE26" s="82"/>
      <c r="AF26" s="82"/>
      <c r="AG26" s="82"/>
      <c r="AK26" s="63"/>
      <c r="AL26" s="84"/>
    </row>
    <row r="27" spans="1:38" x14ac:dyDescent="0.2">
      <c r="A27" s="82"/>
      <c r="B27" s="73">
        <f>B26/Conv!$J$5/1000000*Conv!$D$38</f>
        <v>6.9107825808752814</v>
      </c>
      <c r="C27" s="73">
        <f>C26/Conv!$J$5/1000000*Conv!$D$43</f>
        <v>3.4975839394205068</v>
      </c>
      <c r="D27" s="73">
        <f>D26/Conv!$J$5/1000000*Conv!$D$45</f>
        <v>2.8659903525442769</v>
      </c>
      <c r="E27" s="73">
        <f>E26/Conv!$J$5/1000000*Conv!$D$45</f>
        <v>3.5243301977882617</v>
      </c>
      <c r="F27" s="73">
        <f>F26/Conv!$J$5/1000000*Conv!$D$45</f>
        <v>4.07313827443914</v>
      </c>
      <c r="G27" s="73">
        <f>G26/Conv!$J$5/1000000*Conv!$D$45</f>
        <v>4.6761280692755607</v>
      </c>
      <c r="H27" s="73">
        <f>H26/Conv!$J$5/1000000*Conv!$D$45</f>
        <v>5.273360070489014</v>
      </c>
      <c r="I27" s="73">
        <f>I26/Conv!$J$5/1000000*Conv!$D$45</f>
        <v>6.0317920249800023</v>
      </c>
      <c r="J27" s="73"/>
      <c r="M27" s="20" t="s">
        <v>1247</v>
      </c>
      <c r="P27" s="20">
        <v>1.1000000000000001</v>
      </c>
      <c r="S27" s="20" t="s">
        <v>1006</v>
      </c>
      <c r="Y27" s="82"/>
    </row>
    <row r="28" spans="1:38" ht="15" x14ac:dyDescent="0.25">
      <c r="A28" s="80" t="s">
        <v>895</v>
      </c>
      <c r="B28" s="73"/>
      <c r="D28" s="73"/>
      <c r="E28" s="73"/>
      <c r="F28" s="73"/>
      <c r="G28" s="73"/>
      <c r="H28" s="73"/>
      <c r="I28" s="73"/>
      <c r="J28" s="73"/>
      <c r="P28" s="20" t="s">
        <v>1273</v>
      </c>
      <c r="Y28" s="80"/>
      <c r="AK28" s="63"/>
    </row>
    <row r="29" spans="1:38" x14ac:dyDescent="0.2">
      <c r="A29" s="82" t="s">
        <v>894</v>
      </c>
      <c r="B29" s="78">
        <v>7.5100002288818404</v>
      </c>
      <c r="C29" s="82">
        <v>4.16</v>
      </c>
      <c r="D29" s="78">
        <v>3.5273889999999999</v>
      </c>
      <c r="E29" s="78">
        <v>4.3376570000000001</v>
      </c>
      <c r="F29" s="78">
        <v>5.0131160000000001</v>
      </c>
      <c r="G29" s="78">
        <v>5.755261</v>
      </c>
      <c r="H29" s="78">
        <v>6.4903190000000004</v>
      </c>
      <c r="I29" s="78">
        <v>7.4237780000000004</v>
      </c>
      <c r="J29" s="78"/>
      <c r="Y29" s="82"/>
      <c r="Z29" s="82"/>
      <c r="AA29" s="82"/>
      <c r="AB29" s="82"/>
      <c r="AC29" s="82"/>
      <c r="AD29" s="82"/>
      <c r="AE29" s="82"/>
      <c r="AF29" s="82"/>
      <c r="AG29" s="82"/>
      <c r="AK29" s="63"/>
      <c r="AL29" s="84"/>
    </row>
    <row r="30" spans="1:38" x14ac:dyDescent="0.2">
      <c r="A30" s="82"/>
      <c r="B30" s="73">
        <f>B29/Conv!$D$6/1000/Conv!$J$5/1000000*Conv!$D$38</f>
        <v>6.9648784698317172</v>
      </c>
      <c r="C30" s="73">
        <f>C29/Conv!$D$6/1000/Conv!$J$5/1000000*Conv!$D$43</f>
        <v>3.506586425725013</v>
      </c>
      <c r="D30" s="73">
        <f>D29/Conv!$D$6/1000/Conv!$J$5/1000000*Conv!$D$45</f>
        <v>2.8659903086694798</v>
      </c>
      <c r="E30" s="73">
        <f>E29/Conv!$D$6/1000/Conv!$J$5/1000000*Conv!$D$45</f>
        <v>3.5243300141641112</v>
      </c>
      <c r="F30" s="73">
        <f>F29/Conv!$D$6/1000/Conv!$J$5/1000000*Conv!$D$45</f>
        <v>4.0731379136908092</v>
      </c>
      <c r="G30" s="73">
        <f>G29/Conv!$D$6/1000/Conv!$J$5/1000000*Conv!$D$45</f>
        <v>4.6761279376511702</v>
      </c>
      <c r="H30" s="73">
        <f>H29/Conv!$D$6/1000/Conv!$J$5/1000000*Conv!$D$45</f>
        <v>5.2733598007402627</v>
      </c>
      <c r="I30" s="73">
        <f>I29/Conv!$D$6/1000/Conv!$J$5/1000000*Conv!$D$45</f>
        <v>6.0317917308563631</v>
      </c>
      <c r="J30" s="73"/>
      <c r="Y30" s="82"/>
    </row>
    <row r="31" spans="1:38" ht="15" x14ac:dyDescent="0.25">
      <c r="A31" s="80" t="s">
        <v>896</v>
      </c>
      <c r="B31" s="73"/>
      <c r="D31" s="73"/>
      <c r="E31" s="73"/>
      <c r="F31" s="73"/>
      <c r="G31" s="73"/>
      <c r="H31" s="73"/>
      <c r="I31" s="73"/>
      <c r="J31" s="73" t="s">
        <v>1007</v>
      </c>
      <c r="M31" s="81">
        <v>2005</v>
      </c>
      <c r="N31" s="81">
        <v>2010</v>
      </c>
      <c r="O31" s="81">
        <v>2015</v>
      </c>
      <c r="P31" s="81">
        <v>2020</v>
      </c>
      <c r="Q31" s="81">
        <v>2025</v>
      </c>
      <c r="R31" s="81">
        <v>2030</v>
      </c>
      <c r="S31" s="81">
        <v>2035</v>
      </c>
      <c r="T31" s="81">
        <v>2040</v>
      </c>
      <c r="U31" s="65" t="s">
        <v>368</v>
      </c>
      <c r="Y31" s="80"/>
      <c r="AK31" s="63"/>
    </row>
    <row r="32" spans="1:38" x14ac:dyDescent="0.2">
      <c r="A32" s="82" t="s">
        <v>355</v>
      </c>
      <c r="B32" s="78">
        <v>7.6983780860900897</v>
      </c>
      <c r="C32" s="82">
        <v>4.59</v>
      </c>
      <c r="D32" s="78">
        <v>3.4621490000000001</v>
      </c>
      <c r="E32" s="78">
        <v>4.1064800000000004</v>
      </c>
      <c r="F32" s="78">
        <v>5.4441220000000001</v>
      </c>
      <c r="G32" s="78">
        <v>6.6122529999999999</v>
      </c>
      <c r="H32" s="78">
        <v>6.5718870000000003</v>
      </c>
      <c r="I32" s="78">
        <v>8.1105440000000009</v>
      </c>
      <c r="J32" s="78">
        <v>1.4</v>
      </c>
      <c r="L32" s="20" t="s">
        <v>160</v>
      </c>
      <c r="M32" s="73">
        <f>B32/Conv!$D$6/1000/Conv!$J$5/1000000*Conv!$D$38</f>
        <v>7.1395827097619629</v>
      </c>
      <c r="N32" s="73">
        <f>C32/Conv!$D$6/1000/Conv!$J$5/1000000*Conv!$D$43</f>
        <v>3.8690460803071658</v>
      </c>
      <c r="O32" s="73">
        <f>D32/Conv!$D$6/1000/Conv!$J$5/1000000*Conv!$D$45</f>
        <v>2.8129830538026095</v>
      </c>
      <c r="P32" s="73">
        <f>E32/Conv!$D$6/1000/Conv!$J$5/1000000*Conv!$D$45</f>
        <v>3.3364995702898232</v>
      </c>
      <c r="Q32" s="73">
        <f>F32/Conv!$D$6/1000/Conv!$J$5/1000000*Conv!$D$45</f>
        <v>4.4233286692265317</v>
      </c>
      <c r="R32" s="73">
        <f>G32/Conv!$D$6/1000/Conv!$J$5/1000000*Conv!$D$45</f>
        <v>5.3724307175847903</v>
      </c>
      <c r="S32" s="73">
        <f>H32/Conv!$D$6/1000/Conv!$J$5/1000000*Conv!$D$45</f>
        <v>5.3396334942562165</v>
      </c>
      <c r="T32" s="73">
        <f>I32/Conv!$D$6/1000/Conv!$J$5/1000000*Conv!$D$45</f>
        <v>6.5897865253980781</v>
      </c>
      <c r="U32" s="85">
        <f t="shared" ref="U32:U40" si="0">1+(T32-S32)/S32</f>
        <v>1.2341271236100075</v>
      </c>
      <c r="Y32" s="82"/>
      <c r="Z32" s="82"/>
      <c r="AA32" s="82"/>
      <c r="AB32" s="82"/>
      <c r="AC32" s="82"/>
      <c r="AD32" s="82"/>
      <c r="AE32" s="82"/>
      <c r="AF32" s="82"/>
      <c r="AG32" s="82"/>
      <c r="AK32" s="63"/>
      <c r="AL32" s="84"/>
    </row>
    <row r="33" spans="1:38" x14ac:dyDescent="0.2">
      <c r="A33" s="82" t="s">
        <v>356</v>
      </c>
      <c r="B33" s="78">
        <v>7.8819379806518599</v>
      </c>
      <c r="C33" s="82">
        <v>4.18</v>
      </c>
      <c r="D33" s="78">
        <v>3.5163609999999998</v>
      </c>
      <c r="E33" s="78">
        <v>4.144482</v>
      </c>
      <c r="F33" s="78">
        <v>4.9818379999999998</v>
      </c>
      <c r="G33" s="78">
        <v>5.780926</v>
      </c>
      <c r="H33" s="78">
        <v>6.6548369999999997</v>
      </c>
      <c r="I33" s="78">
        <v>7.4069279999999997</v>
      </c>
      <c r="J33" s="78">
        <v>1.4</v>
      </c>
      <c r="L33" s="20" t="s">
        <v>168</v>
      </c>
      <c r="M33" s="73">
        <f>B32/Conv!$D$6/1000/Conv!$J$5/1000000*Conv!$D$38</f>
        <v>7.1395827097619629</v>
      </c>
      <c r="N33" s="73">
        <f>C32/Conv!$D$6/1000/Conv!$J$5/1000000*Conv!$D$43</f>
        <v>3.8690460803071658</v>
      </c>
      <c r="O33" s="73">
        <f>D32/Conv!$D$6/1000/Conv!$J$5/1000000*Conv!$D$45</f>
        <v>2.8129830538026095</v>
      </c>
      <c r="P33" s="73">
        <f>E32/Conv!$D$6/1000/Conv!$J$5/1000000*Conv!$D$45</f>
        <v>3.3364995702898232</v>
      </c>
      <c r="Q33" s="73">
        <f>F32/Conv!$D$6/1000/Conv!$J$5/1000000*Conv!$D$45</f>
        <v>4.4233286692265317</v>
      </c>
      <c r="R33" s="73">
        <f>G32/Conv!$D$6/1000/Conv!$J$5/1000000*Conv!$D$45</f>
        <v>5.3724307175847903</v>
      </c>
      <c r="S33" s="73">
        <f>H32/Conv!$D$6/1000/Conv!$J$5/1000000*Conv!$D$45</f>
        <v>5.3396334942562165</v>
      </c>
      <c r="T33" s="73">
        <f>I32/Conv!$D$6/1000/Conv!$J$5/1000000*Conv!$D$45</f>
        <v>6.5897865253980781</v>
      </c>
      <c r="U33" s="85">
        <f t="shared" si="0"/>
        <v>1.2341271236100075</v>
      </c>
      <c r="Y33" s="82"/>
      <c r="Z33" s="82"/>
      <c r="AA33" s="82"/>
      <c r="AB33" s="82"/>
      <c r="AC33" s="82"/>
      <c r="AD33" s="82"/>
      <c r="AE33" s="82"/>
      <c r="AF33" s="82"/>
      <c r="AG33" s="82"/>
      <c r="AK33" s="63"/>
      <c r="AL33" s="84"/>
    </row>
    <row r="34" spans="1:38" x14ac:dyDescent="0.2">
      <c r="A34" s="82" t="s">
        <v>357</v>
      </c>
      <c r="B34" s="78">
        <v>7.3497467041015598</v>
      </c>
      <c r="C34" s="82">
        <v>3.85</v>
      </c>
      <c r="D34" s="78">
        <v>3.6933739999999999</v>
      </c>
      <c r="E34" s="78">
        <v>4.7455499999999997</v>
      </c>
      <c r="F34" s="78">
        <v>5.072756</v>
      </c>
      <c r="G34" s="78">
        <v>5.8356640000000004</v>
      </c>
      <c r="H34" s="78">
        <v>6.7762570000000002</v>
      </c>
      <c r="I34" s="78">
        <v>7.5913630000000003</v>
      </c>
      <c r="J34" s="78">
        <v>1.5</v>
      </c>
      <c r="L34" s="20" t="s">
        <v>165</v>
      </c>
      <c r="M34" s="73">
        <f>B32/Conv!$D$6/1000/Conv!$J$5/1000000*Conv!$D$38</f>
        <v>7.1395827097619629</v>
      </c>
      <c r="N34" s="73">
        <f>C32/Conv!$D$6/1000/Conv!$J$5/1000000*Conv!$D$43</f>
        <v>3.8690460803071658</v>
      </c>
      <c r="O34" s="73">
        <f>D32/Conv!$D$6/1000/Conv!$J$5/1000000*Conv!$D$45</f>
        <v>2.8129830538026095</v>
      </c>
      <c r="P34" s="73">
        <f>E32/Conv!$D$6/1000/Conv!$J$5/1000000*Conv!$D$45</f>
        <v>3.3364995702898232</v>
      </c>
      <c r="Q34" s="73">
        <f>F32/Conv!$D$6/1000/Conv!$J$5/1000000*Conv!$D$45</f>
        <v>4.4233286692265317</v>
      </c>
      <c r="R34" s="73">
        <f>G32/Conv!$D$6/1000/Conv!$J$5/1000000*Conv!$D$45</f>
        <v>5.3724307175847903</v>
      </c>
      <c r="S34" s="73">
        <f>H32/Conv!$D$6/1000/Conv!$J$5/1000000*Conv!$D$45</f>
        <v>5.3396334942562165</v>
      </c>
      <c r="T34" s="73">
        <f>I32/Conv!$D$6/1000/Conv!$J$5/1000000*Conv!$D$45</f>
        <v>6.5897865253980781</v>
      </c>
      <c r="U34" s="85">
        <f t="shared" si="0"/>
        <v>1.2341271236100075</v>
      </c>
      <c r="Y34" s="82"/>
      <c r="Z34" s="82"/>
      <c r="AA34" s="82"/>
      <c r="AB34" s="82"/>
      <c r="AC34" s="82"/>
      <c r="AD34" s="82"/>
      <c r="AE34" s="82"/>
      <c r="AF34" s="82"/>
      <c r="AG34" s="82"/>
      <c r="AK34" s="63"/>
      <c r="AL34" s="84"/>
    </row>
    <row r="35" spans="1:38" x14ac:dyDescent="0.2">
      <c r="A35" s="82" t="s">
        <v>358</v>
      </c>
      <c r="B35" s="78">
        <v>7.4758234024047896</v>
      </c>
      <c r="C35" s="82">
        <v>4.21</v>
      </c>
      <c r="D35" s="78">
        <v>3.797485</v>
      </c>
      <c r="E35" s="78">
        <v>4.9007759999999996</v>
      </c>
      <c r="F35" s="78">
        <v>5.2559399999999998</v>
      </c>
      <c r="G35" s="78">
        <v>5.8162190000000002</v>
      </c>
      <c r="H35" s="78">
        <v>6.761253</v>
      </c>
      <c r="I35" s="78">
        <v>7.0148320000000002</v>
      </c>
      <c r="J35" s="78">
        <v>1.5</v>
      </c>
      <c r="L35" s="20" t="s">
        <v>196</v>
      </c>
      <c r="M35" s="73">
        <f>(B34*0.67+B36*0.33)/Conv!$D$6/1000/Conv!$J$5/1000000*Conv!$D$38</f>
        <v>6.632462111815884</v>
      </c>
      <c r="N35" s="73">
        <f>(C34*0.67+C36*0.33)/Conv!$D$6/1000/Conv!$J$5/1000000*Conv!$D$43</f>
        <v>3.2285882999547946</v>
      </c>
      <c r="O35" s="73">
        <f>(D34*0.67+D36*0.33)/Conv!$D$6/1000/Conv!$J$5/1000000*Conv!$D$45</f>
        <v>2.8317146671778817</v>
      </c>
      <c r="P35" s="73">
        <f>(E34*0.67+E36*0.33)/Conv!$D$6/1000/Conv!$J$5/1000000*Conv!$D$45</f>
        <v>3.6307605057241363</v>
      </c>
      <c r="Q35" s="73">
        <f>(F34*0.67+F36*0.33)/Conv!$D$6/1000/Conv!$J$5/1000000*Conv!$D$45</f>
        <v>3.9224537742826806</v>
      </c>
      <c r="R35" s="73">
        <f>(G34*0.67+G36*0.33)/Conv!$D$6/1000/Conv!$J$5/1000000*Conv!$D$45</f>
        <v>4.4561491380726066</v>
      </c>
      <c r="S35" s="73">
        <f>(H34*0.67+H36*0.33)/Conv!$D$6/1000/Conv!$J$5/1000000*Conv!$D$45</f>
        <v>5.243822426086453</v>
      </c>
      <c r="T35" s="73">
        <f>(I34*0.67+I36*0.33)/Conv!$D$6/1000/Conv!$J$5/1000000*Conv!$D$45</f>
        <v>5.940160257107979</v>
      </c>
      <c r="U35" s="85">
        <f t="shared" si="0"/>
        <v>1.1327920311636515</v>
      </c>
      <c r="Y35" s="82"/>
      <c r="Z35" s="82"/>
      <c r="AA35" s="82"/>
      <c r="AB35" s="82"/>
      <c r="AC35" s="82"/>
      <c r="AD35" s="82"/>
      <c r="AE35" s="82"/>
      <c r="AF35" s="82"/>
      <c r="AG35" s="82"/>
      <c r="AK35" s="63"/>
      <c r="AL35" s="84"/>
    </row>
    <row r="36" spans="1:38" x14ac:dyDescent="0.2">
      <c r="A36" s="82" t="s">
        <v>359</v>
      </c>
      <c r="B36" s="78">
        <v>6.7492008209228498</v>
      </c>
      <c r="C36" s="82">
        <v>3.79</v>
      </c>
      <c r="D36" s="78">
        <v>3.062554</v>
      </c>
      <c r="E36" s="78">
        <v>3.9064559999999999</v>
      </c>
      <c r="F36" s="78">
        <v>4.3300340000000004</v>
      </c>
      <c r="G36" s="78">
        <v>4.7715810000000003</v>
      </c>
      <c r="H36" s="78">
        <v>5.7996150000000002</v>
      </c>
      <c r="I36" s="78">
        <v>6.7417790000000002</v>
      </c>
      <c r="J36" s="78">
        <v>1.6</v>
      </c>
      <c r="L36" s="20" t="s">
        <v>195</v>
      </c>
      <c r="M36" s="73">
        <f>B32/Conv!$D$6/1000/Conv!$J$5/1000000*Conv!$D$38</f>
        <v>7.1395827097619629</v>
      </c>
      <c r="N36" s="73">
        <f>C32/Conv!$D$6/1000/Conv!$J$5/1000000*Conv!$D$43</f>
        <v>3.8690460803071658</v>
      </c>
      <c r="O36" s="73">
        <f>D32/Conv!$D$6/1000/Conv!$J$5/1000000*Conv!$D$45</f>
        <v>2.8129830538026095</v>
      </c>
      <c r="P36" s="73">
        <f>E32/Conv!$D$6/1000/Conv!$J$5/1000000*Conv!$D$45</f>
        <v>3.3364995702898232</v>
      </c>
      <c r="Q36" s="73">
        <f>F32/Conv!$D$6/1000/Conv!$J$5/1000000*Conv!$D$45</f>
        <v>4.4233286692265317</v>
      </c>
      <c r="R36" s="73">
        <f>G32/Conv!$D$6/1000/Conv!$J$5/1000000*Conv!$D$45</f>
        <v>5.3724307175847903</v>
      </c>
      <c r="S36" s="73">
        <f>H32/Conv!$D$6/1000/Conv!$J$5/1000000*Conv!$D$45</f>
        <v>5.3396334942562165</v>
      </c>
      <c r="T36" s="73">
        <f>I32/Conv!$D$6/1000/Conv!$J$5/1000000*Conv!$D$45</f>
        <v>6.5897865253980781</v>
      </c>
      <c r="U36" s="85">
        <f t="shared" si="0"/>
        <v>1.2341271236100075</v>
      </c>
      <c r="Y36" s="82"/>
      <c r="Z36" s="82"/>
      <c r="AA36" s="82"/>
      <c r="AB36" s="82"/>
      <c r="AC36" s="82"/>
      <c r="AD36" s="82"/>
      <c r="AE36" s="82"/>
      <c r="AF36" s="82"/>
      <c r="AG36" s="82"/>
      <c r="AK36" s="63"/>
      <c r="AL36" s="84"/>
    </row>
    <row r="37" spans="1:38" x14ac:dyDescent="0.2">
      <c r="A37" s="82" t="s">
        <v>360</v>
      </c>
      <c r="B37" s="78">
        <v>7.5527424812316903</v>
      </c>
      <c r="C37" s="82">
        <v>4.33</v>
      </c>
      <c r="D37" s="78">
        <v>4.3867859999999999</v>
      </c>
      <c r="E37" s="78">
        <v>4.7607379999999999</v>
      </c>
      <c r="F37" s="78">
        <v>5.2818149999999999</v>
      </c>
      <c r="G37" s="78">
        <v>5.6592919999999998</v>
      </c>
      <c r="H37" s="78">
        <v>6.7945289999999998</v>
      </c>
      <c r="I37" s="78">
        <v>7.6236519999999999</v>
      </c>
      <c r="J37" s="78">
        <v>1</v>
      </c>
      <c r="L37" s="20" t="s">
        <v>197</v>
      </c>
      <c r="M37" s="73">
        <f>(B32*0.26+B33*0.74)/Conv!$D$6/1000/Conv!$J$5/1000000*Conv!$D$38</f>
        <v>7.2655573456820033</v>
      </c>
      <c r="N37" s="73">
        <f>(C32*0.26+C33*0.74)/Conv!$D$6/1000/Conv!$J$5/1000000*Conv!$D$43</f>
        <v>3.6133012914694334</v>
      </c>
      <c r="O37" s="73">
        <f>(D32*0.26+D33*0.74)/Conv!$D$6/1000/Conv!$J$5/1000000*Conv!$D$45</f>
        <v>2.845577868067227</v>
      </c>
      <c r="P37" s="73">
        <f>(E32*0.26+E33*0.74)/Conv!$D$6/1000/Conv!$J$5/1000000*Conv!$D$45</f>
        <v>3.3593481671260208</v>
      </c>
      <c r="Q37" s="73">
        <f>(F32*0.26+F33*0.74)/Conv!$D$6/1000/Conv!$J$5/1000000*Conv!$D$45</f>
        <v>4.1453816995979498</v>
      </c>
      <c r="R37" s="73">
        <f>(G32*0.26+G33*0.74)/Conv!$D$6/1000/Conv!$J$5/1000000*Conv!$D$45</f>
        <v>4.8725976703228913</v>
      </c>
      <c r="S37" s="73">
        <f>(H32*0.26+H33*0.74)/Conv!$D$6/1000/Conv!$J$5/1000000*Conv!$D$45</f>
        <v>5.3895069511154006</v>
      </c>
      <c r="T37" s="73">
        <f>(I32*0.26+I33*0.74)/Conv!$D$6/1000/Conv!$J$5/1000000*Conv!$D$45</f>
        <v>6.1667393617882968</v>
      </c>
      <c r="U37" s="85">
        <f t="shared" si="0"/>
        <v>1.1442121547894175</v>
      </c>
      <c r="Y37" s="82"/>
      <c r="Z37" s="82"/>
      <c r="AA37" s="82"/>
      <c r="AB37" s="82"/>
      <c r="AC37" s="82"/>
      <c r="AD37" s="82"/>
      <c r="AE37" s="82"/>
      <c r="AF37" s="82"/>
      <c r="AG37" s="82"/>
      <c r="AK37" s="63"/>
      <c r="AL37" s="84"/>
    </row>
    <row r="38" spans="1:38" x14ac:dyDescent="0.2">
      <c r="A38" s="82"/>
      <c r="B38" s="73"/>
      <c r="D38" s="73"/>
      <c r="E38" s="73"/>
      <c r="F38" s="73"/>
      <c r="G38" s="73"/>
      <c r="H38" s="73"/>
      <c r="I38" s="73"/>
      <c r="J38" s="73"/>
      <c r="L38" s="20" t="s">
        <v>198</v>
      </c>
      <c r="M38" s="73">
        <f>(B33*0.4+B34*0.24+B35*0.25+B40*0.11)/Conv!$D$6/1000/Conv!$J$5/1000000*Conv!$D$38</f>
        <v>7.1082316529956326</v>
      </c>
      <c r="N38" s="73">
        <f>(C33*0.4+C34*0.24+C35*0.25+C40*0.11)/Conv!$D$6/1000/Conv!$J$5/1000000*Conv!$D$43</f>
        <v>3.5325486521462466</v>
      </c>
      <c r="O38" s="73">
        <f>(D33*0.4+D34*0.24+D35*0.25+D40*0.11)/Conv!$D$6/1000/Conv!$J$5/1000000*Conv!$D$45</f>
        <v>2.991627187659176</v>
      </c>
      <c r="P38" s="73">
        <f>(E33*0.4+E34*0.24+E35*0.25+E40*0.11)/Conv!$D$6/1000/Conv!$J$5/1000000*Conv!$D$45</f>
        <v>3.7279213657767616</v>
      </c>
      <c r="Q38" s="73">
        <f>(F33*0.4+F34*0.24+F35*0.25+F40*0.11)/Conv!$D$6/1000/Conv!$J$5/1000000*Conv!$D$45</f>
        <v>4.1502662320093311</v>
      </c>
      <c r="R38" s="73">
        <f>(G33*0.4+G34*0.24+G35*0.25+G40*0.11)/Conv!$D$6/1000/Conv!$J$5/1000000*Conv!$D$45</f>
        <v>4.733050961284488</v>
      </c>
      <c r="S38" s="73">
        <f>(H33*0.4+H34*0.24+H35*0.25+H40*0.11)/Conv!$D$6/1000/Conv!$J$5/1000000*Conv!$D$45</f>
        <v>5.4771501326827243</v>
      </c>
      <c r="T38" s="73">
        <f>(I33*0.4+I34*0.24+I35*0.25+I40*0.11)/Conv!$D$6/1000/Conv!$J$5/1000000*Conv!$D$45</f>
        <v>5.9943983462828303</v>
      </c>
      <c r="U38" s="85">
        <f t="shared" si="0"/>
        <v>1.0944374722382781</v>
      </c>
      <c r="Y38" s="82"/>
    </row>
    <row r="39" spans="1:38" ht="15" x14ac:dyDescent="0.25">
      <c r="A39" s="80" t="s">
        <v>897</v>
      </c>
      <c r="B39" s="73"/>
      <c r="D39" s="73"/>
      <c r="E39" s="73"/>
      <c r="F39" s="73"/>
      <c r="G39" s="73"/>
      <c r="H39" s="73"/>
      <c r="I39" s="73"/>
      <c r="J39" s="73"/>
      <c r="L39" s="20" t="s">
        <v>199</v>
      </c>
      <c r="M39" s="73">
        <f>B36/Conv!$D$6/1000/Conv!$J$5/1000000*Conv!$D$38</f>
        <v>6.259302537093931</v>
      </c>
      <c r="N39" s="73">
        <f>C36/Conv!$D$6/1000/Conv!$J$5/1000000*Conv!$D$43</f>
        <v>3.1947025368985091</v>
      </c>
      <c r="O39" s="73">
        <f>D36/Conv!$D$6/1000/Conv!$J$5/1000000*Conv!$D$45</f>
        <v>2.4883136177430254</v>
      </c>
      <c r="P39" s="73">
        <f>E36/Conv!$D$6/1000/Conv!$J$5/1000000*Conv!$D$45</f>
        <v>3.173980821861083</v>
      </c>
      <c r="Q39" s="73">
        <f>F36/Conv!$D$6/1000/Conv!$J$5/1000000*Conv!$D$45</f>
        <v>3.518136355306813</v>
      </c>
      <c r="R39" s="73">
        <f>G36/Conv!$D$6/1000/Conv!$J$5/1000000*Conv!$D$45</f>
        <v>3.8768916337357258</v>
      </c>
      <c r="S39" s="73">
        <f>H36/Conv!$D$6/1000/Conv!$J$5/1000000*Conv!$D$45</f>
        <v>4.7121653959952097</v>
      </c>
      <c r="T39" s="73">
        <f>I36/Conv!$D$6/1000/Conv!$J$5/1000000*Conv!$D$45</f>
        <v>5.4776701059030968</v>
      </c>
      <c r="U39" s="85">
        <f t="shared" si="0"/>
        <v>1.162452852473828</v>
      </c>
      <c r="Y39" s="80"/>
      <c r="AK39" s="63"/>
    </row>
    <row r="40" spans="1:38" x14ac:dyDescent="0.2">
      <c r="A40" s="82" t="s">
        <v>361</v>
      </c>
      <c r="B40" s="78">
        <v>7.9900274276733398</v>
      </c>
      <c r="C40" s="82">
        <v>4.93</v>
      </c>
      <c r="D40" s="78">
        <v>3.9972210000000001</v>
      </c>
      <c r="E40" s="78">
        <v>5.1483030000000003</v>
      </c>
      <c r="F40" s="78">
        <v>5.307836</v>
      </c>
      <c r="G40" s="78">
        <v>5.9848720000000002</v>
      </c>
      <c r="H40" s="78">
        <v>6.9326299999999996</v>
      </c>
      <c r="I40" s="78">
        <v>7.6304439999999998</v>
      </c>
      <c r="J40" s="78"/>
      <c r="L40" s="20" t="s">
        <v>200</v>
      </c>
      <c r="M40" s="73">
        <f>B37/Conv!$D$6/1000/Conv!$J$5/1000000*Conv!$D$38</f>
        <v>7.0045182280302205</v>
      </c>
      <c r="N40" s="73">
        <f>C37/Conv!$D$6/1000/Conv!$J$5/1000000*Conv!$D$43</f>
        <v>3.6498844286993517</v>
      </c>
      <c r="O40" s="73">
        <f>D37/Conv!$D$6/1000/Conv!$J$5/1000000*Conv!$D$45</f>
        <v>3.5642471420665407</v>
      </c>
      <c r="P40" s="73">
        <f>E37/Conv!$D$6/1000/Conv!$J$5/1000000*Conv!$D$45</f>
        <v>3.8680817369772718</v>
      </c>
      <c r="Q40" s="73">
        <f>F37/Conv!$D$6/1000/Conv!$J$5/1000000*Conv!$D$45</f>
        <v>4.291454841579732</v>
      </c>
      <c r="R40" s="73">
        <f>G37/Conv!$D$6/1000/Conv!$J$5/1000000*Conv!$D$45</f>
        <v>4.5981534857456099</v>
      </c>
      <c r="S40" s="73">
        <f>H37/Conv!$D$6/1000/Conv!$J$5/1000000*Conv!$D$45</f>
        <v>5.5205292826999619</v>
      </c>
      <c r="T40" s="73">
        <f>I37/Conv!$D$6/1000/Conv!$J$5/1000000*Conv!$D$45</f>
        <v>6.1941886048487129</v>
      </c>
      <c r="U40" s="85">
        <f t="shared" si="0"/>
        <v>1.1220280316707749</v>
      </c>
      <c r="Y40" s="82"/>
      <c r="Z40" s="82"/>
      <c r="AA40" s="82"/>
      <c r="AB40" s="82"/>
      <c r="AC40" s="82"/>
      <c r="AD40" s="82"/>
      <c r="AE40" s="82"/>
      <c r="AF40" s="82"/>
      <c r="AG40" s="82"/>
      <c r="AK40" s="63"/>
      <c r="AL40" s="84"/>
    </row>
    <row r="41" spans="1:38" x14ac:dyDescent="0.2">
      <c r="A41" s="82" t="s">
        <v>362</v>
      </c>
      <c r="B41" s="78">
        <v>7.5570187568664604</v>
      </c>
      <c r="C41" s="82">
        <v>4.5199999999999996</v>
      </c>
      <c r="D41" s="78">
        <v>4.7603099999999996</v>
      </c>
      <c r="E41" s="78">
        <v>5.3041640000000001</v>
      </c>
      <c r="F41" s="78">
        <v>5.7574639999999997</v>
      </c>
      <c r="G41" s="78">
        <v>7.0714610000000002</v>
      </c>
      <c r="H41" s="78">
        <v>6.6764460000000003</v>
      </c>
      <c r="I41" s="78">
        <v>7.5662269999999996</v>
      </c>
      <c r="J41" s="78"/>
      <c r="M41" s="73"/>
      <c r="Y41" s="82"/>
      <c r="Z41" s="82"/>
      <c r="AA41" s="82"/>
      <c r="AB41" s="82"/>
      <c r="AC41" s="82"/>
      <c r="AD41" s="82"/>
      <c r="AE41" s="82"/>
      <c r="AF41" s="82"/>
      <c r="AG41" s="82"/>
      <c r="AK41" s="63"/>
      <c r="AL41" s="84"/>
    </row>
    <row r="42" spans="1:38" x14ac:dyDescent="0.2">
      <c r="A42" s="82" t="s">
        <v>363</v>
      </c>
      <c r="B42" s="78">
        <v>0</v>
      </c>
      <c r="C42" s="82">
        <v>4.25</v>
      </c>
      <c r="D42" s="78">
        <v>4.1038829999999997</v>
      </c>
      <c r="E42" s="78">
        <v>5.0207639999999998</v>
      </c>
      <c r="F42" s="78">
        <v>5.2019260000000003</v>
      </c>
      <c r="G42" s="78">
        <v>7.7119309999999999</v>
      </c>
      <c r="H42" s="78">
        <v>8.8160000000000007</v>
      </c>
      <c r="I42" s="78">
        <v>8.7189420000000002</v>
      </c>
      <c r="J42" s="78"/>
      <c r="L42" s="20" t="s">
        <v>1272</v>
      </c>
      <c r="M42" s="73">
        <f>B25/Conv!$D$6/1000/Conv!$J$5/1000000*Conv!$D$38</f>
        <v>7.9757597432671776</v>
      </c>
      <c r="N42" s="73">
        <f>C25/Conv!$D$6/1000/Conv!$J$5/1000000*Conv!$D$43</f>
        <v>3.7004601944550011</v>
      </c>
      <c r="O42" s="73">
        <f>D25/Conv!$D$6/1000/Conv!$J$5/1000000*Conv!$D$45</f>
        <v>3.0418031206195519</v>
      </c>
      <c r="P42" s="73">
        <f>E25/Conv!$D$6/1000/Conv!$J$5/1000000*Conv!$D$45</f>
        <v>3.5558711183016332</v>
      </c>
      <c r="Q42" s="73">
        <f>F25/Conv!$D$6/1000/Conv!$J$5/1000000*Conv!$D$45</f>
        <v>4.2522218355135672</v>
      </c>
      <c r="R42" s="73">
        <f>G25/Conv!$D$6/1000/Conv!$J$5/1000000*Conv!$D$45</f>
        <v>4.9032181999676281</v>
      </c>
      <c r="S42" s="73">
        <f>H25/Conv!$D$6/1000/Conv!$J$5/1000000*Conv!$D$45</f>
        <v>5.6263504183279656</v>
      </c>
      <c r="T42" s="73">
        <f>I25/Conv!$D$6/1000/Conv!$J$5/1000000*Conv!$D$45</f>
        <v>6.2172342482736669</v>
      </c>
      <c r="U42" s="85">
        <f>1+(T42-S42)/S42</f>
        <v>1.105020801409895</v>
      </c>
      <c r="Y42" s="82"/>
      <c r="Z42" s="82"/>
      <c r="AA42" s="82"/>
      <c r="AB42" s="82"/>
      <c r="AC42" s="82"/>
      <c r="AD42" s="82"/>
      <c r="AE42" s="82"/>
      <c r="AF42" s="82"/>
      <c r="AG42" s="82"/>
      <c r="AK42" s="63"/>
      <c r="AL42" s="84"/>
    </row>
    <row r="43" spans="1:38" x14ac:dyDescent="0.2">
      <c r="A43" s="82"/>
      <c r="Y43" s="82"/>
    </row>
    <row r="44" spans="1:38" ht="15" customHeight="1" x14ac:dyDescent="0.2">
      <c r="A44" s="315" t="s">
        <v>364</v>
      </c>
      <c r="B44" s="315"/>
      <c r="C44" s="315"/>
      <c r="D44" s="315"/>
      <c r="E44" s="315"/>
      <c r="F44" s="315"/>
      <c r="G44" s="315"/>
      <c r="H44" s="315"/>
      <c r="I44" s="315"/>
      <c r="J44" s="82"/>
      <c r="Y44" s="315"/>
      <c r="Z44" s="315"/>
      <c r="AA44" s="315"/>
      <c r="AB44" s="315"/>
      <c r="AC44" s="315"/>
      <c r="AD44" s="315"/>
      <c r="AE44" s="315"/>
      <c r="AF44" s="315"/>
      <c r="AG44" s="315"/>
    </row>
    <row r="45" spans="1:38" ht="15" customHeight="1" x14ac:dyDescent="0.2">
      <c r="A45" s="315" t="s">
        <v>365</v>
      </c>
      <c r="B45" s="315"/>
      <c r="C45" s="315"/>
      <c r="D45" s="315"/>
      <c r="E45" s="315"/>
      <c r="F45" s="315"/>
      <c r="G45" s="315"/>
      <c r="H45" s="315"/>
      <c r="I45" s="315"/>
      <c r="J45" s="82"/>
      <c r="Y45" s="315"/>
      <c r="Z45" s="315"/>
      <c r="AA45" s="315"/>
      <c r="AB45" s="315"/>
      <c r="AC45" s="315"/>
      <c r="AD45" s="315"/>
      <c r="AE45" s="315"/>
      <c r="AF45" s="315"/>
      <c r="AG45" s="315"/>
    </row>
    <row r="46" spans="1:38" ht="15" customHeight="1" x14ac:dyDescent="0.2">
      <c r="A46" s="315" t="s">
        <v>366</v>
      </c>
      <c r="B46" s="315"/>
      <c r="C46" s="315"/>
      <c r="D46" s="315"/>
      <c r="E46" s="315"/>
      <c r="F46" s="315"/>
      <c r="G46" s="315"/>
      <c r="H46" s="315"/>
      <c r="I46" s="315"/>
      <c r="J46" s="82"/>
      <c r="K46" s="79"/>
      <c r="L46" s="73"/>
      <c r="M46" s="73"/>
      <c r="N46" s="73"/>
      <c r="O46" s="73"/>
      <c r="P46" s="73"/>
      <c r="Y46" s="315"/>
      <c r="Z46" s="315"/>
      <c r="AA46" s="315"/>
      <c r="AB46" s="315"/>
      <c r="AC46" s="315"/>
      <c r="AD46" s="315"/>
      <c r="AE46" s="315"/>
      <c r="AF46" s="315"/>
      <c r="AG46" s="315"/>
    </row>
    <row r="47" spans="1:38" ht="15" customHeight="1" x14ac:dyDescent="0.2">
      <c r="A47" s="315" t="s">
        <v>367</v>
      </c>
      <c r="B47" s="315"/>
      <c r="C47" s="315"/>
      <c r="D47" s="315"/>
      <c r="E47" s="315"/>
      <c r="F47" s="315"/>
      <c r="G47" s="315"/>
      <c r="H47" s="315"/>
      <c r="I47" s="315"/>
      <c r="J47" s="82"/>
      <c r="K47" s="79"/>
      <c r="L47" s="73"/>
      <c r="M47" s="73"/>
      <c r="N47" s="73"/>
      <c r="O47" s="73"/>
      <c r="P47" s="73"/>
      <c r="Y47" s="315"/>
      <c r="Z47" s="315"/>
      <c r="AA47" s="315"/>
      <c r="AB47" s="315"/>
      <c r="AC47" s="315"/>
      <c r="AD47" s="315"/>
      <c r="AE47" s="315"/>
      <c r="AF47" s="315"/>
      <c r="AG47" s="315"/>
    </row>
    <row r="48" spans="1:38" ht="15" customHeight="1" x14ac:dyDescent="0.2">
      <c r="A48" s="315" t="s">
        <v>898</v>
      </c>
      <c r="B48" s="315"/>
      <c r="C48" s="315"/>
      <c r="D48" s="315"/>
      <c r="E48" s="315"/>
      <c r="F48" s="315"/>
      <c r="G48" s="315"/>
      <c r="H48" s="315"/>
      <c r="I48" s="315"/>
      <c r="J48" s="82"/>
      <c r="K48" s="79"/>
      <c r="L48" s="73"/>
      <c r="M48" s="73"/>
      <c r="N48" s="73"/>
      <c r="O48" s="73"/>
      <c r="P48" s="73"/>
      <c r="Y48" s="315"/>
      <c r="Z48" s="315"/>
      <c r="AA48" s="315"/>
      <c r="AB48" s="315"/>
      <c r="AC48" s="315"/>
      <c r="AD48" s="315"/>
      <c r="AE48" s="315"/>
      <c r="AF48" s="315"/>
      <c r="AG48" s="315"/>
    </row>
    <row r="49" spans="1:33" ht="30" customHeight="1" x14ac:dyDescent="0.2">
      <c r="A49" s="315" t="s">
        <v>899</v>
      </c>
      <c r="B49" s="315"/>
      <c r="C49" s="315"/>
      <c r="D49" s="315"/>
      <c r="E49" s="315"/>
      <c r="F49" s="315"/>
      <c r="G49" s="315"/>
      <c r="H49" s="315"/>
      <c r="I49" s="315"/>
      <c r="J49" s="82"/>
      <c r="K49" s="79"/>
      <c r="L49" s="73"/>
      <c r="M49" s="73"/>
      <c r="N49" s="73"/>
      <c r="O49" s="73"/>
      <c r="P49" s="73"/>
      <c r="Y49" s="315"/>
      <c r="Z49" s="315"/>
      <c r="AA49" s="315"/>
      <c r="AB49" s="315"/>
      <c r="AC49" s="315"/>
      <c r="AD49" s="315"/>
      <c r="AE49" s="315"/>
      <c r="AF49" s="315"/>
      <c r="AG49" s="315"/>
    </row>
    <row r="50" spans="1:33" ht="15" customHeight="1" x14ac:dyDescent="0.2">
      <c r="A50" s="315" t="s">
        <v>900</v>
      </c>
      <c r="B50" s="315"/>
      <c r="C50" s="315"/>
      <c r="D50" s="315"/>
      <c r="E50" s="315"/>
      <c r="F50" s="315"/>
      <c r="G50" s="315"/>
      <c r="H50" s="315"/>
      <c r="I50" s="315"/>
      <c r="J50" s="82"/>
      <c r="K50" s="79"/>
      <c r="L50" s="73"/>
      <c r="M50" s="73"/>
      <c r="N50" s="73"/>
      <c r="O50" s="73"/>
      <c r="P50" s="73"/>
      <c r="Y50" s="315"/>
      <c r="Z50" s="315"/>
      <c r="AA50" s="315"/>
      <c r="AB50" s="315"/>
      <c r="AC50" s="315"/>
      <c r="AD50" s="315"/>
      <c r="AE50" s="315"/>
      <c r="AF50" s="315"/>
      <c r="AG50" s="315"/>
    </row>
    <row r="51" spans="1:33" ht="15" customHeight="1" x14ac:dyDescent="0.2">
      <c r="A51" s="315" t="s">
        <v>901</v>
      </c>
      <c r="B51" s="315"/>
      <c r="C51" s="315"/>
      <c r="D51" s="315"/>
      <c r="E51" s="315"/>
      <c r="F51" s="315"/>
      <c r="G51" s="315"/>
      <c r="H51" s="315"/>
      <c r="I51" s="315"/>
      <c r="J51" s="82"/>
      <c r="K51" s="79"/>
      <c r="L51" s="73"/>
      <c r="M51" s="73"/>
      <c r="N51" s="73"/>
      <c r="O51" s="73"/>
      <c r="P51" s="73"/>
      <c r="Y51" s="315"/>
      <c r="Z51" s="315"/>
      <c r="AA51" s="315"/>
      <c r="AB51" s="315"/>
      <c r="AC51" s="315"/>
      <c r="AD51" s="315"/>
      <c r="AE51" s="315"/>
      <c r="AF51" s="315"/>
      <c r="AG51" s="315"/>
    </row>
    <row r="52" spans="1:33" ht="15" customHeight="1" x14ac:dyDescent="0.2">
      <c r="A52" s="315" t="s">
        <v>902</v>
      </c>
      <c r="B52" s="315"/>
      <c r="C52" s="315"/>
      <c r="D52" s="315"/>
      <c r="E52" s="315"/>
      <c r="F52" s="315"/>
      <c r="G52" s="315"/>
      <c r="H52" s="315"/>
      <c r="I52" s="315"/>
      <c r="J52" s="82"/>
      <c r="Y52" s="315"/>
      <c r="Z52" s="315"/>
      <c r="AA52" s="315"/>
      <c r="AB52" s="315"/>
      <c r="AC52" s="315"/>
      <c r="AD52" s="315"/>
      <c r="AE52" s="315"/>
      <c r="AF52" s="315"/>
      <c r="AG52" s="315"/>
    </row>
    <row r="53" spans="1:33" x14ac:dyDescent="0.2">
      <c r="A53" s="315" t="s">
        <v>903</v>
      </c>
      <c r="B53" s="315"/>
      <c r="C53" s="315"/>
      <c r="D53" s="315"/>
      <c r="E53" s="315"/>
      <c r="F53" s="315"/>
      <c r="G53" s="315"/>
      <c r="H53" s="315"/>
      <c r="I53" s="315"/>
      <c r="J53" s="82"/>
      <c r="Y53" s="315"/>
      <c r="Z53" s="315"/>
      <c r="AA53" s="315"/>
      <c r="AB53" s="315"/>
      <c r="AC53" s="315"/>
      <c r="AD53" s="315"/>
      <c r="AE53" s="315"/>
      <c r="AF53" s="315"/>
      <c r="AG53" s="315"/>
    </row>
    <row r="54" spans="1:33" x14ac:dyDescent="0.2">
      <c r="A54" s="315" t="s">
        <v>904</v>
      </c>
      <c r="B54" s="315"/>
      <c r="C54" s="315"/>
      <c r="D54" s="315"/>
      <c r="E54" s="315"/>
      <c r="F54" s="315"/>
      <c r="G54" s="315"/>
      <c r="H54" s="315"/>
      <c r="I54" s="315"/>
      <c r="J54" s="82"/>
      <c r="Y54" s="315"/>
      <c r="Z54" s="315"/>
      <c r="AA54" s="315"/>
      <c r="AB54" s="315"/>
      <c r="AC54" s="315"/>
      <c r="AD54" s="315"/>
      <c r="AE54" s="315"/>
      <c r="AF54" s="315"/>
      <c r="AG54" s="315"/>
    </row>
    <row r="55" spans="1:33" x14ac:dyDescent="0.2">
      <c r="A55" s="315" t="s">
        <v>905</v>
      </c>
      <c r="B55" s="315"/>
      <c r="C55" s="315"/>
      <c r="D55" s="315"/>
      <c r="E55" s="315"/>
      <c r="F55" s="315"/>
      <c r="G55" s="315"/>
      <c r="H55" s="315"/>
      <c r="I55" s="315"/>
      <c r="J55" s="82"/>
      <c r="Y55" s="315"/>
      <c r="Z55" s="315"/>
      <c r="AA55" s="315"/>
      <c r="AB55" s="315"/>
      <c r="AC55" s="315"/>
      <c r="AD55" s="315"/>
      <c r="AE55" s="315"/>
      <c r="AF55" s="315"/>
      <c r="AG55" s="315"/>
    </row>
    <row r="56" spans="1:33" x14ac:dyDescent="0.2">
      <c r="Y56" s="82"/>
      <c r="Z56" s="82"/>
      <c r="AA56" s="82"/>
      <c r="AB56" s="82"/>
      <c r="AC56" s="82"/>
      <c r="AD56" s="82"/>
      <c r="AE56" s="82"/>
      <c r="AF56" s="82"/>
      <c r="AG56" s="82"/>
    </row>
    <row r="57" spans="1:33" x14ac:dyDescent="0.2">
      <c r="Y57" s="82"/>
      <c r="Z57" s="82"/>
      <c r="AA57" s="82"/>
      <c r="AB57" s="82"/>
      <c r="AC57" s="82"/>
      <c r="AD57" s="82"/>
      <c r="AE57" s="82"/>
      <c r="AF57" s="82"/>
      <c r="AG57" s="82"/>
    </row>
    <row r="58" spans="1:33" x14ac:dyDescent="0.2">
      <c r="Y58" s="82"/>
      <c r="Z58" s="82"/>
      <c r="AA58" s="82"/>
      <c r="AB58" s="82"/>
      <c r="AC58" s="82"/>
      <c r="AD58" s="82"/>
      <c r="AE58" s="82"/>
      <c r="AF58" s="82"/>
      <c r="AG58" s="82"/>
    </row>
    <row r="59" spans="1:33" ht="18" x14ac:dyDescent="0.2">
      <c r="A59" s="316" t="s">
        <v>399</v>
      </c>
      <c r="B59" s="316"/>
      <c r="C59" s="316"/>
      <c r="D59" s="316"/>
      <c r="E59" s="316"/>
      <c r="F59" s="316"/>
      <c r="G59" s="316"/>
      <c r="H59" s="316"/>
      <c r="I59" s="77"/>
      <c r="J59" s="77"/>
    </row>
    <row r="60" spans="1:33" ht="18" x14ac:dyDescent="0.2">
      <c r="A60" s="316"/>
      <c r="B60" s="316"/>
      <c r="C60" s="316"/>
      <c r="D60" s="316"/>
      <c r="E60" s="316"/>
      <c r="F60" s="316"/>
      <c r="G60" s="316"/>
      <c r="H60" s="316"/>
      <c r="I60" s="77"/>
      <c r="J60" s="77"/>
    </row>
    <row r="61" spans="1:33" ht="30" x14ac:dyDescent="0.25">
      <c r="A61" s="80" t="s">
        <v>400</v>
      </c>
      <c r="B61" s="81" t="s">
        <v>1550</v>
      </c>
      <c r="C61" s="81" t="s">
        <v>1551</v>
      </c>
      <c r="D61" s="81">
        <v>2015</v>
      </c>
      <c r="E61" s="81">
        <v>2020</v>
      </c>
      <c r="F61" s="81">
        <v>2025</v>
      </c>
      <c r="G61" s="81">
        <v>2030</v>
      </c>
      <c r="H61" s="81">
        <v>2035</v>
      </c>
      <c r="I61" s="81">
        <v>2040</v>
      </c>
      <c r="J61" s="81"/>
    </row>
    <row r="62" spans="1:33" x14ac:dyDescent="0.2">
      <c r="A62" s="82"/>
    </row>
    <row r="63" spans="1:33" ht="15" x14ac:dyDescent="0.25">
      <c r="A63" s="80" t="s">
        <v>401</v>
      </c>
    </row>
    <row r="64" spans="1:33" x14ac:dyDescent="0.2">
      <c r="A64" s="82" t="s">
        <v>402</v>
      </c>
      <c r="B64" s="82">
        <v>0.45</v>
      </c>
      <c r="C64" s="82">
        <v>0.36</v>
      </c>
      <c r="D64" s="78">
        <v>0.29981600000000003</v>
      </c>
      <c r="E64" s="78">
        <v>0.27736100000000002</v>
      </c>
      <c r="F64" s="78">
        <v>0.25562499999999999</v>
      </c>
      <c r="G64" s="78">
        <v>1.1858</v>
      </c>
      <c r="H64" s="78">
        <v>1.1743980000000001</v>
      </c>
      <c r="I64" s="78">
        <v>1.1671530000000001</v>
      </c>
      <c r="J64" s="78"/>
    </row>
    <row r="65" spans="1:10" x14ac:dyDescent="0.2">
      <c r="A65" s="82"/>
    </row>
    <row r="66" spans="1:10" x14ac:dyDescent="0.2">
      <c r="A66" s="82"/>
    </row>
    <row r="67" spans="1:10" ht="15" customHeight="1" x14ac:dyDescent="0.2">
      <c r="A67" s="315"/>
      <c r="B67" s="315"/>
      <c r="C67" s="315"/>
      <c r="D67" s="315"/>
      <c r="E67" s="315"/>
      <c r="F67" s="315"/>
      <c r="G67" s="315"/>
      <c r="H67" s="315"/>
      <c r="I67" s="82"/>
      <c r="J67" s="82"/>
    </row>
    <row r="68" spans="1:10" ht="15" customHeight="1" x14ac:dyDescent="0.2">
      <c r="A68" s="315"/>
      <c r="B68" s="315"/>
      <c r="C68" s="315"/>
      <c r="D68" s="315"/>
      <c r="E68" s="315"/>
      <c r="F68" s="315"/>
      <c r="G68" s="315"/>
      <c r="H68" s="315"/>
      <c r="I68" s="82"/>
      <c r="J68" s="82"/>
    </row>
    <row r="69" spans="1:10" ht="15" customHeight="1" x14ac:dyDescent="0.2">
      <c r="A69" s="315"/>
      <c r="B69" s="315"/>
      <c r="C69" s="315"/>
      <c r="D69" s="315"/>
      <c r="E69" s="315"/>
      <c r="F69" s="315"/>
      <c r="G69" s="315"/>
      <c r="H69" s="315"/>
      <c r="I69" s="82"/>
      <c r="J69" s="82"/>
    </row>
    <row r="70" spans="1:10" ht="15" customHeight="1" x14ac:dyDescent="0.2">
      <c r="A70" s="315"/>
      <c r="B70" s="315"/>
      <c r="C70" s="315"/>
      <c r="D70" s="315"/>
      <c r="E70" s="315"/>
      <c r="F70" s="315"/>
      <c r="G70" s="315"/>
      <c r="H70" s="315"/>
      <c r="I70" s="82"/>
      <c r="J70" s="82"/>
    </row>
    <row r="71" spans="1:10" ht="15" customHeight="1" x14ac:dyDescent="0.2">
      <c r="A71" s="315"/>
      <c r="B71" s="315"/>
      <c r="C71" s="315"/>
      <c r="D71" s="315"/>
      <c r="E71" s="315"/>
      <c r="F71" s="315"/>
      <c r="G71" s="315"/>
      <c r="H71" s="315"/>
      <c r="I71" s="82"/>
      <c r="J71" s="82"/>
    </row>
    <row r="72" spans="1:10" ht="15" customHeight="1" x14ac:dyDescent="0.2">
      <c r="A72" s="315"/>
      <c r="B72" s="315"/>
      <c r="C72" s="315"/>
      <c r="D72" s="315"/>
      <c r="E72" s="315"/>
      <c r="F72" s="315"/>
      <c r="G72" s="315"/>
      <c r="H72" s="315"/>
      <c r="I72" s="82"/>
      <c r="J72" s="82"/>
    </row>
    <row r="73" spans="1:10" ht="15" customHeight="1" x14ac:dyDescent="0.2">
      <c r="A73" s="315"/>
      <c r="B73" s="315"/>
      <c r="C73" s="315"/>
      <c r="D73" s="315"/>
      <c r="E73" s="315"/>
      <c r="F73" s="315"/>
      <c r="G73" s="315"/>
      <c r="H73" s="315"/>
      <c r="I73" s="82"/>
      <c r="J73" s="82"/>
    </row>
    <row r="74" spans="1:10" ht="15" customHeight="1" x14ac:dyDescent="0.2">
      <c r="A74" s="315"/>
      <c r="B74" s="315"/>
      <c r="C74" s="315"/>
      <c r="D74" s="315"/>
      <c r="E74" s="315"/>
      <c r="F74" s="315"/>
      <c r="G74" s="315"/>
      <c r="H74" s="315"/>
      <c r="I74" s="82"/>
      <c r="J74" s="82"/>
    </row>
    <row r="75" spans="1:10" ht="15" customHeight="1" x14ac:dyDescent="0.2">
      <c r="A75" s="315"/>
      <c r="B75" s="315"/>
      <c r="C75" s="315"/>
      <c r="D75" s="315"/>
      <c r="E75" s="315"/>
      <c r="F75" s="315"/>
      <c r="G75" s="315"/>
      <c r="H75" s="315"/>
      <c r="I75" s="82"/>
      <c r="J75" s="82"/>
    </row>
    <row r="76" spans="1:10" ht="15" customHeight="1" x14ac:dyDescent="0.2">
      <c r="A76" s="315"/>
      <c r="B76" s="315"/>
      <c r="C76" s="315"/>
      <c r="D76" s="315"/>
      <c r="E76" s="315"/>
      <c r="F76" s="315"/>
      <c r="G76" s="315"/>
      <c r="H76" s="315"/>
      <c r="I76" s="82"/>
      <c r="J76" s="82"/>
    </row>
    <row r="77" spans="1:10" ht="15" customHeight="1" x14ac:dyDescent="0.2">
      <c r="A77" s="315"/>
      <c r="B77" s="315"/>
      <c r="C77" s="315"/>
      <c r="D77" s="315"/>
      <c r="E77" s="315"/>
      <c r="F77" s="315"/>
      <c r="G77" s="315"/>
      <c r="H77" s="315"/>
      <c r="I77" s="82"/>
      <c r="J77" s="82"/>
    </row>
    <row r="78" spans="1:10" ht="15" customHeight="1" x14ac:dyDescent="0.2">
      <c r="A78" s="315"/>
      <c r="B78" s="315"/>
      <c r="C78" s="315"/>
      <c r="D78" s="315"/>
      <c r="E78" s="315"/>
      <c r="F78" s="315"/>
      <c r="G78" s="315"/>
      <c r="H78" s="315"/>
      <c r="I78" s="82"/>
      <c r="J78" s="82"/>
    </row>
    <row r="79" spans="1:10" ht="15" customHeight="1" x14ac:dyDescent="0.2">
      <c r="A79" s="315"/>
      <c r="B79" s="315"/>
      <c r="C79" s="315"/>
      <c r="D79" s="315"/>
      <c r="E79" s="315"/>
      <c r="F79" s="315"/>
      <c r="G79" s="315"/>
      <c r="H79" s="315"/>
      <c r="I79" s="82"/>
      <c r="J79" s="82"/>
    </row>
    <row r="80" spans="1:10" ht="15" customHeight="1" x14ac:dyDescent="0.2">
      <c r="A80" s="315"/>
      <c r="B80" s="315"/>
      <c r="C80" s="315"/>
      <c r="D80" s="315"/>
      <c r="E80" s="315"/>
      <c r="F80" s="315"/>
      <c r="G80" s="315"/>
      <c r="H80" s="315"/>
      <c r="I80" s="82"/>
      <c r="J80" s="82"/>
    </row>
    <row r="81" spans="1:10" ht="15" customHeight="1" x14ac:dyDescent="0.2">
      <c r="A81" s="315"/>
      <c r="B81" s="315"/>
      <c r="C81" s="315"/>
      <c r="D81" s="315"/>
      <c r="E81" s="315"/>
      <c r="F81" s="315"/>
      <c r="G81" s="315"/>
      <c r="H81" s="315"/>
      <c r="I81" s="82"/>
      <c r="J81" s="82"/>
    </row>
    <row r="82" spans="1:10" ht="15" customHeight="1" x14ac:dyDescent="0.2">
      <c r="A82" s="315"/>
      <c r="B82" s="315"/>
      <c r="C82" s="315"/>
      <c r="D82" s="315"/>
      <c r="E82" s="315"/>
      <c r="F82" s="315"/>
      <c r="G82" s="315"/>
      <c r="H82" s="315"/>
      <c r="I82" s="82"/>
      <c r="J82" s="82"/>
    </row>
    <row r="83" spans="1:10" ht="15" customHeight="1" x14ac:dyDescent="0.2">
      <c r="A83" s="315"/>
      <c r="B83" s="315"/>
      <c r="C83" s="315"/>
      <c r="D83" s="315"/>
      <c r="E83" s="315"/>
      <c r="F83" s="315"/>
      <c r="G83" s="315"/>
      <c r="H83" s="315"/>
      <c r="I83" s="82"/>
      <c r="J83" s="82"/>
    </row>
    <row r="84" spans="1:10" ht="15" customHeight="1" x14ac:dyDescent="0.2">
      <c r="A84" s="315"/>
      <c r="B84" s="315"/>
      <c r="C84" s="315"/>
      <c r="D84" s="315"/>
      <c r="E84" s="315"/>
      <c r="F84" s="315"/>
      <c r="G84" s="315"/>
      <c r="H84" s="315"/>
      <c r="I84" s="82"/>
      <c r="J84" s="82"/>
    </row>
    <row r="85" spans="1:10" ht="15" customHeight="1" x14ac:dyDescent="0.2">
      <c r="A85" s="315"/>
      <c r="B85" s="315"/>
      <c r="C85" s="315"/>
      <c r="D85" s="315"/>
      <c r="E85" s="315"/>
      <c r="F85" s="315"/>
      <c r="G85" s="315"/>
      <c r="H85" s="315"/>
      <c r="I85" s="82"/>
      <c r="J85" s="82"/>
    </row>
    <row r="86" spans="1:10" ht="30" customHeight="1" x14ac:dyDescent="0.2">
      <c r="A86" s="315"/>
      <c r="B86" s="315"/>
      <c r="C86" s="315"/>
      <c r="D86" s="315"/>
      <c r="E86" s="315"/>
      <c r="F86" s="315"/>
      <c r="G86" s="315"/>
      <c r="H86" s="315"/>
      <c r="I86" s="82"/>
      <c r="J86" s="82"/>
    </row>
    <row r="87" spans="1:10" ht="15" customHeight="1" x14ac:dyDescent="0.2">
      <c r="A87" s="315"/>
      <c r="B87" s="315"/>
      <c r="C87" s="315"/>
      <c r="D87" s="315"/>
      <c r="E87" s="315"/>
      <c r="F87" s="315"/>
      <c r="G87" s="315"/>
      <c r="H87" s="315"/>
      <c r="I87" s="82"/>
      <c r="J87" s="82"/>
    </row>
    <row r="88" spans="1:10" ht="15" customHeight="1" x14ac:dyDescent="0.2">
      <c r="A88" s="315"/>
      <c r="B88" s="315"/>
      <c r="C88" s="315"/>
      <c r="D88" s="315"/>
      <c r="E88" s="315"/>
      <c r="F88" s="315"/>
      <c r="G88" s="315"/>
      <c r="H88" s="315"/>
      <c r="I88" s="82"/>
      <c r="J88" s="82"/>
    </row>
    <row r="89" spans="1:10" ht="15" customHeight="1" x14ac:dyDescent="0.2">
      <c r="A89" s="315"/>
      <c r="B89" s="315"/>
      <c r="C89" s="315"/>
      <c r="D89" s="315"/>
      <c r="E89" s="315"/>
      <c r="F89" s="315"/>
      <c r="G89" s="315"/>
      <c r="H89" s="315"/>
      <c r="I89" s="82"/>
      <c r="J89" s="82"/>
    </row>
    <row r="90" spans="1:10" ht="15" customHeight="1" x14ac:dyDescent="0.2">
      <c r="A90" s="315"/>
      <c r="B90" s="315"/>
      <c r="C90" s="315"/>
      <c r="D90" s="315"/>
      <c r="E90" s="315"/>
      <c r="F90" s="315"/>
      <c r="G90" s="315"/>
      <c r="H90" s="315"/>
      <c r="I90" s="82"/>
      <c r="J90" s="82"/>
    </row>
    <row r="91" spans="1:10" ht="15" customHeight="1" x14ac:dyDescent="0.2">
      <c r="A91" s="315"/>
      <c r="B91" s="315"/>
      <c r="C91" s="315"/>
      <c r="D91" s="315"/>
      <c r="E91" s="315"/>
      <c r="F91" s="315"/>
      <c r="G91" s="315"/>
      <c r="H91" s="315"/>
      <c r="I91" s="82"/>
      <c r="J91" s="82"/>
    </row>
  </sheetData>
  <mergeCells count="53">
    <mergeCell ref="Y53:AG53"/>
    <mergeCell ref="Y54:AG54"/>
    <mergeCell ref="Y55:AG55"/>
    <mergeCell ref="A44:I44"/>
    <mergeCell ref="A45:I45"/>
    <mergeCell ref="A46:I46"/>
    <mergeCell ref="A47:I47"/>
    <mergeCell ref="A48:I48"/>
    <mergeCell ref="A49:I49"/>
    <mergeCell ref="A50:I50"/>
    <mergeCell ref="A51:I51"/>
    <mergeCell ref="A52:I52"/>
    <mergeCell ref="A53:I53"/>
    <mergeCell ref="A54:I54"/>
    <mergeCell ref="A55:I55"/>
    <mergeCell ref="Y48:AG48"/>
    <mergeCell ref="Y49:AG49"/>
    <mergeCell ref="Y50:AG50"/>
    <mergeCell ref="Y51:AG51"/>
    <mergeCell ref="Y52:AG52"/>
    <mergeCell ref="Y1:AG2"/>
    <mergeCell ref="Y44:AG44"/>
    <mergeCell ref="Y45:AG45"/>
    <mergeCell ref="Y46:AG46"/>
    <mergeCell ref="Y47:AG47"/>
    <mergeCell ref="A1:H2"/>
    <mergeCell ref="A73:H73"/>
    <mergeCell ref="A59:H60"/>
    <mergeCell ref="A67:H67"/>
    <mergeCell ref="A90:H90"/>
    <mergeCell ref="A91:H91"/>
    <mergeCell ref="A80:H80"/>
    <mergeCell ref="A81:H81"/>
    <mergeCell ref="A82:H82"/>
    <mergeCell ref="A83:H83"/>
    <mergeCell ref="A84:H84"/>
    <mergeCell ref="A85:H85"/>
    <mergeCell ref="N17:O17"/>
    <mergeCell ref="A86:H86"/>
    <mergeCell ref="A87:H87"/>
    <mergeCell ref="A88:H88"/>
    <mergeCell ref="A89:H89"/>
    <mergeCell ref="A74:H74"/>
    <mergeCell ref="A75:H75"/>
    <mergeCell ref="A76:H76"/>
    <mergeCell ref="A77:H77"/>
    <mergeCell ref="A78:H78"/>
    <mergeCell ref="A79:H79"/>
    <mergeCell ref="A68:H68"/>
    <mergeCell ref="A69:H69"/>
    <mergeCell ref="A70:H70"/>
    <mergeCell ref="A71:H71"/>
    <mergeCell ref="A72:H72"/>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40"/>
  <sheetViews>
    <sheetView workbookViewId="0">
      <selection sqref="A1:H2"/>
    </sheetView>
  </sheetViews>
  <sheetFormatPr defaultColWidth="9.140625" defaultRowHeight="12.75" x14ac:dyDescent="0.2"/>
  <cols>
    <col min="1" max="1" width="36.5703125" style="20" customWidth="1"/>
    <col min="2" max="2" width="8.85546875" style="20" customWidth="1"/>
    <col min="3" max="3" width="7.85546875" style="20" customWidth="1"/>
    <col min="4" max="9" width="8.85546875" style="20" customWidth="1"/>
    <col min="10" max="10" width="9.140625" style="20"/>
    <col min="11" max="11" width="9.5703125" style="20" bestFit="1" customWidth="1"/>
    <col min="12" max="16384" width="9.140625" style="20"/>
  </cols>
  <sheetData>
    <row r="1" spans="1:29" x14ac:dyDescent="0.2">
      <c r="A1" s="317" t="s">
        <v>373</v>
      </c>
      <c r="B1" s="317"/>
      <c r="C1" s="317"/>
      <c r="D1" s="317"/>
      <c r="E1" s="317"/>
      <c r="F1" s="317"/>
      <c r="G1" s="317"/>
      <c r="H1" s="317"/>
      <c r="I1" s="86"/>
    </row>
    <row r="2" spans="1:29" x14ac:dyDescent="0.2">
      <c r="A2" s="317"/>
      <c r="B2" s="317"/>
      <c r="C2" s="317"/>
      <c r="D2" s="317"/>
      <c r="E2" s="317"/>
      <c r="F2" s="317"/>
      <c r="G2" s="317"/>
      <c r="H2" s="317"/>
      <c r="I2" s="86"/>
    </row>
    <row r="3" spans="1:29" x14ac:dyDescent="0.2">
      <c r="A3" s="87" t="s">
        <v>374</v>
      </c>
      <c r="B3" s="88">
        <v>2005</v>
      </c>
      <c r="C3" s="88">
        <v>2010</v>
      </c>
      <c r="D3" s="88">
        <v>2015</v>
      </c>
      <c r="E3" s="88">
        <v>2020</v>
      </c>
      <c r="F3" s="88">
        <v>2025</v>
      </c>
      <c r="G3" s="88">
        <v>2030</v>
      </c>
      <c r="H3" s="88">
        <v>2035</v>
      </c>
      <c r="I3" s="88">
        <v>2040</v>
      </c>
    </row>
    <row r="4" spans="1:29" x14ac:dyDescent="0.2">
      <c r="A4" s="82"/>
    </row>
    <row r="5" spans="1:29" x14ac:dyDescent="0.2">
      <c r="A5" s="87" t="s">
        <v>375</v>
      </c>
    </row>
    <row r="6" spans="1:29" x14ac:dyDescent="0.2">
      <c r="A6" s="82" t="s">
        <v>376</v>
      </c>
      <c r="B6" s="84">
        <v>3.5729236602783199</v>
      </c>
      <c r="C6" s="82">
        <v>2.58</v>
      </c>
      <c r="D6" s="78">
        <v>1.0843290000000001</v>
      </c>
      <c r="E6" s="78">
        <v>-1.926104</v>
      </c>
      <c r="F6" s="78">
        <v>-3.4101520000000001</v>
      </c>
      <c r="G6" s="78">
        <v>-4.9370260000000004</v>
      </c>
      <c r="H6" s="78">
        <v>-5.5311029999999999</v>
      </c>
      <c r="I6" s="78">
        <v>-5.7980029999999996</v>
      </c>
    </row>
    <row r="7" spans="1:29" x14ac:dyDescent="0.2">
      <c r="A7" s="82" t="s">
        <v>377</v>
      </c>
      <c r="B7" s="84">
        <v>4.3210434913635298</v>
      </c>
      <c r="C7" s="82">
        <v>3.71</v>
      </c>
      <c r="D7" s="78">
        <v>3.1080169999999998</v>
      </c>
      <c r="E7" s="78">
        <v>2.3354409999999999</v>
      </c>
      <c r="F7" s="78">
        <v>1.9885790000000001</v>
      </c>
      <c r="G7" s="78">
        <v>1.964056</v>
      </c>
      <c r="H7" s="78">
        <v>2.0049630000000001</v>
      </c>
      <c r="I7" s="78">
        <v>2.2216800000000001</v>
      </c>
    </row>
    <row r="8" spans="1:29" x14ac:dyDescent="0.2">
      <c r="A8" s="82" t="s">
        <v>378</v>
      </c>
      <c r="B8" s="84">
        <v>3.68046355247498</v>
      </c>
      <c r="C8" s="82">
        <v>3.25</v>
      </c>
      <c r="D8" s="78">
        <v>2.9582510000000002</v>
      </c>
      <c r="E8" s="78">
        <v>2.187141</v>
      </c>
      <c r="F8" s="78">
        <v>1.840279</v>
      </c>
      <c r="G8" s="78">
        <v>1.8157559999999999</v>
      </c>
      <c r="H8" s="78">
        <v>1.856663</v>
      </c>
      <c r="I8" s="78">
        <v>2.0733799999999998</v>
      </c>
      <c r="W8" s="20">
        <v>2005</v>
      </c>
      <c r="X8" s="20">
        <v>2010</v>
      </c>
      <c r="Y8" s="20">
        <v>2015</v>
      </c>
      <c r="AA8" s="20">
        <v>2005</v>
      </c>
      <c r="AB8" s="20">
        <v>2010</v>
      </c>
      <c r="AC8" s="20">
        <v>2015</v>
      </c>
    </row>
    <row r="9" spans="1:29" x14ac:dyDescent="0.2">
      <c r="A9" s="82" t="s">
        <v>379</v>
      </c>
      <c r="B9" s="84">
        <v>9.3200001865625399E-3</v>
      </c>
      <c r="C9" s="82">
        <v>0.03</v>
      </c>
      <c r="D9" s="78">
        <v>2.8159999999999999E-3</v>
      </c>
      <c r="E9" s="78">
        <v>2.9999999999999997E-4</v>
      </c>
      <c r="F9" s="78">
        <v>2.9999999999999997E-4</v>
      </c>
      <c r="G9" s="78">
        <v>2.9999999999999997E-4</v>
      </c>
      <c r="H9" s="78">
        <v>2.9999999999999997E-4</v>
      </c>
      <c r="I9" s="78">
        <v>2.9999999999999997E-4</v>
      </c>
      <c r="U9" s="20" t="s">
        <v>9</v>
      </c>
      <c r="V9" s="20" t="s">
        <v>639</v>
      </c>
      <c r="W9" s="73">
        <f>W11*'Domestic NG Prices'!$O$19</f>
        <v>1424.2786483800028</v>
      </c>
      <c r="X9" s="73">
        <f>X11*'Domestic NG Prices'!$O$19</f>
        <v>1082.5803009279998</v>
      </c>
      <c r="AA9" s="73">
        <f>W9</f>
        <v>1424.2786483800028</v>
      </c>
      <c r="AB9" s="73">
        <f>X9</f>
        <v>1082.5803009279998</v>
      </c>
    </row>
    <row r="10" spans="1:29" x14ac:dyDescent="0.2">
      <c r="A10" s="82" t="s">
        <v>380</v>
      </c>
      <c r="B10" s="84">
        <v>0</v>
      </c>
      <c r="C10" s="82">
        <v>0</v>
      </c>
      <c r="D10" s="78">
        <v>0</v>
      </c>
      <c r="E10" s="78">
        <v>0</v>
      </c>
      <c r="F10" s="78">
        <v>0</v>
      </c>
      <c r="G10" s="78">
        <v>0</v>
      </c>
      <c r="H10" s="78">
        <v>0</v>
      </c>
      <c r="I10" s="78">
        <v>0</v>
      </c>
      <c r="V10" s="20" t="s">
        <v>640</v>
      </c>
      <c r="W10" s="73">
        <f>W11*'Domestic NG Prices'!$O$20</f>
        <v>2492.4876346650044</v>
      </c>
      <c r="X10" s="73">
        <f>X11*'Domestic NG Prices'!$O$20</f>
        <v>1894.5155266239994</v>
      </c>
      <c r="AA10" s="73">
        <f>W10-W9</f>
        <v>1068.2089862850016</v>
      </c>
      <c r="AB10" s="73">
        <f>X10-X9</f>
        <v>811.93522569599963</v>
      </c>
    </row>
    <row r="11" spans="1:29" x14ac:dyDescent="0.2">
      <c r="A11" s="82" t="s">
        <v>381</v>
      </c>
      <c r="B11" s="84">
        <v>0.63126003742217995</v>
      </c>
      <c r="C11" s="82">
        <v>0.43</v>
      </c>
      <c r="D11" s="78">
        <v>0.14695</v>
      </c>
      <c r="E11" s="78">
        <v>0.14799999999999999</v>
      </c>
      <c r="F11" s="78">
        <v>0.14799999999999999</v>
      </c>
      <c r="G11" s="78">
        <v>0.14799999999999999</v>
      </c>
      <c r="H11" s="78">
        <v>0.14799999999999999</v>
      </c>
      <c r="I11" s="78">
        <v>0.14799999999999999</v>
      </c>
      <c r="V11" s="20" t="s">
        <v>641</v>
      </c>
      <c r="W11" s="73">
        <f>K17</f>
        <v>3560.6966209500065</v>
      </c>
      <c r="X11" s="73">
        <f>L17</f>
        <v>2706.4507523199995</v>
      </c>
      <c r="AA11" s="73">
        <f t="shared" ref="AA11:AB14" si="0">W11-W10</f>
        <v>1068.2089862850021</v>
      </c>
      <c r="AB11" s="73">
        <f t="shared" si="0"/>
        <v>811.93522569600009</v>
      </c>
    </row>
    <row r="12" spans="1:29" x14ac:dyDescent="0.2">
      <c r="A12" s="82" t="s">
        <v>382</v>
      </c>
      <c r="B12" s="84">
        <v>0.74812006950378396</v>
      </c>
      <c r="C12" s="82">
        <v>1.1399999999999999</v>
      </c>
      <c r="D12" s="78">
        <v>2.0236890000000001</v>
      </c>
      <c r="E12" s="78">
        <v>4.2615449999999999</v>
      </c>
      <c r="F12" s="78">
        <v>5.3987319999999999</v>
      </c>
      <c r="G12" s="78">
        <v>6.9010819999999997</v>
      </c>
      <c r="H12" s="78">
        <v>7.5360670000000001</v>
      </c>
      <c r="I12" s="78">
        <v>8.0196830000000006</v>
      </c>
      <c r="V12" s="20" t="s">
        <v>642</v>
      </c>
      <c r="W12" s="73">
        <f>W11*'Domestic NG Prices'!$O$22</f>
        <v>3738.7314519975071</v>
      </c>
      <c r="X12" s="73">
        <f>X11*'Domestic NG Prices'!$O$22</f>
        <v>2841.7732899359999</v>
      </c>
      <c r="AA12" s="73">
        <f t="shared" si="0"/>
        <v>178.03483104750057</v>
      </c>
      <c r="AB12" s="73">
        <f t="shared" si="0"/>
        <v>135.32253761600032</v>
      </c>
    </row>
    <row r="13" spans="1:29" x14ac:dyDescent="0.2">
      <c r="A13" s="82" t="s">
        <v>383</v>
      </c>
      <c r="B13" s="84">
        <v>0.37822407484054599</v>
      </c>
      <c r="C13" s="82">
        <v>0.74</v>
      </c>
      <c r="D13" s="78">
        <v>1.0143070000000001</v>
      </c>
      <c r="E13" s="78">
        <v>1.080964</v>
      </c>
      <c r="F13" s="78">
        <v>1.18302</v>
      </c>
      <c r="G13" s="78">
        <v>1.3727419999999999</v>
      </c>
      <c r="H13" s="78">
        <v>1.449109</v>
      </c>
      <c r="I13" s="78">
        <v>1.3680909999999999</v>
      </c>
      <c r="V13" s="20" t="s">
        <v>643</v>
      </c>
      <c r="W13" s="73">
        <f>W11*'Domestic NG Prices'!$O$23</f>
        <v>3916.7662830450076</v>
      </c>
      <c r="X13" s="73">
        <f>X11*'Domestic NG Prices'!$O$23</f>
        <v>2977.0958275519997</v>
      </c>
      <c r="AA13" s="73">
        <f t="shared" si="0"/>
        <v>178.03483104750057</v>
      </c>
      <c r="AB13" s="73">
        <f t="shared" si="0"/>
        <v>135.32253761599986</v>
      </c>
    </row>
    <row r="14" spans="1:29" x14ac:dyDescent="0.2">
      <c r="A14" s="82" t="s">
        <v>384</v>
      </c>
      <c r="B14" s="84">
        <v>0.30519601702690102</v>
      </c>
      <c r="C14" s="82">
        <v>0.33</v>
      </c>
      <c r="D14" s="78">
        <v>0.90138200000000002</v>
      </c>
      <c r="E14" s="78">
        <v>1.102581</v>
      </c>
      <c r="F14" s="78">
        <v>1.4977119999999999</v>
      </c>
      <c r="G14" s="78">
        <v>2.0103399999999998</v>
      </c>
      <c r="H14" s="78">
        <v>2.5689579999999999</v>
      </c>
      <c r="I14" s="78">
        <v>3.133591</v>
      </c>
      <c r="V14" s="20" t="s">
        <v>644</v>
      </c>
      <c r="W14" s="73">
        <f>W11*'Domestic NG Prices'!$O$24</f>
        <v>4272.8359451400074</v>
      </c>
      <c r="X14" s="73">
        <f>X11*'Domestic NG Prices'!$O$24</f>
        <v>3247.7409027839994</v>
      </c>
      <c r="AA14" s="73">
        <f t="shared" si="0"/>
        <v>356.06966209499979</v>
      </c>
      <c r="AB14" s="73">
        <f t="shared" si="0"/>
        <v>270.64507523199973</v>
      </c>
    </row>
    <row r="15" spans="1:29" x14ac:dyDescent="0.2">
      <c r="A15" s="82" t="s">
        <v>385</v>
      </c>
      <c r="B15" s="84">
        <v>6.4699999988079099E-2</v>
      </c>
      <c r="C15" s="82">
        <v>0.06</v>
      </c>
      <c r="D15" s="78">
        <v>0.108</v>
      </c>
      <c r="E15" s="78">
        <v>2.0779999999999998</v>
      </c>
      <c r="F15" s="78">
        <v>2.718</v>
      </c>
      <c r="G15" s="78">
        <v>3.5179999999999998</v>
      </c>
      <c r="H15" s="78">
        <v>3.5179999999999998</v>
      </c>
      <c r="I15" s="78">
        <v>3.5179999999999998</v>
      </c>
    </row>
    <row r="16" spans="1:29" x14ac:dyDescent="0.2">
      <c r="A16" s="82" t="s">
        <v>376</v>
      </c>
      <c r="B16" s="89">
        <f>B7-B12</f>
        <v>3.5729234218597457</v>
      </c>
      <c r="C16" s="82">
        <v>2.58</v>
      </c>
      <c r="D16" s="78">
        <v>1.0843290000000001</v>
      </c>
      <c r="E16" s="78">
        <v>-1.926104</v>
      </c>
      <c r="F16" s="78">
        <v>-3.4101530000000002</v>
      </c>
      <c r="G16" s="78">
        <v>-4.9370260000000004</v>
      </c>
      <c r="H16" s="78">
        <v>-5.5311029999999999</v>
      </c>
      <c r="I16" s="78">
        <v>-5.7980029999999996</v>
      </c>
      <c r="K16" s="88">
        <v>2005</v>
      </c>
      <c r="L16" s="88">
        <v>2010</v>
      </c>
      <c r="M16" s="88">
        <v>2015</v>
      </c>
      <c r="N16" s="88">
        <v>2020</v>
      </c>
      <c r="O16" s="88">
        <v>2025</v>
      </c>
      <c r="P16" s="88">
        <v>2030</v>
      </c>
      <c r="Q16" s="88">
        <v>2035</v>
      </c>
      <c r="R16" s="88">
        <v>2040</v>
      </c>
      <c r="U16" s="20" t="s">
        <v>645</v>
      </c>
      <c r="V16" s="20" t="s">
        <v>639</v>
      </c>
      <c r="W16" s="73">
        <f>W18*'Domestic NG Prices'!$O$19</f>
        <v>244.36124933035367</v>
      </c>
      <c r="X16" s="73">
        <f>X18*'Domestic NG Prices'!$O$19</f>
        <v>159.583550336</v>
      </c>
      <c r="Y16" s="73">
        <f>Y18*'Domestic NG Prices'!$O$19</f>
        <v>16.799403474559998</v>
      </c>
      <c r="Z16" s="73"/>
      <c r="AA16" s="73">
        <f>W16</f>
        <v>244.36124933035367</v>
      </c>
      <c r="AB16" s="73">
        <f>X16</f>
        <v>159.583550336</v>
      </c>
      <c r="AC16" s="73">
        <f>Y16</f>
        <v>16.799403474559998</v>
      </c>
    </row>
    <row r="17" spans="1:29" x14ac:dyDescent="0.2">
      <c r="A17" s="82" t="s">
        <v>386</v>
      </c>
      <c r="B17" s="89">
        <f>B8-B13</f>
        <v>3.3022394776344339</v>
      </c>
      <c r="C17" s="82">
        <v>2.5099999999999998</v>
      </c>
      <c r="D17" s="78">
        <v>1.9439439999999999</v>
      </c>
      <c r="E17" s="78">
        <v>1.106177</v>
      </c>
      <c r="F17" s="78">
        <v>0.65725900000000004</v>
      </c>
      <c r="G17" s="78">
        <v>0.44301400000000002</v>
      </c>
      <c r="H17" s="78">
        <v>0.407555</v>
      </c>
      <c r="I17" s="78">
        <v>0.70528900000000005</v>
      </c>
      <c r="K17" s="73">
        <f>B17*1000000*Conv!$D$6*Conv!$J$5*1000000</f>
        <v>3560.6966209500065</v>
      </c>
      <c r="L17" s="73">
        <f>C17*1000000*Conv!$D$6*Conv!$J$5*1000000</f>
        <v>2706.4507523199995</v>
      </c>
      <c r="M17" s="73">
        <f>D17*1000000*Conv!$D$6*Conv!$J$5*1000000</f>
        <v>2096.0911160430078</v>
      </c>
      <c r="N17" s="73">
        <f>E17*1000000*Conv!$D$6*Conv!$J$5*1000000</f>
        <v>1192.7544118920639</v>
      </c>
      <c r="O17" s="73">
        <f>F17*1000000*Conv!$D$6*Conv!$J$5*1000000</f>
        <v>708.70084263708782</v>
      </c>
      <c r="P17" s="73">
        <f>G17*1000000*Conv!$D$6*Conv!$J$5*1000000</f>
        <v>477.68747951724794</v>
      </c>
      <c r="Q17" s="73">
        <f>H17*1000000*Conv!$D$6*Conv!$J$5*1000000</f>
        <v>439.45320173775985</v>
      </c>
      <c r="R17" s="73">
        <f>I17*1000000*Conv!$D$6*Conv!$J$5*1000000</f>
        <v>760.49001779004789</v>
      </c>
      <c r="V17" s="20" t="s">
        <v>640</v>
      </c>
      <c r="W17" s="73">
        <f>W18*'Domestic NG Prices'!$O$20</f>
        <v>427.63218632811891</v>
      </c>
      <c r="X17" s="73">
        <f>X18*'Domestic NG Prices'!$O$20</f>
        <v>279.27121308799997</v>
      </c>
      <c r="Y17" s="73">
        <f>Y18*'Domestic NG Prices'!$O$20</f>
        <v>29.398956080479994</v>
      </c>
      <c r="Z17" s="73"/>
      <c r="AA17" s="73">
        <f t="shared" ref="AA17:AC18" si="1">W17-W16</f>
        <v>183.27093699776523</v>
      </c>
      <c r="AB17" s="73">
        <f t="shared" si="1"/>
        <v>119.68766275199997</v>
      </c>
      <c r="AC17" s="73">
        <f t="shared" si="1"/>
        <v>12.599552605919996</v>
      </c>
    </row>
    <row r="18" spans="1:29" x14ac:dyDescent="0.2">
      <c r="A18" s="82" t="s">
        <v>387</v>
      </c>
      <c r="B18" s="89">
        <f>B9-B14</f>
        <v>-0.29587601684033848</v>
      </c>
      <c r="C18" s="82">
        <v>-0.3</v>
      </c>
      <c r="D18" s="78">
        <v>-0.89856599999999998</v>
      </c>
      <c r="E18" s="78">
        <v>-1.1022810000000001</v>
      </c>
      <c r="F18" s="78">
        <v>-1.497411</v>
      </c>
      <c r="G18" s="78">
        <v>-2.01004</v>
      </c>
      <c r="H18" s="78">
        <v>-2.5686580000000001</v>
      </c>
      <c r="I18" s="78">
        <v>-3.1332909999999998</v>
      </c>
      <c r="K18" s="73">
        <f>B18*1000000*Conv!$D$6*Conv!$J$5*1000000</f>
        <v>-319.03341369361709</v>
      </c>
      <c r="L18" s="73">
        <f>C18*1000000*Conv!$D$6*Conv!$J$5*1000000</f>
        <v>-323.48016959999995</v>
      </c>
      <c r="M18" s="73">
        <f>D18*1000000*Conv!$D$6*Conv!$J$5*1000000</f>
        <v>-968.89427358931187</v>
      </c>
      <c r="N18" s="73">
        <f>E18*1000000*Conv!$D$6*Conv!$J$5*1000000</f>
        <v>-1188.5534827561917</v>
      </c>
      <c r="O18" s="73">
        <f>F18*1000000*Conv!$D$6*Conv!$J$5*1000000</f>
        <v>-1614.6092141363517</v>
      </c>
      <c r="P18" s="73">
        <f>G18*1000000*Conv!$D$6*Conv!$J$5*1000000</f>
        <v>-2167.3602670092796</v>
      </c>
      <c r="Q18" s="73">
        <f>H18*1000000*Conv!$D$6*Conv!$J$5*1000000</f>
        <v>-2769.6997516146557</v>
      </c>
      <c r="R18" s="73">
        <f>I18*1000000*Conv!$D$6*Conv!$J$5*1000000</f>
        <v>-3378.5250136205113</v>
      </c>
      <c r="S18" s="85">
        <f>1+T18</f>
        <v>1.219816339894217</v>
      </c>
      <c r="T18" s="20">
        <f>AVERAGE((R18-Q18)/Q18)</f>
        <v>0.21981633989421703</v>
      </c>
      <c r="V18" s="20" t="s">
        <v>641</v>
      </c>
      <c r="W18" s="73">
        <f>K20</f>
        <v>610.90312332588417</v>
      </c>
      <c r="X18" s="73">
        <f>L20</f>
        <v>398.95887583999996</v>
      </c>
      <c r="Y18" s="73">
        <f>M20</f>
        <v>41.998508686399994</v>
      </c>
      <c r="Z18" s="73"/>
      <c r="AA18" s="60">
        <f t="shared" si="1"/>
        <v>183.27093699776526</v>
      </c>
      <c r="AB18" s="60">
        <f t="shared" si="1"/>
        <v>119.68766275199999</v>
      </c>
      <c r="AC18" s="73">
        <f t="shared" si="1"/>
        <v>12.59955260592</v>
      </c>
    </row>
    <row r="19" spans="1:29" x14ac:dyDescent="0.2">
      <c r="A19" s="82" t="s">
        <v>388</v>
      </c>
      <c r="B19" s="82">
        <v>0</v>
      </c>
      <c r="C19" s="82">
        <v>0</v>
      </c>
      <c r="D19" s="78">
        <v>0</v>
      </c>
      <c r="E19" s="78">
        <v>0</v>
      </c>
      <c r="F19" s="78">
        <v>0</v>
      </c>
      <c r="G19" s="78">
        <v>0</v>
      </c>
      <c r="H19" s="78">
        <v>0</v>
      </c>
      <c r="I19" s="78">
        <v>0</v>
      </c>
    </row>
    <row r="20" spans="1:29" x14ac:dyDescent="0.2">
      <c r="A20" s="82" t="s">
        <v>389</v>
      </c>
      <c r="B20" s="89">
        <f>B11-B15</f>
        <v>0.56656003743410088</v>
      </c>
      <c r="C20" s="82">
        <v>0.37</v>
      </c>
      <c r="D20" s="78">
        <v>3.8949999999999999E-2</v>
      </c>
      <c r="E20" s="90">
        <v>-1.93</v>
      </c>
      <c r="F20" s="90">
        <v>-2.57</v>
      </c>
      <c r="G20" s="90">
        <v>-3.37</v>
      </c>
      <c r="H20" s="90">
        <v>-3.37</v>
      </c>
      <c r="I20" s="90">
        <v>-3.37</v>
      </c>
      <c r="K20" s="73">
        <f>B20*1000000*Conv!$D$6*Conv!$J$5*1000000</f>
        <v>610.90312332588417</v>
      </c>
      <c r="L20" s="73">
        <f>C20*1000000*Conv!$D$6*Conv!$J$5*1000000</f>
        <v>398.95887583999996</v>
      </c>
      <c r="M20" s="73">
        <f>D20*1000000*Conv!$D$6*Conv!$J$5*1000000</f>
        <v>41.998508686399994</v>
      </c>
      <c r="N20" s="73">
        <f>E20*1000000*Conv!$D$6*Conv!$J$5*1000000</f>
        <v>-2081.0557577599998</v>
      </c>
      <c r="O20" s="73">
        <f>F20*1000000*Conv!$D$6*Conv!$J$5*1000000</f>
        <v>-2771.1467862399995</v>
      </c>
      <c r="P20" s="73">
        <f>G20*1000000*Conv!$D$6*Conv!$J$5*1000000</f>
        <v>-3633.7605718399996</v>
      </c>
      <c r="Q20" s="73">
        <f>H20*1000000*Conv!$D$6*Conv!$J$5*1000000</f>
        <v>-3633.7605718399996</v>
      </c>
      <c r="R20" s="73">
        <f>I20*1000000*Conv!$D$6*Conv!$J$5*1000000</f>
        <v>-3633.7605718399996</v>
      </c>
      <c r="S20" s="85">
        <f>1+T20</f>
        <v>1</v>
      </c>
      <c r="T20" s="73">
        <f>AVERAGE((R20-Q20)/Q20)</f>
        <v>0</v>
      </c>
    </row>
    <row r="21" spans="1:29" x14ac:dyDescent="0.2">
      <c r="A21" s="82"/>
      <c r="D21" s="73"/>
      <c r="E21" s="73"/>
      <c r="F21" s="73"/>
      <c r="G21" s="73"/>
      <c r="H21" s="73"/>
      <c r="I21" s="73"/>
    </row>
    <row r="22" spans="1:29" x14ac:dyDescent="0.2">
      <c r="A22" s="87" t="s">
        <v>390</v>
      </c>
      <c r="D22" s="73"/>
      <c r="E22" s="73"/>
      <c r="F22" s="73"/>
      <c r="G22" s="73"/>
      <c r="H22" s="73"/>
      <c r="I22" s="73"/>
    </row>
    <row r="23" spans="1:29" x14ac:dyDescent="0.2">
      <c r="A23" s="87" t="s">
        <v>1008</v>
      </c>
      <c r="D23" s="73"/>
      <c r="E23" s="73"/>
      <c r="F23" s="73"/>
      <c r="G23" s="73"/>
      <c r="H23" s="73"/>
      <c r="I23" s="73"/>
    </row>
    <row r="24" spans="1:29" x14ac:dyDescent="0.2">
      <c r="A24" s="82" t="s">
        <v>391</v>
      </c>
      <c r="B24" s="84">
        <v>7.7595982551574698</v>
      </c>
      <c r="C24" s="82">
        <v>4.53</v>
      </c>
      <c r="D24" s="78">
        <v>4.0230569999999997</v>
      </c>
      <c r="E24" s="78">
        <v>5.4047790000000004</v>
      </c>
      <c r="F24" s="78">
        <v>5.8946350000000001</v>
      </c>
      <c r="G24" s="78">
        <v>6.6254910000000002</v>
      </c>
      <c r="H24" s="78">
        <v>7.3276880000000002</v>
      </c>
      <c r="I24" s="78">
        <v>7.9480380000000004</v>
      </c>
    </row>
    <row r="25" spans="1:29" x14ac:dyDescent="0.2">
      <c r="A25" s="87" t="s">
        <v>392</v>
      </c>
      <c r="D25" s="73"/>
      <c r="E25" s="73"/>
      <c r="F25" s="73"/>
      <c r="G25" s="73"/>
      <c r="H25" s="73"/>
      <c r="I25" s="73"/>
      <c r="K25" s="88">
        <v>2005</v>
      </c>
      <c r="L25" s="88">
        <v>2010</v>
      </c>
      <c r="M25" s="88">
        <v>2015</v>
      </c>
      <c r="N25" s="88">
        <v>2020</v>
      </c>
      <c r="O25" s="88">
        <v>2025</v>
      </c>
      <c r="P25" s="88">
        <v>2030</v>
      </c>
      <c r="Q25" s="88">
        <v>2035</v>
      </c>
      <c r="R25" s="88">
        <v>2040</v>
      </c>
      <c r="S25" s="65" t="s">
        <v>368</v>
      </c>
    </row>
    <row r="26" spans="1:29" x14ac:dyDescent="0.2">
      <c r="A26" s="82" t="s">
        <v>393</v>
      </c>
      <c r="B26" s="84">
        <v>7.7216897010803196</v>
      </c>
      <c r="C26" s="82">
        <v>4.4800000000000004</v>
      </c>
      <c r="D26" s="78">
        <v>3.9811290000000001</v>
      </c>
      <c r="E26" s="78">
        <v>5.384144</v>
      </c>
      <c r="F26" s="78">
        <v>5.8647369999999999</v>
      </c>
      <c r="G26" s="78">
        <v>6.6033049999999998</v>
      </c>
      <c r="H26" s="78">
        <v>7.2935460000000001</v>
      </c>
      <c r="I26" s="78">
        <v>7.904185</v>
      </c>
      <c r="K26" s="73">
        <f>B26/Conv!$D$6/1000/Conv!$J$5/1000000*Conv!$D$38</f>
        <v>7.1612022251273615</v>
      </c>
      <c r="L26" s="73">
        <f>C26/Conv!$D$6/1000/Conv!$J$5/1000000*Conv!$D$43</f>
        <v>3.776323843088476</v>
      </c>
      <c r="M26" s="73">
        <f>D26/Conv!$D$6/1000/Conv!$J$5/1000000*Conv!$D$45</f>
        <v>3.2346523537843486</v>
      </c>
      <c r="N26" s="73">
        <f>E26/Conv!$D$6/1000/Conv!$J$5/1000000*Conv!$D$45</f>
        <v>4.3745967695881927</v>
      </c>
      <c r="O26" s="73">
        <f>F26/Conv!$D$6/1000/Conv!$J$5/1000000*Conv!$D$45</f>
        <v>4.7650767763054533</v>
      </c>
      <c r="P26" s="73">
        <f>G26/Conv!$D$6/1000/Conv!$J$5/1000000*Conv!$D$45</f>
        <v>5.3651605012060539</v>
      </c>
      <c r="Q26" s="73">
        <f>H26/Conv!$D$6/1000/Conv!$J$5/1000000*Conv!$D$45</f>
        <v>5.925978720190785</v>
      </c>
      <c r="R26" s="73">
        <f>I26/Conv!$D$6/1000/Conv!$J$5/1000000*Conv!$D$45</f>
        <v>6.4221206132725008</v>
      </c>
      <c r="S26" s="85">
        <f>1+T26</f>
        <v>1.1047288397184403</v>
      </c>
      <c r="T26" s="20">
        <f>AVERAGE((R26-Q26)/Q26,(Q26-P26)/P26,(P26-O26)/O26)</f>
        <v>0.10472883971844017</v>
      </c>
    </row>
    <row r="27" spans="1:29" x14ac:dyDescent="0.2">
      <c r="A27" s="82" t="s">
        <v>394</v>
      </c>
      <c r="B27" s="84">
        <v>8.2281751632690394</v>
      </c>
      <c r="C27" s="82">
        <v>4.63</v>
      </c>
      <c r="D27" s="78">
        <v>3.8085830000000001</v>
      </c>
      <c r="E27" s="78">
        <v>4.1257979999999996</v>
      </c>
      <c r="F27" s="78">
        <v>4.7141799999999998</v>
      </c>
      <c r="G27" s="78">
        <v>5.4741660000000003</v>
      </c>
      <c r="H27" s="78">
        <v>6.3853989999999996</v>
      </c>
      <c r="I27" s="78">
        <v>7.0502799999999999</v>
      </c>
    </row>
    <row r="28" spans="1:29" x14ac:dyDescent="0.2">
      <c r="A28" s="82" t="s">
        <v>395</v>
      </c>
      <c r="B28" s="84">
        <v>2.31019115447998</v>
      </c>
      <c r="C28" s="82">
        <v>0</v>
      </c>
      <c r="D28" s="78">
        <v>0</v>
      </c>
      <c r="E28" s="78">
        <v>0</v>
      </c>
      <c r="F28" s="78">
        <v>0</v>
      </c>
      <c r="G28" s="78">
        <v>0</v>
      </c>
      <c r="H28" s="78">
        <v>0</v>
      </c>
      <c r="I28" s="78">
        <v>0</v>
      </c>
    </row>
    <row r="29" spans="1:29" x14ac:dyDescent="0.2">
      <c r="A29" s="82" t="s">
        <v>396</v>
      </c>
      <c r="B29" s="84">
        <v>7.9806232452392596</v>
      </c>
      <c r="C29" s="82">
        <v>4.9400000000000004</v>
      </c>
      <c r="D29" s="78">
        <v>4.8712400000000002</v>
      </c>
      <c r="E29" s="78">
        <v>5.7123220000000003</v>
      </c>
      <c r="F29" s="78">
        <v>6.268783</v>
      </c>
      <c r="G29" s="78">
        <v>6.9000250000000003</v>
      </c>
      <c r="H29" s="78">
        <v>7.7579050000000001</v>
      </c>
      <c r="I29" s="78">
        <v>8.5642010000000006</v>
      </c>
      <c r="K29" s="73">
        <f>B29/Conv!$D$6/1000/Conv!$J$5/1000000*Conv!$D$38</f>
        <v>7.4013407886248928</v>
      </c>
      <c r="L29" s="73">
        <f>C29/Conv!$D$6/1000/Conv!$J$5/1000000*Conv!$D$43</f>
        <v>4.164071380548453</v>
      </c>
      <c r="M29" s="73">
        <f>D29/Conv!$D$6/1000/Conv!$J$5/1000000*Conv!$D$45</f>
        <v>3.9578641967764594</v>
      </c>
      <c r="N29" s="73">
        <f>E29/Conv!$D$6/1000/Conv!$J$5/1000000*Conv!$D$45</f>
        <v>4.6412401614904013</v>
      </c>
      <c r="O29" s="73">
        <f>F29/Conv!$D$6/1000/Conv!$J$5/1000000*Conv!$D$45</f>
        <v>5.0933626331408277</v>
      </c>
      <c r="P29" s="73">
        <f>G29/Conv!$D$6/1000/Conv!$J$5/1000000*Conv!$D$45</f>
        <v>5.6062443863087204</v>
      </c>
      <c r="Q29" s="73">
        <f>H29/Conv!$D$6/1000/Conv!$J$5/1000000*Conv!$D$45</f>
        <v>6.303268662905765</v>
      </c>
      <c r="R29" s="73">
        <f>I29/Conv!$D$6/1000/Conv!$J$5/1000000*Conv!$D$45</f>
        <v>6.9583811333248109</v>
      </c>
      <c r="S29" s="85">
        <f>1+T29</f>
        <v>1.10965275568606</v>
      </c>
      <c r="T29" s="20">
        <f>AVERAGE((R29-Q29)/Q29,(Q29-P29)/P29,(P29-O29)/O29)</f>
        <v>0.10965275568605999</v>
      </c>
    </row>
    <row r="30" spans="1:29" x14ac:dyDescent="0.2">
      <c r="A30" s="82"/>
    </row>
    <row r="31" spans="1:29" ht="15" customHeight="1" x14ac:dyDescent="0.2">
      <c r="A31" s="315" t="s">
        <v>1009</v>
      </c>
      <c r="B31" s="315"/>
      <c r="C31" s="315"/>
      <c r="D31" s="315"/>
      <c r="E31" s="315"/>
      <c r="F31" s="315"/>
      <c r="G31" s="315"/>
    </row>
    <row r="32" spans="1:29" ht="15" customHeight="1" x14ac:dyDescent="0.2">
      <c r="A32" s="315" t="s">
        <v>1010</v>
      </c>
      <c r="B32" s="315"/>
      <c r="C32" s="315"/>
      <c r="D32" s="315"/>
      <c r="E32" s="315"/>
      <c r="F32" s="315"/>
      <c r="G32" s="315"/>
    </row>
    <row r="33" spans="1:9" ht="15" customHeight="1" x14ac:dyDescent="0.2">
      <c r="A33" s="315" t="s">
        <v>397</v>
      </c>
      <c r="B33" s="315"/>
      <c r="C33" s="315"/>
      <c r="D33" s="315"/>
      <c r="E33" s="315"/>
      <c r="F33" s="315"/>
      <c r="G33" s="315"/>
    </row>
    <row r="34" spans="1:9" ht="15" customHeight="1" x14ac:dyDescent="0.2">
      <c r="A34" s="315" t="s">
        <v>365</v>
      </c>
      <c r="B34" s="315"/>
      <c r="C34" s="315"/>
      <c r="D34" s="315"/>
      <c r="E34" s="315"/>
      <c r="F34" s="315"/>
      <c r="G34" s="315"/>
    </row>
    <row r="35" spans="1:9" ht="15" customHeight="1" x14ac:dyDescent="0.2">
      <c r="A35" s="315" t="s">
        <v>1011</v>
      </c>
      <c r="B35" s="315"/>
      <c r="C35" s="315"/>
      <c r="D35" s="315"/>
      <c r="E35" s="315"/>
      <c r="F35" s="315"/>
      <c r="G35" s="315"/>
    </row>
    <row r="36" spans="1:9" ht="15" customHeight="1" x14ac:dyDescent="0.2">
      <c r="A36" s="315" t="s">
        <v>1012</v>
      </c>
      <c r="B36" s="315"/>
      <c r="C36" s="315"/>
      <c r="D36" s="315"/>
      <c r="E36" s="315"/>
      <c r="F36" s="315"/>
      <c r="G36" s="315"/>
    </row>
    <row r="37" spans="1:9" ht="15" customHeight="1" x14ac:dyDescent="0.2">
      <c r="A37" s="315" t="s">
        <v>1013</v>
      </c>
      <c r="B37" s="315"/>
      <c r="C37" s="315"/>
      <c r="D37" s="315"/>
      <c r="E37" s="315"/>
      <c r="F37" s="315"/>
      <c r="G37" s="315"/>
    </row>
    <row r="38" spans="1:9" ht="15" customHeight="1" x14ac:dyDescent="0.2">
      <c r="A38" s="315" t="s">
        <v>1014</v>
      </c>
      <c r="B38" s="315"/>
      <c r="C38" s="315"/>
      <c r="D38" s="315"/>
      <c r="E38" s="315"/>
      <c r="F38" s="315"/>
      <c r="G38" s="315"/>
    </row>
    <row r="40" spans="1:9" ht="15" customHeight="1" x14ac:dyDescent="0.2">
      <c r="A40" s="315" t="s">
        <v>398</v>
      </c>
      <c r="B40" s="315"/>
      <c r="C40" s="315"/>
      <c r="D40" s="315"/>
      <c r="E40" s="315"/>
      <c r="F40" s="315"/>
      <c r="G40" s="315"/>
      <c r="H40" s="315"/>
      <c r="I40" s="82"/>
    </row>
  </sheetData>
  <mergeCells count="10">
    <mergeCell ref="A1:H2"/>
    <mergeCell ref="A31:G31"/>
    <mergeCell ref="A32:G32"/>
    <mergeCell ref="A33:G33"/>
    <mergeCell ref="A34:G34"/>
    <mergeCell ref="A35:G35"/>
    <mergeCell ref="A40:H40"/>
    <mergeCell ref="A36:G36"/>
    <mergeCell ref="A37:G37"/>
    <mergeCell ref="A38:G38"/>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W55"/>
  <sheetViews>
    <sheetView workbookViewId="0">
      <selection activeCell="AN1" sqref="AN1"/>
    </sheetView>
  </sheetViews>
  <sheetFormatPr defaultColWidth="9.140625" defaultRowHeight="12.75" x14ac:dyDescent="0.2"/>
  <cols>
    <col min="1" max="1" width="15.140625" style="13" customWidth="1"/>
    <col min="2" max="2" width="19" style="13" customWidth="1"/>
    <col min="3" max="39" width="19" style="13" hidden="1" customWidth="1"/>
    <col min="40" max="47" width="19" style="13" customWidth="1"/>
    <col min="48" max="256" width="9.140625" style="13"/>
    <col min="257" max="257" width="15.140625" style="13" customWidth="1"/>
    <col min="258" max="303" width="19" style="13" customWidth="1"/>
    <col min="304" max="512" width="9.140625" style="13"/>
    <col min="513" max="513" width="15.140625" style="13" customWidth="1"/>
    <col min="514" max="559" width="19" style="13" customWidth="1"/>
    <col min="560" max="768" width="9.140625" style="13"/>
    <col min="769" max="769" width="15.140625" style="13" customWidth="1"/>
    <col min="770" max="815" width="19" style="13" customWidth="1"/>
    <col min="816" max="1024" width="9.140625" style="13"/>
    <col min="1025" max="1025" width="15.140625" style="13" customWidth="1"/>
    <col min="1026" max="1071" width="19" style="13" customWidth="1"/>
    <col min="1072" max="1280" width="9.140625" style="13"/>
    <col min="1281" max="1281" width="15.140625" style="13" customWidth="1"/>
    <col min="1282" max="1327" width="19" style="13" customWidth="1"/>
    <col min="1328" max="1536" width="9.140625" style="13"/>
    <col min="1537" max="1537" width="15.140625" style="13" customWidth="1"/>
    <col min="1538" max="1583" width="19" style="13" customWidth="1"/>
    <col min="1584" max="1792" width="9.140625" style="13"/>
    <col min="1793" max="1793" width="15.140625" style="13" customWidth="1"/>
    <col min="1794" max="1839" width="19" style="13" customWidth="1"/>
    <col min="1840" max="2048" width="9.140625" style="13"/>
    <col min="2049" max="2049" width="15.140625" style="13" customWidth="1"/>
    <col min="2050" max="2095" width="19" style="13" customWidth="1"/>
    <col min="2096" max="2304" width="9.140625" style="13"/>
    <col min="2305" max="2305" width="15.140625" style="13" customWidth="1"/>
    <col min="2306" max="2351" width="19" style="13" customWidth="1"/>
    <col min="2352" max="2560" width="9.140625" style="13"/>
    <col min="2561" max="2561" width="15.140625" style="13" customWidth="1"/>
    <col min="2562" max="2607" width="19" style="13" customWidth="1"/>
    <col min="2608" max="2816" width="9.140625" style="13"/>
    <col min="2817" max="2817" width="15.140625" style="13" customWidth="1"/>
    <col min="2818" max="2863" width="19" style="13" customWidth="1"/>
    <col min="2864" max="3072" width="9.140625" style="13"/>
    <col min="3073" max="3073" width="15.140625" style="13" customWidth="1"/>
    <col min="3074" max="3119" width="19" style="13" customWidth="1"/>
    <col min="3120" max="3328" width="9.140625" style="13"/>
    <col min="3329" max="3329" width="15.140625" style="13" customWidth="1"/>
    <col min="3330" max="3375" width="19" style="13" customWidth="1"/>
    <col min="3376" max="3584" width="9.140625" style="13"/>
    <col min="3585" max="3585" width="15.140625" style="13" customWidth="1"/>
    <col min="3586" max="3631" width="19" style="13" customWidth="1"/>
    <col min="3632" max="3840" width="9.140625" style="13"/>
    <col min="3841" max="3841" width="15.140625" style="13" customWidth="1"/>
    <col min="3842" max="3887" width="19" style="13" customWidth="1"/>
    <col min="3888" max="4096" width="9.140625" style="13"/>
    <col min="4097" max="4097" width="15.140625" style="13" customWidth="1"/>
    <col min="4098" max="4143" width="19" style="13" customWidth="1"/>
    <col min="4144" max="4352" width="9.140625" style="13"/>
    <col min="4353" max="4353" width="15.140625" style="13" customWidth="1"/>
    <col min="4354" max="4399" width="19" style="13" customWidth="1"/>
    <col min="4400" max="4608" width="9.140625" style="13"/>
    <col min="4609" max="4609" width="15.140625" style="13" customWidth="1"/>
    <col min="4610" max="4655" width="19" style="13" customWidth="1"/>
    <col min="4656" max="4864" width="9.140625" style="13"/>
    <col min="4865" max="4865" width="15.140625" style="13" customWidth="1"/>
    <col min="4866" max="4911" width="19" style="13" customWidth="1"/>
    <col min="4912" max="5120" width="9.140625" style="13"/>
    <col min="5121" max="5121" width="15.140625" style="13" customWidth="1"/>
    <col min="5122" max="5167" width="19" style="13" customWidth="1"/>
    <col min="5168" max="5376" width="9.140625" style="13"/>
    <col min="5377" max="5377" width="15.140625" style="13" customWidth="1"/>
    <col min="5378" max="5423" width="19" style="13" customWidth="1"/>
    <col min="5424" max="5632" width="9.140625" style="13"/>
    <col min="5633" max="5633" width="15.140625" style="13" customWidth="1"/>
    <col min="5634" max="5679" width="19" style="13" customWidth="1"/>
    <col min="5680" max="5888" width="9.140625" style="13"/>
    <col min="5889" max="5889" width="15.140625" style="13" customWidth="1"/>
    <col min="5890" max="5935" width="19" style="13" customWidth="1"/>
    <col min="5936" max="6144" width="9.140625" style="13"/>
    <col min="6145" max="6145" width="15.140625" style="13" customWidth="1"/>
    <col min="6146" max="6191" width="19" style="13" customWidth="1"/>
    <col min="6192" max="6400" width="9.140625" style="13"/>
    <col min="6401" max="6401" width="15.140625" style="13" customWidth="1"/>
    <col min="6402" max="6447" width="19" style="13" customWidth="1"/>
    <col min="6448" max="6656" width="9.140625" style="13"/>
    <col min="6657" max="6657" width="15.140625" style="13" customWidth="1"/>
    <col min="6658" max="6703" width="19" style="13" customWidth="1"/>
    <col min="6704" max="6912" width="9.140625" style="13"/>
    <col min="6913" max="6913" width="15.140625" style="13" customWidth="1"/>
    <col min="6914" max="6959" width="19" style="13" customWidth="1"/>
    <col min="6960" max="7168" width="9.140625" style="13"/>
    <col min="7169" max="7169" width="15.140625" style="13" customWidth="1"/>
    <col min="7170" max="7215" width="19" style="13" customWidth="1"/>
    <col min="7216" max="7424" width="9.140625" style="13"/>
    <col min="7425" max="7425" width="15.140625" style="13" customWidth="1"/>
    <col min="7426" max="7471" width="19" style="13" customWidth="1"/>
    <col min="7472" max="7680" width="9.140625" style="13"/>
    <col min="7681" max="7681" width="15.140625" style="13" customWidth="1"/>
    <col min="7682" max="7727" width="19" style="13" customWidth="1"/>
    <col min="7728" max="7936" width="9.140625" style="13"/>
    <col min="7937" max="7937" width="15.140625" style="13" customWidth="1"/>
    <col min="7938" max="7983" width="19" style="13" customWidth="1"/>
    <col min="7984" max="8192" width="9.140625" style="13"/>
    <col min="8193" max="8193" width="15.140625" style="13" customWidth="1"/>
    <col min="8194" max="8239" width="19" style="13" customWidth="1"/>
    <col min="8240" max="8448" width="9.140625" style="13"/>
    <col min="8449" max="8449" width="15.140625" style="13" customWidth="1"/>
    <col min="8450" max="8495" width="19" style="13" customWidth="1"/>
    <col min="8496" max="8704" width="9.140625" style="13"/>
    <col min="8705" max="8705" width="15.140625" style="13" customWidth="1"/>
    <col min="8706" max="8751" width="19" style="13" customWidth="1"/>
    <col min="8752" max="8960" width="9.140625" style="13"/>
    <col min="8961" max="8961" width="15.140625" style="13" customWidth="1"/>
    <col min="8962" max="9007" width="19" style="13" customWidth="1"/>
    <col min="9008" max="9216" width="9.140625" style="13"/>
    <col min="9217" max="9217" width="15.140625" style="13" customWidth="1"/>
    <col min="9218" max="9263" width="19" style="13" customWidth="1"/>
    <col min="9264" max="9472" width="9.140625" style="13"/>
    <col min="9473" max="9473" width="15.140625" style="13" customWidth="1"/>
    <col min="9474" max="9519" width="19" style="13" customWidth="1"/>
    <col min="9520" max="9728" width="9.140625" style="13"/>
    <col min="9729" max="9729" width="15.140625" style="13" customWidth="1"/>
    <col min="9730" max="9775" width="19" style="13" customWidth="1"/>
    <col min="9776" max="9984" width="9.140625" style="13"/>
    <col min="9985" max="9985" width="15.140625" style="13" customWidth="1"/>
    <col min="9986" max="10031" width="19" style="13" customWidth="1"/>
    <col min="10032" max="10240" width="9.140625" style="13"/>
    <col min="10241" max="10241" width="15.140625" style="13" customWidth="1"/>
    <col min="10242" max="10287" width="19" style="13" customWidth="1"/>
    <col min="10288" max="10496" width="9.140625" style="13"/>
    <col min="10497" max="10497" width="15.140625" style="13" customWidth="1"/>
    <col min="10498" max="10543" width="19" style="13" customWidth="1"/>
    <col min="10544" max="10752" width="9.140625" style="13"/>
    <col min="10753" max="10753" width="15.140625" style="13" customWidth="1"/>
    <col min="10754" max="10799" width="19" style="13" customWidth="1"/>
    <col min="10800" max="11008" width="9.140625" style="13"/>
    <col min="11009" max="11009" width="15.140625" style="13" customWidth="1"/>
    <col min="11010" max="11055" width="19" style="13" customWidth="1"/>
    <col min="11056" max="11264" width="9.140625" style="13"/>
    <col min="11265" max="11265" width="15.140625" style="13" customWidth="1"/>
    <col min="11266" max="11311" width="19" style="13" customWidth="1"/>
    <col min="11312" max="11520" width="9.140625" style="13"/>
    <col min="11521" max="11521" width="15.140625" style="13" customWidth="1"/>
    <col min="11522" max="11567" width="19" style="13" customWidth="1"/>
    <col min="11568" max="11776" width="9.140625" style="13"/>
    <col min="11777" max="11777" width="15.140625" style="13" customWidth="1"/>
    <col min="11778" max="11823" width="19" style="13" customWidth="1"/>
    <col min="11824" max="12032" width="9.140625" style="13"/>
    <col min="12033" max="12033" width="15.140625" style="13" customWidth="1"/>
    <col min="12034" max="12079" width="19" style="13" customWidth="1"/>
    <col min="12080" max="12288" width="9.140625" style="13"/>
    <col min="12289" max="12289" width="15.140625" style="13" customWidth="1"/>
    <col min="12290" max="12335" width="19" style="13" customWidth="1"/>
    <col min="12336" max="12544" width="9.140625" style="13"/>
    <col min="12545" max="12545" width="15.140625" style="13" customWidth="1"/>
    <col min="12546" max="12591" width="19" style="13" customWidth="1"/>
    <col min="12592" max="12800" width="9.140625" style="13"/>
    <col min="12801" max="12801" width="15.140625" style="13" customWidth="1"/>
    <col min="12802" max="12847" width="19" style="13" customWidth="1"/>
    <col min="12848" max="13056" width="9.140625" style="13"/>
    <col min="13057" max="13057" width="15.140625" style="13" customWidth="1"/>
    <col min="13058" max="13103" width="19" style="13" customWidth="1"/>
    <col min="13104" max="13312" width="9.140625" style="13"/>
    <col min="13313" max="13313" width="15.140625" style="13" customWidth="1"/>
    <col min="13314" max="13359" width="19" style="13" customWidth="1"/>
    <col min="13360" max="13568" width="9.140625" style="13"/>
    <col min="13569" max="13569" width="15.140625" style="13" customWidth="1"/>
    <col min="13570" max="13615" width="19" style="13" customWidth="1"/>
    <col min="13616" max="13824" width="9.140625" style="13"/>
    <col min="13825" max="13825" width="15.140625" style="13" customWidth="1"/>
    <col min="13826" max="13871" width="19" style="13" customWidth="1"/>
    <col min="13872" max="14080" width="9.140625" style="13"/>
    <col min="14081" max="14081" width="15.140625" style="13" customWidth="1"/>
    <col min="14082" max="14127" width="19" style="13" customWidth="1"/>
    <col min="14128" max="14336" width="9.140625" style="13"/>
    <col min="14337" max="14337" width="15.140625" style="13" customWidth="1"/>
    <col min="14338" max="14383" width="19" style="13" customWidth="1"/>
    <col min="14384" max="14592" width="9.140625" style="13"/>
    <col min="14593" max="14593" width="15.140625" style="13" customWidth="1"/>
    <col min="14594" max="14639" width="19" style="13" customWidth="1"/>
    <col min="14640" max="14848" width="9.140625" style="13"/>
    <col min="14849" max="14849" width="15.140625" style="13" customWidth="1"/>
    <col min="14850" max="14895" width="19" style="13" customWidth="1"/>
    <col min="14896" max="15104" width="9.140625" style="13"/>
    <col min="15105" max="15105" width="15.140625" style="13" customWidth="1"/>
    <col min="15106" max="15151" width="19" style="13" customWidth="1"/>
    <col min="15152" max="15360" width="9.140625" style="13"/>
    <col min="15361" max="15361" width="15.140625" style="13" customWidth="1"/>
    <col min="15362" max="15407" width="19" style="13" customWidth="1"/>
    <col min="15408" max="15616" width="9.140625" style="13"/>
    <col min="15617" max="15617" width="15.140625" style="13" customWidth="1"/>
    <col min="15618" max="15663" width="19" style="13" customWidth="1"/>
    <col min="15664" max="15872" width="9.140625" style="13"/>
    <col min="15873" max="15873" width="15.140625" style="13" customWidth="1"/>
    <col min="15874" max="15919" width="19" style="13" customWidth="1"/>
    <col min="15920" max="16128" width="9.140625" style="13"/>
    <col min="16129" max="16129" width="15.140625" style="13" customWidth="1"/>
    <col min="16130" max="16175" width="19" style="13" customWidth="1"/>
    <col min="16176" max="16384" width="9.140625" style="13"/>
  </cols>
  <sheetData>
    <row r="1" spans="1:47" ht="15.75" x14ac:dyDescent="0.25">
      <c r="A1" s="91" t="s">
        <v>1015</v>
      </c>
      <c r="B1" s="92" t="s">
        <v>1016</v>
      </c>
    </row>
    <row r="2" spans="1:47" ht="24" x14ac:dyDescent="0.2">
      <c r="A2" s="93" t="s">
        <v>1017</v>
      </c>
      <c r="B2" s="94" t="s">
        <v>1018</v>
      </c>
      <c r="C2" s="94" t="s">
        <v>1019</v>
      </c>
      <c r="D2" s="94" t="s">
        <v>1020</v>
      </c>
      <c r="E2" s="94" t="s">
        <v>1021</v>
      </c>
      <c r="F2" s="94" t="s">
        <v>1022</v>
      </c>
      <c r="G2" s="94" t="s">
        <v>1023</v>
      </c>
      <c r="H2" s="94" t="s">
        <v>1024</v>
      </c>
      <c r="I2" s="94" t="s">
        <v>1025</v>
      </c>
      <c r="J2" s="94" t="s">
        <v>1026</v>
      </c>
      <c r="K2" s="94" t="s">
        <v>1027</v>
      </c>
      <c r="L2" s="94" t="s">
        <v>1028</v>
      </c>
      <c r="M2" s="94" t="s">
        <v>1029</v>
      </c>
      <c r="N2" s="94" t="s">
        <v>1030</v>
      </c>
      <c r="O2" s="94" t="s">
        <v>1031</v>
      </c>
      <c r="P2" s="94" t="s">
        <v>1032</v>
      </c>
      <c r="Q2" s="94" t="s">
        <v>1033</v>
      </c>
      <c r="R2" s="94" t="s">
        <v>1034</v>
      </c>
      <c r="S2" s="94" t="s">
        <v>1035</v>
      </c>
      <c r="T2" s="94" t="s">
        <v>1036</v>
      </c>
      <c r="U2" s="94" t="s">
        <v>1037</v>
      </c>
      <c r="V2" s="94" t="s">
        <v>1038</v>
      </c>
      <c r="W2" s="94" t="s">
        <v>1039</v>
      </c>
      <c r="X2" s="94" t="s">
        <v>1040</v>
      </c>
      <c r="Y2" s="94" t="s">
        <v>1041</v>
      </c>
      <c r="Z2" s="94" t="s">
        <v>1042</v>
      </c>
      <c r="AA2" s="94" t="s">
        <v>1043</v>
      </c>
      <c r="AB2" s="94" t="s">
        <v>1044</v>
      </c>
      <c r="AC2" s="94" t="s">
        <v>1045</v>
      </c>
      <c r="AD2" s="94" t="s">
        <v>1046</v>
      </c>
      <c r="AE2" s="94" t="s">
        <v>1047</v>
      </c>
      <c r="AF2" s="94" t="s">
        <v>1048</v>
      </c>
      <c r="AG2" s="94" t="s">
        <v>1049</v>
      </c>
      <c r="AH2" s="94" t="s">
        <v>1050</v>
      </c>
      <c r="AI2" s="94" t="s">
        <v>1051</v>
      </c>
      <c r="AJ2" s="94" t="s">
        <v>1052</v>
      </c>
      <c r="AK2" s="94" t="s">
        <v>1053</v>
      </c>
      <c r="AL2" s="94" t="s">
        <v>1054</v>
      </c>
      <c r="AM2" s="94" t="s">
        <v>1055</v>
      </c>
      <c r="AN2" s="94" t="s">
        <v>1056</v>
      </c>
      <c r="AO2" s="94" t="s">
        <v>1057</v>
      </c>
      <c r="AP2" s="94" t="s">
        <v>1058</v>
      </c>
      <c r="AQ2" s="94" t="s">
        <v>1059</v>
      </c>
      <c r="AR2" s="94" t="s">
        <v>1060</v>
      </c>
      <c r="AS2" s="94" t="s">
        <v>1061</v>
      </c>
      <c r="AT2" s="94" t="s">
        <v>1062</v>
      </c>
      <c r="AU2" s="94"/>
    </row>
    <row r="3" spans="1:47" x14ac:dyDescent="0.2">
      <c r="A3" s="93"/>
      <c r="B3" s="94"/>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row>
    <row r="4" spans="1:47" s="95" customFormat="1" ht="15" x14ac:dyDescent="0.25">
      <c r="A4" s="50"/>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v>7</v>
      </c>
      <c r="AO4" s="52">
        <v>9</v>
      </c>
      <c r="AP4" s="52">
        <v>7</v>
      </c>
      <c r="AQ4" s="52">
        <v>8</v>
      </c>
      <c r="AR4" s="52">
        <v>9</v>
      </c>
      <c r="AS4" s="52">
        <v>7</v>
      </c>
      <c r="AT4" s="52">
        <v>8</v>
      </c>
      <c r="AU4" s="52"/>
    </row>
    <row r="5" spans="1:47" ht="63.75" x14ac:dyDescent="0.2">
      <c r="A5" s="32" t="s">
        <v>403</v>
      </c>
      <c r="B5" s="53" t="s">
        <v>1063</v>
      </c>
      <c r="C5" s="53" t="s">
        <v>1064</v>
      </c>
      <c r="D5" s="53" t="s">
        <v>1065</v>
      </c>
      <c r="E5" s="53" t="s">
        <v>1066</v>
      </c>
      <c r="F5" s="53" t="s">
        <v>1067</v>
      </c>
      <c r="G5" s="53" t="s">
        <v>1068</v>
      </c>
      <c r="H5" s="53" t="s">
        <v>1069</v>
      </c>
      <c r="I5" s="53" t="s">
        <v>1070</v>
      </c>
      <c r="J5" s="53" t="s">
        <v>1071</v>
      </c>
      <c r="K5" s="53" t="s">
        <v>1072</v>
      </c>
      <c r="L5" s="53" t="s">
        <v>1073</v>
      </c>
      <c r="M5" s="53" t="s">
        <v>1074</v>
      </c>
      <c r="N5" s="53" t="s">
        <v>1075</v>
      </c>
      <c r="O5" s="53" t="s">
        <v>1076</v>
      </c>
      <c r="P5" s="53" t="s">
        <v>1077</v>
      </c>
      <c r="Q5" s="53" t="s">
        <v>1078</v>
      </c>
      <c r="R5" s="53" t="s">
        <v>1079</v>
      </c>
      <c r="S5" s="53" t="s">
        <v>1080</v>
      </c>
      <c r="T5" s="53" t="s">
        <v>1081</v>
      </c>
      <c r="U5" s="53" t="s">
        <v>1082</v>
      </c>
      <c r="V5" s="53" t="s">
        <v>1083</v>
      </c>
      <c r="W5" s="53" t="s">
        <v>1084</v>
      </c>
      <c r="X5" s="53" t="s">
        <v>1085</v>
      </c>
      <c r="Y5" s="53" t="s">
        <v>1086</v>
      </c>
      <c r="Z5" s="53" t="s">
        <v>1087</v>
      </c>
      <c r="AA5" s="53" t="s">
        <v>1088</v>
      </c>
      <c r="AB5" s="53" t="s">
        <v>1089</v>
      </c>
      <c r="AC5" s="53" t="s">
        <v>1090</v>
      </c>
      <c r="AD5" s="53" t="s">
        <v>1091</v>
      </c>
      <c r="AE5" s="53" t="s">
        <v>1092</v>
      </c>
      <c r="AF5" s="53" t="s">
        <v>1093</v>
      </c>
      <c r="AG5" s="53" t="s">
        <v>1094</v>
      </c>
      <c r="AH5" s="53" t="s">
        <v>1095</v>
      </c>
      <c r="AI5" s="53" t="s">
        <v>1096</v>
      </c>
      <c r="AJ5" s="53" t="s">
        <v>1097</v>
      </c>
      <c r="AK5" s="53" t="s">
        <v>1098</v>
      </c>
      <c r="AL5" s="53" t="s">
        <v>1099</v>
      </c>
      <c r="AM5" s="53" t="s">
        <v>1100</v>
      </c>
      <c r="AN5" s="53" t="s">
        <v>1101</v>
      </c>
      <c r="AO5" s="53" t="s">
        <v>1102</v>
      </c>
      <c r="AP5" s="53" t="s">
        <v>1103</v>
      </c>
      <c r="AQ5" s="53" t="s">
        <v>1104</v>
      </c>
      <c r="AR5" s="53" t="s">
        <v>1105</v>
      </c>
      <c r="AS5" s="53" t="s">
        <v>1106</v>
      </c>
      <c r="AT5" s="53" t="s">
        <v>1107</v>
      </c>
      <c r="AU5" s="53"/>
    </row>
    <row r="6" spans="1:47" x14ac:dyDescent="0.2">
      <c r="A6" s="55">
        <v>39263</v>
      </c>
      <c r="B6" s="13">
        <v>48485</v>
      </c>
      <c r="C6" s="13">
        <v>0</v>
      </c>
      <c r="D6" s="13">
        <v>0</v>
      </c>
      <c r="E6" s="13">
        <v>0</v>
      </c>
      <c r="F6" s="13">
        <v>2</v>
      </c>
      <c r="G6" s="13">
        <v>2</v>
      </c>
      <c r="I6" s="13">
        <v>0</v>
      </c>
      <c r="J6" s="13">
        <v>0</v>
      </c>
      <c r="K6" s="13">
        <v>0</v>
      </c>
      <c r="L6" s="13">
        <v>0</v>
      </c>
      <c r="M6" s="13">
        <v>0</v>
      </c>
      <c r="N6" s="13">
        <v>0</v>
      </c>
      <c r="O6" s="13">
        <v>0</v>
      </c>
      <c r="P6" s="13">
        <v>0</v>
      </c>
      <c r="R6" s="13">
        <v>0</v>
      </c>
      <c r="S6" s="13">
        <v>0</v>
      </c>
      <c r="T6" s="13">
        <v>46501</v>
      </c>
      <c r="W6" s="13">
        <v>87</v>
      </c>
      <c r="X6" s="13">
        <v>16</v>
      </c>
      <c r="Y6" s="13">
        <v>71.102000000000004</v>
      </c>
      <c r="AC6" s="13">
        <v>1895</v>
      </c>
      <c r="AD6" s="13">
        <v>1895</v>
      </c>
      <c r="AE6" s="13">
        <v>0</v>
      </c>
      <c r="AF6" s="13">
        <v>0</v>
      </c>
      <c r="AG6" s="13">
        <v>0</v>
      </c>
      <c r="AH6" s="13">
        <v>0</v>
      </c>
      <c r="AI6" s="13">
        <v>0</v>
      </c>
      <c r="AJ6" s="13">
        <v>0</v>
      </c>
      <c r="AK6" s="13">
        <v>0</v>
      </c>
      <c r="AL6" s="13">
        <v>0</v>
      </c>
      <c r="AM6" s="13">
        <v>0</v>
      </c>
    </row>
    <row r="7" spans="1:47" x14ac:dyDescent="0.2">
      <c r="A7" s="55">
        <v>39629</v>
      </c>
      <c r="B7" s="13">
        <v>39217</v>
      </c>
      <c r="C7" s="13">
        <v>0</v>
      </c>
      <c r="D7" s="13">
        <v>0</v>
      </c>
      <c r="E7" s="13">
        <v>0</v>
      </c>
      <c r="F7" s="13">
        <v>0</v>
      </c>
      <c r="G7" s="13">
        <v>0</v>
      </c>
      <c r="I7" s="13">
        <v>0</v>
      </c>
      <c r="J7" s="13">
        <v>0</v>
      </c>
      <c r="K7" s="13">
        <v>0</v>
      </c>
      <c r="L7" s="13">
        <v>0</v>
      </c>
      <c r="M7" s="13">
        <v>0</v>
      </c>
      <c r="N7" s="13">
        <v>0</v>
      </c>
      <c r="O7" s="13">
        <v>0</v>
      </c>
      <c r="P7" s="13">
        <v>0</v>
      </c>
      <c r="R7" s="13">
        <v>0</v>
      </c>
      <c r="S7" s="13">
        <v>0</v>
      </c>
      <c r="T7" s="13">
        <v>39164</v>
      </c>
      <c r="W7" s="13">
        <v>53</v>
      </c>
      <c r="X7" s="13">
        <v>0</v>
      </c>
      <c r="Y7" s="13">
        <v>52.850999999999999</v>
      </c>
      <c r="AC7" s="13">
        <v>0</v>
      </c>
      <c r="AD7" s="13">
        <v>0</v>
      </c>
      <c r="AE7" s="13">
        <v>0</v>
      </c>
      <c r="AF7" s="13">
        <v>0</v>
      </c>
      <c r="AG7" s="13">
        <v>0</v>
      </c>
      <c r="AH7" s="13">
        <v>0</v>
      </c>
      <c r="AI7" s="13">
        <v>0</v>
      </c>
      <c r="AJ7" s="13">
        <v>0</v>
      </c>
      <c r="AK7" s="13">
        <v>0</v>
      </c>
      <c r="AL7" s="13">
        <v>0</v>
      </c>
      <c r="AM7" s="13">
        <v>0</v>
      </c>
    </row>
    <row r="8" spans="1:47" x14ac:dyDescent="0.2">
      <c r="A8" s="55">
        <v>39994</v>
      </c>
      <c r="B8" s="13">
        <v>33355</v>
      </c>
      <c r="C8" s="13">
        <v>0</v>
      </c>
      <c r="D8" s="13">
        <v>0</v>
      </c>
      <c r="E8" s="13">
        <v>0</v>
      </c>
      <c r="F8" s="13">
        <v>0</v>
      </c>
      <c r="G8" s="13">
        <v>0</v>
      </c>
      <c r="I8" s="13">
        <v>0</v>
      </c>
      <c r="J8" s="13">
        <v>0</v>
      </c>
      <c r="K8" s="13">
        <v>0</v>
      </c>
      <c r="L8" s="13">
        <v>0</v>
      </c>
      <c r="M8" s="13">
        <v>0</v>
      </c>
      <c r="N8" s="13">
        <v>0</v>
      </c>
      <c r="O8" s="13">
        <v>0</v>
      </c>
      <c r="P8" s="13">
        <v>0</v>
      </c>
      <c r="R8" s="13">
        <v>0</v>
      </c>
      <c r="S8" s="13">
        <v>0</v>
      </c>
      <c r="T8" s="13">
        <v>30536</v>
      </c>
      <c r="W8" s="13">
        <v>84</v>
      </c>
      <c r="X8" s="13">
        <v>0</v>
      </c>
      <c r="Y8" s="13">
        <v>83.825999999999993</v>
      </c>
      <c r="AC8" s="13">
        <v>0</v>
      </c>
      <c r="AD8" s="13">
        <v>0</v>
      </c>
      <c r="AE8" s="13">
        <v>2735</v>
      </c>
      <c r="AF8" s="13">
        <v>2735</v>
      </c>
      <c r="AG8" s="13">
        <v>0</v>
      </c>
      <c r="AH8" s="13">
        <v>0</v>
      </c>
      <c r="AI8" s="13">
        <v>0</v>
      </c>
      <c r="AJ8" s="13">
        <v>0</v>
      </c>
      <c r="AK8" s="13">
        <v>0</v>
      </c>
      <c r="AL8" s="13">
        <v>0</v>
      </c>
      <c r="AM8" s="13">
        <v>0</v>
      </c>
    </row>
    <row r="9" spans="1:47" x14ac:dyDescent="0.2">
      <c r="A9" s="55">
        <v>40359</v>
      </c>
      <c r="B9" s="13">
        <v>64793</v>
      </c>
      <c r="C9" s="13">
        <v>3279</v>
      </c>
      <c r="D9" s="13">
        <v>0</v>
      </c>
      <c r="E9" s="13">
        <v>3279</v>
      </c>
      <c r="F9" s="13">
        <v>0</v>
      </c>
      <c r="G9" s="13">
        <v>0</v>
      </c>
      <c r="I9" s="13">
        <v>0</v>
      </c>
      <c r="J9" s="13">
        <v>0</v>
      </c>
      <c r="K9" s="13">
        <v>0</v>
      </c>
      <c r="L9" s="13">
        <v>0</v>
      </c>
      <c r="M9" s="13">
        <v>0</v>
      </c>
      <c r="N9" s="13">
        <v>2873</v>
      </c>
      <c r="O9" s="13">
        <v>2873</v>
      </c>
      <c r="P9" s="13">
        <v>0</v>
      </c>
      <c r="Q9" s="13">
        <v>2822</v>
      </c>
      <c r="R9" s="13">
        <v>0</v>
      </c>
      <c r="S9" s="13">
        <v>2822</v>
      </c>
      <c r="T9" s="13">
        <v>30100</v>
      </c>
      <c r="W9" s="13">
        <v>208</v>
      </c>
      <c r="X9" s="13">
        <v>0</v>
      </c>
      <c r="Y9" s="13">
        <v>207.65600000000001</v>
      </c>
      <c r="AC9" s="13">
        <v>0</v>
      </c>
      <c r="AD9" s="13">
        <v>0</v>
      </c>
      <c r="AE9" s="13">
        <v>11809</v>
      </c>
      <c r="AF9" s="13">
        <v>2861</v>
      </c>
      <c r="AG9" s="13">
        <v>8948</v>
      </c>
      <c r="AH9" s="13">
        <v>4117</v>
      </c>
      <c r="AI9" s="13">
        <v>0</v>
      </c>
      <c r="AJ9" s="13">
        <v>4117</v>
      </c>
      <c r="AK9" s="13">
        <v>9584</v>
      </c>
      <c r="AL9" s="13">
        <v>3115</v>
      </c>
      <c r="AM9" s="13">
        <v>6469</v>
      </c>
    </row>
    <row r="10" spans="1:47" x14ac:dyDescent="0.2">
      <c r="A10" s="55">
        <v>40724</v>
      </c>
      <c r="B10" s="13">
        <v>70001</v>
      </c>
      <c r="C10" s="13">
        <v>11049</v>
      </c>
      <c r="D10" s="13">
        <v>2581</v>
      </c>
      <c r="E10" s="13">
        <v>8468</v>
      </c>
      <c r="F10" s="13">
        <v>0</v>
      </c>
      <c r="H10" s="13">
        <v>0</v>
      </c>
      <c r="I10" s="13">
        <v>2910</v>
      </c>
      <c r="J10" s="13">
        <v>2910</v>
      </c>
      <c r="K10" s="13">
        <v>6201</v>
      </c>
      <c r="L10" s="13">
        <v>1127</v>
      </c>
      <c r="M10" s="13">
        <v>6201</v>
      </c>
      <c r="N10" s="13">
        <v>12542</v>
      </c>
      <c r="O10" s="13">
        <v>5993</v>
      </c>
      <c r="P10" s="13">
        <v>6549</v>
      </c>
      <c r="Q10" s="13">
        <v>2741</v>
      </c>
      <c r="R10" s="13">
        <v>2741</v>
      </c>
      <c r="S10" s="13">
        <v>0</v>
      </c>
      <c r="T10" s="13">
        <v>15271</v>
      </c>
      <c r="V10" s="13">
        <v>0</v>
      </c>
      <c r="W10" s="13">
        <v>236</v>
      </c>
      <c r="X10" s="13">
        <v>0</v>
      </c>
      <c r="Y10" s="13">
        <v>235.727</v>
      </c>
      <c r="AA10" s="13">
        <v>0</v>
      </c>
      <c r="AB10" s="13">
        <v>0</v>
      </c>
      <c r="AC10" s="13">
        <v>0</v>
      </c>
      <c r="AE10" s="13">
        <v>9143</v>
      </c>
      <c r="AF10" s="13">
        <v>6242</v>
      </c>
      <c r="AG10" s="13">
        <v>2901</v>
      </c>
      <c r="AH10" s="13">
        <v>5918</v>
      </c>
      <c r="AI10" s="13">
        <v>2911</v>
      </c>
      <c r="AJ10" s="13">
        <v>3007</v>
      </c>
      <c r="AK10" s="13">
        <v>2862</v>
      </c>
      <c r="AL10" s="13">
        <v>0</v>
      </c>
      <c r="AM10" s="13">
        <v>2862</v>
      </c>
      <c r="AN10" s="13">
        <v>5653</v>
      </c>
      <c r="AO10" s="13">
        <v>16398</v>
      </c>
      <c r="AP10" s="13">
        <v>14816</v>
      </c>
      <c r="AQ10" s="13">
        <v>0</v>
      </c>
      <c r="AR10" s="13">
        <v>236</v>
      </c>
      <c r="AS10" s="13">
        <v>32899</v>
      </c>
      <c r="AT10" s="13">
        <v>0</v>
      </c>
    </row>
    <row r="11" spans="1:47" x14ac:dyDescent="0.2">
      <c r="A11" s="55">
        <v>41090</v>
      </c>
      <c r="B11" s="13">
        <v>28298</v>
      </c>
      <c r="C11" s="13">
        <v>8142</v>
      </c>
      <c r="D11" s="13">
        <v>8142</v>
      </c>
      <c r="E11" s="13">
        <v>0</v>
      </c>
      <c r="F11" s="13">
        <v>2</v>
      </c>
      <c r="H11" s="13">
        <v>2</v>
      </c>
      <c r="I11" s="13">
        <v>0</v>
      </c>
      <c r="J11" s="13">
        <v>0</v>
      </c>
      <c r="K11" s="13">
        <v>0</v>
      </c>
      <c r="L11" s="13">
        <v>0</v>
      </c>
      <c r="M11" s="13">
        <v>0</v>
      </c>
      <c r="N11" s="13">
        <v>3004</v>
      </c>
      <c r="O11" s="13">
        <v>3004</v>
      </c>
      <c r="P11" s="13">
        <v>0</v>
      </c>
      <c r="Q11" s="13">
        <v>5037</v>
      </c>
      <c r="R11" s="13">
        <v>0</v>
      </c>
      <c r="S11" s="13">
        <v>0</v>
      </c>
      <c r="T11" s="13">
        <v>9342</v>
      </c>
      <c r="V11" s="13">
        <v>5037</v>
      </c>
      <c r="W11" s="13">
        <v>153</v>
      </c>
      <c r="X11" s="13">
        <v>34.359000000000002</v>
      </c>
      <c r="Y11" s="13">
        <v>119.045</v>
      </c>
      <c r="AA11" s="13">
        <v>2618</v>
      </c>
      <c r="AB11" s="13">
        <v>2618</v>
      </c>
      <c r="AC11" s="13">
        <v>0</v>
      </c>
      <c r="AE11" s="13">
        <v>0</v>
      </c>
      <c r="AF11" s="13">
        <v>0</v>
      </c>
      <c r="AG11" s="13">
        <v>0</v>
      </c>
      <c r="AH11" s="13">
        <v>0</v>
      </c>
      <c r="AI11" s="13">
        <v>0</v>
      </c>
      <c r="AJ11" s="13">
        <v>0</v>
      </c>
      <c r="AK11" s="13">
        <v>0</v>
      </c>
      <c r="AL11" s="13">
        <v>0</v>
      </c>
      <c r="AM11" s="13">
        <v>0</v>
      </c>
      <c r="AN11" s="13">
        <v>0</v>
      </c>
      <c r="AO11" s="13">
        <v>9342</v>
      </c>
      <c r="AP11" s="13">
        <v>11146</v>
      </c>
      <c r="AQ11" s="13">
        <v>34</v>
      </c>
      <c r="AR11" s="13">
        <v>119</v>
      </c>
      <c r="AS11" s="13">
        <v>7655</v>
      </c>
      <c r="AT11" s="13">
        <v>2</v>
      </c>
    </row>
    <row r="12" spans="1:47" x14ac:dyDescent="0.2">
      <c r="A12" s="55"/>
    </row>
    <row r="13" spans="1:47" x14ac:dyDescent="0.2">
      <c r="A13" s="55"/>
      <c r="AO13" s="13">
        <v>2020</v>
      </c>
      <c r="AP13" s="13">
        <v>2025</v>
      </c>
      <c r="AQ13" s="13">
        <v>2030</v>
      </c>
      <c r="AR13" s="13">
        <v>2035</v>
      </c>
      <c r="AS13" s="13">
        <v>2040</v>
      </c>
    </row>
    <row r="14" spans="1:47" x14ac:dyDescent="0.2">
      <c r="AN14" s="20" t="s">
        <v>198</v>
      </c>
      <c r="AO14" s="57">
        <f>SUM(AN10:AN11,AP10:AP11,AS10:AS11)/SUM(B10:B11)-AO17</f>
        <v>0.68417837414419269</v>
      </c>
      <c r="AP14" s="57">
        <v>0.63</v>
      </c>
      <c r="AQ14" s="57">
        <v>0.57999999999999996</v>
      </c>
      <c r="AR14" s="59">
        <v>0.53</v>
      </c>
      <c r="AS14" s="59">
        <v>0.48</v>
      </c>
    </row>
    <row r="15" spans="1:47" x14ac:dyDescent="0.2">
      <c r="AN15" s="20" t="s">
        <v>199</v>
      </c>
      <c r="AO15" s="96">
        <f>SUM(AQ10:AQ11,AT10:AT11)/SUM(B10:B11)</f>
        <v>3.6622956489893083E-4</v>
      </c>
      <c r="AP15" s="13">
        <v>0</v>
      </c>
      <c r="AQ15" s="13">
        <v>0</v>
      </c>
      <c r="AR15" s="13">
        <v>0</v>
      </c>
      <c r="AS15" s="13">
        <v>0</v>
      </c>
    </row>
    <row r="16" spans="1:47" x14ac:dyDescent="0.2">
      <c r="AN16" s="20" t="s">
        <v>200</v>
      </c>
      <c r="AO16" s="57">
        <f>SUM(AO10:AO11,AR10:AR11)/SUM(B10:B11)</f>
        <v>0.26546556933437776</v>
      </c>
      <c r="AP16" s="59">
        <f>AO16</f>
        <v>0.26546556933437776</v>
      </c>
      <c r="AQ16" s="59">
        <f>AP16</f>
        <v>0.26546556933437776</v>
      </c>
      <c r="AR16" s="59">
        <f>AQ16</f>
        <v>0.26546556933437776</v>
      </c>
      <c r="AS16" s="59">
        <f>AR16</f>
        <v>0.26546556933437776</v>
      </c>
    </row>
    <row r="17" spans="1:48" x14ac:dyDescent="0.2">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235" t="s">
        <v>168</v>
      </c>
      <c r="AO17" s="14">
        <v>0.05</v>
      </c>
      <c r="AP17" s="14">
        <v>0.1</v>
      </c>
      <c r="AQ17" s="14">
        <v>0.15</v>
      </c>
      <c r="AR17" s="236">
        <v>0.2</v>
      </c>
      <c r="AS17" s="236">
        <v>0.25</v>
      </c>
      <c r="AT17" s="14"/>
    </row>
    <row r="18" spans="1:48" x14ac:dyDescent="0.2">
      <c r="AN18" s="20" t="s">
        <v>195</v>
      </c>
      <c r="AO18" s="13">
        <v>0</v>
      </c>
      <c r="AP18" s="13">
        <v>5.0000000000000001E-3</v>
      </c>
      <c r="AQ18" s="13">
        <v>7.0000000000000001E-3</v>
      </c>
      <c r="AR18" s="59">
        <f>AQ18</f>
        <v>7.0000000000000001E-3</v>
      </c>
      <c r="AS18" s="59">
        <f>AQ18</f>
        <v>7.0000000000000001E-3</v>
      </c>
    </row>
    <row r="19" spans="1:48" x14ac:dyDescent="0.2">
      <c r="AO19" s="59">
        <f>SUM(AO14:AO18)</f>
        <v>1.0000101730434694</v>
      </c>
      <c r="AP19" s="59">
        <f>SUM(AP14:AP18)</f>
        <v>1.0004655693343778</v>
      </c>
      <c r="AQ19" s="59">
        <f>SUM(AQ14:AQ18)</f>
        <v>1.0024655693343778</v>
      </c>
      <c r="AR19" s="59">
        <f>SUM(AR14:AR18)</f>
        <v>1.0024655693343776</v>
      </c>
      <c r="AS19" s="59">
        <f>SUM(AS14:AS18)</f>
        <v>1.0024655693343776</v>
      </c>
    </row>
    <row r="24" spans="1:48" x14ac:dyDescent="0.2">
      <c r="A24" s="17" t="s">
        <v>1507</v>
      </c>
      <c r="B24" s="65" t="s">
        <v>1509</v>
      </c>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65" t="s">
        <v>1510</v>
      </c>
      <c r="AO24" s="65" t="s">
        <v>1515</v>
      </c>
      <c r="AP24" s="65" t="s">
        <v>1517</v>
      </c>
      <c r="AQ24" s="65" t="s">
        <v>1519</v>
      </c>
      <c r="AR24" s="65" t="s">
        <v>1511</v>
      </c>
      <c r="AS24" s="65" t="s">
        <v>1521</v>
      </c>
      <c r="AT24" s="65" t="s">
        <v>1522</v>
      </c>
      <c r="AU24" s="65" t="s">
        <v>1536</v>
      </c>
      <c r="AV24" s="65" t="s">
        <v>1514</v>
      </c>
    </row>
    <row r="25" spans="1:48" x14ac:dyDescent="0.2">
      <c r="A25" s="13" t="s">
        <v>1512</v>
      </c>
      <c r="B25" s="47">
        <v>31</v>
      </c>
      <c r="AN25" s="47">
        <f>B25*24</f>
        <v>744</v>
      </c>
      <c r="AO25" s="46" t="s">
        <v>1516</v>
      </c>
      <c r="AP25" s="46" t="s">
        <v>1518</v>
      </c>
      <c r="AQ25" s="46" t="s">
        <v>1520</v>
      </c>
      <c r="AR25" s="46" t="s">
        <v>1513</v>
      </c>
      <c r="AS25" s="47">
        <f>B25*6</f>
        <v>186</v>
      </c>
      <c r="AT25" s="47">
        <f>B25*4</f>
        <v>124</v>
      </c>
      <c r="AU25" s="47">
        <f>B25*4</f>
        <v>124</v>
      </c>
      <c r="AV25" s="47">
        <f t="shared" ref="AV25:AV36" si="0">B25*10</f>
        <v>310</v>
      </c>
    </row>
    <row r="26" spans="1:48" x14ac:dyDescent="0.2">
      <c r="A26" s="13" t="s">
        <v>1508</v>
      </c>
      <c r="B26" s="47">
        <v>28</v>
      </c>
      <c r="AN26" s="47">
        <f t="shared" ref="AN26:AN36" si="1">B26*24</f>
        <v>672</v>
      </c>
      <c r="AO26" s="47" t="str">
        <f>AO25</f>
        <v>6am-12pm</v>
      </c>
      <c r="AP26" s="47" t="str">
        <f>AP25</f>
        <v>12pm-4pm</v>
      </c>
      <c r="AQ26" s="47" t="str">
        <f>AQ25</f>
        <v>4pm-8pm</v>
      </c>
      <c r="AR26" s="47" t="str">
        <f>AR25</f>
        <v>8pm-6am</v>
      </c>
      <c r="AS26" s="47">
        <f t="shared" ref="AS26:AS36" si="2">B26*6</f>
        <v>168</v>
      </c>
      <c r="AT26" s="47">
        <f t="shared" ref="AT26:AT36" si="3">B26*4</f>
        <v>112</v>
      </c>
      <c r="AU26" s="47">
        <f t="shared" ref="AU26:AU36" si="4">B26*4</f>
        <v>112</v>
      </c>
      <c r="AV26" s="47">
        <f t="shared" si="0"/>
        <v>280</v>
      </c>
    </row>
    <row r="27" spans="1:48" x14ac:dyDescent="0.2">
      <c r="A27" s="13" t="s">
        <v>1497</v>
      </c>
      <c r="B27" s="47">
        <v>31</v>
      </c>
      <c r="AN27" s="47">
        <f t="shared" si="1"/>
        <v>744</v>
      </c>
      <c r="AO27" s="47" t="str">
        <f t="shared" ref="AO27:AR36" si="5">AO26</f>
        <v>6am-12pm</v>
      </c>
      <c r="AP27" s="47" t="str">
        <f t="shared" si="5"/>
        <v>12pm-4pm</v>
      </c>
      <c r="AQ27" s="47" t="str">
        <f t="shared" si="5"/>
        <v>4pm-8pm</v>
      </c>
      <c r="AR27" s="47" t="str">
        <f t="shared" si="5"/>
        <v>8pm-6am</v>
      </c>
      <c r="AS27" s="47">
        <f t="shared" si="2"/>
        <v>186</v>
      </c>
      <c r="AT27" s="47">
        <f t="shared" si="3"/>
        <v>124</v>
      </c>
      <c r="AU27" s="47">
        <f t="shared" si="4"/>
        <v>124</v>
      </c>
      <c r="AV27" s="47">
        <f t="shared" si="0"/>
        <v>310</v>
      </c>
    </row>
    <row r="28" spans="1:48" x14ac:dyDescent="0.2">
      <c r="A28" s="13" t="s">
        <v>1498</v>
      </c>
      <c r="B28" s="47">
        <v>30</v>
      </c>
      <c r="AN28" s="47">
        <f t="shared" si="1"/>
        <v>720</v>
      </c>
      <c r="AO28" s="47" t="str">
        <f t="shared" si="5"/>
        <v>6am-12pm</v>
      </c>
      <c r="AP28" s="47" t="str">
        <f t="shared" si="5"/>
        <v>12pm-4pm</v>
      </c>
      <c r="AQ28" s="47" t="str">
        <f t="shared" si="5"/>
        <v>4pm-8pm</v>
      </c>
      <c r="AR28" s="47" t="str">
        <f t="shared" si="5"/>
        <v>8pm-6am</v>
      </c>
      <c r="AS28" s="47">
        <f t="shared" si="2"/>
        <v>180</v>
      </c>
      <c r="AT28" s="47">
        <f t="shared" si="3"/>
        <v>120</v>
      </c>
      <c r="AU28" s="47">
        <f t="shared" si="4"/>
        <v>120</v>
      </c>
      <c r="AV28" s="47">
        <f t="shared" si="0"/>
        <v>300</v>
      </c>
    </row>
    <row r="29" spans="1:48" x14ac:dyDescent="0.2">
      <c r="A29" s="13" t="s">
        <v>1499</v>
      </c>
      <c r="B29" s="47">
        <v>31</v>
      </c>
      <c r="AN29" s="47">
        <f t="shared" si="1"/>
        <v>744</v>
      </c>
      <c r="AO29" s="47" t="str">
        <f t="shared" si="5"/>
        <v>6am-12pm</v>
      </c>
      <c r="AP29" s="47" t="str">
        <f t="shared" si="5"/>
        <v>12pm-4pm</v>
      </c>
      <c r="AQ29" s="47" t="str">
        <f t="shared" si="5"/>
        <v>4pm-8pm</v>
      </c>
      <c r="AR29" s="47" t="str">
        <f t="shared" si="5"/>
        <v>8pm-6am</v>
      </c>
      <c r="AS29" s="47">
        <f t="shared" si="2"/>
        <v>186</v>
      </c>
      <c r="AT29" s="47">
        <f t="shared" si="3"/>
        <v>124</v>
      </c>
      <c r="AU29" s="47">
        <f t="shared" si="4"/>
        <v>124</v>
      </c>
      <c r="AV29" s="47">
        <f t="shared" si="0"/>
        <v>310</v>
      </c>
    </row>
    <row r="30" spans="1:48" x14ac:dyDescent="0.2">
      <c r="A30" s="13" t="s">
        <v>1500</v>
      </c>
      <c r="B30" s="47">
        <v>30</v>
      </c>
      <c r="AN30" s="47">
        <f t="shared" si="1"/>
        <v>720</v>
      </c>
      <c r="AO30" s="47" t="str">
        <f t="shared" si="5"/>
        <v>6am-12pm</v>
      </c>
      <c r="AP30" s="47" t="str">
        <f t="shared" si="5"/>
        <v>12pm-4pm</v>
      </c>
      <c r="AQ30" s="47" t="str">
        <f t="shared" si="5"/>
        <v>4pm-8pm</v>
      </c>
      <c r="AR30" s="47" t="str">
        <f t="shared" si="5"/>
        <v>8pm-6am</v>
      </c>
      <c r="AS30" s="47">
        <f t="shared" si="2"/>
        <v>180</v>
      </c>
      <c r="AT30" s="47">
        <f t="shared" si="3"/>
        <v>120</v>
      </c>
      <c r="AU30" s="47">
        <f t="shared" si="4"/>
        <v>120</v>
      </c>
      <c r="AV30" s="47">
        <f t="shared" si="0"/>
        <v>300</v>
      </c>
    </row>
    <row r="31" spans="1:48" x14ac:dyDescent="0.2">
      <c r="A31" s="13" t="s">
        <v>1501</v>
      </c>
      <c r="B31" s="47">
        <v>31</v>
      </c>
      <c r="AN31" s="47">
        <f t="shared" si="1"/>
        <v>744</v>
      </c>
      <c r="AO31" s="47" t="str">
        <f t="shared" si="5"/>
        <v>6am-12pm</v>
      </c>
      <c r="AP31" s="47" t="str">
        <f t="shared" si="5"/>
        <v>12pm-4pm</v>
      </c>
      <c r="AQ31" s="47" t="str">
        <f t="shared" si="5"/>
        <v>4pm-8pm</v>
      </c>
      <c r="AR31" s="47" t="str">
        <f t="shared" si="5"/>
        <v>8pm-6am</v>
      </c>
      <c r="AS31" s="47">
        <f t="shared" si="2"/>
        <v>186</v>
      </c>
      <c r="AT31" s="47">
        <f t="shared" si="3"/>
        <v>124</v>
      </c>
      <c r="AU31" s="47">
        <f t="shared" si="4"/>
        <v>124</v>
      </c>
      <c r="AV31" s="47">
        <f t="shared" si="0"/>
        <v>310</v>
      </c>
    </row>
    <row r="32" spans="1:48" x14ac:dyDescent="0.2">
      <c r="A32" s="13" t="s">
        <v>1502</v>
      </c>
      <c r="B32" s="47">
        <v>31</v>
      </c>
      <c r="AN32" s="47">
        <f t="shared" si="1"/>
        <v>744</v>
      </c>
      <c r="AO32" s="47" t="str">
        <f t="shared" si="5"/>
        <v>6am-12pm</v>
      </c>
      <c r="AP32" s="47" t="str">
        <f t="shared" si="5"/>
        <v>12pm-4pm</v>
      </c>
      <c r="AQ32" s="47" t="str">
        <f t="shared" si="5"/>
        <v>4pm-8pm</v>
      </c>
      <c r="AR32" s="47" t="str">
        <f t="shared" si="5"/>
        <v>8pm-6am</v>
      </c>
      <c r="AS32" s="47">
        <f t="shared" si="2"/>
        <v>186</v>
      </c>
      <c r="AT32" s="47">
        <f t="shared" si="3"/>
        <v>124</v>
      </c>
      <c r="AU32" s="47">
        <f t="shared" si="4"/>
        <v>124</v>
      </c>
      <c r="AV32" s="47">
        <f t="shared" si="0"/>
        <v>310</v>
      </c>
    </row>
    <row r="33" spans="1:49" x14ac:dyDescent="0.2">
      <c r="A33" s="13" t="s">
        <v>1503</v>
      </c>
      <c r="B33" s="47">
        <v>30</v>
      </c>
      <c r="AN33" s="47">
        <f t="shared" si="1"/>
        <v>720</v>
      </c>
      <c r="AO33" s="47" t="str">
        <f t="shared" si="5"/>
        <v>6am-12pm</v>
      </c>
      <c r="AP33" s="47" t="str">
        <f t="shared" si="5"/>
        <v>12pm-4pm</v>
      </c>
      <c r="AQ33" s="47" t="str">
        <f t="shared" si="5"/>
        <v>4pm-8pm</v>
      </c>
      <c r="AR33" s="47" t="str">
        <f t="shared" si="5"/>
        <v>8pm-6am</v>
      </c>
      <c r="AS33" s="47">
        <f t="shared" si="2"/>
        <v>180</v>
      </c>
      <c r="AT33" s="47">
        <f t="shared" si="3"/>
        <v>120</v>
      </c>
      <c r="AU33" s="47">
        <f t="shared" si="4"/>
        <v>120</v>
      </c>
      <c r="AV33" s="47">
        <f t="shared" si="0"/>
        <v>300</v>
      </c>
    </row>
    <row r="34" spans="1:49" x14ac:dyDescent="0.2">
      <c r="A34" s="13" t="s">
        <v>1504</v>
      </c>
      <c r="B34" s="47">
        <v>31</v>
      </c>
      <c r="AN34" s="47">
        <f t="shared" si="1"/>
        <v>744</v>
      </c>
      <c r="AO34" s="47" t="str">
        <f t="shared" si="5"/>
        <v>6am-12pm</v>
      </c>
      <c r="AP34" s="47" t="str">
        <f t="shared" si="5"/>
        <v>12pm-4pm</v>
      </c>
      <c r="AQ34" s="47" t="str">
        <f t="shared" si="5"/>
        <v>4pm-8pm</v>
      </c>
      <c r="AR34" s="47" t="str">
        <f t="shared" si="5"/>
        <v>8pm-6am</v>
      </c>
      <c r="AS34" s="47">
        <f t="shared" si="2"/>
        <v>186</v>
      </c>
      <c r="AT34" s="47">
        <f t="shared" si="3"/>
        <v>124</v>
      </c>
      <c r="AU34" s="47">
        <f t="shared" si="4"/>
        <v>124</v>
      </c>
      <c r="AV34" s="47">
        <f t="shared" si="0"/>
        <v>310</v>
      </c>
    </row>
    <row r="35" spans="1:49" x14ac:dyDescent="0.2">
      <c r="A35" s="13" t="s">
        <v>1505</v>
      </c>
      <c r="B35" s="47">
        <v>30</v>
      </c>
      <c r="AN35" s="47">
        <f t="shared" si="1"/>
        <v>720</v>
      </c>
      <c r="AO35" s="47" t="str">
        <f t="shared" si="5"/>
        <v>6am-12pm</v>
      </c>
      <c r="AP35" s="47" t="str">
        <f t="shared" si="5"/>
        <v>12pm-4pm</v>
      </c>
      <c r="AQ35" s="47" t="str">
        <f t="shared" si="5"/>
        <v>4pm-8pm</v>
      </c>
      <c r="AR35" s="47" t="str">
        <f t="shared" si="5"/>
        <v>8pm-6am</v>
      </c>
      <c r="AS35" s="47">
        <f t="shared" si="2"/>
        <v>180</v>
      </c>
      <c r="AT35" s="47">
        <f t="shared" si="3"/>
        <v>120</v>
      </c>
      <c r="AU35" s="47">
        <f t="shared" si="4"/>
        <v>120</v>
      </c>
      <c r="AV35" s="47">
        <f t="shared" si="0"/>
        <v>300</v>
      </c>
    </row>
    <row r="36" spans="1:49" x14ac:dyDescent="0.2">
      <c r="A36" s="13" t="s">
        <v>1506</v>
      </c>
      <c r="B36" s="47">
        <v>31</v>
      </c>
      <c r="AN36" s="47">
        <f t="shared" si="1"/>
        <v>744</v>
      </c>
      <c r="AO36" s="47" t="str">
        <f t="shared" si="5"/>
        <v>6am-12pm</v>
      </c>
      <c r="AP36" s="47" t="str">
        <f t="shared" si="5"/>
        <v>12pm-4pm</v>
      </c>
      <c r="AQ36" s="47" t="str">
        <f t="shared" si="5"/>
        <v>4pm-8pm</v>
      </c>
      <c r="AR36" s="47" t="str">
        <f t="shared" si="5"/>
        <v>8pm-6am</v>
      </c>
      <c r="AS36" s="47">
        <f t="shared" si="2"/>
        <v>186</v>
      </c>
      <c r="AT36" s="47">
        <f t="shared" si="3"/>
        <v>124</v>
      </c>
      <c r="AU36" s="47">
        <f t="shared" si="4"/>
        <v>124</v>
      </c>
      <c r="AV36" s="47">
        <f t="shared" si="0"/>
        <v>310</v>
      </c>
    </row>
    <row r="37" spans="1:49" x14ac:dyDescent="0.2">
      <c r="A37" s="13" t="s">
        <v>58</v>
      </c>
      <c r="B37" s="47">
        <f>SUM(B25:B36)</f>
        <v>365</v>
      </c>
      <c r="AN37" s="47">
        <f>SUM(AN25:AN36)</f>
        <v>8760</v>
      </c>
      <c r="AO37" s="47"/>
      <c r="AP37" s="47"/>
      <c r="AR37" s="47">
        <f>SUM(AR25:AR36)</f>
        <v>0</v>
      </c>
      <c r="AS37" s="47">
        <f>SUM(AS25:AS36)</f>
        <v>2190</v>
      </c>
      <c r="AT37" s="47">
        <f>SUM(AT25:AT36)</f>
        <v>1460</v>
      </c>
      <c r="AU37" s="47">
        <f>SUM(AU25:AU36)</f>
        <v>1460</v>
      </c>
      <c r="AV37" s="47">
        <f>SUM(AV25:AV36)</f>
        <v>3650</v>
      </c>
      <c r="AW37" s="47">
        <f>SUM(AS37:AV37)</f>
        <v>8760</v>
      </c>
    </row>
    <row r="39" spans="1:49" x14ac:dyDescent="0.2">
      <c r="A39" s="17" t="s">
        <v>1535</v>
      </c>
    </row>
    <row r="40" spans="1:49" x14ac:dyDescent="0.2">
      <c r="A40" s="20" t="s">
        <v>1523</v>
      </c>
      <c r="B40" s="47">
        <f>(SUM(AS27:AS29,AT34)/$AW$37)</f>
        <v>7.7168949771689505E-2</v>
      </c>
      <c r="AN40" s="47">
        <v>7.4999999999999997E-2</v>
      </c>
      <c r="AO40" s="97">
        <v>0.09</v>
      </c>
    </row>
    <row r="41" spans="1:49" x14ac:dyDescent="0.2">
      <c r="A41" s="20" t="s">
        <v>1524</v>
      </c>
      <c r="B41" s="47">
        <f>(SUM(AT27:AT29,AT34)/$AW$37)</f>
        <v>5.6164383561643834E-2</v>
      </c>
      <c r="AN41" s="47">
        <v>5.5E-2</v>
      </c>
      <c r="AO41" s="97">
        <v>0.1</v>
      </c>
    </row>
    <row r="42" spans="1:49" x14ac:dyDescent="0.2">
      <c r="A42" s="20" t="s">
        <v>1525</v>
      </c>
      <c r="B42" s="47">
        <f>(SUM(AU27:AU29,AU34)/$AW$37)</f>
        <v>5.6164383561643834E-2</v>
      </c>
      <c r="AN42" s="47">
        <v>5.5E-2</v>
      </c>
      <c r="AO42" s="97">
        <v>3.0000000000000001E-3</v>
      </c>
    </row>
    <row r="43" spans="1:49" x14ac:dyDescent="0.2">
      <c r="A43" s="20" t="s">
        <v>1526</v>
      </c>
      <c r="B43" s="47">
        <f>(SUM(AV27:AV29,AV34)/$AW$37)</f>
        <v>0.1404109589041096</v>
      </c>
      <c r="AN43" s="47">
        <v>0.14000000000000001</v>
      </c>
      <c r="AO43" s="97">
        <v>0.14000000000000001</v>
      </c>
    </row>
    <row r="44" spans="1:49" x14ac:dyDescent="0.2">
      <c r="AN44" s="47"/>
      <c r="AO44" s="97"/>
    </row>
    <row r="45" spans="1:49" x14ac:dyDescent="0.2">
      <c r="A45" s="13" t="s">
        <v>1527</v>
      </c>
      <c r="B45" s="47">
        <f>(SUM(AS30:AS33)/$AW$37)</f>
        <v>8.3561643835616442E-2</v>
      </c>
      <c r="AN45" s="47">
        <v>7.4999999999999997E-2</v>
      </c>
      <c r="AO45" s="97">
        <v>0.09</v>
      </c>
    </row>
    <row r="46" spans="1:49" x14ac:dyDescent="0.2">
      <c r="A46" s="13" t="s">
        <v>1528</v>
      </c>
      <c r="B46" s="47">
        <f>(SUM(AT30:AT33)/$AW$37)</f>
        <v>5.5707762557077628E-2</v>
      </c>
      <c r="AN46" s="47">
        <v>5.5E-2</v>
      </c>
      <c r="AO46" s="97">
        <v>0.1</v>
      </c>
    </row>
    <row r="47" spans="1:49" x14ac:dyDescent="0.2">
      <c r="A47" s="13" t="s">
        <v>1529</v>
      </c>
      <c r="B47" s="47">
        <f>(SUM(AU30:AU33)/$AW$37)</f>
        <v>5.5707762557077628E-2</v>
      </c>
      <c r="AN47" s="47">
        <v>5.5E-2</v>
      </c>
      <c r="AO47" s="97">
        <v>4.0000000000000001E-3</v>
      </c>
    </row>
    <row r="48" spans="1:49" x14ac:dyDescent="0.2">
      <c r="A48" s="13" t="s">
        <v>1530</v>
      </c>
      <c r="B48" s="47">
        <f>(SUM(AV30:AV33)/$AW$37)</f>
        <v>0.13926940639269406</v>
      </c>
      <c r="AN48" s="47">
        <v>0.14000000000000001</v>
      </c>
      <c r="AO48" s="97">
        <v>0.13</v>
      </c>
    </row>
    <row r="49" spans="1:41" x14ac:dyDescent="0.2">
      <c r="AN49" s="47"/>
      <c r="AO49" s="97"/>
    </row>
    <row r="50" spans="1:41" x14ac:dyDescent="0.2">
      <c r="A50" s="13" t="s">
        <v>1531</v>
      </c>
      <c r="B50" s="47">
        <f>(SUM(AS$25:AS$26,AS$35:AS$36)/$AW$37)</f>
        <v>8.2191780821917804E-2</v>
      </c>
      <c r="AN50" s="47">
        <v>7.4999999999999997E-2</v>
      </c>
      <c r="AO50" s="97">
        <v>0.09</v>
      </c>
    </row>
    <row r="51" spans="1:41" x14ac:dyDescent="0.2">
      <c r="A51" s="13" t="s">
        <v>1532</v>
      </c>
      <c r="B51" s="47">
        <f>(SUM(AT$25:AT$26,AT$35:AT$36)/$AW$37)</f>
        <v>5.4794520547945202E-2</v>
      </c>
      <c r="AN51" s="47">
        <v>7.0000000000000007E-2</v>
      </c>
      <c r="AO51" s="97">
        <v>0.1</v>
      </c>
    </row>
    <row r="52" spans="1:41" x14ac:dyDescent="0.2">
      <c r="A52" s="13" t="s">
        <v>1533</v>
      </c>
      <c r="B52" s="47">
        <f>(SUM(AU$25:AU$26,AU$35:AU$36)/$AW$37)</f>
        <v>5.4794520547945202E-2</v>
      </c>
      <c r="AN52" s="47">
        <v>5.5E-2</v>
      </c>
      <c r="AO52" s="97">
        <v>3.0000000000000001E-3</v>
      </c>
    </row>
    <row r="53" spans="1:41" x14ac:dyDescent="0.2">
      <c r="A53" s="13" t="s">
        <v>1534</v>
      </c>
      <c r="B53" s="47">
        <f>(SUM(AV$25:AV$26,AV$35:AV$36)/$AW$37)</f>
        <v>0.13698630136986301</v>
      </c>
      <c r="AN53" s="47">
        <v>0.15</v>
      </c>
      <c r="AO53" s="97">
        <v>0.15</v>
      </c>
    </row>
    <row r="54" spans="1:41" x14ac:dyDescent="0.2">
      <c r="AN54" s="47"/>
      <c r="AO54" s="97"/>
    </row>
    <row r="55" spans="1:41" x14ac:dyDescent="0.2">
      <c r="B55" s="13">
        <f>SUM(B40:B53)</f>
        <v>0.99292237442922371</v>
      </c>
      <c r="AN55" s="98">
        <f>SUM(AN40:AN53)</f>
        <v>1</v>
      </c>
      <c r="AO55" s="97">
        <f>SUM(AO40:AO53)</f>
        <v>1</v>
      </c>
    </row>
  </sheetData>
  <hyperlinks>
    <hyperlink ref="A1" location="Contents!A1" display="Back to Contents" xr:uid="{00000000-0004-0000-1600-00000000000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95"/>
  <sheetViews>
    <sheetView topLeftCell="A33" zoomScale="80" zoomScaleNormal="80" workbookViewId="0">
      <selection activeCell="P84" sqref="P84"/>
    </sheetView>
  </sheetViews>
  <sheetFormatPr defaultColWidth="9.140625" defaultRowHeight="12.75" x14ac:dyDescent="0.2"/>
  <cols>
    <col min="1" max="1" width="9.140625" style="13"/>
    <col min="2" max="2" width="15.42578125" style="13" customWidth="1"/>
    <col min="3" max="3" width="14.7109375" style="13" customWidth="1"/>
    <col min="4" max="4" width="20.5703125" style="13" bestFit="1" customWidth="1"/>
    <col min="5" max="5" width="13.85546875" style="13" bestFit="1" customWidth="1"/>
    <col min="6" max="6" width="30.28515625" style="13" bestFit="1" customWidth="1"/>
    <col min="7" max="7" width="12" style="13" bestFit="1" customWidth="1"/>
    <col min="8" max="8" width="28.85546875" style="47" customWidth="1"/>
    <col min="9" max="9" width="13.85546875" style="13" bestFit="1" customWidth="1"/>
    <col min="10" max="12" width="9.140625" style="13"/>
    <col min="13" max="13" width="19.28515625" style="13" customWidth="1"/>
    <col min="14" max="14" width="9.140625" style="13"/>
    <col min="15" max="15" width="14.5703125" style="13" customWidth="1"/>
    <col min="16" max="16384" width="9.140625" style="13"/>
  </cols>
  <sheetData>
    <row r="1" spans="1:1" ht="15.75" x14ac:dyDescent="0.25">
      <c r="A1" s="99" t="s">
        <v>60</v>
      </c>
    </row>
    <row r="2" spans="1:1" x14ac:dyDescent="0.2">
      <c r="A2" s="13" t="s">
        <v>61</v>
      </c>
    </row>
    <row r="3" spans="1:1" x14ac:dyDescent="0.2">
      <c r="A3" s="13" t="s">
        <v>62</v>
      </c>
    </row>
    <row r="4" spans="1:1" x14ac:dyDescent="0.2">
      <c r="A4" s="13" t="s">
        <v>63</v>
      </c>
    </row>
    <row r="5" spans="1:1" x14ac:dyDescent="0.2">
      <c r="A5" s="13" t="s">
        <v>64</v>
      </c>
    </row>
    <row r="7" spans="1:1" x14ac:dyDescent="0.2">
      <c r="A7" s="13" t="s">
        <v>65</v>
      </c>
    </row>
    <row r="8" spans="1:1" x14ac:dyDescent="0.2">
      <c r="A8" s="13" t="s">
        <v>66</v>
      </c>
    </row>
    <row r="9" spans="1:1" x14ac:dyDescent="0.2">
      <c r="A9" s="13" t="s">
        <v>67</v>
      </c>
    </row>
    <row r="10" spans="1:1" x14ac:dyDescent="0.2">
      <c r="A10" s="13" t="s">
        <v>68</v>
      </c>
    </row>
    <row r="11" spans="1:1" x14ac:dyDescent="0.2">
      <c r="A11" s="13" t="s">
        <v>69</v>
      </c>
    </row>
    <row r="13" spans="1:1" x14ac:dyDescent="0.2">
      <c r="A13" s="13" t="s">
        <v>70</v>
      </c>
    </row>
    <row r="14" spans="1:1" x14ac:dyDescent="0.2">
      <c r="A14" s="13" t="s">
        <v>71</v>
      </c>
    </row>
    <row r="15" spans="1:1" x14ac:dyDescent="0.2">
      <c r="A15" s="13" t="s">
        <v>72</v>
      </c>
    </row>
    <row r="16" spans="1:1" x14ac:dyDescent="0.2">
      <c r="A16" s="13" t="s">
        <v>73</v>
      </c>
    </row>
    <row r="17" spans="1:6" x14ac:dyDescent="0.2">
      <c r="A17" s="13" t="s">
        <v>74</v>
      </c>
    </row>
    <row r="18" spans="1:6" x14ac:dyDescent="0.2">
      <c r="A18" s="13" t="s">
        <v>71</v>
      </c>
    </row>
    <row r="19" spans="1:6" x14ac:dyDescent="0.2">
      <c r="B19" s="13" t="s">
        <v>75</v>
      </c>
      <c r="C19" s="13" t="s">
        <v>76</v>
      </c>
      <c r="D19" s="13" t="s">
        <v>77</v>
      </c>
      <c r="E19" s="13" t="s">
        <v>78</v>
      </c>
      <c r="F19" s="13" t="s">
        <v>79</v>
      </c>
    </row>
    <row r="20" spans="1:6" x14ac:dyDescent="0.2">
      <c r="A20" s="13" t="s">
        <v>80</v>
      </c>
    </row>
    <row r="21" spans="1:6" x14ac:dyDescent="0.2">
      <c r="B21" s="13">
        <v>0.25</v>
      </c>
      <c r="C21" s="13">
        <v>0.21</v>
      </c>
      <c r="D21" s="13">
        <v>0.54</v>
      </c>
      <c r="E21" s="13">
        <v>2.3E-2</v>
      </c>
      <c r="F21" s="48">
        <v>0.5</v>
      </c>
    </row>
    <row r="23" spans="1:6" x14ac:dyDescent="0.2">
      <c r="A23" s="13" t="s">
        <v>81</v>
      </c>
    </row>
    <row r="24" spans="1:6" x14ac:dyDescent="0.2">
      <c r="A24" s="13" t="s">
        <v>82</v>
      </c>
    </row>
    <row r="25" spans="1:6" x14ac:dyDescent="0.2">
      <c r="A25" s="13" t="s">
        <v>83</v>
      </c>
    </row>
    <row r="26" spans="1:6" x14ac:dyDescent="0.2">
      <c r="A26" s="13" t="s">
        <v>84</v>
      </c>
    </row>
    <row r="27" spans="1:6" x14ac:dyDescent="0.2">
      <c r="A27" s="13" t="s">
        <v>85</v>
      </c>
    </row>
    <row r="28" spans="1:6" x14ac:dyDescent="0.2">
      <c r="A28" s="13" t="s">
        <v>86</v>
      </c>
    </row>
    <row r="29" spans="1:6" x14ac:dyDescent="0.2">
      <c r="A29" s="13" t="s">
        <v>87</v>
      </c>
    </row>
    <row r="30" spans="1:6" x14ac:dyDescent="0.2">
      <c r="A30" s="13" t="s">
        <v>88</v>
      </c>
    </row>
    <row r="31" spans="1:6" x14ac:dyDescent="0.2">
      <c r="A31" s="13" t="s">
        <v>89</v>
      </c>
    </row>
    <row r="32" spans="1:6" x14ac:dyDescent="0.2">
      <c r="A32" s="13" t="s">
        <v>90</v>
      </c>
    </row>
    <row r="34" spans="1:16" x14ac:dyDescent="0.2">
      <c r="A34" s="13" t="s">
        <v>91</v>
      </c>
    </row>
    <row r="35" spans="1:16" x14ac:dyDescent="0.2">
      <c r="A35" s="13" t="s">
        <v>92</v>
      </c>
    </row>
    <row r="36" spans="1:16" x14ac:dyDescent="0.2">
      <c r="A36" s="13" t="s">
        <v>93</v>
      </c>
    </row>
    <row r="37" spans="1:16" x14ac:dyDescent="0.2">
      <c r="A37" s="13" t="s">
        <v>94</v>
      </c>
    </row>
    <row r="38" spans="1:16" x14ac:dyDescent="0.2">
      <c r="A38" s="13" t="s">
        <v>95</v>
      </c>
      <c r="M38" s="65" t="s">
        <v>1271</v>
      </c>
    </row>
    <row r="39" spans="1:16" s="17" customFormat="1" x14ac:dyDescent="0.2">
      <c r="B39" s="65" t="s">
        <v>96</v>
      </c>
      <c r="C39" s="65" t="s">
        <v>97</v>
      </c>
      <c r="D39" s="65"/>
      <c r="E39" s="65"/>
      <c r="F39" s="65"/>
      <c r="G39" s="65"/>
      <c r="H39" s="314" t="s">
        <v>98</v>
      </c>
      <c r="I39" s="314"/>
      <c r="J39" s="65"/>
      <c r="K39" s="65"/>
      <c r="M39" s="65">
        <v>1.8</v>
      </c>
    </row>
    <row r="40" spans="1:16" x14ac:dyDescent="0.2">
      <c r="B40" s="47" t="s">
        <v>233</v>
      </c>
      <c r="C40" s="47" t="s">
        <v>11</v>
      </c>
      <c r="D40" s="47" t="s">
        <v>99</v>
      </c>
      <c r="E40" s="47" t="s">
        <v>100</v>
      </c>
      <c r="F40" s="47" t="s">
        <v>101</v>
      </c>
      <c r="G40" s="47" t="s">
        <v>102</v>
      </c>
      <c r="H40" s="46" t="s">
        <v>1263</v>
      </c>
      <c r="I40" s="46" t="s">
        <v>1257</v>
      </c>
      <c r="J40" s="47" t="s">
        <v>104</v>
      </c>
      <c r="K40" s="47" t="s">
        <v>105</v>
      </c>
      <c r="O40" s="47" t="s">
        <v>106</v>
      </c>
      <c r="P40" s="47" t="s">
        <v>47</v>
      </c>
    </row>
    <row r="41" spans="1:16" x14ac:dyDescent="0.2">
      <c r="B41" s="47">
        <v>1</v>
      </c>
      <c r="C41" s="47">
        <v>1</v>
      </c>
      <c r="D41" s="47">
        <v>141</v>
      </c>
      <c r="E41" s="47">
        <v>2.3959999999999999</v>
      </c>
      <c r="F41" s="47">
        <v>5.5540000000000003</v>
      </c>
      <c r="G41" s="47">
        <v>7.81</v>
      </c>
      <c r="H41" s="128">
        <f t="shared" ref="H41:H79" si="0">E41*$B$21+F41*$C$21+G41*$D$21</f>
        <v>5.9827400000000006</v>
      </c>
      <c r="I41" s="129">
        <f>H41*D41*Conv!$D$31/365/Conv!$D$6/Conv!$J$5/10^9</f>
        <v>2.4976189593051727</v>
      </c>
      <c r="J41" s="47" t="str">
        <f t="shared" ref="J41:J79" si="1">VLOOKUP(B41,$O$41:$P$62,2,FALSE)</f>
        <v>R1</v>
      </c>
      <c r="K41" s="47" t="str">
        <f t="shared" ref="K41:K79" si="2">VLOOKUP(C41,$O$41:$P$62,2,FALSE)</f>
        <v>R1</v>
      </c>
      <c r="L41" s="130"/>
      <c r="M41" s="98">
        <f>I41*$M$39</f>
        <v>4.495714126749311</v>
      </c>
      <c r="O41" s="47">
        <v>1</v>
      </c>
      <c r="P41" s="47" t="s">
        <v>160</v>
      </c>
    </row>
    <row r="42" spans="1:16" x14ac:dyDescent="0.2">
      <c r="B42" s="47">
        <v>2</v>
      </c>
      <c r="C42" s="47">
        <v>1</v>
      </c>
      <c r="D42" s="47">
        <v>208</v>
      </c>
      <c r="E42" s="47">
        <v>2.3959999999999999</v>
      </c>
      <c r="F42" s="47">
        <v>5.5540000000000003</v>
      </c>
      <c r="G42" s="47">
        <v>7.81</v>
      </c>
      <c r="H42" s="128">
        <f t="shared" si="0"/>
        <v>5.9827400000000006</v>
      </c>
      <c r="I42" s="129">
        <f>H42*D42*Conv!$D$31/365/Conv!$D$6/Conv!$J$5/10^9</f>
        <v>3.6844308052161412</v>
      </c>
      <c r="J42" s="47" t="str">
        <f t="shared" si="1"/>
        <v>R2</v>
      </c>
      <c r="K42" s="47" t="str">
        <f t="shared" si="2"/>
        <v>R1</v>
      </c>
      <c r="M42" s="98">
        <f t="shared" ref="M42:M79" si="3">I42*$M$39</f>
        <v>6.6319754493890546</v>
      </c>
      <c r="O42" s="47">
        <v>2</v>
      </c>
      <c r="P42" s="47" t="s">
        <v>168</v>
      </c>
    </row>
    <row r="43" spans="1:16" x14ac:dyDescent="0.2">
      <c r="B43" s="47">
        <v>2</v>
      </c>
      <c r="C43" s="47">
        <v>2</v>
      </c>
      <c r="D43" s="47">
        <v>268</v>
      </c>
      <c r="E43" s="47">
        <v>2.3959999999999999</v>
      </c>
      <c r="F43" s="47">
        <v>5.5540000000000003</v>
      </c>
      <c r="G43" s="47">
        <v>7.81</v>
      </c>
      <c r="H43" s="128">
        <f t="shared" si="0"/>
        <v>5.9827400000000006</v>
      </c>
      <c r="I43" s="129">
        <f>H43*D43*Conv!$D$31/365/Conv!$D$6/Conv!$J$5/10^9</f>
        <v>4.7472473836438756</v>
      </c>
      <c r="J43" s="47" t="str">
        <f t="shared" si="1"/>
        <v>R2</v>
      </c>
      <c r="K43" s="47" t="str">
        <f t="shared" si="2"/>
        <v>R2</v>
      </c>
      <c r="M43" s="98">
        <f t="shared" si="3"/>
        <v>8.545045290558976</v>
      </c>
      <c r="O43" s="47">
        <v>3</v>
      </c>
      <c r="P43" s="47" t="s">
        <v>165</v>
      </c>
    </row>
    <row r="44" spans="1:16" x14ac:dyDescent="0.2">
      <c r="B44" s="47">
        <v>3</v>
      </c>
      <c r="C44" s="47">
        <v>2</v>
      </c>
      <c r="D44" s="47">
        <v>264</v>
      </c>
      <c r="E44" s="47">
        <v>2.3959999999999999</v>
      </c>
      <c r="F44" s="47">
        <v>5.5540000000000003</v>
      </c>
      <c r="G44" s="47">
        <v>5.2629999999999999</v>
      </c>
      <c r="H44" s="128">
        <f t="shared" si="0"/>
        <v>4.6073599999999999</v>
      </c>
      <c r="I44" s="129">
        <f>H44*D44*Conv!$D$31/365/Conv!$D$6/Conv!$J$5/10^9</f>
        <v>3.6013307948286428</v>
      </c>
      <c r="J44" s="47" t="str">
        <f t="shared" si="1"/>
        <v>R3</v>
      </c>
      <c r="K44" s="47" t="str">
        <f t="shared" si="2"/>
        <v>R2</v>
      </c>
      <c r="M44" s="98">
        <f t="shared" si="3"/>
        <v>6.4823954306915574</v>
      </c>
      <c r="O44" s="47">
        <v>4</v>
      </c>
      <c r="P44" s="47" t="s">
        <v>196</v>
      </c>
    </row>
    <row r="45" spans="1:16" x14ac:dyDescent="0.2">
      <c r="B45" s="47">
        <v>3</v>
      </c>
      <c r="C45" s="47">
        <v>3</v>
      </c>
      <c r="D45" s="47">
        <v>238</v>
      </c>
      <c r="E45" s="47">
        <v>2.2599999999999998</v>
      </c>
      <c r="F45" s="47">
        <v>2.3530000000000002</v>
      </c>
      <c r="G45" s="47">
        <v>3.2429999999999999</v>
      </c>
      <c r="H45" s="128">
        <f t="shared" si="0"/>
        <v>2.8103499999999997</v>
      </c>
      <c r="I45" s="129">
        <f>H45*D45*Conv!$D$31/365/Conv!$D$6/Conv!$J$5/10^9</f>
        <v>1.980360737560277</v>
      </c>
      <c r="J45" s="47" t="str">
        <f t="shared" si="1"/>
        <v>R3</v>
      </c>
      <c r="K45" s="47" t="str">
        <f t="shared" si="2"/>
        <v>R3</v>
      </c>
      <c r="M45" s="98">
        <f t="shared" si="3"/>
        <v>3.5646493276084987</v>
      </c>
      <c r="O45" s="47">
        <v>5</v>
      </c>
      <c r="P45" s="47" t="s">
        <v>195</v>
      </c>
    </row>
    <row r="46" spans="1:16" x14ac:dyDescent="0.2">
      <c r="B46" s="47">
        <v>3</v>
      </c>
      <c r="C46" s="47">
        <v>5</v>
      </c>
      <c r="D46" s="47">
        <v>510</v>
      </c>
      <c r="E46" s="47">
        <v>1.6739999999999999</v>
      </c>
      <c r="F46" s="47">
        <v>5.0590000000000002</v>
      </c>
      <c r="G46" s="47">
        <v>6.7869999999999999</v>
      </c>
      <c r="H46" s="128">
        <f t="shared" si="0"/>
        <v>5.1458700000000004</v>
      </c>
      <c r="I46" s="129">
        <f>H46*D46*Conv!$D$31/365/Conv!$D$6/Conv!$J$5/10^9</f>
        <v>7.7702667247261807</v>
      </c>
      <c r="J46" s="47" t="str">
        <f t="shared" si="1"/>
        <v>R3</v>
      </c>
      <c r="K46" s="47" t="str">
        <f t="shared" si="2"/>
        <v>R5</v>
      </c>
      <c r="M46" s="98">
        <f t="shared" si="3"/>
        <v>13.986480104507125</v>
      </c>
      <c r="O46" s="47">
        <v>6</v>
      </c>
      <c r="P46" s="47" t="s">
        <v>197</v>
      </c>
    </row>
    <row r="47" spans="1:16" x14ac:dyDescent="0.2">
      <c r="B47" s="47">
        <v>4</v>
      </c>
      <c r="C47" s="47">
        <v>3</v>
      </c>
      <c r="D47" s="47">
        <v>604</v>
      </c>
      <c r="E47" s="47">
        <v>2.012</v>
      </c>
      <c r="F47" s="47">
        <v>4.6379999999999999</v>
      </c>
      <c r="G47" s="47">
        <v>6.34</v>
      </c>
      <c r="H47" s="128">
        <f t="shared" si="0"/>
        <v>4.9005799999999997</v>
      </c>
      <c r="I47" s="129">
        <f>H47*D47*Conv!$D$31/365/Conv!$D$6/Conv!$J$5/10^9</f>
        <v>8.7637778883323065</v>
      </c>
      <c r="J47" s="47" t="str">
        <f t="shared" si="1"/>
        <v>R4</v>
      </c>
      <c r="K47" s="47" t="str">
        <f t="shared" si="2"/>
        <v>R3</v>
      </c>
      <c r="M47" s="98">
        <f t="shared" si="3"/>
        <v>15.774800198998152</v>
      </c>
      <c r="O47" s="47">
        <v>7</v>
      </c>
      <c r="P47" s="47" t="s">
        <v>198</v>
      </c>
    </row>
    <row r="48" spans="1:16" x14ac:dyDescent="0.2">
      <c r="B48" s="47">
        <v>4</v>
      </c>
      <c r="C48" s="47">
        <v>4</v>
      </c>
      <c r="D48" s="47">
        <v>338</v>
      </c>
      <c r="E48" s="47">
        <v>1.9870000000000001</v>
      </c>
      <c r="F48" s="47">
        <v>4.6379999999999999</v>
      </c>
      <c r="G48" s="47">
        <v>6.34</v>
      </c>
      <c r="H48" s="128">
        <f t="shared" si="0"/>
        <v>4.8943300000000001</v>
      </c>
      <c r="I48" s="129">
        <f>H48*D48*Conv!$D$31/365/Conv!$D$6/Conv!$J$5/10^9</f>
        <v>4.8979786623189314</v>
      </c>
      <c r="J48" s="47" t="str">
        <f t="shared" si="1"/>
        <v>R4</v>
      </c>
      <c r="K48" s="47" t="str">
        <f t="shared" si="2"/>
        <v>R4</v>
      </c>
      <c r="M48" s="98">
        <f t="shared" si="3"/>
        <v>8.8163615921740774</v>
      </c>
      <c r="O48" s="47">
        <v>8</v>
      </c>
      <c r="P48" s="47" t="s">
        <v>199</v>
      </c>
    </row>
    <row r="49" spans="2:16" x14ac:dyDescent="0.2">
      <c r="B49" s="47">
        <v>5</v>
      </c>
      <c r="C49" s="47">
        <v>2</v>
      </c>
      <c r="D49" s="47">
        <v>523</v>
      </c>
      <c r="E49" s="47">
        <v>1.6739999999999999</v>
      </c>
      <c r="F49" s="47">
        <v>5.0590000000000002</v>
      </c>
      <c r="G49" s="47">
        <v>6.7869999999999999</v>
      </c>
      <c r="H49" s="128">
        <f t="shared" si="0"/>
        <v>5.1458700000000004</v>
      </c>
      <c r="I49" s="129">
        <f>H49*D49*Conv!$D$31/365/Conv!$D$6/Conv!$J$5/10^9</f>
        <v>7.9683323471211613</v>
      </c>
      <c r="J49" s="47" t="str">
        <f t="shared" si="1"/>
        <v>R5</v>
      </c>
      <c r="K49" s="47" t="str">
        <f t="shared" si="2"/>
        <v>R2</v>
      </c>
      <c r="M49" s="98">
        <f t="shared" si="3"/>
        <v>14.342998224818091</v>
      </c>
      <c r="O49" s="47">
        <v>9</v>
      </c>
      <c r="P49" s="47" t="s">
        <v>200</v>
      </c>
    </row>
    <row r="50" spans="2:16" x14ac:dyDescent="0.2">
      <c r="B50" s="47">
        <v>5</v>
      </c>
      <c r="C50" s="47">
        <v>5</v>
      </c>
      <c r="D50" s="47">
        <v>194</v>
      </c>
      <c r="E50" s="47">
        <v>1.6739999999999999</v>
      </c>
      <c r="F50" s="47">
        <v>5.0590000000000002</v>
      </c>
      <c r="G50" s="47">
        <v>6.7869999999999999</v>
      </c>
      <c r="H50" s="128">
        <f t="shared" si="0"/>
        <v>5.1458700000000004</v>
      </c>
      <c r="I50" s="129">
        <f>H50*D50*Conv!$D$31/365/Conv!$D$6/Conv!$J$5/10^9</f>
        <v>2.9557485188174093</v>
      </c>
      <c r="J50" s="47" t="str">
        <f t="shared" si="1"/>
        <v>R5</v>
      </c>
      <c r="K50" s="47" t="str">
        <f t="shared" si="2"/>
        <v>R5</v>
      </c>
      <c r="M50" s="98">
        <f t="shared" si="3"/>
        <v>5.3203473338713367</v>
      </c>
      <c r="O50" s="47">
        <v>10</v>
      </c>
      <c r="P50" s="47" t="s">
        <v>195</v>
      </c>
    </row>
    <row r="51" spans="2:16" x14ac:dyDescent="0.2">
      <c r="B51" s="47">
        <v>6</v>
      </c>
      <c r="C51" s="47">
        <v>3</v>
      </c>
      <c r="D51" s="47">
        <v>494</v>
      </c>
      <c r="E51" s="47">
        <v>1.6739999999999999</v>
      </c>
      <c r="F51" s="47">
        <v>5.0590000000000002</v>
      </c>
      <c r="G51" s="47">
        <v>6.7869999999999999</v>
      </c>
      <c r="H51" s="128">
        <f t="shared" si="0"/>
        <v>5.1458700000000004</v>
      </c>
      <c r="I51" s="129">
        <f>H51*D51*Conv!$D$31/365/Conv!$D$6/Conv!$J$5/10^9</f>
        <v>7.5264936510092806</v>
      </c>
      <c r="J51" s="47" t="str">
        <f t="shared" si="1"/>
        <v>R6</v>
      </c>
      <c r="K51" s="47" t="str">
        <f t="shared" si="2"/>
        <v>R3</v>
      </c>
      <c r="M51" s="98">
        <f t="shared" si="3"/>
        <v>13.547688571816705</v>
      </c>
      <c r="O51" s="47">
        <v>11</v>
      </c>
      <c r="P51" s="47" t="s">
        <v>199</v>
      </c>
    </row>
    <row r="52" spans="2:16" x14ac:dyDescent="0.2">
      <c r="B52" s="47">
        <v>6</v>
      </c>
      <c r="C52" s="47">
        <v>5</v>
      </c>
      <c r="D52" s="47">
        <v>447</v>
      </c>
      <c r="E52" s="47">
        <v>1.6739999999999999</v>
      </c>
      <c r="F52" s="47">
        <v>5.0590000000000002</v>
      </c>
      <c r="G52" s="47">
        <v>6.7869999999999999</v>
      </c>
      <c r="H52" s="128">
        <f t="shared" si="0"/>
        <v>5.1458700000000004</v>
      </c>
      <c r="I52" s="129">
        <f>H52*D52*Conv!$D$31/365/Conv!$D$6/Conv!$J$5/10^9</f>
        <v>6.8104102469658869</v>
      </c>
      <c r="J52" s="47" t="str">
        <f t="shared" si="1"/>
        <v>R6</v>
      </c>
      <c r="K52" s="47" t="str">
        <f t="shared" si="2"/>
        <v>R5</v>
      </c>
      <c r="M52" s="98">
        <f t="shared" si="3"/>
        <v>12.258738444538597</v>
      </c>
      <c r="O52" s="47">
        <v>12</v>
      </c>
      <c r="P52" s="47" t="s">
        <v>200</v>
      </c>
    </row>
    <row r="53" spans="2:16" x14ac:dyDescent="0.2">
      <c r="B53" s="47">
        <v>6</v>
      </c>
      <c r="C53" s="47">
        <v>6</v>
      </c>
      <c r="D53" s="47">
        <v>364</v>
      </c>
      <c r="E53" s="47">
        <v>1.6739999999999999</v>
      </c>
      <c r="F53" s="47">
        <v>5.0590000000000002</v>
      </c>
      <c r="G53" s="47">
        <v>6.7869999999999999</v>
      </c>
      <c r="H53" s="128">
        <f t="shared" si="0"/>
        <v>5.1458700000000004</v>
      </c>
      <c r="I53" s="129">
        <f>H53*D53*Conv!$D$31/365/Conv!$D$6/Conv!$J$5/10^9</f>
        <v>5.5458374270594692</v>
      </c>
      <c r="J53" s="47" t="str">
        <f t="shared" si="1"/>
        <v>R6</v>
      </c>
      <c r="K53" s="47" t="str">
        <f t="shared" si="2"/>
        <v>R6</v>
      </c>
      <c r="M53" s="98">
        <f t="shared" si="3"/>
        <v>9.9825073687070454</v>
      </c>
      <c r="O53" s="47">
        <v>13</v>
      </c>
      <c r="P53" s="47" t="s">
        <v>59</v>
      </c>
    </row>
    <row r="54" spans="2:16" x14ac:dyDescent="0.2">
      <c r="B54" s="47">
        <v>6</v>
      </c>
      <c r="C54" s="47">
        <v>10</v>
      </c>
      <c r="D54" s="47">
        <v>478</v>
      </c>
      <c r="E54" s="47">
        <v>1.6739999999999999</v>
      </c>
      <c r="F54" s="47">
        <v>6.2910000000000004</v>
      </c>
      <c r="G54" s="47">
        <v>6.7869999999999999</v>
      </c>
      <c r="H54" s="128">
        <f t="shared" si="0"/>
        <v>5.4045900000000007</v>
      </c>
      <c r="I54" s="129">
        <f>H54*D54*Conv!$D$31/365/Conv!$D$6/Conv!$J$5/10^9</f>
        <v>7.6488754680605284</v>
      </c>
      <c r="J54" s="47" t="str">
        <f t="shared" si="1"/>
        <v>R6</v>
      </c>
      <c r="K54" s="47" t="str">
        <f t="shared" si="2"/>
        <v>R5</v>
      </c>
      <c r="M54" s="98">
        <f t="shared" si="3"/>
        <v>13.767975842508951</v>
      </c>
      <c r="O54" s="47">
        <v>14</v>
      </c>
      <c r="P54" s="47" t="s">
        <v>59</v>
      </c>
    </row>
    <row r="55" spans="2:16" x14ac:dyDescent="0.2">
      <c r="B55" s="47">
        <v>7</v>
      </c>
      <c r="C55" s="47">
        <v>4</v>
      </c>
      <c r="D55" s="47">
        <v>534</v>
      </c>
      <c r="E55" s="47">
        <v>1.78</v>
      </c>
      <c r="F55" s="47">
        <v>3.2330000000000001</v>
      </c>
      <c r="G55" s="47">
        <v>3.6280000000000001</v>
      </c>
      <c r="H55" s="128">
        <f t="shared" si="0"/>
        <v>3.0830500000000001</v>
      </c>
      <c r="I55" s="129">
        <f>H55*D55*Conv!$D$31/365/Conv!$D$6/Conv!$J$5/10^9</f>
        <v>4.8744853033697666</v>
      </c>
      <c r="J55" s="47" t="str">
        <f t="shared" si="1"/>
        <v>R7</v>
      </c>
      <c r="K55" s="47" t="str">
        <f t="shared" si="2"/>
        <v>R4</v>
      </c>
      <c r="M55" s="98">
        <f t="shared" si="3"/>
        <v>8.7740735460655799</v>
      </c>
      <c r="O55" s="47">
        <v>15</v>
      </c>
      <c r="P55" s="47" t="s">
        <v>59</v>
      </c>
    </row>
    <row r="56" spans="2:16" x14ac:dyDescent="0.2">
      <c r="B56" s="47">
        <v>7</v>
      </c>
      <c r="C56" s="47">
        <v>6</v>
      </c>
      <c r="D56" s="47">
        <v>395</v>
      </c>
      <c r="E56" s="47">
        <v>1.78</v>
      </c>
      <c r="F56" s="47">
        <v>3.2330000000000001</v>
      </c>
      <c r="G56" s="47">
        <v>3.6280000000000001</v>
      </c>
      <c r="H56" s="128">
        <f t="shared" si="0"/>
        <v>3.0830500000000001</v>
      </c>
      <c r="I56" s="129">
        <f>H56*D56*Conv!$D$31/365/Conv!$D$6/Conv!$J$5/10^9</f>
        <v>3.6056586045525432</v>
      </c>
      <c r="J56" s="47" t="str">
        <f t="shared" si="1"/>
        <v>R7</v>
      </c>
      <c r="K56" s="47" t="str">
        <f t="shared" si="2"/>
        <v>R6</v>
      </c>
      <c r="M56" s="98">
        <f t="shared" si="3"/>
        <v>6.4901854881945775</v>
      </c>
      <c r="O56" s="47">
        <v>16</v>
      </c>
      <c r="P56" s="47" t="s">
        <v>59</v>
      </c>
    </row>
    <row r="57" spans="2:16" x14ac:dyDescent="0.2">
      <c r="B57" s="47">
        <v>7</v>
      </c>
      <c r="C57" s="47">
        <v>7</v>
      </c>
      <c r="D57" s="47">
        <v>277</v>
      </c>
      <c r="E57" s="47">
        <v>1.78</v>
      </c>
      <c r="F57" s="47">
        <v>3.2330000000000001</v>
      </c>
      <c r="G57" s="47">
        <v>3.6280000000000001</v>
      </c>
      <c r="H57" s="128">
        <f t="shared" si="0"/>
        <v>3.0830500000000001</v>
      </c>
      <c r="I57" s="129">
        <f>H57*D57*Conv!$D$31/365/Conv!$D$6/Conv!$J$5/10^9</f>
        <v>2.5285251480026689</v>
      </c>
      <c r="J57" s="47" t="str">
        <f t="shared" si="1"/>
        <v>R7</v>
      </c>
      <c r="K57" s="47" t="str">
        <f t="shared" si="2"/>
        <v>R7</v>
      </c>
      <c r="M57" s="98">
        <f t="shared" si="3"/>
        <v>4.5513452664048044</v>
      </c>
      <c r="O57" s="47">
        <v>17</v>
      </c>
      <c r="P57" s="47" t="s">
        <v>59</v>
      </c>
    </row>
    <row r="58" spans="2:16" x14ac:dyDescent="0.2">
      <c r="B58" s="47">
        <v>7</v>
      </c>
      <c r="C58" s="47">
        <v>11</v>
      </c>
      <c r="D58" s="47">
        <v>469</v>
      </c>
      <c r="E58" s="47">
        <v>1.78</v>
      </c>
      <c r="F58" s="47">
        <v>3.2330000000000001</v>
      </c>
      <c r="G58" s="47">
        <v>3.6280000000000001</v>
      </c>
      <c r="H58" s="128">
        <f t="shared" si="0"/>
        <v>3.0830500000000001</v>
      </c>
      <c r="I58" s="129">
        <f>H58*D58*Conv!$D$31/365/Conv!$D$6/Conv!$J$5/10^9</f>
        <v>4.2811490773041578</v>
      </c>
      <c r="J58" s="47" t="str">
        <f t="shared" si="1"/>
        <v>R7</v>
      </c>
      <c r="K58" s="47" t="str">
        <f t="shared" si="2"/>
        <v>R8</v>
      </c>
      <c r="M58" s="98">
        <f t="shared" si="3"/>
        <v>7.7060683391474845</v>
      </c>
      <c r="O58" s="47">
        <v>18</v>
      </c>
      <c r="P58" s="47" t="s">
        <v>59</v>
      </c>
    </row>
    <row r="59" spans="2:16" x14ac:dyDescent="0.2">
      <c r="B59" s="47">
        <v>8</v>
      </c>
      <c r="C59" s="47">
        <v>4</v>
      </c>
      <c r="D59" s="47">
        <v>613</v>
      </c>
      <c r="E59" s="47">
        <v>2.331</v>
      </c>
      <c r="F59" s="47">
        <v>4.2140000000000004</v>
      </c>
      <c r="G59" s="47">
        <v>3.3809999999999998</v>
      </c>
      <c r="H59" s="128">
        <f t="shared" si="0"/>
        <v>3.2934299999999999</v>
      </c>
      <c r="I59" s="129">
        <f>H59*D59*Conv!$D$31/365/Conv!$D$6/Conv!$J$5/10^9</f>
        <v>5.9774486227195114</v>
      </c>
      <c r="J59" s="47" t="str">
        <f t="shared" si="1"/>
        <v>R8</v>
      </c>
      <c r="K59" s="47" t="str">
        <f t="shared" si="2"/>
        <v>R4</v>
      </c>
      <c r="M59" s="98">
        <f t="shared" si="3"/>
        <v>10.75940752089512</v>
      </c>
      <c r="O59" s="47">
        <v>19</v>
      </c>
      <c r="P59" s="47" t="s">
        <v>59</v>
      </c>
    </row>
    <row r="60" spans="2:16" x14ac:dyDescent="0.2">
      <c r="B60" s="47">
        <v>8</v>
      </c>
      <c r="C60" s="47">
        <v>7</v>
      </c>
      <c r="D60" s="47">
        <v>700</v>
      </c>
      <c r="E60" s="47">
        <v>1.6319999999999999</v>
      </c>
      <c r="F60" s="47">
        <v>4.2140000000000004</v>
      </c>
      <c r="G60" s="47">
        <v>3.3809999999999998</v>
      </c>
      <c r="H60" s="128">
        <f t="shared" si="0"/>
        <v>3.1186799999999999</v>
      </c>
      <c r="I60" s="129">
        <f>H60*D60*Conv!$D$31/365/Conv!$D$6/Conv!$J$5/10^9</f>
        <v>6.4636196925592104</v>
      </c>
      <c r="J60" s="47" t="str">
        <f t="shared" si="1"/>
        <v>R8</v>
      </c>
      <c r="K60" s="47" t="str">
        <f t="shared" si="2"/>
        <v>R7</v>
      </c>
      <c r="M60" s="98">
        <f t="shared" si="3"/>
        <v>11.63451544660658</v>
      </c>
      <c r="O60" s="47">
        <v>20</v>
      </c>
      <c r="P60" s="47" t="s">
        <v>57</v>
      </c>
    </row>
    <row r="61" spans="2:16" x14ac:dyDescent="0.2">
      <c r="B61" s="47">
        <v>8</v>
      </c>
      <c r="C61" s="47">
        <v>8</v>
      </c>
      <c r="D61" s="47">
        <v>525</v>
      </c>
      <c r="E61" s="47">
        <v>1.6319999999999999</v>
      </c>
      <c r="F61" s="47">
        <v>4.2140000000000004</v>
      </c>
      <c r="G61" s="47">
        <v>3.3809999999999998</v>
      </c>
      <c r="H61" s="128">
        <f t="shared" si="0"/>
        <v>3.1186799999999999</v>
      </c>
      <c r="I61" s="129">
        <f>H61*D61*Conv!$D$31/365/Conv!$D$6/Conv!$J$5/10^9</f>
        <v>4.847714769419408</v>
      </c>
      <c r="J61" s="47" t="str">
        <f t="shared" si="1"/>
        <v>R8</v>
      </c>
      <c r="K61" s="47" t="str">
        <f t="shared" si="2"/>
        <v>R8</v>
      </c>
      <c r="M61" s="98">
        <f t="shared" si="3"/>
        <v>8.7258865849549352</v>
      </c>
      <c r="O61" s="47">
        <v>21</v>
      </c>
      <c r="P61" s="47" t="s">
        <v>57</v>
      </c>
    </row>
    <row r="62" spans="2:16" x14ac:dyDescent="0.2">
      <c r="B62" s="47">
        <v>8</v>
      </c>
      <c r="C62" s="47">
        <v>9</v>
      </c>
      <c r="D62" s="47">
        <v>790</v>
      </c>
      <c r="E62" s="47">
        <v>1.6319999999999999</v>
      </c>
      <c r="F62" s="47">
        <v>4.2140000000000004</v>
      </c>
      <c r="G62" s="47">
        <v>3.3809999999999998</v>
      </c>
      <c r="H62" s="128">
        <f t="shared" si="0"/>
        <v>3.1186799999999999</v>
      </c>
      <c r="I62" s="129">
        <f>H62*D62*Conv!$D$31/365/Conv!$D$6/Conv!$J$5/10^9</f>
        <v>7.2946565101739651</v>
      </c>
      <c r="J62" s="47" t="str">
        <f t="shared" si="1"/>
        <v>R8</v>
      </c>
      <c r="K62" s="47" t="str">
        <f t="shared" si="2"/>
        <v>R9</v>
      </c>
      <c r="M62" s="98">
        <f t="shared" si="3"/>
        <v>13.130381718313137</v>
      </c>
      <c r="O62" s="47">
        <v>22</v>
      </c>
      <c r="P62" s="47" t="s">
        <v>57</v>
      </c>
    </row>
    <row r="63" spans="2:16" x14ac:dyDescent="0.2">
      <c r="B63" s="47">
        <v>8</v>
      </c>
      <c r="C63" s="47">
        <v>11</v>
      </c>
      <c r="D63" s="47">
        <v>355</v>
      </c>
      <c r="E63" s="47">
        <v>1.6319999999999999</v>
      </c>
      <c r="F63" s="47">
        <v>4.2140000000000004</v>
      </c>
      <c r="G63" s="47">
        <v>3.3809999999999998</v>
      </c>
      <c r="H63" s="128">
        <f t="shared" si="0"/>
        <v>3.1186799999999999</v>
      </c>
      <c r="I63" s="129">
        <f>H63*D63*Conv!$D$31/365/Conv!$D$6/Conv!$J$5/10^9</f>
        <v>3.2779785583693135</v>
      </c>
      <c r="J63" s="47" t="str">
        <f t="shared" si="1"/>
        <v>R8</v>
      </c>
      <c r="K63" s="47" t="str">
        <f t="shared" si="2"/>
        <v>R8</v>
      </c>
      <c r="M63" s="98">
        <f t="shared" si="3"/>
        <v>5.9003614050647641</v>
      </c>
    </row>
    <row r="64" spans="2:16" x14ac:dyDescent="0.2">
      <c r="B64" s="47">
        <v>8</v>
      </c>
      <c r="C64" s="47">
        <v>12</v>
      </c>
      <c r="D64" s="47">
        <v>710</v>
      </c>
      <c r="E64" s="47">
        <v>1.6319999999999999</v>
      </c>
      <c r="F64" s="47">
        <v>4.2140000000000004</v>
      </c>
      <c r="G64" s="47">
        <v>3.3809999999999998</v>
      </c>
      <c r="H64" s="128">
        <f t="shared" si="0"/>
        <v>3.1186799999999999</v>
      </c>
      <c r="I64" s="129">
        <f>H64*D64*Conv!$D$31/365/Conv!$D$6/Conv!$J$5/10^9</f>
        <v>6.555957116738627</v>
      </c>
      <c r="J64" s="47" t="str">
        <f t="shared" si="1"/>
        <v>R8</v>
      </c>
      <c r="K64" s="47" t="str">
        <f t="shared" si="2"/>
        <v>R9</v>
      </c>
      <c r="M64" s="98">
        <f t="shared" si="3"/>
        <v>11.800722810129528</v>
      </c>
    </row>
    <row r="65" spans="2:13" x14ac:dyDescent="0.2">
      <c r="B65" s="47">
        <v>9</v>
      </c>
      <c r="C65" s="47">
        <v>9</v>
      </c>
      <c r="D65" s="47">
        <v>465</v>
      </c>
      <c r="E65" s="47">
        <v>1.2350000000000001</v>
      </c>
      <c r="F65" s="47">
        <v>4.2140000000000004</v>
      </c>
      <c r="G65" s="47">
        <v>3.3809999999999998</v>
      </c>
      <c r="H65" s="128">
        <f t="shared" si="0"/>
        <v>3.0194299999999998</v>
      </c>
      <c r="I65" s="129">
        <f>H65*D65*Conv!$D$31/365/Conv!$D$6/Conv!$J$5/10^9</f>
        <v>4.1570462740927869</v>
      </c>
      <c r="J65" s="47" t="str">
        <f t="shared" si="1"/>
        <v>R9</v>
      </c>
      <c r="K65" s="47" t="str">
        <f t="shared" si="2"/>
        <v>R9</v>
      </c>
      <c r="M65" s="98">
        <f t="shared" si="3"/>
        <v>7.4826832933670167</v>
      </c>
    </row>
    <row r="66" spans="2:13" x14ac:dyDescent="0.2">
      <c r="B66" s="47">
        <v>9</v>
      </c>
      <c r="C66" s="47">
        <v>12</v>
      </c>
      <c r="D66" s="47">
        <v>355</v>
      </c>
      <c r="E66" s="47">
        <v>1.2350000000000001</v>
      </c>
      <c r="F66" s="47">
        <v>4.2140000000000004</v>
      </c>
      <c r="G66" s="47">
        <v>3.3809999999999998</v>
      </c>
      <c r="H66" s="128">
        <f t="shared" si="0"/>
        <v>3.0194299999999998</v>
      </c>
      <c r="I66" s="129">
        <f>H66*D66*Conv!$D$31/365/Conv!$D$6/Conv!$J$5/10^9</f>
        <v>3.1736589834471811</v>
      </c>
      <c r="J66" s="47" t="str">
        <f t="shared" si="1"/>
        <v>R9</v>
      </c>
      <c r="K66" s="47" t="str">
        <f t="shared" si="2"/>
        <v>R9</v>
      </c>
      <c r="M66" s="98">
        <f t="shared" si="3"/>
        <v>5.7125861702049265</v>
      </c>
    </row>
    <row r="67" spans="2:13" x14ac:dyDescent="0.2">
      <c r="B67" s="47">
        <v>10</v>
      </c>
      <c r="C67" s="47">
        <v>10</v>
      </c>
      <c r="D67" s="47">
        <v>150</v>
      </c>
      <c r="E67" s="47">
        <v>1.6739999999999999</v>
      </c>
      <c r="F67" s="47">
        <v>6.2910000000000004</v>
      </c>
      <c r="G67" s="47">
        <v>6.7869999999999999</v>
      </c>
      <c r="H67" s="128">
        <f t="shared" si="0"/>
        <v>5.4045900000000007</v>
      </c>
      <c r="I67" s="129">
        <f>H67*D67*Conv!$D$31/365/Conv!$D$6/Conv!$J$5/10^9</f>
        <v>2.400274728470877</v>
      </c>
      <c r="J67" s="47" t="str">
        <f t="shared" si="1"/>
        <v>R5</v>
      </c>
      <c r="K67" s="47" t="str">
        <f t="shared" si="2"/>
        <v>R5</v>
      </c>
      <c r="M67" s="98">
        <f t="shared" si="3"/>
        <v>4.3204945112475786</v>
      </c>
    </row>
    <row r="68" spans="2:13" x14ac:dyDescent="0.2">
      <c r="B68" s="47">
        <v>11</v>
      </c>
      <c r="C68" s="47">
        <v>7</v>
      </c>
      <c r="D68" s="47">
        <v>277</v>
      </c>
      <c r="E68" s="47">
        <v>1.347</v>
      </c>
      <c r="F68" s="47">
        <v>3.2330000000000001</v>
      </c>
      <c r="G68" s="47">
        <v>3.6280000000000001</v>
      </c>
      <c r="H68" s="128">
        <f t="shared" si="0"/>
        <v>2.9748000000000001</v>
      </c>
      <c r="I68" s="129">
        <f>H68*D68*Conv!$D$31/365/Conv!$D$6/Conv!$J$5/10^9</f>
        <v>2.439745255600247</v>
      </c>
      <c r="J68" s="47" t="str">
        <f t="shared" si="1"/>
        <v>R8</v>
      </c>
      <c r="K68" s="47" t="str">
        <f t="shared" si="2"/>
        <v>R7</v>
      </c>
      <c r="M68" s="98">
        <f t="shared" si="3"/>
        <v>4.391541460080445</v>
      </c>
    </row>
    <row r="69" spans="2:13" x14ac:dyDescent="0.2">
      <c r="B69" s="47">
        <v>11</v>
      </c>
      <c r="C69" s="47">
        <v>11</v>
      </c>
      <c r="D69" s="47">
        <v>504</v>
      </c>
      <c r="E69" s="47">
        <v>1.2350000000000001</v>
      </c>
      <c r="F69" s="47">
        <v>3.2330000000000001</v>
      </c>
      <c r="G69" s="47">
        <v>3.6280000000000001</v>
      </c>
      <c r="H69" s="128">
        <f t="shared" si="0"/>
        <v>2.9468000000000005</v>
      </c>
      <c r="I69" s="129">
        <f>H69*D69*Conv!$D$31/365/Conv!$D$6/Conv!$J$5/10^9</f>
        <v>4.3973206764477624</v>
      </c>
      <c r="J69" s="47" t="str">
        <f t="shared" si="1"/>
        <v>R8</v>
      </c>
      <c r="K69" s="47" t="str">
        <f t="shared" si="2"/>
        <v>R8</v>
      </c>
      <c r="M69" s="98">
        <f t="shared" si="3"/>
        <v>7.9151772176059723</v>
      </c>
    </row>
    <row r="70" spans="2:13" x14ac:dyDescent="0.2">
      <c r="B70" s="47">
        <v>11</v>
      </c>
      <c r="C70" s="47">
        <v>12</v>
      </c>
      <c r="D70" s="47">
        <v>320</v>
      </c>
      <c r="E70" s="47">
        <v>1.2350000000000001</v>
      </c>
      <c r="F70" s="47">
        <v>3.2330000000000001</v>
      </c>
      <c r="G70" s="47">
        <v>3.6280000000000001</v>
      </c>
      <c r="H70" s="128">
        <f t="shared" si="0"/>
        <v>2.9468000000000005</v>
      </c>
      <c r="I70" s="129">
        <f>H70*D70*Conv!$D$31/365/Conv!$D$6/Conv!$J$5/10^9</f>
        <v>2.7919496358398495</v>
      </c>
      <c r="J70" s="47" t="str">
        <f t="shared" si="1"/>
        <v>R8</v>
      </c>
      <c r="K70" s="47" t="str">
        <f t="shared" si="2"/>
        <v>R9</v>
      </c>
      <c r="M70" s="98">
        <f t="shared" si="3"/>
        <v>5.0255093445117289</v>
      </c>
    </row>
    <row r="71" spans="2:13" x14ac:dyDescent="0.2">
      <c r="B71" s="47">
        <v>12</v>
      </c>
      <c r="C71" s="47">
        <v>12</v>
      </c>
      <c r="D71" s="47">
        <v>385</v>
      </c>
      <c r="E71" s="47">
        <v>1.2350000000000001</v>
      </c>
      <c r="F71" s="47">
        <v>3.0070000000000001</v>
      </c>
      <c r="G71" s="47">
        <v>3.3069999999999999</v>
      </c>
      <c r="H71" s="128">
        <f t="shared" si="0"/>
        <v>2.726</v>
      </c>
      <c r="I71" s="129">
        <f>H71*D71*Conv!$D$31/365/Conv!$D$6/Conv!$J$5/10^9</f>
        <v>3.1073739547032795</v>
      </c>
      <c r="J71" s="47" t="str">
        <f t="shared" si="1"/>
        <v>R9</v>
      </c>
      <c r="K71" s="47" t="str">
        <f t="shared" si="2"/>
        <v>R9</v>
      </c>
      <c r="M71" s="98">
        <f t="shared" si="3"/>
        <v>5.5932731184659028</v>
      </c>
    </row>
    <row r="72" spans="2:13" x14ac:dyDescent="0.2">
      <c r="B72" s="47">
        <v>13</v>
      </c>
      <c r="C72" s="47">
        <v>1</v>
      </c>
      <c r="D72" s="47">
        <v>218</v>
      </c>
      <c r="E72" s="47">
        <v>2.3959999999999999</v>
      </c>
      <c r="F72" s="47">
        <v>5.5540000000000003</v>
      </c>
      <c r="G72" s="47">
        <v>3.4860000000000002</v>
      </c>
      <c r="H72" s="128">
        <f t="shared" si="0"/>
        <v>3.64778</v>
      </c>
      <c r="I72" s="129">
        <f>H72*D72*Conv!$D$31/365/Conv!$D$6/Conv!$J$5/10^9</f>
        <v>2.3544640937754586</v>
      </c>
      <c r="J72" s="47" t="str">
        <f t="shared" si="1"/>
        <v>C</v>
      </c>
      <c r="K72" s="47" t="str">
        <f t="shared" si="2"/>
        <v>R1</v>
      </c>
      <c r="M72" s="98">
        <f t="shared" si="3"/>
        <v>4.2380353687958259</v>
      </c>
    </row>
    <row r="73" spans="2:13" x14ac:dyDescent="0.2">
      <c r="B73" s="47">
        <v>14</v>
      </c>
      <c r="C73" s="47">
        <v>2</v>
      </c>
      <c r="D73" s="47">
        <v>137</v>
      </c>
      <c r="E73" s="47">
        <v>2.1659999999999999</v>
      </c>
      <c r="F73" s="47">
        <v>5.5540000000000003</v>
      </c>
      <c r="G73" s="47">
        <v>3.4860000000000002</v>
      </c>
      <c r="H73" s="128">
        <f t="shared" si="0"/>
        <v>3.5902800000000004</v>
      </c>
      <c r="I73" s="129">
        <f>H73*D73*Conv!$D$31/365/Conv!$D$6/Conv!$J$5/10^9</f>
        <v>1.4563166916052412</v>
      </c>
      <c r="J73" s="47" t="str">
        <f t="shared" si="1"/>
        <v>C</v>
      </c>
      <c r="K73" s="47" t="str">
        <f t="shared" si="2"/>
        <v>R2</v>
      </c>
      <c r="M73" s="98">
        <f t="shared" si="3"/>
        <v>2.6213700448894341</v>
      </c>
    </row>
    <row r="74" spans="2:13" x14ac:dyDescent="0.2">
      <c r="B74" s="47">
        <v>15</v>
      </c>
      <c r="C74" s="47">
        <v>3</v>
      </c>
      <c r="D74" s="47">
        <v>163</v>
      </c>
      <c r="E74" s="47">
        <v>2.1720000000000002</v>
      </c>
      <c r="F74" s="47">
        <v>4.6379999999999999</v>
      </c>
      <c r="G74" s="47">
        <v>3.2429999999999999</v>
      </c>
      <c r="H74" s="128">
        <f t="shared" si="0"/>
        <v>3.2682000000000002</v>
      </c>
      <c r="I74" s="129">
        <f>H74*D74*Conv!$D$31/365/Conv!$D$6/Conv!$J$5/10^9</f>
        <v>1.5772595669198821</v>
      </c>
      <c r="J74" s="47" t="str">
        <f t="shared" si="1"/>
        <v>C</v>
      </c>
      <c r="K74" s="47" t="str">
        <f t="shared" si="2"/>
        <v>R3</v>
      </c>
      <c r="M74" s="98">
        <f t="shared" si="3"/>
        <v>2.8390672204557879</v>
      </c>
    </row>
    <row r="75" spans="2:13" x14ac:dyDescent="0.2">
      <c r="B75" s="47">
        <v>16</v>
      </c>
      <c r="C75" s="47">
        <v>4</v>
      </c>
      <c r="D75" s="47">
        <v>300</v>
      </c>
      <c r="E75" s="47">
        <v>2.012</v>
      </c>
      <c r="F75" s="47">
        <v>3.4249999999999998</v>
      </c>
      <c r="G75" s="47">
        <v>2.2149999999999999</v>
      </c>
      <c r="H75" s="128">
        <f t="shared" si="0"/>
        <v>2.4183499999999998</v>
      </c>
      <c r="I75" s="129">
        <f>H75*D75*Conv!$D$31/365/Conv!$D$6/Conv!$J$5/10^9</f>
        <v>2.1480646597050077</v>
      </c>
      <c r="J75" s="47" t="str">
        <f t="shared" si="1"/>
        <v>C</v>
      </c>
      <c r="K75" s="47" t="str">
        <f t="shared" si="2"/>
        <v>R4</v>
      </c>
      <c r="M75" s="98">
        <f t="shared" si="3"/>
        <v>3.866516387469014</v>
      </c>
    </row>
    <row r="76" spans="2:13" x14ac:dyDescent="0.2">
      <c r="B76" s="47">
        <v>17</v>
      </c>
      <c r="C76" s="47">
        <v>4</v>
      </c>
      <c r="D76" s="47">
        <v>955</v>
      </c>
      <c r="E76" s="47">
        <v>2.012</v>
      </c>
      <c r="F76" s="47">
        <v>4.2140000000000004</v>
      </c>
      <c r="G76" s="47">
        <v>2.2149999999999999</v>
      </c>
      <c r="H76" s="128">
        <f t="shared" si="0"/>
        <v>2.5840399999999999</v>
      </c>
      <c r="I76" s="129">
        <f>H76*D76*Conv!$D$31/365/Conv!$D$6/Conv!$J$5/10^9</f>
        <v>7.3065026128245059</v>
      </c>
      <c r="J76" s="47" t="str">
        <f t="shared" si="1"/>
        <v>C</v>
      </c>
      <c r="K76" s="47" t="str">
        <f t="shared" si="2"/>
        <v>R4</v>
      </c>
      <c r="M76" s="98">
        <f t="shared" si="3"/>
        <v>13.151704703084111</v>
      </c>
    </row>
    <row r="77" spans="2:13" x14ac:dyDescent="0.2">
      <c r="B77" s="47">
        <v>17</v>
      </c>
      <c r="C77" s="47">
        <v>8</v>
      </c>
      <c r="D77" s="47">
        <v>620</v>
      </c>
      <c r="E77" s="47">
        <v>2.012</v>
      </c>
      <c r="F77" s="47">
        <v>4.2140000000000004</v>
      </c>
      <c r="G77" s="47">
        <v>1.9</v>
      </c>
      <c r="H77" s="128">
        <f t="shared" si="0"/>
        <v>2.4139400000000002</v>
      </c>
      <c r="I77" s="129">
        <f>H77*D77*Conv!$D$31/365/Conv!$D$6/Conv!$J$5/10^9</f>
        <v>4.4312382504351451</v>
      </c>
      <c r="J77" s="47" t="str">
        <f t="shared" si="1"/>
        <v>C</v>
      </c>
      <c r="K77" s="47" t="str">
        <f t="shared" si="2"/>
        <v>R8</v>
      </c>
      <c r="M77" s="98">
        <f t="shared" si="3"/>
        <v>7.9762288507832615</v>
      </c>
    </row>
    <row r="78" spans="2:13" x14ac:dyDescent="0.2">
      <c r="B78" s="47">
        <v>18</v>
      </c>
      <c r="C78" s="47">
        <v>9</v>
      </c>
      <c r="D78" s="47">
        <v>265</v>
      </c>
      <c r="E78" s="47">
        <v>1.2350000000000001</v>
      </c>
      <c r="F78" s="47">
        <v>4.2140000000000004</v>
      </c>
      <c r="G78" s="47">
        <v>3.3809999999999998</v>
      </c>
      <c r="H78" s="128">
        <f t="shared" si="0"/>
        <v>3.0194299999999998</v>
      </c>
      <c r="I78" s="129">
        <f>H78*D78*Conv!$D$31/365/Conv!$D$6/Conv!$J$5/10^9</f>
        <v>2.3690693820098683</v>
      </c>
      <c r="J78" s="47" t="str">
        <f t="shared" si="1"/>
        <v>C</v>
      </c>
      <c r="K78" s="47" t="str">
        <f t="shared" si="2"/>
        <v>R9</v>
      </c>
      <c r="M78" s="98">
        <f t="shared" si="3"/>
        <v>4.2643248876177626</v>
      </c>
    </row>
    <row r="79" spans="2:13" x14ac:dyDescent="0.2">
      <c r="B79" s="47">
        <v>19</v>
      </c>
      <c r="C79" s="47">
        <v>9</v>
      </c>
      <c r="D79" s="47">
        <v>793</v>
      </c>
      <c r="E79" s="47">
        <v>1.2350000000000001</v>
      </c>
      <c r="F79" s="47">
        <v>4.2140000000000004</v>
      </c>
      <c r="G79" s="47">
        <v>3.3809999999999998</v>
      </c>
      <c r="H79" s="128">
        <f t="shared" si="0"/>
        <v>3.0194299999999998</v>
      </c>
      <c r="I79" s="129">
        <f>H79*D79*Conv!$D$31/365/Conv!$D$6/Conv!$J$5/10^9</f>
        <v>7.0893283771087754</v>
      </c>
      <c r="J79" s="47" t="str">
        <f t="shared" si="1"/>
        <v>C</v>
      </c>
      <c r="K79" s="47" t="str">
        <f t="shared" si="2"/>
        <v>R9</v>
      </c>
      <c r="M79" s="98">
        <f t="shared" si="3"/>
        <v>12.760791078795796</v>
      </c>
    </row>
    <row r="84" spans="1:7" x14ac:dyDescent="0.2">
      <c r="A84" s="13" t="s">
        <v>107</v>
      </c>
    </row>
    <row r="85" spans="1:7" x14ac:dyDescent="0.2">
      <c r="A85" s="13" t="s">
        <v>108</v>
      </c>
    </row>
    <row r="87" spans="1:7" x14ac:dyDescent="0.2">
      <c r="B87" s="13" t="s">
        <v>109</v>
      </c>
      <c r="C87" s="13" t="s">
        <v>110</v>
      </c>
      <c r="D87" s="13" t="s">
        <v>111</v>
      </c>
      <c r="E87" s="13" t="s">
        <v>1654</v>
      </c>
      <c r="F87" s="13" t="s">
        <v>112</v>
      </c>
      <c r="G87" s="13" t="s">
        <v>242</v>
      </c>
    </row>
    <row r="88" spans="1:7" x14ac:dyDescent="0.2">
      <c r="C88" s="13" t="s">
        <v>113</v>
      </c>
      <c r="D88" s="13" t="s">
        <v>114</v>
      </c>
      <c r="E88" s="13" t="s">
        <v>103</v>
      </c>
      <c r="F88" s="13" t="s">
        <v>115</v>
      </c>
      <c r="G88" s="13" t="s">
        <v>193</v>
      </c>
    </row>
    <row r="89" spans="1:7" x14ac:dyDescent="0.2">
      <c r="A89" s="13" t="s">
        <v>116</v>
      </c>
      <c r="B89" s="13" t="s">
        <v>117</v>
      </c>
      <c r="C89" s="13">
        <v>14.6</v>
      </c>
      <c r="D89" s="13">
        <v>3.9</v>
      </c>
      <c r="E89" s="48">
        <f>C89*1000*Conv!$D$38/D89/365/Conv!$D$6/Conv!$J$5/10^9</f>
        <v>9.5119372563945817</v>
      </c>
      <c r="F89" s="13">
        <v>22</v>
      </c>
      <c r="G89" s="48">
        <f>(1+F89/100)*D89*365*Conv!$D$6*Conv!$J$5*10^9</f>
        <v>1872.5943537974397</v>
      </c>
    </row>
    <row r="90" spans="1:7" x14ac:dyDescent="0.2">
      <c r="A90" s="13" t="s">
        <v>118</v>
      </c>
      <c r="B90" s="13" t="s">
        <v>211</v>
      </c>
      <c r="C90" s="13">
        <v>5.0999999999999996</v>
      </c>
      <c r="D90" s="13">
        <v>1.1000000000000001</v>
      </c>
      <c r="E90" s="48">
        <f>C90*1000*Conv!$D$38/D90/365/Conv!$D$6/Conv!$J$5/10^9</f>
        <v>11.780350686780087</v>
      </c>
      <c r="F90" s="13">
        <v>58</v>
      </c>
      <c r="G90" s="48">
        <f>(1+F90/100)*D90*365*Conv!$D$6*Conv!$J$5*10^9</f>
        <v>684.02038396384</v>
      </c>
    </row>
    <row r="92" spans="1:7" x14ac:dyDescent="0.2">
      <c r="A92" s="13" t="s">
        <v>119</v>
      </c>
    </row>
    <row r="93" spans="1:7" x14ac:dyDescent="0.2">
      <c r="A93" s="13" t="s">
        <v>120</v>
      </c>
    </row>
    <row r="94" spans="1:7" x14ac:dyDescent="0.2">
      <c r="A94" s="13" t="s">
        <v>121</v>
      </c>
    </row>
    <row r="95" spans="1:7" x14ac:dyDescent="0.2">
      <c r="A95" s="13" t="s">
        <v>122</v>
      </c>
    </row>
  </sheetData>
  <mergeCells count="1">
    <mergeCell ref="H39:I39"/>
  </mergeCells>
  <phoneticPr fontId="18" type="noConversion"/>
  <pageMargins left="0.75" right="0.75" top="1" bottom="1" header="0.5" footer="0.5"/>
  <pageSetup orientation="portrait" r:id="rId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E178"/>
  <sheetViews>
    <sheetView zoomScale="75" workbookViewId="0">
      <pane ySplit="5" topLeftCell="A104" activePane="bottomLeft" state="frozenSplit"/>
      <selection activeCell="Q56" sqref="Q56"/>
      <selection pane="bottomLeft" activeCell="C102" sqref="C102"/>
    </sheetView>
  </sheetViews>
  <sheetFormatPr defaultColWidth="9.140625" defaultRowHeight="12.75" x14ac:dyDescent="0.2"/>
  <cols>
    <col min="1" max="1" width="21.42578125" style="13" customWidth="1"/>
    <col min="2" max="13" width="9.140625" style="13"/>
    <col min="14" max="14" width="41.7109375" style="13" customWidth="1"/>
    <col min="15" max="15" width="18.5703125" style="13" customWidth="1"/>
    <col min="16" max="22" width="14.28515625" style="13" customWidth="1"/>
    <col min="23" max="16384" width="9.140625" style="13"/>
  </cols>
  <sheetData>
    <row r="1" spans="1:25" ht="18" x14ac:dyDescent="0.25">
      <c r="A1" s="313" t="s">
        <v>1215</v>
      </c>
      <c r="B1" s="313"/>
      <c r="C1" s="313"/>
      <c r="D1" s="313"/>
      <c r="E1" s="313"/>
      <c r="F1" s="313"/>
      <c r="G1" s="313"/>
      <c r="H1" s="313"/>
      <c r="I1" s="99"/>
      <c r="J1" s="99"/>
      <c r="K1" s="99"/>
      <c r="L1" s="99"/>
      <c r="M1" s="99"/>
      <c r="N1" s="99"/>
      <c r="O1" s="313"/>
      <c r="P1" s="313"/>
      <c r="Q1" s="313"/>
      <c r="R1" s="313"/>
      <c r="S1" s="313"/>
      <c r="T1" s="313"/>
      <c r="U1" s="313"/>
      <c r="V1" s="313"/>
    </row>
    <row r="2" spans="1:25" ht="18" x14ac:dyDescent="0.2">
      <c r="A2" s="313" t="s">
        <v>1216</v>
      </c>
      <c r="B2" s="313"/>
      <c r="C2" s="313"/>
      <c r="D2" s="313"/>
      <c r="E2" s="313"/>
      <c r="F2" s="313"/>
      <c r="G2" s="313"/>
      <c r="H2" s="313"/>
      <c r="O2" s="313"/>
      <c r="P2" s="313"/>
      <c r="Q2" s="313"/>
      <c r="R2" s="313"/>
      <c r="S2" s="313"/>
      <c r="T2" s="313"/>
      <c r="U2" s="313"/>
      <c r="V2" s="313"/>
    </row>
    <row r="3" spans="1:25" ht="18" x14ac:dyDescent="0.2">
      <c r="A3" s="75"/>
      <c r="B3" s="75"/>
      <c r="C3" s="75"/>
      <c r="D3" s="75"/>
      <c r="E3" s="75"/>
      <c r="F3" s="75"/>
      <c r="G3" s="75"/>
      <c r="H3" s="75"/>
      <c r="O3" s="75"/>
      <c r="P3" s="75"/>
      <c r="Q3" s="75"/>
      <c r="R3" s="75"/>
      <c r="S3" s="75"/>
      <c r="T3" s="75"/>
      <c r="U3" s="75"/>
      <c r="V3" s="75"/>
    </row>
    <row r="4" spans="1:25" x14ac:dyDescent="0.2">
      <c r="F4" s="17"/>
      <c r="O4" s="319"/>
      <c r="P4" s="319"/>
      <c r="Q4" s="319"/>
      <c r="R4" s="319"/>
      <c r="S4" s="319"/>
      <c r="T4" s="319"/>
      <c r="U4" s="319"/>
      <c r="V4" s="319"/>
    </row>
    <row r="5" spans="1:25" ht="15.75" x14ac:dyDescent="0.25">
      <c r="A5" s="131" t="s">
        <v>1217</v>
      </c>
      <c r="B5" s="132" t="s">
        <v>234</v>
      </c>
      <c r="C5" s="132" t="s">
        <v>235</v>
      </c>
      <c r="D5" s="132" t="s">
        <v>236</v>
      </c>
      <c r="E5" s="132" t="s">
        <v>237</v>
      </c>
      <c r="F5" s="132" t="s">
        <v>238</v>
      </c>
      <c r="G5" s="132" t="s">
        <v>239</v>
      </c>
      <c r="H5" s="132" t="s">
        <v>240</v>
      </c>
      <c r="I5" s="132" t="s">
        <v>241</v>
      </c>
      <c r="J5" s="133"/>
      <c r="K5" s="133"/>
      <c r="N5" s="115"/>
      <c r="O5" s="134"/>
      <c r="P5" s="134"/>
      <c r="Q5" s="134"/>
      <c r="R5" s="134"/>
      <c r="S5" s="134"/>
      <c r="T5" s="134"/>
    </row>
    <row r="6" spans="1:25" ht="14.25" x14ac:dyDescent="0.2">
      <c r="A6" s="133"/>
      <c r="B6" s="133"/>
      <c r="C6" s="133"/>
      <c r="D6" s="133"/>
      <c r="E6" s="133"/>
      <c r="F6" s="133"/>
      <c r="G6" s="133"/>
      <c r="H6" s="133"/>
      <c r="I6" s="133"/>
      <c r="J6" s="133"/>
      <c r="K6" s="133"/>
      <c r="N6" s="116"/>
    </row>
    <row r="7" spans="1:25" ht="15" x14ac:dyDescent="0.25">
      <c r="A7" s="115" t="s">
        <v>1218</v>
      </c>
      <c r="B7" s="133"/>
      <c r="C7" s="133"/>
      <c r="D7" s="133"/>
      <c r="E7" s="133"/>
      <c r="F7" s="133"/>
      <c r="G7" s="133"/>
      <c r="H7" s="133"/>
      <c r="I7" s="133"/>
      <c r="J7" s="133"/>
      <c r="K7" s="133"/>
      <c r="N7" s="115"/>
    </row>
    <row r="8" spans="1:25" ht="14.25" x14ac:dyDescent="0.2">
      <c r="A8" s="135" t="s">
        <v>1219</v>
      </c>
      <c r="B8" s="136">
        <v>15.5668754577637</v>
      </c>
      <c r="C8" s="137">
        <v>14.750878</v>
      </c>
      <c r="D8" s="137">
        <v>13.176873000000001</v>
      </c>
      <c r="E8" s="137">
        <v>13.614397</v>
      </c>
      <c r="F8" s="137">
        <v>15.173228999999999</v>
      </c>
      <c r="G8" s="137">
        <v>17.083770999999999</v>
      </c>
      <c r="H8" s="137">
        <v>17.378702000000001</v>
      </c>
      <c r="I8" s="137">
        <v>19.172105999999999</v>
      </c>
      <c r="J8" s="133"/>
      <c r="K8" s="133"/>
      <c r="N8" s="116"/>
      <c r="O8" s="76"/>
      <c r="P8" s="76"/>
      <c r="Q8" s="76"/>
      <c r="R8" s="76"/>
      <c r="S8" s="76"/>
      <c r="T8" s="76"/>
      <c r="U8" s="76"/>
      <c r="V8" s="76"/>
      <c r="W8" s="76"/>
      <c r="X8" s="76"/>
      <c r="Y8" s="76"/>
    </row>
    <row r="9" spans="1:25" ht="14.25" x14ac:dyDescent="0.2">
      <c r="A9" s="135" t="s">
        <v>1117</v>
      </c>
      <c r="B9" s="136">
        <v>14.0310401916504</v>
      </c>
      <c r="C9" s="137">
        <v>13.436283</v>
      </c>
      <c r="D9" s="137">
        <v>11.808667</v>
      </c>
      <c r="E9" s="137">
        <v>11.974982000000001</v>
      </c>
      <c r="F9" s="137">
        <v>13.630627</v>
      </c>
      <c r="G9" s="137">
        <v>15.542123</v>
      </c>
      <c r="H9" s="137">
        <v>15.369282999999999</v>
      </c>
      <c r="I9" s="137">
        <v>17.349772999999999</v>
      </c>
      <c r="J9" s="133"/>
      <c r="K9" s="133"/>
      <c r="N9" s="116"/>
      <c r="O9" s="76"/>
      <c r="P9" s="76"/>
      <c r="Q9" s="76"/>
      <c r="R9" s="76"/>
      <c r="S9" s="76"/>
      <c r="T9" s="76"/>
      <c r="U9" s="76"/>
      <c r="V9" s="76"/>
    </row>
    <row r="10" spans="1:25" ht="14.25" x14ac:dyDescent="0.2">
      <c r="A10" s="135" t="s">
        <v>1120</v>
      </c>
      <c r="B10" s="136">
        <v>11.7218523025513</v>
      </c>
      <c r="C10" s="137">
        <v>10.224973</v>
      </c>
      <c r="D10" s="137">
        <v>9.9957750000000001</v>
      </c>
      <c r="E10" s="137">
        <v>10.625662999999999</v>
      </c>
      <c r="F10" s="137">
        <v>11.138237999999999</v>
      </c>
      <c r="G10" s="137">
        <v>11.851743000000001</v>
      </c>
      <c r="H10" s="137">
        <v>12.901229000000001</v>
      </c>
      <c r="I10" s="137">
        <v>14.157479</v>
      </c>
      <c r="J10" s="133"/>
      <c r="K10" s="133"/>
      <c r="N10" s="116"/>
      <c r="O10" s="76"/>
      <c r="P10" s="76"/>
      <c r="Q10" s="76"/>
      <c r="R10" s="76"/>
      <c r="S10" s="76"/>
      <c r="T10" s="76"/>
      <c r="U10" s="76"/>
      <c r="V10" s="76"/>
    </row>
    <row r="11" spans="1:25" ht="14.25" x14ac:dyDescent="0.2">
      <c r="A11" s="135" t="s">
        <v>1123</v>
      </c>
      <c r="B11" s="136">
        <v>11.8763065338135</v>
      </c>
      <c r="C11" s="137">
        <v>9.9373660000000008</v>
      </c>
      <c r="D11" s="137">
        <v>10.133277</v>
      </c>
      <c r="E11" s="137">
        <v>10.85915</v>
      </c>
      <c r="F11" s="137">
        <v>11.499247</v>
      </c>
      <c r="G11" s="137">
        <v>12.288461</v>
      </c>
      <c r="H11" s="137">
        <v>13.44875</v>
      </c>
      <c r="I11" s="137">
        <v>14.527832</v>
      </c>
      <c r="J11" s="133"/>
      <c r="K11" s="133"/>
      <c r="N11" s="116"/>
      <c r="O11" s="76"/>
      <c r="P11" s="76"/>
      <c r="Q11" s="76"/>
      <c r="R11" s="76"/>
      <c r="S11" s="76"/>
      <c r="T11" s="76"/>
      <c r="U11" s="76"/>
      <c r="V11" s="76"/>
    </row>
    <row r="12" spans="1:25" ht="14.25" x14ac:dyDescent="0.2">
      <c r="A12" s="135" t="s">
        <v>1121</v>
      </c>
      <c r="B12" s="136">
        <v>15.806994438171399</v>
      </c>
      <c r="C12" s="137">
        <v>13.799263</v>
      </c>
      <c r="D12" s="137">
        <v>13.872408999999999</v>
      </c>
      <c r="E12" s="137">
        <v>14.719113</v>
      </c>
      <c r="F12" s="137">
        <v>15.744287999999999</v>
      </c>
      <c r="G12" s="137">
        <v>16.77261</v>
      </c>
      <c r="H12" s="137">
        <v>18.060252999999999</v>
      </c>
      <c r="I12" s="137">
        <v>19.303004999999999</v>
      </c>
      <c r="J12" s="133"/>
      <c r="K12" s="133"/>
      <c r="N12" s="116"/>
      <c r="O12" s="76"/>
      <c r="P12" s="76"/>
      <c r="Q12" s="76"/>
      <c r="R12" s="76"/>
      <c r="S12" s="76"/>
      <c r="T12" s="76"/>
      <c r="U12" s="76"/>
      <c r="V12" s="76"/>
    </row>
    <row r="13" spans="1:25" ht="14.25" x14ac:dyDescent="0.2">
      <c r="A13" s="135" t="s">
        <v>1124</v>
      </c>
      <c r="B13" s="136">
        <v>13.8773756027222</v>
      </c>
      <c r="C13" s="137">
        <v>11.373687</v>
      </c>
      <c r="D13" s="137">
        <v>12.05189</v>
      </c>
      <c r="E13" s="137">
        <v>12.868594</v>
      </c>
      <c r="F13" s="137">
        <v>13.755117</v>
      </c>
      <c r="G13" s="137">
        <v>14.715045</v>
      </c>
      <c r="H13" s="137">
        <v>16.023237000000002</v>
      </c>
      <c r="I13" s="137">
        <v>17.335794</v>
      </c>
      <c r="J13" s="133"/>
      <c r="K13" s="133"/>
      <c r="N13" s="116"/>
      <c r="O13" s="76"/>
      <c r="P13" s="76"/>
      <c r="Q13" s="76"/>
      <c r="R13" s="76"/>
      <c r="S13" s="76"/>
      <c r="T13" s="76"/>
      <c r="U13" s="76"/>
      <c r="V13" s="76"/>
    </row>
    <row r="14" spans="1:25" ht="14.25" x14ac:dyDescent="0.2">
      <c r="A14" s="135" t="s">
        <v>1126</v>
      </c>
      <c r="B14" s="136">
        <v>12.746187210083001</v>
      </c>
      <c r="C14" s="137">
        <v>10.951110999999999</v>
      </c>
      <c r="D14" s="137">
        <v>11.074678</v>
      </c>
      <c r="E14" s="137">
        <v>11.774929</v>
      </c>
      <c r="F14" s="137">
        <v>12.528714000000001</v>
      </c>
      <c r="G14" s="137">
        <v>13.590216</v>
      </c>
      <c r="H14" s="137">
        <v>14.945653</v>
      </c>
      <c r="I14" s="137">
        <v>16.053650000000001</v>
      </c>
      <c r="J14" s="133"/>
      <c r="K14" s="133"/>
      <c r="N14" s="116"/>
      <c r="O14" s="76"/>
      <c r="P14" s="76"/>
      <c r="Q14" s="76"/>
      <c r="R14" s="76"/>
      <c r="S14" s="76"/>
      <c r="T14" s="76"/>
      <c r="U14" s="76"/>
      <c r="V14" s="76"/>
    </row>
    <row r="15" spans="1:25" ht="14.25" x14ac:dyDescent="0.2">
      <c r="A15" s="135" t="s">
        <v>1127</v>
      </c>
      <c r="B15" s="136">
        <v>10.8502540588379</v>
      </c>
      <c r="C15" s="137">
        <v>9.623526</v>
      </c>
      <c r="D15" s="137">
        <v>10.187306</v>
      </c>
      <c r="E15" s="137">
        <v>10.937163</v>
      </c>
      <c r="F15" s="137">
        <v>11.780804</v>
      </c>
      <c r="G15" s="137">
        <v>12.70133</v>
      </c>
      <c r="H15" s="137">
        <v>14.15976</v>
      </c>
      <c r="I15" s="137">
        <v>15.607125999999999</v>
      </c>
      <c r="J15" s="133"/>
      <c r="K15" s="133"/>
      <c r="N15" s="116"/>
      <c r="O15" s="76"/>
      <c r="P15" s="76"/>
      <c r="Q15" s="76"/>
      <c r="R15" s="76"/>
      <c r="S15" s="76"/>
      <c r="T15" s="76"/>
      <c r="U15" s="76"/>
      <c r="V15" s="76"/>
    </row>
    <row r="16" spans="1:25" ht="14.25" x14ac:dyDescent="0.2">
      <c r="A16" s="135" t="s">
        <v>1141</v>
      </c>
      <c r="B16" s="136">
        <v>11.833636283874499</v>
      </c>
      <c r="C16" s="137">
        <v>10.464530999999999</v>
      </c>
      <c r="D16" s="137">
        <v>11.489896</v>
      </c>
      <c r="E16" s="137">
        <v>12.189033</v>
      </c>
      <c r="F16" s="137">
        <v>12.738270999999999</v>
      </c>
      <c r="G16" s="137">
        <v>13.263370999999999</v>
      </c>
      <c r="H16" s="137">
        <v>15.74024</v>
      </c>
      <c r="I16" s="137">
        <v>16.897507000000001</v>
      </c>
      <c r="J16" s="133"/>
      <c r="K16" s="133"/>
      <c r="N16" s="116"/>
      <c r="O16" s="76"/>
      <c r="P16" s="76"/>
      <c r="Q16" s="76"/>
      <c r="R16" s="76"/>
      <c r="S16" s="76"/>
      <c r="T16" s="76"/>
      <c r="U16" s="76"/>
      <c r="V16" s="76"/>
    </row>
    <row r="17" spans="1:22" ht="15" x14ac:dyDescent="0.25">
      <c r="A17" s="115" t="s">
        <v>1220</v>
      </c>
      <c r="B17" s="136">
        <v>12.801021575927701</v>
      </c>
      <c r="C17" s="138">
        <v>11.356325999999999</v>
      </c>
      <c r="D17" s="138">
        <v>11.239456000000001</v>
      </c>
      <c r="E17" s="138">
        <v>11.846988</v>
      </c>
      <c r="F17" s="138">
        <v>12.749928000000001</v>
      </c>
      <c r="G17" s="138">
        <v>13.799950000000001</v>
      </c>
      <c r="H17" s="138">
        <v>14.927012</v>
      </c>
      <c r="I17" s="138">
        <v>16.329319000000002</v>
      </c>
      <c r="J17" s="133"/>
      <c r="K17" s="133"/>
      <c r="N17" s="115"/>
      <c r="O17" s="76"/>
      <c r="P17" s="76"/>
      <c r="Q17" s="76"/>
      <c r="R17" s="76"/>
      <c r="S17" s="76"/>
      <c r="T17" s="76"/>
      <c r="U17" s="76"/>
      <c r="V17" s="76"/>
    </row>
    <row r="18" spans="1:22" ht="14.25" x14ac:dyDescent="0.2">
      <c r="A18" s="135"/>
      <c r="B18" s="133"/>
      <c r="C18" s="139"/>
      <c r="D18" s="139"/>
      <c r="E18" s="139"/>
      <c r="F18" s="139"/>
      <c r="G18" s="139"/>
      <c r="H18" s="139"/>
      <c r="I18" s="139"/>
      <c r="J18" s="133"/>
      <c r="K18" s="133"/>
      <c r="N18" s="116"/>
      <c r="O18" s="76"/>
      <c r="P18" s="76"/>
      <c r="Q18" s="76"/>
      <c r="R18" s="76"/>
      <c r="S18" s="76"/>
      <c r="T18" s="76"/>
      <c r="U18" s="76"/>
      <c r="V18" s="76"/>
    </row>
    <row r="19" spans="1:22" ht="15" x14ac:dyDescent="0.25">
      <c r="A19" s="115" t="s">
        <v>1221</v>
      </c>
      <c r="B19" s="133"/>
      <c r="C19" s="139"/>
      <c r="D19" s="139"/>
      <c r="E19" s="139"/>
      <c r="F19" s="139"/>
      <c r="G19" s="139"/>
      <c r="H19" s="139"/>
      <c r="I19" s="139"/>
      <c r="J19" s="133"/>
      <c r="K19" s="133"/>
      <c r="N19" s="115"/>
      <c r="O19" s="76"/>
      <c r="P19" s="76"/>
      <c r="Q19" s="76"/>
      <c r="R19" s="76"/>
      <c r="S19" s="76"/>
      <c r="T19" s="76"/>
      <c r="U19" s="76"/>
      <c r="V19" s="76"/>
    </row>
    <row r="20" spans="1:22" ht="14.25" x14ac:dyDescent="0.2">
      <c r="A20" s="135" t="s">
        <v>1219</v>
      </c>
      <c r="B20" s="136">
        <v>13.7153825759888</v>
      </c>
      <c r="C20" s="137">
        <v>11.401577</v>
      </c>
      <c r="D20" s="137">
        <v>10.163383</v>
      </c>
      <c r="E20" s="137">
        <v>10.450294</v>
      </c>
      <c r="F20" s="137">
        <v>11.722127</v>
      </c>
      <c r="G20" s="137">
        <v>13.246251000000001</v>
      </c>
      <c r="H20" s="137">
        <v>13.12114</v>
      </c>
      <c r="I20" s="137">
        <v>14.479816</v>
      </c>
      <c r="J20" s="133"/>
      <c r="K20" s="133"/>
      <c r="N20" s="116"/>
      <c r="O20" s="76"/>
      <c r="P20" s="76"/>
      <c r="Q20" s="76"/>
      <c r="R20" s="76"/>
      <c r="S20" s="76"/>
      <c r="T20" s="76"/>
      <c r="U20" s="76"/>
      <c r="V20" s="76"/>
    </row>
    <row r="21" spans="1:22" ht="14.25" x14ac:dyDescent="0.2">
      <c r="A21" s="135" t="s">
        <v>1117</v>
      </c>
      <c r="B21" s="136">
        <v>13.0520420074463</v>
      </c>
      <c r="C21" s="137">
        <v>10.102536000000001</v>
      </c>
      <c r="D21" s="137">
        <v>8.5674550000000007</v>
      </c>
      <c r="E21" s="137">
        <v>8.7135960000000008</v>
      </c>
      <c r="F21" s="137">
        <v>10.179976999999999</v>
      </c>
      <c r="G21" s="137">
        <v>11.905396</v>
      </c>
      <c r="H21" s="137">
        <v>11.478586</v>
      </c>
      <c r="I21" s="137">
        <v>13.082445999999999</v>
      </c>
      <c r="J21" s="133"/>
      <c r="K21" s="133"/>
      <c r="N21" s="116"/>
      <c r="O21" s="76"/>
      <c r="P21" s="76"/>
      <c r="Q21" s="76"/>
      <c r="R21" s="76"/>
      <c r="S21" s="76"/>
      <c r="T21" s="76"/>
      <c r="U21" s="76"/>
      <c r="V21" s="76"/>
    </row>
    <row r="22" spans="1:22" ht="14.25" x14ac:dyDescent="0.2">
      <c r="A22" s="135" t="s">
        <v>1120</v>
      </c>
      <c r="B22" s="136">
        <v>10.818488121032701</v>
      </c>
      <c r="C22" s="137">
        <v>8.7477680000000007</v>
      </c>
      <c r="D22" s="137">
        <v>8.6137519999999999</v>
      </c>
      <c r="E22" s="137">
        <v>9.2698769999999993</v>
      </c>
      <c r="F22" s="137">
        <v>9.6736730000000009</v>
      </c>
      <c r="G22" s="137">
        <v>10.250107</v>
      </c>
      <c r="H22" s="137">
        <v>11.134748</v>
      </c>
      <c r="I22" s="137">
        <v>12.219478000000001</v>
      </c>
      <c r="J22" s="133"/>
      <c r="K22" s="133"/>
      <c r="N22" s="116"/>
      <c r="O22" s="76"/>
      <c r="P22" s="76"/>
      <c r="Q22" s="76"/>
      <c r="R22" s="76"/>
      <c r="S22" s="76"/>
      <c r="T22" s="76"/>
      <c r="U22" s="76"/>
      <c r="V22" s="76"/>
    </row>
    <row r="23" spans="1:22" ht="14.25" x14ac:dyDescent="0.2">
      <c r="A23" s="135" t="s">
        <v>1123</v>
      </c>
      <c r="B23" s="136">
        <v>10.6981315612793</v>
      </c>
      <c r="C23" s="137">
        <v>8.3813580000000005</v>
      </c>
      <c r="D23" s="137">
        <v>8.1590190000000007</v>
      </c>
      <c r="E23" s="137">
        <v>8.8539739999999991</v>
      </c>
      <c r="F23" s="137">
        <v>9.3460070000000002</v>
      </c>
      <c r="G23" s="137">
        <v>9.9651289999999992</v>
      </c>
      <c r="H23" s="137">
        <v>10.937329999999999</v>
      </c>
      <c r="I23" s="137">
        <v>11.826580999999999</v>
      </c>
      <c r="J23" s="133"/>
      <c r="K23" s="133"/>
      <c r="N23" s="116"/>
      <c r="O23" s="76"/>
      <c r="P23" s="76"/>
      <c r="Q23" s="76"/>
      <c r="R23" s="76"/>
      <c r="S23" s="76"/>
      <c r="T23" s="76"/>
      <c r="U23" s="76"/>
      <c r="V23" s="76"/>
    </row>
    <row r="24" spans="1:22" ht="14.25" x14ac:dyDescent="0.2">
      <c r="A24" s="135" t="s">
        <v>1121</v>
      </c>
      <c r="B24" s="136">
        <v>12.953004837036101</v>
      </c>
      <c r="C24" s="137">
        <v>10.322042</v>
      </c>
      <c r="D24" s="137">
        <v>10.795963</v>
      </c>
      <c r="E24" s="137">
        <v>11.539859999999999</v>
      </c>
      <c r="F24" s="137">
        <v>12.351495999999999</v>
      </c>
      <c r="G24" s="137">
        <v>13.122142</v>
      </c>
      <c r="H24" s="137">
        <v>14.118169</v>
      </c>
      <c r="I24" s="137">
        <v>15.066483</v>
      </c>
      <c r="J24" s="133"/>
      <c r="K24" s="133"/>
      <c r="N24" s="116"/>
      <c r="O24" s="76"/>
      <c r="P24" s="76"/>
      <c r="Q24" s="76"/>
      <c r="R24" s="76"/>
      <c r="S24" s="76"/>
      <c r="T24" s="76"/>
      <c r="U24" s="76"/>
      <c r="V24" s="76"/>
    </row>
    <row r="25" spans="1:22" ht="14.25" x14ac:dyDescent="0.2">
      <c r="A25" s="135" t="s">
        <v>1124</v>
      </c>
      <c r="B25" s="136">
        <v>12.258302688598601</v>
      </c>
      <c r="C25" s="137">
        <v>9.6450099999999992</v>
      </c>
      <c r="D25" s="137">
        <v>10.255811</v>
      </c>
      <c r="E25" s="137">
        <v>10.994052999999999</v>
      </c>
      <c r="F25" s="137">
        <v>11.684941</v>
      </c>
      <c r="G25" s="137">
        <v>12.409076000000001</v>
      </c>
      <c r="H25" s="137">
        <v>13.428307999999999</v>
      </c>
      <c r="I25" s="137">
        <v>14.419847000000001</v>
      </c>
      <c r="J25" s="133"/>
      <c r="K25" s="133"/>
      <c r="N25" s="116"/>
      <c r="O25" s="76"/>
      <c r="P25" s="76"/>
      <c r="Q25" s="76"/>
      <c r="R25" s="76"/>
      <c r="S25" s="76"/>
      <c r="T25" s="76"/>
      <c r="U25" s="76"/>
      <c r="V25" s="76"/>
    </row>
    <row r="26" spans="1:22" ht="14.25" x14ac:dyDescent="0.2">
      <c r="A26" s="135" t="s">
        <v>1126</v>
      </c>
      <c r="B26" s="136">
        <v>10.7702388763428</v>
      </c>
      <c r="C26" s="137">
        <v>8.6720199999999998</v>
      </c>
      <c r="D26" s="137">
        <v>8.2940480000000001</v>
      </c>
      <c r="E26" s="137">
        <v>9.0051909999999999</v>
      </c>
      <c r="F26" s="137">
        <v>9.6709820000000004</v>
      </c>
      <c r="G26" s="137">
        <v>10.497241000000001</v>
      </c>
      <c r="H26" s="137">
        <v>11.504813</v>
      </c>
      <c r="I26" s="137">
        <v>12.232419</v>
      </c>
      <c r="J26" s="133"/>
      <c r="K26" s="133"/>
      <c r="N26" s="116"/>
      <c r="O26" s="76"/>
      <c r="P26" s="76"/>
      <c r="Q26" s="76"/>
      <c r="R26" s="76"/>
      <c r="S26" s="76"/>
      <c r="T26" s="76"/>
      <c r="U26" s="76"/>
      <c r="V26" s="76"/>
    </row>
    <row r="27" spans="1:22" ht="14.25" x14ac:dyDescent="0.2">
      <c r="A27" s="135" t="s">
        <v>1127</v>
      </c>
      <c r="B27" s="136">
        <v>9.4214839935302699</v>
      </c>
      <c r="C27" s="137">
        <v>8.3170249999999992</v>
      </c>
      <c r="D27" s="137">
        <v>8.2741349999999994</v>
      </c>
      <c r="E27" s="137">
        <v>8.9177160000000004</v>
      </c>
      <c r="F27" s="137">
        <v>9.5011229999999998</v>
      </c>
      <c r="G27" s="137">
        <v>10.135880999999999</v>
      </c>
      <c r="H27" s="137">
        <v>11.287713</v>
      </c>
      <c r="I27" s="137">
        <v>12.394043</v>
      </c>
      <c r="J27" s="133"/>
      <c r="K27" s="133"/>
      <c r="N27" s="116"/>
      <c r="O27" s="76"/>
      <c r="P27" s="76"/>
      <c r="Q27" s="76"/>
      <c r="R27" s="76"/>
      <c r="S27" s="76"/>
      <c r="T27" s="76"/>
      <c r="U27" s="76"/>
      <c r="V27" s="76"/>
    </row>
    <row r="28" spans="1:22" ht="14.25" x14ac:dyDescent="0.2">
      <c r="A28" s="135" t="s">
        <v>1141</v>
      </c>
      <c r="B28" s="136">
        <v>10.49001121521</v>
      </c>
      <c r="C28" s="137">
        <v>9.0726040000000001</v>
      </c>
      <c r="D28" s="137">
        <v>10.465804</v>
      </c>
      <c r="E28" s="137">
        <v>11.400459</v>
      </c>
      <c r="F28" s="137">
        <v>12.057028000000001</v>
      </c>
      <c r="G28" s="137">
        <v>12.616427</v>
      </c>
      <c r="H28" s="137">
        <v>14.989152000000001</v>
      </c>
      <c r="I28" s="137">
        <v>16.172623000000002</v>
      </c>
      <c r="J28" s="133"/>
      <c r="K28" s="133"/>
      <c r="N28" s="116"/>
      <c r="O28" s="76"/>
      <c r="P28" s="76"/>
      <c r="Q28" s="76"/>
      <c r="R28" s="76"/>
      <c r="S28" s="76"/>
      <c r="T28" s="76"/>
      <c r="U28" s="76"/>
      <c r="V28" s="76"/>
    </row>
    <row r="29" spans="1:22" ht="15" x14ac:dyDescent="0.25">
      <c r="A29" s="115" t="s">
        <v>1220</v>
      </c>
      <c r="B29" s="136">
        <v>11.5389041900635</v>
      </c>
      <c r="C29" s="138">
        <v>9.322578</v>
      </c>
      <c r="D29" s="138">
        <v>9.1147589999999994</v>
      </c>
      <c r="E29" s="138">
        <v>9.6995710000000006</v>
      </c>
      <c r="F29" s="138">
        <v>10.513234000000001</v>
      </c>
      <c r="G29" s="138">
        <v>11.438556</v>
      </c>
      <c r="H29" s="138">
        <v>12.216405</v>
      </c>
      <c r="I29" s="138">
        <v>13.365088</v>
      </c>
      <c r="J29" s="133"/>
      <c r="K29" s="133"/>
      <c r="N29" s="115"/>
      <c r="O29" s="76"/>
      <c r="P29" s="76"/>
      <c r="Q29" s="76"/>
      <c r="R29" s="76"/>
      <c r="S29" s="76"/>
      <c r="T29" s="76"/>
      <c r="U29" s="76"/>
      <c r="V29" s="76"/>
    </row>
    <row r="30" spans="1:22" ht="14.25" x14ac:dyDescent="0.2">
      <c r="A30" s="135"/>
      <c r="B30" s="133"/>
      <c r="C30" s="139"/>
      <c r="D30" s="139"/>
      <c r="E30" s="139"/>
      <c r="F30" s="139"/>
      <c r="G30" s="139"/>
      <c r="H30" s="139"/>
      <c r="I30" s="139"/>
      <c r="J30" s="133"/>
      <c r="K30" s="133"/>
      <c r="N30" s="116"/>
      <c r="O30" s="76"/>
      <c r="P30" s="76"/>
      <c r="Q30" s="76"/>
      <c r="R30" s="76"/>
      <c r="S30" s="76"/>
      <c r="T30" s="76"/>
      <c r="U30" s="76"/>
      <c r="V30" s="76"/>
    </row>
    <row r="31" spans="1:22" ht="15" x14ac:dyDescent="0.25">
      <c r="A31" s="115" t="s">
        <v>1222</v>
      </c>
      <c r="B31" s="133"/>
      <c r="C31" s="139"/>
      <c r="D31" s="139"/>
      <c r="E31" s="139"/>
      <c r="F31" s="139"/>
      <c r="G31" s="139"/>
      <c r="H31" s="139"/>
      <c r="I31" s="139"/>
      <c r="J31" s="133"/>
      <c r="K31" s="133"/>
      <c r="N31" s="115"/>
      <c r="O31" s="76"/>
      <c r="P31" s="76"/>
      <c r="Q31" s="76"/>
      <c r="R31" s="76"/>
      <c r="S31" s="76"/>
      <c r="T31" s="76"/>
      <c r="U31" s="76"/>
      <c r="V31" s="76"/>
    </row>
    <row r="32" spans="1:22" ht="14.25" x14ac:dyDescent="0.2">
      <c r="A32" s="135" t="s">
        <v>1219</v>
      </c>
      <c r="B32" s="136">
        <v>10.7858562469482</v>
      </c>
      <c r="C32" s="137">
        <v>8.1690349999999992</v>
      </c>
      <c r="D32" s="137">
        <v>6.8513820000000001</v>
      </c>
      <c r="E32" s="137">
        <v>7.4184409999999996</v>
      </c>
      <c r="F32" s="137">
        <v>8.6550419999999999</v>
      </c>
      <c r="G32" s="137">
        <v>10.181952000000001</v>
      </c>
      <c r="H32" s="137">
        <v>9.9848320000000008</v>
      </c>
      <c r="I32" s="137">
        <v>11.258842</v>
      </c>
      <c r="J32" s="133"/>
      <c r="K32" s="133"/>
      <c r="N32" s="116"/>
      <c r="O32" s="76"/>
      <c r="P32" s="76"/>
      <c r="Q32" s="76"/>
      <c r="R32" s="76"/>
      <c r="S32" s="76"/>
      <c r="T32" s="76"/>
      <c r="U32" s="76"/>
      <c r="V32" s="76"/>
    </row>
    <row r="33" spans="1:22" ht="14.25" x14ac:dyDescent="0.2">
      <c r="A33" s="135" t="s">
        <v>1117</v>
      </c>
      <c r="B33" s="136">
        <v>9.9412899017334002</v>
      </c>
      <c r="C33" s="137">
        <v>7.3653750000000002</v>
      </c>
      <c r="D33" s="137">
        <v>5.3394839999999997</v>
      </c>
      <c r="E33" s="137">
        <v>5.7958049999999997</v>
      </c>
      <c r="F33" s="137">
        <v>7.1772989999999997</v>
      </c>
      <c r="G33" s="137">
        <v>8.8836840000000006</v>
      </c>
      <c r="H33" s="137">
        <v>8.4094149999999992</v>
      </c>
      <c r="I33" s="137">
        <v>9.9056669999999993</v>
      </c>
      <c r="J33" s="133"/>
      <c r="K33" s="133"/>
      <c r="N33" s="116"/>
      <c r="O33" s="76"/>
      <c r="P33" s="76"/>
      <c r="Q33" s="76"/>
      <c r="R33" s="76"/>
      <c r="S33" s="76"/>
      <c r="T33" s="76"/>
      <c r="U33" s="76"/>
      <c r="V33" s="76"/>
    </row>
    <row r="34" spans="1:22" ht="14.25" x14ac:dyDescent="0.2">
      <c r="A34" s="135" t="s">
        <v>1120</v>
      </c>
      <c r="B34" s="136">
        <v>8.7718305587768608</v>
      </c>
      <c r="C34" s="137">
        <v>6.3145110000000004</v>
      </c>
      <c r="D34" s="137">
        <v>5.8176880000000004</v>
      </c>
      <c r="E34" s="137">
        <v>6.6825770000000002</v>
      </c>
      <c r="F34" s="137">
        <v>7.0002139999999997</v>
      </c>
      <c r="G34" s="137">
        <v>7.5066649999999999</v>
      </c>
      <c r="H34" s="137">
        <v>8.3045120000000008</v>
      </c>
      <c r="I34" s="137">
        <v>9.3130469999999992</v>
      </c>
      <c r="J34" s="133"/>
      <c r="K34" s="133"/>
      <c r="N34" s="116"/>
      <c r="O34" s="76"/>
      <c r="P34" s="76"/>
      <c r="Q34" s="76"/>
      <c r="R34" s="76"/>
      <c r="S34" s="76"/>
      <c r="T34" s="76"/>
      <c r="U34" s="76"/>
      <c r="V34" s="76"/>
    </row>
    <row r="35" spans="1:22" ht="14.25" x14ac:dyDescent="0.2">
      <c r="A35" s="135" t="s">
        <v>1123</v>
      </c>
      <c r="B35" s="136">
        <v>8.0965070724487305</v>
      </c>
      <c r="C35" s="137">
        <v>5.4820630000000001</v>
      </c>
      <c r="D35" s="137">
        <v>5.0365219999999997</v>
      </c>
      <c r="E35" s="137">
        <v>6.0008059999999999</v>
      </c>
      <c r="F35" s="137">
        <v>6.4293269999999998</v>
      </c>
      <c r="G35" s="137">
        <v>6.9857430000000003</v>
      </c>
      <c r="H35" s="137">
        <v>7.8903040000000004</v>
      </c>
      <c r="I35" s="137">
        <v>8.7085699999999999</v>
      </c>
      <c r="J35" s="133"/>
      <c r="K35" s="133"/>
      <c r="N35" s="116"/>
      <c r="O35" s="76"/>
      <c r="P35" s="76"/>
      <c r="Q35" s="76"/>
      <c r="R35" s="76"/>
      <c r="S35" s="76"/>
      <c r="T35" s="76"/>
      <c r="U35" s="76"/>
      <c r="V35" s="76"/>
    </row>
    <row r="36" spans="1:22" ht="14.25" x14ac:dyDescent="0.2">
      <c r="A36" s="135" t="s">
        <v>1121</v>
      </c>
      <c r="B36" s="136">
        <v>9.3866071701049805</v>
      </c>
      <c r="C36" s="137">
        <v>5.9637770000000003</v>
      </c>
      <c r="D36" s="137">
        <v>6.1579940000000004</v>
      </c>
      <c r="E36" s="137">
        <v>7.0741389999999997</v>
      </c>
      <c r="F36" s="137">
        <v>7.7046840000000003</v>
      </c>
      <c r="G36" s="137">
        <v>8.3421040000000009</v>
      </c>
      <c r="H36" s="137">
        <v>9.1775140000000004</v>
      </c>
      <c r="I36" s="137">
        <v>9.9711069999999999</v>
      </c>
      <c r="J36" s="133"/>
      <c r="K36" s="133"/>
      <c r="N36" s="116"/>
      <c r="O36" s="76"/>
      <c r="P36" s="76"/>
      <c r="Q36" s="76"/>
      <c r="R36" s="76"/>
      <c r="S36" s="76"/>
      <c r="T36" s="76"/>
      <c r="U36" s="76"/>
      <c r="V36" s="76"/>
    </row>
    <row r="37" spans="1:22" ht="14.25" x14ac:dyDescent="0.2">
      <c r="A37" s="135" t="s">
        <v>1124</v>
      </c>
      <c r="B37" s="136">
        <v>8.7693099975585902</v>
      </c>
      <c r="C37" s="137">
        <v>5.702528</v>
      </c>
      <c r="D37" s="137">
        <v>5.6501289999999997</v>
      </c>
      <c r="E37" s="137">
        <v>6.6014749999999998</v>
      </c>
      <c r="F37" s="137">
        <v>7.1536939999999998</v>
      </c>
      <c r="G37" s="137">
        <v>7.7626080000000002</v>
      </c>
      <c r="H37" s="137">
        <v>8.6278740000000003</v>
      </c>
      <c r="I37" s="137">
        <v>9.4728809999999992</v>
      </c>
      <c r="J37" s="133"/>
      <c r="K37" s="133"/>
      <c r="N37" s="116"/>
      <c r="O37" s="76"/>
      <c r="P37" s="76"/>
      <c r="Q37" s="76"/>
      <c r="R37" s="76"/>
      <c r="S37" s="76"/>
      <c r="T37" s="76"/>
      <c r="U37" s="76"/>
      <c r="V37" s="76"/>
    </row>
    <row r="38" spans="1:22" ht="14.25" x14ac:dyDescent="0.2">
      <c r="A38" s="135" t="s">
        <v>1126</v>
      </c>
      <c r="B38" s="136">
        <v>8.0349531173706108</v>
      </c>
      <c r="C38" s="137">
        <v>4.8094469999999996</v>
      </c>
      <c r="D38" s="137">
        <v>3.8019050000000001</v>
      </c>
      <c r="E38" s="137">
        <v>4.6922639999999998</v>
      </c>
      <c r="F38" s="137">
        <v>5.2050799999999997</v>
      </c>
      <c r="G38" s="137">
        <v>5.9558520000000001</v>
      </c>
      <c r="H38" s="137">
        <v>6.8748240000000003</v>
      </c>
      <c r="I38" s="137">
        <v>7.5381999999999998</v>
      </c>
      <c r="J38" s="133"/>
      <c r="K38" s="133"/>
      <c r="N38" s="116"/>
      <c r="O38" s="76"/>
      <c r="P38" s="76"/>
      <c r="Q38" s="76"/>
      <c r="R38" s="76"/>
      <c r="S38" s="76"/>
      <c r="T38" s="76"/>
      <c r="U38" s="76"/>
      <c r="V38" s="76"/>
    </row>
    <row r="39" spans="1:22" ht="14.25" x14ac:dyDescent="0.2">
      <c r="A39" s="135" t="s">
        <v>1127</v>
      </c>
      <c r="B39" s="136">
        <v>7.9459400177001998</v>
      </c>
      <c r="C39" s="137">
        <v>5.5606710000000001</v>
      </c>
      <c r="D39" s="137">
        <v>4.9648510000000003</v>
      </c>
      <c r="E39" s="137">
        <v>5.8073610000000002</v>
      </c>
      <c r="F39" s="137">
        <v>6.2594779999999997</v>
      </c>
      <c r="G39" s="137">
        <v>6.7577449999999999</v>
      </c>
      <c r="H39" s="137">
        <v>7.7709669999999997</v>
      </c>
      <c r="I39" s="137">
        <v>8.7903570000000002</v>
      </c>
      <c r="J39" s="133"/>
      <c r="K39" s="133"/>
      <c r="N39" s="116"/>
      <c r="O39" s="76"/>
      <c r="P39" s="76"/>
      <c r="Q39" s="76"/>
      <c r="R39" s="76"/>
      <c r="S39" s="76"/>
      <c r="T39" s="76"/>
      <c r="U39" s="76"/>
      <c r="V39" s="76"/>
    </row>
    <row r="40" spans="1:22" ht="14.25" x14ac:dyDescent="0.2">
      <c r="A40" s="135" t="s">
        <v>1141</v>
      </c>
      <c r="B40" s="136">
        <v>7.68821144104004</v>
      </c>
      <c r="C40" s="137">
        <v>6.0939459999999999</v>
      </c>
      <c r="D40" s="137">
        <v>6.0229220000000003</v>
      </c>
      <c r="E40" s="137">
        <v>6.9505480000000004</v>
      </c>
      <c r="F40" s="137">
        <v>7.3983860000000004</v>
      </c>
      <c r="G40" s="137">
        <v>7.6697649999999999</v>
      </c>
      <c r="H40" s="137">
        <v>8.5413499999999996</v>
      </c>
      <c r="I40" s="137">
        <v>9.2825950000000006</v>
      </c>
      <c r="J40" s="133"/>
      <c r="K40" s="133"/>
      <c r="N40" s="116"/>
      <c r="O40" s="76"/>
      <c r="P40" s="76"/>
      <c r="Q40" s="76"/>
      <c r="R40" s="76"/>
      <c r="S40" s="76"/>
      <c r="T40" s="76"/>
      <c r="U40" s="76"/>
      <c r="V40" s="76"/>
    </row>
    <row r="41" spans="1:22" ht="15" x14ac:dyDescent="0.25">
      <c r="A41" s="115" t="s">
        <v>1220</v>
      </c>
      <c r="B41" s="136">
        <v>8.4076566696166992</v>
      </c>
      <c r="C41" s="138">
        <v>5.6491819999999997</v>
      </c>
      <c r="D41" s="138">
        <v>5.0479630000000002</v>
      </c>
      <c r="E41" s="138">
        <v>5.9197550000000003</v>
      </c>
      <c r="F41" s="138">
        <v>6.4600140000000001</v>
      </c>
      <c r="G41" s="138">
        <v>7.1428649999999996</v>
      </c>
      <c r="H41" s="138">
        <v>7.928261</v>
      </c>
      <c r="I41" s="138">
        <v>8.7824589999999993</v>
      </c>
      <c r="J41" s="133"/>
      <c r="K41" s="133"/>
      <c r="N41" s="115"/>
      <c r="O41" s="76"/>
      <c r="P41" s="76"/>
      <c r="Q41" s="76"/>
      <c r="R41" s="76"/>
      <c r="S41" s="76"/>
      <c r="T41" s="76"/>
      <c r="U41" s="76"/>
      <c r="V41" s="76"/>
    </row>
    <row r="42" spans="1:22" ht="14.25" x14ac:dyDescent="0.2">
      <c r="A42" s="135"/>
      <c r="B42" s="133"/>
      <c r="C42" s="139"/>
      <c r="D42" s="139"/>
      <c r="E42" s="139"/>
      <c r="F42" s="139"/>
      <c r="G42" s="139"/>
      <c r="H42" s="139"/>
      <c r="I42" s="139"/>
      <c r="J42" s="133"/>
      <c r="K42" s="133"/>
      <c r="N42" s="116"/>
      <c r="O42" s="76"/>
      <c r="P42" s="76"/>
      <c r="Q42" s="76"/>
      <c r="R42" s="76"/>
      <c r="S42" s="76"/>
      <c r="T42" s="76"/>
      <c r="U42" s="76"/>
      <c r="V42" s="76"/>
    </row>
    <row r="43" spans="1:22" ht="15" x14ac:dyDescent="0.25">
      <c r="A43" s="115" t="s">
        <v>1223</v>
      </c>
      <c r="B43" s="133"/>
      <c r="C43" s="139"/>
      <c r="D43" s="139"/>
      <c r="E43" s="139"/>
      <c r="F43" s="139"/>
      <c r="G43" s="139"/>
      <c r="H43" s="139"/>
      <c r="I43" s="139"/>
      <c r="J43" s="133"/>
      <c r="K43" s="133"/>
      <c r="N43" s="115"/>
      <c r="O43" s="76"/>
      <c r="P43" s="76"/>
      <c r="Q43" s="76"/>
      <c r="R43" s="76"/>
      <c r="S43" s="76"/>
      <c r="T43" s="76"/>
      <c r="U43" s="76"/>
      <c r="V43" s="76"/>
    </row>
    <row r="44" spans="1:22" ht="14.25" x14ac:dyDescent="0.2">
      <c r="A44" s="135" t="s">
        <v>1219</v>
      </c>
      <c r="B44" s="136">
        <v>9.6162004470825195</v>
      </c>
      <c r="C44" s="137">
        <v>5.54678</v>
      </c>
      <c r="D44" s="137">
        <v>4.3991170000000004</v>
      </c>
      <c r="E44" s="137">
        <v>4.8422559999999999</v>
      </c>
      <c r="F44" s="137">
        <v>6.0937900000000003</v>
      </c>
      <c r="G44" s="137">
        <v>7.5300989999999999</v>
      </c>
      <c r="H44" s="137">
        <v>7.2831700000000001</v>
      </c>
      <c r="I44" s="137">
        <v>8.3729049999999994</v>
      </c>
      <c r="J44" s="133"/>
      <c r="K44" s="133"/>
      <c r="N44" s="116"/>
      <c r="O44" s="76"/>
      <c r="P44" s="76"/>
      <c r="Q44" s="76"/>
      <c r="R44" s="76"/>
      <c r="S44" s="76"/>
      <c r="T44" s="76"/>
      <c r="U44" s="76"/>
      <c r="V44" s="76"/>
    </row>
    <row r="45" spans="1:22" ht="14.25" x14ac:dyDescent="0.2">
      <c r="A45" s="135" t="s">
        <v>1117</v>
      </c>
      <c r="B45" s="136">
        <v>9.55902099609375</v>
      </c>
      <c r="C45" s="137">
        <v>5.5487989999999998</v>
      </c>
      <c r="D45" s="137">
        <v>4.3331229999999996</v>
      </c>
      <c r="E45" s="137">
        <v>4.7293940000000001</v>
      </c>
      <c r="F45" s="137">
        <v>6.0701140000000002</v>
      </c>
      <c r="G45" s="137">
        <v>7.6430249999999997</v>
      </c>
      <c r="H45" s="137">
        <v>7.3704510000000001</v>
      </c>
      <c r="I45" s="137">
        <v>8.7758479999999999</v>
      </c>
      <c r="J45" s="133"/>
      <c r="K45" s="133"/>
      <c r="N45" s="116"/>
      <c r="O45" s="76"/>
      <c r="P45" s="76"/>
      <c r="Q45" s="76"/>
      <c r="R45" s="76"/>
      <c r="S45" s="76"/>
      <c r="T45" s="76"/>
      <c r="U45" s="76"/>
      <c r="V45" s="76"/>
    </row>
    <row r="46" spans="1:22" ht="14.25" x14ac:dyDescent="0.2">
      <c r="A46" s="135" t="s">
        <v>1120</v>
      </c>
      <c r="B46" s="136">
        <v>7.24815130233765</v>
      </c>
      <c r="C46" s="137">
        <v>5.062449</v>
      </c>
      <c r="D46" s="137">
        <v>4.2556089999999998</v>
      </c>
      <c r="E46" s="137">
        <v>5.0677510000000003</v>
      </c>
      <c r="F46" s="137">
        <v>5.5971409999999997</v>
      </c>
      <c r="G46" s="137">
        <v>6.3127769999999996</v>
      </c>
      <c r="H46" s="137">
        <v>7.2207220000000003</v>
      </c>
      <c r="I46" s="137">
        <v>8.3461060000000007</v>
      </c>
      <c r="J46" s="133"/>
      <c r="K46" s="133"/>
      <c r="N46" s="116"/>
      <c r="O46" s="76"/>
      <c r="P46" s="76"/>
      <c r="Q46" s="76"/>
      <c r="R46" s="76"/>
      <c r="S46" s="76"/>
      <c r="T46" s="76"/>
      <c r="U46" s="76"/>
      <c r="V46" s="76"/>
    </row>
    <row r="47" spans="1:22" ht="14.25" x14ac:dyDescent="0.2">
      <c r="A47" s="135" t="s">
        <v>1123</v>
      </c>
      <c r="B47" s="136">
        <v>7.9193997383117702</v>
      </c>
      <c r="C47" s="137">
        <v>5.3587699999999998</v>
      </c>
      <c r="D47" s="137">
        <v>4.3426309999999999</v>
      </c>
      <c r="E47" s="137">
        <v>5.3028409999999999</v>
      </c>
      <c r="F47" s="137">
        <v>5.86252</v>
      </c>
      <c r="G47" s="137">
        <v>6.6662610000000004</v>
      </c>
      <c r="H47" s="137">
        <v>7.6954050000000001</v>
      </c>
      <c r="I47" s="137">
        <v>8.6633169999999993</v>
      </c>
      <c r="J47" s="133"/>
      <c r="K47" s="133"/>
      <c r="N47" s="116"/>
      <c r="O47" s="76"/>
      <c r="P47" s="76"/>
      <c r="Q47" s="76"/>
      <c r="R47" s="76"/>
      <c r="S47" s="76"/>
      <c r="T47" s="76"/>
      <c r="U47" s="76"/>
      <c r="V47" s="76"/>
    </row>
    <row r="48" spans="1:22" ht="14.25" x14ac:dyDescent="0.2">
      <c r="A48" s="135" t="s">
        <v>1121</v>
      </c>
      <c r="B48" s="136">
        <v>9.0849800109863299</v>
      </c>
      <c r="C48" s="137">
        <v>6.1302009999999996</v>
      </c>
      <c r="D48" s="137">
        <v>5.4576000000000002</v>
      </c>
      <c r="E48" s="137">
        <v>6.1980899999999997</v>
      </c>
      <c r="F48" s="137">
        <v>6.8927449999999997</v>
      </c>
      <c r="G48" s="137">
        <v>7.5604420000000001</v>
      </c>
      <c r="H48" s="137">
        <v>8.4559130000000007</v>
      </c>
      <c r="I48" s="137">
        <v>9.2596240000000005</v>
      </c>
      <c r="J48" s="133"/>
      <c r="K48" s="133"/>
      <c r="N48" s="116"/>
      <c r="O48" s="76"/>
      <c r="P48" s="76"/>
      <c r="Q48" s="76"/>
      <c r="R48" s="76"/>
      <c r="S48" s="76"/>
      <c r="T48" s="76"/>
      <c r="U48" s="76"/>
      <c r="V48" s="76"/>
    </row>
    <row r="49" spans="1:22" ht="14.25" x14ac:dyDescent="0.2">
      <c r="A49" s="135" t="s">
        <v>1124</v>
      </c>
      <c r="B49" s="136">
        <v>9.44915866851807</v>
      </c>
      <c r="C49" s="137">
        <v>4.9044179999999997</v>
      </c>
      <c r="D49" s="137">
        <v>4.5456260000000004</v>
      </c>
      <c r="E49" s="137">
        <v>5.2286970000000004</v>
      </c>
      <c r="F49" s="137">
        <v>5.8435769999999998</v>
      </c>
      <c r="G49" s="137">
        <v>6.5252119999999998</v>
      </c>
      <c r="H49" s="137">
        <v>7.526904</v>
      </c>
      <c r="I49" s="137">
        <v>8.3484499999999997</v>
      </c>
      <c r="J49" s="133"/>
      <c r="K49" s="133"/>
      <c r="N49" s="116"/>
      <c r="O49" s="76"/>
      <c r="P49" s="76"/>
      <c r="Q49" s="76"/>
      <c r="R49" s="76"/>
      <c r="S49" s="76"/>
      <c r="T49" s="76"/>
      <c r="U49" s="76"/>
      <c r="V49" s="76"/>
    </row>
    <row r="50" spans="1:22" ht="14.25" x14ac:dyDescent="0.2">
      <c r="A50" s="135" t="s">
        <v>1126</v>
      </c>
      <c r="B50" s="136">
        <v>8.2937402725219709</v>
      </c>
      <c r="C50" s="137">
        <v>4.7225999999999999</v>
      </c>
      <c r="D50" s="137">
        <v>4.0840370000000004</v>
      </c>
      <c r="E50" s="137">
        <v>4.7702679999999997</v>
      </c>
      <c r="F50" s="137">
        <v>5.3589549999999999</v>
      </c>
      <c r="G50" s="137">
        <v>6.1391489999999997</v>
      </c>
      <c r="H50" s="137">
        <v>7.1003930000000004</v>
      </c>
      <c r="I50" s="137">
        <v>7.8355139999999999</v>
      </c>
      <c r="J50" s="133"/>
      <c r="K50" s="133"/>
      <c r="N50" s="116"/>
      <c r="O50" s="76"/>
      <c r="P50" s="76"/>
      <c r="Q50" s="76"/>
      <c r="R50" s="76"/>
      <c r="S50" s="76"/>
      <c r="T50" s="76"/>
    </row>
    <row r="51" spans="1:22" ht="14.25" x14ac:dyDescent="0.2">
      <c r="A51" s="135" t="s">
        <v>1127</v>
      </c>
      <c r="B51" s="136">
        <v>7.6758675575256303</v>
      </c>
      <c r="C51" s="137">
        <v>5.128018</v>
      </c>
      <c r="D51" s="137">
        <v>4.2023020000000004</v>
      </c>
      <c r="E51" s="137">
        <v>4.9432369999999999</v>
      </c>
      <c r="F51" s="137">
        <v>5.4682560000000002</v>
      </c>
      <c r="G51" s="137">
        <v>5.9283520000000003</v>
      </c>
      <c r="H51" s="137">
        <v>6.9009939999999999</v>
      </c>
      <c r="I51" s="137">
        <v>7.8623909999999997</v>
      </c>
      <c r="J51" s="133"/>
      <c r="K51" s="133"/>
      <c r="N51" s="116"/>
      <c r="O51" s="76"/>
      <c r="P51" s="76"/>
      <c r="Q51" s="76"/>
      <c r="R51" s="76"/>
      <c r="S51" s="76"/>
      <c r="T51" s="76"/>
    </row>
    <row r="52" spans="1:22" ht="14.25" x14ac:dyDescent="0.2">
      <c r="A52" s="135" t="s">
        <v>1141</v>
      </c>
      <c r="B52" s="136">
        <v>7.3917145729064897</v>
      </c>
      <c r="C52" s="137">
        <v>4.921017</v>
      </c>
      <c r="D52" s="137">
        <v>4.3942079999999999</v>
      </c>
      <c r="E52" s="137">
        <v>5.1637269999999997</v>
      </c>
      <c r="F52" s="137">
        <v>5.6641320000000004</v>
      </c>
      <c r="G52" s="137">
        <v>6.1646380000000001</v>
      </c>
      <c r="H52" s="137">
        <v>7.143116</v>
      </c>
      <c r="I52" s="137">
        <v>7.9186990000000002</v>
      </c>
      <c r="J52" s="133"/>
      <c r="K52" s="133"/>
      <c r="N52" s="116"/>
      <c r="O52" s="76"/>
      <c r="P52" s="76"/>
      <c r="Q52" s="76"/>
      <c r="R52" s="76"/>
      <c r="S52" s="76"/>
      <c r="T52" s="76"/>
    </row>
    <row r="53" spans="1:22" ht="15" x14ac:dyDescent="0.25">
      <c r="A53" s="115" t="s">
        <v>1220</v>
      </c>
      <c r="B53" s="136">
        <v>8.4185838699340803</v>
      </c>
      <c r="C53" s="138">
        <v>5.2519980000000004</v>
      </c>
      <c r="D53" s="138">
        <v>4.525925</v>
      </c>
      <c r="E53" s="138">
        <v>5.1860480000000004</v>
      </c>
      <c r="F53" s="138">
        <v>5.8843870000000003</v>
      </c>
      <c r="G53" s="138">
        <v>6.6362829999999997</v>
      </c>
      <c r="H53" s="138">
        <v>7.4471259999999999</v>
      </c>
      <c r="I53" s="138">
        <v>8.33826</v>
      </c>
      <c r="J53" s="133"/>
      <c r="K53" s="133"/>
      <c r="N53" s="115"/>
      <c r="O53" s="138"/>
      <c r="P53" s="138"/>
      <c r="Q53" s="138"/>
      <c r="R53" s="138"/>
      <c r="S53" s="138"/>
      <c r="T53" s="138"/>
    </row>
    <row r="54" spans="1:22" ht="14.25" x14ac:dyDescent="0.2">
      <c r="A54" s="135"/>
      <c r="B54" s="133"/>
      <c r="C54" s="139"/>
      <c r="D54" s="139"/>
      <c r="E54" s="139"/>
      <c r="F54" s="139"/>
      <c r="G54" s="139"/>
      <c r="H54" s="139"/>
      <c r="I54" s="139"/>
      <c r="J54" s="133"/>
      <c r="K54" s="133"/>
      <c r="N54" s="116"/>
      <c r="O54" s="48"/>
      <c r="P54" s="48"/>
      <c r="Q54" s="48"/>
      <c r="R54" s="48"/>
      <c r="S54" s="48"/>
      <c r="T54" s="48"/>
    </row>
    <row r="55" spans="1:22" ht="15" x14ac:dyDescent="0.25">
      <c r="A55" s="115" t="s">
        <v>1224</v>
      </c>
      <c r="B55" s="133"/>
      <c r="C55" s="139"/>
      <c r="D55" s="139"/>
      <c r="E55" s="139"/>
      <c r="F55" s="139"/>
      <c r="G55" s="139"/>
      <c r="H55" s="139"/>
      <c r="I55" s="139"/>
      <c r="J55" s="133"/>
      <c r="K55" s="133"/>
      <c r="N55" s="115"/>
      <c r="O55" s="48"/>
      <c r="P55" s="48"/>
      <c r="Q55" s="48"/>
      <c r="R55" s="48"/>
      <c r="S55" s="48"/>
      <c r="T55" s="48"/>
    </row>
    <row r="56" spans="1:22" ht="14.25" x14ac:dyDescent="0.2">
      <c r="A56" s="135" t="s">
        <v>1219</v>
      </c>
      <c r="B56" s="136">
        <v>15.903821945190399</v>
      </c>
      <c r="C56" s="137">
        <v>16.615438000000001</v>
      </c>
      <c r="D56" s="137">
        <v>13.701487999999999</v>
      </c>
      <c r="E56" s="137">
        <v>13.83264</v>
      </c>
      <c r="F56" s="137">
        <v>15.191846999999999</v>
      </c>
      <c r="G56" s="137">
        <v>17.635988000000001</v>
      </c>
      <c r="H56" s="137">
        <v>18.228829999999999</v>
      </c>
      <c r="I56" s="137">
        <v>20.082222000000002</v>
      </c>
      <c r="J56" s="133"/>
      <c r="K56" s="133"/>
      <c r="N56" s="116"/>
      <c r="O56" s="76"/>
      <c r="P56" s="76"/>
      <c r="Q56" s="76"/>
      <c r="R56" s="76"/>
      <c r="S56" s="76"/>
      <c r="T56" s="76"/>
    </row>
    <row r="57" spans="1:22" ht="14.25" x14ac:dyDescent="0.2">
      <c r="A57" s="135" t="s">
        <v>1117</v>
      </c>
      <c r="B57" s="136">
        <v>17.034954071044901</v>
      </c>
      <c r="C57" s="137">
        <v>15.587234</v>
      </c>
      <c r="D57" s="137">
        <v>11.873860000000001</v>
      </c>
      <c r="E57" s="137">
        <v>11.746534</v>
      </c>
      <c r="F57" s="137">
        <v>13.243212</v>
      </c>
      <c r="G57" s="137">
        <v>15.863688</v>
      </c>
      <c r="H57" s="137">
        <v>16.380419</v>
      </c>
      <c r="I57" s="137">
        <v>18.844707</v>
      </c>
      <c r="J57" s="133"/>
      <c r="K57" s="133"/>
      <c r="N57" s="116"/>
      <c r="O57" s="76"/>
      <c r="P57" s="76"/>
      <c r="Q57" s="76"/>
      <c r="R57" s="76"/>
      <c r="S57" s="76"/>
      <c r="T57" s="76"/>
    </row>
    <row r="58" spans="1:22" ht="14.25" x14ac:dyDescent="0.2">
      <c r="A58" s="135" t="s">
        <v>1120</v>
      </c>
      <c r="B58" s="136">
        <v>14.863121986389199</v>
      </c>
      <c r="C58" s="137">
        <v>12.215908000000001</v>
      </c>
      <c r="D58" s="137">
        <v>18.256861000000001</v>
      </c>
      <c r="E58" s="137">
        <v>18.434448</v>
      </c>
      <c r="F58" s="137">
        <v>17.468073</v>
      </c>
      <c r="G58" s="137">
        <v>17.911486</v>
      </c>
      <c r="H58" s="137">
        <v>19.088968000000001</v>
      </c>
      <c r="I58" s="137">
        <v>20.530849</v>
      </c>
      <c r="J58" s="133"/>
      <c r="K58" s="133"/>
      <c r="N58" s="116"/>
      <c r="O58" s="76"/>
      <c r="P58" s="76"/>
      <c r="Q58" s="76"/>
      <c r="R58" s="76"/>
      <c r="S58" s="76"/>
      <c r="T58" s="76"/>
    </row>
    <row r="59" spans="1:22" ht="14.25" x14ac:dyDescent="0.2">
      <c r="A59" s="135" t="s">
        <v>1123</v>
      </c>
      <c r="B59" s="136">
        <v>14.6187419891357</v>
      </c>
      <c r="C59" s="137">
        <v>12.735659</v>
      </c>
      <c r="D59" s="137">
        <v>18.675633999999999</v>
      </c>
      <c r="E59" s="137">
        <v>18.577252999999999</v>
      </c>
      <c r="F59" s="137">
        <v>17.118031999999999</v>
      </c>
      <c r="G59" s="137">
        <v>17.655615000000001</v>
      </c>
      <c r="H59" s="137">
        <v>19.059715000000001</v>
      </c>
      <c r="I59" s="137">
        <v>20.506979000000001</v>
      </c>
      <c r="J59" s="133"/>
      <c r="K59" s="133"/>
      <c r="N59" s="116"/>
      <c r="O59" s="76"/>
      <c r="P59" s="76"/>
      <c r="Q59" s="76"/>
      <c r="R59" s="76"/>
      <c r="S59" s="76"/>
      <c r="T59" s="76"/>
    </row>
    <row r="60" spans="1:22" ht="14.25" x14ac:dyDescent="0.2">
      <c r="A60" s="135" t="s">
        <v>1121</v>
      </c>
      <c r="B60" s="136">
        <v>15.4131526947021</v>
      </c>
      <c r="C60" s="137">
        <v>14.418329</v>
      </c>
      <c r="D60" s="137">
        <v>15.257232999999999</v>
      </c>
      <c r="E60" s="137">
        <v>15.531268000000001</v>
      </c>
      <c r="F60" s="137">
        <v>15.926954</v>
      </c>
      <c r="G60" s="137">
        <v>17.201343999999999</v>
      </c>
      <c r="H60" s="137">
        <v>18.676607000000001</v>
      </c>
      <c r="I60" s="137">
        <v>20.217601999999999</v>
      </c>
      <c r="J60" s="133"/>
      <c r="K60" s="133"/>
      <c r="N60" s="116"/>
      <c r="O60" s="76"/>
      <c r="P60" s="76"/>
      <c r="Q60" s="76"/>
      <c r="R60" s="76"/>
      <c r="S60" s="76"/>
      <c r="T60" s="76"/>
    </row>
    <row r="61" spans="1:22" ht="14.25" x14ac:dyDescent="0.2">
      <c r="A61" s="135" t="s">
        <v>1124</v>
      </c>
      <c r="B61" s="136">
        <v>18.340948104858398</v>
      </c>
      <c r="C61" s="137">
        <v>17.174835000000002</v>
      </c>
      <c r="D61" s="137">
        <v>20.868898000000002</v>
      </c>
      <c r="E61" s="137">
        <v>20.569796</v>
      </c>
      <c r="F61" s="137">
        <v>18.556583</v>
      </c>
      <c r="G61" s="137">
        <v>18.580935</v>
      </c>
      <c r="H61" s="137">
        <v>19.778355000000001</v>
      </c>
      <c r="I61" s="137">
        <v>20.911567999999999</v>
      </c>
      <c r="J61" s="133"/>
      <c r="K61" s="133"/>
      <c r="N61" s="116"/>
      <c r="O61" s="76"/>
      <c r="P61" s="76"/>
      <c r="Q61" s="76"/>
      <c r="R61" s="76"/>
      <c r="S61" s="76"/>
      <c r="T61" s="76"/>
    </row>
    <row r="62" spans="1:22" ht="14.25" x14ac:dyDescent="0.2">
      <c r="A62" s="135" t="s">
        <v>1126</v>
      </c>
      <c r="B62" s="136">
        <v>15.5841121673584</v>
      </c>
      <c r="C62" s="137">
        <v>12.848247000000001</v>
      </c>
      <c r="D62" s="137">
        <v>16.261696000000001</v>
      </c>
      <c r="E62" s="137">
        <v>16.442126999999999</v>
      </c>
      <c r="F62" s="137">
        <v>15.90545</v>
      </c>
      <c r="G62" s="137">
        <v>16.722771000000002</v>
      </c>
      <c r="H62" s="137">
        <v>18.117836</v>
      </c>
      <c r="I62" s="137">
        <v>19.333904</v>
      </c>
      <c r="J62" s="133"/>
      <c r="K62" s="133"/>
      <c r="N62" s="116"/>
      <c r="O62" s="76"/>
      <c r="P62" s="76"/>
      <c r="Q62" s="76"/>
      <c r="R62" s="76"/>
      <c r="S62" s="76"/>
      <c r="T62" s="76"/>
    </row>
    <row r="63" spans="1:22" ht="14.25" x14ac:dyDescent="0.2">
      <c r="A63" s="135" t="s">
        <v>1127</v>
      </c>
      <c r="B63" s="136">
        <v>12.8385467529297</v>
      </c>
      <c r="C63" s="137">
        <v>12.860371000000001</v>
      </c>
      <c r="D63" s="137">
        <v>15.795324000000001</v>
      </c>
      <c r="E63" s="137">
        <v>15.264153</v>
      </c>
      <c r="F63" s="137">
        <v>14.046241</v>
      </c>
      <c r="G63" s="137">
        <v>14.422401000000001</v>
      </c>
      <c r="H63" s="137">
        <v>15.806744999999999</v>
      </c>
      <c r="I63" s="137">
        <v>17.420341000000001</v>
      </c>
      <c r="J63" s="133"/>
      <c r="K63" s="133"/>
      <c r="N63" s="116"/>
      <c r="O63" s="76"/>
      <c r="P63" s="76"/>
      <c r="Q63" s="76"/>
      <c r="R63" s="76"/>
      <c r="S63" s="76"/>
      <c r="T63" s="76"/>
    </row>
    <row r="64" spans="1:22" ht="14.25" x14ac:dyDescent="0.2">
      <c r="A64" s="135" t="s">
        <v>1141</v>
      </c>
      <c r="B64" s="136">
        <v>13.1709451675415</v>
      </c>
      <c r="C64" s="137">
        <v>11.343069</v>
      </c>
      <c r="D64" s="137">
        <v>16.518598999999998</v>
      </c>
      <c r="E64" s="137">
        <v>17.343779000000001</v>
      </c>
      <c r="F64" s="137">
        <v>17.514012999999998</v>
      </c>
      <c r="G64" s="137">
        <v>18.148358999999999</v>
      </c>
      <c r="H64" s="137">
        <v>21.195150000000002</v>
      </c>
      <c r="I64" s="137">
        <v>22.481081</v>
      </c>
      <c r="J64" s="133"/>
      <c r="K64" s="133"/>
      <c r="N64" s="116"/>
      <c r="O64" s="76"/>
      <c r="P64" s="76"/>
      <c r="Q64" s="76"/>
      <c r="R64" s="76"/>
      <c r="S64" s="76"/>
      <c r="T64" s="76"/>
    </row>
    <row r="65" spans="1:22" ht="15" x14ac:dyDescent="0.25">
      <c r="A65" s="115" t="s">
        <v>1220</v>
      </c>
      <c r="B65" s="136">
        <v>15.203996658325201</v>
      </c>
      <c r="C65" s="138">
        <v>13.534248</v>
      </c>
      <c r="D65" s="138">
        <v>15.979074000000001</v>
      </c>
      <c r="E65" s="138">
        <v>15.959135</v>
      </c>
      <c r="F65" s="138">
        <v>15.914256</v>
      </c>
      <c r="G65" s="138">
        <v>16.990993</v>
      </c>
      <c r="H65" s="138">
        <v>18.489443000000001</v>
      </c>
      <c r="I65" s="138">
        <v>20.100151</v>
      </c>
      <c r="J65" s="133"/>
      <c r="K65" s="133"/>
      <c r="N65" s="115"/>
      <c r="O65" s="138"/>
      <c r="P65" s="138"/>
      <c r="Q65" s="138"/>
      <c r="R65" s="138"/>
      <c r="S65" s="138"/>
      <c r="T65" s="138"/>
    </row>
    <row r="66" spans="1:22" ht="14.25" x14ac:dyDescent="0.2">
      <c r="A66" s="135"/>
      <c r="B66" s="133"/>
      <c r="C66" s="139"/>
      <c r="D66" s="139"/>
      <c r="E66" s="139"/>
      <c r="F66" s="139"/>
      <c r="G66" s="139"/>
      <c r="H66" s="139"/>
      <c r="I66" s="139"/>
      <c r="J66" s="133"/>
      <c r="K66" s="133"/>
      <c r="N66" s="116"/>
      <c r="O66" s="48"/>
      <c r="P66" s="48"/>
      <c r="Q66" s="48"/>
      <c r="R66" s="48"/>
      <c r="S66" s="48"/>
      <c r="T66" s="48"/>
    </row>
    <row r="67" spans="1:22" ht="15" x14ac:dyDescent="0.25">
      <c r="A67" s="115" t="s">
        <v>1225</v>
      </c>
      <c r="B67" s="133"/>
      <c r="C67" s="139"/>
      <c r="D67" s="139"/>
      <c r="E67" s="139"/>
      <c r="F67" s="139"/>
      <c r="G67" s="139"/>
      <c r="H67" s="139"/>
      <c r="I67" s="139"/>
      <c r="J67" s="133"/>
      <c r="K67" s="133"/>
      <c r="N67" s="115"/>
      <c r="O67" s="48"/>
      <c r="P67" s="48"/>
      <c r="Q67" s="48"/>
      <c r="R67" s="48"/>
      <c r="S67" s="48"/>
      <c r="T67" s="48"/>
    </row>
    <row r="68" spans="1:22" ht="14.25" x14ac:dyDescent="0.2">
      <c r="A68" s="135" t="s">
        <v>1219</v>
      </c>
      <c r="B68" s="136">
        <v>11.9358587265015</v>
      </c>
      <c r="C68" s="137">
        <v>8.8458389999999998</v>
      </c>
      <c r="D68" s="137">
        <v>7.7105069999999998</v>
      </c>
      <c r="E68" s="137">
        <v>8.1264029999999998</v>
      </c>
      <c r="F68" s="137">
        <v>9.5787530000000007</v>
      </c>
      <c r="G68" s="137">
        <v>11.324087</v>
      </c>
      <c r="H68" s="137">
        <v>11.167252</v>
      </c>
      <c r="I68" s="137">
        <v>12.703842</v>
      </c>
      <c r="J68" s="133"/>
      <c r="K68" s="133"/>
      <c r="N68" s="116"/>
      <c r="O68" s="76"/>
      <c r="P68" s="76"/>
      <c r="Q68" s="76"/>
      <c r="R68" s="76"/>
      <c r="S68" s="76"/>
      <c r="T68" s="76"/>
    </row>
    <row r="69" spans="1:22" ht="14.25" x14ac:dyDescent="0.2">
      <c r="A69" s="135" t="s">
        <v>1117</v>
      </c>
      <c r="B69" s="136">
        <v>12.1919965744019</v>
      </c>
      <c r="C69" s="137">
        <v>9.3820110000000003</v>
      </c>
      <c r="D69" s="137">
        <v>7.610258</v>
      </c>
      <c r="E69" s="137">
        <v>7.7677209999999999</v>
      </c>
      <c r="F69" s="137">
        <v>9.3468420000000005</v>
      </c>
      <c r="G69" s="137">
        <v>11.319013999999999</v>
      </c>
      <c r="H69" s="137">
        <v>10.704791</v>
      </c>
      <c r="I69" s="137">
        <v>12.405868999999999</v>
      </c>
      <c r="J69" s="133"/>
      <c r="K69" s="133"/>
      <c r="N69" s="116"/>
      <c r="O69" s="76"/>
      <c r="P69" s="76"/>
      <c r="Q69" s="76"/>
      <c r="R69" s="76"/>
      <c r="S69" s="76"/>
      <c r="T69" s="76"/>
    </row>
    <row r="70" spans="1:22" ht="14.25" x14ac:dyDescent="0.2">
      <c r="A70" s="135" t="s">
        <v>1120</v>
      </c>
      <c r="B70" s="136">
        <v>10.216851234436</v>
      </c>
      <c r="C70" s="137">
        <v>8.1947969999999994</v>
      </c>
      <c r="D70" s="137">
        <v>7.4431450000000003</v>
      </c>
      <c r="E70" s="137">
        <v>7.968763</v>
      </c>
      <c r="F70" s="137">
        <v>8.2736079999999994</v>
      </c>
      <c r="G70" s="137">
        <v>8.7713719999999995</v>
      </c>
      <c r="H70" s="137">
        <v>9.6886500000000009</v>
      </c>
      <c r="I70" s="137">
        <v>10.826466999999999</v>
      </c>
      <c r="J70" s="133"/>
      <c r="K70" s="133"/>
      <c r="N70" s="116"/>
      <c r="O70" s="76"/>
      <c r="P70" s="76"/>
      <c r="Q70" s="76"/>
      <c r="R70" s="76"/>
      <c r="S70" s="76"/>
      <c r="T70" s="76"/>
    </row>
    <row r="71" spans="1:22" ht="14.25" x14ac:dyDescent="0.2">
      <c r="A71" s="135" t="s">
        <v>1123</v>
      </c>
      <c r="B71" s="136">
        <v>9.9841842651367205</v>
      </c>
      <c r="C71" s="137">
        <v>7.3170859999999998</v>
      </c>
      <c r="D71" s="137">
        <v>6.9393950000000002</v>
      </c>
      <c r="E71" s="137">
        <v>7.6798060000000001</v>
      </c>
      <c r="F71" s="137">
        <v>8.1471640000000001</v>
      </c>
      <c r="G71" s="137">
        <v>8.7759040000000006</v>
      </c>
      <c r="H71" s="137">
        <v>9.8236360000000005</v>
      </c>
      <c r="I71" s="137">
        <v>10.859645</v>
      </c>
      <c r="J71" s="133"/>
      <c r="K71" s="133"/>
      <c r="N71" s="116"/>
      <c r="O71" s="76"/>
      <c r="P71" s="76"/>
      <c r="Q71" s="76"/>
      <c r="R71" s="76"/>
      <c r="S71" s="76"/>
      <c r="T71" s="76"/>
    </row>
    <row r="72" spans="1:22" ht="14.25" x14ac:dyDescent="0.2">
      <c r="A72" s="135" t="s">
        <v>1121</v>
      </c>
      <c r="B72" s="136">
        <v>11.181912422180201</v>
      </c>
      <c r="C72" s="137">
        <v>7.981903</v>
      </c>
      <c r="D72" s="137">
        <v>7.398733</v>
      </c>
      <c r="E72" s="137">
        <v>8.1677999999999997</v>
      </c>
      <c r="F72" s="137">
        <v>8.8523820000000004</v>
      </c>
      <c r="G72" s="137">
        <v>9.5375599999999991</v>
      </c>
      <c r="H72" s="137">
        <v>10.554137000000001</v>
      </c>
      <c r="I72" s="137">
        <v>11.521385</v>
      </c>
      <c r="J72" s="133"/>
      <c r="K72" s="133"/>
      <c r="N72" s="116"/>
      <c r="O72" s="76"/>
      <c r="P72" s="76"/>
      <c r="Q72" s="76"/>
      <c r="R72" s="76"/>
      <c r="S72" s="76"/>
      <c r="T72" s="76"/>
    </row>
    <row r="73" spans="1:22" ht="14.25" x14ac:dyDescent="0.2">
      <c r="A73" s="135" t="s">
        <v>1124</v>
      </c>
      <c r="B73" s="136">
        <v>10.3474178314209</v>
      </c>
      <c r="C73" s="137">
        <v>6.681171</v>
      </c>
      <c r="D73" s="137">
        <v>6.3673799999999998</v>
      </c>
      <c r="E73" s="137">
        <v>7.0841560000000001</v>
      </c>
      <c r="F73" s="137">
        <v>7.683522</v>
      </c>
      <c r="G73" s="137">
        <v>8.3710509999999996</v>
      </c>
      <c r="H73" s="137">
        <v>9.3635439999999992</v>
      </c>
      <c r="I73" s="137">
        <v>10.423187</v>
      </c>
      <c r="J73" s="133"/>
      <c r="K73" s="133"/>
      <c r="N73" s="116"/>
      <c r="O73" s="76"/>
      <c r="P73" s="76"/>
      <c r="Q73" s="76"/>
      <c r="R73" s="76"/>
      <c r="S73" s="76"/>
      <c r="T73" s="76"/>
    </row>
    <row r="74" spans="1:22" ht="14.25" x14ac:dyDescent="0.2">
      <c r="A74" s="135" t="s">
        <v>1126</v>
      </c>
      <c r="B74" s="136">
        <v>8.6118917465209996</v>
      </c>
      <c r="C74" s="137">
        <v>5.4891560000000004</v>
      </c>
      <c r="D74" s="137">
        <v>4.5896129999999999</v>
      </c>
      <c r="E74" s="137">
        <v>5.34727</v>
      </c>
      <c r="F74" s="137">
        <v>5.8935589999999998</v>
      </c>
      <c r="G74" s="137">
        <v>6.6993450000000001</v>
      </c>
      <c r="H74" s="137">
        <v>7.7114929999999999</v>
      </c>
      <c r="I74" s="137">
        <v>8.5182169999999999</v>
      </c>
      <c r="J74" s="133"/>
      <c r="K74" s="133"/>
      <c r="N74" s="116"/>
      <c r="O74" s="76"/>
      <c r="P74" s="76"/>
      <c r="Q74" s="76"/>
      <c r="R74" s="76"/>
      <c r="S74" s="76"/>
      <c r="T74" s="76"/>
    </row>
    <row r="75" spans="1:22" ht="14.25" x14ac:dyDescent="0.2">
      <c r="A75" s="135" t="s">
        <v>1127</v>
      </c>
      <c r="B75" s="136">
        <v>8.8041410446166992</v>
      </c>
      <c r="C75" s="137">
        <v>6.8621939999999997</v>
      </c>
      <c r="D75" s="137">
        <v>6.6033869999999997</v>
      </c>
      <c r="E75" s="137">
        <v>7.2409670000000004</v>
      </c>
      <c r="F75" s="137">
        <v>7.726388</v>
      </c>
      <c r="G75" s="137">
        <v>8.3357709999999994</v>
      </c>
      <c r="H75" s="137">
        <v>9.5527080000000009</v>
      </c>
      <c r="I75" s="137">
        <v>10.697177999999999</v>
      </c>
      <c r="J75" s="133"/>
      <c r="K75" s="133"/>
      <c r="N75" s="116"/>
      <c r="O75" s="76"/>
      <c r="P75" s="76"/>
      <c r="Q75" s="76"/>
      <c r="R75" s="76"/>
      <c r="S75" s="76"/>
      <c r="T75" s="76"/>
    </row>
    <row r="76" spans="1:22" ht="14.25" x14ac:dyDescent="0.2">
      <c r="A76" s="135" t="s">
        <v>1141</v>
      </c>
      <c r="B76" s="136">
        <v>8.8893222808837908</v>
      </c>
      <c r="C76" s="137">
        <v>7.0889509999999998</v>
      </c>
      <c r="D76" s="137">
        <v>7.1798999999999999</v>
      </c>
      <c r="E76" s="137">
        <v>7.9624680000000003</v>
      </c>
      <c r="F76" s="137">
        <v>8.3219969999999996</v>
      </c>
      <c r="G76" s="137">
        <v>8.6991940000000003</v>
      </c>
      <c r="H76" s="137">
        <v>10.032847</v>
      </c>
      <c r="I76" s="137">
        <v>11.05025</v>
      </c>
      <c r="J76" s="133"/>
      <c r="K76" s="133"/>
      <c r="N76" s="116"/>
      <c r="O76" s="76"/>
      <c r="P76" s="76"/>
      <c r="Q76" s="76"/>
      <c r="R76" s="76"/>
      <c r="S76" s="76"/>
      <c r="T76" s="76"/>
    </row>
    <row r="77" spans="1:22" ht="15" x14ac:dyDescent="0.25">
      <c r="A77" s="115" t="s">
        <v>1220</v>
      </c>
      <c r="B77" s="136">
        <v>9.9382610321044904</v>
      </c>
      <c r="C77" s="138">
        <v>7.3337490000000001</v>
      </c>
      <c r="D77" s="138">
        <v>6.6294009999999997</v>
      </c>
      <c r="E77" s="138">
        <v>7.2506810000000002</v>
      </c>
      <c r="F77" s="138">
        <v>7.8868450000000001</v>
      </c>
      <c r="G77" s="138">
        <v>8.6751140000000007</v>
      </c>
      <c r="H77" s="138">
        <v>9.539282</v>
      </c>
      <c r="I77" s="138">
        <v>10.612050999999999</v>
      </c>
      <c r="J77" s="133"/>
      <c r="K77" s="133"/>
      <c r="N77" s="115"/>
      <c r="O77" s="138"/>
      <c r="P77" s="138"/>
      <c r="Q77" s="138"/>
      <c r="R77" s="138"/>
      <c r="S77" s="138"/>
      <c r="T77" s="138"/>
    </row>
    <row r="78" spans="1:22" ht="14.25" x14ac:dyDescent="0.2">
      <c r="A78" s="133"/>
      <c r="B78" s="133"/>
      <c r="C78" s="133"/>
      <c r="D78" s="133"/>
      <c r="E78" s="133"/>
      <c r="F78" s="133"/>
      <c r="G78" s="133"/>
      <c r="H78" s="133"/>
      <c r="I78" s="133"/>
      <c r="J78" s="133"/>
      <c r="K78" s="133"/>
      <c r="L78" s="133"/>
      <c r="O78" s="116"/>
    </row>
    <row r="79" spans="1:22" ht="14.25" x14ac:dyDescent="0.2">
      <c r="A79" s="133"/>
      <c r="B79" s="133" t="s">
        <v>1226</v>
      </c>
      <c r="C79" s="133"/>
      <c r="J79" s="133"/>
      <c r="K79" s="133"/>
      <c r="L79" s="133"/>
      <c r="O79" s="312"/>
      <c r="P79" s="312"/>
      <c r="Q79" s="312"/>
      <c r="R79" s="312"/>
      <c r="S79" s="312"/>
      <c r="T79" s="312"/>
      <c r="U79" s="312"/>
      <c r="V79" s="312"/>
    </row>
    <row r="80" spans="1:22" ht="14.25" x14ac:dyDescent="0.2">
      <c r="A80" s="133"/>
      <c r="B80" s="133" t="s">
        <v>1227</v>
      </c>
      <c r="C80" s="133"/>
      <c r="J80" s="133"/>
      <c r="K80" s="133"/>
      <c r="L80" s="133"/>
      <c r="O80" s="312"/>
      <c r="P80" s="312"/>
      <c r="Q80" s="312"/>
      <c r="R80" s="312"/>
      <c r="S80" s="312"/>
      <c r="T80" s="312"/>
      <c r="U80" s="312"/>
      <c r="V80" s="312"/>
    </row>
    <row r="81" spans="1:31" ht="14.25" x14ac:dyDescent="0.2">
      <c r="A81" s="133"/>
      <c r="B81" s="133" t="s">
        <v>1228</v>
      </c>
      <c r="C81" s="133"/>
      <c r="J81" s="133"/>
      <c r="K81" s="133"/>
      <c r="L81" s="133"/>
      <c r="O81" s="312"/>
      <c r="P81" s="312"/>
      <c r="Q81" s="312"/>
      <c r="R81" s="312"/>
      <c r="S81" s="312"/>
      <c r="T81" s="312"/>
      <c r="U81" s="312"/>
      <c r="V81" s="312"/>
    </row>
    <row r="82" spans="1:31" ht="14.25" x14ac:dyDescent="0.2">
      <c r="A82" s="133"/>
      <c r="B82" s="133" t="s">
        <v>1229</v>
      </c>
      <c r="C82" s="133"/>
      <c r="J82" s="133"/>
      <c r="K82" s="133"/>
      <c r="L82" s="133"/>
      <c r="N82" s="48"/>
      <c r="O82" s="312"/>
      <c r="P82" s="312"/>
      <c r="Q82" s="312"/>
      <c r="R82" s="312"/>
      <c r="S82" s="312"/>
      <c r="T82" s="312"/>
      <c r="U82" s="312"/>
      <c r="V82" s="312"/>
    </row>
    <row r="83" spans="1:31" ht="14.25" x14ac:dyDescent="0.2">
      <c r="A83" s="133"/>
      <c r="B83" s="133" t="s">
        <v>1230</v>
      </c>
      <c r="C83" s="133"/>
      <c r="J83" s="133"/>
      <c r="K83" s="133"/>
      <c r="L83" s="133"/>
      <c r="N83" s="48"/>
      <c r="O83" s="312"/>
      <c r="P83" s="312"/>
      <c r="Q83" s="312"/>
      <c r="R83" s="312"/>
      <c r="S83" s="312"/>
      <c r="T83" s="312"/>
      <c r="U83" s="312"/>
      <c r="V83" s="312"/>
    </row>
    <row r="84" spans="1:31" ht="14.25" x14ac:dyDescent="0.2">
      <c r="A84" s="133"/>
      <c r="B84" s="133" t="s">
        <v>365</v>
      </c>
      <c r="C84" s="133"/>
      <c r="J84" s="133"/>
      <c r="K84" s="133"/>
      <c r="L84" s="133"/>
      <c r="N84" s="48"/>
      <c r="O84" s="312"/>
      <c r="P84" s="312"/>
      <c r="Q84" s="312"/>
      <c r="R84" s="312"/>
      <c r="S84" s="312"/>
      <c r="T84" s="312"/>
      <c r="U84" s="312"/>
      <c r="V84" s="312"/>
    </row>
    <row r="85" spans="1:31" ht="14.25" x14ac:dyDescent="0.2">
      <c r="A85" s="133"/>
      <c r="B85" s="133" t="s">
        <v>1011</v>
      </c>
      <c r="C85" s="133"/>
      <c r="J85" s="133"/>
      <c r="K85" s="133"/>
      <c r="L85" s="133"/>
      <c r="N85" s="48"/>
      <c r="O85" s="312"/>
      <c r="P85" s="312"/>
      <c r="Q85" s="312"/>
      <c r="R85" s="312"/>
      <c r="S85" s="312"/>
      <c r="T85" s="312"/>
      <c r="U85" s="312"/>
      <c r="V85" s="312"/>
    </row>
    <row r="86" spans="1:31" ht="14.25" x14ac:dyDescent="0.2">
      <c r="A86" s="133"/>
      <c r="B86" s="133" t="s">
        <v>1231</v>
      </c>
      <c r="C86" s="133"/>
      <c r="J86" s="133"/>
      <c r="K86" s="133"/>
      <c r="L86" s="133"/>
      <c r="N86" s="48"/>
      <c r="O86" s="312"/>
      <c r="P86" s="312"/>
      <c r="Q86" s="312"/>
      <c r="R86" s="312"/>
      <c r="S86" s="312"/>
      <c r="T86" s="312"/>
      <c r="U86" s="312"/>
      <c r="V86" s="312"/>
    </row>
    <row r="87" spans="1:31" ht="14.25" x14ac:dyDescent="0.2">
      <c r="A87" s="133"/>
      <c r="B87" s="133" t="s">
        <v>1232</v>
      </c>
      <c r="C87" s="133"/>
      <c r="J87" s="133"/>
      <c r="K87" s="133"/>
      <c r="L87" s="133"/>
      <c r="O87" s="312"/>
      <c r="P87" s="312"/>
      <c r="Q87" s="312"/>
      <c r="R87" s="312"/>
      <c r="S87" s="312"/>
      <c r="T87" s="312"/>
      <c r="U87" s="312"/>
      <c r="V87" s="312"/>
    </row>
    <row r="88" spans="1:31" ht="14.25" x14ac:dyDescent="0.2">
      <c r="A88" s="133"/>
      <c r="B88" s="133" t="s">
        <v>1233</v>
      </c>
      <c r="C88" s="133"/>
      <c r="J88" s="133"/>
      <c r="K88" s="133"/>
      <c r="L88" s="133"/>
      <c r="O88" s="312"/>
      <c r="P88" s="312"/>
      <c r="Q88" s="312"/>
      <c r="R88" s="312"/>
      <c r="S88" s="312"/>
      <c r="T88" s="312"/>
      <c r="U88" s="312"/>
      <c r="V88" s="312"/>
    </row>
    <row r="89" spans="1:31" ht="14.25" x14ac:dyDescent="0.2">
      <c r="A89" s="133"/>
      <c r="B89" s="133" t="s">
        <v>1234</v>
      </c>
      <c r="C89" s="133"/>
      <c r="J89" s="133"/>
      <c r="K89" s="133"/>
      <c r="L89" s="133"/>
      <c r="O89" s="312"/>
      <c r="P89" s="312"/>
      <c r="Q89" s="312"/>
      <c r="R89" s="312"/>
      <c r="S89" s="312"/>
      <c r="T89" s="312"/>
      <c r="U89" s="312"/>
      <c r="V89" s="312"/>
    </row>
    <row r="90" spans="1:31" ht="14.25" x14ac:dyDescent="0.2">
      <c r="A90" s="133"/>
      <c r="B90" s="133" t="s">
        <v>1235</v>
      </c>
      <c r="C90" s="133"/>
      <c r="J90" s="133"/>
      <c r="K90" s="133"/>
      <c r="L90" s="133"/>
      <c r="O90" s="312"/>
      <c r="P90" s="312"/>
      <c r="Q90" s="312"/>
      <c r="R90" s="312"/>
      <c r="S90" s="312"/>
      <c r="T90" s="312"/>
      <c r="U90" s="312"/>
      <c r="V90" s="312"/>
    </row>
    <row r="91" spans="1:31" ht="14.25" x14ac:dyDescent="0.2">
      <c r="A91" s="133"/>
      <c r="B91" s="133" t="s">
        <v>1236</v>
      </c>
      <c r="C91" s="133"/>
      <c r="J91" s="133"/>
      <c r="K91" s="133"/>
      <c r="L91" s="133"/>
      <c r="N91" s="48"/>
      <c r="O91" s="312"/>
      <c r="P91" s="312"/>
      <c r="Q91" s="312"/>
      <c r="R91" s="312"/>
      <c r="S91" s="312"/>
      <c r="T91" s="312"/>
      <c r="U91" s="312"/>
      <c r="V91" s="312"/>
      <c r="W91" s="57"/>
      <c r="X91" s="57"/>
      <c r="Y91" s="57"/>
      <c r="Z91" s="57"/>
      <c r="AA91" s="57"/>
      <c r="AB91" s="57"/>
      <c r="AC91" s="57"/>
      <c r="AD91" s="57"/>
      <c r="AE91" s="57"/>
    </row>
    <row r="92" spans="1:31" ht="14.25" x14ac:dyDescent="0.2">
      <c r="A92" s="133"/>
      <c r="B92" s="133" t="s">
        <v>1237</v>
      </c>
      <c r="C92" s="133"/>
      <c r="J92" s="133"/>
      <c r="K92" s="133"/>
      <c r="L92" s="133"/>
      <c r="N92" s="48"/>
      <c r="O92" s="312"/>
      <c r="P92" s="312"/>
      <c r="Q92" s="312"/>
      <c r="R92" s="312"/>
      <c r="S92" s="312"/>
      <c r="T92" s="312"/>
      <c r="U92" s="312"/>
      <c r="V92" s="312"/>
      <c r="W92" s="57"/>
      <c r="X92" s="57"/>
      <c r="Y92" s="57"/>
      <c r="Z92" s="57"/>
      <c r="AA92" s="57"/>
      <c r="AB92" s="57"/>
      <c r="AC92" s="57"/>
      <c r="AD92" s="57"/>
      <c r="AE92" s="57"/>
    </row>
    <row r="93" spans="1:31" ht="14.25" x14ac:dyDescent="0.2">
      <c r="A93" s="133"/>
      <c r="B93" s="133" t="s">
        <v>1238</v>
      </c>
      <c r="C93" s="133"/>
      <c r="J93" s="133"/>
      <c r="K93" s="133"/>
      <c r="L93" s="133"/>
      <c r="N93" s="48"/>
      <c r="O93" s="312"/>
      <c r="P93" s="312"/>
      <c r="Q93" s="312"/>
      <c r="R93" s="312"/>
      <c r="S93" s="312"/>
      <c r="T93" s="312"/>
      <c r="U93" s="312"/>
      <c r="V93" s="312"/>
      <c r="W93" s="57"/>
      <c r="X93" s="57"/>
      <c r="Y93" s="57"/>
      <c r="Z93" s="57"/>
      <c r="AA93" s="57"/>
      <c r="AB93" s="57"/>
      <c r="AC93" s="57"/>
      <c r="AD93" s="57"/>
      <c r="AE93" s="57"/>
    </row>
    <row r="94" spans="1:31" ht="14.25" x14ac:dyDescent="0.2">
      <c r="A94" s="133"/>
      <c r="B94" s="133" t="s">
        <v>1239</v>
      </c>
      <c r="C94" s="133"/>
      <c r="J94" s="133"/>
      <c r="K94" s="133"/>
      <c r="L94" s="133"/>
      <c r="N94" s="48"/>
      <c r="O94" s="312"/>
      <c r="P94" s="312"/>
      <c r="Q94" s="312"/>
      <c r="R94" s="312"/>
      <c r="S94" s="312"/>
      <c r="T94" s="312"/>
      <c r="U94" s="312"/>
      <c r="V94" s="312"/>
      <c r="W94" s="57"/>
      <c r="X94" s="57"/>
      <c r="Y94" s="57"/>
      <c r="Z94" s="57"/>
      <c r="AA94" s="57"/>
      <c r="AB94" s="57"/>
      <c r="AC94" s="57"/>
      <c r="AD94" s="57"/>
      <c r="AE94" s="57"/>
    </row>
    <row r="95" spans="1:31" ht="14.25" x14ac:dyDescent="0.2">
      <c r="A95" s="133"/>
      <c r="B95" s="133" t="s">
        <v>1240</v>
      </c>
      <c r="C95" s="133"/>
      <c r="J95" s="133"/>
      <c r="K95" s="133"/>
      <c r="L95" s="133"/>
      <c r="N95" s="48"/>
      <c r="O95" s="312"/>
      <c r="P95" s="312"/>
      <c r="Q95" s="312"/>
      <c r="R95" s="312"/>
      <c r="S95" s="312"/>
      <c r="T95" s="312"/>
      <c r="U95" s="312"/>
      <c r="V95" s="312"/>
      <c r="W95" s="57"/>
      <c r="X95" s="57"/>
      <c r="Y95" s="57"/>
      <c r="Z95" s="57"/>
      <c r="AA95" s="57"/>
      <c r="AB95" s="57"/>
      <c r="AC95" s="57"/>
      <c r="AD95" s="57"/>
      <c r="AE95" s="57"/>
    </row>
    <row r="96" spans="1:31" ht="14.25" x14ac:dyDescent="0.2">
      <c r="A96" s="133"/>
      <c r="B96" s="133" t="s">
        <v>1241</v>
      </c>
      <c r="C96" s="133"/>
      <c r="J96" s="133"/>
      <c r="K96" s="133"/>
      <c r="L96" s="133"/>
      <c r="O96" s="312"/>
      <c r="P96" s="312"/>
      <c r="Q96" s="312"/>
      <c r="R96" s="312"/>
      <c r="S96" s="312"/>
      <c r="T96" s="312"/>
      <c r="U96" s="312"/>
      <c r="V96" s="312"/>
    </row>
    <row r="97" spans="1:13" ht="14.25" x14ac:dyDescent="0.2">
      <c r="A97" s="133"/>
      <c r="B97" s="133"/>
      <c r="C97" s="133"/>
      <c r="D97" s="133"/>
      <c r="E97" s="133"/>
      <c r="F97" s="133"/>
      <c r="G97" s="133"/>
      <c r="H97" s="133"/>
      <c r="I97" s="133"/>
      <c r="J97" s="133"/>
      <c r="K97" s="133"/>
      <c r="L97" s="133"/>
    </row>
    <row r="98" spans="1:13" ht="14.25" x14ac:dyDescent="0.2">
      <c r="A98" s="133"/>
      <c r="B98" s="133"/>
      <c r="C98" s="133"/>
      <c r="D98" s="133"/>
      <c r="E98" s="133"/>
      <c r="F98" s="133"/>
      <c r="G98" s="133"/>
      <c r="H98" s="133"/>
      <c r="I98" s="133"/>
      <c r="J98" s="133"/>
      <c r="K98" s="133"/>
      <c r="L98" s="133"/>
    </row>
    <row r="99" spans="1:13" ht="14.25" x14ac:dyDescent="0.2">
      <c r="A99" s="318" t="s">
        <v>1242</v>
      </c>
      <c r="B99" s="318"/>
      <c r="C99" s="318"/>
      <c r="D99" s="318"/>
      <c r="E99" s="318"/>
      <c r="F99" s="318"/>
      <c r="G99" s="318"/>
      <c r="H99" s="318"/>
      <c r="I99" s="318"/>
      <c r="J99" s="318"/>
      <c r="K99" s="133"/>
      <c r="L99" s="133"/>
    </row>
    <row r="100" spans="1:13" ht="14.25" x14ac:dyDescent="0.2">
      <c r="A100" s="132" t="s">
        <v>47</v>
      </c>
      <c r="B100" s="140">
        <v>1</v>
      </c>
      <c r="C100" s="140">
        <v>2</v>
      </c>
      <c r="D100" s="140">
        <v>3</v>
      </c>
      <c r="E100" s="140">
        <v>4</v>
      </c>
      <c r="F100" s="140">
        <v>5</v>
      </c>
      <c r="G100" s="140">
        <v>6</v>
      </c>
      <c r="H100" s="140">
        <v>7</v>
      </c>
      <c r="I100" s="140">
        <v>8</v>
      </c>
      <c r="J100" s="140">
        <v>9</v>
      </c>
      <c r="K100" s="140"/>
      <c r="L100" s="133"/>
    </row>
    <row r="101" spans="1:13" ht="14.25" x14ac:dyDescent="0.2">
      <c r="A101" s="141" t="s">
        <v>45</v>
      </c>
      <c r="B101" s="142">
        <f>C8/Conv!$D$6/1000/Conv!$J$5/1000000*Conv!$D$43</f>
        <v>12.433949173635991</v>
      </c>
      <c r="C101" s="143">
        <f>C9/Conv!$D$6/1000/Conv!$J$5/1000000*Conv!$D$43</f>
        <v>11.325838360576864</v>
      </c>
      <c r="D101" s="143">
        <f>C10/Conv!$D$6/1000/Conv!$J$5/1000000*Conv!$D$43</f>
        <v>8.6189306550972997</v>
      </c>
      <c r="E101" s="143">
        <f>C11/Conv!$D$6/1000/Conv!$J$5/1000000*Conv!$D$43</f>
        <v>8.3764982507358834</v>
      </c>
      <c r="F101" s="143">
        <f>C12/Conv!$D$6/1000/Conv!$J$5/1000000*Conv!$D$43</f>
        <v>11.631804884809956</v>
      </c>
      <c r="G101" s="143">
        <f>C13/Conv!$D$6/1000/Conv!$J$5/1000000*Conv!$D$43</f>
        <v>9.5872154915012118</v>
      </c>
      <c r="H101" s="143">
        <f>C14/Conv!$D$6/1000/Conv!$J$5/1000000*Conv!$D$43</f>
        <v>9.2310137450018903</v>
      </c>
      <c r="I101" s="143">
        <f>C15/Conv!$D$6/1000/Conv!$J$5/1000000*Conv!$D$43</f>
        <v>8.1119532786566655</v>
      </c>
      <c r="J101" s="143">
        <f>C16/Conv!$D$6/1000/Conv!$J$5/1000000*Conv!$D$43</f>
        <v>8.8208611433121611</v>
      </c>
      <c r="K101" s="133"/>
      <c r="L101" s="48"/>
      <c r="M101" s="48"/>
    </row>
    <row r="102" spans="1:13" ht="14.25" x14ac:dyDescent="0.2">
      <c r="A102" s="141" t="s">
        <v>46</v>
      </c>
      <c r="B102" s="143">
        <f>C20/Conv!$D$6/1000/Conv!$J$5/1000000*Conv!$D$43</f>
        <v>9.610724793283298</v>
      </c>
      <c r="C102" s="143">
        <f>C21/Conv!$D$6/1000/Conv!$J$5/1000000*Conv!$D$43</f>
        <v>8.515724904566893</v>
      </c>
      <c r="D102" s="143">
        <f>C22/Conv!$D$6/1000/Conv!$J$5/1000000*Conv!$D$43</f>
        <v>7.3737510875460686</v>
      </c>
      <c r="E102" s="143">
        <f>C23/Conv!$D$6/1000/Conv!$J$5/1000000*Conv!$D$43</f>
        <v>7.0648933153706119</v>
      </c>
      <c r="F102" s="143">
        <f>C24/Conv!$D$6/1000/Conv!$J$5/1000000*Conv!$D$43</f>
        <v>8.7007529718662155</v>
      </c>
      <c r="G102" s="143">
        <f>C25/Conv!$D$6/1000/Conv!$J$5/1000000*Conv!$D$43</f>
        <v>8.1300627745149061</v>
      </c>
      <c r="H102" s="143">
        <f>C26/Conv!$D$6/1000/Conv!$J$5/1000000*Conv!$D$43</f>
        <v>7.3099008691384197</v>
      </c>
      <c r="I102" s="143">
        <f>C27/Conv!$D$6/1000/Conv!$J$5/1000000*Conv!$D$43</f>
        <v>7.0106651363979742</v>
      </c>
      <c r="J102" s="143">
        <f>C28/Conv!$D$6/1000/Conv!$J$5/1000000*Conv!$D$43</f>
        <v>7.647564911629436</v>
      </c>
      <c r="K102" s="133"/>
      <c r="L102" s="133"/>
      <c r="M102" s="48"/>
    </row>
    <row r="103" spans="1:13" ht="14.25" x14ac:dyDescent="0.2">
      <c r="A103" s="141" t="s">
        <v>48</v>
      </c>
      <c r="B103" s="143">
        <f>C32/Conv!$D$6/1000/Conv!$J$5/1000000*Conv!$D$43</f>
        <v>6.8859200101616658</v>
      </c>
      <c r="C103" s="143">
        <f>C33/Conv!$D$6/1000/Conv!$J$5/1000000*Conv!$D$43</f>
        <v>6.2084913450419146</v>
      </c>
      <c r="D103" s="143">
        <f>C34/Conv!$D$6/1000/Conv!$J$5/1000000*Conv!$D$43</f>
        <v>5.3226871532911728</v>
      </c>
      <c r="E103" s="143">
        <f>C35/Conv!$D$6/1000/Conv!$J$5/1000000*Conv!$D$43</f>
        <v>4.6209922357618618</v>
      </c>
      <c r="F103" s="143">
        <f>C36/Conv!$D$6/1000/Conv!$J$5/1000000*Conv!$D$43</f>
        <v>5.0270431428488083</v>
      </c>
      <c r="G103" s="143">
        <f>C37/Conv!$D$6/1000/Conv!$J$5/1000000*Conv!$D$43</f>
        <v>4.8068286723838476</v>
      </c>
      <c r="H103" s="143">
        <f>C38/Conv!$D$6/1000/Conv!$J$5/1000000*Conv!$D$43</f>
        <v>4.0540244147701641</v>
      </c>
      <c r="I103" s="143">
        <f>C39/Conv!$D$6/1000/Conv!$J$5/1000000*Conv!$D$43</f>
        <v>4.6872532323371967</v>
      </c>
      <c r="J103" s="143">
        <f>C40/Conv!$D$6/1000/Conv!$J$5/1000000*Conv!$D$43</f>
        <v>5.1367664237262591</v>
      </c>
      <c r="K103" s="133"/>
      <c r="L103" s="133"/>
      <c r="M103" s="48"/>
    </row>
    <row r="104" spans="1:13" ht="14.25" x14ac:dyDescent="0.2">
      <c r="A104" s="141" t="s">
        <v>49</v>
      </c>
      <c r="B104" s="143">
        <f>C44/Conv!$D$6/1000/Conv!$J$5/1000000*Conv!$D$43</f>
        <v>4.6755440996353332</v>
      </c>
      <c r="C104" s="143">
        <f>C45/Conv!$D$6/1000/Conv!$J$5/1000000*Conv!$D$43</f>
        <v>4.6772459741530108</v>
      </c>
      <c r="D104" s="143">
        <f>C46/Conv!$D$6/1000/Conv!$J$5/1000000*Conv!$D$43</f>
        <v>4.2672872462320113</v>
      </c>
      <c r="E104" s="143">
        <f>C47/Conv!$D$6/1000/Conv!$J$5/1000000*Conv!$D$43</f>
        <v>4.5170649376400061</v>
      </c>
      <c r="F104" s="143">
        <f>C48/Conv!$D$6/1000/Conv!$J$5/1000000*Conv!$D$43</f>
        <v>5.16732683018411</v>
      </c>
      <c r="G104" s="143">
        <f>C49/Conv!$D$6/1000/Conv!$J$5/1000000*Conv!$D$43</f>
        <v>4.1340782655964947</v>
      </c>
      <c r="H104" s="143">
        <f>C50/Conv!$D$6/1000/Conv!$J$5/1000000*Conv!$D$43</f>
        <v>3.9808185226271497</v>
      </c>
      <c r="I104" s="143">
        <f>C51/Conv!$D$6/1000/Conv!$J$5/1000000*Conv!$D$43</f>
        <v>4.3225572859792134</v>
      </c>
      <c r="J104" s="143">
        <f>C52/Conv!$D$6/1000/Conv!$J$5/1000000*Conv!$D$43</f>
        <v>4.1480700511927955</v>
      </c>
      <c r="K104" s="133"/>
      <c r="L104" s="133"/>
      <c r="M104" s="48"/>
    </row>
    <row r="105" spans="1:13" ht="14.25" x14ac:dyDescent="0.2">
      <c r="A105" s="141" t="s">
        <v>50</v>
      </c>
      <c r="B105" s="143">
        <f>C56/Conv!$D$6/1000/Conv!$J$5/1000000*Conv!$D$43</f>
        <v>14.00564167025855</v>
      </c>
      <c r="C105" s="143">
        <f>C57/Conv!$D$6/1000/Conv!$J$5/1000000*Conv!$D$43</f>
        <v>13.138938259374857</v>
      </c>
      <c r="D105" s="143">
        <f>C58/Conv!$D$6/1000/Conv!$J$5/1000000*Conv!$D$43</f>
        <v>10.297148358342691</v>
      </c>
      <c r="E105" s="143">
        <f>C59/Conv!$D$6/1000/Conv!$J$5/1000000*Conv!$D$43</f>
        <v>10.735261772130432</v>
      </c>
      <c r="F105" s="143">
        <f>C60/Conv!$D$6/1000/Conv!$J$5/1000000*Conv!$D$43</f>
        <v>12.153633834864735</v>
      </c>
      <c r="G105" s="143">
        <f>C61/Conv!$D$6/1000/Conv!$J$5/1000000*Conv!$D$43</f>
        <v>14.477173864198763</v>
      </c>
      <c r="H105" s="143">
        <f>C62/Conv!$D$6/1000/Conv!$J$5/1000000*Conv!$D$43</f>
        <v>10.830165510712048</v>
      </c>
      <c r="I105" s="143">
        <f>C63/Conv!$D$6/1000/Conv!$J$5/1000000*Conv!$D$43</f>
        <v>10.840385187112407</v>
      </c>
      <c r="J105" s="143">
        <f>C64/Conv!$D$6/1000/Conv!$J$5/1000000*Conv!$D$43</f>
        <v>9.5614066782361036</v>
      </c>
      <c r="K105" s="133"/>
      <c r="L105" s="133"/>
      <c r="M105" s="48"/>
    </row>
    <row r="106" spans="1:13" ht="14.25" x14ac:dyDescent="0.2">
      <c r="A106" s="141"/>
      <c r="B106" s="133"/>
      <c r="C106" s="133"/>
      <c r="D106" s="133"/>
      <c r="E106" s="133"/>
      <c r="F106" s="133"/>
      <c r="G106" s="133"/>
      <c r="H106" s="133"/>
      <c r="I106" s="133"/>
      <c r="J106" s="133"/>
      <c r="K106" s="133"/>
      <c r="L106" s="133"/>
    </row>
    <row r="107" spans="1:13" ht="14.25" x14ac:dyDescent="0.2">
      <c r="A107" s="133"/>
      <c r="B107" s="133"/>
      <c r="C107" s="133"/>
      <c r="D107" s="133"/>
      <c r="E107" s="133"/>
      <c r="F107" s="133"/>
      <c r="G107" s="133"/>
      <c r="H107" s="133"/>
      <c r="I107" s="133"/>
      <c r="J107" s="133"/>
      <c r="K107" s="133"/>
      <c r="L107" s="133"/>
    </row>
    <row r="108" spans="1:13" ht="14.25" x14ac:dyDescent="0.2">
      <c r="A108" s="318" t="s">
        <v>1243</v>
      </c>
      <c r="B108" s="318"/>
      <c r="C108" s="318"/>
      <c r="D108" s="318"/>
      <c r="E108" s="318"/>
      <c r="F108" s="318"/>
      <c r="G108" s="318"/>
      <c r="H108" s="318"/>
      <c r="I108" s="318"/>
      <c r="J108" s="318"/>
      <c r="K108" s="133"/>
      <c r="L108" s="133"/>
    </row>
    <row r="109" spans="1:13" ht="14.25" x14ac:dyDescent="0.2">
      <c r="A109" s="132" t="s">
        <v>47</v>
      </c>
      <c r="B109" s="140">
        <v>1</v>
      </c>
      <c r="C109" s="140">
        <v>2</v>
      </c>
      <c r="D109" s="140">
        <v>3</v>
      </c>
      <c r="E109" s="140">
        <v>4</v>
      </c>
      <c r="F109" s="140">
        <v>5</v>
      </c>
      <c r="G109" s="140">
        <v>6</v>
      </c>
      <c r="H109" s="140">
        <v>7</v>
      </c>
      <c r="I109" s="140">
        <v>8</v>
      </c>
      <c r="J109" s="140">
        <v>9</v>
      </c>
      <c r="K109" s="133"/>
      <c r="L109" s="133"/>
    </row>
    <row r="110" spans="1:13" ht="14.25" x14ac:dyDescent="0.2">
      <c r="A110" s="141" t="s">
        <v>1244</v>
      </c>
      <c r="B110" s="136">
        <f>'Domestic NG Prices'!$N$42</f>
        <v>3.7004601944550011</v>
      </c>
      <c r="C110" s="136">
        <f>'Domestic NG Prices'!$N$42</f>
        <v>3.7004601944550011</v>
      </c>
      <c r="D110" s="136">
        <f>'Domestic NG Prices'!$N$42</f>
        <v>3.7004601944550011</v>
      </c>
      <c r="E110" s="136">
        <f>'Domestic NG Prices'!$N$42</f>
        <v>3.7004601944550011</v>
      </c>
      <c r="F110" s="136">
        <f>'Domestic NG Prices'!$N$42</f>
        <v>3.7004601944550011</v>
      </c>
      <c r="G110" s="136">
        <f>'Domestic NG Prices'!$N$42</f>
        <v>3.7004601944550011</v>
      </c>
      <c r="H110" s="136">
        <f>'Domestic NG Prices'!$N$42</f>
        <v>3.7004601944550011</v>
      </c>
      <c r="I110" s="136">
        <f>'Domestic NG Prices'!$N$42</f>
        <v>3.7004601944550011</v>
      </c>
      <c r="J110" s="136">
        <f>'Domestic NG Prices'!$N$42</f>
        <v>3.7004601944550011</v>
      </c>
      <c r="K110" s="133"/>
      <c r="L110" s="133"/>
      <c r="M110" s="48"/>
    </row>
    <row r="111" spans="1:13" ht="14.25" x14ac:dyDescent="0.2">
      <c r="A111" s="133"/>
      <c r="B111" s="133"/>
      <c r="C111" s="133"/>
      <c r="D111" s="133"/>
      <c r="E111" s="133"/>
      <c r="F111" s="133"/>
      <c r="G111" s="133"/>
      <c r="H111" s="133"/>
      <c r="I111" s="133"/>
      <c r="J111" s="133"/>
      <c r="K111" s="133"/>
      <c r="L111" s="133"/>
    </row>
    <row r="112" spans="1:13" ht="14.25" x14ac:dyDescent="0.2">
      <c r="A112" s="318" t="s">
        <v>1245</v>
      </c>
      <c r="B112" s="318"/>
      <c r="C112" s="318"/>
      <c r="D112" s="318"/>
      <c r="E112" s="318"/>
      <c r="F112" s="318"/>
      <c r="G112" s="318"/>
      <c r="H112" s="318"/>
      <c r="I112" s="318"/>
      <c r="J112" s="318"/>
      <c r="K112" s="133"/>
      <c r="L112" s="133"/>
    </row>
    <row r="113" spans="1:12" ht="14.25" x14ac:dyDescent="0.2">
      <c r="A113" s="132" t="s">
        <v>47</v>
      </c>
      <c r="B113" s="140">
        <v>1</v>
      </c>
      <c r="C113" s="140">
        <v>2</v>
      </c>
      <c r="D113" s="140">
        <v>3</v>
      </c>
      <c r="E113" s="140">
        <v>4</v>
      </c>
      <c r="F113" s="140">
        <v>5</v>
      </c>
      <c r="G113" s="140">
        <v>6</v>
      </c>
      <c r="H113" s="140">
        <v>7</v>
      </c>
      <c r="I113" s="140">
        <v>8</v>
      </c>
      <c r="J113" s="140">
        <v>9</v>
      </c>
      <c r="K113" s="133"/>
      <c r="L113" s="133"/>
    </row>
    <row r="114" spans="1:12" ht="14.25" x14ac:dyDescent="0.2">
      <c r="A114" s="141" t="s">
        <v>45</v>
      </c>
      <c r="B114" s="136">
        <f>B101-B$110</f>
        <v>8.73348897918099</v>
      </c>
      <c r="C114" s="136">
        <f t="shared" ref="C114:I114" si="0">C101-C$110</f>
        <v>7.6253781661218625</v>
      </c>
      <c r="D114" s="136">
        <f t="shared" si="0"/>
        <v>4.9184704606422986</v>
      </c>
      <c r="E114" s="136">
        <f t="shared" si="0"/>
        <v>4.6760380562808823</v>
      </c>
      <c r="F114" s="136">
        <f t="shared" si="0"/>
        <v>7.9313446903549547</v>
      </c>
      <c r="G114" s="136">
        <f t="shared" si="0"/>
        <v>5.8867552970462107</v>
      </c>
      <c r="H114" s="136">
        <f t="shared" si="0"/>
        <v>5.5305535505468892</v>
      </c>
      <c r="I114" s="136">
        <f t="shared" si="0"/>
        <v>4.4114930842016644</v>
      </c>
      <c r="J114" s="136">
        <f>J101-J$110</f>
        <v>5.12040094885716</v>
      </c>
      <c r="K114" s="133"/>
      <c r="L114" s="133"/>
    </row>
    <row r="115" spans="1:12" ht="14.25" x14ac:dyDescent="0.2">
      <c r="A115" s="141" t="s">
        <v>46</v>
      </c>
      <c r="B115" s="136">
        <f t="shared" ref="B115:J115" si="1">B102-B$110</f>
        <v>5.9102645988282969</v>
      </c>
      <c r="C115" s="136">
        <f t="shared" si="1"/>
        <v>4.8152647101118919</v>
      </c>
      <c r="D115" s="136">
        <f t="shared" si="1"/>
        <v>3.6732908930910675</v>
      </c>
      <c r="E115" s="136">
        <f t="shared" si="1"/>
        <v>3.3644331209156109</v>
      </c>
      <c r="F115" s="136">
        <f t="shared" si="1"/>
        <v>5.0002927774112145</v>
      </c>
      <c r="G115" s="136">
        <f t="shared" si="1"/>
        <v>4.429602580059905</v>
      </c>
      <c r="H115" s="136">
        <f t="shared" si="1"/>
        <v>3.6094406746834187</v>
      </c>
      <c r="I115" s="136">
        <f t="shared" si="1"/>
        <v>3.3102049419429731</v>
      </c>
      <c r="J115" s="136">
        <f t="shared" si="1"/>
        <v>3.9471047171744349</v>
      </c>
      <c r="K115" s="133"/>
      <c r="L115" s="133"/>
    </row>
    <row r="116" spans="1:12" ht="14.25" x14ac:dyDescent="0.2">
      <c r="A116" s="141" t="s">
        <v>48</v>
      </c>
      <c r="B116" s="136">
        <f t="shared" ref="B116:J116" si="2">B103-B$110</f>
        <v>3.1854598157066647</v>
      </c>
      <c r="C116" s="136">
        <f t="shared" si="2"/>
        <v>2.5080311505869135</v>
      </c>
      <c r="D116" s="136">
        <f t="shared" si="2"/>
        <v>1.6222269588361717</v>
      </c>
      <c r="E116" s="136">
        <f t="shared" si="2"/>
        <v>0.92053204130686073</v>
      </c>
      <c r="F116" s="136">
        <f t="shared" si="2"/>
        <v>1.3265829483938072</v>
      </c>
      <c r="G116" s="136">
        <f t="shared" si="2"/>
        <v>1.1063684779288465</v>
      </c>
      <c r="H116" s="136">
        <f t="shared" si="2"/>
        <v>0.35356422031516299</v>
      </c>
      <c r="I116" s="136">
        <f t="shared" si="2"/>
        <v>0.98679303788219563</v>
      </c>
      <c r="J116" s="136">
        <f t="shared" si="2"/>
        <v>1.4363062292712581</v>
      </c>
      <c r="K116" s="133"/>
      <c r="L116" s="133"/>
    </row>
    <row r="117" spans="1:12" ht="14.25" x14ac:dyDescent="0.2">
      <c r="A117" s="141" t="s">
        <v>49</v>
      </c>
      <c r="B117" s="136">
        <f t="shared" ref="B117:J117" si="3">B104-B$110</f>
        <v>0.97508390518033217</v>
      </c>
      <c r="C117" s="136">
        <f t="shared" si="3"/>
        <v>0.97678577969800973</v>
      </c>
      <c r="D117" s="136">
        <f t="shared" si="3"/>
        <v>0.5668270517770102</v>
      </c>
      <c r="E117" s="136">
        <f t="shared" si="3"/>
        <v>0.81660474318500498</v>
      </c>
      <c r="F117" s="136">
        <f t="shared" si="3"/>
        <v>1.4668666357291089</v>
      </c>
      <c r="G117" s="136">
        <f t="shared" si="3"/>
        <v>0.43361807114149364</v>
      </c>
      <c r="H117" s="136">
        <f t="shared" si="3"/>
        <v>0.28035832817214867</v>
      </c>
      <c r="I117" s="136">
        <f t="shared" si="3"/>
        <v>0.62209709152421233</v>
      </c>
      <c r="J117" s="136">
        <f t="shared" si="3"/>
        <v>0.44760985673779441</v>
      </c>
      <c r="K117" s="133"/>
      <c r="L117" s="133"/>
    </row>
    <row r="118" spans="1:12" ht="14.25" x14ac:dyDescent="0.2">
      <c r="A118" s="141" t="s">
        <v>50</v>
      </c>
      <c r="B118" s="136">
        <f t="shared" ref="B118:I118" si="4">B105-B$110</f>
        <v>10.305181475803549</v>
      </c>
      <c r="C118" s="136">
        <f t="shared" si="4"/>
        <v>9.4384780649198561</v>
      </c>
      <c r="D118" s="136">
        <f t="shared" si="4"/>
        <v>6.5966881638876895</v>
      </c>
      <c r="E118" s="136">
        <f t="shared" si="4"/>
        <v>7.0348015776754309</v>
      </c>
      <c r="F118" s="136">
        <f t="shared" si="4"/>
        <v>8.4531736404097337</v>
      </c>
      <c r="G118" s="136">
        <f>G105-G$110</f>
        <v>10.776713669743762</v>
      </c>
      <c r="H118" s="136">
        <f t="shared" si="4"/>
        <v>7.1297053162570467</v>
      </c>
      <c r="I118" s="136">
        <f t="shared" si="4"/>
        <v>7.1399249926574058</v>
      </c>
      <c r="J118" s="136">
        <f>J105-J$110</f>
        <v>5.8609464837811025</v>
      </c>
      <c r="K118" s="133"/>
      <c r="L118" s="133"/>
    </row>
    <row r="119" spans="1:12" ht="14.25" x14ac:dyDescent="0.2">
      <c r="A119" s="133"/>
      <c r="B119" s="133"/>
      <c r="C119" s="133"/>
      <c r="D119" s="133"/>
      <c r="E119" s="133"/>
      <c r="F119" s="133"/>
      <c r="G119" s="133"/>
      <c r="H119" s="133"/>
      <c r="I119" s="133"/>
      <c r="J119" s="133"/>
      <c r="K119" s="133"/>
      <c r="L119" s="133"/>
    </row>
    <row r="120" spans="1:12" ht="14.25" x14ac:dyDescent="0.2">
      <c r="A120" s="133"/>
      <c r="B120" s="133"/>
      <c r="C120" s="133"/>
      <c r="D120" s="133"/>
      <c r="E120" s="133"/>
      <c r="F120" s="133"/>
      <c r="G120" s="133"/>
      <c r="H120" s="133"/>
      <c r="I120" s="133"/>
      <c r="J120" s="133"/>
      <c r="K120" s="133"/>
      <c r="L120" s="133"/>
    </row>
    <row r="121" spans="1:12" ht="14.25" x14ac:dyDescent="0.2">
      <c r="A121" s="133"/>
      <c r="B121" s="133"/>
      <c r="C121" s="133"/>
      <c r="D121" s="133"/>
      <c r="E121" s="133"/>
      <c r="F121" s="133"/>
      <c r="G121" s="133"/>
      <c r="H121" s="133"/>
      <c r="I121" s="133"/>
      <c r="J121" s="133"/>
      <c r="K121" s="133"/>
      <c r="L121" s="133"/>
    </row>
    <row r="122" spans="1:12" ht="15" x14ac:dyDescent="0.25">
      <c r="A122" s="133"/>
      <c r="B122" s="320" t="s">
        <v>1246</v>
      </c>
      <c r="C122" s="320"/>
      <c r="D122" s="320"/>
      <c r="E122" s="320"/>
      <c r="F122" s="320"/>
      <c r="G122" s="320"/>
      <c r="H122" s="320"/>
      <c r="I122" s="320"/>
      <c r="J122" s="320"/>
      <c r="K122" s="320"/>
      <c r="L122" s="320"/>
    </row>
    <row r="123" spans="1:12" ht="14.25" x14ac:dyDescent="0.2">
      <c r="A123" s="132" t="s">
        <v>160</v>
      </c>
      <c r="B123" s="140">
        <v>2005</v>
      </c>
      <c r="C123" s="140">
        <v>2010</v>
      </c>
      <c r="D123" s="140">
        <v>2015</v>
      </c>
      <c r="E123" s="140">
        <v>2020</v>
      </c>
      <c r="F123" s="140">
        <v>2025</v>
      </c>
      <c r="G123" s="140">
        <v>2030</v>
      </c>
      <c r="H123" s="140">
        <v>2035</v>
      </c>
      <c r="I123" s="140">
        <v>2040</v>
      </c>
      <c r="J123" s="140">
        <v>2045</v>
      </c>
      <c r="K123" s="140">
        <v>2050</v>
      </c>
      <c r="L123" s="140">
        <v>2055</v>
      </c>
    </row>
    <row r="124" spans="1:12" ht="14.25" x14ac:dyDescent="0.2">
      <c r="A124" s="133" t="str">
        <f>A114</f>
        <v xml:space="preserve"> Residential</v>
      </c>
      <c r="B124" s="144">
        <f>B8/C8</f>
        <v>1.0553185686820608</v>
      </c>
      <c r="C124" s="144">
        <v>1</v>
      </c>
      <c r="D124" s="144">
        <f t="shared" ref="D124:I124" si="5">D8/$C$8</f>
        <v>0.89329414832120502</v>
      </c>
      <c r="E124" s="144">
        <f t="shared" si="5"/>
        <v>0.9229550268126413</v>
      </c>
      <c r="F124" s="144">
        <f t="shared" si="5"/>
        <v>1.0286322617541817</v>
      </c>
      <c r="G124" s="144">
        <f t="shared" si="5"/>
        <v>1.1581528231743221</v>
      </c>
      <c r="H124" s="144">
        <f t="shared" si="5"/>
        <v>1.1781469550490486</v>
      </c>
      <c r="I124" s="144">
        <f t="shared" si="5"/>
        <v>1.2997264298437015</v>
      </c>
      <c r="J124" s="144">
        <f t="shared" ref="J124:L128" si="6">I124</f>
        <v>1.2997264298437015</v>
      </c>
      <c r="K124" s="144">
        <f t="shared" si="6"/>
        <v>1.2997264298437015</v>
      </c>
      <c r="L124" s="144">
        <f t="shared" si="6"/>
        <v>1.2997264298437015</v>
      </c>
    </row>
    <row r="125" spans="1:12" ht="14.25" x14ac:dyDescent="0.2">
      <c r="A125" s="133" t="str">
        <f>A115</f>
        <v xml:space="preserve"> Commercial</v>
      </c>
      <c r="B125" s="144">
        <f>B20/C20</f>
        <v>1.2029373284054303</v>
      </c>
      <c r="C125" s="144">
        <v>1</v>
      </c>
      <c r="D125" s="144">
        <f>D20/$C$20</f>
        <v>0.89140151401863088</v>
      </c>
      <c r="E125" s="144">
        <f t="shared" ref="E125:I125" si="7">E20/$C$20</f>
        <v>0.91656566455675381</v>
      </c>
      <c r="F125" s="144">
        <f t="shared" si="7"/>
        <v>1.0281145318757221</v>
      </c>
      <c r="G125" s="144">
        <f t="shared" si="7"/>
        <v>1.1617911276659361</v>
      </c>
      <c r="H125" s="144">
        <f t="shared" si="7"/>
        <v>1.1508179964929413</v>
      </c>
      <c r="I125" s="144">
        <f t="shared" si="7"/>
        <v>1.269983617178571</v>
      </c>
      <c r="J125" s="144">
        <f t="shared" si="6"/>
        <v>1.269983617178571</v>
      </c>
      <c r="K125" s="144">
        <f t="shared" si="6"/>
        <v>1.269983617178571</v>
      </c>
      <c r="L125" s="144">
        <f t="shared" si="6"/>
        <v>1.269983617178571</v>
      </c>
    </row>
    <row r="126" spans="1:12" ht="14.25" x14ac:dyDescent="0.2">
      <c r="A126" s="133" t="str">
        <f>A116</f>
        <v xml:space="preserve"> Industrial</v>
      </c>
      <c r="B126" s="144">
        <f>B32/C32</f>
        <v>1.3203341945466265</v>
      </c>
      <c r="C126" s="144">
        <v>1</v>
      </c>
      <c r="D126" s="144">
        <f t="shared" ref="D126:I126" si="8">D32/$C$32</f>
        <v>0.83870151125561354</v>
      </c>
      <c r="E126" s="144">
        <f t="shared" si="8"/>
        <v>0.90811717663102198</v>
      </c>
      <c r="F126" s="144">
        <f t="shared" si="8"/>
        <v>1.0594938080201641</v>
      </c>
      <c r="G126" s="144">
        <f t="shared" si="8"/>
        <v>1.2464081742825195</v>
      </c>
      <c r="H126" s="144">
        <f t="shared" si="8"/>
        <v>1.22227802916746</v>
      </c>
      <c r="I126" s="144">
        <f t="shared" si="8"/>
        <v>1.378234026418053</v>
      </c>
      <c r="J126" s="144">
        <f t="shared" si="6"/>
        <v>1.378234026418053</v>
      </c>
      <c r="K126" s="144">
        <f t="shared" si="6"/>
        <v>1.378234026418053</v>
      </c>
      <c r="L126" s="144">
        <f t="shared" si="6"/>
        <v>1.378234026418053</v>
      </c>
    </row>
    <row r="127" spans="1:12" ht="14.25" x14ac:dyDescent="0.2">
      <c r="A127" s="133" t="str">
        <f>A117</f>
        <v xml:space="preserve"> Electric Power</v>
      </c>
      <c r="B127" s="144">
        <f>B44/C44</f>
        <v>1.7336545612197563</v>
      </c>
      <c r="C127" s="144">
        <v>1</v>
      </c>
      <c r="D127" s="144">
        <f t="shared" ref="D127:I127" si="9">D44/$C$44</f>
        <v>0.79309383101547215</v>
      </c>
      <c r="E127" s="144">
        <f t="shared" si="9"/>
        <v>0.87298504718052639</v>
      </c>
      <c r="F127" s="144">
        <f t="shared" si="9"/>
        <v>1.0986175763235608</v>
      </c>
      <c r="G127" s="144">
        <f t="shared" si="9"/>
        <v>1.3575622252910697</v>
      </c>
      <c r="H127" s="144">
        <f t="shared" si="9"/>
        <v>1.3130446853850342</v>
      </c>
      <c r="I127" s="144">
        <f t="shared" si="9"/>
        <v>1.5095073177591323</v>
      </c>
      <c r="J127" s="144">
        <f t="shared" si="6"/>
        <v>1.5095073177591323</v>
      </c>
      <c r="K127" s="144">
        <f t="shared" si="6"/>
        <v>1.5095073177591323</v>
      </c>
      <c r="L127" s="144">
        <f t="shared" si="6"/>
        <v>1.5095073177591323</v>
      </c>
    </row>
    <row r="128" spans="1:12" ht="14.25" x14ac:dyDescent="0.2">
      <c r="A128" s="133" t="str">
        <f>A118</f>
        <v xml:space="preserve"> Transportation</v>
      </c>
      <c r="B128" s="144">
        <f>B56/C56</f>
        <v>0.95717139356725944</v>
      </c>
      <c r="C128" s="144">
        <v>1</v>
      </c>
      <c r="D128" s="144">
        <f t="shared" ref="D128:I128" si="10">D56/$C$56</f>
        <v>0.82462394310640497</v>
      </c>
      <c r="E128" s="144">
        <f t="shared" si="10"/>
        <v>0.83251732515266819</v>
      </c>
      <c r="F128" s="144">
        <f t="shared" si="10"/>
        <v>0.91432118731988876</v>
      </c>
      <c r="G128" s="144">
        <f t="shared" si="10"/>
        <v>1.0614217933947934</v>
      </c>
      <c r="H128" s="144">
        <f t="shared" si="10"/>
        <v>1.0971019843112169</v>
      </c>
      <c r="I128" s="144">
        <f t="shared" si="10"/>
        <v>1.2086483666575627</v>
      </c>
      <c r="J128" s="144">
        <f t="shared" si="6"/>
        <v>1.2086483666575627</v>
      </c>
      <c r="K128" s="144">
        <f t="shared" si="6"/>
        <v>1.2086483666575627</v>
      </c>
      <c r="L128" s="144">
        <f t="shared" si="6"/>
        <v>1.2086483666575627</v>
      </c>
    </row>
    <row r="129" spans="1:12" ht="14.25" x14ac:dyDescent="0.2">
      <c r="A129" s="132" t="s">
        <v>168</v>
      </c>
      <c r="B129" s="140">
        <v>2005</v>
      </c>
      <c r="C129" s="140">
        <v>2010</v>
      </c>
      <c r="D129" s="140">
        <v>2015</v>
      </c>
      <c r="E129" s="140">
        <v>2020</v>
      </c>
      <c r="F129" s="140">
        <v>2025</v>
      </c>
      <c r="G129" s="140">
        <v>2030</v>
      </c>
      <c r="H129" s="140">
        <v>2035</v>
      </c>
      <c r="I129" s="140">
        <v>2040</v>
      </c>
      <c r="J129" s="140">
        <v>2045</v>
      </c>
      <c r="K129" s="140">
        <v>2050</v>
      </c>
      <c r="L129" s="140">
        <v>2055</v>
      </c>
    </row>
    <row r="130" spans="1:12" ht="14.25" x14ac:dyDescent="0.2">
      <c r="A130" s="133" t="str">
        <f>A124</f>
        <v xml:space="preserve"> Residential</v>
      </c>
      <c r="B130" s="144">
        <f>B9/C9</f>
        <v>1.0442650092775212</v>
      </c>
      <c r="C130" s="144">
        <v>1</v>
      </c>
      <c r="D130" s="144">
        <f t="shared" ref="D130:I130" si="11">D9/$C$9</f>
        <v>0.87886411740508896</v>
      </c>
      <c r="E130" s="144">
        <f t="shared" si="11"/>
        <v>0.89124216868608686</v>
      </c>
      <c r="F130" s="144">
        <f t="shared" si="11"/>
        <v>1.0144641192806076</v>
      </c>
      <c r="G130" s="144">
        <f t="shared" si="11"/>
        <v>1.1567278688607556</v>
      </c>
      <c r="H130" s="144">
        <f t="shared" si="11"/>
        <v>1.1438641922025607</v>
      </c>
      <c r="I130" s="144">
        <f t="shared" si="11"/>
        <v>1.2912628440469733</v>
      </c>
      <c r="J130" s="144">
        <f t="shared" ref="J130:L134" si="12">I130</f>
        <v>1.2912628440469733</v>
      </c>
      <c r="K130" s="144">
        <f t="shared" si="12"/>
        <v>1.2912628440469733</v>
      </c>
      <c r="L130" s="144">
        <f t="shared" si="12"/>
        <v>1.2912628440469733</v>
      </c>
    </row>
    <row r="131" spans="1:12" ht="14.25" x14ac:dyDescent="0.2">
      <c r="A131" s="133" t="str">
        <f>A125</f>
        <v xml:space="preserve"> Commercial</v>
      </c>
      <c r="B131" s="144">
        <f>B21/C21</f>
        <v>1.2919569905463637</v>
      </c>
      <c r="C131" s="144">
        <v>1</v>
      </c>
      <c r="D131" s="144">
        <f t="shared" ref="D131:I131" si="13">D21/$C$21</f>
        <v>0.84804993518459126</v>
      </c>
      <c r="E131" s="144">
        <f t="shared" si="13"/>
        <v>0.86251570892694673</v>
      </c>
      <c r="F131" s="144">
        <f t="shared" si="13"/>
        <v>1.0076655010187539</v>
      </c>
      <c r="G131" s="144">
        <f t="shared" si="13"/>
        <v>1.1784561816953683</v>
      </c>
      <c r="H131" s="144">
        <f t="shared" si="13"/>
        <v>1.1362083738182174</v>
      </c>
      <c r="I131" s="144">
        <f t="shared" si="13"/>
        <v>1.2949665311759342</v>
      </c>
      <c r="J131" s="144">
        <f t="shared" si="12"/>
        <v>1.2949665311759342</v>
      </c>
      <c r="K131" s="144">
        <f t="shared" si="12"/>
        <v>1.2949665311759342</v>
      </c>
      <c r="L131" s="144">
        <f t="shared" si="12"/>
        <v>1.2949665311759342</v>
      </c>
    </row>
    <row r="132" spans="1:12" ht="14.25" x14ac:dyDescent="0.2">
      <c r="A132" s="133" t="str">
        <f>A126</f>
        <v xml:space="preserve"> Industrial</v>
      </c>
      <c r="B132" s="144">
        <f>B33/C33</f>
        <v>1.3497330280852502</v>
      </c>
      <c r="C132" s="144">
        <v>1</v>
      </c>
      <c r="D132" s="144">
        <f t="shared" ref="D132:I132" si="14">D33/$C$33</f>
        <v>0.72494394379104932</v>
      </c>
      <c r="E132" s="144">
        <f t="shared" si="14"/>
        <v>0.7868988340715849</v>
      </c>
      <c r="F132" s="144">
        <f t="shared" si="14"/>
        <v>0.97446484394888233</v>
      </c>
      <c r="G132" s="144">
        <f t="shared" si="14"/>
        <v>1.2061414388269436</v>
      </c>
      <c r="H132" s="144">
        <f t="shared" si="14"/>
        <v>1.1417497411876516</v>
      </c>
      <c r="I132" s="144">
        <f t="shared" si="14"/>
        <v>1.3448964920319737</v>
      </c>
      <c r="J132" s="144">
        <f t="shared" si="12"/>
        <v>1.3448964920319737</v>
      </c>
      <c r="K132" s="144">
        <f t="shared" si="12"/>
        <v>1.3448964920319737</v>
      </c>
      <c r="L132" s="144">
        <f t="shared" si="12"/>
        <v>1.3448964920319737</v>
      </c>
    </row>
    <row r="133" spans="1:12" ht="14.25" x14ac:dyDescent="0.2">
      <c r="A133" s="133" t="str">
        <f>A127</f>
        <v xml:space="preserve"> Electric Power</v>
      </c>
      <c r="B133" s="144">
        <f>B45/C45</f>
        <v>1.7227189155876343</v>
      </c>
      <c r="C133" s="144">
        <v>1</v>
      </c>
      <c r="D133" s="144">
        <f t="shared" ref="D133:I133" si="15">D45/$C$45</f>
        <v>0.7809118693973236</v>
      </c>
      <c r="E133" s="144">
        <f t="shared" si="15"/>
        <v>0.85232750366340537</v>
      </c>
      <c r="F133" s="144">
        <f t="shared" si="15"/>
        <v>1.0939509612800897</v>
      </c>
      <c r="G133" s="144">
        <f t="shared" si="15"/>
        <v>1.3774196902789235</v>
      </c>
      <c r="H133" s="144">
        <f t="shared" si="15"/>
        <v>1.328296627792789</v>
      </c>
      <c r="I133" s="144">
        <f t="shared" si="15"/>
        <v>1.5815761212471384</v>
      </c>
      <c r="J133" s="144">
        <f t="shared" si="12"/>
        <v>1.5815761212471384</v>
      </c>
      <c r="K133" s="144">
        <f t="shared" si="12"/>
        <v>1.5815761212471384</v>
      </c>
      <c r="L133" s="144">
        <f t="shared" si="12"/>
        <v>1.5815761212471384</v>
      </c>
    </row>
    <row r="134" spans="1:12" ht="14.25" x14ac:dyDescent="0.2">
      <c r="A134" s="133" t="str">
        <f>A128</f>
        <v xml:space="preserve"> Transportation</v>
      </c>
      <c r="B134" s="144">
        <f>B57/C57</f>
        <v>1.0928785742900184</v>
      </c>
      <c r="C134" s="144">
        <v>1</v>
      </c>
      <c r="D134" s="144">
        <f t="shared" ref="D134:I134" si="16">D57/$C$57</f>
        <v>0.76176825214787947</v>
      </c>
      <c r="E134" s="144">
        <f t="shared" si="16"/>
        <v>0.75359964442697147</v>
      </c>
      <c r="F134" s="144">
        <f t="shared" si="16"/>
        <v>0.84961911779857791</v>
      </c>
      <c r="G134" s="144">
        <f t="shared" si="16"/>
        <v>1.0177359241543431</v>
      </c>
      <c r="H134" s="144">
        <f t="shared" si="16"/>
        <v>1.0508868347007556</v>
      </c>
      <c r="I134" s="144">
        <f t="shared" si="16"/>
        <v>1.2089833898689144</v>
      </c>
      <c r="J134" s="144">
        <f t="shared" si="12"/>
        <v>1.2089833898689144</v>
      </c>
      <c r="K134" s="144">
        <f t="shared" si="12"/>
        <v>1.2089833898689144</v>
      </c>
      <c r="L134" s="144">
        <f t="shared" si="12"/>
        <v>1.2089833898689144</v>
      </c>
    </row>
    <row r="135" spans="1:12" ht="14.25" x14ac:dyDescent="0.2">
      <c r="A135" s="132" t="s">
        <v>165</v>
      </c>
      <c r="B135" s="140">
        <v>2005</v>
      </c>
      <c r="C135" s="140">
        <v>2010</v>
      </c>
      <c r="D135" s="140">
        <v>2015</v>
      </c>
      <c r="E135" s="140">
        <v>2020</v>
      </c>
      <c r="F135" s="140">
        <v>2025</v>
      </c>
      <c r="G135" s="140">
        <v>2030</v>
      </c>
      <c r="H135" s="140">
        <v>2035</v>
      </c>
      <c r="I135" s="140">
        <v>2040</v>
      </c>
      <c r="J135" s="140">
        <v>2045</v>
      </c>
      <c r="K135" s="140">
        <v>2050</v>
      </c>
      <c r="L135" s="140">
        <v>2055</v>
      </c>
    </row>
    <row r="136" spans="1:12" ht="14.25" x14ac:dyDescent="0.2">
      <c r="A136" s="133" t="str">
        <f>A130</f>
        <v xml:space="preserve"> Residential</v>
      </c>
      <c r="B136" s="144">
        <f>B10/C10</f>
        <v>1.1463944503864509</v>
      </c>
      <c r="C136" s="144">
        <v>1</v>
      </c>
      <c r="D136" s="144">
        <f t="shared" ref="D136:I136" si="17">D10/$C$10</f>
        <v>0.97758448848715784</v>
      </c>
      <c r="E136" s="144">
        <f t="shared" si="17"/>
        <v>1.0391873895412731</v>
      </c>
      <c r="F136" s="144">
        <f t="shared" si="17"/>
        <v>1.0893171062652194</v>
      </c>
      <c r="G136" s="144">
        <f t="shared" si="17"/>
        <v>1.1590977306248145</v>
      </c>
      <c r="H136" s="144">
        <f t="shared" si="17"/>
        <v>1.2617372192572049</v>
      </c>
      <c r="I136" s="144">
        <f t="shared" si="17"/>
        <v>1.3845981793790556</v>
      </c>
      <c r="J136" s="144">
        <f t="shared" ref="J136:L140" si="18">I136</f>
        <v>1.3845981793790556</v>
      </c>
      <c r="K136" s="144">
        <f t="shared" si="18"/>
        <v>1.3845981793790556</v>
      </c>
      <c r="L136" s="144">
        <f t="shared" si="18"/>
        <v>1.3845981793790556</v>
      </c>
    </row>
    <row r="137" spans="1:12" ht="14.25" x14ac:dyDescent="0.2">
      <c r="A137" s="133" t="str">
        <f>A131</f>
        <v xml:space="preserve"> Commercial</v>
      </c>
      <c r="B137" s="144">
        <f>B22/C22</f>
        <v>1.2367141105059827</v>
      </c>
      <c r="C137" s="144">
        <v>1</v>
      </c>
      <c r="D137" s="144">
        <f t="shared" ref="D137:I137" si="19">D22/$C$22</f>
        <v>0.98467997779547867</v>
      </c>
      <c r="E137" s="144">
        <f t="shared" si="19"/>
        <v>1.0596848247461523</v>
      </c>
      <c r="F137" s="144">
        <f t="shared" si="19"/>
        <v>1.1058447137601273</v>
      </c>
      <c r="G137" s="144">
        <f t="shared" si="19"/>
        <v>1.1717396940568152</v>
      </c>
      <c r="H137" s="144">
        <f t="shared" si="19"/>
        <v>1.2728673188406459</v>
      </c>
      <c r="I137" s="144">
        <f t="shared" si="19"/>
        <v>1.3968680925237158</v>
      </c>
      <c r="J137" s="144">
        <f t="shared" si="18"/>
        <v>1.3968680925237158</v>
      </c>
      <c r="K137" s="144">
        <f t="shared" si="18"/>
        <v>1.3968680925237158</v>
      </c>
      <c r="L137" s="144">
        <f t="shared" si="18"/>
        <v>1.3968680925237158</v>
      </c>
    </row>
    <row r="138" spans="1:12" ht="14.25" x14ac:dyDescent="0.2">
      <c r="A138" s="133" t="str">
        <f>A132</f>
        <v xml:space="preserve"> Industrial</v>
      </c>
      <c r="B138" s="144">
        <f>B34/C34</f>
        <v>1.3891543713799628</v>
      </c>
      <c r="C138" s="144">
        <v>1</v>
      </c>
      <c r="D138" s="144">
        <f t="shared" ref="D138:I138" si="20">D34/$C$34</f>
        <v>0.92132043162170441</v>
      </c>
      <c r="E138" s="144">
        <f t="shared" si="20"/>
        <v>1.0582889158004476</v>
      </c>
      <c r="F138" s="144">
        <f t="shared" si="20"/>
        <v>1.1085916233260182</v>
      </c>
      <c r="G138" s="144">
        <f t="shared" si="20"/>
        <v>1.1887959336835425</v>
      </c>
      <c r="H138" s="144">
        <f t="shared" si="20"/>
        <v>1.315147285355905</v>
      </c>
      <c r="I138" s="144">
        <f t="shared" si="20"/>
        <v>1.4748643244108686</v>
      </c>
      <c r="J138" s="144">
        <f t="shared" si="18"/>
        <v>1.4748643244108686</v>
      </c>
      <c r="K138" s="144">
        <f t="shared" si="18"/>
        <v>1.4748643244108686</v>
      </c>
      <c r="L138" s="144">
        <f t="shared" si="18"/>
        <v>1.4748643244108686</v>
      </c>
    </row>
    <row r="139" spans="1:12" ht="14.25" x14ac:dyDescent="0.2">
      <c r="A139" s="133" t="str">
        <f>A133</f>
        <v xml:space="preserve"> Electric Power</v>
      </c>
      <c r="B139" s="144">
        <f>B46/C46</f>
        <v>1.4317480141207646</v>
      </c>
      <c r="C139" s="144">
        <v>1</v>
      </c>
      <c r="D139" s="144">
        <f t="shared" ref="D139:I139" si="21">D46/$C$46</f>
        <v>0.84062259195104971</v>
      </c>
      <c r="E139" s="144">
        <f t="shared" si="21"/>
        <v>1.0010473191927465</v>
      </c>
      <c r="F139" s="144">
        <f t="shared" si="21"/>
        <v>1.1056192368555218</v>
      </c>
      <c r="G139" s="144">
        <f t="shared" si="21"/>
        <v>1.2469808584738336</v>
      </c>
      <c r="H139" s="144">
        <f t="shared" si="21"/>
        <v>1.4263298257424422</v>
      </c>
      <c r="I139" s="144">
        <f t="shared" si="21"/>
        <v>1.6486301392863416</v>
      </c>
      <c r="J139" s="144">
        <f t="shared" si="18"/>
        <v>1.6486301392863416</v>
      </c>
      <c r="K139" s="144">
        <f t="shared" si="18"/>
        <v>1.6486301392863416</v>
      </c>
      <c r="L139" s="144">
        <f t="shared" si="18"/>
        <v>1.6486301392863416</v>
      </c>
    </row>
    <row r="140" spans="1:12" ht="14.25" x14ac:dyDescent="0.2">
      <c r="A140" s="133" t="str">
        <f>A134</f>
        <v xml:space="preserve"> Transportation</v>
      </c>
      <c r="B140" s="144">
        <f>B58/C58</f>
        <v>1.2167021875401483</v>
      </c>
      <c r="C140" s="144">
        <v>1</v>
      </c>
      <c r="D140" s="144">
        <f t="shared" ref="D140:I140" si="22">D58/$C$58</f>
        <v>1.4945152664869448</v>
      </c>
      <c r="E140" s="144">
        <f t="shared" si="22"/>
        <v>1.509052622203769</v>
      </c>
      <c r="F140" s="144">
        <f t="shared" si="22"/>
        <v>1.4299447081625041</v>
      </c>
      <c r="G140" s="144">
        <f t="shared" si="22"/>
        <v>1.4662427058226044</v>
      </c>
      <c r="H140" s="144">
        <f t="shared" si="22"/>
        <v>1.5626319386164336</v>
      </c>
      <c r="I140" s="144">
        <f t="shared" si="22"/>
        <v>1.6806649984593858</v>
      </c>
      <c r="J140" s="144">
        <f t="shared" si="18"/>
        <v>1.6806649984593858</v>
      </c>
      <c r="K140" s="144">
        <f t="shared" si="18"/>
        <v>1.6806649984593858</v>
      </c>
      <c r="L140" s="144">
        <f t="shared" si="18"/>
        <v>1.6806649984593858</v>
      </c>
    </row>
    <row r="141" spans="1:12" ht="14.25" x14ac:dyDescent="0.2">
      <c r="A141" s="132" t="s">
        <v>196</v>
      </c>
      <c r="B141" s="140">
        <v>2005</v>
      </c>
      <c r="C141" s="140">
        <v>2010</v>
      </c>
      <c r="D141" s="140">
        <v>2015</v>
      </c>
      <c r="E141" s="140">
        <v>2020</v>
      </c>
      <c r="F141" s="140">
        <v>2025</v>
      </c>
      <c r="G141" s="140">
        <v>2030</v>
      </c>
      <c r="H141" s="140">
        <v>2035</v>
      </c>
      <c r="I141" s="140">
        <v>2040</v>
      </c>
      <c r="J141" s="140">
        <v>2045</v>
      </c>
      <c r="K141" s="140">
        <v>2050</v>
      </c>
      <c r="L141" s="140">
        <v>2055</v>
      </c>
    </row>
    <row r="142" spans="1:12" ht="14.25" x14ac:dyDescent="0.2">
      <c r="A142" s="133" t="str">
        <f>A136</f>
        <v xml:space="preserve"> Residential</v>
      </c>
      <c r="B142" s="144">
        <f>B11/C11</f>
        <v>1.1951161438366564</v>
      </c>
      <c r="C142" s="144">
        <v>1</v>
      </c>
      <c r="D142" s="144">
        <f t="shared" ref="D142:I142" si="23">D11/$C$11</f>
        <v>1.0197145803022651</v>
      </c>
      <c r="E142" s="144">
        <f t="shared" si="23"/>
        <v>1.0927593891580525</v>
      </c>
      <c r="F142" s="144">
        <f t="shared" si="23"/>
        <v>1.1571725344522885</v>
      </c>
      <c r="G142" s="144">
        <f t="shared" si="23"/>
        <v>1.2365913663640846</v>
      </c>
      <c r="H142" s="144">
        <f t="shared" si="23"/>
        <v>1.3533515823005815</v>
      </c>
      <c r="I142" s="144">
        <f t="shared" si="23"/>
        <v>1.4619399144602301</v>
      </c>
      <c r="J142" s="144">
        <f t="shared" ref="J142:L146" si="24">I142</f>
        <v>1.4619399144602301</v>
      </c>
      <c r="K142" s="144">
        <f t="shared" si="24"/>
        <v>1.4619399144602301</v>
      </c>
      <c r="L142" s="144">
        <f t="shared" si="24"/>
        <v>1.4619399144602301</v>
      </c>
    </row>
    <row r="143" spans="1:12" ht="14.25" x14ac:dyDescent="0.2">
      <c r="A143" s="133" t="str">
        <f>A137</f>
        <v xml:space="preserve"> Commercial</v>
      </c>
      <c r="B143" s="144">
        <f>B23/C23</f>
        <v>1.2764198309246901</v>
      </c>
      <c r="C143" s="144">
        <v>1</v>
      </c>
      <c r="D143" s="144">
        <f t="shared" ref="D143:I143" si="25">D23/$C$23</f>
        <v>0.97347219865802181</v>
      </c>
      <c r="E143" s="144">
        <f t="shared" si="25"/>
        <v>1.0563889527210266</v>
      </c>
      <c r="F143" s="144">
        <f t="shared" si="25"/>
        <v>1.1150945944559343</v>
      </c>
      <c r="G143" s="144">
        <f t="shared" si="25"/>
        <v>1.1889635307309387</v>
      </c>
      <c r="H143" s="144">
        <f t="shared" si="25"/>
        <v>1.3049591724873224</v>
      </c>
      <c r="I143" s="144">
        <f t="shared" si="25"/>
        <v>1.4110578500524615</v>
      </c>
      <c r="J143" s="144">
        <f t="shared" si="24"/>
        <v>1.4110578500524615</v>
      </c>
      <c r="K143" s="144">
        <f t="shared" si="24"/>
        <v>1.4110578500524615</v>
      </c>
      <c r="L143" s="144">
        <f t="shared" si="24"/>
        <v>1.4110578500524615</v>
      </c>
    </row>
    <row r="144" spans="1:12" ht="14.25" x14ac:dyDescent="0.2">
      <c r="A144" s="133" t="str">
        <f>A138</f>
        <v xml:space="preserve"> Industrial</v>
      </c>
      <c r="B144" s="144">
        <f>B35/C35</f>
        <v>1.4769087973722175</v>
      </c>
      <c r="C144" s="144">
        <v>1</v>
      </c>
      <c r="D144" s="144">
        <f t="shared" ref="D144:I144" si="26">D35/$C$35</f>
        <v>0.91872749364609629</v>
      </c>
      <c r="E144" s="144">
        <f t="shared" si="26"/>
        <v>1.094625508681677</v>
      </c>
      <c r="F144" s="144">
        <f t="shared" si="26"/>
        <v>1.1727933444033751</v>
      </c>
      <c r="G144" s="144">
        <f t="shared" si="26"/>
        <v>1.2742909010713668</v>
      </c>
      <c r="H144" s="144">
        <f t="shared" si="26"/>
        <v>1.4392946596928931</v>
      </c>
      <c r="I144" s="144">
        <f t="shared" si="26"/>
        <v>1.5885570815220473</v>
      </c>
      <c r="J144" s="144">
        <f t="shared" si="24"/>
        <v>1.5885570815220473</v>
      </c>
      <c r="K144" s="144">
        <f t="shared" si="24"/>
        <v>1.5885570815220473</v>
      </c>
      <c r="L144" s="144">
        <f t="shared" si="24"/>
        <v>1.5885570815220473</v>
      </c>
    </row>
    <row r="145" spans="1:12" ht="14.25" x14ac:dyDescent="0.2">
      <c r="A145" s="133" t="str">
        <f>A139</f>
        <v xml:space="preserve"> Electric Power</v>
      </c>
      <c r="B145" s="144">
        <f>B47/C47</f>
        <v>1.4778390821609755</v>
      </c>
      <c r="C145" s="144">
        <v>1</v>
      </c>
      <c r="D145" s="144">
        <f t="shared" ref="D145:I145" si="27">D47/$C$47</f>
        <v>0.81037831442663144</v>
      </c>
      <c r="E145" s="144">
        <f t="shared" si="27"/>
        <v>0.98956309003745269</v>
      </c>
      <c r="F145" s="144">
        <f t="shared" si="27"/>
        <v>1.0940047809478668</v>
      </c>
      <c r="G145" s="144">
        <f t="shared" si="27"/>
        <v>1.2439908785038358</v>
      </c>
      <c r="H145" s="144">
        <f t="shared" si="27"/>
        <v>1.4360394269580521</v>
      </c>
      <c r="I145" s="144">
        <f t="shared" si="27"/>
        <v>1.6166614726886952</v>
      </c>
      <c r="J145" s="144">
        <f t="shared" si="24"/>
        <v>1.6166614726886952</v>
      </c>
      <c r="K145" s="144">
        <f t="shared" si="24"/>
        <v>1.6166614726886952</v>
      </c>
      <c r="L145" s="144">
        <f t="shared" si="24"/>
        <v>1.6166614726886952</v>
      </c>
    </row>
    <row r="146" spans="1:12" ht="14.25" x14ac:dyDescent="0.2">
      <c r="A146" s="133" t="str">
        <f>A140</f>
        <v xml:space="preserve"> Transportation</v>
      </c>
      <c r="B146" s="144">
        <f>B59/C59</f>
        <v>1.147859093050128</v>
      </c>
      <c r="C146" s="144">
        <v>1</v>
      </c>
      <c r="D146" s="144">
        <f t="shared" ref="D146:I146" si="28">D59/$C$59</f>
        <v>1.4664049971815356</v>
      </c>
      <c r="E146" s="144">
        <f t="shared" si="28"/>
        <v>1.4586801515335797</v>
      </c>
      <c r="F146" s="144">
        <f t="shared" si="28"/>
        <v>1.3441025705854719</v>
      </c>
      <c r="G146" s="144">
        <f t="shared" si="28"/>
        <v>1.3863134212371735</v>
      </c>
      <c r="H146" s="144">
        <f t="shared" si="28"/>
        <v>1.4965629183381874</v>
      </c>
      <c r="I146" s="144">
        <f t="shared" si="28"/>
        <v>1.6102016393497973</v>
      </c>
      <c r="J146" s="144">
        <f t="shared" si="24"/>
        <v>1.6102016393497973</v>
      </c>
      <c r="K146" s="144">
        <f t="shared" si="24"/>
        <v>1.6102016393497973</v>
      </c>
      <c r="L146" s="144">
        <f t="shared" si="24"/>
        <v>1.6102016393497973</v>
      </c>
    </row>
    <row r="147" spans="1:12" ht="14.25" x14ac:dyDescent="0.2">
      <c r="A147" s="132" t="s">
        <v>195</v>
      </c>
      <c r="B147" s="140">
        <v>2005</v>
      </c>
      <c r="C147" s="140">
        <v>2010</v>
      </c>
      <c r="D147" s="140">
        <v>2015</v>
      </c>
      <c r="E147" s="140">
        <v>2020</v>
      </c>
      <c r="F147" s="140">
        <v>2025</v>
      </c>
      <c r="G147" s="140">
        <v>2030</v>
      </c>
      <c r="H147" s="140">
        <v>2035</v>
      </c>
      <c r="I147" s="140">
        <v>2040</v>
      </c>
      <c r="J147" s="140">
        <v>2045</v>
      </c>
      <c r="K147" s="140">
        <v>2050</v>
      </c>
      <c r="L147" s="140">
        <v>2055</v>
      </c>
    </row>
    <row r="148" spans="1:12" ht="14.25" x14ac:dyDescent="0.2">
      <c r="A148" s="133" t="str">
        <f>A142</f>
        <v xml:space="preserve"> Residential</v>
      </c>
      <c r="B148" s="144">
        <f>B12/C12</f>
        <v>1.145495555680865</v>
      </c>
      <c r="C148" s="144">
        <v>1</v>
      </c>
      <c r="D148" s="144">
        <f t="shared" ref="D148:I148" si="29">D12/$C$12</f>
        <v>1.0053007178716717</v>
      </c>
      <c r="E148" s="144">
        <f t="shared" si="29"/>
        <v>1.0666593570975493</v>
      </c>
      <c r="F148" s="144">
        <f t="shared" si="29"/>
        <v>1.1409513681998813</v>
      </c>
      <c r="G148" s="144">
        <f t="shared" si="29"/>
        <v>1.2154714349599685</v>
      </c>
      <c r="H148" s="144">
        <f t="shared" si="29"/>
        <v>1.3087838821537063</v>
      </c>
      <c r="I148" s="144">
        <f t="shared" si="29"/>
        <v>1.3988431845961629</v>
      </c>
      <c r="J148" s="144">
        <f t="shared" ref="J148:L152" si="30">I148</f>
        <v>1.3988431845961629</v>
      </c>
      <c r="K148" s="144">
        <f t="shared" si="30"/>
        <v>1.3988431845961629</v>
      </c>
      <c r="L148" s="144">
        <f t="shared" si="30"/>
        <v>1.3988431845961629</v>
      </c>
    </row>
    <row r="149" spans="1:12" ht="14.25" x14ac:dyDescent="0.2">
      <c r="A149" s="133" t="str">
        <f>A143</f>
        <v xml:space="preserve"> Commercial</v>
      </c>
      <c r="B149" s="144">
        <f>B24/C24</f>
        <v>1.2548878252032012</v>
      </c>
      <c r="C149" s="144">
        <v>1</v>
      </c>
      <c r="D149" s="144">
        <f t="shared" ref="D149:I149" si="31">D24/$C$24</f>
        <v>1.045913492698441</v>
      </c>
      <c r="E149" s="144">
        <f t="shared" si="31"/>
        <v>1.1179822752125983</v>
      </c>
      <c r="F149" s="144">
        <f t="shared" si="31"/>
        <v>1.1966136157942391</v>
      </c>
      <c r="G149" s="144">
        <f t="shared" si="31"/>
        <v>1.2712738429082153</v>
      </c>
      <c r="H149" s="144">
        <f t="shared" si="31"/>
        <v>1.3677689937708062</v>
      </c>
      <c r="I149" s="144">
        <f t="shared" si="31"/>
        <v>1.4596417065538001</v>
      </c>
      <c r="J149" s="144">
        <f t="shared" si="30"/>
        <v>1.4596417065538001</v>
      </c>
      <c r="K149" s="144">
        <f t="shared" si="30"/>
        <v>1.4596417065538001</v>
      </c>
      <c r="L149" s="144">
        <f t="shared" si="30"/>
        <v>1.4596417065538001</v>
      </c>
    </row>
    <row r="150" spans="1:12" ht="14.25" x14ac:dyDescent="0.2">
      <c r="A150" s="133" t="str">
        <f>A144</f>
        <v xml:space="preserve"> Industrial</v>
      </c>
      <c r="B150" s="144">
        <f>B36/C36</f>
        <v>1.5739366462067546</v>
      </c>
      <c r="C150" s="144">
        <v>1</v>
      </c>
      <c r="D150" s="144">
        <f t="shared" ref="D150:I150" si="32">D36/$C$36</f>
        <v>1.0325661070157386</v>
      </c>
      <c r="E150" s="144">
        <f t="shared" si="32"/>
        <v>1.1861843593414039</v>
      </c>
      <c r="F150" s="144">
        <f t="shared" si="32"/>
        <v>1.2919134971009143</v>
      </c>
      <c r="G150" s="144">
        <f t="shared" si="32"/>
        <v>1.3987954277968475</v>
      </c>
      <c r="H150" s="144">
        <f t="shared" si="32"/>
        <v>1.5388761182720279</v>
      </c>
      <c r="I150" s="144">
        <f t="shared" si="32"/>
        <v>1.6719449771512247</v>
      </c>
      <c r="J150" s="144">
        <f t="shared" si="30"/>
        <v>1.6719449771512247</v>
      </c>
      <c r="K150" s="144">
        <f t="shared" si="30"/>
        <v>1.6719449771512247</v>
      </c>
      <c r="L150" s="144">
        <f t="shared" si="30"/>
        <v>1.6719449771512247</v>
      </c>
    </row>
    <row r="151" spans="1:12" ht="14.25" x14ac:dyDescent="0.2">
      <c r="A151" s="133" t="str">
        <f>A145</f>
        <v xml:space="preserve"> Electric Power</v>
      </c>
      <c r="B151" s="144">
        <f>B48/C48</f>
        <v>1.4820036098304656</v>
      </c>
      <c r="C151" s="144">
        <v>1</v>
      </c>
      <c r="D151" s="144">
        <f t="shared" ref="D151:I151" si="33">D48/$C$48</f>
        <v>0.89028075914639682</v>
      </c>
      <c r="E151" s="144">
        <f t="shared" si="33"/>
        <v>1.0110745145224438</v>
      </c>
      <c r="F151" s="144">
        <f t="shared" si="33"/>
        <v>1.1243913535624688</v>
      </c>
      <c r="G151" s="144">
        <f t="shared" si="33"/>
        <v>1.2333106206468598</v>
      </c>
      <c r="H151" s="144">
        <f t="shared" si="33"/>
        <v>1.3793859287811283</v>
      </c>
      <c r="I151" s="144">
        <f t="shared" si="33"/>
        <v>1.5104927228324163</v>
      </c>
      <c r="J151" s="144">
        <f t="shared" si="30"/>
        <v>1.5104927228324163</v>
      </c>
      <c r="K151" s="144">
        <f t="shared" si="30"/>
        <v>1.5104927228324163</v>
      </c>
      <c r="L151" s="144">
        <f t="shared" si="30"/>
        <v>1.5104927228324163</v>
      </c>
    </row>
    <row r="152" spans="1:12" ht="14.25" x14ac:dyDescent="0.2">
      <c r="A152" s="133" t="str">
        <f>A146</f>
        <v xml:space="preserve"> Transportation</v>
      </c>
      <c r="B152" s="144">
        <f>B60/C60</f>
        <v>1.0689971559604514</v>
      </c>
      <c r="C152" s="144">
        <v>1</v>
      </c>
      <c r="D152" s="144">
        <f t="shared" ref="D152:I152" si="34">D60/$C$60</f>
        <v>1.0581831639436166</v>
      </c>
      <c r="E152" s="144">
        <f t="shared" si="34"/>
        <v>1.0771891805215432</v>
      </c>
      <c r="F152" s="144">
        <f t="shared" si="34"/>
        <v>1.1046324438844475</v>
      </c>
      <c r="G152" s="144">
        <f t="shared" si="34"/>
        <v>1.1930192465437568</v>
      </c>
      <c r="H152" s="144">
        <f t="shared" si="34"/>
        <v>1.2953378300633867</v>
      </c>
      <c r="I152" s="144">
        <f t="shared" si="34"/>
        <v>1.4022153329973257</v>
      </c>
      <c r="J152" s="144">
        <f t="shared" si="30"/>
        <v>1.4022153329973257</v>
      </c>
      <c r="K152" s="144">
        <f t="shared" si="30"/>
        <v>1.4022153329973257</v>
      </c>
      <c r="L152" s="144">
        <f t="shared" si="30"/>
        <v>1.4022153329973257</v>
      </c>
    </row>
    <row r="153" spans="1:12" ht="14.25" x14ac:dyDescent="0.2">
      <c r="A153" s="132" t="s">
        <v>197</v>
      </c>
      <c r="B153" s="140">
        <v>2005</v>
      </c>
      <c r="C153" s="140">
        <v>2010</v>
      </c>
      <c r="D153" s="140">
        <v>2015</v>
      </c>
      <c r="E153" s="140">
        <v>2020</v>
      </c>
      <c r="F153" s="140">
        <v>2025</v>
      </c>
      <c r="G153" s="140">
        <v>2030</v>
      </c>
      <c r="H153" s="140">
        <v>2035</v>
      </c>
      <c r="I153" s="140">
        <v>2040</v>
      </c>
      <c r="J153" s="140">
        <v>2045</v>
      </c>
      <c r="K153" s="140">
        <v>2050</v>
      </c>
      <c r="L153" s="140">
        <v>2055</v>
      </c>
    </row>
    <row r="154" spans="1:12" ht="14.25" x14ac:dyDescent="0.2">
      <c r="A154" s="133" t="str">
        <f>A148</f>
        <v xml:space="preserve"> Residential</v>
      </c>
      <c r="B154" s="144">
        <f>B13/C13</f>
        <v>1.2201299018271032</v>
      </c>
      <c r="C154" s="144">
        <v>1</v>
      </c>
      <c r="D154" s="144">
        <f t="shared" ref="D154:I154" si="35">D13/$C$13</f>
        <v>1.059629124662917</v>
      </c>
      <c r="E154" s="144">
        <f t="shared" si="35"/>
        <v>1.1314355670241321</v>
      </c>
      <c r="F154" s="144">
        <f t="shared" si="35"/>
        <v>1.2093806520260317</v>
      </c>
      <c r="G154" s="144">
        <f t="shared" si="35"/>
        <v>1.2937796688092436</v>
      </c>
      <c r="H154" s="144">
        <f t="shared" si="35"/>
        <v>1.4087988354172223</v>
      </c>
      <c r="I154" s="144">
        <f t="shared" si="35"/>
        <v>1.5242017825881791</v>
      </c>
      <c r="J154" s="144">
        <f t="shared" ref="J154:L158" si="36">I154</f>
        <v>1.5242017825881791</v>
      </c>
      <c r="K154" s="144">
        <f t="shared" si="36"/>
        <v>1.5242017825881791</v>
      </c>
      <c r="L154" s="144">
        <f t="shared" si="36"/>
        <v>1.5242017825881791</v>
      </c>
    </row>
    <row r="155" spans="1:12" ht="14.25" x14ac:dyDescent="0.2">
      <c r="A155" s="133" t="str">
        <f>A149</f>
        <v xml:space="preserve"> Commercial</v>
      </c>
      <c r="B155" s="144">
        <f>B25/C25</f>
        <v>1.270947639100281</v>
      </c>
      <c r="C155" s="144">
        <v>1</v>
      </c>
      <c r="D155" s="144">
        <f t="shared" ref="D155:I155" si="37">D25/$C$25</f>
        <v>1.0633281873217344</v>
      </c>
      <c r="E155" s="144">
        <f t="shared" si="37"/>
        <v>1.1398695283882547</v>
      </c>
      <c r="F155" s="144">
        <f t="shared" si="37"/>
        <v>1.2115011804031308</v>
      </c>
      <c r="G155" s="144">
        <f t="shared" si="37"/>
        <v>1.2865798998653191</v>
      </c>
      <c r="H155" s="144">
        <f t="shared" si="37"/>
        <v>1.3922544403790147</v>
      </c>
      <c r="I155" s="144">
        <f t="shared" si="37"/>
        <v>1.4950577552537532</v>
      </c>
      <c r="J155" s="144">
        <f t="shared" si="36"/>
        <v>1.4950577552537532</v>
      </c>
      <c r="K155" s="144">
        <f t="shared" si="36"/>
        <v>1.4950577552537532</v>
      </c>
      <c r="L155" s="144">
        <f t="shared" si="36"/>
        <v>1.4950577552537532</v>
      </c>
    </row>
    <row r="156" spans="1:12" ht="14.25" x14ac:dyDescent="0.2">
      <c r="A156" s="133" t="str">
        <f>A150</f>
        <v xml:space="preserve"> Industrial</v>
      </c>
      <c r="B156" s="144">
        <f>B37/C37</f>
        <v>1.5377934132999593</v>
      </c>
      <c r="C156" s="144">
        <v>1</v>
      </c>
      <c r="D156" s="144">
        <f t="shared" ref="D156:I156" si="38">D37/$C$37</f>
        <v>0.99081126826558319</v>
      </c>
      <c r="E156" s="144">
        <f t="shared" si="38"/>
        <v>1.1576400852393884</v>
      </c>
      <c r="F156" s="144">
        <f t="shared" si="38"/>
        <v>1.2544776632398824</v>
      </c>
      <c r="G156" s="144">
        <f t="shared" si="38"/>
        <v>1.3612573230679446</v>
      </c>
      <c r="H156" s="144">
        <f t="shared" si="38"/>
        <v>1.512991080447128</v>
      </c>
      <c r="I156" s="144">
        <f t="shared" si="38"/>
        <v>1.6611722029247378</v>
      </c>
      <c r="J156" s="144">
        <f t="shared" si="36"/>
        <v>1.6611722029247378</v>
      </c>
      <c r="K156" s="144">
        <f t="shared" si="36"/>
        <v>1.6611722029247378</v>
      </c>
      <c r="L156" s="144">
        <f t="shared" si="36"/>
        <v>1.6611722029247378</v>
      </c>
    </row>
    <row r="157" spans="1:12" ht="14.25" x14ac:dyDescent="0.2">
      <c r="A157" s="133" t="str">
        <f>A151</f>
        <v xml:space="preserve"> Electric Power</v>
      </c>
      <c r="B157" s="144">
        <f>B49/C49</f>
        <v>1.9266625863696916</v>
      </c>
      <c r="C157" s="144">
        <v>1</v>
      </c>
      <c r="D157" s="144">
        <f t="shared" ref="D157:I157" si="39">D49/$C$49</f>
        <v>0.9268431035038206</v>
      </c>
      <c r="E157" s="144">
        <f t="shared" si="39"/>
        <v>1.0661197720096454</v>
      </c>
      <c r="F157" s="144">
        <f t="shared" si="39"/>
        <v>1.1914924461985092</v>
      </c>
      <c r="G157" s="144">
        <f t="shared" si="39"/>
        <v>1.3304763174753864</v>
      </c>
      <c r="H157" s="144">
        <f t="shared" si="39"/>
        <v>1.5347191042851569</v>
      </c>
      <c r="I157" s="144">
        <f t="shared" si="39"/>
        <v>1.7022305195030276</v>
      </c>
      <c r="J157" s="144">
        <f t="shared" si="36"/>
        <v>1.7022305195030276</v>
      </c>
      <c r="K157" s="144">
        <f t="shared" si="36"/>
        <v>1.7022305195030276</v>
      </c>
      <c r="L157" s="144">
        <f t="shared" si="36"/>
        <v>1.7022305195030276</v>
      </c>
    </row>
    <row r="158" spans="1:12" ht="14.25" x14ac:dyDescent="0.2">
      <c r="A158" s="133" t="str">
        <f>A152</f>
        <v xml:space="preserve"> Transportation</v>
      </c>
      <c r="B158" s="144">
        <f>B61/C61</f>
        <v>1.0678966118078221</v>
      </c>
      <c r="C158" s="144">
        <v>1</v>
      </c>
      <c r="D158" s="144">
        <f t="shared" ref="D158:I158" si="40">D61/$C$61</f>
        <v>1.2150857926728262</v>
      </c>
      <c r="E158" s="144">
        <f t="shared" si="40"/>
        <v>1.1976706617559936</v>
      </c>
      <c r="F158" s="144">
        <f t="shared" si="40"/>
        <v>1.080451893715427</v>
      </c>
      <c r="G158" s="144">
        <f t="shared" si="40"/>
        <v>1.0818697821551124</v>
      </c>
      <c r="H158" s="144">
        <f t="shared" si="40"/>
        <v>1.1515892292415035</v>
      </c>
      <c r="I158" s="144">
        <f t="shared" si="40"/>
        <v>1.2175702415772842</v>
      </c>
      <c r="J158" s="144">
        <f t="shared" si="36"/>
        <v>1.2175702415772842</v>
      </c>
      <c r="K158" s="144">
        <f t="shared" si="36"/>
        <v>1.2175702415772842</v>
      </c>
      <c r="L158" s="144">
        <f t="shared" si="36"/>
        <v>1.2175702415772842</v>
      </c>
    </row>
    <row r="159" spans="1:12" ht="14.25" x14ac:dyDescent="0.2">
      <c r="A159" s="132" t="s">
        <v>198</v>
      </c>
      <c r="B159" s="140">
        <v>2005</v>
      </c>
      <c r="C159" s="140">
        <v>2010</v>
      </c>
      <c r="D159" s="140">
        <v>2015</v>
      </c>
      <c r="E159" s="140">
        <v>2020</v>
      </c>
      <c r="F159" s="140">
        <v>2025</v>
      </c>
      <c r="G159" s="140">
        <v>2030</v>
      </c>
      <c r="H159" s="140">
        <v>2035</v>
      </c>
      <c r="I159" s="140">
        <v>2040</v>
      </c>
      <c r="J159" s="140">
        <v>2045</v>
      </c>
      <c r="K159" s="140">
        <v>2050</v>
      </c>
      <c r="L159" s="140">
        <v>2055</v>
      </c>
    </row>
    <row r="160" spans="1:12" ht="14.25" x14ac:dyDescent="0.2">
      <c r="A160" s="133" t="str">
        <f>A154</f>
        <v xml:space="preserve"> Residential</v>
      </c>
      <c r="B160" s="144">
        <f>B14/C14</f>
        <v>1.1639172692234607</v>
      </c>
      <c r="C160" s="144">
        <v>1</v>
      </c>
      <c r="D160" s="144">
        <f t="shared" ref="D160:I160" si="41">D14/$C$14</f>
        <v>1.0112835126956528</v>
      </c>
      <c r="E160" s="144">
        <f t="shared" si="41"/>
        <v>1.0752268879385847</v>
      </c>
      <c r="F160" s="144">
        <f t="shared" si="41"/>
        <v>1.1440587169648817</v>
      </c>
      <c r="G160" s="144">
        <f t="shared" si="41"/>
        <v>1.240989704149652</v>
      </c>
      <c r="H160" s="144">
        <f t="shared" si="41"/>
        <v>1.3647613470450626</v>
      </c>
      <c r="I160" s="144">
        <f t="shared" si="41"/>
        <v>1.4659380221787546</v>
      </c>
      <c r="J160" s="144">
        <f t="shared" ref="J160:L164" si="42">I160</f>
        <v>1.4659380221787546</v>
      </c>
      <c r="K160" s="144">
        <f t="shared" si="42"/>
        <v>1.4659380221787546</v>
      </c>
      <c r="L160" s="144">
        <f t="shared" si="42"/>
        <v>1.4659380221787546</v>
      </c>
    </row>
    <row r="161" spans="1:12" ht="14.25" x14ac:dyDescent="0.2">
      <c r="A161" s="133" t="str">
        <f>A155</f>
        <v xml:space="preserve"> Commercial</v>
      </c>
      <c r="B161" s="144">
        <f>B26/C26</f>
        <v>1.2419527257020626</v>
      </c>
      <c r="C161" s="144">
        <v>1</v>
      </c>
      <c r="D161" s="144">
        <f t="shared" ref="D161:I161" si="43">D26/$C$26</f>
        <v>0.95641476841612449</v>
      </c>
      <c r="E161" s="144">
        <f t="shared" si="43"/>
        <v>1.03841907652427</v>
      </c>
      <c r="F161" s="144">
        <f t="shared" si="43"/>
        <v>1.1151936918964671</v>
      </c>
      <c r="G161" s="144">
        <f t="shared" si="43"/>
        <v>1.2104724158846498</v>
      </c>
      <c r="H161" s="144">
        <f t="shared" si="43"/>
        <v>1.3266589560448432</v>
      </c>
      <c r="I161" s="144">
        <f t="shared" si="43"/>
        <v>1.4105616684463367</v>
      </c>
      <c r="J161" s="144">
        <f t="shared" si="42"/>
        <v>1.4105616684463367</v>
      </c>
      <c r="K161" s="144">
        <f t="shared" si="42"/>
        <v>1.4105616684463367</v>
      </c>
      <c r="L161" s="144">
        <f t="shared" si="42"/>
        <v>1.4105616684463367</v>
      </c>
    </row>
    <row r="162" spans="1:12" ht="14.25" x14ac:dyDescent="0.2">
      <c r="A162" s="133" t="str">
        <f>A156</f>
        <v xml:space="preserve"> Industrial</v>
      </c>
      <c r="B162" s="144">
        <f>B38/C38</f>
        <v>1.6706604974273782</v>
      </c>
      <c r="C162" s="144">
        <v>1</v>
      </c>
      <c r="D162" s="144">
        <f t="shared" ref="D162:I162" si="44">D38/$C$38</f>
        <v>0.79050772365305211</v>
      </c>
      <c r="E162" s="144">
        <f t="shared" si="44"/>
        <v>0.97563482870275942</v>
      </c>
      <c r="F162" s="144">
        <f t="shared" si="44"/>
        <v>1.0822616404755059</v>
      </c>
      <c r="G162" s="144">
        <f t="shared" si="44"/>
        <v>1.2383652424072873</v>
      </c>
      <c r="H162" s="144">
        <f t="shared" si="44"/>
        <v>1.4294416800933665</v>
      </c>
      <c r="I162" s="144">
        <f t="shared" si="44"/>
        <v>1.5673735462725757</v>
      </c>
      <c r="J162" s="144">
        <f t="shared" si="42"/>
        <v>1.5673735462725757</v>
      </c>
      <c r="K162" s="144">
        <f t="shared" si="42"/>
        <v>1.5673735462725757</v>
      </c>
      <c r="L162" s="144">
        <f t="shared" si="42"/>
        <v>1.5673735462725757</v>
      </c>
    </row>
    <row r="163" spans="1:12" ht="14.25" x14ac:dyDescent="0.2">
      <c r="A163" s="133" t="str">
        <f>A157</f>
        <v xml:space="preserve"> Electric Power</v>
      </c>
      <c r="B163" s="144">
        <f>B50/C50</f>
        <v>1.7561809749972412</v>
      </c>
      <c r="C163" s="144">
        <v>1</v>
      </c>
      <c r="D163" s="144">
        <f t="shared" ref="D163:I163" si="45">D50/$C$50</f>
        <v>0.86478571126074633</v>
      </c>
      <c r="E163" s="144">
        <f t="shared" si="45"/>
        <v>1.0100935925125989</v>
      </c>
      <c r="F163" s="144">
        <f t="shared" si="45"/>
        <v>1.1347467496717909</v>
      </c>
      <c r="G163" s="144">
        <f t="shared" si="45"/>
        <v>1.2999510862660399</v>
      </c>
      <c r="H163" s="144">
        <f t="shared" si="45"/>
        <v>1.5034923559056452</v>
      </c>
      <c r="I163" s="144">
        <f t="shared" si="45"/>
        <v>1.6591525854402236</v>
      </c>
      <c r="J163" s="144">
        <f t="shared" si="42"/>
        <v>1.6591525854402236</v>
      </c>
      <c r="K163" s="144">
        <f t="shared" si="42"/>
        <v>1.6591525854402236</v>
      </c>
      <c r="L163" s="144">
        <f t="shared" si="42"/>
        <v>1.6591525854402236</v>
      </c>
    </row>
    <row r="164" spans="1:12" ht="14.25" x14ac:dyDescent="0.2">
      <c r="A164" s="133" t="str">
        <f>A158</f>
        <v xml:space="preserve"> Transportation</v>
      </c>
      <c r="B164" s="144">
        <f>B62/C62</f>
        <v>1.2129368440191413</v>
      </c>
      <c r="C164" s="144">
        <v>1</v>
      </c>
      <c r="D164" s="144">
        <f t="shared" ref="D164:I164" si="46">D62/$C$62</f>
        <v>1.2656742978244424</v>
      </c>
      <c r="E164" s="144">
        <f t="shared" si="46"/>
        <v>1.2797175365635483</v>
      </c>
      <c r="F164" s="144">
        <f t="shared" si="46"/>
        <v>1.2379470911479207</v>
      </c>
      <c r="G164" s="144">
        <f t="shared" si="46"/>
        <v>1.3015605163879556</v>
      </c>
      <c r="H164" s="144">
        <f t="shared" si="46"/>
        <v>1.4101406985715639</v>
      </c>
      <c r="I164" s="144">
        <f t="shared" si="46"/>
        <v>1.504789252572744</v>
      </c>
      <c r="J164" s="144">
        <f t="shared" si="42"/>
        <v>1.504789252572744</v>
      </c>
      <c r="K164" s="144">
        <f t="shared" si="42"/>
        <v>1.504789252572744</v>
      </c>
      <c r="L164" s="144">
        <f t="shared" si="42"/>
        <v>1.504789252572744</v>
      </c>
    </row>
    <row r="165" spans="1:12" ht="14.25" x14ac:dyDescent="0.2">
      <c r="A165" s="132" t="s">
        <v>199</v>
      </c>
      <c r="B165" s="140">
        <v>2005</v>
      </c>
      <c r="C165" s="140">
        <v>2010</v>
      </c>
      <c r="D165" s="140">
        <v>2015</v>
      </c>
      <c r="E165" s="140">
        <v>2020</v>
      </c>
      <c r="F165" s="140">
        <v>2025</v>
      </c>
      <c r="G165" s="140">
        <v>2030</v>
      </c>
      <c r="H165" s="140">
        <v>2035</v>
      </c>
      <c r="I165" s="140">
        <v>2040</v>
      </c>
      <c r="J165" s="140">
        <v>2045</v>
      </c>
      <c r="K165" s="140">
        <v>2050</v>
      </c>
      <c r="L165" s="140">
        <v>2055</v>
      </c>
    </row>
    <row r="166" spans="1:12" ht="14.25" x14ac:dyDescent="0.2">
      <c r="A166" s="133" t="str">
        <f>A160</f>
        <v xml:space="preserve"> Residential</v>
      </c>
      <c r="B166" s="144">
        <f>B15/C15</f>
        <v>1.1274717872469924</v>
      </c>
      <c r="C166" s="144">
        <v>1</v>
      </c>
      <c r="D166" s="144">
        <f t="shared" ref="D166:I166" si="47">D15/$C$15</f>
        <v>1.0585835171017359</v>
      </c>
      <c r="E166" s="144">
        <f t="shared" si="47"/>
        <v>1.1365026706427561</v>
      </c>
      <c r="F166" s="144">
        <f t="shared" si="47"/>
        <v>1.2241671088123001</v>
      </c>
      <c r="G166" s="144">
        <f t="shared" si="47"/>
        <v>1.3198208224303649</v>
      </c>
      <c r="H166" s="144">
        <f t="shared" si="47"/>
        <v>1.4713692257910458</v>
      </c>
      <c r="I166" s="144">
        <f t="shared" si="47"/>
        <v>1.6217679465925483</v>
      </c>
      <c r="J166" s="144">
        <f t="shared" ref="J166:L170" si="48">I166</f>
        <v>1.6217679465925483</v>
      </c>
      <c r="K166" s="144">
        <f t="shared" si="48"/>
        <v>1.6217679465925483</v>
      </c>
      <c r="L166" s="144">
        <f t="shared" si="48"/>
        <v>1.6217679465925483</v>
      </c>
    </row>
    <row r="167" spans="1:12" ht="14.25" x14ac:dyDescent="0.2">
      <c r="A167" s="133" t="str">
        <f>A161</f>
        <v xml:space="preserve"> Commercial</v>
      </c>
      <c r="B167" s="144">
        <f>B27/C27</f>
        <v>1.1327949589583139</v>
      </c>
      <c r="C167" s="144">
        <v>1</v>
      </c>
      <c r="D167" s="144">
        <f t="shared" ref="D167:I167" si="49">D27/$C$27</f>
        <v>0.99484310796228215</v>
      </c>
      <c r="E167" s="144">
        <f t="shared" si="49"/>
        <v>1.0722242628824612</v>
      </c>
      <c r="F167" s="144">
        <f t="shared" si="49"/>
        <v>1.142370378831373</v>
      </c>
      <c r="G167" s="144">
        <f t="shared" si="49"/>
        <v>1.21869069769539</v>
      </c>
      <c r="H167" s="144">
        <f t="shared" si="49"/>
        <v>1.3571815643213772</v>
      </c>
      <c r="I167" s="144">
        <f t="shared" si="49"/>
        <v>1.4902014843047846</v>
      </c>
      <c r="J167" s="144">
        <f t="shared" si="48"/>
        <v>1.4902014843047846</v>
      </c>
      <c r="K167" s="144">
        <f t="shared" si="48"/>
        <v>1.4902014843047846</v>
      </c>
      <c r="L167" s="144">
        <f t="shared" si="48"/>
        <v>1.4902014843047846</v>
      </c>
    </row>
    <row r="168" spans="1:12" ht="14.25" x14ac:dyDescent="0.2">
      <c r="A168" s="133" t="str">
        <f>A162</f>
        <v xml:space="preserve"> Industrial</v>
      </c>
      <c r="B168" s="144">
        <f>B39/C39</f>
        <v>1.428953451427031</v>
      </c>
      <c r="C168" s="144">
        <v>1</v>
      </c>
      <c r="D168" s="144">
        <f t="shared" ref="D168:I168" si="50">D39/$C$39</f>
        <v>0.89285106060042041</v>
      </c>
      <c r="E168" s="144">
        <f t="shared" si="50"/>
        <v>1.0443633511135617</v>
      </c>
      <c r="F168" s="144">
        <f t="shared" si="50"/>
        <v>1.1256695459954382</v>
      </c>
      <c r="G168" s="144">
        <f t="shared" si="50"/>
        <v>1.2152750989943479</v>
      </c>
      <c r="H168" s="144">
        <f t="shared" si="50"/>
        <v>1.3974872816607924</v>
      </c>
      <c r="I168" s="144">
        <f t="shared" si="50"/>
        <v>1.5808086829808849</v>
      </c>
      <c r="J168" s="144">
        <f t="shared" si="48"/>
        <v>1.5808086829808849</v>
      </c>
      <c r="K168" s="144">
        <f t="shared" si="48"/>
        <v>1.5808086829808849</v>
      </c>
      <c r="L168" s="144">
        <f t="shared" si="48"/>
        <v>1.5808086829808849</v>
      </c>
    </row>
    <row r="169" spans="1:12" ht="14.25" x14ac:dyDescent="0.2">
      <c r="A169" s="133" t="str">
        <f>A163</f>
        <v xml:space="preserve"> Electric Power</v>
      </c>
      <c r="B169" s="144">
        <f>B51/C51</f>
        <v>1.496848793729981</v>
      </c>
      <c r="C169" s="144">
        <v>1</v>
      </c>
      <c r="D169" s="144">
        <f t="shared" ref="D169:I169" si="51">D51/$C$51</f>
        <v>0.81947879278114866</v>
      </c>
      <c r="E169" s="144">
        <f t="shared" si="51"/>
        <v>0.96396639013357599</v>
      </c>
      <c r="F169" s="144">
        <f t="shared" si="51"/>
        <v>1.0663488310688458</v>
      </c>
      <c r="G169" s="144">
        <f t="shared" si="51"/>
        <v>1.1560708250244052</v>
      </c>
      <c r="H169" s="144">
        <f t="shared" si="51"/>
        <v>1.3457429361597404</v>
      </c>
      <c r="I169" s="144">
        <f t="shared" si="51"/>
        <v>1.5332221922777962</v>
      </c>
      <c r="J169" s="144">
        <f t="shared" si="48"/>
        <v>1.5332221922777962</v>
      </c>
      <c r="K169" s="144">
        <f t="shared" si="48"/>
        <v>1.5332221922777962</v>
      </c>
      <c r="L169" s="144">
        <f t="shared" si="48"/>
        <v>1.5332221922777962</v>
      </c>
    </row>
    <row r="170" spans="1:12" ht="14.25" x14ac:dyDescent="0.2">
      <c r="A170" s="133" t="str">
        <f>A164</f>
        <v xml:space="preserve"> Transportation</v>
      </c>
      <c r="B170" s="144">
        <f>B63/C63</f>
        <v>0.99830298464404321</v>
      </c>
      <c r="C170" s="144">
        <v>1</v>
      </c>
      <c r="D170" s="144">
        <f t="shared" ref="D170:I170" si="52">D63/$C$63</f>
        <v>1.2282168220496905</v>
      </c>
      <c r="E170" s="144">
        <f t="shared" si="52"/>
        <v>1.1869138922975084</v>
      </c>
      <c r="F170" s="144">
        <f t="shared" si="52"/>
        <v>1.0922111811548827</v>
      </c>
      <c r="G170" s="144">
        <f t="shared" si="52"/>
        <v>1.1214607261330174</v>
      </c>
      <c r="H170" s="144">
        <f t="shared" si="52"/>
        <v>1.2291048990732847</v>
      </c>
      <c r="I170" s="144">
        <f t="shared" si="52"/>
        <v>1.3545753073531082</v>
      </c>
      <c r="J170" s="144">
        <f t="shared" si="48"/>
        <v>1.3545753073531082</v>
      </c>
      <c r="K170" s="144">
        <f t="shared" si="48"/>
        <v>1.3545753073531082</v>
      </c>
      <c r="L170" s="144">
        <f t="shared" si="48"/>
        <v>1.3545753073531082</v>
      </c>
    </row>
    <row r="171" spans="1:12" ht="14.25" x14ac:dyDescent="0.2">
      <c r="A171" s="132" t="s">
        <v>199</v>
      </c>
      <c r="B171" s="140">
        <v>2005</v>
      </c>
      <c r="C171" s="140">
        <v>2010</v>
      </c>
      <c r="D171" s="140">
        <v>2015</v>
      </c>
      <c r="E171" s="140">
        <v>2020</v>
      </c>
      <c r="F171" s="140">
        <v>2025</v>
      </c>
      <c r="G171" s="140">
        <v>2030</v>
      </c>
      <c r="H171" s="140">
        <v>2035</v>
      </c>
      <c r="I171" s="140">
        <v>2040</v>
      </c>
      <c r="J171" s="140">
        <v>2045</v>
      </c>
      <c r="K171" s="140">
        <v>2050</v>
      </c>
      <c r="L171" s="140">
        <v>2055</v>
      </c>
    </row>
    <row r="172" spans="1:12" ht="14.25" x14ac:dyDescent="0.2">
      <c r="A172" s="133" t="str">
        <f>A166</f>
        <v xml:space="preserve"> Residential</v>
      </c>
      <c r="B172" s="144">
        <f>B16/C16</f>
        <v>1.130832933064511</v>
      </c>
      <c r="C172" s="144">
        <v>1</v>
      </c>
      <c r="D172" s="144">
        <f t="shared" ref="D172:I172" si="53">D16/$C$16</f>
        <v>1.0979848021855925</v>
      </c>
      <c r="E172" s="144">
        <f t="shared" si="53"/>
        <v>1.1647949630996364</v>
      </c>
      <c r="F172" s="144">
        <f t="shared" si="53"/>
        <v>1.2172806406708527</v>
      </c>
      <c r="G172" s="144">
        <f t="shared" si="53"/>
        <v>1.2674596692388795</v>
      </c>
      <c r="H172" s="144">
        <f t="shared" si="53"/>
        <v>1.5041514999573322</v>
      </c>
      <c r="I172" s="144">
        <f t="shared" si="53"/>
        <v>1.6147409759692051</v>
      </c>
      <c r="J172" s="144">
        <f t="shared" ref="J172:L176" si="54">I172</f>
        <v>1.6147409759692051</v>
      </c>
      <c r="K172" s="144">
        <f t="shared" si="54"/>
        <v>1.6147409759692051</v>
      </c>
      <c r="L172" s="144">
        <f t="shared" si="54"/>
        <v>1.6147409759692051</v>
      </c>
    </row>
    <row r="173" spans="1:12" ht="14.25" x14ac:dyDescent="0.2">
      <c r="A173" s="133" t="str">
        <f>A167</f>
        <v xml:space="preserve"> Commercial</v>
      </c>
      <c r="B173" s="144">
        <f>B28/C28</f>
        <v>1.1562293708851394</v>
      </c>
      <c r="C173" s="144">
        <v>1</v>
      </c>
      <c r="D173" s="144">
        <f t="shared" ref="D173:I173" si="55">D28/$C$28</f>
        <v>1.1535612046993344</v>
      </c>
      <c r="E173" s="144">
        <f t="shared" si="55"/>
        <v>1.2565806906153956</v>
      </c>
      <c r="F173" s="144">
        <f t="shared" si="55"/>
        <v>1.3289489985455114</v>
      </c>
      <c r="G173" s="144">
        <f t="shared" si="55"/>
        <v>1.3906070407128979</v>
      </c>
      <c r="H173" s="144">
        <f t="shared" si="55"/>
        <v>1.6521333897081809</v>
      </c>
      <c r="I173" s="144">
        <f t="shared" si="55"/>
        <v>1.7825778574706888</v>
      </c>
      <c r="J173" s="144">
        <f t="shared" si="54"/>
        <v>1.7825778574706888</v>
      </c>
      <c r="K173" s="144">
        <f t="shared" si="54"/>
        <v>1.7825778574706888</v>
      </c>
      <c r="L173" s="144">
        <f t="shared" si="54"/>
        <v>1.7825778574706888</v>
      </c>
    </row>
    <row r="174" spans="1:12" ht="14.25" x14ac:dyDescent="0.2">
      <c r="A174" s="133" t="str">
        <f>A168</f>
        <v xml:space="preserve"> Industrial</v>
      </c>
      <c r="B174" s="144">
        <f>B40/C40</f>
        <v>1.2616146321349155</v>
      </c>
      <c r="C174" s="144">
        <v>1</v>
      </c>
      <c r="D174" s="144">
        <f t="shared" ref="D174:I174" si="56">D40/$C$40</f>
        <v>0.98834515435483028</v>
      </c>
      <c r="E174" s="144">
        <f t="shared" si="56"/>
        <v>1.1405660634341033</v>
      </c>
      <c r="F174" s="144">
        <f t="shared" si="56"/>
        <v>1.2140550638289214</v>
      </c>
      <c r="G174" s="144">
        <f t="shared" si="56"/>
        <v>1.2585876212227676</v>
      </c>
      <c r="H174" s="144">
        <f t="shared" si="56"/>
        <v>1.4016123542939172</v>
      </c>
      <c r="I174" s="144">
        <f t="shared" si="56"/>
        <v>1.5232486470999251</v>
      </c>
      <c r="J174" s="144">
        <f t="shared" si="54"/>
        <v>1.5232486470999251</v>
      </c>
      <c r="K174" s="144">
        <f t="shared" si="54"/>
        <v>1.5232486470999251</v>
      </c>
      <c r="L174" s="144">
        <f t="shared" si="54"/>
        <v>1.5232486470999251</v>
      </c>
    </row>
    <row r="175" spans="1:12" ht="14.25" x14ac:dyDescent="0.2">
      <c r="A175" s="133" t="str">
        <f>A169</f>
        <v xml:space="preserve"> Electric Power</v>
      </c>
      <c r="B175" s="144">
        <f>B52/C52</f>
        <v>1.5020705217857386</v>
      </c>
      <c r="C175" s="144">
        <v>1</v>
      </c>
      <c r="D175" s="144">
        <f t="shared" ref="D175:I175" si="57">D52/$C$52</f>
        <v>0.89294712861182957</v>
      </c>
      <c r="E175" s="144">
        <f t="shared" si="57"/>
        <v>1.0493211057795573</v>
      </c>
      <c r="F175" s="144">
        <f t="shared" si="57"/>
        <v>1.1510084196010704</v>
      </c>
      <c r="G175" s="144">
        <f t="shared" si="57"/>
        <v>1.2527162576353628</v>
      </c>
      <c r="H175" s="144">
        <f t="shared" si="57"/>
        <v>1.4515527989437955</v>
      </c>
      <c r="I175" s="144">
        <f t="shared" si="57"/>
        <v>1.609159041718409</v>
      </c>
      <c r="J175" s="144">
        <f t="shared" si="54"/>
        <v>1.609159041718409</v>
      </c>
      <c r="K175" s="144">
        <f t="shared" si="54"/>
        <v>1.609159041718409</v>
      </c>
      <c r="L175" s="144">
        <f t="shared" si="54"/>
        <v>1.609159041718409</v>
      </c>
    </row>
    <row r="176" spans="1:12" ht="14.25" x14ac:dyDescent="0.2">
      <c r="A176" s="133" t="str">
        <f>A170</f>
        <v xml:space="preserve"> Transportation</v>
      </c>
      <c r="B176" s="144">
        <f>D64/C64</f>
        <v>1.4562724603015285</v>
      </c>
      <c r="C176" s="144">
        <v>1</v>
      </c>
      <c r="D176" s="144">
        <f t="shared" ref="D176:I176" si="58">D64/$C$64</f>
        <v>1.4562724603015285</v>
      </c>
      <c r="E176" s="144">
        <f t="shared" si="58"/>
        <v>1.5290199680527379</v>
      </c>
      <c r="F176" s="144">
        <f t="shared" si="58"/>
        <v>1.5440277230086494</v>
      </c>
      <c r="G176" s="144">
        <f t="shared" si="58"/>
        <v>1.5999513888172592</v>
      </c>
      <c r="H176" s="144">
        <f t="shared" si="58"/>
        <v>1.8685551502860471</v>
      </c>
      <c r="I176" s="144">
        <f t="shared" si="58"/>
        <v>1.9819222646005239</v>
      </c>
      <c r="J176" s="144">
        <f t="shared" si="54"/>
        <v>1.9819222646005239</v>
      </c>
      <c r="K176" s="144">
        <f t="shared" si="54"/>
        <v>1.9819222646005239</v>
      </c>
      <c r="L176" s="144">
        <f t="shared" si="54"/>
        <v>1.9819222646005239</v>
      </c>
    </row>
    <row r="177" spans="2:12" x14ac:dyDescent="0.2">
      <c r="B177" s="128"/>
      <c r="C177" s="128"/>
      <c r="D177" s="128"/>
      <c r="E177" s="128"/>
      <c r="F177" s="128"/>
      <c r="G177" s="128"/>
      <c r="H177" s="128"/>
      <c r="I177" s="128"/>
      <c r="J177" s="128"/>
      <c r="K177" s="128"/>
      <c r="L177" s="128"/>
    </row>
    <row r="178" spans="2:12" x14ac:dyDescent="0.2">
      <c r="B178" s="128"/>
      <c r="C178" s="128"/>
      <c r="D178" s="128"/>
      <c r="E178" s="128"/>
      <c r="F178" s="128"/>
      <c r="G178" s="128"/>
      <c r="H178" s="128"/>
      <c r="I178" s="128"/>
      <c r="J178" s="128"/>
      <c r="K178" s="128"/>
      <c r="L178" s="128"/>
    </row>
  </sheetData>
  <mergeCells count="27">
    <mergeCell ref="B122:L122"/>
    <mergeCell ref="O93:V93"/>
    <mergeCell ref="O94:V94"/>
    <mergeCell ref="O95:V95"/>
    <mergeCell ref="O96:V96"/>
    <mergeCell ref="A1:H1"/>
    <mergeCell ref="A2:H2"/>
    <mergeCell ref="O88:V88"/>
    <mergeCell ref="O89:V89"/>
    <mergeCell ref="O90:V90"/>
    <mergeCell ref="O1:V1"/>
    <mergeCell ref="O2:V2"/>
    <mergeCell ref="O4:V4"/>
    <mergeCell ref="O79:V79"/>
    <mergeCell ref="O80:V80"/>
    <mergeCell ref="O81:V81"/>
    <mergeCell ref="O82:V82"/>
    <mergeCell ref="O83:V83"/>
    <mergeCell ref="O84:V84"/>
    <mergeCell ref="O85:V85"/>
    <mergeCell ref="O86:V86"/>
    <mergeCell ref="O87:V87"/>
    <mergeCell ref="O91:V91"/>
    <mergeCell ref="O92:V92"/>
    <mergeCell ref="A99:J99"/>
    <mergeCell ref="A112:J112"/>
    <mergeCell ref="A108:J108"/>
  </mergeCells>
  <phoneticPr fontId="18" type="noConversion"/>
  <pageMargins left="0.75" right="0.75" top="1" bottom="1" header="0.5" footer="0.5"/>
  <pageSetup orientation="portrait" horizontalDpi="300" verticalDpi="300"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142</v>
      </c>
      <c r="B1" s="2"/>
    </row>
    <row r="4" spans="1:5" ht="17.25" customHeight="1" x14ac:dyDescent="0.2"/>
    <row r="5" spans="1:5" ht="18" customHeight="1" x14ac:dyDescent="0.2"/>
    <row r="6" spans="1:5" ht="17.25" customHeight="1" x14ac:dyDescent="0.2"/>
    <row r="7" spans="1:5" ht="15.75" customHeight="1" x14ac:dyDescent="0.2">
      <c r="B7" s="1" t="s">
        <v>135</v>
      </c>
      <c r="C7" s="1" t="s">
        <v>136</v>
      </c>
      <c r="D7" s="1" t="s">
        <v>132</v>
      </c>
      <c r="E7" s="1" t="s">
        <v>130</v>
      </c>
    </row>
    <row r="8" spans="1:5" x14ac:dyDescent="0.2">
      <c r="B8" s="3"/>
      <c r="E8" s="3"/>
    </row>
    <row r="9" spans="1:5" x14ac:dyDescent="0.2">
      <c r="B9" s="8"/>
      <c r="E9" s="3"/>
    </row>
    <row r="10" spans="1:5" x14ac:dyDescent="0.2">
      <c r="B10" s="8"/>
      <c r="E10" s="3"/>
    </row>
    <row r="11" spans="1:5" x14ac:dyDescent="0.2">
      <c r="B11" s="8"/>
      <c r="E11" s="3"/>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71686"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71686" r:id="rId4" name="cmdRefreshUnits"/>
      </mc:Fallback>
    </mc:AlternateContent>
    <mc:AlternateContent xmlns:mc="http://schemas.openxmlformats.org/markup-compatibility/2006">
      <mc:Choice Requires="x14">
        <control shapeId="71685"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71685" r:id="rId6" name="cmdAddParamQualifier"/>
      </mc:Fallback>
    </mc:AlternateContent>
    <mc:AlternateContent xmlns:mc="http://schemas.openxmlformats.org/markup-compatibility/2006">
      <mc:Choice Requires="x14">
        <control shapeId="71684"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71684" r:id="rId8" name="cmdCheckConstrDataSheet"/>
      </mc:Fallback>
    </mc:AlternateContent>
    <mc:AlternateContent xmlns:mc="http://schemas.openxmlformats.org/markup-compatibility/2006">
      <mc:Choice Requires="x14">
        <control shapeId="71683"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71683" r:id="rId10" name="cmdAddParameter"/>
      </mc:Fallback>
    </mc:AlternateContent>
    <mc:AlternateContent xmlns:mc="http://schemas.openxmlformats.org/markup-compatibility/2006">
      <mc:Choice Requires="x14">
        <control shapeId="71682"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71682" r:id="rId12" name="cmdTechName"/>
      </mc:Fallback>
    </mc:AlternateContent>
    <mc:AlternateContent xmlns:mc="http://schemas.openxmlformats.org/markup-compatibility/2006">
      <mc:Choice Requires="x14">
        <control shapeId="71681"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71681" r:id="rId14" name="cmdConstrNameAndDesc"/>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0"/>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141</v>
      </c>
      <c r="B1" s="2"/>
    </row>
    <row r="4" spans="1:16" ht="17.25" customHeight="1" x14ac:dyDescent="0.2"/>
    <row r="5" spans="1:16" ht="18" customHeight="1" x14ac:dyDescent="0.2">
      <c r="G5" s="3"/>
      <c r="H5" s="3"/>
      <c r="I5" s="3"/>
      <c r="J5" s="12"/>
      <c r="K5" s="12"/>
      <c r="L5" s="3"/>
      <c r="M5" s="10"/>
      <c r="N5" s="3"/>
      <c r="O5" s="10"/>
      <c r="P5" s="10"/>
    </row>
    <row r="6" spans="1:16" ht="17.25" customHeight="1" x14ac:dyDescent="0.2">
      <c r="G6" s="3"/>
      <c r="H6" s="3"/>
      <c r="I6" s="3"/>
      <c r="J6" s="3"/>
      <c r="K6" s="3"/>
      <c r="L6" s="3"/>
      <c r="M6" s="9"/>
      <c r="N6" s="3"/>
      <c r="O6" s="9"/>
    </row>
    <row r="7" spans="1:16" ht="15.75" customHeight="1" x14ac:dyDescent="0.2">
      <c r="B7" s="1" t="s">
        <v>130</v>
      </c>
      <c r="C7" s="1" t="s">
        <v>131</v>
      </c>
      <c r="D7" s="1" t="s">
        <v>132</v>
      </c>
      <c r="E7" s="1" t="s">
        <v>133</v>
      </c>
      <c r="F7" s="1" t="s">
        <v>134</v>
      </c>
      <c r="G7" s="3"/>
      <c r="H7" s="3"/>
      <c r="I7" s="3"/>
      <c r="J7" s="12"/>
      <c r="K7" s="3"/>
      <c r="L7" s="3"/>
      <c r="M7" s="9"/>
      <c r="N7" s="3"/>
      <c r="P7" s="9"/>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70663"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70663" r:id="rId4" name="cmdRefreshUnits"/>
      </mc:Fallback>
    </mc:AlternateContent>
    <mc:AlternateContent xmlns:mc="http://schemas.openxmlformats.org/markup-compatibility/2006">
      <mc:Choice Requires="x14">
        <control shapeId="70662"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70662" r:id="rId6" name="cmdCheckTechDataSheet"/>
      </mc:Fallback>
    </mc:AlternateContent>
    <mc:AlternateContent xmlns:mc="http://schemas.openxmlformats.org/markup-compatibility/2006">
      <mc:Choice Requires="x14">
        <control shapeId="70661"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70661" r:id="rId8" name="cmdAddParamQualifier"/>
      </mc:Fallback>
    </mc:AlternateContent>
    <mc:AlternateContent xmlns:mc="http://schemas.openxmlformats.org/markup-compatibility/2006">
      <mc:Choice Requires="x14">
        <control shapeId="70660"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70660" r:id="rId10" name="cmdAddParameter"/>
      </mc:Fallback>
    </mc:AlternateContent>
    <mc:AlternateContent xmlns:mc="http://schemas.openxmlformats.org/markup-compatibility/2006">
      <mc:Choice Requires="x14">
        <control shapeId="70659"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70659" r:id="rId12" name="cmdCommOUT"/>
      </mc:Fallback>
    </mc:AlternateContent>
    <mc:AlternateContent xmlns:mc="http://schemas.openxmlformats.org/markup-compatibility/2006">
      <mc:Choice Requires="x14">
        <control shapeId="70658"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70658" r:id="rId14" name="cmdCommIN"/>
      </mc:Fallback>
    </mc:AlternateContent>
    <mc:AlternateContent xmlns:mc="http://schemas.openxmlformats.org/markup-compatibility/2006">
      <mc:Choice Requires="x14">
        <control shapeId="70657"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70657" r:id="rId16" name="cmdTechNameAndDesc"/>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140</v>
      </c>
      <c r="B1" s="2"/>
    </row>
    <row r="3" spans="1:8" ht="15" customHeight="1" x14ac:dyDescent="0.2"/>
    <row r="4" spans="1:8" ht="20.25" customHeight="1" x14ac:dyDescent="0.2"/>
    <row r="5" spans="1:8" ht="19.5" customHeight="1" x14ac:dyDescent="0.2">
      <c r="E5" s="3"/>
      <c r="F5" s="3"/>
      <c r="G5" s="12"/>
      <c r="H5" s="12"/>
    </row>
    <row r="6" spans="1:8" ht="19.5" customHeight="1" x14ac:dyDescent="0.2">
      <c r="E6" s="9"/>
      <c r="F6" s="9"/>
      <c r="G6" s="12"/>
      <c r="H6" s="12"/>
    </row>
    <row r="7" spans="1:8" x14ac:dyDescent="0.2">
      <c r="B7" s="1" t="s">
        <v>128</v>
      </c>
      <c r="C7" s="1" t="s">
        <v>129</v>
      </c>
      <c r="D7" s="1" t="s">
        <v>132</v>
      </c>
      <c r="E7" s="11"/>
      <c r="F7" s="7"/>
      <c r="G7" s="7"/>
      <c r="H7" s="12"/>
    </row>
    <row r="9" spans="1:8" x14ac:dyDescent="0.2">
      <c r="B9" s="9"/>
      <c r="C9" s="9"/>
      <c r="D9" s="9"/>
    </row>
    <row r="10" spans="1:8" x14ac:dyDescent="0.2">
      <c r="B10" s="9"/>
      <c r="C10" s="9"/>
      <c r="D10" s="9"/>
    </row>
    <row r="13" spans="1:8" x14ac:dyDescent="0.2">
      <c r="B13" s="9"/>
      <c r="C13" s="9"/>
      <c r="D13" s="9"/>
    </row>
    <row r="15" spans="1:8" x14ac:dyDescent="0.2">
      <c r="B15" s="9"/>
      <c r="C15" s="9"/>
      <c r="D15" s="9"/>
    </row>
    <row r="17" spans="2:4" x14ac:dyDescent="0.2">
      <c r="B17" s="9"/>
      <c r="C17" s="9"/>
      <c r="D17" s="9"/>
    </row>
    <row r="19" spans="2:4" x14ac:dyDescent="0.2">
      <c r="B19" s="9"/>
      <c r="C19" s="9"/>
      <c r="D19" s="9"/>
    </row>
    <row r="21" spans="2:4" x14ac:dyDescent="0.2">
      <c r="B21" s="9"/>
      <c r="C21" s="9"/>
      <c r="D21" s="9"/>
    </row>
    <row r="23" spans="2:4" x14ac:dyDescent="0.2">
      <c r="B23" s="9"/>
      <c r="C23" s="9"/>
      <c r="D23" s="9"/>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69637"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69637" r:id="rId4" name="cmdRefreshUnits"/>
      </mc:Fallback>
    </mc:AlternateContent>
    <mc:AlternateContent xmlns:mc="http://schemas.openxmlformats.org/markup-compatibility/2006">
      <mc:Choice Requires="x14">
        <control shapeId="69636"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69636" r:id="rId6" name="cmdCheckCommDataSheet"/>
      </mc:Fallback>
    </mc:AlternateContent>
    <mc:AlternateContent xmlns:mc="http://schemas.openxmlformats.org/markup-compatibility/2006">
      <mc:Choice Requires="x14">
        <control shapeId="69635"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69635" r:id="rId8" name="cmdAddParamQualifier"/>
      </mc:Fallback>
    </mc:AlternateContent>
    <mc:AlternateContent xmlns:mc="http://schemas.openxmlformats.org/markup-compatibility/2006">
      <mc:Choice Requires="x14">
        <control shapeId="69634"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69634" r:id="rId10" name="cmdCommNameAndDesc"/>
      </mc:Fallback>
    </mc:AlternateContent>
    <mc:AlternateContent xmlns:mc="http://schemas.openxmlformats.org/markup-compatibility/2006">
      <mc:Choice Requires="x14">
        <control shapeId="69633"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69633" r:id="rId12" name="cmdAddParameter"/>
      </mc:Fallback>
    </mc:AlternateContent>
  </control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8"/>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139</v>
      </c>
      <c r="B1" s="2"/>
    </row>
    <row r="4" spans="1:6" ht="18.75" customHeight="1" x14ac:dyDescent="0.2"/>
    <row r="5" spans="1:6" ht="17.25" customHeight="1" x14ac:dyDescent="0.2">
      <c r="C5" s="3"/>
    </row>
    <row r="6" spans="1:6" ht="15.75" customHeight="1" x14ac:dyDescent="0.2"/>
    <row r="7" spans="1:6" x14ac:dyDescent="0.2">
      <c r="B7" s="4" t="s">
        <v>135</v>
      </c>
      <c r="C7" s="1" t="s">
        <v>136</v>
      </c>
      <c r="D7" s="1" t="s">
        <v>132</v>
      </c>
      <c r="E7" s="1" t="s">
        <v>127</v>
      </c>
      <c r="F7" s="1" t="s">
        <v>124</v>
      </c>
    </row>
    <row r="8" spans="1:6" x14ac:dyDescent="0.2">
      <c r="B8" s="1"/>
      <c r="C8" s="1"/>
      <c r="D8" s="1"/>
      <c r="E8" s="3"/>
      <c r="F8" s="1"/>
    </row>
    <row r="10" spans="1:6" x14ac:dyDescent="0.2">
      <c r="B10" s="3"/>
      <c r="C10" s="3"/>
      <c r="D10" s="12"/>
      <c r="E10" s="12"/>
    </row>
    <row r="11" spans="1:6" x14ac:dyDescent="0.2">
      <c r="B11" s="3"/>
      <c r="C11" s="3"/>
    </row>
    <row r="12" spans="1:6" x14ac:dyDescent="0.2">
      <c r="B12" s="3"/>
      <c r="C12" s="3"/>
      <c r="D12" s="3"/>
      <c r="E12" s="3"/>
    </row>
    <row r="13" spans="1:6" x14ac:dyDescent="0.2">
      <c r="B13" s="3"/>
      <c r="C13" s="3"/>
      <c r="D13" s="6"/>
      <c r="E13" s="3"/>
    </row>
    <row r="14" spans="1:6" x14ac:dyDescent="0.2">
      <c r="B14" s="3"/>
      <c r="C14" s="3"/>
      <c r="D14" s="3"/>
      <c r="E14" s="3"/>
    </row>
    <row r="15" spans="1:6" x14ac:dyDescent="0.2">
      <c r="B15" s="3"/>
      <c r="C15" s="3"/>
      <c r="E15" s="3"/>
    </row>
    <row r="16" spans="1:6" x14ac:dyDescent="0.2">
      <c r="B16" s="3"/>
      <c r="C16" s="3"/>
    </row>
    <row r="17" spans="2:5" x14ac:dyDescent="0.2">
      <c r="B17" s="3"/>
      <c r="C17" s="3"/>
      <c r="D17" s="6"/>
      <c r="E17" s="3"/>
    </row>
    <row r="18" spans="2:5" x14ac:dyDescent="0.2">
      <c r="B18" s="4"/>
      <c r="C18" s="3"/>
      <c r="E18" s="3"/>
    </row>
    <row r="19" spans="2:5" x14ac:dyDescent="0.2">
      <c r="E19" s="3"/>
    </row>
    <row r="21" spans="2:5" x14ac:dyDescent="0.2">
      <c r="B21" s="3"/>
      <c r="C21" s="3"/>
      <c r="D21" s="3"/>
      <c r="E21" s="3"/>
    </row>
    <row r="22" spans="2:5" x14ac:dyDescent="0.2">
      <c r="B22" s="3"/>
      <c r="C22" s="3"/>
    </row>
    <row r="23" spans="2:5" x14ac:dyDescent="0.2">
      <c r="B23" s="3"/>
      <c r="C23" s="3"/>
      <c r="E23" s="3"/>
    </row>
    <row r="24" spans="2:5" x14ac:dyDescent="0.2">
      <c r="D24" s="3"/>
      <c r="E24"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68612"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68612" r:id="rId4" name="cmdRefreshUnits"/>
      </mc:Fallback>
    </mc:AlternateContent>
    <mc:AlternateContent xmlns:mc="http://schemas.openxmlformats.org/markup-compatibility/2006">
      <mc:Choice Requires="x14">
        <control shapeId="68611"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68611" r:id="rId6" name="cmdConstraintUnit"/>
      </mc:Fallback>
    </mc:AlternateContent>
    <mc:AlternateContent xmlns:mc="http://schemas.openxmlformats.org/markup-compatibility/2006">
      <mc:Choice Requires="x14">
        <control shapeId="68610"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68610" r:id="rId8" name="cmdCheckConstraintsSheet"/>
      </mc:Fallback>
    </mc:AlternateContent>
    <mc:AlternateContent xmlns:mc="http://schemas.openxmlformats.org/markup-compatibility/2006">
      <mc:Choice Requires="x14">
        <control shapeId="68609"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68609" r:id="rId10" name="cmdConstraintSets"/>
      </mc:Fallback>
    </mc:AlternateContent>
  </control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7"/>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138</v>
      </c>
      <c r="B1" s="2"/>
    </row>
    <row r="4" spans="1:12" ht="18" customHeight="1" x14ac:dyDescent="0.2"/>
    <row r="7" spans="1:12" x14ac:dyDescent="0.2">
      <c r="B7" s="1" t="s">
        <v>130</v>
      </c>
      <c r="C7" s="1" t="s">
        <v>131</v>
      </c>
      <c r="D7" s="1" t="s">
        <v>125</v>
      </c>
      <c r="E7" s="1" t="s">
        <v>126</v>
      </c>
      <c r="F7" s="1" t="s">
        <v>127</v>
      </c>
      <c r="G7" s="1" t="s">
        <v>124</v>
      </c>
    </row>
    <row r="8" spans="1:12" x14ac:dyDescent="0.2">
      <c r="B8" s="1"/>
      <c r="C8" s="1"/>
      <c r="D8" s="1"/>
      <c r="E8" s="1"/>
      <c r="F8" s="1"/>
      <c r="G8" s="1"/>
    </row>
    <row r="9" spans="1:12" x14ac:dyDescent="0.2">
      <c r="D9" s="3"/>
      <c r="E9" s="3"/>
      <c r="F9" s="3"/>
    </row>
    <row r="10" spans="1:12" x14ac:dyDescent="0.2">
      <c r="F10" s="3"/>
    </row>
    <row r="11" spans="1:12" x14ac:dyDescent="0.2">
      <c r="B11" s="1"/>
      <c r="C11" s="1"/>
      <c r="D11" s="12"/>
      <c r="E11" s="12"/>
    </row>
    <row r="12" spans="1:12" x14ac:dyDescent="0.2">
      <c r="B12" s="8"/>
      <c r="C12" s="3"/>
      <c r="F12" s="12"/>
    </row>
    <row r="13" spans="1:12" x14ac:dyDescent="0.2">
      <c r="B13" s="3"/>
      <c r="C13" s="3"/>
    </row>
    <row r="14" spans="1:12" x14ac:dyDescent="0.2">
      <c r="B14" s="3"/>
      <c r="C14" s="3"/>
      <c r="D14" s="6"/>
      <c r="F14" s="3"/>
      <c r="L14" s="5"/>
    </row>
    <row r="15" spans="1:12" x14ac:dyDescent="0.2">
      <c r="B15" s="3"/>
      <c r="C15" s="3"/>
      <c r="E15" s="6"/>
      <c r="F15" s="3"/>
    </row>
    <row r="16" spans="1:12" x14ac:dyDescent="0.2">
      <c r="B16" s="3"/>
      <c r="C16" s="3"/>
      <c r="F16" s="3"/>
    </row>
    <row r="17" spans="2:6" x14ac:dyDescent="0.2">
      <c r="D17" s="6"/>
    </row>
    <row r="18" spans="2:6" x14ac:dyDescent="0.2">
      <c r="E18" s="6"/>
    </row>
    <row r="20" spans="2:6" x14ac:dyDescent="0.2">
      <c r="B20" s="3"/>
      <c r="C20" s="3"/>
      <c r="F20" s="9"/>
    </row>
    <row r="21" spans="2:6" x14ac:dyDescent="0.2">
      <c r="B21" s="3"/>
      <c r="C21" s="3"/>
    </row>
    <row r="22" spans="2:6" x14ac:dyDescent="0.2">
      <c r="B22" s="3"/>
      <c r="C22" s="3"/>
      <c r="D22" s="3"/>
      <c r="E22" s="3"/>
      <c r="F22" s="3"/>
    </row>
    <row r="23" spans="2:6" x14ac:dyDescent="0.2">
      <c r="B23" s="3"/>
      <c r="C23" s="3"/>
    </row>
    <row r="24" spans="2:6" x14ac:dyDescent="0.2">
      <c r="B24" s="3"/>
      <c r="C24" s="3"/>
    </row>
    <row r="25" spans="2:6" x14ac:dyDescent="0.2">
      <c r="D25" s="6"/>
      <c r="E25" s="6"/>
    </row>
    <row r="26" spans="2:6" x14ac:dyDescent="0.2">
      <c r="F26" s="3"/>
    </row>
    <row r="27" spans="2:6" x14ac:dyDescent="0.2">
      <c r="B27" s="4"/>
      <c r="C27" s="3"/>
      <c r="D27" s="6"/>
      <c r="E27" s="6"/>
    </row>
    <row r="28" spans="2:6" x14ac:dyDescent="0.2">
      <c r="B28" s="3"/>
      <c r="C28" s="3"/>
      <c r="D28" s="9"/>
      <c r="E28" s="3"/>
      <c r="F28" s="3"/>
    </row>
    <row r="29" spans="2:6" x14ac:dyDescent="0.2">
      <c r="B29" s="3"/>
      <c r="C29" s="3"/>
    </row>
    <row r="30" spans="2:6" x14ac:dyDescent="0.2">
      <c r="B30" s="3"/>
      <c r="C30" s="3"/>
    </row>
    <row r="31" spans="2:6" x14ac:dyDescent="0.2">
      <c r="B31" s="3"/>
      <c r="C31" s="3"/>
    </row>
    <row r="32" spans="2:6" x14ac:dyDescent="0.2">
      <c r="B32" s="3"/>
      <c r="C32" s="3"/>
    </row>
    <row r="33" spans="2:6" x14ac:dyDescent="0.2">
      <c r="B33" s="3"/>
      <c r="C33" s="3"/>
    </row>
    <row r="37" spans="2:6" x14ac:dyDescent="0.2">
      <c r="B37" s="3"/>
      <c r="C37" s="3"/>
      <c r="F37" s="3"/>
    </row>
    <row r="38" spans="2:6" x14ac:dyDescent="0.2">
      <c r="B38" s="4"/>
      <c r="C38"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67589"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67589" r:id="rId4" name="cmdRefreshUnits"/>
      </mc:Fallback>
    </mc:AlternateContent>
    <mc:AlternateContent xmlns:mc="http://schemas.openxmlformats.org/markup-compatibility/2006">
      <mc:Choice Requires="x14">
        <control shapeId="67588"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67588" r:id="rId6" name="cmdTCAPUnit"/>
      </mc:Fallback>
    </mc:AlternateContent>
    <mc:AlternateContent xmlns:mc="http://schemas.openxmlformats.org/markup-compatibility/2006">
      <mc:Choice Requires="x14">
        <control shapeId="67587"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67587" r:id="rId8" name="cmdTACTUnit"/>
      </mc:Fallback>
    </mc:AlternateContent>
    <mc:AlternateContent xmlns:mc="http://schemas.openxmlformats.org/markup-compatibility/2006">
      <mc:Choice Requires="x14">
        <control shapeId="67586"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67586" r:id="rId10" name="cmdCheckTechnologiesSheet"/>
      </mc:Fallback>
    </mc:AlternateContent>
    <mc:AlternateContent xmlns:mc="http://schemas.openxmlformats.org/markup-compatibility/2006">
      <mc:Choice Requires="x14">
        <control shapeId="6758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67585" r:id="rId12" name="cmdTechnologySets"/>
      </mc:Fallback>
    </mc:AlternateContent>
  </control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6"/>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137</v>
      </c>
      <c r="B1" s="2"/>
    </row>
    <row r="4" spans="1:6" ht="17.25" customHeight="1" x14ac:dyDescent="0.2"/>
    <row r="5" spans="1:6" ht="17.25" customHeight="1" x14ac:dyDescent="0.2">
      <c r="C5" s="3"/>
    </row>
    <row r="6" spans="1:6" ht="15.75" customHeight="1" x14ac:dyDescent="0.2"/>
    <row r="7" spans="1:6" x14ac:dyDescent="0.2">
      <c r="B7" s="4" t="s">
        <v>128</v>
      </c>
      <c r="C7" s="1" t="s">
        <v>129</v>
      </c>
      <c r="D7" s="1" t="s">
        <v>123</v>
      </c>
      <c r="E7" s="1" t="s">
        <v>127</v>
      </c>
      <c r="F7" s="1" t="s">
        <v>124</v>
      </c>
    </row>
    <row r="8" spans="1:6" x14ac:dyDescent="0.2">
      <c r="B8" s="1"/>
      <c r="C8" s="1"/>
      <c r="D8" s="1"/>
      <c r="E8" s="3"/>
      <c r="F8" s="1"/>
    </row>
    <row r="9" spans="1:6" x14ac:dyDescent="0.2">
      <c r="D9" s="3"/>
      <c r="E9" s="3"/>
    </row>
    <row r="11" spans="1:6" x14ac:dyDescent="0.2">
      <c r="B11" s="3"/>
      <c r="C11" s="3"/>
      <c r="D11" s="12"/>
      <c r="E11" s="12"/>
    </row>
    <row r="12" spans="1:6" x14ac:dyDescent="0.2">
      <c r="B12" s="3"/>
      <c r="C12" s="3"/>
      <c r="E12" s="3"/>
    </row>
    <row r="13" spans="1:6" x14ac:dyDescent="0.2">
      <c r="B13" s="3"/>
      <c r="C13" s="3"/>
    </row>
    <row r="14" spans="1:6" x14ac:dyDescent="0.2">
      <c r="B14" s="3"/>
      <c r="C14" s="3"/>
      <c r="D14" s="6"/>
    </row>
    <row r="15" spans="1:6" x14ac:dyDescent="0.2">
      <c r="B15" s="3"/>
      <c r="C15" s="3"/>
      <c r="E15" s="3"/>
    </row>
    <row r="16" spans="1:6" x14ac:dyDescent="0.2">
      <c r="B16" s="3"/>
      <c r="C16" s="3"/>
      <c r="E16" s="3"/>
    </row>
    <row r="17" spans="2:5" x14ac:dyDescent="0.2">
      <c r="B17" s="3"/>
      <c r="C17" s="3"/>
      <c r="E17" s="3"/>
    </row>
    <row r="18" spans="2:5" x14ac:dyDescent="0.2">
      <c r="B18" s="3"/>
      <c r="C18" s="3"/>
      <c r="E18" s="3"/>
    </row>
    <row r="19" spans="2:5" x14ac:dyDescent="0.2">
      <c r="B19" s="3"/>
      <c r="C19" s="3"/>
      <c r="E19" s="3"/>
    </row>
    <row r="20" spans="2:5" x14ac:dyDescent="0.2">
      <c r="D20" s="6"/>
    </row>
    <row r="21" spans="2:5" x14ac:dyDescent="0.2">
      <c r="E21" s="3"/>
    </row>
    <row r="23" spans="2:5" x14ac:dyDescent="0.2">
      <c r="B23" s="3"/>
      <c r="C23" s="3"/>
      <c r="D23" s="3"/>
      <c r="E23" s="3"/>
    </row>
    <row r="24" spans="2:5" x14ac:dyDescent="0.2">
      <c r="B24" s="3"/>
      <c r="C24" s="3"/>
    </row>
    <row r="25" spans="2:5" x14ac:dyDescent="0.2">
      <c r="B25" s="3"/>
      <c r="C25" s="3"/>
      <c r="D25" s="6"/>
      <c r="E25" s="3"/>
    </row>
    <row r="26" spans="2:5" x14ac:dyDescent="0.2">
      <c r="B26" s="4"/>
      <c r="C26" s="3"/>
      <c r="E26" s="3"/>
    </row>
    <row r="27" spans="2:5" x14ac:dyDescent="0.2">
      <c r="E27" s="3"/>
    </row>
    <row r="29" spans="2:5" x14ac:dyDescent="0.2">
      <c r="B29" s="3"/>
      <c r="C29" s="3"/>
      <c r="D29" s="3"/>
      <c r="E29" s="3"/>
    </row>
    <row r="30" spans="2:5" x14ac:dyDescent="0.2">
      <c r="B30" s="3"/>
      <c r="C30" s="3"/>
    </row>
    <row r="31" spans="2:5" x14ac:dyDescent="0.2">
      <c r="B31" s="3"/>
      <c r="C31" s="3"/>
      <c r="E31" s="3"/>
    </row>
    <row r="32" spans="2:5" x14ac:dyDescent="0.2">
      <c r="B32" s="3"/>
      <c r="C32" s="3"/>
      <c r="E32"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66567"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66567" r:id="rId4" name="cmdRefreshUnits"/>
      </mc:Fallback>
    </mc:AlternateContent>
    <mc:AlternateContent xmlns:mc="http://schemas.openxmlformats.org/markup-compatibility/2006">
      <mc:Choice Requires="x14">
        <control shapeId="66566" r:id="rId6" name="cmdCommUnit">
          <controlPr defaultSize="0" autoLine="0" r:id="rId7">
            <anchor moveWithCells="1">
              <from>
                <xdr:col>3</xdr:col>
                <xdr:colOff>9525</xdr:colOff>
                <xdr:row>4</xdr:row>
                <xdr:rowOff>171450</xdr:rowOff>
              </from>
              <to>
                <xdr:col>3</xdr:col>
                <xdr:colOff>676275</xdr:colOff>
                <xdr:row>5</xdr:row>
                <xdr:rowOff>190500</xdr:rowOff>
              </to>
            </anchor>
          </controlPr>
        </control>
      </mc:Choice>
      <mc:Fallback>
        <control shapeId="66566" r:id="rId6" name="cmdCommUnit"/>
      </mc:Fallback>
    </mc:AlternateContent>
    <mc:AlternateContent xmlns:mc="http://schemas.openxmlformats.org/markup-compatibility/2006">
      <mc:Choice Requires="x14">
        <control shapeId="66565" r:id="rId8" name="cmdCheckCommoditiesSheet">
          <controlPr defaultSize="0" autoLine="0" autoPict="0" r:id="rId9">
            <anchor moveWithCells="1">
              <from>
                <xdr:col>0</xdr:col>
                <xdr:colOff>9525</xdr:colOff>
                <xdr:row>2</xdr:row>
                <xdr:rowOff>142875</xdr:rowOff>
              </from>
              <to>
                <xdr:col>0</xdr:col>
                <xdr:colOff>828675</xdr:colOff>
                <xdr:row>4</xdr:row>
                <xdr:rowOff>0</xdr:rowOff>
              </to>
            </anchor>
          </controlPr>
        </control>
      </mc:Choice>
      <mc:Fallback>
        <control shapeId="66565" r:id="rId8" name="cmdCheckCommoditiesSheet"/>
      </mc:Fallback>
    </mc:AlternateContent>
    <mc:AlternateContent xmlns:mc="http://schemas.openxmlformats.org/markup-compatibility/2006">
      <mc:Choice Requires="x14">
        <control shapeId="66564" r:id="rId10" name="cmdMaterialSets">
          <controlPr defaultSize="0" autoLine="0" r:id="rId11">
            <anchor moveWithCells="1">
              <from>
                <xdr:col>4</xdr:col>
                <xdr:colOff>1000125</xdr:colOff>
                <xdr:row>3</xdr:row>
                <xdr:rowOff>95250</xdr:rowOff>
              </from>
              <to>
                <xdr:col>4</xdr:col>
                <xdr:colOff>1971675</xdr:colOff>
                <xdr:row>4</xdr:row>
                <xdr:rowOff>114300</xdr:rowOff>
              </to>
            </anchor>
          </controlPr>
        </control>
      </mc:Choice>
      <mc:Fallback>
        <control shapeId="66564" r:id="rId10" name="cmdMaterialSets"/>
      </mc:Fallback>
    </mc:AlternateContent>
    <mc:AlternateContent xmlns:mc="http://schemas.openxmlformats.org/markup-compatibility/2006">
      <mc:Choice Requires="x14">
        <control shapeId="66563" r:id="rId12" name="cmdEmissionSets">
          <controlPr defaultSize="0" autoLine="0" r:id="rId13">
            <anchor moveWithCells="1">
              <from>
                <xdr:col>4</xdr:col>
                <xdr:colOff>1000125</xdr:colOff>
                <xdr:row>4</xdr:row>
                <xdr:rowOff>171450</xdr:rowOff>
              </from>
              <to>
                <xdr:col>4</xdr:col>
                <xdr:colOff>1971675</xdr:colOff>
                <xdr:row>5</xdr:row>
                <xdr:rowOff>190500</xdr:rowOff>
              </to>
            </anchor>
          </controlPr>
        </control>
      </mc:Choice>
      <mc:Fallback>
        <control shapeId="66563" r:id="rId12" name="cmdEmissionSets"/>
      </mc:Fallback>
    </mc:AlternateContent>
    <mc:AlternateContent xmlns:mc="http://schemas.openxmlformats.org/markup-compatibility/2006">
      <mc:Choice Requires="x14">
        <control shapeId="66562" r:id="rId14" name="cmdDemandSets">
          <controlPr defaultSize="0" autoLine="0" r:id="rId15">
            <anchor moveWithCells="1">
              <from>
                <xdr:col>4</xdr:col>
                <xdr:colOff>9525</xdr:colOff>
                <xdr:row>4</xdr:row>
                <xdr:rowOff>171450</xdr:rowOff>
              </from>
              <to>
                <xdr:col>4</xdr:col>
                <xdr:colOff>981075</xdr:colOff>
                <xdr:row>5</xdr:row>
                <xdr:rowOff>190500</xdr:rowOff>
              </to>
            </anchor>
          </controlPr>
        </control>
      </mc:Choice>
      <mc:Fallback>
        <control shapeId="66562" r:id="rId14" name="cmdDemandSets"/>
      </mc:Fallback>
    </mc:AlternateContent>
    <mc:AlternateContent xmlns:mc="http://schemas.openxmlformats.org/markup-compatibility/2006">
      <mc:Choice Requires="x14">
        <control shapeId="66561" r:id="rId16" name="cmdEnergySets">
          <controlPr defaultSize="0" autoLine="0" r:id="rId17">
            <anchor moveWithCells="1">
              <from>
                <xdr:col>4</xdr:col>
                <xdr:colOff>9525</xdr:colOff>
                <xdr:row>3</xdr:row>
                <xdr:rowOff>95250</xdr:rowOff>
              </from>
              <to>
                <xdr:col>4</xdr:col>
                <xdr:colOff>981075</xdr:colOff>
                <xdr:row>4</xdr:row>
                <xdr:rowOff>114300</xdr:rowOff>
              </to>
            </anchor>
          </controlPr>
        </control>
      </mc:Choice>
      <mc:Fallback>
        <control shapeId="66561" r:id="rId16" name="cmdEnergySets"/>
      </mc:Fallback>
    </mc:AlternateContent>
  </control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133"/>
  <sheetViews>
    <sheetView topLeftCell="A102" workbookViewId="0">
      <selection activeCell="D110" sqref="D110"/>
    </sheetView>
  </sheetViews>
  <sheetFormatPr defaultColWidth="9.140625" defaultRowHeight="12.75" x14ac:dyDescent="0.2"/>
  <cols>
    <col min="1" max="1" width="29.85546875" style="149" customWidth="1"/>
    <col min="2" max="2" width="19" style="149" customWidth="1"/>
    <col min="3" max="3" width="17.85546875" style="149" bestFit="1" customWidth="1"/>
    <col min="4" max="15" width="15.42578125" style="149" customWidth="1"/>
    <col min="16" max="16384" width="9.140625" style="149"/>
  </cols>
  <sheetData>
    <row r="1" spans="1:15" x14ac:dyDescent="0.2">
      <c r="A1" s="150" t="s">
        <v>1261</v>
      </c>
    </row>
    <row r="3" spans="1:15" x14ac:dyDescent="0.2">
      <c r="A3" s="150" t="s">
        <v>269</v>
      </c>
    </row>
    <row r="4" spans="1:15" x14ac:dyDescent="0.2">
      <c r="A4" s="154" t="s">
        <v>1260</v>
      </c>
    </row>
    <row r="5" spans="1:15" ht="14.25" x14ac:dyDescent="0.2">
      <c r="A5" s="155" t="s">
        <v>270</v>
      </c>
      <c r="B5" s="155" t="s">
        <v>271</v>
      </c>
      <c r="C5" s="155" t="s">
        <v>132</v>
      </c>
      <c r="D5" s="156" t="s">
        <v>272</v>
      </c>
      <c r="E5" s="156" t="s">
        <v>273</v>
      </c>
      <c r="F5" s="156" t="s">
        <v>1556</v>
      </c>
      <c r="G5" s="156" t="s">
        <v>1557</v>
      </c>
      <c r="H5" s="156" t="s">
        <v>1558</v>
      </c>
      <c r="I5" s="156" t="s">
        <v>1559</v>
      </c>
      <c r="J5" s="156" t="s">
        <v>1560</v>
      </c>
      <c r="K5" s="156" t="s">
        <v>1561</v>
      </c>
      <c r="L5" s="156" t="s">
        <v>1562</v>
      </c>
      <c r="M5" s="157" t="s">
        <v>274</v>
      </c>
      <c r="N5" s="157" t="s">
        <v>1563</v>
      </c>
      <c r="O5" s="157" t="s">
        <v>1564</v>
      </c>
    </row>
    <row r="6" spans="1:15" ht="38.25" x14ac:dyDescent="0.2">
      <c r="A6" s="158" t="s">
        <v>6</v>
      </c>
      <c r="B6" s="159" t="s">
        <v>275</v>
      </c>
      <c r="C6" s="160" t="s">
        <v>276</v>
      </c>
      <c r="D6" s="161">
        <v>1.0994635376187136E-3</v>
      </c>
      <c r="E6" s="161">
        <v>2.9382215229465623E-3</v>
      </c>
      <c r="F6" s="161">
        <v>9.2506587303091761E-3</v>
      </c>
      <c r="G6" s="161">
        <v>1.1184198055086913E-3</v>
      </c>
      <c r="H6" s="161">
        <v>3.8860349174454526E-4</v>
      </c>
      <c r="I6" s="161">
        <v>1.9524955926677155E-3</v>
      </c>
      <c r="J6" s="161">
        <v>1.8861486550527932E-2</v>
      </c>
      <c r="K6" s="161">
        <v>4.3599416146948987E-5</v>
      </c>
      <c r="L6" s="162">
        <v>2.4880101605595888</v>
      </c>
      <c r="M6" s="163">
        <v>3.1277842018463403E-5</v>
      </c>
      <c r="N6" s="163">
        <v>1.2321574128485582E-5</v>
      </c>
      <c r="O6" s="164">
        <v>0</v>
      </c>
    </row>
    <row r="7" spans="1:15" x14ac:dyDescent="0.2">
      <c r="A7" s="158" t="s">
        <v>277</v>
      </c>
      <c r="B7" s="159" t="s">
        <v>278</v>
      </c>
      <c r="C7" s="160" t="s">
        <v>276</v>
      </c>
      <c r="D7" s="161">
        <v>6.501999886262393E-3</v>
      </c>
      <c r="E7" s="161">
        <v>1.5165014311982258E-4</v>
      </c>
      <c r="F7" s="161">
        <v>5.4973176880935681E-4</v>
      </c>
      <c r="G7" s="161">
        <v>0.1602468106079275</v>
      </c>
      <c r="H7" s="161">
        <v>3.9609121756108652E-2</v>
      </c>
      <c r="I7" s="161">
        <v>6.2650465376376694E-3</v>
      </c>
      <c r="J7" s="161">
        <v>0.11174719921141925</v>
      </c>
      <c r="K7" s="161">
        <v>4.7390669724944556E-6</v>
      </c>
      <c r="L7" s="162">
        <v>0.43978541504748542</v>
      </c>
      <c r="M7" s="161">
        <v>2.0595985062460899E-3</v>
      </c>
      <c r="N7" s="161">
        <v>5.5447083578185122E-4</v>
      </c>
      <c r="O7" s="165">
        <v>0</v>
      </c>
    </row>
    <row r="8" spans="1:15" ht="14.25" x14ac:dyDescent="0.2">
      <c r="A8" s="322" t="s">
        <v>148</v>
      </c>
      <c r="B8" s="159" t="s">
        <v>279</v>
      </c>
      <c r="C8" s="160" t="s">
        <v>276</v>
      </c>
      <c r="D8" s="161">
        <v>5.6868803669933468E-4</v>
      </c>
      <c r="E8" s="161">
        <v>4.0471631945102641E-3</v>
      </c>
      <c r="F8" s="161">
        <v>1.3364168862434363E-2</v>
      </c>
      <c r="G8" s="161">
        <v>1.8008454495478928E-4</v>
      </c>
      <c r="H8" s="161">
        <v>1.2321574128485585E-4</v>
      </c>
      <c r="I8" s="161">
        <v>4.0755975963452314E-4</v>
      </c>
      <c r="J8" s="161">
        <v>7.4592914147062719E-2</v>
      </c>
      <c r="K8" s="161">
        <v>2.9382215229465622E-5</v>
      </c>
      <c r="L8" s="162">
        <v>1.3980247568858644</v>
      </c>
      <c r="M8" s="166" t="s">
        <v>1565</v>
      </c>
      <c r="N8" s="166" t="s">
        <v>280</v>
      </c>
      <c r="O8" s="164">
        <v>0</v>
      </c>
    </row>
    <row r="9" spans="1:15" ht="25.5" x14ac:dyDescent="0.2">
      <c r="A9" s="322"/>
      <c r="B9" s="159" t="s">
        <v>281</v>
      </c>
      <c r="C9" s="160" t="s">
        <v>276</v>
      </c>
      <c r="D9" s="161">
        <v>1.8008454495478928E-4</v>
      </c>
      <c r="E9" s="161">
        <v>7.0138191192917936E-4</v>
      </c>
      <c r="F9" s="161">
        <v>2.7581369779917731E-3</v>
      </c>
      <c r="G9" s="161">
        <v>3.0330028623964516E-4</v>
      </c>
      <c r="H9" s="161">
        <v>1.4217200917483367E-4</v>
      </c>
      <c r="I9" s="161">
        <v>6.4451310825924585E-4</v>
      </c>
      <c r="J9" s="161">
        <v>3.1941311394612634E-2</v>
      </c>
      <c r="K9" s="161">
        <v>3.6016908990957858E-5</v>
      </c>
      <c r="L9" s="162">
        <v>1.7544025932174472</v>
      </c>
      <c r="M9" s="166" t="s">
        <v>280</v>
      </c>
      <c r="N9" s="166" t="s">
        <v>280</v>
      </c>
      <c r="O9" s="165">
        <v>0</v>
      </c>
    </row>
    <row r="10" spans="1:15" ht="25.5" x14ac:dyDescent="0.2">
      <c r="A10" s="322"/>
      <c r="B10" s="159" t="s">
        <v>282</v>
      </c>
      <c r="C10" s="160" t="s">
        <v>276</v>
      </c>
      <c r="D10" s="161">
        <v>4.1893352036850981E-3</v>
      </c>
      <c r="E10" s="161">
        <v>1.1373760733986694E-3</v>
      </c>
      <c r="F10" s="161">
        <v>1.4691107614732812E-3</v>
      </c>
      <c r="G10" s="161">
        <v>1.8956267889977822E-5</v>
      </c>
      <c r="H10" s="161">
        <v>9.4781339449889112E-6</v>
      </c>
      <c r="I10" s="161">
        <v>9.6013496862737656E-3</v>
      </c>
      <c r="J10" s="161">
        <v>0</v>
      </c>
      <c r="K10" s="161">
        <v>0</v>
      </c>
      <c r="L10" s="162">
        <v>1.1771842359676226</v>
      </c>
      <c r="M10" s="166" t="s">
        <v>280</v>
      </c>
      <c r="N10" s="166" t="s">
        <v>280</v>
      </c>
      <c r="O10" s="164">
        <v>0</v>
      </c>
    </row>
    <row r="11" spans="1:15" x14ac:dyDescent="0.2">
      <c r="A11" s="322"/>
      <c r="B11" s="159" t="s">
        <v>283</v>
      </c>
      <c r="C11" s="160" t="s">
        <v>276</v>
      </c>
      <c r="D11" s="161">
        <v>4.9381077853392222E-3</v>
      </c>
      <c r="E11" s="161">
        <v>5.8859211798381128E-3</v>
      </c>
      <c r="F11" s="161">
        <v>1.7591416601899418E-2</v>
      </c>
      <c r="G11" s="161">
        <v>5.0234109908441234E-4</v>
      </c>
      <c r="H11" s="161">
        <v>2.748658844046784E-4</v>
      </c>
      <c r="I11" s="161">
        <v>1.0653422554167534E-2</v>
      </c>
      <c r="J11" s="161">
        <v>0.10653422554167534</v>
      </c>
      <c r="K11" s="161">
        <v>6.5399124220423487E-5</v>
      </c>
      <c r="L11" s="162">
        <v>4.3296115860709348</v>
      </c>
      <c r="M11" s="167">
        <v>1.8008454495478929E-5</v>
      </c>
      <c r="N11" s="167">
        <v>4.7390669724944556E-6</v>
      </c>
      <c r="O11" s="165">
        <v>0</v>
      </c>
    </row>
    <row r="12" spans="1:15" x14ac:dyDescent="0.2">
      <c r="A12" s="322" t="s">
        <v>284</v>
      </c>
      <c r="B12" s="159" t="s">
        <v>285</v>
      </c>
      <c r="C12" s="160" t="s">
        <v>276</v>
      </c>
      <c r="D12" s="161">
        <v>2.8434401834966729E-5</v>
      </c>
      <c r="E12" s="161">
        <v>1.8008454495478928E-4</v>
      </c>
      <c r="F12" s="161">
        <v>6.2555684036926808E-4</v>
      </c>
      <c r="G12" s="161">
        <v>1.4217200917483367E-4</v>
      </c>
      <c r="H12" s="161">
        <v>3.7912535779955645E-5</v>
      </c>
      <c r="I12" s="161">
        <v>2.464314825697117E-4</v>
      </c>
      <c r="J12" s="161">
        <v>4.7390669724944548E-4</v>
      </c>
      <c r="K12" s="161">
        <v>2.8434401834966729E-6</v>
      </c>
      <c r="L12" s="162">
        <v>0.15638921009231702</v>
      </c>
      <c r="M12" s="166" t="s">
        <v>280</v>
      </c>
      <c r="N12" s="166" t="s">
        <v>280</v>
      </c>
      <c r="O12" s="165">
        <v>0</v>
      </c>
    </row>
    <row r="13" spans="1:15" x14ac:dyDescent="0.2">
      <c r="A13" s="322"/>
      <c r="B13" s="159" t="s">
        <v>286</v>
      </c>
      <c r="C13" s="160" t="s">
        <v>276</v>
      </c>
      <c r="D13" s="161">
        <v>0</v>
      </c>
      <c r="E13" s="161">
        <v>0</v>
      </c>
      <c r="F13" s="161">
        <v>0</v>
      </c>
      <c r="G13" s="161">
        <v>0</v>
      </c>
      <c r="H13" s="161">
        <v>0</v>
      </c>
      <c r="I13" s="161">
        <v>0</v>
      </c>
      <c r="J13" s="161">
        <v>0</v>
      </c>
      <c r="K13" s="161">
        <v>0</v>
      </c>
      <c r="L13" s="162">
        <v>9.4781339449889095E-4</v>
      </c>
      <c r="M13" s="166" t="s">
        <v>280</v>
      </c>
      <c r="N13" s="166" t="s">
        <v>280</v>
      </c>
      <c r="O13" s="165">
        <v>0</v>
      </c>
    </row>
    <row r="14" spans="1:15" x14ac:dyDescent="0.2">
      <c r="A14" s="322"/>
      <c r="B14" s="159" t="s">
        <v>287</v>
      </c>
      <c r="C14" s="160" t="s">
        <v>276</v>
      </c>
      <c r="D14" s="161">
        <v>7.582507155991129E-5</v>
      </c>
      <c r="E14" s="161">
        <v>2.1799708073474492E-4</v>
      </c>
      <c r="F14" s="161">
        <v>8.5303205504900191E-4</v>
      </c>
      <c r="G14" s="161">
        <v>1.0899854036737246E-3</v>
      </c>
      <c r="H14" s="161">
        <v>2.8434401834966734E-4</v>
      </c>
      <c r="I14" s="161">
        <v>1.8861486550527931E-3</v>
      </c>
      <c r="J14" s="161">
        <v>1.1373760733986694E-3</v>
      </c>
      <c r="K14" s="161">
        <v>1.04259473394878E-5</v>
      </c>
      <c r="L14" s="162">
        <v>0.8340757871590242</v>
      </c>
      <c r="M14" s="166" t="s">
        <v>280</v>
      </c>
      <c r="N14" s="166" t="s">
        <v>280</v>
      </c>
      <c r="O14" s="165">
        <v>0</v>
      </c>
    </row>
    <row r="15" spans="1:15" ht="38.25" x14ac:dyDescent="0.2">
      <c r="A15" s="322"/>
      <c r="B15" s="159" t="s">
        <v>288</v>
      </c>
      <c r="C15" s="160" t="s">
        <v>276</v>
      </c>
      <c r="D15" s="161">
        <v>1.8956267889977822E-5</v>
      </c>
      <c r="E15" s="161">
        <v>1.04259473394878E-4</v>
      </c>
      <c r="F15" s="161">
        <v>3.6016908990957856E-4</v>
      </c>
      <c r="G15" s="161">
        <v>6.634693761492238E-5</v>
      </c>
      <c r="H15" s="161">
        <v>1.8956267889977822E-5</v>
      </c>
      <c r="I15" s="161">
        <v>1.2321574128485585E-4</v>
      </c>
      <c r="J15" s="161">
        <v>2.8434401834966734E-4</v>
      </c>
      <c r="K15" s="161">
        <v>9.4781339449889091E-7</v>
      </c>
      <c r="L15" s="162">
        <v>8.3407578715902403E-2</v>
      </c>
      <c r="M15" s="166" t="s">
        <v>280</v>
      </c>
      <c r="N15" s="166" t="s">
        <v>280</v>
      </c>
      <c r="O15" s="165">
        <v>0</v>
      </c>
    </row>
    <row r="16" spans="1:15" x14ac:dyDescent="0.2">
      <c r="A16" s="322"/>
      <c r="B16" s="159" t="s">
        <v>289</v>
      </c>
      <c r="C16" s="160" t="s">
        <v>276</v>
      </c>
      <c r="D16" s="161">
        <v>1.2321574128485585E-4</v>
      </c>
      <c r="E16" s="161">
        <v>5.1181923302940117E-4</v>
      </c>
      <c r="F16" s="161">
        <v>1.8482361192728375E-3</v>
      </c>
      <c r="G16" s="161">
        <v>1.3079824844084696E-3</v>
      </c>
      <c r="H16" s="161">
        <v>3.5069095596458968E-4</v>
      </c>
      <c r="I16" s="161">
        <v>2.2557958789073606E-3</v>
      </c>
      <c r="J16" s="161">
        <v>1.8956267889977819E-3</v>
      </c>
      <c r="K16" s="161">
        <v>1.4217200917483364E-5</v>
      </c>
      <c r="L16" s="162">
        <v>1.0738725759672434</v>
      </c>
      <c r="M16" s="166" t="s">
        <v>280</v>
      </c>
      <c r="N16" s="166" t="s">
        <v>280</v>
      </c>
      <c r="O16" s="165">
        <v>0</v>
      </c>
    </row>
    <row r="17" spans="1:8" ht="14.25" x14ac:dyDescent="0.2">
      <c r="A17" s="168" t="s">
        <v>1553</v>
      </c>
    </row>
    <row r="18" spans="1:8" ht="14.25" x14ac:dyDescent="0.2">
      <c r="A18" s="168" t="s">
        <v>1554</v>
      </c>
    </row>
    <row r="19" spans="1:8" ht="14.25" x14ac:dyDescent="0.2">
      <c r="A19" s="168" t="s">
        <v>1555</v>
      </c>
    </row>
    <row r="22" spans="1:8" x14ac:dyDescent="0.2">
      <c r="A22" s="150" t="s">
        <v>1566</v>
      </c>
    </row>
    <row r="23" spans="1:8" x14ac:dyDescent="0.2">
      <c r="A23" s="169" t="s">
        <v>290</v>
      </c>
      <c r="B23" s="170"/>
      <c r="C23" s="170"/>
      <c r="D23" s="170"/>
      <c r="E23" s="170"/>
    </row>
    <row r="24" spans="1:8" x14ac:dyDescent="0.2">
      <c r="A24" s="170"/>
      <c r="B24" s="170"/>
      <c r="C24" s="170"/>
      <c r="D24" s="170"/>
      <c r="E24" s="170"/>
    </row>
    <row r="25" spans="1:8" x14ac:dyDescent="0.2">
      <c r="A25" s="65"/>
      <c r="B25" s="323" t="s">
        <v>291</v>
      </c>
      <c r="C25" s="323"/>
      <c r="D25" s="323"/>
      <c r="E25" s="323"/>
    </row>
    <row r="26" spans="1:8" ht="75" x14ac:dyDescent="0.2">
      <c r="A26" s="20"/>
      <c r="B26" s="171" t="s">
        <v>292</v>
      </c>
      <c r="C26" s="171" t="s">
        <v>293</v>
      </c>
      <c r="D26" s="172" t="s">
        <v>294</v>
      </c>
      <c r="E26" s="172" t="s">
        <v>295</v>
      </c>
    </row>
    <row r="27" spans="1:8" x14ac:dyDescent="0.2">
      <c r="A27" s="17" t="s">
        <v>296</v>
      </c>
      <c r="B27" s="145">
        <v>0.97200000286102295</v>
      </c>
      <c r="C27" s="145">
        <v>0.97200000286102295</v>
      </c>
      <c r="D27" s="17"/>
      <c r="E27" s="17"/>
    </row>
    <row r="28" spans="1:8" x14ac:dyDescent="0.2">
      <c r="A28" s="17" t="s">
        <v>297</v>
      </c>
      <c r="B28" s="145">
        <v>0.01</v>
      </c>
      <c r="C28" s="145">
        <v>0.01</v>
      </c>
      <c r="D28" s="60"/>
      <c r="E28" s="145"/>
    </row>
    <row r="29" spans="1:8" x14ac:dyDescent="0.2">
      <c r="A29" s="17" t="s">
        <v>298</v>
      </c>
      <c r="B29" s="60"/>
      <c r="C29" s="60">
        <v>1.0014791206912925</v>
      </c>
      <c r="D29" s="60"/>
      <c r="E29" s="60">
        <v>1.0036720572878408</v>
      </c>
    </row>
    <row r="30" spans="1:8" x14ac:dyDescent="0.2">
      <c r="A30" s="17" t="s">
        <v>299</v>
      </c>
      <c r="B30" s="20"/>
      <c r="C30" s="20"/>
      <c r="D30" s="20"/>
      <c r="E30" s="20"/>
      <c r="F30" s="149" t="s">
        <v>300</v>
      </c>
    </row>
    <row r="31" spans="1:8" x14ac:dyDescent="0.2">
      <c r="A31" s="20" t="s">
        <v>301</v>
      </c>
      <c r="B31" s="60">
        <v>0.75722497274563683</v>
      </c>
      <c r="C31" s="60">
        <v>0.19822358339043974</v>
      </c>
      <c r="D31" s="146">
        <v>4.4000000000000004</v>
      </c>
      <c r="E31" s="60">
        <v>0.45055160781865566</v>
      </c>
      <c r="F31" s="149">
        <f>E31*0.00094778</f>
        <v>4.2702380285836546E-4</v>
      </c>
      <c r="H31" s="20"/>
    </row>
    <row r="32" spans="1:8" x14ac:dyDescent="0.2">
      <c r="A32" s="20" t="s">
        <v>302</v>
      </c>
      <c r="B32" s="60">
        <v>4.9469324351571391</v>
      </c>
      <c r="C32" s="60">
        <v>0.79524213962209245</v>
      </c>
      <c r="D32" s="146">
        <v>1.2</v>
      </c>
      <c r="E32" s="60">
        <v>1.0349976862880079</v>
      </c>
      <c r="F32" s="149">
        <f t="shared" ref="F32:F40" si="0">E32*0.00094778</f>
        <v>9.8095010711004801E-4</v>
      </c>
      <c r="H32" s="20"/>
    </row>
    <row r="33" spans="1:10" x14ac:dyDescent="0.2">
      <c r="A33" s="20" t="s">
        <v>303</v>
      </c>
      <c r="B33" s="60">
        <v>15.387618023949463</v>
      </c>
      <c r="C33" s="60">
        <v>3.0383871208239928</v>
      </c>
      <c r="D33" s="146">
        <v>1.546</v>
      </c>
      <c r="E33" s="60">
        <v>2.7566019369022152</v>
      </c>
      <c r="F33" s="149">
        <f t="shared" si="0"/>
        <v>2.6126521837571814E-3</v>
      </c>
      <c r="H33" s="20"/>
    </row>
    <row r="34" spans="1:10" x14ac:dyDescent="0.2">
      <c r="A34" s="20" t="s">
        <v>304</v>
      </c>
      <c r="B34" s="60">
        <v>0.35918494592284961</v>
      </c>
      <c r="C34" s="60">
        <v>0.35059469005841842</v>
      </c>
      <c r="D34" s="146">
        <v>0.02</v>
      </c>
      <c r="E34" s="60">
        <v>0.14467215639954981</v>
      </c>
      <c r="F34" s="149">
        <f t="shared" si="0"/>
        <v>1.371173763923653E-4</v>
      </c>
      <c r="H34" s="20"/>
    </row>
    <row r="35" spans="1:10" x14ac:dyDescent="0.2">
      <c r="A35" s="20" t="s">
        <v>305</v>
      </c>
      <c r="B35" s="60">
        <v>0.26284647979019315</v>
      </c>
      <c r="C35" s="60">
        <v>0.16672718492795827</v>
      </c>
      <c r="D35" s="60">
        <v>0.01</v>
      </c>
      <c r="E35" s="60">
        <v>7.9537845875789423E-2</v>
      </c>
      <c r="F35" s="149">
        <f t="shared" si="0"/>
        <v>7.5384379564155695E-5</v>
      </c>
      <c r="H35" s="20"/>
    </row>
    <row r="36" spans="1:10" x14ac:dyDescent="0.2">
      <c r="A36" s="20" t="s">
        <v>306</v>
      </c>
      <c r="B36" s="60">
        <v>0.52121423316205873</v>
      </c>
      <c r="C36" s="60">
        <v>0.71670427707221296</v>
      </c>
      <c r="D36" s="146">
        <v>10.089</v>
      </c>
      <c r="E36" s="60">
        <v>0.20353485949310335</v>
      </c>
      <c r="F36" s="149">
        <f t="shared" si="0"/>
        <v>1.9290626913037349E-4</v>
      </c>
      <c r="H36" s="20"/>
    </row>
    <row r="37" spans="1:10" x14ac:dyDescent="0.2">
      <c r="A37" s="20" t="s">
        <v>307</v>
      </c>
      <c r="B37" s="60">
        <v>4.5946922578539748</v>
      </c>
      <c r="C37" s="60">
        <v>0.46728869945644053</v>
      </c>
      <c r="D37" s="60"/>
      <c r="E37" s="60">
        <v>1.7443943718210111</v>
      </c>
      <c r="F37" s="149">
        <f t="shared" si="0"/>
        <v>1.6533020977245179E-3</v>
      </c>
      <c r="H37" s="20"/>
    </row>
    <row r="38" spans="1:10" x14ac:dyDescent="0.2">
      <c r="A38" s="20" t="s">
        <v>308</v>
      </c>
      <c r="B38" s="60">
        <v>3.6854129030807911E-2</v>
      </c>
      <c r="C38" s="60">
        <v>3.8858000103391542E-2</v>
      </c>
      <c r="D38" s="60"/>
      <c r="E38" s="60">
        <v>1.0635234459735958E-2</v>
      </c>
      <c r="F38" s="149">
        <f t="shared" si="0"/>
        <v>1.0079862516248546E-5</v>
      </c>
      <c r="H38" s="20"/>
    </row>
    <row r="39" spans="1:10" x14ac:dyDescent="0.2">
      <c r="A39" s="20" t="s">
        <v>309</v>
      </c>
      <c r="B39" s="147">
        <v>1752.5699141333712</v>
      </c>
      <c r="C39" s="147">
        <v>1885.2003251692577</v>
      </c>
      <c r="D39" s="147">
        <v>1237</v>
      </c>
      <c r="E39" s="29">
        <v>362.4550235796338</v>
      </c>
      <c r="F39" s="149">
        <f t="shared" si="0"/>
        <v>0.3435276222483053</v>
      </c>
      <c r="H39" s="20"/>
    </row>
    <row r="40" spans="1:10" x14ac:dyDescent="0.2">
      <c r="A40" s="20" t="s">
        <v>310</v>
      </c>
      <c r="B40" s="60">
        <v>73.736945585482744</v>
      </c>
      <c r="C40" s="60">
        <v>33.103413233402158</v>
      </c>
      <c r="D40" s="29"/>
      <c r="E40" s="60">
        <v>82.182360460325498</v>
      </c>
      <c r="F40" s="149">
        <f t="shared" si="0"/>
        <v>7.7890797597087294E-2</v>
      </c>
      <c r="H40" s="20"/>
    </row>
    <row r="41" spans="1:10" x14ac:dyDescent="0.2">
      <c r="A41" s="20" t="s">
        <v>311</v>
      </c>
      <c r="B41" s="20"/>
      <c r="C41" s="20"/>
      <c r="D41" s="20"/>
      <c r="E41" s="20"/>
    </row>
    <row r="42" spans="1:10" x14ac:dyDescent="0.2">
      <c r="A42" s="20" t="s">
        <v>312</v>
      </c>
      <c r="B42" s="20"/>
      <c r="C42" s="20"/>
      <c r="D42" s="20"/>
      <c r="E42" s="20"/>
    </row>
    <row r="44" spans="1:10" x14ac:dyDescent="0.2">
      <c r="A44" s="149" t="s">
        <v>313</v>
      </c>
      <c r="J44" s="20"/>
    </row>
    <row r="45" spans="1:10" x14ac:dyDescent="0.2">
      <c r="A45" s="20" t="s">
        <v>301</v>
      </c>
      <c r="B45" s="20" t="s">
        <v>302</v>
      </c>
      <c r="C45" s="20" t="s">
        <v>303</v>
      </c>
      <c r="D45" s="20" t="s">
        <v>304</v>
      </c>
      <c r="E45" s="20" t="s">
        <v>305</v>
      </c>
      <c r="F45" s="20" t="s">
        <v>306</v>
      </c>
      <c r="G45" s="20" t="s">
        <v>307</v>
      </c>
      <c r="H45" s="20" t="s">
        <v>308</v>
      </c>
      <c r="I45" s="20" t="s">
        <v>309</v>
      </c>
    </row>
    <row r="46" spans="1:10" x14ac:dyDescent="0.2">
      <c r="A46" s="149">
        <v>4.2702380285836546E-4</v>
      </c>
      <c r="B46" s="149">
        <v>9.8095010711004801E-4</v>
      </c>
      <c r="C46" s="149">
        <v>2.6126521837571814E-3</v>
      </c>
      <c r="D46" s="149">
        <v>1.371173763923653E-4</v>
      </c>
      <c r="E46" s="149">
        <v>7.5384379564155695E-5</v>
      </c>
      <c r="F46" s="149">
        <v>1.9290626913037349E-4</v>
      </c>
      <c r="G46" s="149">
        <f>F40+F37</f>
        <v>7.9544099694811812E-2</v>
      </c>
      <c r="H46" s="149">
        <v>1.0079862516248546E-5</v>
      </c>
      <c r="I46" s="149">
        <v>0.3435276222483053</v>
      </c>
    </row>
    <row r="50" spans="1:4" x14ac:dyDescent="0.2">
      <c r="A50" s="149" t="s">
        <v>322</v>
      </c>
    </row>
    <row r="52" spans="1:4" x14ac:dyDescent="0.2">
      <c r="A52" s="149" t="s">
        <v>323</v>
      </c>
    </row>
    <row r="53" spans="1:4" x14ac:dyDescent="0.2">
      <c r="C53" s="149">
        <v>2006</v>
      </c>
      <c r="D53" s="149" t="s">
        <v>324</v>
      </c>
    </row>
    <row r="54" spans="1:4" x14ac:dyDescent="0.2">
      <c r="A54" s="149" t="s">
        <v>325</v>
      </c>
      <c r="C54" s="149">
        <v>5624</v>
      </c>
      <c r="D54" s="149">
        <f>C54/C62</f>
        <v>0.2795645473977233</v>
      </c>
    </row>
    <row r="55" spans="1:4" x14ac:dyDescent="0.2">
      <c r="A55" s="149" t="s">
        <v>326</v>
      </c>
      <c r="C55" s="149">
        <v>704</v>
      </c>
      <c r="D55" s="149">
        <f>C55/C62</f>
        <v>3.4995277625888555E-2</v>
      </c>
    </row>
    <row r="56" spans="1:4" x14ac:dyDescent="0.2">
      <c r="A56" s="149" t="s">
        <v>327</v>
      </c>
      <c r="C56" s="149">
        <v>1949</v>
      </c>
    </row>
    <row r="57" spans="1:4" x14ac:dyDescent="0.2">
      <c r="A57" s="149" t="s">
        <v>328</v>
      </c>
      <c r="C57" s="149">
        <v>1346</v>
      </c>
    </row>
    <row r="58" spans="1:4" x14ac:dyDescent="0.2">
      <c r="A58" s="149" t="s">
        <v>58</v>
      </c>
      <c r="C58" s="149">
        <v>9499</v>
      </c>
    </row>
    <row r="60" spans="1:4" x14ac:dyDescent="0.2">
      <c r="A60" s="149" t="s">
        <v>329</v>
      </c>
    </row>
    <row r="61" spans="1:4" x14ac:dyDescent="0.2">
      <c r="A61" s="149" t="s">
        <v>330</v>
      </c>
      <c r="C61" s="173">
        <v>18503605</v>
      </c>
      <c r="D61" s="149" t="s">
        <v>331</v>
      </c>
    </row>
    <row r="62" spans="1:4" x14ac:dyDescent="0.2">
      <c r="A62" s="149" t="s">
        <v>332</v>
      </c>
      <c r="C62" s="174">
        <v>20117</v>
      </c>
      <c r="D62" s="149" t="s">
        <v>144</v>
      </c>
    </row>
    <row r="65" spans="1:7" x14ac:dyDescent="0.2">
      <c r="A65" s="150" t="s">
        <v>1567</v>
      </c>
    </row>
    <row r="66" spans="1:7" x14ac:dyDescent="0.2">
      <c r="B66" s="17" t="s">
        <v>675</v>
      </c>
      <c r="C66" s="20"/>
      <c r="D66" s="20"/>
      <c r="E66" s="20"/>
      <c r="F66" s="20"/>
    </row>
    <row r="67" spans="1:7" x14ac:dyDescent="0.2">
      <c r="B67" s="20"/>
      <c r="C67" s="20"/>
      <c r="D67" s="20"/>
      <c r="E67" s="20"/>
      <c r="F67" s="20"/>
    </row>
    <row r="68" spans="1:7" x14ac:dyDescent="0.2">
      <c r="B68" s="20" t="s">
        <v>676</v>
      </c>
      <c r="C68" s="20"/>
      <c r="D68" s="20"/>
      <c r="E68" s="20"/>
      <c r="F68" s="20"/>
    </row>
    <row r="69" spans="1:7" x14ac:dyDescent="0.2">
      <c r="B69" s="20"/>
      <c r="C69" s="20"/>
      <c r="D69" s="20"/>
      <c r="E69" s="20"/>
      <c r="F69" s="20"/>
    </row>
    <row r="70" spans="1:7" x14ac:dyDescent="0.2">
      <c r="B70" s="20"/>
      <c r="C70" s="20">
        <v>2005</v>
      </c>
      <c r="D70" s="20">
        <v>2010</v>
      </c>
      <c r="E70" s="20">
        <v>2015</v>
      </c>
      <c r="F70" s="20" t="s">
        <v>646</v>
      </c>
    </row>
    <row r="71" spans="1:7" x14ac:dyDescent="0.2">
      <c r="B71" s="20" t="s">
        <v>272</v>
      </c>
      <c r="C71" s="148">
        <v>8.4612000000000001E-4</v>
      </c>
      <c r="D71" s="148">
        <v>7.3165000000000003E-4</v>
      </c>
      <c r="E71" s="148">
        <v>6.9187000000000003E-4</v>
      </c>
      <c r="F71" s="148">
        <v>6.6925999999999997E-4</v>
      </c>
    </row>
    <row r="72" spans="1:7" x14ac:dyDescent="0.2">
      <c r="B72" s="20" t="s">
        <v>273</v>
      </c>
      <c r="C72" s="148">
        <v>8.7169900000000008E-3</v>
      </c>
      <c r="D72" s="148">
        <v>4.8229299999999996E-3</v>
      </c>
      <c r="E72" s="148">
        <v>4.5913300000000002E-3</v>
      </c>
      <c r="F72" s="148">
        <v>4.4275499999999997E-3</v>
      </c>
    </row>
    <row r="73" spans="1:7" x14ac:dyDescent="0.2">
      <c r="B73" s="20" t="s">
        <v>677</v>
      </c>
      <c r="C73" s="148">
        <v>1.8813300000000002E-2</v>
      </c>
      <c r="D73" s="148">
        <v>1.509156E-2</v>
      </c>
      <c r="E73" s="148">
        <v>1.298537E-2</v>
      </c>
      <c r="F73" s="148">
        <v>1.214993E-2</v>
      </c>
    </row>
    <row r="74" spans="1:7" x14ac:dyDescent="0.2">
      <c r="B74" s="20" t="s">
        <v>315</v>
      </c>
      <c r="C74" s="148">
        <v>4.1800000000000002E-4</v>
      </c>
      <c r="D74" s="148">
        <v>3.5759000000000002E-4</v>
      </c>
      <c r="E74" s="148">
        <v>3.2223000000000001E-4</v>
      </c>
      <c r="F74" s="148">
        <v>2.9514E-4</v>
      </c>
    </row>
    <row r="75" spans="1:7" x14ac:dyDescent="0.2">
      <c r="B75" s="20" t="s">
        <v>316</v>
      </c>
      <c r="C75" s="148">
        <v>3.2840000000000001E-4</v>
      </c>
      <c r="D75" s="148">
        <v>2.7726999999999998E-4</v>
      </c>
      <c r="E75" s="148">
        <v>2.4601000000000001E-4</v>
      </c>
      <c r="F75" s="148">
        <v>2.2243999999999999E-4</v>
      </c>
    </row>
    <row r="76" spans="1:7" x14ac:dyDescent="0.2">
      <c r="B76" s="20" t="s">
        <v>317</v>
      </c>
      <c r="C76" s="148">
        <v>8.2742000000000004E-4</v>
      </c>
      <c r="D76" s="148">
        <v>5.4062999999999995E-4</v>
      </c>
      <c r="E76" s="148">
        <v>4.8401E-4</v>
      </c>
      <c r="F76" s="148">
        <v>4.8117E-4</v>
      </c>
    </row>
    <row r="77" spans="1:7" x14ac:dyDescent="0.2">
      <c r="B77" s="20" t="s">
        <v>318</v>
      </c>
      <c r="C77" s="148">
        <v>0.39119804000000002</v>
      </c>
      <c r="D77" s="148">
        <v>0.39120453999999999</v>
      </c>
      <c r="E77" s="148">
        <v>0.39119350000000003</v>
      </c>
      <c r="F77" s="148">
        <v>0.39118678000000001</v>
      </c>
      <c r="G77" s="149" t="s">
        <v>1262</v>
      </c>
    </row>
    <row r="78" spans="1:7" x14ac:dyDescent="0.2">
      <c r="B78" s="20" t="s">
        <v>319</v>
      </c>
      <c r="C78" s="148">
        <v>4.3049000000000001E-5</v>
      </c>
      <c r="D78" s="148">
        <v>4.3059000000000002E-5</v>
      </c>
      <c r="E78" s="148">
        <v>4.3050999999999998E-5</v>
      </c>
      <c r="F78" s="148">
        <v>4.3032999999999999E-5</v>
      </c>
    </row>
    <row r="79" spans="1:7" x14ac:dyDescent="0.2">
      <c r="B79" s="20" t="s">
        <v>320</v>
      </c>
      <c r="C79" s="148">
        <v>1.93517228</v>
      </c>
      <c r="D79" s="148">
        <v>1.9422011100000001</v>
      </c>
      <c r="E79" s="148">
        <v>1.9412332000000001</v>
      </c>
      <c r="F79" s="148">
        <v>1.9404608800000001</v>
      </c>
      <c r="G79" s="149" t="s">
        <v>1262</v>
      </c>
    </row>
    <row r="82" spans="1:11" x14ac:dyDescent="0.2">
      <c r="A82" s="150" t="s">
        <v>1568</v>
      </c>
    </row>
    <row r="83" spans="1:11" x14ac:dyDescent="0.2">
      <c r="A83" s="150" t="s">
        <v>678</v>
      </c>
    </row>
    <row r="84" spans="1:11" x14ac:dyDescent="0.2">
      <c r="A84" s="149" t="s">
        <v>679</v>
      </c>
      <c r="C84" s="321" t="s">
        <v>680</v>
      </c>
      <c r="D84" s="321"/>
      <c r="E84" s="321"/>
      <c r="F84" s="321" t="s">
        <v>681</v>
      </c>
      <c r="G84" s="321"/>
      <c r="H84" s="321"/>
      <c r="I84" s="321" t="s">
        <v>682</v>
      </c>
      <c r="J84" s="321"/>
      <c r="K84" s="321"/>
    </row>
    <row r="85" spans="1:11" x14ac:dyDescent="0.2">
      <c r="A85" s="149" t="s">
        <v>683</v>
      </c>
      <c r="C85" s="149" t="s">
        <v>684</v>
      </c>
      <c r="D85" s="149" t="s">
        <v>320</v>
      </c>
      <c r="E85" s="149" t="s">
        <v>318</v>
      </c>
      <c r="F85" s="149" t="s">
        <v>684</v>
      </c>
      <c r="G85" s="149" t="s">
        <v>320</v>
      </c>
      <c r="H85" s="149" t="s">
        <v>318</v>
      </c>
      <c r="I85" s="149" t="s">
        <v>684</v>
      </c>
      <c r="J85" s="149" t="s">
        <v>320</v>
      </c>
      <c r="K85" s="149" t="s">
        <v>318</v>
      </c>
    </row>
    <row r="86" spans="1:11" x14ac:dyDescent="0.2">
      <c r="A86" s="149" t="s">
        <v>685</v>
      </c>
      <c r="B86" s="149" t="s">
        <v>686</v>
      </c>
      <c r="C86" s="149">
        <v>0.16</v>
      </c>
      <c r="D86" s="149">
        <f>C86</f>
        <v>0.16</v>
      </c>
      <c r="F86" s="149">
        <v>0.16</v>
      </c>
      <c r="G86" s="149">
        <f>F86</f>
        <v>0.16</v>
      </c>
      <c r="I86" s="149">
        <v>0.16</v>
      </c>
      <c r="J86" s="149">
        <f>I86</f>
        <v>0.16</v>
      </c>
    </row>
    <row r="87" spans="1:11" x14ac:dyDescent="0.2">
      <c r="B87" s="149" t="s">
        <v>687</v>
      </c>
      <c r="C87" s="149">
        <v>0.23</v>
      </c>
      <c r="D87" s="149">
        <f>C87</f>
        <v>0.23</v>
      </c>
      <c r="F87" s="149">
        <v>0.2</v>
      </c>
      <c r="G87" s="149">
        <f>F87</f>
        <v>0.2</v>
      </c>
      <c r="I87" s="149">
        <v>0.2</v>
      </c>
      <c r="J87" s="149">
        <f>I87</f>
        <v>0.2</v>
      </c>
    </row>
    <row r="88" spans="1:11" x14ac:dyDescent="0.2">
      <c r="B88" s="149" t="s">
        <v>688</v>
      </c>
      <c r="F88" s="149">
        <v>0.26</v>
      </c>
      <c r="G88" s="149">
        <f>F88</f>
        <v>0.26</v>
      </c>
      <c r="I88" s="149">
        <v>0.26</v>
      </c>
      <c r="J88" s="149">
        <f>I88</f>
        <v>0.26</v>
      </c>
    </row>
    <row r="89" spans="1:11" x14ac:dyDescent="0.2">
      <c r="B89" s="149" t="s">
        <v>689</v>
      </c>
      <c r="F89" s="149">
        <v>7.0000000000000007E-2</v>
      </c>
      <c r="G89" s="149">
        <f>F89</f>
        <v>7.0000000000000007E-2</v>
      </c>
      <c r="I89" s="149">
        <v>7.0000000000000007E-2</v>
      </c>
      <c r="J89" s="149">
        <f>I89</f>
        <v>7.0000000000000007E-2</v>
      </c>
    </row>
    <row r="90" spans="1:11" x14ac:dyDescent="0.2">
      <c r="B90" s="149" t="s">
        <v>690</v>
      </c>
      <c r="C90" s="149">
        <v>0.18</v>
      </c>
      <c r="E90" s="149">
        <f>C90/25</f>
        <v>7.1999999999999998E-3</v>
      </c>
      <c r="F90" s="149">
        <v>1.2</v>
      </c>
      <c r="H90" s="149">
        <f>F90/25</f>
        <v>4.8000000000000001E-2</v>
      </c>
      <c r="I90" s="149">
        <v>0.2</v>
      </c>
      <c r="K90" s="149">
        <f>I90/25</f>
        <v>8.0000000000000002E-3</v>
      </c>
    </row>
    <row r="91" spans="1:11" x14ac:dyDescent="0.2">
      <c r="A91" s="150"/>
      <c r="B91" s="150" t="s">
        <v>691</v>
      </c>
      <c r="C91" s="150">
        <f>SUM(C86:C90)</f>
        <v>0.57000000000000006</v>
      </c>
      <c r="D91" s="150">
        <f t="shared" ref="D91:K91" si="1">SUM(D86:D90)</f>
        <v>0.39</v>
      </c>
      <c r="E91" s="150">
        <f t="shared" si="1"/>
        <v>7.1999999999999998E-3</v>
      </c>
      <c r="F91" s="150">
        <f t="shared" si="1"/>
        <v>1.89</v>
      </c>
      <c r="G91" s="150">
        <f t="shared" si="1"/>
        <v>0.69</v>
      </c>
      <c r="H91" s="150">
        <f t="shared" si="1"/>
        <v>4.8000000000000001E-2</v>
      </c>
      <c r="I91" s="150">
        <f t="shared" si="1"/>
        <v>0.8899999999999999</v>
      </c>
      <c r="J91" s="150">
        <f t="shared" si="1"/>
        <v>0.69</v>
      </c>
      <c r="K91" s="150">
        <f t="shared" si="1"/>
        <v>8.0000000000000002E-3</v>
      </c>
    </row>
    <row r="92" spans="1:11" x14ac:dyDescent="0.2">
      <c r="A92" s="149" t="s">
        <v>692</v>
      </c>
      <c r="B92" s="149" t="s">
        <v>693</v>
      </c>
      <c r="C92" s="149">
        <v>0.6</v>
      </c>
      <c r="D92" s="149">
        <f>C92</f>
        <v>0.6</v>
      </c>
      <c r="F92" s="149">
        <v>0.6</v>
      </c>
      <c r="G92" s="149">
        <f>F92</f>
        <v>0.6</v>
      </c>
      <c r="I92" s="149">
        <v>0.6</v>
      </c>
      <c r="J92" s="149">
        <f>I92</f>
        <v>0.6</v>
      </c>
    </row>
    <row r="93" spans="1:11" x14ac:dyDescent="0.2">
      <c r="B93" s="149" t="s">
        <v>694</v>
      </c>
      <c r="C93" s="149">
        <v>3.2</v>
      </c>
      <c r="D93" s="149">
        <f>C93</f>
        <v>3.2</v>
      </c>
      <c r="F93" s="149">
        <v>3.2</v>
      </c>
      <c r="G93" s="149">
        <f>F93</f>
        <v>3.2</v>
      </c>
      <c r="I93" s="149">
        <v>3.2</v>
      </c>
      <c r="J93" s="149">
        <f>I93</f>
        <v>3.2</v>
      </c>
    </row>
    <row r="94" spans="1:11" x14ac:dyDescent="0.2">
      <c r="B94" s="149" t="s">
        <v>695</v>
      </c>
      <c r="C94" s="149">
        <v>1.2</v>
      </c>
      <c r="D94" s="149">
        <f>C94</f>
        <v>1.2</v>
      </c>
      <c r="F94" s="149">
        <v>1.2</v>
      </c>
      <c r="G94" s="149">
        <f>F94</f>
        <v>1.2</v>
      </c>
      <c r="I94" s="149">
        <v>1.2</v>
      </c>
      <c r="J94" s="149">
        <f>I94</f>
        <v>1.2</v>
      </c>
    </row>
    <row r="95" spans="1:11" x14ac:dyDescent="0.2">
      <c r="B95" s="149" t="s">
        <v>696</v>
      </c>
      <c r="C95" s="149">
        <v>2.7</v>
      </c>
      <c r="E95" s="149">
        <f>C95/25</f>
        <v>0.10800000000000001</v>
      </c>
      <c r="F95" s="149">
        <v>2.7</v>
      </c>
      <c r="H95" s="149">
        <f>F95/25</f>
        <v>0.10800000000000001</v>
      </c>
      <c r="I95" s="149">
        <v>2.7</v>
      </c>
      <c r="K95" s="149">
        <f>I95/25</f>
        <v>0.10800000000000001</v>
      </c>
    </row>
    <row r="96" spans="1:11" x14ac:dyDescent="0.2">
      <c r="B96" s="149" t="s">
        <v>697</v>
      </c>
      <c r="C96" s="149">
        <v>1.8</v>
      </c>
      <c r="E96" s="149">
        <f>C96/25</f>
        <v>7.2000000000000008E-2</v>
      </c>
      <c r="F96" s="149">
        <v>1.8</v>
      </c>
      <c r="H96" s="149">
        <f>F96/25</f>
        <v>7.2000000000000008E-2</v>
      </c>
      <c r="I96" s="149">
        <v>1.8</v>
      </c>
      <c r="K96" s="149">
        <f>I96/25</f>
        <v>7.2000000000000008E-2</v>
      </c>
    </row>
    <row r="97" spans="1:13" x14ac:dyDescent="0.2">
      <c r="B97" s="149" t="s">
        <v>698</v>
      </c>
      <c r="C97" s="149">
        <v>0</v>
      </c>
      <c r="F97" s="149">
        <v>1.2</v>
      </c>
      <c r="H97" s="149">
        <f>F97/25</f>
        <v>4.8000000000000001E-2</v>
      </c>
      <c r="I97" s="149">
        <v>0.2</v>
      </c>
      <c r="K97" s="149">
        <f>I97/25</f>
        <v>8.0000000000000002E-3</v>
      </c>
    </row>
    <row r="98" spans="1:13" x14ac:dyDescent="0.2">
      <c r="B98" s="149" t="s">
        <v>699</v>
      </c>
      <c r="C98" s="149">
        <v>3.8</v>
      </c>
      <c r="E98" s="149">
        <f>C98/25</f>
        <v>0.152</v>
      </c>
      <c r="H98" s="149">
        <f>F98/25</f>
        <v>0</v>
      </c>
      <c r="K98" s="149">
        <f>I98/25</f>
        <v>0</v>
      </c>
    </row>
    <row r="99" spans="1:13" x14ac:dyDescent="0.2">
      <c r="A99" s="150"/>
      <c r="B99" s="150" t="s">
        <v>691</v>
      </c>
      <c r="C99" s="150">
        <f t="shared" ref="C99:K99" si="2">SUM(C92:C98)</f>
        <v>13.3</v>
      </c>
      <c r="D99" s="150">
        <f t="shared" si="2"/>
        <v>5</v>
      </c>
      <c r="E99" s="150">
        <f t="shared" si="2"/>
        <v>0.33200000000000002</v>
      </c>
      <c r="F99" s="150">
        <f t="shared" si="2"/>
        <v>10.7</v>
      </c>
      <c r="G99" s="150">
        <f t="shared" si="2"/>
        <v>5</v>
      </c>
      <c r="H99" s="150">
        <f t="shared" si="2"/>
        <v>0.22800000000000004</v>
      </c>
      <c r="I99" s="150">
        <f t="shared" si="2"/>
        <v>9.6999999999999993</v>
      </c>
      <c r="J99" s="150">
        <f t="shared" si="2"/>
        <v>5</v>
      </c>
      <c r="K99" s="150">
        <f t="shared" si="2"/>
        <v>0.18800000000000003</v>
      </c>
    </row>
    <row r="100" spans="1:13" x14ac:dyDescent="0.2">
      <c r="A100" s="149" t="s">
        <v>700</v>
      </c>
      <c r="B100" s="149" t="s">
        <v>701</v>
      </c>
      <c r="C100" s="149">
        <v>0.4</v>
      </c>
      <c r="D100" s="149">
        <f>C100</f>
        <v>0.4</v>
      </c>
      <c r="F100" s="149">
        <v>0.4</v>
      </c>
      <c r="G100" s="149">
        <f>F100</f>
        <v>0.4</v>
      </c>
      <c r="I100" s="149">
        <v>0.4</v>
      </c>
      <c r="J100" s="149">
        <f>I100</f>
        <v>0.4</v>
      </c>
    </row>
    <row r="101" spans="1:13" x14ac:dyDescent="0.2">
      <c r="B101" s="149" t="s">
        <v>702</v>
      </c>
      <c r="C101" s="149">
        <v>1.9</v>
      </c>
      <c r="E101" s="149">
        <f>C101/25</f>
        <v>7.5999999999999998E-2</v>
      </c>
      <c r="F101" s="149">
        <v>1.9</v>
      </c>
      <c r="H101" s="149">
        <f>F101/25</f>
        <v>7.5999999999999998E-2</v>
      </c>
      <c r="I101" s="149">
        <v>1.9</v>
      </c>
      <c r="K101" s="149">
        <f>I101/25</f>
        <v>7.5999999999999998E-2</v>
      </c>
    </row>
    <row r="102" spans="1:13" x14ac:dyDescent="0.2">
      <c r="A102" s="150"/>
      <c r="B102" s="150" t="s">
        <v>691</v>
      </c>
      <c r="C102" s="150">
        <f>SUM(C100:C101)</f>
        <v>2.2999999999999998</v>
      </c>
      <c r="D102" s="150">
        <f t="shared" ref="D102:K102" si="3">SUM(D100:D101)</f>
        <v>0.4</v>
      </c>
      <c r="E102" s="150">
        <f t="shared" si="3"/>
        <v>7.5999999999999998E-2</v>
      </c>
      <c r="F102" s="150">
        <f t="shared" si="3"/>
        <v>2.2999999999999998</v>
      </c>
      <c r="G102" s="150">
        <f t="shared" si="3"/>
        <v>0.4</v>
      </c>
      <c r="H102" s="150">
        <f t="shared" si="3"/>
        <v>7.5999999999999998E-2</v>
      </c>
      <c r="I102" s="150">
        <f t="shared" si="3"/>
        <v>2.2999999999999998</v>
      </c>
      <c r="J102" s="150">
        <f t="shared" si="3"/>
        <v>0.4</v>
      </c>
      <c r="K102" s="150">
        <f t="shared" si="3"/>
        <v>7.5999999999999998E-2</v>
      </c>
    </row>
    <row r="103" spans="1:13" x14ac:dyDescent="0.2">
      <c r="A103" s="150"/>
      <c r="B103" s="150" t="s">
        <v>703</v>
      </c>
      <c r="C103" s="150">
        <f>C91+C99+C102</f>
        <v>16.170000000000002</v>
      </c>
      <c r="D103" s="150">
        <f t="shared" ref="D103:K103" si="4">D91+D99+D102</f>
        <v>5.79</v>
      </c>
      <c r="E103" s="150">
        <f t="shared" si="4"/>
        <v>0.41520000000000001</v>
      </c>
      <c r="F103" s="150">
        <f t="shared" si="4"/>
        <v>14.89</v>
      </c>
      <c r="G103" s="150">
        <f t="shared" si="4"/>
        <v>6.09</v>
      </c>
      <c r="H103" s="150">
        <f t="shared" si="4"/>
        <v>0.35200000000000004</v>
      </c>
      <c r="I103" s="150">
        <f t="shared" si="4"/>
        <v>12.89</v>
      </c>
      <c r="J103" s="150">
        <f t="shared" si="4"/>
        <v>6.09</v>
      </c>
      <c r="K103" s="150">
        <f t="shared" si="4"/>
        <v>0.27200000000000002</v>
      </c>
    </row>
    <row r="104" spans="1:13" x14ac:dyDescent="0.2">
      <c r="A104" s="150"/>
      <c r="B104" s="150" t="s">
        <v>704</v>
      </c>
      <c r="C104" s="150">
        <f>C91+C99</f>
        <v>13.870000000000001</v>
      </c>
      <c r="D104" s="150">
        <f t="shared" ref="D104:K104" si="5">D91+D99</f>
        <v>5.39</v>
      </c>
      <c r="E104" s="150">
        <f t="shared" si="5"/>
        <v>0.3392</v>
      </c>
      <c r="F104" s="150">
        <f t="shared" si="5"/>
        <v>12.59</v>
      </c>
      <c r="G104" s="150">
        <f>G91+G99</f>
        <v>5.6899999999999995</v>
      </c>
      <c r="H104" s="150">
        <f t="shared" si="5"/>
        <v>0.27600000000000002</v>
      </c>
      <c r="I104" s="150">
        <f t="shared" si="5"/>
        <v>10.59</v>
      </c>
      <c r="J104" s="150">
        <f t="shared" si="5"/>
        <v>5.6899999999999995</v>
      </c>
      <c r="K104" s="150">
        <f t="shared" si="5"/>
        <v>0.19600000000000004</v>
      </c>
      <c r="L104" s="175">
        <f>K104/H104</f>
        <v>0.71014492753623193</v>
      </c>
      <c r="M104" s="149" t="s">
        <v>1296</v>
      </c>
    </row>
    <row r="105" spans="1:13" x14ac:dyDescent="0.2">
      <c r="B105" s="150" t="s">
        <v>705</v>
      </c>
      <c r="C105" s="150">
        <f>C102</f>
        <v>2.2999999999999998</v>
      </c>
      <c r="D105" s="150">
        <f t="shared" ref="D105:K105" si="6">D102</f>
        <v>0.4</v>
      </c>
      <c r="E105" s="150">
        <f t="shared" si="6"/>
        <v>7.5999999999999998E-2</v>
      </c>
      <c r="F105" s="150">
        <f t="shared" si="6"/>
        <v>2.2999999999999998</v>
      </c>
      <c r="G105" s="150">
        <f t="shared" si="6"/>
        <v>0.4</v>
      </c>
      <c r="H105" s="150">
        <f t="shared" si="6"/>
        <v>7.5999999999999998E-2</v>
      </c>
      <c r="I105" s="150">
        <f t="shared" si="6"/>
        <v>2.2999999999999998</v>
      </c>
      <c r="J105" s="150">
        <f t="shared" si="6"/>
        <v>0.4</v>
      </c>
      <c r="K105" s="150">
        <f t="shared" si="6"/>
        <v>7.5999999999999998E-2</v>
      </c>
      <c r="L105" s="176">
        <f>1+P126</f>
        <v>0.93889220452249045</v>
      </c>
      <c r="M105" s="149" t="s">
        <v>1301</v>
      </c>
    </row>
    <row r="107" spans="1:13" x14ac:dyDescent="0.2">
      <c r="F107" s="149" t="s">
        <v>706</v>
      </c>
      <c r="I107" s="149" t="s">
        <v>707</v>
      </c>
      <c r="L107" s="149" t="s">
        <v>1298</v>
      </c>
    </row>
    <row r="108" spans="1:13" x14ac:dyDescent="0.2">
      <c r="A108" s="103"/>
      <c r="C108" s="151">
        <v>2005</v>
      </c>
      <c r="D108" s="151" t="s">
        <v>1293</v>
      </c>
      <c r="E108" s="151" t="s">
        <v>646</v>
      </c>
      <c r="F108" s="151">
        <v>2005</v>
      </c>
      <c r="G108" s="151" t="s">
        <v>1293</v>
      </c>
      <c r="H108" s="151" t="s">
        <v>646</v>
      </c>
      <c r="I108" s="151">
        <v>2005</v>
      </c>
      <c r="J108" s="151" t="s">
        <v>1293</v>
      </c>
      <c r="K108" s="151" t="s">
        <v>646</v>
      </c>
      <c r="L108" s="150" t="b">
        <v>1</v>
      </c>
      <c r="M108" s="149" t="s">
        <v>1299</v>
      </c>
    </row>
    <row r="109" spans="1:13" x14ac:dyDescent="0.2">
      <c r="B109" s="149" t="s">
        <v>168</v>
      </c>
      <c r="C109" s="149">
        <v>0</v>
      </c>
      <c r="D109" s="152">
        <f>'Conv vs Shale'!D3</f>
        <v>0.79621022630720661</v>
      </c>
      <c r="E109" s="152">
        <f>D109</f>
        <v>0.79621022630720661</v>
      </c>
      <c r="F109" s="153">
        <f>D$104*(1-$C109)+G$104*$C109</f>
        <v>5.39</v>
      </c>
      <c r="G109" s="153">
        <f>D$104*(1-$D109)+G$104*$D109</f>
        <v>5.6288630678921621</v>
      </c>
      <c r="H109" s="153">
        <f>D$104*(1-$E109)+J$104*$E109</f>
        <v>5.6288630678921621</v>
      </c>
      <c r="I109" s="153">
        <f>E$104*(1-$C109)+H$104*$C109</f>
        <v>0.3392</v>
      </c>
      <c r="J109" s="153">
        <f t="shared" ref="J109:J116" si="7">IF($L$108=TRUE, E$104*(1-$D109)+H$104*$D109, IF($L$111="High", $D$133, IF($L$111="Avg", $E$133,$C$133)))</f>
        <v>0.28887951369738457</v>
      </c>
      <c r="K109" s="153">
        <f t="shared" ref="K109:K116" si="8">IF($L$108=TRUE, $E$104*(1-$E109)+$K$104*$E109, IF($L$111="High", $D$133*$L$104, IF($L$111="Avg", $E$133*$L$104,$C$133*$L$104)))</f>
        <v>0.22518269559280807</v>
      </c>
      <c r="M109" s="149" t="s">
        <v>1300</v>
      </c>
    </row>
    <row r="110" spans="1:13" x14ac:dyDescent="0.2">
      <c r="B110" s="149" t="s">
        <v>165</v>
      </c>
      <c r="C110" s="149">
        <v>0</v>
      </c>
      <c r="D110" s="152">
        <f>'Conv vs Shale'!D4</f>
        <v>0.49716093723276894</v>
      </c>
      <c r="E110" s="152">
        <f t="shared" ref="E110:E116" si="9">D110</f>
        <v>0.49716093723276894</v>
      </c>
      <c r="F110" s="153">
        <f t="shared" ref="F110:F116" si="10">D$104*(1-$C110)+G$104*$C110</f>
        <v>5.39</v>
      </c>
      <c r="G110" s="153">
        <f t="shared" ref="G110:G116" si="11">D$104*(1-$D110)+G$104*$D110</f>
        <v>5.5391482811698296</v>
      </c>
      <c r="H110" s="153">
        <f t="shared" ref="H110:H116" si="12">D$104*(1-$E110)+J$104*$E110</f>
        <v>5.5391482811698296</v>
      </c>
      <c r="I110" s="153">
        <f t="shared" ref="I110:I116" si="13">E$104*(1-$C110)+H$104*$C110</f>
        <v>0.3392</v>
      </c>
      <c r="J110" s="153">
        <f t="shared" si="7"/>
        <v>0.30777942876688902</v>
      </c>
      <c r="K110" s="153">
        <f t="shared" si="8"/>
        <v>0.26800655378826749</v>
      </c>
      <c r="L110" s="149" t="s">
        <v>1295</v>
      </c>
    </row>
    <row r="111" spans="1:13" x14ac:dyDescent="0.2">
      <c r="B111" s="149" t="s">
        <v>196</v>
      </c>
      <c r="C111" s="149">
        <v>0</v>
      </c>
      <c r="D111" s="152">
        <f>'Conv vs Shale'!D5</f>
        <v>0.23887944894745808</v>
      </c>
      <c r="E111" s="152">
        <f t="shared" si="9"/>
        <v>0.23887944894745808</v>
      </c>
      <c r="F111" s="153">
        <f t="shared" si="10"/>
        <v>5.39</v>
      </c>
      <c r="G111" s="153">
        <f t="shared" si="11"/>
        <v>5.4616638346842379</v>
      </c>
      <c r="H111" s="153">
        <f t="shared" si="12"/>
        <v>5.4616638346842379</v>
      </c>
      <c r="I111" s="153">
        <f t="shared" si="13"/>
        <v>0.3392</v>
      </c>
      <c r="J111" s="153">
        <f t="shared" si="7"/>
        <v>0.3241028188265207</v>
      </c>
      <c r="K111" s="153">
        <f t="shared" si="8"/>
        <v>0.30499246291072407</v>
      </c>
      <c r="L111" s="177" t="s">
        <v>1297</v>
      </c>
    </row>
    <row r="112" spans="1:13" x14ac:dyDescent="0.2">
      <c r="B112" s="149" t="s">
        <v>195</v>
      </c>
      <c r="C112" s="149">
        <v>0</v>
      </c>
      <c r="D112" s="152">
        <f>'Conv vs Shale'!D6</f>
        <v>0.43655913596096602</v>
      </c>
      <c r="E112" s="152">
        <f t="shared" si="9"/>
        <v>0.43655913596096602</v>
      </c>
      <c r="F112" s="153">
        <f t="shared" si="10"/>
        <v>5.39</v>
      </c>
      <c r="G112" s="153">
        <f t="shared" si="11"/>
        <v>5.52096774078829</v>
      </c>
      <c r="H112" s="153">
        <f t="shared" si="12"/>
        <v>5.52096774078829</v>
      </c>
      <c r="I112" s="153">
        <f t="shared" si="13"/>
        <v>0.3392</v>
      </c>
      <c r="J112" s="153">
        <f t="shared" si="7"/>
        <v>0.31160946260726696</v>
      </c>
      <c r="K112" s="153">
        <f t="shared" si="8"/>
        <v>0.27668473173038971</v>
      </c>
    </row>
    <row r="113" spans="1:16" x14ac:dyDescent="0.2">
      <c r="B113" s="149" t="s">
        <v>197</v>
      </c>
      <c r="C113" s="149">
        <v>0</v>
      </c>
      <c r="D113" s="152">
        <f>'Conv vs Shale'!D7</f>
        <v>0</v>
      </c>
      <c r="E113" s="152">
        <f t="shared" si="9"/>
        <v>0</v>
      </c>
      <c r="F113" s="153">
        <f t="shared" si="10"/>
        <v>5.39</v>
      </c>
      <c r="G113" s="153">
        <f t="shared" si="11"/>
        <v>5.39</v>
      </c>
      <c r="H113" s="153">
        <f t="shared" si="12"/>
        <v>5.39</v>
      </c>
      <c r="I113" s="153">
        <f t="shared" si="13"/>
        <v>0.3392</v>
      </c>
      <c r="J113" s="153">
        <f t="shared" si="7"/>
        <v>0.3392</v>
      </c>
      <c r="K113" s="153">
        <f t="shared" si="8"/>
        <v>0.3392</v>
      </c>
    </row>
    <row r="114" spans="1:16" x14ac:dyDescent="0.2">
      <c r="B114" s="149" t="s">
        <v>198</v>
      </c>
      <c r="C114" s="149">
        <v>0</v>
      </c>
      <c r="D114" s="152">
        <f>'Conv vs Shale'!D8</f>
        <v>0.40893952369451503</v>
      </c>
      <c r="E114" s="152">
        <f t="shared" si="9"/>
        <v>0.40893952369451503</v>
      </c>
      <c r="F114" s="153">
        <f t="shared" si="10"/>
        <v>5.39</v>
      </c>
      <c r="G114" s="153">
        <f t="shared" si="11"/>
        <v>5.5126818571083547</v>
      </c>
      <c r="H114" s="153">
        <f t="shared" si="12"/>
        <v>5.5126818571083547</v>
      </c>
      <c r="I114" s="153">
        <f t="shared" si="13"/>
        <v>0.3392</v>
      </c>
      <c r="J114" s="153">
        <f t="shared" si="7"/>
        <v>0.31335502210250665</v>
      </c>
      <c r="K114" s="153">
        <f t="shared" si="8"/>
        <v>0.28063986020694542</v>
      </c>
    </row>
    <row r="115" spans="1:16" x14ac:dyDescent="0.2">
      <c r="B115" s="149" t="s">
        <v>199</v>
      </c>
      <c r="C115" s="149">
        <v>0</v>
      </c>
      <c r="D115" s="152">
        <f>'Conv vs Shale'!D9</f>
        <v>5.5082555923533796E-2</v>
      </c>
      <c r="E115" s="152">
        <f t="shared" si="9"/>
        <v>5.5082555923533796E-2</v>
      </c>
      <c r="F115" s="153">
        <f t="shared" si="10"/>
        <v>5.39</v>
      </c>
      <c r="G115" s="153">
        <f t="shared" si="11"/>
        <v>5.4065247667770597</v>
      </c>
      <c r="H115" s="153">
        <f t="shared" si="12"/>
        <v>5.4065247667770597</v>
      </c>
      <c r="I115" s="153">
        <f t="shared" si="13"/>
        <v>0.3392</v>
      </c>
      <c r="J115" s="153">
        <f t="shared" si="7"/>
        <v>0.33571878246563264</v>
      </c>
      <c r="K115" s="153">
        <f t="shared" si="8"/>
        <v>0.33131217799174995</v>
      </c>
    </row>
    <row r="116" spans="1:16" x14ac:dyDescent="0.2">
      <c r="B116" s="149" t="s">
        <v>200</v>
      </c>
      <c r="C116" s="149">
        <v>0</v>
      </c>
      <c r="D116" s="152">
        <f>'Conv vs Shale'!D10</f>
        <v>2.7399985363286708E-2</v>
      </c>
      <c r="E116" s="152">
        <f t="shared" si="9"/>
        <v>2.7399985363286708E-2</v>
      </c>
      <c r="F116" s="153">
        <f t="shared" si="10"/>
        <v>5.39</v>
      </c>
      <c r="G116" s="153">
        <f t="shared" si="11"/>
        <v>5.3982199956089856</v>
      </c>
      <c r="H116" s="153">
        <f t="shared" si="12"/>
        <v>5.3982199956089856</v>
      </c>
      <c r="I116" s="153">
        <f t="shared" si="13"/>
        <v>0.3392</v>
      </c>
      <c r="J116" s="153">
        <f t="shared" si="7"/>
        <v>0.33746832092504031</v>
      </c>
      <c r="K116" s="153">
        <f t="shared" si="8"/>
        <v>0.33527632209597735</v>
      </c>
    </row>
    <row r="117" spans="1:16" ht="102" x14ac:dyDescent="0.2">
      <c r="A117" s="149" t="s">
        <v>855</v>
      </c>
      <c r="M117" s="178"/>
      <c r="N117" s="179" t="s">
        <v>1302</v>
      </c>
      <c r="O117" s="179" t="s">
        <v>1303</v>
      </c>
      <c r="P117" s="179" t="s">
        <v>1304</v>
      </c>
    </row>
    <row r="118" spans="1:16" x14ac:dyDescent="0.2">
      <c r="A118" s="180" t="s">
        <v>856</v>
      </c>
      <c r="M118" s="178" t="s">
        <v>168</v>
      </c>
      <c r="N118" s="181">
        <v>-0.22049614141659776</v>
      </c>
      <c r="O118" s="181">
        <f>0.055</f>
        <v>5.5E-2</v>
      </c>
      <c r="P118" s="182">
        <f t="shared" ref="P118:P125" si="14">N118*O118</f>
        <v>-1.2127287777912877E-2</v>
      </c>
    </row>
    <row r="119" spans="1:16" x14ac:dyDescent="0.2">
      <c r="A119" s="149" t="s">
        <v>857</v>
      </c>
      <c r="M119" s="178" t="s">
        <v>165</v>
      </c>
      <c r="N119" s="181">
        <v>-0.12922525439068691</v>
      </c>
      <c r="O119" s="181">
        <v>1.6E-2</v>
      </c>
      <c r="P119" s="182">
        <f t="shared" si="14"/>
        <v>-2.0676040702509906E-3</v>
      </c>
    </row>
    <row r="120" spans="1:16" x14ac:dyDescent="0.2">
      <c r="M120" s="178" t="s">
        <v>196</v>
      </c>
      <c r="N120" s="181">
        <v>-5.8963868271770997E-2</v>
      </c>
      <c r="O120" s="181">
        <v>8.2000000000000003E-2</v>
      </c>
      <c r="P120" s="182">
        <f t="shared" si="14"/>
        <v>-4.8350371982852219E-3</v>
      </c>
    </row>
    <row r="121" spans="1:16" x14ac:dyDescent="0.2">
      <c r="A121" s="149" t="s">
        <v>1294</v>
      </c>
      <c r="M121" s="178" t="s">
        <v>195</v>
      </c>
      <c r="N121" s="181">
        <v>-0.11207853119946551</v>
      </c>
      <c r="O121" s="181">
        <v>6.8000000000000005E-2</v>
      </c>
      <c r="P121" s="182">
        <f t="shared" si="14"/>
        <v>-7.6213401215636549E-3</v>
      </c>
    </row>
    <row r="122" spans="1:16" x14ac:dyDescent="0.2">
      <c r="A122" s="149" t="s">
        <v>1290</v>
      </c>
      <c r="M122" s="178" t="s">
        <v>197</v>
      </c>
      <c r="N122" s="181">
        <v>0</v>
      </c>
      <c r="O122" s="181">
        <v>5.8999999999999997E-2</v>
      </c>
      <c r="P122" s="182">
        <f t="shared" si="14"/>
        <v>0</v>
      </c>
    </row>
    <row r="123" spans="1:16" x14ac:dyDescent="0.2">
      <c r="A123" s="149" t="s">
        <v>1291</v>
      </c>
      <c r="M123" s="178" t="s">
        <v>198</v>
      </c>
      <c r="N123" s="181">
        <v>-0.10440286444446785</v>
      </c>
      <c r="O123" s="181">
        <v>0.52500000000000002</v>
      </c>
      <c r="P123" s="182">
        <f t="shared" si="14"/>
        <v>-5.4811503833345626E-2</v>
      </c>
    </row>
    <row r="124" spans="1:16" ht="38.25" x14ac:dyDescent="0.2">
      <c r="A124" s="87" t="s">
        <v>1275</v>
      </c>
      <c r="B124" s="82" t="s">
        <v>115</v>
      </c>
      <c r="C124" s="183">
        <v>2.3E-2</v>
      </c>
      <c r="D124" s="183">
        <v>0.11700000000000001</v>
      </c>
      <c r="E124" s="183">
        <f>AVERAGE(C124:D124)</f>
        <v>7.0000000000000007E-2</v>
      </c>
      <c r="F124" s="20"/>
      <c r="G124" s="20"/>
      <c r="M124" s="178" t="s">
        <v>199</v>
      </c>
      <c r="N124" s="181">
        <v>-1.3125880064019931E-2</v>
      </c>
      <c r="O124" s="181">
        <v>0.14899999999999999</v>
      </c>
      <c r="P124" s="182">
        <f t="shared" si="14"/>
        <v>-1.9557561295389697E-3</v>
      </c>
    </row>
    <row r="125" spans="1:16" x14ac:dyDescent="0.2">
      <c r="A125" s="183" t="s">
        <v>1276</v>
      </c>
      <c r="B125" s="183" t="s">
        <v>115</v>
      </c>
      <c r="C125" s="183">
        <v>0.79</v>
      </c>
      <c r="D125" s="183">
        <v>0.79</v>
      </c>
      <c r="E125" s="183">
        <v>0.79</v>
      </c>
      <c r="F125" s="184">
        <v>1.0549999999999999</v>
      </c>
      <c r="G125" s="183" t="s">
        <v>1289</v>
      </c>
      <c r="H125" s="183"/>
      <c r="I125" s="183"/>
      <c r="J125" s="183"/>
      <c r="M125" s="178" t="s">
        <v>200</v>
      </c>
      <c r="N125" s="181">
        <v>-6.4954210310894708E-3</v>
      </c>
      <c r="O125" s="181">
        <v>0.46</v>
      </c>
      <c r="P125" s="182">
        <f t="shared" si="14"/>
        <v>-2.9878936743011567E-3</v>
      </c>
    </row>
    <row r="126" spans="1:16" x14ac:dyDescent="0.2">
      <c r="A126" s="183" t="s">
        <v>148</v>
      </c>
      <c r="B126" s="183" t="s">
        <v>1277</v>
      </c>
      <c r="C126" s="184">
        <v>100</v>
      </c>
      <c r="D126" s="184">
        <v>100</v>
      </c>
      <c r="E126" s="184">
        <v>100</v>
      </c>
      <c r="F126" s="184"/>
      <c r="G126" s="184"/>
      <c r="H126" s="184"/>
      <c r="M126" s="178"/>
      <c r="N126" s="178"/>
      <c r="O126" s="181">
        <f>SUM(O118:O125)</f>
        <v>1.4140000000000001</v>
      </c>
      <c r="P126" s="185">
        <f>SUM(P118:P125)/O126</f>
        <v>-6.1107795477509545E-2</v>
      </c>
    </row>
    <row r="127" spans="1:16" x14ac:dyDescent="0.2">
      <c r="A127" s="183" t="s">
        <v>1278</v>
      </c>
      <c r="B127" s="183" t="s">
        <v>1279</v>
      </c>
      <c r="C127" s="184">
        <v>1027</v>
      </c>
      <c r="D127" s="184">
        <v>1027</v>
      </c>
      <c r="E127" s="184">
        <v>1027</v>
      </c>
      <c r="F127" s="184"/>
      <c r="G127" s="184"/>
      <c r="H127" s="184"/>
      <c r="I127" s="184"/>
      <c r="J127" s="183"/>
    </row>
    <row r="128" spans="1:16" x14ac:dyDescent="0.2">
      <c r="A128" s="183" t="s">
        <v>1280</v>
      </c>
      <c r="B128" s="183" t="s">
        <v>1281</v>
      </c>
      <c r="C128" s="184">
        <f>C127*C126/1000000</f>
        <v>0.1027</v>
      </c>
      <c r="D128" s="184">
        <f>D127*D126/1000000</f>
        <v>0.1027</v>
      </c>
      <c r="E128" s="184">
        <f>E127*E126/1000000</f>
        <v>0.1027</v>
      </c>
      <c r="F128" s="184"/>
      <c r="G128" s="184"/>
      <c r="H128" s="184"/>
      <c r="I128" s="184"/>
      <c r="J128" s="183"/>
    </row>
    <row r="129" spans="1:10" x14ac:dyDescent="0.2">
      <c r="A129" s="183" t="s">
        <v>1282</v>
      </c>
      <c r="B129" s="183" t="s">
        <v>1277</v>
      </c>
      <c r="C129" s="184">
        <f>C126*C124*C125</f>
        <v>1.8169999999999999</v>
      </c>
      <c r="D129" s="184">
        <f>D126*D124*D125</f>
        <v>9.2430000000000021</v>
      </c>
      <c r="E129" s="184">
        <f>E126*E124*E125</f>
        <v>5.5300000000000011</v>
      </c>
      <c r="F129" s="184"/>
      <c r="G129" s="184"/>
      <c r="H129" s="184"/>
      <c r="I129" s="184"/>
      <c r="J129" s="183"/>
    </row>
    <row r="130" spans="1:10" x14ac:dyDescent="0.2">
      <c r="A130" s="183" t="s">
        <v>1283</v>
      </c>
      <c r="B130" s="183" t="s">
        <v>1284</v>
      </c>
      <c r="C130" s="184">
        <v>4.4699999999999997E-2</v>
      </c>
      <c r="D130" s="184">
        <v>4.4699999999999997E-2</v>
      </c>
      <c r="E130" s="184">
        <v>4.4699999999999997E-2</v>
      </c>
      <c r="F130" s="184"/>
      <c r="G130" s="184"/>
      <c r="H130" s="184"/>
      <c r="I130" s="184"/>
      <c r="J130" s="183"/>
    </row>
    <row r="131" spans="1:10" x14ac:dyDescent="0.2">
      <c r="A131" s="183" t="s">
        <v>1285</v>
      </c>
      <c r="B131" s="183" t="s">
        <v>1286</v>
      </c>
      <c r="C131" s="186">
        <f>C129*C130</f>
        <v>8.1219899999999998E-2</v>
      </c>
      <c r="D131" s="186">
        <f>D129*D130</f>
        <v>0.41316210000000009</v>
      </c>
      <c r="E131" s="186">
        <f>E129*E130</f>
        <v>0.24719100000000002</v>
      </c>
      <c r="F131" s="184"/>
      <c r="G131" s="184"/>
      <c r="H131" s="184"/>
      <c r="I131" s="184"/>
      <c r="J131" s="183"/>
    </row>
    <row r="132" spans="1:10" x14ac:dyDescent="0.2">
      <c r="A132" s="183" t="s">
        <v>1287</v>
      </c>
      <c r="B132" s="183" t="s">
        <v>1288</v>
      </c>
      <c r="C132" s="186">
        <f>C131/C128</f>
        <v>0.79084615384615387</v>
      </c>
      <c r="D132" s="184">
        <f>D131/D128</f>
        <v>4.0230000000000006</v>
      </c>
      <c r="E132" s="186">
        <f>E131/E128</f>
        <v>2.4069230769230772</v>
      </c>
      <c r="F132" s="184"/>
      <c r="G132" s="184"/>
      <c r="H132" s="184"/>
      <c r="I132" s="184"/>
      <c r="J132" s="183"/>
    </row>
    <row r="133" spans="1:10" x14ac:dyDescent="0.2">
      <c r="B133" s="149" t="s">
        <v>1292</v>
      </c>
      <c r="C133" s="187">
        <f>C132*453/1000/1.055</f>
        <v>0.3395765949690121</v>
      </c>
      <c r="D133" s="187">
        <f>D132*453/1000/1.055</f>
        <v>1.7274113744075832</v>
      </c>
      <c r="E133" s="187">
        <f>AVERAGE(C133:D133)</f>
        <v>1.0334939846882976</v>
      </c>
    </row>
  </sheetData>
  <mergeCells count="6">
    <mergeCell ref="I84:K84"/>
    <mergeCell ref="A8:A11"/>
    <mergeCell ref="A12:A16"/>
    <mergeCell ref="B25:E25"/>
    <mergeCell ref="C84:E84"/>
    <mergeCell ref="F84:H84"/>
  </mergeCells>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93"/>
  <sheetViews>
    <sheetView workbookViewId="0">
      <selection activeCell="B3" sqref="B3"/>
    </sheetView>
  </sheetViews>
  <sheetFormatPr defaultRowHeight="12.75" x14ac:dyDescent="0.2"/>
  <cols>
    <col min="1" max="1" width="27.42578125" style="188" customWidth="1"/>
    <col min="2" max="2" width="16.42578125" style="188" customWidth="1"/>
    <col min="3" max="3" width="23.28515625" style="188" customWidth="1"/>
    <col min="4" max="4" width="9.42578125" style="188" customWidth="1"/>
    <col min="5" max="5" width="8.85546875" style="188"/>
    <col min="6" max="6" width="19.5703125" style="188" bestFit="1" customWidth="1"/>
    <col min="7" max="7" width="9.7109375" style="188" bestFit="1" customWidth="1"/>
    <col min="8" max="256" width="8.85546875" style="188"/>
    <col min="257" max="257" width="27.42578125" style="188" customWidth="1"/>
    <col min="258" max="258" width="16.42578125" style="188" customWidth="1"/>
    <col min="259" max="259" width="14.28515625" style="188" customWidth="1"/>
    <col min="260" max="512" width="8.85546875" style="188"/>
    <col min="513" max="513" width="27.42578125" style="188" customWidth="1"/>
    <col min="514" max="514" width="16.42578125" style="188" customWidth="1"/>
    <col min="515" max="515" width="14.28515625" style="188" customWidth="1"/>
    <col min="516" max="768" width="8.85546875" style="188"/>
    <col min="769" max="769" width="27.42578125" style="188" customWidth="1"/>
    <col min="770" max="770" width="16.42578125" style="188" customWidth="1"/>
    <col min="771" max="771" width="14.28515625" style="188" customWidth="1"/>
    <col min="772" max="1024" width="8.85546875" style="188"/>
    <col min="1025" max="1025" width="27.42578125" style="188" customWidth="1"/>
    <col min="1026" max="1026" width="16.42578125" style="188" customWidth="1"/>
    <col min="1027" max="1027" width="14.28515625" style="188" customWidth="1"/>
    <col min="1028" max="1280" width="8.85546875" style="188"/>
    <col min="1281" max="1281" width="27.42578125" style="188" customWidth="1"/>
    <col min="1282" max="1282" width="16.42578125" style="188" customWidth="1"/>
    <col min="1283" max="1283" width="14.28515625" style="188" customWidth="1"/>
    <col min="1284" max="1536" width="8.85546875" style="188"/>
    <col min="1537" max="1537" width="27.42578125" style="188" customWidth="1"/>
    <col min="1538" max="1538" width="16.42578125" style="188" customWidth="1"/>
    <col min="1539" max="1539" width="14.28515625" style="188" customWidth="1"/>
    <col min="1540" max="1792" width="8.85546875" style="188"/>
    <col min="1793" max="1793" width="27.42578125" style="188" customWidth="1"/>
    <col min="1794" max="1794" width="16.42578125" style="188" customWidth="1"/>
    <col min="1795" max="1795" width="14.28515625" style="188" customWidth="1"/>
    <col min="1796" max="2048" width="8.85546875" style="188"/>
    <col min="2049" max="2049" width="27.42578125" style="188" customWidth="1"/>
    <col min="2050" max="2050" width="16.42578125" style="188" customWidth="1"/>
    <col min="2051" max="2051" width="14.28515625" style="188" customWidth="1"/>
    <col min="2052" max="2304" width="8.85546875" style="188"/>
    <col min="2305" max="2305" width="27.42578125" style="188" customWidth="1"/>
    <col min="2306" max="2306" width="16.42578125" style="188" customWidth="1"/>
    <col min="2307" max="2307" width="14.28515625" style="188" customWidth="1"/>
    <col min="2308" max="2560" width="8.85546875" style="188"/>
    <col min="2561" max="2561" width="27.42578125" style="188" customWidth="1"/>
    <col min="2562" max="2562" width="16.42578125" style="188" customWidth="1"/>
    <col min="2563" max="2563" width="14.28515625" style="188" customWidth="1"/>
    <col min="2564" max="2816" width="8.85546875" style="188"/>
    <col min="2817" max="2817" width="27.42578125" style="188" customWidth="1"/>
    <col min="2818" max="2818" width="16.42578125" style="188" customWidth="1"/>
    <col min="2819" max="2819" width="14.28515625" style="188" customWidth="1"/>
    <col min="2820" max="3072" width="8.85546875" style="188"/>
    <col min="3073" max="3073" width="27.42578125" style="188" customWidth="1"/>
    <col min="3074" max="3074" width="16.42578125" style="188" customWidth="1"/>
    <col min="3075" max="3075" width="14.28515625" style="188" customWidth="1"/>
    <col min="3076" max="3328" width="8.85546875" style="188"/>
    <col min="3329" max="3329" width="27.42578125" style="188" customWidth="1"/>
    <col min="3330" max="3330" width="16.42578125" style="188" customWidth="1"/>
    <col min="3331" max="3331" width="14.28515625" style="188" customWidth="1"/>
    <col min="3332" max="3584" width="8.85546875" style="188"/>
    <col min="3585" max="3585" width="27.42578125" style="188" customWidth="1"/>
    <col min="3586" max="3586" width="16.42578125" style="188" customWidth="1"/>
    <col min="3587" max="3587" width="14.28515625" style="188" customWidth="1"/>
    <col min="3588" max="3840" width="8.85546875" style="188"/>
    <col min="3841" max="3841" width="27.42578125" style="188" customWidth="1"/>
    <col min="3842" max="3842" width="16.42578125" style="188" customWidth="1"/>
    <col min="3843" max="3843" width="14.28515625" style="188" customWidth="1"/>
    <col min="3844" max="4096" width="8.85546875" style="188"/>
    <col min="4097" max="4097" width="27.42578125" style="188" customWidth="1"/>
    <col min="4098" max="4098" width="16.42578125" style="188" customWidth="1"/>
    <col min="4099" max="4099" width="14.28515625" style="188" customWidth="1"/>
    <col min="4100" max="4352" width="8.85546875" style="188"/>
    <col min="4353" max="4353" width="27.42578125" style="188" customWidth="1"/>
    <col min="4354" max="4354" width="16.42578125" style="188" customWidth="1"/>
    <col min="4355" max="4355" width="14.28515625" style="188" customWidth="1"/>
    <col min="4356" max="4608" width="8.85546875" style="188"/>
    <col min="4609" max="4609" width="27.42578125" style="188" customWidth="1"/>
    <col min="4610" max="4610" width="16.42578125" style="188" customWidth="1"/>
    <col min="4611" max="4611" width="14.28515625" style="188" customWidth="1"/>
    <col min="4612" max="4864" width="8.85546875" style="188"/>
    <col min="4865" max="4865" width="27.42578125" style="188" customWidth="1"/>
    <col min="4866" max="4866" width="16.42578125" style="188" customWidth="1"/>
    <col min="4867" max="4867" width="14.28515625" style="188" customWidth="1"/>
    <col min="4868" max="5120" width="8.85546875" style="188"/>
    <col min="5121" max="5121" width="27.42578125" style="188" customWidth="1"/>
    <col min="5122" max="5122" width="16.42578125" style="188" customWidth="1"/>
    <col min="5123" max="5123" width="14.28515625" style="188" customWidth="1"/>
    <col min="5124" max="5376" width="8.85546875" style="188"/>
    <col min="5377" max="5377" width="27.42578125" style="188" customWidth="1"/>
    <col min="5378" max="5378" width="16.42578125" style="188" customWidth="1"/>
    <col min="5379" max="5379" width="14.28515625" style="188" customWidth="1"/>
    <col min="5380" max="5632" width="8.85546875" style="188"/>
    <col min="5633" max="5633" width="27.42578125" style="188" customWidth="1"/>
    <col min="5634" max="5634" width="16.42578125" style="188" customWidth="1"/>
    <col min="5635" max="5635" width="14.28515625" style="188" customWidth="1"/>
    <col min="5636" max="5888" width="8.85546875" style="188"/>
    <col min="5889" max="5889" width="27.42578125" style="188" customWidth="1"/>
    <col min="5890" max="5890" width="16.42578125" style="188" customWidth="1"/>
    <col min="5891" max="5891" width="14.28515625" style="188" customWidth="1"/>
    <col min="5892" max="6144" width="8.85546875" style="188"/>
    <col min="6145" max="6145" width="27.42578125" style="188" customWidth="1"/>
    <col min="6146" max="6146" width="16.42578125" style="188" customWidth="1"/>
    <col min="6147" max="6147" width="14.28515625" style="188" customWidth="1"/>
    <col min="6148" max="6400" width="8.85546875" style="188"/>
    <col min="6401" max="6401" width="27.42578125" style="188" customWidth="1"/>
    <col min="6402" max="6402" width="16.42578125" style="188" customWidth="1"/>
    <col min="6403" max="6403" width="14.28515625" style="188" customWidth="1"/>
    <col min="6404" max="6656" width="8.85546875" style="188"/>
    <col min="6657" max="6657" width="27.42578125" style="188" customWidth="1"/>
    <col min="6658" max="6658" width="16.42578125" style="188" customWidth="1"/>
    <col min="6659" max="6659" width="14.28515625" style="188" customWidth="1"/>
    <col min="6660" max="6912" width="8.85546875" style="188"/>
    <col min="6913" max="6913" width="27.42578125" style="188" customWidth="1"/>
    <col min="6914" max="6914" width="16.42578125" style="188" customWidth="1"/>
    <col min="6915" max="6915" width="14.28515625" style="188" customWidth="1"/>
    <col min="6916" max="7168" width="8.85546875" style="188"/>
    <col min="7169" max="7169" width="27.42578125" style="188" customWidth="1"/>
    <col min="7170" max="7170" width="16.42578125" style="188" customWidth="1"/>
    <col min="7171" max="7171" width="14.28515625" style="188" customWidth="1"/>
    <col min="7172" max="7424" width="8.85546875" style="188"/>
    <col min="7425" max="7425" width="27.42578125" style="188" customWidth="1"/>
    <col min="7426" max="7426" width="16.42578125" style="188" customWidth="1"/>
    <col min="7427" max="7427" width="14.28515625" style="188" customWidth="1"/>
    <col min="7428" max="7680" width="8.85546875" style="188"/>
    <col min="7681" max="7681" width="27.42578125" style="188" customWidth="1"/>
    <col min="7682" max="7682" width="16.42578125" style="188" customWidth="1"/>
    <col min="7683" max="7683" width="14.28515625" style="188" customWidth="1"/>
    <col min="7684" max="7936" width="8.85546875" style="188"/>
    <col min="7937" max="7937" width="27.42578125" style="188" customWidth="1"/>
    <col min="7938" max="7938" width="16.42578125" style="188" customWidth="1"/>
    <col min="7939" max="7939" width="14.28515625" style="188" customWidth="1"/>
    <col min="7940" max="8192" width="8.85546875" style="188"/>
    <col min="8193" max="8193" width="27.42578125" style="188" customWidth="1"/>
    <col min="8194" max="8194" width="16.42578125" style="188" customWidth="1"/>
    <col min="8195" max="8195" width="14.28515625" style="188" customWidth="1"/>
    <col min="8196" max="8448" width="8.85546875" style="188"/>
    <col min="8449" max="8449" width="27.42578125" style="188" customWidth="1"/>
    <col min="8450" max="8450" width="16.42578125" style="188" customWidth="1"/>
    <col min="8451" max="8451" width="14.28515625" style="188" customWidth="1"/>
    <col min="8452" max="8704" width="8.85546875" style="188"/>
    <col min="8705" max="8705" width="27.42578125" style="188" customWidth="1"/>
    <col min="8706" max="8706" width="16.42578125" style="188" customWidth="1"/>
    <col min="8707" max="8707" width="14.28515625" style="188" customWidth="1"/>
    <col min="8708" max="8960" width="8.85546875" style="188"/>
    <col min="8961" max="8961" width="27.42578125" style="188" customWidth="1"/>
    <col min="8962" max="8962" width="16.42578125" style="188" customWidth="1"/>
    <col min="8963" max="8963" width="14.28515625" style="188" customWidth="1"/>
    <col min="8964" max="9216" width="8.85546875" style="188"/>
    <col min="9217" max="9217" width="27.42578125" style="188" customWidth="1"/>
    <col min="9218" max="9218" width="16.42578125" style="188" customWidth="1"/>
    <col min="9219" max="9219" width="14.28515625" style="188" customWidth="1"/>
    <col min="9220" max="9472" width="8.85546875" style="188"/>
    <col min="9473" max="9473" width="27.42578125" style="188" customWidth="1"/>
    <col min="9474" max="9474" width="16.42578125" style="188" customWidth="1"/>
    <col min="9475" max="9475" width="14.28515625" style="188" customWidth="1"/>
    <col min="9476" max="9728" width="8.85546875" style="188"/>
    <col min="9729" max="9729" width="27.42578125" style="188" customWidth="1"/>
    <col min="9730" max="9730" width="16.42578125" style="188" customWidth="1"/>
    <col min="9731" max="9731" width="14.28515625" style="188" customWidth="1"/>
    <col min="9732" max="9984" width="8.85546875" style="188"/>
    <col min="9985" max="9985" width="27.42578125" style="188" customWidth="1"/>
    <col min="9986" max="9986" width="16.42578125" style="188" customWidth="1"/>
    <col min="9987" max="9987" width="14.28515625" style="188" customWidth="1"/>
    <col min="9988" max="10240" width="8.85546875" style="188"/>
    <col min="10241" max="10241" width="27.42578125" style="188" customWidth="1"/>
    <col min="10242" max="10242" width="16.42578125" style="188" customWidth="1"/>
    <col min="10243" max="10243" width="14.28515625" style="188" customWidth="1"/>
    <col min="10244" max="10496" width="8.85546875" style="188"/>
    <col min="10497" max="10497" width="27.42578125" style="188" customWidth="1"/>
    <col min="10498" max="10498" width="16.42578125" style="188" customWidth="1"/>
    <col min="10499" max="10499" width="14.28515625" style="188" customWidth="1"/>
    <col min="10500" max="10752" width="8.85546875" style="188"/>
    <col min="10753" max="10753" width="27.42578125" style="188" customWidth="1"/>
    <col min="10754" max="10754" width="16.42578125" style="188" customWidth="1"/>
    <col min="10755" max="10755" width="14.28515625" style="188" customWidth="1"/>
    <col min="10756" max="11008" width="8.85546875" style="188"/>
    <col min="11009" max="11009" width="27.42578125" style="188" customWidth="1"/>
    <col min="11010" max="11010" width="16.42578125" style="188" customWidth="1"/>
    <col min="11011" max="11011" width="14.28515625" style="188" customWidth="1"/>
    <col min="11012" max="11264" width="8.85546875" style="188"/>
    <col min="11265" max="11265" width="27.42578125" style="188" customWidth="1"/>
    <col min="11266" max="11266" width="16.42578125" style="188" customWidth="1"/>
    <col min="11267" max="11267" width="14.28515625" style="188" customWidth="1"/>
    <col min="11268" max="11520" width="8.85546875" style="188"/>
    <col min="11521" max="11521" width="27.42578125" style="188" customWidth="1"/>
    <col min="11522" max="11522" width="16.42578125" style="188" customWidth="1"/>
    <col min="11523" max="11523" width="14.28515625" style="188" customWidth="1"/>
    <col min="11524" max="11776" width="8.85546875" style="188"/>
    <col min="11777" max="11777" width="27.42578125" style="188" customWidth="1"/>
    <col min="11778" max="11778" width="16.42578125" style="188" customWidth="1"/>
    <col min="11779" max="11779" width="14.28515625" style="188" customWidth="1"/>
    <col min="11780" max="12032" width="8.85546875" style="188"/>
    <col min="12033" max="12033" width="27.42578125" style="188" customWidth="1"/>
    <col min="12034" max="12034" width="16.42578125" style="188" customWidth="1"/>
    <col min="12035" max="12035" width="14.28515625" style="188" customWidth="1"/>
    <col min="12036" max="12288" width="8.85546875" style="188"/>
    <col min="12289" max="12289" width="27.42578125" style="188" customWidth="1"/>
    <col min="12290" max="12290" width="16.42578125" style="188" customWidth="1"/>
    <col min="12291" max="12291" width="14.28515625" style="188" customWidth="1"/>
    <col min="12292" max="12544" width="8.85546875" style="188"/>
    <col min="12545" max="12545" width="27.42578125" style="188" customWidth="1"/>
    <col min="12546" max="12546" width="16.42578125" style="188" customWidth="1"/>
    <col min="12547" max="12547" width="14.28515625" style="188" customWidth="1"/>
    <col min="12548" max="12800" width="8.85546875" style="188"/>
    <col min="12801" max="12801" width="27.42578125" style="188" customWidth="1"/>
    <col min="12802" max="12802" width="16.42578125" style="188" customWidth="1"/>
    <col min="12803" max="12803" width="14.28515625" style="188" customWidth="1"/>
    <col min="12804" max="13056" width="8.85546875" style="188"/>
    <col min="13057" max="13057" width="27.42578125" style="188" customWidth="1"/>
    <col min="13058" max="13058" width="16.42578125" style="188" customWidth="1"/>
    <col min="13059" max="13059" width="14.28515625" style="188" customWidth="1"/>
    <col min="13060" max="13312" width="8.85546875" style="188"/>
    <col min="13313" max="13313" width="27.42578125" style="188" customWidth="1"/>
    <col min="13314" max="13314" width="16.42578125" style="188" customWidth="1"/>
    <col min="13315" max="13315" width="14.28515625" style="188" customWidth="1"/>
    <col min="13316" max="13568" width="8.85546875" style="188"/>
    <col min="13569" max="13569" width="27.42578125" style="188" customWidth="1"/>
    <col min="13570" max="13570" width="16.42578125" style="188" customWidth="1"/>
    <col min="13571" max="13571" width="14.28515625" style="188" customWidth="1"/>
    <col min="13572" max="13824" width="8.85546875" style="188"/>
    <col min="13825" max="13825" width="27.42578125" style="188" customWidth="1"/>
    <col min="13826" max="13826" width="16.42578125" style="188" customWidth="1"/>
    <col min="13827" max="13827" width="14.28515625" style="188" customWidth="1"/>
    <col min="13828" max="14080" width="8.85546875" style="188"/>
    <col min="14081" max="14081" width="27.42578125" style="188" customWidth="1"/>
    <col min="14082" max="14082" width="16.42578125" style="188" customWidth="1"/>
    <col min="14083" max="14083" width="14.28515625" style="188" customWidth="1"/>
    <col min="14084" max="14336" width="8.85546875" style="188"/>
    <col min="14337" max="14337" width="27.42578125" style="188" customWidth="1"/>
    <col min="14338" max="14338" width="16.42578125" style="188" customWidth="1"/>
    <col min="14339" max="14339" width="14.28515625" style="188" customWidth="1"/>
    <col min="14340" max="14592" width="8.85546875" style="188"/>
    <col min="14593" max="14593" width="27.42578125" style="188" customWidth="1"/>
    <col min="14594" max="14594" width="16.42578125" style="188" customWidth="1"/>
    <col min="14595" max="14595" width="14.28515625" style="188" customWidth="1"/>
    <col min="14596" max="14848" width="8.85546875" style="188"/>
    <col min="14849" max="14849" width="27.42578125" style="188" customWidth="1"/>
    <col min="14850" max="14850" width="16.42578125" style="188" customWidth="1"/>
    <col min="14851" max="14851" width="14.28515625" style="188" customWidth="1"/>
    <col min="14852" max="15104" width="8.85546875" style="188"/>
    <col min="15105" max="15105" width="27.42578125" style="188" customWidth="1"/>
    <col min="15106" max="15106" width="16.42578125" style="188" customWidth="1"/>
    <col min="15107" max="15107" width="14.28515625" style="188" customWidth="1"/>
    <col min="15108" max="15360" width="8.85546875" style="188"/>
    <col min="15361" max="15361" width="27.42578125" style="188" customWidth="1"/>
    <col min="15362" max="15362" width="16.42578125" style="188" customWidth="1"/>
    <col min="15363" max="15363" width="14.28515625" style="188" customWidth="1"/>
    <col min="15364" max="15616" width="8.85546875" style="188"/>
    <col min="15617" max="15617" width="27.42578125" style="188" customWidth="1"/>
    <col min="15618" max="15618" width="16.42578125" style="188" customWidth="1"/>
    <col min="15619" max="15619" width="14.28515625" style="188" customWidth="1"/>
    <col min="15620" max="15872" width="8.85546875" style="188"/>
    <col min="15873" max="15873" width="27.42578125" style="188" customWidth="1"/>
    <col min="15874" max="15874" width="16.42578125" style="188" customWidth="1"/>
    <col min="15875" max="15875" width="14.28515625" style="188" customWidth="1"/>
    <col min="15876" max="16128" width="8.85546875" style="188"/>
    <col min="16129" max="16129" width="27.42578125" style="188" customWidth="1"/>
    <col min="16130" max="16130" width="16.42578125" style="188" customWidth="1"/>
    <col min="16131" max="16131" width="14.28515625" style="188" customWidth="1"/>
    <col min="16132" max="16384" width="8.85546875" style="188"/>
  </cols>
  <sheetData>
    <row r="1" spans="1:4" x14ac:dyDescent="0.2">
      <c r="A1" s="188" t="s">
        <v>708</v>
      </c>
      <c r="B1" s="188" t="s">
        <v>709</v>
      </c>
      <c r="C1" s="188" t="s">
        <v>710</v>
      </c>
      <c r="D1" s="188" t="s">
        <v>711</v>
      </c>
    </row>
    <row r="2" spans="1:4" x14ac:dyDescent="0.2">
      <c r="A2" s="188">
        <v>1</v>
      </c>
      <c r="B2" s="188">
        <f>SUMIFS($F$40:$F$93,$H$40:$H$93,$A$2:$A$10)</f>
        <v>0</v>
      </c>
      <c r="C2" s="188">
        <f>SUMIFS($G$40:$G$93,$H$40:$H$93,$A$2:$A$10)</f>
        <v>0</v>
      </c>
      <c r="D2" s="189">
        <v>0</v>
      </c>
    </row>
    <row r="3" spans="1:4" x14ac:dyDescent="0.2">
      <c r="A3" s="188">
        <v>2</v>
      </c>
      <c r="B3" s="188">
        <f>SUMIFS($F$40:$F$93,$H$40:$H$93,$A$2:$A$10)</f>
        <v>1341716</v>
      </c>
      <c r="C3" s="188">
        <f t="shared" ref="C3:C10" si="0">SUMIFS($G$40:$G$93,$H$40:$H$93,$A$2:$A$10)</f>
        <v>1068288</v>
      </c>
      <c r="D3" s="189">
        <f>C3/B3</f>
        <v>0.79621022630720661</v>
      </c>
    </row>
    <row r="4" spans="1:4" x14ac:dyDescent="0.2">
      <c r="A4" s="188">
        <v>3</v>
      </c>
      <c r="B4" s="188">
        <f t="shared" ref="B4:B10" si="1">SUMIFS($F$40:$F$93,$H$40:$H$93,$A$2:$A$10)</f>
        <v>233880</v>
      </c>
      <c r="C4" s="188">
        <f t="shared" si="0"/>
        <v>116276</v>
      </c>
      <c r="D4" s="189">
        <f t="shared" ref="D4:D10" si="2">C4/B4</f>
        <v>0.49716093723276894</v>
      </c>
    </row>
    <row r="5" spans="1:4" x14ac:dyDescent="0.2">
      <c r="A5" s="188">
        <v>4</v>
      </c>
      <c r="B5" s="188">
        <f t="shared" si="1"/>
        <v>481406</v>
      </c>
      <c r="C5" s="188">
        <f t="shared" si="0"/>
        <v>114998</v>
      </c>
      <c r="D5" s="189">
        <f t="shared" si="2"/>
        <v>0.23887944894745808</v>
      </c>
    </row>
    <row r="6" spans="1:4" x14ac:dyDescent="0.2">
      <c r="A6" s="188">
        <v>5</v>
      </c>
      <c r="B6" s="188">
        <f t="shared" si="1"/>
        <v>562382</v>
      </c>
      <c r="C6" s="188">
        <f t="shared" si="0"/>
        <v>245513</v>
      </c>
      <c r="D6" s="189">
        <f t="shared" si="2"/>
        <v>0.43655913596096602</v>
      </c>
    </row>
    <row r="7" spans="1:4" x14ac:dyDescent="0.2">
      <c r="A7" s="188">
        <v>6</v>
      </c>
      <c r="B7" s="188">
        <f t="shared" si="1"/>
        <v>572445</v>
      </c>
      <c r="C7" s="188">
        <f t="shared" si="0"/>
        <v>0</v>
      </c>
      <c r="D7" s="189">
        <f t="shared" si="2"/>
        <v>0</v>
      </c>
    </row>
    <row r="8" spans="1:4" x14ac:dyDescent="0.2">
      <c r="A8" s="188">
        <v>7</v>
      </c>
      <c r="B8" s="188">
        <f t="shared" si="1"/>
        <v>15990494</v>
      </c>
      <c r="C8" s="188">
        <f t="shared" si="0"/>
        <v>6539145</v>
      </c>
      <c r="D8" s="189">
        <f t="shared" si="2"/>
        <v>0.40893952369451503</v>
      </c>
    </row>
    <row r="9" spans="1:4" x14ac:dyDescent="0.2">
      <c r="A9" s="188">
        <v>8</v>
      </c>
      <c r="B9" s="188">
        <f t="shared" si="1"/>
        <v>5853305</v>
      </c>
      <c r="C9" s="188">
        <f t="shared" si="0"/>
        <v>322415</v>
      </c>
      <c r="D9" s="189">
        <f t="shared" si="2"/>
        <v>5.5082555923533796E-2</v>
      </c>
    </row>
    <row r="10" spans="1:4" x14ac:dyDescent="0.2">
      <c r="A10" s="188">
        <v>9</v>
      </c>
      <c r="B10" s="188">
        <f t="shared" si="1"/>
        <v>3443396</v>
      </c>
      <c r="C10" s="188">
        <f t="shared" si="0"/>
        <v>94349</v>
      </c>
      <c r="D10" s="189">
        <f t="shared" si="2"/>
        <v>2.7399985363286708E-2</v>
      </c>
    </row>
    <row r="12" spans="1:4" x14ac:dyDescent="0.2">
      <c r="A12" s="190" t="s">
        <v>712</v>
      </c>
    </row>
    <row r="13" spans="1:4" x14ac:dyDescent="0.2">
      <c r="A13" s="191" t="s">
        <v>713</v>
      </c>
    </row>
    <row r="15" spans="1:4" x14ac:dyDescent="0.2">
      <c r="A15" s="188" t="s">
        <v>445</v>
      </c>
      <c r="B15" s="188" t="s">
        <v>714</v>
      </c>
    </row>
    <row r="16" spans="1:4" x14ac:dyDescent="0.2">
      <c r="A16" s="188" t="s">
        <v>447</v>
      </c>
      <c r="B16" s="188" t="s">
        <v>715</v>
      </c>
    </row>
    <row r="18" spans="1:6" x14ac:dyDescent="0.2">
      <c r="A18" s="188" t="s">
        <v>449</v>
      </c>
      <c r="B18" s="192" t="s">
        <v>716</v>
      </c>
    </row>
    <row r="19" spans="1:6" x14ac:dyDescent="0.2">
      <c r="A19" s="188" t="s">
        <v>450</v>
      </c>
      <c r="B19" s="193" t="s">
        <v>717</v>
      </c>
    </row>
    <row r="20" spans="1:6" x14ac:dyDescent="0.2">
      <c r="A20" s="188" t="s">
        <v>451</v>
      </c>
      <c r="B20" s="193" t="s">
        <v>452</v>
      </c>
    </row>
    <row r="21" spans="1:6" x14ac:dyDescent="0.2">
      <c r="A21" s="188" t="s">
        <v>453</v>
      </c>
      <c r="B21" s="193" t="s">
        <v>454</v>
      </c>
    </row>
    <row r="22" spans="1:6" x14ac:dyDescent="0.2">
      <c r="B22" s="188" t="s">
        <v>455</v>
      </c>
      <c r="F22" s="194" t="s">
        <v>718</v>
      </c>
    </row>
    <row r="24" spans="1:6" x14ac:dyDescent="0.2">
      <c r="A24" s="191" t="s">
        <v>719</v>
      </c>
    </row>
    <row r="26" spans="1:6" x14ac:dyDescent="0.2">
      <c r="A26" s="188" t="s">
        <v>445</v>
      </c>
      <c r="B26" s="188" t="s">
        <v>714</v>
      </c>
    </row>
    <row r="27" spans="1:6" x14ac:dyDescent="0.2">
      <c r="A27" s="188" t="s">
        <v>447</v>
      </c>
      <c r="B27" s="188" t="s">
        <v>715</v>
      </c>
    </row>
    <row r="29" spans="1:6" x14ac:dyDescent="0.2">
      <c r="A29" s="188" t="s">
        <v>449</v>
      </c>
      <c r="B29" s="192" t="s">
        <v>720</v>
      </c>
    </row>
    <row r="30" spans="1:6" x14ac:dyDescent="0.2">
      <c r="A30" s="188" t="s">
        <v>450</v>
      </c>
      <c r="B30" s="193" t="s">
        <v>721</v>
      </c>
    </row>
    <row r="31" spans="1:6" x14ac:dyDescent="0.2">
      <c r="A31" s="188" t="s">
        <v>451</v>
      </c>
      <c r="B31" s="193" t="s">
        <v>452</v>
      </c>
    </row>
    <row r="32" spans="1:6" x14ac:dyDescent="0.2">
      <c r="A32" s="188" t="s">
        <v>453</v>
      </c>
      <c r="B32" s="193" t="s">
        <v>454</v>
      </c>
    </row>
    <row r="33" spans="1:8" x14ac:dyDescent="0.2">
      <c r="B33" s="188" t="s">
        <v>455</v>
      </c>
      <c r="F33" s="194" t="s">
        <v>722</v>
      </c>
    </row>
    <row r="35" spans="1:8" x14ac:dyDescent="0.2">
      <c r="A35" s="195" t="s">
        <v>403</v>
      </c>
      <c r="B35" s="196">
        <v>40724</v>
      </c>
      <c r="C35" s="196"/>
      <c r="D35" s="196">
        <f>B35</f>
        <v>40724</v>
      </c>
      <c r="E35" s="188" t="s">
        <v>723</v>
      </c>
      <c r="F35" s="188" t="s">
        <v>709</v>
      </c>
      <c r="G35" s="188" t="s">
        <v>710</v>
      </c>
      <c r="H35" s="188" t="s">
        <v>724</v>
      </c>
    </row>
    <row r="36" spans="1:8" ht="38.25" x14ac:dyDescent="0.2">
      <c r="A36" s="197" t="s">
        <v>725</v>
      </c>
      <c r="B36" s="188">
        <v>28479026</v>
      </c>
      <c r="C36" s="197" t="s">
        <v>726</v>
      </c>
      <c r="D36" s="188">
        <v>8500983</v>
      </c>
    </row>
    <row r="37" spans="1:8" ht="25.5" x14ac:dyDescent="0.2">
      <c r="A37" s="197" t="s">
        <v>727</v>
      </c>
      <c r="B37" s="188">
        <v>2416644</v>
      </c>
    </row>
    <row r="38" spans="1:8" ht="38.25" x14ac:dyDescent="0.2">
      <c r="A38" s="197" t="s">
        <v>728</v>
      </c>
      <c r="B38" s="188">
        <v>549151</v>
      </c>
    </row>
    <row r="39" spans="1:8" ht="63.75" x14ac:dyDescent="0.2">
      <c r="A39" s="197" t="s">
        <v>729</v>
      </c>
      <c r="B39" s="188">
        <v>1867492</v>
      </c>
      <c r="C39" s="197" t="s">
        <v>730</v>
      </c>
      <c r="D39" s="188">
        <v>0</v>
      </c>
    </row>
    <row r="40" spans="1:8" ht="25.5" x14ac:dyDescent="0.2">
      <c r="A40" s="197" t="s">
        <v>731</v>
      </c>
      <c r="B40" s="188">
        <v>3162922</v>
      </c>
      <c r="E40" s="188" t="s">
        <v>732</v>
      </c>
      <c r="F40" s="188">
        <f>B40</f>
        <v>3162922</v>
      </c>
      <c r="G40" s="188">
        <v>0</v>
      </c>
      <c r="H40" s="188">
        <v>9</v>
      </c>
    </row>
    <row r="41" spans="1:8" ht="25.5" x14ac:dyDescent="0.2">
      <c r="A41" s="197" t="s">
        <v>733</v>
      </c>
      <c r="B41" s="188">
        <v>2798220</v>
      </c>
    </row>
    <row r="42" spans="1:8" ht="38.25" x14ac:dyDescent="0.2">
      <c r="A42" s="197" t="s">
        <v>734</v>
      </c>
      <c r="B42" s="188">
        <v>364702</v>
      </c>
    </row>
    <row r="43" spans="1:8" ht="38.25" x14ac:dyDescent="0.2">
      <c r="A43" s="197" t="s">
        <v>735</v>
      </c>
      <c r="B43" s="188">
        <v>364702</v>
      </c>
    </row>
    <row r="44" spans="1:8" ht="38.25" x14ac:dyDescent="0.2">
      <c r="A44" s="197" t="s">
        <v>736</v>
      </c>
      <c r="B44" s="188">
        <v>1830913</v>
      </c>
      <c r="E44" s="188" t="s">
        <v>737</v>
      </c>
      <c r="F44" s="188">
        <f>B44</f>
        <v>1830913</v>
      </c>
      <c r="G44" s="188">
        <v>0</v>
      </c>
      <c r="H44" s="188">
        <v>7</v>
      </c>
    </row>
    <row r="45" spans="1:8" ht="38.25" x14ac:dyDescent="0.2">
      <c r="A45" s="197" t="s">
        <v>738</v>
      </c>
    </row>
    <row r="46" spans="1:8" ht="38.25" x14ac:dyDescent="0.2">
      <c r="A46" s="197" t="s">
        <v>739</v>
      </c>
    </row>
    <row r="47" spans="1:8" ht="38.25" x14ac:dyDescent="0.2">
      <c r="A47" s="197" t="s">
        <v>740</v>
      </c>
    </row>
    <row r="48" spans="1:8" ht="51" x14ac:dyDescent="0.2">
      <c r="A48" s="197" t="s">
        <v>741</v>
      </c>
      <c r="B48" s="188">
        <v>3040523</v>
      </c>
      <c r="C48" s="197" t="s">
        <v>742</v>
      </c>
      <c r="D48" s="188">
        <v>2088306</v>
      </c>
      <c r="E48" s="188" t="s">
        <v>743</v>
      </c>
      <c r="F48" s="188">
        <f>B48</f>
        <v>3040523</v>
      </c>
      <c r="G48" s="188">
        <f>D48</f>
        <v>2088306</v>
      </c>
      <c r="H48" s="188">
        <v>7</v>
      </c>
    </row>
    <row r="49" spans="1:8" ht="51" x14ac:dyDescent="0.2">
      <c r="A49" s="197" t="s">
        <v>744</v>
      </c>
      <c r="B49" s="188">
        <v>2969297</v>
      </c>
      <c r="C49" s="197" t="s">
        <v>745</v>
      </c>
      <c r="D49" s="188">
        <v>2088306</v>
      </c>
    </row>
    <row r="50" spans="1:8" ht="38.25" x14ac:dyDescent="0.2">
      <c r="A50" s="197" t="s">
        <v>746</v>
      </c>
      <c r="B50" s="188">
        <v>71226</v>
      </c>
    </row>
    <row r="51" spans="1:8" ht="38.25" x14ac:dyDescent="0.2">
      <c r="A51" s="197" t="s">
        <v>747</v>
      </c>
      <c r="B51" s="188">
        <v>71226</v>
      </c>
    </row>
    <row r="52" spans="1:8" ht="51" x14ac:dyDescent="0.2">
      <c r="A52" s="197" t="s">
        <v>748</v>
      </c>
      <c r="B52" s="188">
        <v>1287682</v>
      </c>
      <c r="C52" s="197" t="s">
        <v>749</v>
      </c>
      <c r="D52" s="188">
        <v>93071</v>
      </c>
      <c r="E52" s="188" t="s">
        <v>750</v>
      </c>
      <c r="F52" s="188">
        <f>B52</f>
        <v>1287682</v>
      </c>
      <c r="G52" s="188">
        <f>D52</f>
        <v>93071</v>
      </c>
      <c r="H52" s="188">
        <v>8</v>
      </c>
    </row>
    <row r="53" spans="1:8" ht="51" x14ac:dyDescent="0.2">
      <c r="A53" s="197" t="s">
        <v>751</v>
      </c>
      <c r="B53" s="188">
        <v>1888870</v>
      </c>
      <c r="C53" s="197" t="s">
        <v>752</v>
      </c>
      <c r="D53" s="188">
        <v>449167</v>
      </c>
      <c r="E53" s="188" t="s">
        <v>753</v>
      </c>
      <c r="F53" s="188">
        <f>B53</f>
        <v>1888870</v>
      </c>
      <c r="G53" s="188">
        <f>D53</f>
        <v>449167</v>
      </c>
      <c r="H53" s="188">
        <v>7</v>
      </c>
    </row>
    <row r="54" spans="1:8" ht="51" x14ac:dyDescent="0.2">
      <c r="A54" s="197" t="s">
        <v>754</v>
      </c>
      <c r="B54" s="188">
        <v>7934689</v>
      </c>
      <c r="C54" s="197" t="s">
        <v>755</v>
      </c>
      <c r="D54" s="188">
        <v>3066435</v>
      </c>
      <c r="E54" s="188" t="s">
        <v>737</v>
      </c>
      <c r="F54" s="188">
        <f>B54</f>
        <v>7934689</v>
      </c>
      <c r="G54" s="188">
        <f>D54</f>
        <v>3066435</v>
      </c>
      <c r="H54" s="188">
        <v>7</v>
      </c>
    </row>
    <row r="55" spans="1:8" ht="51" x14ac:dyDescent="0.2">
      <c r="A55" s="197" t="s">
        <v>756</v>
      </c>
      <c r="B55" s="188">
        <v>7910898</v>
      </c>
      <c r="C55" s="197" t="s">
        <v>757</v>
      </c>
      <c r="D55" s="188">
        <v>3066435</v>
      </c>
    </row>
    <row r="56" spans="1:8" ht="51" x14ac:dyDescent="0.2">
      <c r="A56" s="197" t="s">
        <v>758</v>
      </c>
      <c r="B56" s="188">
        <v>23791</v>
      </c>
      <c r="C56" s="197" t="s">
        <v>759</v>
      </c>
      <c r="D56" s="188">
        <v>0</v>
      </c>
    </row>
    <row r="57" spans="1:8" ht="38.25" x14ac:dyDescent="0.2">
      <c r="A57" s="197" t="s">
        <v>760</v>
      </c>
      <c r="B57" s="188">
        <v>23791</v>
      </c>
    </row>
    <row r="58" spans="1:8" ht="51" x14ac:dyDescent="0.2">
      <c r="A58" s="197" t="s">
        <v>761</v>
      </c>
      <c r="B58" s="188">
        <v>2375301</v>
      </c>
      <c r="C58" s="197" t="s">
        <v>762</v>
      </c>
      <c r="D58" s="188">
        <v>4755</v>
      </c>
      <c r="E58" s="188" t="s">
        <v>763</v>
      </c>
      <c r="F58" s="188">
        <f>B58</f>
        <v>2375301</v>
      </c>
      <c r="G58" s="188">
        <f>D58</f>
        <v>4755</v>
      </c>
      <c r="H58" s="188">
        <v>8</v>
      </c>
    </row>
    <row r="59" spans="1:8" ht="51" x14ac:dyDescent="0.2">
      <c r="A59" s="197" t="s">
        <v>764</v>
      </c>
      <c r="B59" s="188">
        <v>6958125</v>
      </c>
      <c r="C59" s="197" t="s">
        <v>765</v>
      </c>
      <c r="D59" s="188">
        <v>2799249</v>
      </c>
    </row>
    <row r="60" spans="1:8" ht="51" x14ac:dyDescent="0.2">
      <c r="A60" s="197" t="s">
        <v>766</v>
      </c>
      <c r="B60" s="188">
        <v>218574</v>
      </c>
      <c r="C60" s="197" t="s">
        <v>767</v>
      </c>
      <c r="D60" s="188">
        <v>0</v>
      </c>
      <c r="E60" s="188" t="s">
        <v>768</v>
      </c>
      <c r="F60" s="188">
        <f>B60</f>
        <v>218574</v>
      </c>
      <c r="G60" s="188">
        <f>D60</f>
        <v>0</v>
      </c>
      <c r="H60" s="188">
        <v>7</v>
      </c>
    </row>
    <row r="61" spans="1:8" ht="51" x14ac:dyDescent="0.2">
      <c r="A61" s="197" t="s">
        <v>769</v>
      </c>
      <c r="B61" s="188">
        <v>134305</v>
      </c>
      <c r="C61" s="197" t="s">
        <v>770</v>
      </c>
      <c r="D61" s="188">
        <v>0</v>
      </c>
    </row>
    <row r="62" spans="1:8" ht="51" x14ac:dyDescent="0.2">
      <c r="A62" s="197" t="s">
        <v>771</v>
      </c>
      <c r="B62" s="188">
        <v>84270</v>
      </c>
      <c r="C62" s="197" t="s">
        <v>772</v>
      </c>
      <c r="D62" s="188">
        <v>0</v>
      </c>
    </row>
    <row r="63" spans="1:8" ht="38.25" x14ac:dyDescent="0.2">
      <c r="A63" s="197" t="s">
        <v>773</v>
      </c>
      <c r="B63" s="188">
        <v>84270</v>
      </c>
      <c r="C63" s="197"/>
    </row>
    <row r="64" spans="1:8" ht="51" x14ac:dyDescent="0.2">
      <c r="A64" s="197" t="s">
        <v>774</v>
      </c>
      <c r="B64" s="188">
        <v>168</v>
      </c>
      <c r="C64" s="197" t="s">
        <v>775</v>
      </c>
      <c r="D64" s="188">
        <v>0</v>
      </c>
      <c r="E64" s="188" t="s">
        <v>776</v>
      </c>
      <c r="F64" s="188">
        <f>B64</f>
        <v>168</v>
      </c>
      <c r="G64" s="188">
        <f>D64</f>
        <v>0</v>
      </c>
      <c r="H64" s="188">
        <v>7</v>
      </c>
    </row>
    <row r="65" spans="1:8" ht="51" x14ac:dyDescent="0.2">
      <c r="A65" s="197" t="s">
        <v>777</v>
      </c>
      <c r="B65" s="188">
        <v>1076757</v>
      </c>
      <c r="C65" s="197" t="s">
        <v>778</v>
      </c>
      <c r="D65" s="188">
        <v>935237</v>
      </c>
      <c r="E65" s="188" t="s">
        <v>779</v>
      </c>
      <c r="F65" s="188">
        <f>B65</f>
        <v>1076757</v>
      </c>
      <c r="G65" s="188">
        <f>D65</f>
        <v>935237</v>
      </c>
      <c r="H65" s="188">
        <v>7</v>
      </c>
    </row>
    <row r="66" spans="1:8" ht="51" x14ac:dyDescent="0.2">
      <c r="A66" s="197" t="s">
        <v>780</v>
      </c>
      <c r="B66" s="188">
        <v>279130</v>
      </c>
      <c r="C66" s="197" t="s">
        <v>781</v>
      </c>
      <c r="D66" s="188">
        <v>94349</v>
      </c>
      <c r="E66" s="188" t="s">
        <v>782</v>
      </c>
      <c r="F66" s="188">
        <f>B66</f>
        <v>279130</v>
      </c>
      <c r="G66" s="188">
        <f>D66</f>
        <v>94349</v>
      </c>
      <c r="H66" s="188">
        <v>9</v>
      </c>
    </row>
    <row r="67" spans="1:8" ht="51" x14ac:dyDescent="0.2">
      <c r="A67" s="197" t="s">
        <v>783</v>
      </c>
      <c r="B67" s="188">
        <v>237388</v>
      </c>
      <c r="C67" s="197" t="s">
        <v>784</v>
      </c>
      <c r="D67" s="188">
        <v>94349</v>
      </c>
    </row>
    <row r="68" spans="1:8" ht="38.25" x14ac:dyDescent="0.2">
      <c r="A68" s="197" t="s">
        <v>785</v>
      </c>
      <c r="B68" s="188">
        <v>41742</v>
      </c>
      <c r="C68" s="197"/>
    </row>
    <row r="69" spans="1:8" ht="38.25" x14ac:dyDescent="0.2">
      <c r="A69" s="197" t="s">
        <v>786</v>
      </c>
      <c r="B69" s="188">
        <v>5163</v>
      </c>
      <c r="C69" s="197"/>
    </row>
    <row r="70" spans="1:8" ht="38.25" x14ac:dyDescent="0.2">
      <c r="A70" s="197" t="s">
        <v>787</v>
      </c>
      <c r="B70" s="188">
        <v>36579</v>
      </c>
      <c r="C70" s="197"/>
    </row>
    <row r="71" spans="1:8" ht="51" x14ac:dyDescent="0.2">
      <c r="A71" s="197" t="s">
        <v>788</v>
      </c>
      <c r="B71" s="188">
        <v>1649306</v>
      </c>
      <c r="C71" s="197" t="s">
        <v>789</v>
      </c>
      <c r="D71" s="188">
        <v>211488</v>
      </c>
      <c r="E71" s="188" t="s">
        <v>273</v>
      </c>
      <c r="F71" s="188">
        <f t="shared" ref="F71:F93" si="3">B71</f>
        <v>1649306</v>
      </c>
      <c r="G71" s="188">
        <f t="shared" ref="G71:G93" si="4">D71</f>
        <v>211488</v>
      </c>
      <c r="H71" s="188">
        <v>8</v>
      </c>
    </row>
    <row r="72" spans="1:8" ht="51" x14ac:dyDescent="0.2">
      <c r="A72" s="197" t="s">
        <v>790</v>
      </c>
      <c r="B72" s="188">
        <v>17129</v>
      </c>
      <c r="C72" s="197" t="s">
        <v>791</v>
      </c>
      <c r="D72" s="188">
        <v>0</v>
      </c>
      <c r="E72" s="188" t="s">
        <v>792</v>
      </c>
      <c r="F72" s="188">
        <f t="shared" si="3"/>
        <v>17129</v>
      </c>
      <c r="G72" s="188">
        <f t="shared" si="4"/>
        <v>0</v>
      </c>
      <c r="H72" s="188">
        <v>5</v>
      </c>
    </row>
    <row r="73" spans="1:8" ht="51" x14ac:dyDescent="0.2">
      <c r="A73" s="197" t="s">
        <v>793</v>
      </c>
      <c r="B73" s="188">
        <v>2121</v>
      </c>
      <c r="C73" s="197" t="s">
        <v>794</v>
      </c>
      <c r="D73" s="188">
        <v>0</v>
      </c>
      <c r="E73" s="188" t="s">
        <v>795</v>
      </c>
      <c r="F73" s="188">
        <f t="shared" si="3"/>
        <v>2121</v>
      </c>
      <c r="G73" s="188">
        <f t="shared" si="4"/>
        <v>0</v>
      </c>
      <c r="H73" s="188">
        <v>3</v>
      </c>
    </row>
    <row r="74" spans="1:8" ht="51" x14ac:dyDescent="0.2">
      <c r="A74" s="197" t="s">
        <v>796</v>
      </c>
      <c r="B74" s="188">
        <v>9075</v>
      </c>
      <c r="C74" s="197" t="s">
        <v>797</v>
      </c>
      <c r="D74" s="188">
        <v>0</v>
      </c>
      <c r="E74" s="188" t="s">
        <v>798</v>
      </c>
      <c r="F74" s="188">
        <f t="shared" si="3"/>
        <v>9075</v>
      </c>
      <c r="G74" s="188">
        <f t="shared" si="4"/>
        <v>0</v>
      </c>
      <c r="H74" s="188">
        <v>3</v>
      </c>
    </row>
    <row r="75" spans="1:8" ht="51" x14ac:dyDescent="0.2">
      <c r="A75" s="197" t="s">
        <v>799</v>
      </c>
      <c r="B75" s="188">
        <v>309952</v>
      </c>
      <c r="C75" s="197" t="s">
        <v>800</v>
      </c>
      <c r="D75" s="188">
        <v>0</v>
      </c>
      <c r="E75" s="188" t="s">
        <v>801</v>
      </c>
      <c r="F75" s="188">
        <f t="shared" si="3"/>
        <v>309952</v>
      </c>
      <c r="G75" s="188">
        <f t="shared" si="4"/>
        <v>0</v>
      </c>
      <c r="H75" s="188">
        <v>4</v>
      </c>
    </row>
    <row r="76" spans="1:8" ht="51" x14ac:dyDescent="0.2">
      <c r="A76" s="197" t="s">
        <v>802</v>
      </c>
      <c r="B76" s="188">
        <v>124243</v>
      </c>
      <c r="C76" s="197" t="s">
        <v>803</v>
      </c>
      <c r="D76" s="188">
        <v>0</v>
      </c>
      <c r="E76" s="188" t="s">
        <v>804</v>
      </c>
      <c r="F76" s="188">
        <f t="shared" si="3"/>
        <v>124243</v>
      </c>
      <c r="G76" s="188">
        <f t="shared" si="4"/>
        <v>0</v>
      </c>
      <c r="H76" s="188">
        <v>6</v>
      </c>
    </row>
    <row r="77" spans="1:8" ht="51" x14ac:dyDescent="0.2">
      <c r="A77" s="197" t="s">
        <v>805</v>
      </c>
      <c r="B77" s="188">
        <v>34</v>
      </c>
      <c r="C77" s="197" t="s">
        <v>806</v>
      </c>
      <c r="D77" s="188">
        <v>0</v>
      </c>
      <c r="E77" s="188" t="s">
        <v>807</v>
      </c>
      <c r="F77" s="188">
        <f t="shared" si="3"/>
        <v>34</v>
      </c>
      <c r="G77" s="188">
        <f t="shared" si="4"/>
        <v>0</v>
      </c>
      <c r="H77" s="188">
        <v>5</v>
      </c>
    </row>
    <row r="78" spans="1:8" ht="51" x14ac:dyDescent="0.2">
      <c r="A78" s="197" t="s">
        <v>808</v>
      </c>
      <c r="B78" s="188">
        <v>143826</v>
      </c>
      <c r="C78" s="197" t="s">
        <v>809</v>
      </c>
      <c r="D78" s="188">
        <v>113736</v>
      </c>
      <c r="E78" s="188" t="s">
        <v>810</v>
      </c>
      <c r="F78" s="188">
        <f t="shared" si="3"/>
        <v>143826</v>
      </c>
      <c r="G78" s="188">
        <f t="shared" si="4"/>
        <v>113736</v>
      </c>
      <c r="H78" s="188">
        <v>3</v>
      </c>
    </row>
    <row r="79" spans="1:8" ht="51" x14ac:dyDescent="0.2">
      <c r="A79" s="197" t="s">
        <v>811</v>
      </c>
      <c r="B79" s="188">
        <v>443351</v>
      </c>
      <c r="C79" s="197" t="s">
        <v>812</v>
      </c>
      <c r="D79" s="188">
        <v>0</v>
      </c>
      <c r="E79" s="188" t="s">
        <v>813</v>
      </c>
      <c r="F79" s="188">
        <f t="shared" si="3"/>
        <v>443351</v>
      </c>
      <c r="G79" s="188">
        <f t="shared" si="4"/>
        <v>0</v>
      </c>
      <c r="H79" s="188">
        <v>6</v>
      </c>
    </row>
    <row r="80" spans="1:8" ht="51" x14ac:dyDescent="0.2">
      <c r="A80" s="197" t="s">
        <v>814</v>
      </c>
      <c r="B80" s="188">
        <v>0</v>
      </c>
      <c r="C80" s="197" t="s">
        <v>815</v>
      </c>
      <c r="D80" s="188">
        <v>0</v>
      </c>
      <c r="E80" s="188" t="s">
        <v>816</v>
      </c>
      <c r="F80" s="188">
        <f t="shared" si="3"/>
        <v>0</v>
      </c>
      <c r="G80" s="188">
        <f t="shared" si="4"/>
        <v>0</v>
      </c>
      <c r="H80" s="188">
        <v>4</v>
      </c>
    </row>
    <row r="81" spans="1:8" ht="51" x14ac:dyDescent="0.2">
      <c r="A81" s="197" t="s">
        <v>817</v>
      </c>
      <c r="B81" s="188">
        <v>79506</v>
      </c>
      <c r="C81" s="197" t="s">
        <v>818</v>
      </c>
      <c r="D81" s="188">
        <v>13101</v>
      </c>
      <c r="E81" s="188" t="s">
        <v>819</v>
      </c>
      <c r="F81" s="188">
        <f t="shared" si="3"/>
        <v>79506</v>
      </c>
      <c r="G81" s="188">
        <f t="shared" si="4"/>
        <v>13101</v>
      </c>
      <c r="H81" s="188">
        <v>8</v>
      </c>
    </row>
    <row r="82" spans="1:8" ht="51" x14ac:dyDescent="0.2">
      <c r="A82" s="197" t="s">
        <v>820</v>
      </c>
      <c r="B82" s="188">
        <v>1980</v>
      </c>
      <c r="C82" s="197" t="s">
        <v>821</v>
      </c>
      <c r="D82" s="188">
        <v>0</v>
      </c>
      <c r="E82" s="188" t="s">
        <v>10</v>
      </c>
      <c r="F82" s="188">
        <f t="shared" si="3"/>
        <v>1980</v>
      </c>
      <c r="G82" s="188">
        <f t="shared" si="4"/>
        <v>0</v>
      </c>
      <c r="H82" s="188">
        <v>4</v>
      </c>
    </row>
    <row r="83" spans="1:8" ht="51" x14ac:dyDescent="0.2">
      <c r="A83" s="197" t="s">
        <v>822</v>
      </c>
      <c r="B83" s="188">
        <v>3</v>
      </c>
      <c r="C83" s="197" t="s">
        <v>823</v>
      </c>
      <c r="D83" s="188">
        <v>0</v>
      </c>
      <c r="E83" s="188" t="s">
        <v>824</v>
      </c>
      <c r="F83" s="188">
        <f t="shared" si="3"/>
        <v>3</v>
      </c>
      <c r="G83" s="188">
        <f t="shared" si="4"/>
        <v>0</v>
      </c>
      <c r="H83" s="188">
        <v>8</v>
      </c>
    </row>
    <row r="84" spans="1:8" ht="51" x14ac:dyDescent="0.2">
      <c r="A84" s="197" t="s">
        <v>825</v>
      </c>
      <c r="B84" s="188">
        <v>31124</v>
      </c>
      <c r="C84" s="197" t="s">
        <v>826</v>
      </c>
      <c r="D84" s="188">
        <v>0</v>
      </c>
      <c r="E84" s="188" t="s">
        <v>827</v>
      </c>
      <c r="F84" s="188">
        <f t="shared" si="3"/>
        <v>31124</v>
      </c>
      <c r="G84" s="188">
        <f t="shared" si="4"/>
        <v>0</v>
      </c>
      <c r="H84" s="188">
        <v>2</v>
      </c>
    </row>
    <row r="85" spans="1:8" ht="51" x14ac:dyDescent="0.2">
      <c r="A85" s="197" t="s">
        <v>828</v>
      </c>
      <c r="B85" s="188">
        <v>157025</v>
      </c>
      <c r="C85" s="197" t="s">
        <v>829</v>
      </c>
      <c r="D85" s="188">
        <v>114998</v>
      </c>
      <c r="E85" s="188" t="s">
        <v>830</v>
      </c>
      <c r="F85" s="188">
        <f t="shared" si="3"/>
        <v>157025</v>
      </c>
      <c r="G85" s="188">
        <f t="shared" si="4"/>
        <v>114998</v>
      </c>
      <c r="H85" s="188">
        <v>4</v>
      </c>
    </row>
    <row r="86" spans="1:8" ht="38.25" x14ac:dyDescent="0.2">
      <c r="A86" s="197" t="s">
        <v>831</v>
      </c>
      <c r="B86" s="188">
        <v>78858</v>
      </c>
      <c r="C86" s="197" t="s">
        <v>832</v>
      </c>
      <c r="D86" s="188">
        <v>2540</v>
      </c>
      <c r="E86" s="188" t="s">
        <v>833</v>
      </c>
      <c r="F86" s="188">
        <f t="shared" si="3"/>
        <v>78858</v>
      </c>
      <c r="G86" s="188">
        <f t="shared" si="4"/>
        <v>2540</v>
      </c>
      <c r="H86" s="188">
        <v>3</v>
      </c>
    </row>
    <row r="87" spans="1:8" ht="51" x14ac:dyDescent="0.2">
      <c r="A87" s="197" t="s">
        <v>834</v>
      </c>
      <c r="B87" s="188">
        <v>1344</v>
      </c>
      <c r="C87" s="197" t="s">
        <v>835</v>
      </c>
      <c r="D87" s="188">
        <v>0</v>
      </c>
      <c r="E87" s="188" t="s">
        <v>836</v>
      </c>
      <c r="F87" s="188">
        <f t="shared" si="3"/>
        <v>1344</v>
      </c>
      <c r="G87" s="188">
        <f t="shared" si="4"/>
        <v>0</v>
      </c>
      <c r="H87" s="188">
        <v>9</v>
      </c>
    </row>
    <row r="88" spans="1:8" ht="51" x14ac:dyDescent="0.2">
      <c r="A88" s="197" t="s">
        <v>837</v>
      </c>
      <c r="B88" s="188">
        <v>1310592</v>
      </c>
      <c r="C88" s="197" t="s">
        <v>838</v>
      </c>
      <c r="D88" s="188">
        <v>1068288</v>
      </c>
      <c r="E88" s="188" t="s">
        <v>839</v>
      </c>
      <c r="F88" s="188">
        <f t="shared" si="3"/>
        <v>1310592</v>
      </c>
      <c r="G88" s="188">
        <f t="shared" si="4"/>
        <v>1068288</v>
      </c>
      <c r="H88" s="188">
        <v>2</v>
      </c>
    </row>
    <row r="89" spans="1:8" ht="51" x14ac:dyDescent="0.2">
      <c r="A89" s="197" t="s">
        <v>840</v>
      </c>
      <c r="B89" s="188">
        <v>12449</v>
      </c>
      <c r="C89" s="197" t="s">
        <v>841</v>
      </c>
      <c r="D89" s="188">
        <v>0</v>
      </c>
      <c r="E89" s="188" t="s">
        <v>842</v>
      </c>
      <c r="F89" s="188">
        <f t="shared" si="3"/>
        <v>12449</v>
      </c>
      <c r="G89" s="188">
        <f t="shared" si="4"/>
        <v>0</v>
      </c>
      <c r="H89" s="188">
        <v>4</v>
      </c>
    </row>
    <row r="90" spans="1:8" ht="51" x14ac:dyDescent="0.2">
      <c r="A90" s="197" t="s">
        <v>843</v>
      </c>
      <c r="B90" s="188">
        <v>4851</v>
      </c>
      <c r="C90" s="197" t="s">
        <v>844</v>
      </c>
      <c r="D90" s="188">
        <v>0</v>
      </c>
      <c r="E90" s="188" t="s">
        <v>845</v>
      </c>
      <c r="F90" s="188">
        <f t="shared" si="3"/>
        <v>4851</v>
      </c>
      <c r="G90" s="188">
        <f t="shared" si="4"/>
        <v>0</v>
      </c>
      <c r="H90" s="188">
        <v>6</v>
      </c>
    </row>
    <row r="91" spans="1:8" ht="38.25" x14ac:dyDescent="0.2">
      <c r="A91" s="197" t="s">
        <v>846</v>
      </c>
      <c r="B91" s="188">
        <v>461507</v>
      </c>
      <c r="C91" s="197" t="s">
        <v>847</v>
      </c>
      <c r="D91" s="188">
        <v>0</v>
      </c>
      <c r="E91" s="188" t="s">
        <v>848</v>
      </c>
      <c r="F91" s="188">
        <f t="shared" si="3"/>
        <v>461507</v>
      </c>
      <c r="G91" s="188">
        <f t="shared" si="4"/>
        <v>0</v>
      </c>
      <c r="H91" s="188">
        <v>8</v>
      </c>
    </row>
    <row r="92" spans="1:8" ht="51" x14ac:dyDescent="0.2">
      <c r="A92" s="197" t="s">
        <v>849</v>
      </c>
      <c r="B92" s="188">
        <v>151094</v>
      </c>
      <c r="C92" s="197" t="s">
        <v>850</v>
      </c>
      <c r="D92" s="188">
        <v>18501</v>
      </c>
      <c r="E92" s="188" t="s">
        <v>851</v>
      </c>
      <c r="F92" s="188">
        <f t="shared" si="3"/>
        <v>151094</v>
      </c>
      <c r="G92" s="188">
        <f t="shared" si="4"/>
        <v>18501</v>
      </c>
      <c r="H92" s="188">
        <v>5</v>
      </c>
    </row>
    <row r="93" spans="1:8" ht="51" x14ac:dyDescent="0.2">
      <c r="A93" s="197" t="s">
        <v>852</v>
      </c>
      <c r="B93" s="188">
        <v>394125</v>
      </c>
      <c r="C93" s="197" t="s">
        <v>853</v>
      </c>
      <c r="D93" s="188">
        <v>227012</v>
      </c>
      <c r="E93" s="188" t="s">
        <v>854</v>
      </c>
      <c r="F93" s="188">
        <f t="shared" si="3"/>
        <v>394125</v>
      </c>
      <c r="G93" s="188">
        <f t="shared" si="4"/>
        <v>227012</v>
      </c>
      <c r="H93" s="188">
        <v>5</v>
      </c>
    </row>
  </sheetData>
  <hyperlinks>
    <hyperlink ref="B19" r:id="rId1" xr:uid="{00000000-0004-0000-2100-000000000000}"/>
    <hyperlink ref="B20" r:id="rId2" display="http://www.eia.gov/" xr:uid="{00000000-0004-0000-2100-000001000000}"/>
    <hyperlink ref="B21" r:id="rId3" display="mailto:infoctr@eia.gov_x0003_ຬ䭁暺" xr:uid="{00000000-0004-0000-2100-000002000000}"/>
    <hyperlink ref="B30" r:id="rId4" xr:uid="{00000000-0004-0000-2100-000003000000}"/>
    <hyperlink ref="B31" r:id="rId5" display="http://www.eia.gov/" xr:uid="{00000000-0004-0000-2100-000004000000}"/>
    <hyperlink ref="B32" r:id="rId6" display="mailto:infoctr@eia.gov_x0003_" xr:uid="{00000000-0004-0000-2100-000005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AE78"/>
  <sheetViews>
    <sheetView topLeftCell="A13" zoomScaleNormal="100" workbookViewId="0">
      <selection activeCell="A26" sqref="A26"/>
    </sheetView>
  </sheetViews>
  <sheetFormatPr defaultColWidth="9.140625" defaultRowHeight="12.75" x14ac:dyDescent="0.2"/>
  <cols>
    <col min="1" max="1" width="9.140625" style="20"/>
    <col min="2" max="2" width="17.7109375" style="20" customWidth="1"/>
    <col min="3" max="3" width="13.85546875" style="20" customWidth="1"/>
    <col min="4" max="4" width="12.5703125" style="20" customWidth="1"/>
    <col min="5" max="5" width="9.140625" style="20"/>
    <col min="6" max="6" width="18" style="20" customWidth="1"/>
    <col min="7" max="7" width="9.140625" style="20"/>
    <col min="8" max="8" width="10" style="20" bestFit="1" customWidth="1"/>
    <col min="9" max="9" width="10.5703125" style="20" bestFit="1" customWidth="1"/>
    <col min="10" max="10" width="11.42578125" style="20" bestFit="1" customWidth="1"/>
    <col min="11" max="21" width="9.140625" style="20"/>
    <col min="22" max="22" width="52.140625" style="20" bestFit="1" customWidth="1"/>
    <col min="23" max="27" width="9.140625" style="20"/>
    <col min="28" max="28" width="10" style="20" bestFit="1" customWidth="1"/>
    <col min="29" max="29" width="10.5703125" style="20" bestFit="1" customWidth="1"/>
    <col min="30" max="30" width="10.85546875" style="20" bestFit="1" customWidth="1"/>
    <col min="31" max="16384" width="9.140625" style="20"/>
  </cols>
  <sheetData>
    <row r="1" spans="2:31" x14ac:dyDescent="0.2">
      <c r="B1" s="17" t="s">
        <v>245</v>
      </c>
      <c r="C1" s="198"/>
      <c r="D1" s="198"/>
      <c r="E1" s="198"/>
      <c r="F1" s="198"/>
      <c r="G1" s="198"/>
      <c r="H1" s="198"/>
      <c r="I1" s="198"/>
      <c r="J1" s="198"/>
      <c r="V1" s="17"/>
      <c r="W1" s="198"/>
      <c r="X1" s="198"/>
      <c r="Y1" s="198"/>
      <c r="Z1" s="198"/>
      <c r="AA1" s="198"/>
      <c r="AB1" s="198"/>
      <c r="AC1" s="198"/>
      <c r="AD1" s="198"/>
    </row>
    <row r="2" spans="2:31" x14ac:dyDescent="0.2">
      <c r="B2" s="198"/>
      <c r="C2" s="198"/>
      <c r="D2" s="198"/>
      <c r="E2" s="198"/>
      <c r="F2" s="198"/>
      <c r="G2" s="198"/>
      <c r="H2" s="198"/>
      <c r="I2" s="198"/>
      <c r="J2" s="198"/>
      <c r="V2" s="198"/>
      <c r="W2" s="198"/>
      <c r="X2" s="198"/>
      <c r="Y2" s="198"/>
      <c r="Z2" s="198"/>
      <c r="AA2" s="198"/>
      <c r="AB2" s="198"/>
      <c r="AC2" s="198"/>
      <c r="AD2" s="198"/>
    </row>
    <row r="3" spans="2:31" ht="12" customHeight="1" x14ac:dyDescent="0.2">
      <c r="B3" s="198"/>
      <c r="D3" s="198"/>
      <c r="G3" s="198"/>
      <c r="H3" s="198"/>
      <c r="I3" s="198"/>
      <c r="J3" s="198"/>
      <c r="V3" s="17"/>
      <c r="X3" s="198"/>
      <c r="Y3" s="198"/>
      <c r="Z3" s="198"/>
      <c r="AA3" s="198"/>
      <c r="AB3" s="198"/>
      <c r="AC3" s="198"/>
      <c r="AD3" s="198"/>
    </row>
    <row r="4" spans="2:31" ht="12" customHeight="1" x14ac:dyDescent="0.2">
      <c r="B4" s="199" t="s">
        <v>1258</v>
      </c>
      <c r="C4" s="23"/>
      <c r="D4" s="23"/>
      <c r="G4" s="198"/>
      <c r="H4" s="198"/>
      <c r="I4" s="198"/>
      <c r="J4" s="198"/>
      <c r="X4" s="198"/>
      <c r="Y4" s="198"/>
      <c r="Z4" s="198"/>
      <c r="AA4" s="198"/>
      <c r="AB4" s="198"/>
      <c r="AC4" s="198"/>
      <c r="AD4" s="198"/>
    </row>
    <row r="5" spans="2:31" ht="12" customHeight="1" x14ac:dyDescent="0.2">
      <c r="D5" s="46" t="s">
        <v>254</v>
      </c>
      <c r="E5" s="200"/>
      <c r="F5" s="46"/>
      <c r="H5" s="198"/>
      <c r="I5" s="201" t="s">
        <v>246</v>
      </c>
      <c r="J5" s="201">
        <v>1.0550559999999999E-6</v>
      </c>
      <c r="K5" s="20" t="s">
        <v>144</v>
      </c>
      <c r="Y5" s="198"/>
      <c r="Z5" s="198"/>
      <c r="AA5" s="198"/>
      <c r="AB5" s="198"/>
      <c r="AC5" s="201"/>
      <c r="AD5" s="201"/>
    </row>
    <row r="6" spans="2:31" ht="12" customHeight="1" x14ac:dyDescent="0.2">
      <c r="B6" s="202" t="s">
        <v>255</v>
      </c>
      <c r="C6" s="202" t="s">
        <v>497</v>
      </c>
      <c r="D6" s="46">
        <v>1.0219999999999999E-3</v>
      </c>
      <c r="E6" s="203"/>
      <c r="F6" s="46"/>
      <c r="H6" s="198"/>
      <c r="I6" s="198" t="s">
        <v>247</v>
      </c>
      <c r="J6" s="198">
        <v>1055</v>
      </c>
      <c r="K6" s="20" t="s">
        <v>144</v>
      </c>
      <c r="Z6" s="198"/>
      <c r="AA6" s="198"/>
      <c r="AB6" s="198"/>
      <c r="AC6" s="198"/>
      <c r="AD6" s="198"/>
    </row>
    <row r="7" spans="2:31" ht="12" customHeight="1" x14ac:dyDescent="0.2">
      <c r="C7" s="20" t="s">
        <v>1259</v>
      </c>
      <c r="D7" s="46">
        <v>1.0250000000000001E-3</v>
      </c>
      <c r="E7" s="200"/>
      <c r="H7" s="198"/>
      <c r="I7" s="198" t="s">
        <v>248</v>
      </c>
      <c r="J7" s="198">
        <v>3412</v>
      </c>
      <c r="K7" s="198" t="s">
        <v>249</v>
      </c>
      <c r="W7" s="198"/>
      <c r="X7" s="198"/>
      <c r="Y7" s="204"/>
      <c r="Z7" s="198"/>
      <c r="AA7" s="198"/>
      <c r="AB7" s="198"/>
      <c r="AC7" s="198"/>
      <c r="AD7" s="198"/>
      <c r="AE7" s="198"/>
    </row>
    <row r="8" spans="2:31" ht="12" customHeight="1" x14ac:dyDescent="0.2">
      <c r="D8" s="46"/>
      <c r="E8" s="200"/>
      <c r="H8" s="198"/>
      <c r="J8" s="198"/>
      <c r="K8" s="198"/>
      <c r="W8" s="198"/>
      <c r="X8" s="198"/>
      <c r="Y8" s="204"/>
      <c r="Z8" s="198"/>
      <c r="AA8" s="198"/>
      <c r="AB8" s="198"/>
      <c r="AC8" s="198"/>
      <c r="AD8" s="198"/>
      <c r="AE8" s="198"/>
    </row>
    <row r="9" spans="2:31" ht="12" customHeight="1" x14ac:dyDescent="0.2">
      <c r="D9" s="198"/>
      <c r="G9" s="198"/>
      <c r="H9" s="198"/>
      <c r="I9" s="198"/>
      <c r="J9" s="198"/>
      <c r="V9" s="198"/>
      <c r="W9" s="198"/>
      <c r="X9" s="204"/>
      <c r="Y9" s="198"/>
      <c r="Z9" s="198"/>
      <c r="AA9" s="198"/>
      <c r="AB9" s="198"/>
      <c r="AC9" s="198"/>
      <c r="AD9" s="198"/>
    </row>
    <row r="10" spans="2:31" ht="12" customHeight="1" x14ac:dyDescent="0.2">
      <c r="B10" s="205" t="s">
        <v>250</v>
      </c>
      <c r="C10" s="206"/>
      <c r="D10" s="206"/>
      <c r="E10" s="207"/>
      <c r="F10" s="207"/>
      <c r="G10" s="207"/>
      <c r="P10" s="198"/>
      <c r="Q10" s="198"/>
      <c r="R10" s="204"/>
      <c r="S10" s="198"/>
      <c r="T10" s="198"/>
      <c r="U10" s="198"/>
      <c r="V10" s="205"/>
      <c r="W10" s="206"/>
      <c r="X10" s="206"/>
      <c r="Y10" s="207"/>
      <c r="Z10" s="207"/>
      <c r="AA10" s="207"/>
    </row>
    <row r="11" spans="2:31" ht="12" customHeight="1" x14ac:dyDescent="0.2">
      <c r="B11" s="206" t="s">
        <v>927</v>
      </c>
      <c r="C11" s="206"/>
      <c r="D11" s="206"/>
      <c r="E11" s="207"/>
      <c r="F11" s="207"/>
      <c r="G11" s="207"/>
      <c r="P11" s="198"/>
      <c r="Q11" s="198"/>
      <c r="R11" s="204"/>
      <c r="S11" s="198"/>
      <c r="T11" s="198"/>
      <c r="U11" s="198"/>
      <c r="V11" s="206"/>
      <c r="W11" s="206"/>
      <c r="X11" s="206"/>
      <c r="Y11" s="207"/>
      <c r="Z11" s="207"/>
      <c r="AA11" s="207"/>
    </row>
    <row r="12" spans="2:31" ht="12" customHeight="1" x14ac:dyDescent="0.2">
      <c r="B12" s="206" t="s">
        <v>369</v>
      </c>
      <c r="C12" s="206"/>
      <c r="D12" s="206"/>
      <c r="E12" s="207"/>
      <c r="F12" s="207"/>
      <c r="G12" s="207"/>
      <c r="P12" s="198"/>
      <c r="Q12" s="198"/>
      <c r="R12" s="204"/>
      <c r="S12" s="198"/>
      <c r="T12" s="198"/>
      <c r="U12" s="198"/>
      <c r="V12" s="206"/>
      <c r="W12" s="206"/>
      <c r="X12" s="206"/>
      <c r="Y12" s="207"/>
      <c r="Z12" s="207"/>
      <c r="AA12" s="207"/>
    </row>
    <row r="13" spans="2:31" ht="12" customHeight="1" x14ac:dyDescent="0.2">
      <c r="B13" s="31" t="s">
        <v>370</v>
      </c>
      <c r="C13" s="206"/>
      <c r="D13" s="206"/>
      <c r="E13" s="207"/>
      <c r="F13" s="207"/>
      <c r="G13" s="207"/>
      <c r="I13" s="208"/>
      <c r="J13" s="208"/>
      <c r="K13" s="208"/>
      <c r="P13" s="198"/>
      <c r="Q13" s="198"/>
      <c r="R13" s="204"/>
      <c r="S13" s="198"/>
      <c r="T13" s="198"/>
      <c r="U13" s="198"/>
      <c r="V13" s="31"/>
      <c r="W13" s="206"/>
      <c r="X13" s="206"/>
      <c r="Y13" s="207"/>
      <c r="Z13" s="207"/>
      <c r="AA13" s="207"/>
    </row>
    <row r="14" spans="2:31" ht="12" customHeight="1" x14ac:dyDescent="0.2">
      <c r="B14" s="20" t="s">
        <v>926</v>
      </c>
      <c r="C14" s="206"/>
      <c r="D14" s="206"/>
      <c r="E14" s="207"/>
      <c r="F14" s="207"/>
      <c r="G14" s="207"/>
      <c r="I14" s="209"/>
      <c r="J14" s="209"/>
      <c r="K14" s="209"/>
      <c r="P14" s="198"/>
      <c r="Q14" s="198"/>
      <c r="R14" s="204"/>
      <c r="S14" s="198"/>
      <c r="T14" s="198"/>
      <c r="U14" s="198"/>
      <c r="W14" s="206"/>
      <c r="X14" s="206"/>
      <c r="Y14" s="207"/>
      <c r="Z14" s="207"/>
      <c r="AA14" s="207"/>
    </row>
    <row r="15" spans="2:31" ht="12" customHeight="1" x14ac:dyDescent="0.2">
      <c r="B15" s="206" t="s">
        <v>251</v>
      </c>
      <c r="C15" s="206" t="s">
        <v>252</v>
      </c>
      <c r="D15" s="206" t="s">
        <v>928</v>
      </c>
      <c r="E15" s="207"/>
      <c r="F15" s="207"/>
      <c r="G15" s="207"/>
      <c r="I15" s="209"/>
      <c r="J15" s="209"/>
      <c r="K15" s="209"/>
      <c r="P15" s="198"/>
      <c r="Q15" s="198"/>
      <c r="R15" s="204"/>
      <c r="S15" s="198"/>
      <c r="T15" s="198"/>
      <c r="U15" s="198"/>
      <c r="V15" s="206"/>
      <c r="W15" s="206"/>
      <c r="X15" s="206"/>
      <c r="Y15" s="207"/>
      <c r="Z15" s="207"/>
      <c r="AA15" s="207"/>
    </row>
    <row r="16" spans="2:31" ht="12" customHeight="1" x14ac:dyDescent="0.2">
      <c r="B16" s="46" t="s">
        <v>906</v>
      </c>
      <c r="C16" s="46">
        <v>53.622999999999998</v>
      </c>
      <c r="D16" s="210">
        <f>$C$38/C16</f>
        <v>1.7155138653189863</v>
      </c>
      <c r="E16" s="207"/>
      <c r="F16" s="207"/>
      <c r="G16" s="207"/>
      <c r="I16" s="209"/>
      <c r="J16" s="209"/>
      <c r="K16" s="209"/>
      <c r="P16" s="198"/>
      <c r="Q16" s="198"/>
      <c r="R16" s="204"/>
      <c r="S16" s="198"/>
      <c r="T16" s="198"/>
      <c r="U16" s="198"/>
      <c r="X16" s="210"/>
      <c r="Y16" s="207"/>
      <c r="Z16" s="207"/>
      <c r="AA16" s="207"/>
    </row>
    <row r="17" spans="2:27" ht="12" customHeight="1" x14ac:dyDescent="0.2">
      <c r="B17" s="46" t="s">
        <v>907</v>
      </c>
      <c r="C17" s="46">
        <v>55.524999999999999</v>
      </c>
      <c r="D17" s="210">
        <f t="shared" ref="D17:D45" si="0">$C$38/C17</f>
        <v>1.6567492120666367</v>
      </c>
      <c r="E17" s="207"/>
      <c r="F17" s="207"/>
      <c r="G17" s="207"/>
      <c r="I17" s="209"/>
      <c r="J17" s="209"/>
      <c r="K17" s="209"/>
      <c r="P17" s="198"/>
      <c r="Q17" s="198"/>
      <c r="R17" s="204"/>
      <c r="S17" s="198"/>
      <c r="T17" s="198"/>
      <c r="U17" s="198"/>
      <c r="X17" s="210"/>
      <c r="Y17" s="207"/>
      <c r="Z17" s="207"/>
      <c r="AA17" s="207"/>
    </row>
    <row r="18" spans="2:27" ht="12" customHeight="1" x14ac:dyDescent="0.2">
      <c r="B18" s="46" t="s">
        <v>908</v>
      </c>
      <c r="C18" s="46">
        <v>57.302</v>
      </c>
      <c r="D18" s="210">
        <f t="shared" si="0"/>
        <v>1.6053715402603748</v>
      </c>
      <c r="E18" s="207"/>
      <c r="F18" s="207"/>
      <c r="G18" s="207"/>
      <c r="I18" s="209"/>
      <c r="J18" s="209"/>
      <c r="K18" s="209"/>
      <c r="P18" s="198"/>
      <c r="Q18" s="198"/>
      <c r="R18" s="204"/>
      <c r="S18" s="198"/>
      <c r="T18" s="198"/>
      <c r="U18" s="198"/>
      <c r="X18" s="210"/>
      <c r="Y18" s="207"/>
      <c r="Z18" s="207"/>
      <c r="AA18" s="207"/>
    </row>
    <row r="19" spans="2:27" ht="12" customHeight="1" x14ac:dyDescent="0.2">
      <c r="B19" s="46" t="s">
        <v>909</v>
      </c>
      <c r="C19" s="46">
        <v>58.457999999999998</v>
      </c>
      <c r="D19" s="210">
        <f t="shared" si="0"/>
        <v>1.5736255089123816</v>
      </c>
      <c r="E19" s="207"/>
      <c r="F19" s="207"/>
      <c r="G19" s="207"/>
      <c r="I19" s="209"/>
      <c r="J19" s="209"/>
      <c r="K19" s="209"/>
      <c r="P19" s="211"/>
      <c r="Q19" s="198"/>
      <c r="R19" s="204"/>
      <c r="S19" s="198"/>
      <c r="T19" s="198"/>
      <c r="U19" s="198"/>
      <c r="X19" s="210"/>
      <c r="Y19" s="207"/>
      <c r="Z19" s="207"/>
      <c r="AA19" s="207"/>
    </row>
    <row r="20" spans="2:27" ht="12" customHeight="1" x14ac:dyDescent="0.2">
      <c r="B20" s="46" t="s">
        <v>910</v>
      </c>
      <c r="C20" s="46">
        <v>59.948999999999998</v>
      </c>
      <c r="D20" s="210">
        <f t="shared" si="0"/>
        <v>1.5344876478339922</v>
      </c>
      <c r="E20" s="207"/>
      <c r="F20" s="207"/>
      <c r="G20" s="207"/>
      <c r="I20" s="209"/>
      <c r="J20" s="209"/>
      <c r="K20" s="209"/>
      <c r="P20" s="198"/>
      <c r="Q20" s="198"/>
      <c r="R20" s="204"/>
      <c r="S20" s="198"/>
      <c r="T20" s="198"/>
      <c r="U20" s="198"/>
      <c r="X20" s="210"/>
      <c r="Y20" s="207"/>
      <c r="Z20" s="207"/>
      <c r="AA20" s="207"/>
    </row>
    <row r="21" spans="2:27" ht="12" customHeight="1" x14ac:dyDescent="0.2">
      <c r="B21" s="46" t="s">
        <v>911</v>
      </c>
      <c r="C21" s="46">
        <v>62.048000000000002</v>
      </c>
      <c r="D21" s="210">
        <f t="shared" si="0"/>
        <v>1.4825780041258381</v>
      </c>
      <c r="E21" s="207"/>
      <c r="F21" s="207"/>
      <c r="G21" s="207"/>
      <c r="I21" s="209"/>
      <c r="J21" s="209"/>
      <c r="K21" s="209"/>
      <c r="P21" s="198"/>
      <c r="Q21" s="198"/>
      <c r="R21" s="204"/>
      <c r="S21" s="198"/>
      <c r="T21" s="198"/>
      <c r="U21" s="198"/>
      <c r="X21" s="210"/>
      <c r="Y21" s="207"/>
      <c r="Z21" s="207"/>
      <c r="AA21" s="207"/>
    </row>
    <row r="22" spans="2:27" ht="12" customHeight="1" x14ac:dyDescent="0.2">
      <c r="B22" s="46" t="s">
        <v>912</v>
      </c>
      <c r="C22" s="46">
        <v>64.459999999999994</v>
      </c>
      <c r="D22" s="210">
        <f t="shared" si="0"/>
        <v>1.4271020788085635</v>
      </c>
      <c r="E22" s="207"/>
      <c r="F22" s="207"/>
      <c r="G22" s="207"/>
      <c r="I22" s="209"/>
      <c r="J22" s="209"/>
      <c r="K22" s="209"/>
      <c r="P22" s="198"/>
      <c r="Q22" s="198"/>
      <c r="R22" s="204"/>
      <c r="S22" s="198"/>
      <c r="T22" s="198"/>
      <c r="U22" s="198"/>
      <c r="X22" s="210"/>
      <c r="Y22" s="207"/>
      <c r="Z22" s="207"/>
      <c r="AA22" s="207"/>
    </row>
    <row r="23" spans="2:27" ht="12" customHeight="1" x14ac:dyDescent="0.2">
      <c r="B23" s="46" t="s">
        <v>913</v>
      </c>
      <c r="C23" s="46">
        <v>66.844999999999999</v>
      </c>
      <c r="D23" s="210">
        <f t="shared" si="0"/>
        <v>1.3761837085795496</v>
      </c>
      <c r="E23" s="212"/>
      <c r="F23" s="212"/>
      <c r="G23" s="207"/>
      <c r="I23" s="209"/>
      <c r="J23" s="209"/>
      <c r="K23" s="209"/>
      <c r="P23" s="198"/>
      <c r="Q23" s="198"/>
      <c r="R23" s="204"/>
      <c r="S23" s="198"/>
      <c r="T23" s="198"/>
      <c r="U23" s="198"/>
      <c r="X23" s="210"/>
      <c r="Y23" s="212"/>
      <c r="Z23" s="212"/>
      <c r="AA23" s="207"/>
    </row>
    <row r="24" spans="2:27" ht="12" customHeight="1" x14ac:dyDescent="0.2">
      <c r="B24" s="46" t="s">
        <v>914</v>
      </c>
      <c r="C24" s="46">
        <v>69.069000000000003</v>
      </c>
      <c r="D24" s="210">
        <f t="shared" si="0"/>
        <v>1.3318710275232013</v>
      </c>
      <c r="E24" s="212"/>
      <c r="F24" s="212"/>
      <c r="G24" s="207"/>
      <c r="I24" s="209"/>
      <c r="J24" s="209"/>
      <c r="K24" s="209"/>
      <c r="P24" s="198"/>
      <c r="Q24" s="198"/>
      <c r="R24" s="204"/>
      <c r="S24" s="198"/>
      <c r="X24" s="210"/>
      <c r="Y24" s="212"/>
      <c r="Z24" s="212"/>
      <c r="AA24" s="207"/>
    </row>
    <row r="25" spans="2:27" ht="12" customHeight="1" x14ac:dyDescent="0.2">
      <c r="B25" s="46" t="s">
        <v>915</v>
      </c>
      <c r="C25" s="46">
        <v>70.644000000000005</v>
      </c>
      <c r="D25" s="210">
        <f t="shared" si="0"/>
        <v>1.3021771134137363</v>
      </c>
      <c r="E25" s="212"/>
      <c r="F25" s="212"/>
      <c r="G25" s="207"/>
      <c r="I25" s="209"/>
      <c r="J25" s="209"/>
      <c r="K25" s="209"/>
      <c r="P25" s="198"/>
      <c r="Q25" s="198"/>
      <c r="R25" s="204"/>
      <c r="S25" s="198"/>
      <c r="X25" s="210"/>
      <c r="Y25" s="212"/>
      <c r="Z25" s="212"/>
      <c r="AA25" s="207"/>
    </row>
    <row r="26" spans="2:27" ht="12" customHeight="1" x14ac:dyDescent="0.2">
      <c r="B26" s="46" t="s">
        <v>916</v>
      </c>
      <c r="C26" s="46">
        <v>72.325000000000003</v>
      </c>
      <c r="D26" s="210">
        <f t="shared" si="0"/>
        <v>1.2719115105426892</v>
      </c>
      <c r="E26" s="212"/>
      <c r="F26" s="212"/>
      <c r="G26" s="207"/>
      <c r="I26" s="209"/>
      <c r="J26" s="209"/>
      <c r="K26" s="209"/>
      <c r="P26" s="211"/>
      <c r="Q26" s="204"/>
      <c r="R26" s="204"/>
      <c r="X26" s="210"/>
      <c r="Y26" s="212"/>
      <c r="Z26" s="212"/>
      <c r="AA26" s="207"/>
    </row>
    <row r="27" spans="2:27" ht="12" customHeight="1" x14ac:dyDescent="0.2">
      <c r="B27" s="46" t="s">
        <v>917</v>
      </c>
      <c r="C27" s="46">
        <v>73.864999999999995</v>
      </c>
      <c r="D27" s="210">
        <f t="shared" si="0"/>
        <v>1.2453936235023355</v>
      </c>
      <c r="E27" s="212"/>
      <c r="F27" s="212"/>
      <c r="G27" s="207"/>
      <c r="I27" s="209"/>
      <c r="J27" s="209"/>
      <c r="K27" s="209"/>
      <c r="P27" s="198"/>
      <c r="Q27" s="198"/>
      <c r="R27" s="204"/>
      <c r="S27" s="198"/>
      <c r="X27" s="210"/>
      <c r="Y27" s="212"/>
      <c r="Z27" s="212"/>
      <c r="AA27" s="207"/>
    </row>
    <row r="28" spans="2:27" ht="12" customHeight="1" x14ac:dyDescent="0.2">
      <c r="B28" s="46" t="s">
        <v>918</v>
      </c>
      <c r="C28" s="46">
        <v>75.406000000000006</v>
      </c>
      <c r="D28" s="210">
        <f t="shared" si="0"/>
        <v>1.2199427101291673</v>
      </c>
      <c r="E28" s="212"/>
      <c r="F28" s="212"/>
      <c r="G28" s="207"/>
      <c r="I28" s="209"/>
      <c r="J28" s="209"/>
      <c r="K28" s="209"/>
      <c r="P28" s="198"/>
      <c r="Q28" s="198"/>
      <c r="R28" s="204"/>
      <c r="S28" s="198"/>
      <c r="X28" s="210"/>
      <c r="Y28" s="212"/>
      <c r="Z28" s="212"/>
      <c r="AA28" s="207"/>
    </row>
    <row r="29" spans="2:27" ht="12" customHeight="1" x14ac:dyDescent="0.2">
      <c r="B29" s="46" t="s">
        <v>919</v>
      </c>
      <c r="C29" s="46">
        <v>76.783000000000001</v>
      </c>
      <c r="D29" s="210">
        <f t="shared" si="0"/>
        <v>1.1980646757745854</v>
      </c>
      <c r="E29" s="212"/>
      <c r="F29" s="212"/>
      <c r="G29" s="207"/>
      <c r="I29" s="209"/>
      <c r="J29" s="209"/>
      <c r="K29" s="209"/>
      <c r="P29" s="198"/>
      <c r="Q29" s="198"/>
      <c r="R29" s="204"/>
      <c r="S29" s="198"/>
      <c r="X29" s="210"/>
      <c r="Y29" s="212"/>
      <c r="Z29" s="212"/>
      <c r="AA29" s="207"/>
    </row>
    <row r="30" spans="2:27" ht="12" customHeight="1" x14ac:dyDescent="0.2">
      <c r="B30" s="46" t="s">
        <v>920</v>
      </c>
      <c r="C30" s="46">
        <v>78.096000000000004</v>
      </c>
      <c r="D30" s="210">
        <f t="shared" si="0"/>
        <v>1.1779220446629788</v>
      </c>
      <c r="E30" s="212"/>
      <c r="F30" s="212"/>
      <c r="G30" s="207"/>
      <c r="I30" s="209"/>
      <c r="J30" s="209"/>
      <c r="K30" s="209"/>
      <c r="P30" s="198"/>
      <c r="Q30" s="198"/>
      <c r="R30" s="204"/>
      <c r="S30" s="198"/>
      <c r="X30" s="210"/>
      <c r="Y30" s="212"/>
      <c r="Z30" s="212"/>
      <c r="AA30" s="207"/>
    </row>
    <row r="31" spans="2:27" ht="12" customHeight="1" x14ac:dyDescent="0.2">
      <c r="B31" s="46" t="s">
        <v>921</v>
      </c>
      <c r="C31" s="46">
        <v>78.944000000000003</v>
      </c>
      <c r="D31" s="210">
        <f t="shared" si="0"/>
        <v>1.1652690514795299</v>
      </c>
      <c r="E31" s="212"/>
      <c r="F31" s="212"/>
      <c r="G31" s="207"/>
      <c r="I31" s="209"/>
      <c r="J31" s="209"/>
      <c r="K31" s="209"/>
      <c r="P31" s="198"/>
      <c r="Q31" s="198"/>
      <c r="R31" s="204"/>
      <c r="S31" s="198"/>
      <c r="X31" s="210"/>
      <c r="Y31" s="212"/>
      <c r="Z31" s="212"/>
      <c r="AA31" s="207"/>
    </row>
    <row r="32" spans="2:27" ht="12" customHeight="1" x14ac:dyDescent="0.2">
      <c r="B32" s="46" t="s">
        <v>922</v>
      </c>
      <c r="C32" s="46">
        <v>80.070999999999998</v>
      </c>
      <c r="D32" s="210">
        <f t="shared" si="0"/>
        <v>1.148867879756716</v>
      </c>
      <c r="E32" s="212"/>
      <c r="F32" s="212"/>
      <c r="G32" s="207"/>
      <c r="I32" s="209"/>
      <c r="J32" s="209"/>
      <c r="K32" s="209"/>
      <c r="P32" s="198"/>
      <c r="Q32" s="198"/>
      <c r="R32" s="204"/>
      <c r="S32" s="198"/>
      <c r="X32" s="210"/>
      <c r="Y32" s="212"/>
      <c r="Z32" s="212"/>
      <c r="AA32" s="207"/>
    </row>
    <row r="33" spans="2:27" ht="12" customHeight="1" x14ac:dyDescent="0.2">
      <c r="B33" s="46" t="s">
        <v>923</v>
      </c>
      <c r="C33" s="46">
        <v>81.891000000000005</v>
      </c>
      <c r="D33" s="210">
        <f t="shared" si="0"/>
        <v>1.123334676582286</v>
      </c>
      <c r="E33" s="212"/>
      <c r="F33" s="212"/>
      <c r="G33" s="207"/>
      <c r="P33" s="198"/>
      <c r="Q33" s="198"/>
      <c r="R33" s="204"/>
      <c r="S33" s="198"/>
      <c r="X33" s="210"/>
      <c r="Y33" s="212"/>
      <c r="Z33" s="212"/>
      <c r="AA33" s="207"/>
    </row>
    <row r="34" spans="2:27" ht="12" customHeight="1" x14ac:dyDescent="0.2">
      <c r="B34" s="46" t="s">
        <v>924</v>
      </c>
      <c r="C34" s="46">
        <v>83.766000000000005</v>
      </c>
      <c r="D34" s="210">
        <f t="shared" si="0"/>
        <v>1.0981901964997731</v>
      </c>
      <c r="E34" s="212"/>
      <c r="F34" s="212"/>
      <c r="G34" s="207"/>
      <c r="P34" s="198"/>
      <c r="Q34" s="198"/>
      <c r="R34" s="204"/>
      <c r="S34" s="198"/>
      <c r="X34" s="210"/>
      <c r="Y34" s="212"/>
      <c r="Z34" s="212"/>
      <c r="AA34" s="207"/>
    </row>
    <row r="35" spans="2:27" ht="12" customHeight="1" x14ac:dyDescent="0.2">
      <c r="B35" s="46" t="s">
        <v>925</v>
      </c>
      <c r="C35" s="46">
        <v>85.054000000000002</v>
      </c>
      <c r="D35" s="210">
        <f t="shared" si="0"/>
        <v>1.0815599501493169</v>
      </c>
      <c r="E35" s="212"/>
      <c r="F35" s="212"/>
      <c r="G35" s="207"/>
      <c r="P35" s="198"/>
      <c r="Q35" s="198"/>
      <c r="R35" s="204"/>
      <c r="X35" s="210"/>
      <c r="Y35" s="212"/>
      <c r="Z35" s="212"/>
      <c r="AA35" s="207"/>
    </row>
    <row r="36" spans="2:27" ht="12" customHeight="1" x14ac:dyDescent="0.2">
      <c r="B36" s="46" t="s">
        <v>51</v>
      </c>
      <c r="C36" s="46">
        <v>86.754000000000005</v>
      </c>
      <c r="D36" s="210">
        <f t="shared" si="0"/>
        <v>1.0603660926297347</v>
      </c>
      <c r="E36" s="212"/>
      <c r="F36" s="212"/>
      <c r="G36" s="207"/>
      <c r="P36" s="198"/>
      <c r="Q36" s="198"/>
      <c r="R36" s="204"/>
      <c r="X36" s="210"/>
      <c r="Y36" s="212"/>
      <c r="Z36" s="212"/>
      <c r="AA36" s="207"/>
    </row>
    <row r="37" spans="2:27" ht="12" customHeight="1" x14ac:dyDescent="0.2">
      <c r="B37" s="46" t="s">
        <v>52</v>
      </c>
      <c r="C37" s="46">
        <v>89.132000000000005</v>
      </c>
      <c r="D37" s="210">
        <f t="shared" si="0"/>
        <v>1.0320760220796121</v>
      </c>
      <c r="E37" s="212"/>
      <c r="F37" s="212"/>
      <c r="G37" s="207"/>
      <c r="P37" s="198"/>
      <c r="Q37" s="198"/>
      <c r="R37" s="204"/>
      <c r="X37" s="210"/>
      <c r="Y37" s="212"/>
      <c r="Z37" s="212"/>
      <c r="AA37" s="207"/>
    </row>
    <row r="38" spans="2:27" ht="12" customHeight="1" x14ac:dyDescent="0.2">
      <c r="B38" s="46" t="s">
        <v>234</v>
      </c>
      <c r="C38" s="46">
        <v>91.991</v>
      </c>
      <c r="D38" s="210">
        <f t="shared" si="0"/>
        <v>1</v>
      </c>
      <c r="E38" s="212"/>
      <c r="F38" s="212"/>
      <c r="G38" s="207"/>
      <c r="P38" s="198"/>
      <c r="Q38" s="198"/>
      <c r="R38" s="204"/>
      <c r="X38" s="210"/>
      <c r="Y38" s="212"/>
      <c r="Z38" s="212"/>
      <c r="AA38" s="207"/>
    </row>
    <row r="39" spans="2:27" ht="12" customHeight="1" x14ac:dyDescent="0.2">
      <c r="B39" s="46" t="s">
        <v>23</v>
      </c>
      <c r="C39" s="46">
        <v>94.817999999999998</v>
      </c>
      <c r="D39" s="210">
        <f t="shared" si="0"/>
        <v>0.97018498597312752</v>
      </c>
      <c r="E39" s="212"/>
      <c r="F39" s="212"/>
      <c r="G39" s="207"/>
      <c r="P39" s="198"/>
      <c r="Q39" s="198"/>
      <c r="R39" s="204"/>
      <c r="X39" s="210"/>
      <c r="Y39" s="212"/>
      <c r="Z39" s="212"/>
      <c r="AA39" s="207"/>
    </row>
    <row r="40" spans="2:27" ht="12" customHeight="1" x14ac:dyDescent="0.2">
      <c r="B40" s="46" t="s">
        <v>24</v>
      </c>
      <c r="C40" s="46">
        <v>97.334999999999994</v>
      </c>
      <c r="D40" s="210">
        <f t="shared" si="0"/>
        <v>0.94509683053372384</v>
      </c>
      <c r="E40" s="212"/>
      <c r="F40" s="212"/>
      <c r="G40" s="207"/>
      <c r="P40" s="198"/>
      <c r="Q40" s="198"/>
      <c r="R40" s="204"/>
      <c r="X40" s="210"/>
      <c r="Y40" s="212"/>
      <c r="Z40" s="212"/>
      <c r="AA40" s="207"/>
    </row>
    <row r="41" spans="2:27" ht="12" customHeight="1" x14ac:dyDescent="0.2">
      <c r="B41" s="46" t="s">
        <v>25</v>
      </c>
      <c r="C41" s="46">
        <v>99.236000000000004</v>
      </c>
      <c r="D41" s="210">
        <f t="shared" si="0"/>
        <v>0.92699222056511743</v>
      </c>
      <c r="E41" s="212"/>
      <c r="F41" s="212"/>
      <c r="G41" s="207"/>
      <c r="P41" s="198"/>
      <c r="Q41" s="198"/>
      <c r="R41" s="204"/>
      <c r="X41" s="210"/>
      <c r="Y41" s="212"/>
      <c r="Z41" s="212"/>
      <c r="AA41" s="207"/>
    </row>
    <row r="42" spans="2:27" ht="12" customHeight="1" x14ac:dyDescent="0.2">
      <c r="B42" s="46" t="s">
        <v>26</v>
      </c>
      <c r="C42" s="46">
        <v>100</v>
      </c>
      <c r="D42" s="210">
        <f t="shared" si="0"/>
        <v>0.91991000000000001</v>
      </c>
      <c r="E42" s="212"/>
      <c r="F42" s="212"/>
      <c r="G42" s="207"/>
      <c r="P42" s="198"/>
      <c r="R42" s="198"/>
      <c r="X42" s="210"/>
      <c r="Y42" s="212"/>
      <c r="Z42" s="212"/>
      <c r="AA42" s="207"/>
    </row>
    <row r="43" spans="2:27" ht="12" customHeight="1" x14ac:dyDescent="0.2">
      <c r="B43" s="46" t="s">
        <v>235</v>
      </c>
      <c r="C43" s="46">
        <v>101.211</v>
      </c>
      <c r="D43" s="210">
        <f t="shared" si="0"/>
        <v>0.90890318246040447</v>
      </c>
      <c r="P43" s="198"/>
      <c r="R43" s="198"/>
      <c r="X43" s="210"/>
    </row>
    <row r="44" spans="2:27" x14ac:dyDescent="0.2">
      <c r="B44" s="46" t="s">
        <v>27</v>
      </c>
      <c r="C44" s="46">
        <v>103.199</v>
      </c>
      <c r="D44" s="210">
        <f t="shared" si="0"/>
        <v>0.89139429645636103</v>
      </c>
      <c r="P44" s="211"/>
      <c r="Q44" s="23"/>
      <c r="R44" s="23"/>
    </row>
    <row r="45" spans="2:27" x14ac:dyDescent="0.2">
      <c r="B45" s="46" t="s">
        <v>28</v>
      </c>
      <c r="C45" s="46">
        <v>105.002</v>
      </c>
      <c r="D45" s="210">
        <f t="shared" si="0"/>
        <v>0.87608807451286641</v>
      </c>
      <c r="P45" s="198"/>
      <c r="Q45" s="198"/>
      <c r="R45" s="204"/>
    </row>
    <row r="46" spans="2:27" x14ac:dyDescent="0.2">
      <c r="P46" s="198"/>
      <c r="Q46" s="198"/>
      <c r="R46" s="204"/>
      <c r="V46" s="202"/>
    </row>
    <row r="47" spans="2:27" x14ac:dyDescent="0.2">
      <c r="P47" s="198"/>
      <c r="Q47" s="198"/>
      <c r="R47" s="204"/>
      <c r="V47" s="202"/>
    </row>
    <row r="48" spans="2:27" x14ac:dyDescent="0.2">
      <c r="P48" s="198"/>
      <c r="R48" s="204"/>
      <c r="V48" s="202"/>
    </row>
    <row r="49" spans="2:23" x14ac:dyDescent="0.2">
      <c r="V49" s="202"/>
    </row>
    <row r="50" spans="2:23" x14ac:dyDescent="0.2">
      <c r="P50" s="198"/>
      <c r="R50" s="198"/>
      <c r="V50" s="202"/>
    </row>
    <row r="51" spans="2:23" x14ac:dyDescent="0.2">
      <c r="R51" s="198"/>
      <c r="V51" s="213"/>
      <c r="W51" s="213"/>
    </row>
    <row r="52" spans="2:23" x14ac:dyDescent="0.2">
      <c r="P52" s="202"/>
      <c r="R52" s="214"/>
      <c r="V52" s="213"/>
      <c r="W52" s="213"/>
    </row>
    <row r="53" spans="2:23" x14ac:dyDescent="0.2">
      <c r="R53" s="198"/>
      <c r="V53" s="213"/>
      <c r="W53" s="213"/>
    </row>
    <row r="54" spans="2:23" x14ac:dyDescent="0.2">
      <c r="R54" s="198"/>
      <c r="V54" s="213"/>
      <c r="W54" s="213"/>
    </row>
    <row r="55" spans="2:23" x14ac:dyDescent="0.2">
      <c r="R55" s="198"/>
      <c r="V55" s="213"/>
      <c r="W55" s="213"/>
    </row>
    <row r="56" spans="2:23" x14ac:dyDescent="0.2">
      <c r="P56" s="46"/>
      <c r="R56" s="198"/>
      <c r="V56" s="213"/>
      <c r="W56" s="213"/>
    </row>
    <row r="57" spans="2:23" x14ac:dyDescent="0.2">
      <c r="B57" s="202"/>
      <c r="R57" s="198"/>
      <c r="V57" s="213"/>
      <c r="W57" s="213"/>
    </row>
    <row r="58" spans="2:23" x14ac:dyDescent="0.2">
      <c r="B58" s="202"/>
      <c r="P58" s="215"/>
      <c r="R58" s="198"/>
      <c r="V58" s="213"/>
      <c r="W58" s="213"/>
    </row>
    <row r="59" spans="2:23" x14ac:dyDescent="0.2">
      <c r="B59" s="202"/>
      <c r="R59" s="198"/>
      <c r="V59" s="213"/>
      <c r="W59" s="213"/>
    </row>
    <row r="60" spans="2:23" x14ac:dyDescent="0.2">
      <c r="B60" s="202"/>
      <c r="R60" s="198"/>
      <c r="V60" s="213"/>
      <c r="W60" s="213"/>
    </row>
    <row r="61" spans="2:23" x14ac:dyDescent="0.2">
      <c r="B61" s="202"/>
      <c r="R61" s="198"/>
      <c r="V61" s="213"/>
      <c r="W61" s="213"/>
    </row>
    <row r="62" spans="2:23" x14ac:dyDescent="0.2">
      <c r="B62" s="213"/>
      <c r="C62" s="213"/>
      <c r="R62" s="198"/>
      <c r="V62" s="213"/>
      <c r="W62" s="213"/>
    </row>
    <row r="63" spans="2:23" x14ac:dyDescent="0.2">
      <c r="B63" s="213"/>
      <c r="C63" s="213"/>
      <c r="R63" s="198"/>
      <c r="V63" s="213"/>
      <c r="W63" s="213"/>
    </row>
    <row r="64" spans="2:23" x14ac:dyDescent="0.2">
      <c r="B64" s="213"/>
      <c r="C64" s="213"/>
      <c r="R64" s="198"/>
      <c r="V64" s="202"/>
    </row>
    <row r="65" spans="2:22" x14ac:dyDescent="0.2">
      <c r="B65" s="213"/>
      <c r="C65" s="213"/>
      <c r="R65" s="198"/>
      <c r="V65" s="202"/>
    </row>
    <row r="66" spans="2:22" x14ac:dyDescent="0.2">
      <c r="B66" s="213"/>
      <c r="C66" s="213"/>
      <c r="R66" s="198"/>
      <c r="V66" s="202"/>
    </row>
    <row r="67" spans="2:22" x14ac:dyDescent="0.2">
      <c r="B67" s="213"/>
      <c r="C67" s="213"/>
      <c r="R67" s="198"/>
      <c r="V67" s="216"/>
    </row>
    <row r="68" spans="2:22" x14ac:dyDescent="0.2">
      <c r="B68" s="213"/>
      <c r="C68" s="213"/>
      <c r="R68" s="198"/>
    </row>
    <row r="69" spans="2:22" x14ac:dyDescent="0.2">
      <c r="B69" s="213"/>
      <c r="C69" s="213"/>
      <c r="R69" s="198"/>
    </row>
    <row r="70" spans="2:22" x14ac:dyDescent="0.2">
      <c r="B70" s="213"/>
      <c r="C70" s="213"/>
      <c r="R70" s="198"/>
    </row>
    <row r="71" spans="2:22" x14ac:dyDescent="0.2">
      <c r="B71" s="213"/>
      <c r="C71" s="213"/>
      <c r="R71" s="198"/>
    </row>
    <row r="72" spans="2:22" x14ac:dyDescent="0.2">
      <c r="B72" s="213"/>
      <c r="C72" s="213"/>
      <c r="R72" s="198"/>
    </row>
    <row r="73" spans="2:22" x14ac:dyDescent="0.2">
      <c r="B73" s="213"/>
      <c r="C73" s="213"/>
      <c r="R73" s="198"/>
    </row>
    <row r="74" spans="2:22" x14ac:dyDescent="0.2">
      <c r="B74" s="213"/>
      <c r="C74" s="213"/>
    </row>
    <row r="75" spans="2:22" x14ac:dyDescent="0.2">
      <c r="B75" s="202"/>
    </row>
    <row r="76" spans="2:22" x14ac:dyDescent="0.2">
      <c r="B76" s="202"/>
    </row>
    <row r="77" spans="2:22" x14ac:dyDescent="0.2">
      <c r="B77" s="202"/>
    </row>
    <row r="78" spans="2:22" x14ac:dyDescent="0.2">
      <c r="B78" s="216"/>
    </row>
  </sheetData>
  <phoneticPr fontId="18" type="noConversion"/>
  <hyperlinks>
    <hyperlink ref="B13" r:id="rId1" xr:uid="{00000000-0004-0000-2200-000000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2024-08-07T00:48:11+00:00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04F7DF-16C9-4CA5-A935-C30D89F43D51}">
  <ds:schemaRefs>
    <ds:schemaRef ds:uri="http://schemas.microsoft.com/office/2006/metadata/properties"/>
    <ds:schemaRef ds:uri="http://schemas.microsoft.com/office/infopath/2007/PartnerControls"/>
    <ds:schemaRef ds:uri="13d1ff91-c56c-48a5-881f-c0ec757c423c"/>
    <ds:schemaRef ds:uri="b61e3246-ffdd-47fd-afd5-fb211f629678"/>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2.xml><?xml version="1.0" encoding="utf-8"?>
<ds:datastoreItem xmlns:ds="http://schemas.openxmlformats.org/officeDocument/2006/customXml" ds:itemID="{C2C6132C-EE2E-4F4C-AFD8-58C8DED75950}">
  <ds:schemaRefs>
    <ds:schemaRef ds:uri="Microsoft.SharePoint.Taxonomy.ContentTypeSync"/>
  </ds:schemaRefs>
</ds:datastoreItem>
</file>

<file path=customXml/itemProps3.xml><?xml version="1.0" encoding="utf-8"?>
<ds:datastoreItem xmlns:ds="http://schemas.openxmlformats.org/officeDocument/2006/customXml" ds:itemID="{6CF3EB94-8154-4A30-872F-AAC01209592F}">
  <ds:schemaRefs>
    <ds:schemaRef ds:uri="http://schemas.microsoft.com/sharepoint/v3/contenttype/forms"/>
  </ds:schemaRefs>
</ds:datastoreItem>
</file>

<file path=customXml/itemProps4.xml><?xml version="1.0" encoding="utf-8"?>
<ds:datastoreItem xmlns:ds="http://schemas.openxmlformats.org/officeDocument/2006/customXml" ds:itemID="{FAF7931A-E1A8-4108-8DF1-89038CE22E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Commodities</vt:lpstr>
      <vt:lpstr>Technologies</vt:lpstr>
      <vt:lpstr>TechData_R0</vt:lpstr>
      <vt:lpstr>TechData_DelNGA</vt:lpstr>
      <vt:lpstr>TechData_ExIm</vt:lpstr>
      <vt:lpstr>Domestic NG CUM</vt:lpstr>
      <vt:lpstr>NGACap</vt:lpstr>
      <vt:lpstr>Domestic NG Production</vt:lpstr>
      <vt:lpstr>Domestic NG Prices</vt:lpstr>
      <vt:lpstr>AEO NG Imports</vt:lpstr>
      <vt:lpstr>LNG Export Regions</vt:lpstr>
      <vt:lpstr>NGExpansion</vt:lpstr>
      <vt:lpstr>DelivNGA</vt:lpstr>
      <vt:lpstr>Emissions</vt:lpstr>
      <vt:lpstr>Conv vs Shale</vt:lpstr>
      <vt:lpstr>Conv</vt:lpstr>
    </vt:vector>
  </TitlesOfParts>
  <Company>Noble-Soft Systems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Ken Noble</dc:creator>
  <cp:lastModifiedBy>Carroll, Zane</cp:lastModifiedBy>
  <cp:lastPrinted>2005-06-23T04:07:43Z</cp:lastPrinted>
  <dcterms:created xsi:type="dcterms:W3CDTF">2005-05-01T12:39:10Z</dcterms:created>
  <dcterms:modified xsi:type="dcterms:W3CDTF">2025-05-27T19:10:07Z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115043282508850</vt:r8>
  </property>
  <property fmtid="{D5CDD505-2E9C-101B-9397-08002B2CF9AE}" pid="3" name="ContentTypeId">
    <vt:lpwstr>0x01010092854A4B9DA56A4E9E67ED7952786595</vt:lpwstr>
  </property>
  <property fmtid="{D5CDD505-2E9C-101B-9397-08002B2CF9AE}" pid="4" name="MediaServiceImageTags">
    <vt:lpwstr/>
  </property>
</Properties>
</file>