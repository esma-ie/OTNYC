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comments4.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6.xml" ContentType="application/vnd.openxmlformats-officedocument.spreadsheetml.comments+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usepa.sharepoint.com/sites/COMET-NYC2/Shared Documents/General/Model/OMB Model as of 28FEB2025/COMET_NYC_v16.0/SubRES_TMPL/"/>
    </mc:Choice>
  </mc:AlternateContent>
  <xr:revisionPtr revIDLastSave="400" documentId="8_{F42804A4-FFB8-4AE3-807F-30C8A5B42260}" xr6:coauthVersionLast="47" xr6:coauthVersionMax="47" xr10:uidLastSave="{C63F7D24-E1B6-44D2-9CEA-B94E00921C2D}"/>
  <bookViews>
    <workbookView xWindow="-110" yWindow="-110" windowWidth="38620" windowHeight="21100" firstSheet="3" activeTab="3" xr2:uid="{D8D9AA5E-7727-43F6-ABCD-E06F396E77DB}"/>
  </bookViews>
  <sheets>
    <sheet name="Documentation" sheetId="2" r:id="rId1"/>
    <sheet name="Commodities" sheetId="3" r:id="rId2"/>
    <sheet name="Technologies" sheetId="4" r:id="rId3"/>
    <sheet name="TechData_NewCap" sheetId="1" r:id="rId4"/>
    <sheet name="TechData_SolarWind" sheetId="14" r:id="rId5"/>
    <sheet name="TechData_Hydro" sheetId="18" r:id="rId6"/>
    <sheet name="LifetimeAssumptions" sheetId="5" r:id="rId7"/>
    <sheet name="SupplyCurveProcessed" sheetId="26" r:id="rId8"/>
    <sheet name="SupplyCurveRaw" sheetId="27" r:id="rId9"/>
    <sheet name="2023 Cap Raw Data" sheetId="11" r:id="rId10"/>
    <sheet name="2013 Cap Raw Data" sheetId="7" r:id="rId11"/>
    <sheet name="2023_Regional_Cost_Factor" sheetId="12" r:id="rId12"/>
    <sheet name="ATB_CAPEX" sheetId="20" r:id="rId13"/>
    <sheet name="ATB_CF" sheetId="21" r:id="rId14"/>
    <sheet name="ATB_FOM" sheetId="22" r:id="rId15"/>
    <sheet name="ATB_VOM" sheetId="23" r:id="rId16"/>
    <sheet name="ReEDS_SupplyCurves" sheetId="25" r:id="rId17"/>
    <sheet name="WindTimeSlices" sheetId="17" r:id="rId18"/>
    <sheet name="Conversions" sheetId="6" r:id="rId19"/>
  </sheets>
  <definedNames>
    <definedName name="_xlnm._FilterDatabase" localSheetId="1" hidden="1">Commodities!$B$7:$G$25</definedName>
    <definedName name="_xlnm._FilterDatabase" localSheetId="2" hidden="1">Technologies!$A$7:$P$7</definedName>
    <definedName name="Btu_to_J">Conversions!$M$3</definedName>
    <definedName name="deflate_1983">Conversions!$H$3</definedName>
    <definedName name="deflate_1984">Conversions!$H$4</definedName>
    <definedName name="deflate_1985">Conversions!$H$5</definedName>
    <definedName name="deflate_1986">Conversions!$H$6</definedName>
    <definedName name="deflate_1987">Conversions!$H$7</definedName>
    <definedName name="deflate_1988">Conversions!$H$8</definedName>
    <definedName name="deflate_1989">Conversions!$H$9</definedName>
    <definedName name="deflate_1990">Conversions!$H$10</definedName>
    <definedName name="deflate_1991">Conversions!$H$11</definedName>
    <definedName name="deflate_1992">Conversions!$H$12</definedName>
    <definedName name="deflate_1993">Conversions!$H$13</definedName>
    <definedName name="deflate_1994">Conversions!$H$14</definedName>
    <definedName name="deflate_1995">Conversions!$H$15</definedName>
    <definedName name="deflate_1996">Conversions!$H$16</definedName>
    <definedName name="deflate_1997">Conversions!$H$17</definedName>
    <definedName name="deflate_1998">Conversions!$H$18</definedName>
    <definedName name="deflate_1999">Conversions!$H$19</definedName>
    <definedName name="deflate_2000">Conversions!$H$20</definedName>
    <definedName name="deflate_2001">Conversions!$H$21</definedName>
    <definedName name="deflate_2002">Conversions!$H$22</definedName>
    <definedName name="deflate_2003">Conversions!$H$23</definedName>
    <definedName name="deflate_2004">Conversions!$H$24</definedName>
    <definedName name="deflate_2005">Conversions!$H$25</definedName>
    <definedName name="deflate_2006">Conversions!$H$26</definedName>
    <definedName name="deflate_2007">Conversions!$H$27</definedName>
    <definedName name="deflate_2008">Conversions!$H$28</definedName>
    <definedName name="deflate_2009">Conversions!$H$29</definedName>
    <definedName name="deflate_2010">Conversions!$H$30</definedName>
    <definedName name="deflate_2011">Conversions!$H$31</definedName>
    <definedName name="deflate_2012" localSheetId="10">Conversions!$H$32</definedName>
    <definedName name="deflate_2012">Conversions!$H$32</definedName>
    <definedName name="deflate_2013">Conversions!$H$33</definedName>
    <definedName name="GW_to_Pja" localSheetId="10">Conversions!$L$9</definedName>
    <definedName name="GW_to_Pja">Conversions!$M$9</definedName>
    <definedName name="I_D">WindTimeSlices!$X$8</definedName>
    <definedName name="I_N">WindTimeSlices!$Y$8</definedName>
    <definedName name="INF">#REF!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kWh_to_btu_hr">Conversions!$M$11</definedName>
    <definedName name="kWh_to_MJ">Conversions!$M$4</definedName>
    <definedName name="lookup_deflator_2013">TechData_NewCap!$AB$5</definedName>
    <definedName name="lookup_deflator_2023">TechData_NewCap!$P$29</definedName>
    <definedName name="mills_kWh_to__Million_PJ">Conversions!$M$10</definedName>
    <definedName name="MMBtu_to_J">Conversions!$M$7</definedName>
    <definedName name="MWh_to_PJ">Conversions!$M$5</definedName>
    <definedName name="PJ_to_J">Conversions!$M$6</definedName>
    <definedName name="S_D">WindTimeSlices!$Z$8</definedName>
    <definedName name="S_N">WindTimeSlices!$AA$8</definedName>
    <definedName name="W_D">WindTimeSlices!$AB$8</definedName>
    <definedName name="W_N">WindTimeSlices!$AC$8</definedName>
    <definedName name="yr_to_hr">Conversions!$M$8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14" l="1"/>
  <c r="W36" i="1"/>
  <c r="V36" i="1"/>
  <c r="V34" i="1"/>
  <c r="AD34" i="1" s="1"/>
  <c r="B32" i="4"/>
  <c r="C32" i="4"/>
  <c r="B33" i="4"/>
  <c r="C33" i="4"/>
  <c r="AP35" i="1"/>
  <c r="AQ35" i="1"/>
  <c r="AR35" i="1"/>
  <c r="AP37" i="1"/>
  <c r="AQ37" i="1"/>
  <c r="AR37" i="1"/>
  <c r="AO37" i="1"/>
  <c r="AN37" i="1"/>
  <c r="AM37" i="1"/>
  <c r="AO35" i="1"/>
  <c r="AN35" i="1"/>
  <c r="AM35" i="1"/>
  <c r="AO33" i="1"/>
  <c r="AN33" i="1"/>
  <c r="AM33" i="1"/>
  <c r="AO31" i="1"/>
  <c r="AN31" i="1"/>
  <c r="AM31" i="1"/>
  <c r="AL36" i="1"/>
  <c r="AL34" i="1"/>
  <c r="AK35" i="1" s="1"/>
  <c r="O37" i="1"/>
  <c r="L37" i="1"/>
  <c r="H37" i="1"/>
  <c r="AK37" i="1"/>
  <c r="U36" i="1"/>
  <c r="O36" i="1"/>
  <c r="L36" i="1"/>
  <c r="M36" i="1" s="1"/>
  <c r="H36" i="1"/>
  <c r="O35" i="1"/>
  <c r="L35" i="1"/>
  <c r="H35" i="1"/>
  <c r="U34" i="1"/>
  <c r="O34" i="1"/>
  <c r="L34" i="1"/>
  <c r="H34" i="1"/>
  <c r="B36" i="4"/>
  <c r="C36" i="4"/>
  <c r="B37" i="4"/>
  <c r="C37" i="4"/>
  <c r="B39" i="4"/>
  <c r="C39" i="4"/>
  <c r="B40" i="4"/>
  <c r="C40" i="4"/>
  <c r="B41" i="4"/>
  <c r="C41" i="4"/>
  <c r="B42" i="4"/>
  <c r="C42" i="4"/>
  <c r="B43" i="4"/>
  <c r="C43" i="4"/>
  <c r="S11" i="14"/>
  <c r="S12" i="14"/>
  <c r="S13" i="14"/>
  <c r="S7" i="14"/>
  <c r="R13" i="14"/>
  <c r="R11" i="14"/>
  <c r="R6" i="14"/>
  <c r="E29" i="26"/>
  <c r="E15" i="26"/>
  <c r="E16" i="26"/>
  <c r="R9" i="14" s="1"/>
  <c r="E17" i="26"/>
  <c r="S10" i="14" s="1"/>
  <c r="E18" i="26"/>
  <c r="E19" i="26"/>
  <c r="R10" i="14" s="1"/>
  <c r="E20" i="26"/>
  <c r="E21" i="26"/>
  <c r="E22" i="26"/>
  <c r="E23" i="26"/>
  <c r="R7" i="14" s="1"/>
  <c r="E24" i="26"/>
  <c r="S6" i="14" s="1"/>
  <c r="E25" i="26"/>
  <c r="R12" i="14" s="1"/>
  <c r="E26" i="26"/>
  <c r="E27" i="26"/>
  <c r="E28" i="26"/>
  <c r="I29" i="26"/>
  <c r="I26" i="26"/>
  <c r="I25" i="26"/>
  <c r="I28" i="26"/>
  <c r="S28" i="26"/>
  <c r="U26" i="26"/>
  <c r="Y25" i="26"/>
  <c r="S25" i="26"/>
  <c r="Y26" i="26"/>
  <c r="AA25" i="26"/>
  <c r="T28" i="26"/>
  <c r="AB28" i="26"/>
  <c r="M26" i="26"/>
  <c r="Q25" i="26"/>
  <c r="Z26" i="26"/>
  <c r="Q26" i="26"/>
  <c r="M28" i="26"/>
  <c r="U28" i="26"/>
  <c r="AC28" i="26"/>
  <c r="M25" i="26"/>
  <c r="Z25" i="26"/>
  <c r="AA26" i="26"/>
  <c r="R26" i="26"/>
  <c r="W26" i="26"/>
  <c r="N28" i="26"/>
  <c r="V28" i="26"/>
  <c r="R25" i="26"/>
  <c r="S26" i="26"/>
  <c r="W25" i="26"/>
  <c r="O26" i="26"/>
  <c r="O28" i="26"/>
  <c r="W28" i="26"/>
  <c r="X26" i="26"/>
  <c r="X25" i="26"/>
  <c r="O25" i="26"/>
  <c r="AB25" i="26"/>
  <c r="P28" i="26"/>
  <c r="X28" i="26"/>
  <c r="AA28" i="26"/>
  <c r="AC25" i="26"/>
  <c r="P25" i="26"/>
  <c r="V25" i="26"/>
  <c r="T25" i="26"/>
  <c r="Q28" i="26"/>
  <c r="Y28" i="26"/>
  <c r="AB26" i="26"/>
  <c r="N25" i="26"/>
  <c r="U25" i="26"/>
  <c r="V26" i="26"/>
  <c r="R28" i="26"/>
  <c r="Z28" i="26"/>
  <c r="AC26" i="26"/>
  <c r="T26" i="26"/>
  <c r="P26" i="26"/>
  <c r="N26" i="26"/>
  <c r="S9" i="14" l="1"/>
  <c r="BB13" i="14"/>
  <c r="AD36" i="1"/>
  <c r="W34" i="1"/>
  <c r="M37" i="1"/>
  <c r="M34" i="1"/>
  <c r="M35" i="1"/>
  <c r="BB11" i="14"/>
  <c r="BB12" i="14"/>
  <c r="L25" i="26"/>
  <c r="AL12" i="14" s="1"/>
  <c r="K8" i="27"/>
  <c r="K9" i="27"/>
  <c r="K10" i="27"/>
  <c r="K11" i="27"/>
  <c r="K12" i="27"/>
  <c r="K13" i="27"/>
  <c r="K14" i="27"/>
  <c r="K15" i="27"/>
  <c r="K16" i="27"/>
  <c r="K17" i="27"/>
  <c r="K18" i="27"/>
  <c r="K19" i="27"/>
  <c r="K20" i="27"/>
  <c r="K21" i="27"/>
  <c r="K22" i="27"/>
  <c r="K23" i="27"/>
  <c r="K24" i="27"/>
  <c r="K25" i="27"/>
  <c r="K26" i="27"/>
  <c r="K27" i="27"/>
  <c r="K28" i="27"/>
  <c r="K29" i="27"/>
  <c r="K30" i="27"/>
  <c r="K31" i="27"/>
  <c r="K32" i="27"/>
  <c r="K33" i="27"/>
  <c r="K34" i="27"/>
  <c r="K35" i="27"/>
  <c r="K36" i="27"/>
  <c r="K37" i="27"/>
  <c r="K38" i="27"/>
  <c r="K39" i="27"/>
  <c r="K40" i="27"/>
  <c r="K41" i="27"/>
  <c r="K42" i="27"/>
  <c r="K43" i="27"/>
  <c r="K44" i="27"/>
  <c r="K45" i="27"/>
  <c r="K46" i="27"/>
  <c r="K47" i="27"/>
  <c r="K48" i="27"/>
  <c r="K49" i="27"/>
  <c r="K50" i="27"/>
  <c r="K51" i="27"/>
  <c r="K52" i="27"/>
  <c r="K53" i="27"/>
  <c r="K54" i="27"/>
  <c r="K55" i="27"/>
  <c r="K56" i="27"/>
  <c r="K57" i="27"/>
  <c r="K58" i="27"/>
  <c r="K59" i="27"/>
  <c r="K60" i="27"/>
  <c r="K61" i="27"/>
  <c r="K62" i="27"/>
  <c r="K63" i="27"/>
  <c r="K64" i="27"/>
  <c r="K65" i="27"/>
  <c r="K66" i="27"/>
  <c r="K67" i="27"/>
  <c r="K68" i="27"/>
  <c r="K69" i="27"/>
  <c r="K70" i="27"/>
  <c r="K71" i="27"/>
  <c r="K72" i="27"/>
  <c r="K73" i="27"/>
  <c r="K74" i="27"/>
  <c r="K75" i="27"/>
  <c r="K76" i="27"/>
  <c r="K77" i="27"/>
  <c r="K78" i="27"/>
  <c r="K79" i="27"/>
  <c r="K80" i="27"/>
  <c r="K81" i="27"/>
  <c r="K82" i="27"/>
  <c r="K83" i="27"/>
  <c r="K84" i="27"/>
  <c r="K85" i="27"/>
  <c r="K86" i="27"/>
  <c r="K87" i="27"/>
  <c r="K88" i="27"/>
  <c r="K89" i="27"/>
  <c r="K90" i="27"/>
  <c r="K91" i="27"/>
  <c r="K92" i="27"/>
  <c r="K93" i="27"/>
  <c r="K94" i="27"/>
  <c r="K95" i="27"/>
  <c r="K96" i="27"/>
  <c r="K97" i="27"/>
  <c r="K98" i="27"/>
  <c r="K99" i="27"/>
  <c r="K100" i="27"/>
  <c r="K101" i="27"/>
  <c r="K102" i="27"/>
  <c r="K103" i="27"/>
  <c r="K104" i="27"/>
  <c r="K105" i="27"/>
  <c r="K106" i="27"/>
  <c r="K107" i="27"/>
  <c r="K108" i="27"/>
  <c r="K109" i="27"/>
  <c r="K110" i="27"/>
  <c r="K111" i="27"/>
  <c r="K112" i="27"/>
  <c r="K113" i="27"/>
  <c r="K114" i="27"/>
  <c r="K115" i="27"/>
  <c r="K116" i="27"/>
  <c r="K117" i="27"/>
  <c r="K118" i="27"/>
  <c r="K119" i="27"/>
  <c r="K120" i="27"/>
  <c r="K121" i="27"/>
  <c r="K122" i="27"/>
  <c r="K123" i="27"/>
  <c r="K124" i="27"/>
  <c r="K125" i="27"/>
  <c r="K126" i="27"/>
  <c r="K127" i="27"/>
  <c r="K128" i="27"/>
  <c r="K129" i="27"/>
  <c r="K130" i="27"/>
  <c r="K131" i="27"/>
  <c r="K132" i="27"/>
  <c r="K133" i="27"/>
  <c r="K134" i="27"/>
  <c r="K135" i="27"/>
  <c r="K136" i="27"/>
  <c r="K137" i="27"/>
  <c r="K138" i="27"/>
  <c r="K139" i="27"/>
  <c r="K140" i="27"/>
  <c r="K141" i="27"/>
  <c r="K142" i="27"/>
  <c r="K143" i="27"/>
  <c r="K144" i="27"/>
  <c r="L26" i="26" s="1"/>
  <c r="AL11" i="14" s="1"/>
  <c r="K145" i="27"/>
  <c r="K146" i="27"/>
  <c r="K147" i="27"/>
  <c r="K148" i="27"/>
  <c r="K149" i="27"/>
  <c r="K150" i="27"/>
  <c r="K151" i="27"/>
  <c r="K152" i="27"/>
  <c r="K153" i="27"/>
  <c r="K154" i="27"/>
  <c r="K155" i="27"/>
  <c r="K156" i="27"/>
  <c r="K157" i="27"/>
  <c r="K158" i="27"/>
  <c r="L28" i="26" s="1"/>
  <c r="AL13" i="14" s="1"/>
  <c r="K159" i="27"/>
  <c r="K160" i="27"/>
  <c r="H15" i="26" a="1"/>
  <c r="H15" i="26" s="1"/>
  <c r="I15" i="26" s="1"/>
  <c r="J15" i="26" s="1"/>
  <c r="I24" i="26"/>
  <c r="L24" i="26" s="1"/>
  <c r="I17" i="26"/>
  <c r="N5" i="27"/>
  <c r="O5" i="27" s="1"/>
  <c r="P5" i="27" s="1"/>
  <c r="Q5" i="27" s="1"/>
  <c r="R5" i="27" s="1"/>
  <c r="S5" i="27" s="1"/>
  <c r="T5" i="27" s="1"/>
  <c r="U5" i="27" s="1"/>
  <c r="V5" i="27" s="1"/>
  <c r="W5" i="27" s="1"/>
  <c r="X5" i="27" s="1"/>
  <c r="Y5" i="27" s="1"/>
  <c r="Z5" i="27" s="1"/>
  <c r="AA5" i="27" s="1"/>
  <c r="AB5" i="27" s="1"/>
  <c r="AC5" i="27" s="1"/>
  <c r="AE5" i="27"/>
  <c r="AF5" i="27" s="1"/>
  <c r="AG5" i="27" s="1"/>
  <c r="AH5" i="27" s="1"/>
  <c r="AI5" i="27" s="1"/>
  <c r="AJ5" i="27" s="1"/>
  <c r="AK5" i="27" s="1"/>
  <c r="AL5" i="27" s="1"/>
  <c r="AM5" i="27" s="1"/>
  <c r="AN5" i="27" s="1"/>
  <c r="AO5" i="27" s="1"/>
  <c r="AP5" i="27" s="1"/>
  <c r="AQ5" i="27" s="1"/>
  <c r="AR5" i="27" s="1"/>
  <c r="AS5" i="27" s="1"/>
  <c r="AT5" i="27" s="1"/>
  <c r="AV5" i="27"/>
  <c r="AW5" i="27" s="1"/>
  <c r="AX5" i="27" s="1"/>
  <c r="AY5" i="27" s="1"/>
  <c r="AZ5" i="27" s="1"/>
  <c r="BA5" i="27" s="1"/>
  <c r="BB5" i="27" s="1"/>
  <c r="BC5" i="27" s="1"/>
  <c r="BD5" i="27" s="1"/>
  <c r="BE5" i="27" s="1"/>
  <c r="BF5" i="27" s="1"/>
  <c r="BG5" i="27" s="1"/>
  <c r="BH5" i="27" s="1"/>
  <c r="BI5" i="27" s="1"/>
  <c r="BJ5" i="27" s="1"/>
  <c r="BK5" i="27" s="1"/>
  <c r="F8" i="27"/>
  <c r="G8" i="27"/>
  <c r="F9" i="27"/>
  <c r="G9" i="27"/>
  <c r="F10" i="27"/>
  <c r="G10" i="27"/>
  <c r="F11" i="27"/>
  <c r="G11" i="27"/>
  <c r="F12" i="27"/>
  <c r="G12" i="27"/>
  <c r="F13" i="27"/>
  <c r="G13" i="27"/>
  <c r="F14" i="27"/>
  <c r="G14" i="27"/>
  <c r="F15" i="27"/>
  <c r="G15" i="27"/>
  <c r="F16" i="27"/>
  <c r="G16" i="27"/>
  <c r="F17" i="27"/>
  <c r="G17" i="27"/>
  <c r="F18" i="27"/>
  <c r="G18" i="27"/>
  <c r="F19" i="27"/>
  <c r="G19" i="27"/>
  <c r="F20" i="27"/>
  <c r="G20" i="27"/>
  <c r="F21" i="27"/>
  <c r="G21" i="27"/>
  <c r="F22" i="27"/>
  <c r="G22" i="27"/>
  <c r="F23" i="27"/>
  <c r="G23" i="27"/>
  <c r="F24" i="27"/>
  <c r="G24" i="27"/>
  <c r="F25" i="27"/>
  <c r="G25" i="27"/>
  <c r="F26" i="27"/>
  <c r="G26" i="27"/>
  <c r="F27" i="27"/>
  <c r="G27" i="27"/>
  <c r="F28" i="27"/>
  <c r="G28" i="27"/>
  <c r="F29" i="27"/>
  <c r="G29" i="27"/>
  <c r="F30" i="27"/>
  <c r="G30" i="27"/>
  <c r="F31" i="27"/>
  <c r="G31" i="27"/>
  <c r="F32" i="27"/>
  <c r="G32" i="27"/>
  <c r="F33" i="27"/>
  <c r="G33" i="27"/>
  <c r="F34" i="27"/>
  <c r="G34" i="27"/>
  <c r="F35" i="27"/>
  <c r="G35" i="27"/>
  <c r="F36" i="27"/>
  <c r="G36" i="27"/>
  <c r="F37" i="27"/>
  <c r="G37" i="27"/>
  <c r="F38" i="27"/>
  <c r="G38" i="27"/>
  <c r="F39" i="27"/>
  <c r="G39" i="27"/>
  <c r="F40" i="27"/>
  <c r="G40" i="27"/>
  <c r="F41" i="27"/>
  <c r="G41" i="27"/>
  <c r="F42" i="27"/>
  <c r="G42" i="27"/>
  <c r="F43" i="27"/>
  <c r="G43" i="27"/>
  <c r="F44" i="27"/>
  <c r="G44" i="27"/>
  <c r="F45" i="27"/>
  <c r="G45" i="27"/>
  <c r="F46" i="27"/>
  <c r="G46" i="27"/>
  <c r="F47" i="27"/>
  <c r="G47" i="27"/>
  <c r="F48" i="27"/>
  <c r="G48" i="27"/>
  <c r="F49" i="27"/>
  <c r="G49" i="27"/>
  <c r="F50" i="27"/>
  <c r="G50" i="27"/>
  <c r="F51" i="27"/>
  <c r="G51"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7" i="27"/>
  <c r="G67" i="27"/>
  <c r="F68" i="27"/>
  <c r="G68" i="27"/>
  <c r="F69" i="27"/>
  <c r="G69" i="27"/>
  <c r="F70" i="27"/>
  <c r="G70" i="27"/>
  <c r="F71" i="27"/>
  <c r="G71" i="27"/>
  <c r="F72" i="27"/>
  <c r="G72" i="27"/>
  <c r="F73" i="27"/>
  <c r="G73" i="27"/>
  <c r="F74" i="27"/>
  <c r="G74" i="27"/>
  <c r="F75" i="27"/>
  <c r="G75" i="27"/>
  <c r="F76" i="27"/>
  <c r="G76" i="27"/>
  <c r="F77" i="27"/>
  <c r="G77" i="27"/>
  <c r="F78" i="27"/>
  <c r="G78" i="27"/>
  <c r="F79" i="27"/>
  <c r="G79" i="27"/>
  <c r="F80" i="27"/>
  <c r="G80" i="27"/>
  <c r="F81" i="27"/>
  <c r="G81" i="27"/>
  <c r="F82" i="27"/>
  <c r="G82" i="27"/>
  <c r="F83" i="27"/>
  <c r="G83" i="27"/>
  <c r="F84" i="27"/>
  <c r="G84" i="27"/>
  <c r="F85" i="27"/>
  <c r="G85" i="27"/>
  <c r="F86" i="27"/>
  <c r="G86" i="27"/>
  <c r="F87" i="27"/>
  <c r="G87" i="27"/>
  <c r="F88" i="27"/>
  <c r="G88" i="27"/>
  <c r="F89" i="27"/>
  <c r="G89" i="27"/>
  <c r="F90" i="27"/>
  <c r="G90" i="27"/>
  <c r="F91" i="27"/>
  <c r="G91" i="27"/>
  <c r="F92" i="27"/>
  <c r="G92" i="27"/>
  <c r="F93" i="27"/>
  <c r="G93" i="27"/>
  <c r="F94" i="27"/>
  <c r="G94" i="27"/>
  <c r="F95" i="27"/>
  <c r="G95" i="27"/>
  <c r="F96" i="27"/>
  <c r="G96" i="27"/>
  <c r="F97" i="27"/>
  <c r="G97" i="27"/>
  <c r="F98" i="27"/>
  <c r="G98" i="27"/>
  <c r="F99" i="27"/>
  <c r="G99" i="27"/>
  <c r="F100" i="27"/>
  <c r="G100" i="27"/>
  <c r="F101" i="27"/>
  <c r="G101" i="27"/>
  <c r="F102" i="27"/>
  <c r="G102" i="27"/>
  <c r="F103" i="27"/>
  <c r="G103" i="27"/>
  <c r="F104" i="27"/>
  <c r="G104" i="27"/>
  <c r="F105" i="27"/>
  <c r="G105" i="27"/>
  <c r="F106" i="27"/>
  <c r="G106" i="27"/>
  <c r="F107" i="27"/>
  <c r="G107" i="27"/>
  <c r="F108" i="27"/>
  <c r="G108" i="27"/>
  <c r="F109" i="27"/>
  <c r="G109" i="27"/>
  <c r="F110" i="27"/>
  <c r="G110" i="27"/>
  <c r="F111" i="27"/>
  <c r="G111" i="27"/>
  <c r="F112" i="27"/>
  <c r="G112" i="27"/>
  <c r="F113" i="27"/>
  <c r="G113" i="27"/>
  <c r="F114" i="27"/>
  <c r="G114" i="27"/>
  <c r="F115" i="27"/>
  <c r="G115" i="27"/>
  <c r="F116" i="27"/>
  <c r="G116" i="27"/>
  <c r="F117" i="27"/>
  <c r="G117" i="27"/>
  <c r="F118" i="27"/>
  <c r="G118" i="27"/>
  <c r="F119" i="27"/>
  <c r="G119" i="27"/>
  <c r="F120" i="27"/>
  <c r="G120" i="27"/>
  <c r="F121" i="27"/>
  <c r="G121" i="27"/>
  <c r="F122" i="27"/>
  <c r="G122" i="27"/>
  <c r="F123" i="27"/>
  <c r="G123" i="27"/>
  <c r="F124" i="27"/>
  <c r="G124" i="27"/>
  <c r="F125" i="27"/>
  <c r="G125" i="27"/>
  <c r="F126" i="27"/>
  <c r="G126" i="27"/>
  <c r="F127" i="27"/>
  <c r="G127" i="27"/>
  <c r="F128" i="27"/>
  <c r="G128" i="27"/>
  <c r="F129" i="27"/>
  <c r="G129" i="27"/>
  <c r="F130" i="27"/>
  <c r="G130" i="27"/>
  <c r="F131" i="27"/>
  <c r="G131"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J25" i="26" s="1"/>
  <c r="G143" i="27"/>
  <c r="K29" i="26" s="1"/>
  <c r="F144" i="27"/>
  <c r="J26" i="26" s="1"/>
  <c r="G144" i="27"/>
  <c r="K26" i="26" s="1"/>
  <c r="F145" i="27"/>
  <c r="G145" i="27"/>
  <c r="F146" i="27"/>
  <c r="G146" i="27"/>
  <c r="F147" i="27"/>
  <c r="G147" i="27"/>
  <c r="F148" i="27"/>
  <c r="G148" i="27"/>
  <c r="F149" i="27"/>
  <c r="G149" i="27"/>
  <c r="F150" i="27"/>
  <c r="G150" i="27"/>
  <c r="F151" i="27"/>
  <c r="G151" i="27"/>
  <c r="F152" i="27"/>
  <c r="G152" i="27"/>
  <c r="F153" i="27"/>
  <c r="G153" i="27"/>
  <c r="F154" i="27"/>
  <c r="G154" i="27"/>
  <c r="F155" i="27"/>
  <c r="G155" i="27"/>
  <c r="F156" i="27"/>
  <c r="G156" i="27"/>
  <c r="K28" i="26" s="1"/>
  <c r="F157" i="27"/>
  <c r="J28" i="26" s="1"/>
  <c r="G157" i="27"/>
  <c r="F158" i="27"/>
  <c r="G158" i="27"/>
  <c r="F159" i="27"/>
  <c r="G159" i="27"/>
  <c r="F160" i="27"/>
  <c r="G160" i="27"/>
  <c r="T24" i="26"/>
  <c r="P24" i="26"/>
  <c r="AA29" i="26"/>
  <c r="W29" i="26"/>
  <c r="Z22" i="26"/>
  <c r="M19" i="26"/>
  <c r="Y22" i="26"/>
  <c r="AC18" i="26"/>
  <c r="N27" i="26"/>
  <c r="R20" i="26"/>
  <c r="V16" i="26"/>
  <c r="N23" i="26"/>
  <c r="R19" i="26"/>
  <c r="T27" i="26"/>
  <c r="X20" i="26"/>
  <c r="AB16" i="26"/>
  <c r="P17" i="26"/>
  <c r="V21" i="26"/>
  <c r="Z17" i="26"/>
  <c r="S22" i="26"/>
  <c r="AB22" i="26"/>
  <c r="O19" i="26"/>
  <c r="R22" i="26"/>
  <c r="Q22" i="26"/>
  <c r="R17" i="26"/>
  <c r="X18" i="26"/>
  <c r="Z29" i="26"/>
  <c r="Z21" i="26"/>
  <c r="S18" i="26"/>
  <c r="Y19" i="26"/>
  <c r="U24" i="26"/>
  <c r="Z24" i="26"/>
  <c r="AC29" i="26"/>
  <c r="R29" i="26"/>
  <c r="N29" i="26"/>
  <c r="S21" i="26"/>
  <c r="W17" i="26"/>
  <c r="R21" i="26"/>
  <c r="N17" i="26"/>
  <c r="X22" i="26"/>
  <c r="AB18" i="26"/>
  <c r="X21" i="26"/>
  <c r="AB17" i="26"/>
  <c r="AC20" i="26"/>
  <c r="M23" i="26"/>
  <c r="Q19" i="26"/>
  <c r="AB23" i="26"/>
  <c r="O20" i="26"/>
  <c r="S16" i="26"/>
  <c r="Y16" i="26"/>
  <c r="U21" i="26"/>
  <c r="Y17" i="26"/>
  <c r="V19" i="26"/>
  <c r="Q16" i="26"/>
  <c r="AB21" i="26"/>
  <c r="Y27" i="26"/>
  <c r="AA23" i="26"/>
  <c r="P29" i="26"/>
  <c r="P23" i="26"/>
  <c r="V27" i="26"/>
  <c r="O21" i="26"/>
  <c r="Q18" i="26"/>
  <c r="M24" i="26"/>
  <c r="R24" i="26"/>
  <c r="U29" i="26"/>
  <c r="Y29" i="26"/>
  <c r="X27" i="26"/>
  <c r="AB20" i="26"/>
  <c r="O17" i="26"/>
  <c r="W27" i="26"/>
  <c r="AA20" i="26"/>
  <c r="O16" i="26"/>
  <c r="P22" i="26"/>
  <c r="T18" i="26"/>
  <c r="AC27" i="26"/>
  <c r="P21" i="26"/>
  <c r="T17" i="26"/>
  <c r="N19" i="26"/>
  <c r="V22" i="26"/>
  <c r="Z18" i="26"/>
  <c r="T23" i="26"/>
  <c r="X19" i="26"/>
  <c r="Z27" i="26"/>
  <c r="M21" i="26"/>
  <c r="Q17" i="26"/>
  <c r="X17" i="26"/>
  <c r="AA17" i="26"/>
  <c r="R16" i="26"/>
  <c r="T29" i="26"/>
  <c r="Q23" i="26"/>
  <c r="Z20" i="26"/>
  <c r="M16" i="26"/>
  <c r="M20" i="26"/>
  <c r="S29" i="26"/>
  <c r="W23" i="26"/>
  <c r="P20" i="26"/>
  <c r="N21" i="26"/>
  <c r="T22" i="26"/>
  <c r="S24" i="26"/>
  <c r="V17" i="26"/>
  <c r="T21" i="26"/>
  <c r="AB24" i="26"/>
  <c r="Y24" i="26"/>
  <c r="M29" i="26"/>
  <c r="Q29" i="26"/>
  <c r="P27" i="26"/>
  <c r="T20" i="26"/>
  <c r="X16" i="26"/>
  <c r="O27" i="26"/>
  <c r="S20" i="26"/>
  <c r="Y21" i="26"/>
  <c r="AC17" i="26"/>
  <c r="U27" i="26"/>
  <c r="Y20" i="26"/>
  <c r="AC16" i="26"/>
  <c r="O18" i="26"/>
  <c r="N22" i="26"/>
  <c r="R18" i="26"/>
  <c r="R23" i="26"/>
  <c r="AC22" i="26"/>
  <c r="P19" i="26"/>
  <c r="R27" i="26"/>
  <c r="V20" i="26"/>
  <c r="Z16" i="26"/>
  <c r="W21" i="26"/>
  <c r="Y18" i="26"/>
  <c r="U19" i="26"/>
  <c r="Z19" i="26"/>
  <c r="AB27" i="26"/>
  <c r="M22" i="26"/>
  <c r="W19" i="26"/>
  <c r="O29" i="26"/>
  <c r="AA19" i="26"/>
  <c r="W22" i="26"/>
  <c r="AA18" i="26"/>
  <c r="AC23" i="26"/>
  <c r="U20" i="26"/>
  <c r="AC24" i="26"/>
  <c r="V29" i="26"/>
  <c r="AA21" i="26"/>
  <c r="N18" i="26"/>
  <c r="W16" i="26"/>
  <c r="O23" i="26"/>
  <c r="Q27" i="26"/>
  <c r="U23" i="26"/>
  <c r="W20" i="26"/>
  <c r="W18" i="26"/>
  <c r="AC21" i="26"/>
  <c r="P18" i="26"/>
  <c r="V24" i="26"/>
  <c r="Q24" i="26"/>
  <c r="AB29" i="26"/>
  <c r="X29" i="26"/>
  <c r="Y23" i="26"/>
  <c r="AC19" i="26"/>
  <c r="P16" i="26"/>
  <c r="X23" i="26"/>
  <c r="AB19" i="26"/>
  <c r="Q21" i="26"/>
  <c r="U17" i="26"/>
  <c r="M27" i="26"/>
  <c r="Q20" i="26"/>
  <c r="U16" i="26"/>
  <c r="U22" i="26"/>
  <c r="N20" i="26"/>
  <c r="X24" i="26"/>
  <c r="T19" i="26"/>
  <c r="M17" i="26"/>
  <c r="S23" i="26"/>
  <c r="AA24" i="26"/>
  <c r="U18" i="26"/>
  <c r="N16" i="26"/>
  <c r="AA27" i="26"/>
  <c r="N24" i="26"/>
  <c r="V23" i="26"/>
  <c r="S17" i="26"/>
  <c r="Z23" i="26"/>
  <c r="W24" i="26"/>
  <c r="V18" i="26"/>
  <c r="M18" i="26"/>
  <c r="T16" i="26"/>
  <c r="AA22" i="26"/>
  <c r="O24" i="26"/>
  <c r="S19" i="26"/>
  <c r="O22" i="26"/>
  <c r="S27" i="26"/>
  <c r="AA16" i="26"/>
  <c r="K25" i="26" l="1"/>
  <c r="K17" i="26"/>
  <c r="L29" i="26"/>
  <c r="L17" i="26"/>
  <c r="L15" i="26"/>
  <c r="K24" i="26"/>
  <c r="J24" i="26"/>
  <c r="J29" i="26"/>
  <c r="T12" i="14" s="1"/>
  <c r="J17" i="26"/>
  <c r="K15" i="26"/>
  <c r="I16" i="26"/>
  <c r="BB9" i="14" s="1"/>
  <c r="U15" i="26"/>
  <c r="P15" i="26"/>
  <c r="AC15" i="26"/>
  <c r="O15" i="26"/>
  <c r="W15" i="26"/>
  <c r="X15" i="26"/>
  <c r="N15" i="26"/>
  <c r="Y15" i="26"/>
  <c r="S15" i="26"/>
  <c r="AA15" i="26"/>
  <c r="Z15" i="26"/>
  <c r="V15" i="26"/>
  <c r="R15" i="26"/>
  <c r="AB15" i="26"/>
  <c r="Q15" i="26"/>
  <c r="T15" i="26"/>
  <c r="M15" i="26"/>
  <c r="T13" i="14" l="1"/>
  <c r="T11" i="14"/>
  <c r="J16" i="26"/>
  <c r="T9" i="14" s="1"/>
  <c r="L16" i="26"/>
  <c r="AL9" i="14" s="1"/>
  <c r="K16" i="26"/>
  <c r="I18" i="26"/>
  <c r="K18" i="26" l="1"/>
  <c r="L18" i="26"/>
  <c r="J18" i="26"/>
  <c r="I19" i="26"/>
  <c r="BB10" i="14" s="1"/>
  <c r="K19" i="26" l="1"/>
  <c r="L19" i="26"/>
  <c r="AL10" i="14" s="1"/>
  <c r="J19" i="26"/>
  <c r="T10" i="14" s="1"/>
  <c r="I20" i="26"/>
  <c r="J20" i="26" l="1"/>
  <c r="L20" i="26"/>
  <c r="K20" i="26"/>
  <c r="I21" i="26"/>
  <c r="BB6" i="14" s="1"/>
  <c r="J21" i="26" l="1"/>
  <c r="T6" i="14" s="1"/>
  <c r="L21" i="26"/>
  <c r="K21" i="26"/>
  <c r="I22" i="26"/>
  <c r="K22" i="26" l="1"/>
  <c r="L22" i="26"/>
  <c r="J22" i="26"/>
  <c r="I23" i="26"/>
  <c r="BB7" i="14" s="1"/>
  <c r="K23" i="26" l="1"/>
  <c r="L23" i="26"/>
  <c r="J23" i="26"/>
  <c r="T7" i="14" s="1"/>
  <c r="I27" i="26"/>
  <c r="J27" i="26" l="1"/>
  <c r="L27" i="26"/>
  <c r="K27" i="26"/>
  <c r="K13" i="14" l="1"/>
  <c r="K12" i="14"/>
  <c r="K11" i="14"/>
  <c r="K10" i="14"/>
  <c r="K9" i="14"/>
  <c r="K7" i="14"/>
  <c r="K6" i="14"/>
  <c r="V32" i="1"/>
  <c r="U32" i="1"/>
  <c r="V30" i="1"/>
  <c r="U30" i="1"/>
  <c r="AJ17" i="1"/>
  <c r="AI17" i="1"/>
  <c r="AA17" i="1"/>
  <c r="Z17" i="1"/>
  <c r="BI17" i="1" s="1"/>
  <c r="L17" i="1" s="1"/>
  <c r="M17" i="1" s="1"/>
  <c r="O17" i="1"/>
  <c r="S17" i="1" s="1"/>
  <c r="H17" i="1"/>
  <c r="AJ11" i="1"/>
  <c r="AI11" i="1"/>
  <c r="AA11" i="1"/>
  <c r="Z11" i="1"/>
  <c r="BI11" i="1" s="1"/>
  <c r="L11" i="1" s="1"/>
  <c r="M11" i="1" s="1"/>
  <c r="O11" i="1"/>
  <c r="S11" i="1" s="1"/>
  <c r="H11" i="1"/>
  <c r="AA10" i="1"/>
  <c r="AA16" i="1"/>
  <c r="AA18" i="1"/>
  <c r="AA21" i="1"/>
  <c r="AJ21" i="1"/>
  <c r="AI21" i="1"/>
  <c r="Z21" i="1"/>
  <c r="O21" i="1"/>
  <c r="Q21" i="1" s="1"/>
  <c r="N23" i="1"/>
  <c r="I21" i="1" s="1"/>
  <c r="M21" i="1" s="1"/>
  <c r="H21" i="1"/>
  <c r="AJ18" i="1"/>
  <c r="AI18" i="1"/>
  <c r="AJ10" i="1"/>
  <c r="AJ9" i="1"/>
  <c r="AJ8" i="1"/>
  <c r="AJ7" i="1"/>
  <c r="AJ16" i="1"/>
  <c r="AJ15" i="1"/>
  <c r="AJ14" i="1"/>
  <c r="AJ13" i="1"/>
  <c r="AJ12" i="1"/>
  <c r="AJ6" i="1"/>
  <c r="AI16" i="1"/>
  <c r="AI15" i="1"/>
  <c r="AI14" i="1"/>
  <c r="AI13" i="1"/>
  <c r="AI10" i="1"/>
  <c r="AI9" i="1"/>
  <c r="AI8" i="1"/>
  <c r="AI7" i="1"/>
  <c r="AI6" i="1"/>
  <c r="AI12" i="1"/>
  <c r="W32" i="1" l="1"/>
  <c r="AD30" i="1"/>
  <c r="AD32" i="1"/>
  <c r="W30" i="1"/>
  <c r="AK17" i="1"/>
  <c r="AK18" i="1"/>
  <c r="P11" i="1"/>
  <c r="AY18" i="1"/>
  <c r="AY21" i="1"/>
  <c r="P17" i="1"/>
  <c r="AR18" i="1"/>
  <c r="AY10" i="1"/>
  <c r="AR21" i="1"/>
  <c r="Q17" i="1"/>
  <c r="AY8" i="1"/>
  <c r="BF17" i="1"/>
  <c r="I17" i="1" s="1"/>
  <c r="AK11" i="1"/>
  <c r="AY17" i="1"/>
  <c r="BG17" i="1"/>
  <c r="J17" i="1" s="1"/>
  <c r="AY7" i="1"/>
  <c r="AR17" i="1"/>
  <c r="BH17" i="1"/>
  <c r="K17" i="1" s="1"/>
  <c r="Q11" i="1"/>
  <c r="AK21" i="1"/>
  <c r="AY13" i="1"/>
  <c r="AY14" i="1"/>
  <c r="AY16" i="1"/>
  <c r="AK12" i="1"/>
  <c r="BF11" i="1"/>
  <c r="I11" i="1" s="1"/>
  <c r="AY11" i="1"/>
  <c r="BG11" i="1"/>
  <c r="J11" i="1" s="1"/>
  <c r="AR11" i="1"/>
  <c r="BH11" i="1"/>
  <c r="K11" i="1" s="1"/>
  <c r="AY6" i="1"/>
  <c r="S21" i="1"/>
  <c r="P21" i="1"/>
  <c r="AY15" i="1"/>
  <c r="AK8" i="1"/>
  <c r="AR9" i="1"/>
  <c r="AR13" i="1"/>
  <c r="AY9" i="1"/>
  <c r="AY12" i="1"/>
  <c r="AK14" i="1"/>
  <c r="AR10" i="1"/>
  <c r="AR12" i="1"/>
  <c r="AR6" i="1"/>
  <c r="AR15" i="1"/>
  <c r="AR7" i="1"/>
  <c r="AR16" i="1"/>
  <c r="AR8" i="1"/>
  <c r="AR14" i="1"/>
  <c r="AK10" i="1"/>
  <c r="AK13" i="1"/>
  <c r="AK9" i="1"/>
  <c r="AK6" i="1"/>
  <c r="AK15" i="1"/>
  <c r="AK7" i="1"/>
  <c r="AK16" i="1"/>
  <c r="P7" i="14"/>
  <c r="P6" i="14"/>
  <c r="N7" i="14"/>
  <c r="N6" i="14"/>
  <c r="P13" i="14"/>
  <c r="P12" i="14"/>
  <c r="P11" i="14"/>
  <c r="B20" i="2" l="1"/>
  <c r="B19" i="2"/>
  <c r="B18" i="2"/>
  <c r="B17" i="2"/>
  <c r="N45" i="1"/>
  <c r="Z6" i="1"/>
  <c r="Z7" i="1"/>
  <c r="Z8" i="1"/>
  <c r="Z9" i="1"/>
  <c r="Z10" i="1"/>
  <c r="Z12" i="1"/>
  <c r="Z13" i="1"/>
  <c r="Z14" i="1"/>
  <c r="Z15" i="1"/>
  <c r="Z16" i="1"/>
  <c r="O18" i="1"/>
  <c r="S18" i="1" s="1"/>
  <c r="N20" i="1"/>
  <c r="Z18" i="1"/>
  <c r="H18" i="1"/>
  <c r="O16" i="1"/>
  <c r="S16" i="1" s="1"/>
  <c r="H16" i="1"/>
  <c r="O10" i="1"/>
  <c r="H10" i="1"/>
  <c r="B16" i="2"/>
  <c r="BG10" i="1" l="1"/>
  <c r="J10" i="1" s="1"/>
  <c r="P18" i="1"/>
  <c r="Q16" i="1"/>
  <c r="Q18" i="1"/>
  <c r="BF10" i="1"/>
  <c r="I10" i="1" s="1"/>
  <c r="BF16" i="1"/>
  <c r="I16" i="1" s="1"/>
  <c r="BH10" i="1"/>
  <c r="K10" i="1" s="1"/>
  <c r="BG16" i="1"/>
  <c r="J16" i="1" s="1"/>
  <c r="S10" i="1"/>
  <c r="BI10" i="1"/>
  <c r="L10" i="1" s="1"/>
  <c r="M10" i="1" s="1"/>
  <c r="P16" i="1"/>
  <c r="BH16" i="1"/>
  <c r="K16" i="1" s="1"/>
  <c r="BI16" i="1"/>
  <c r="L16" i="1" s="1"/>
  <c r="M16" i="1" s="1"/>
  <c r="Q10" i="1"/>
  <c r="P10" i="1"/>
  <c r="B15" i="2"/>
  <c r="B14" i="2"/>
  <c r="I13" i="18"/>
  <c r="X13" i="18"/>
  <c r="V13" i="18"/>
  <c r="X12" i="18"/>
  <c r="V12" i="18"/>
  <c r="H6" i="18"/>
  <c r="M13" i="18"/>
  <c r="R12" i="18"/>
  <c r="Q13" i="18" s="1"/>
  <c r="AP7" i="14"/>
  <c r="S8" i="17"/>
  <c r="Q8" i="17"/>
  <c r="O8" i="17"/>
  <c r="J27" i="17"/>
  <c r="I27" i="17"/>
  <c r="H27" i="17"/>
  <c r="G27" i="17"/>
  <c r="F27" i="17"/>
  <c r="E27" i="17"/>
  <c r="D27" i="17"/>
  <c r="C27" i="17"/>
  <c r="B27" i="17"/>
  <c r="T19" i="17"/>
  <c r="T8" i="17" s="1"/>
  <c r="R19" i="17"/>
  <c r="P19" i="17"/>
  <c r="P8" i="17" s="1"/>
  <c r="T18" i="17"/>
  <c r="S18" i="17"/>
  <c r="R18" i="17"/>
  <c r="Q18" i="17"/>
  <c r="P18" i="17"/>
  <c r="O18" i="17"/>
  <c r="M15" i="17"/>
  <c r="M14" i="17"/>
  <c r="M13" i="17"/>
  <c r="M12" i="17"/>
  <c r="M11" i="17"/>
  <c r="M10" i="17"/>
  <c r="M9" i="17"/>
  <c r="V8" i="17"/>
  <c r="M8" i="17"/>
  <c r="M7" i="17"/>
  <c r="H13" i="14"/>
  <c r="J13" i="14" s="1"/>
  <c r="H12" i="14"/>
  <c r="J12" i="14" s="1"/>
  <c r="H11" i="14"/>
  <c r="H10" i="14"/>
  <c r="H9" i="14"/>
  <c r="J9" i="14" s="1"/>
  <c r="H7" i="14"/>
  <c r="J7" i="14" s="1"/>
  <c r="H6" i="14"/>
  <c r="J6" i="14" s="1"/>
  <c r="B13" i="2"/>
  <c r="B12" i="2"/>
  <c r="D11" i="2" s="1"/>
  <c r="B11" i="2"/>
  <c r="AZ7" i="14"/>
  <c r="AU7" i="14"/>
  <c r="AZ6" i="14"/>
  <c r="AU6" i="14"/>
  <c r="AP6" i="14"/>
  <c r="S17" i="17" l="1"/>
  <c r="AB8" i="17" s="1"/>
  <c r="O17" i="17"/>
  <c r="X8" i="17" s="1"/>
  <c r="R17" i="17"/>
  <c r="R8" i="17"/>
  <c r="U18" i="17"/>
  <c r="Q17" i="17"/>
  <c r="Z8" i="17" s="1"/>
  <c r="P17" i="17"/>
  <c r="Y8" i="17" s="1"/>
  <c r="AQ8" i="14" s="1"/>
  <c r="T17" i="17"/>
  <c r="AC8" i="17" s="1"/>
  <c r="BA8" i="14" s="1"/>
  <c r="J10" i="14"/>
  <c r="J11" i="14"/>
  <c r="AQ13" i="14" l="1"/>
  <c r="AQ10" i="14"/>
  <c r="AQ12" i="14"/>
  <c r="AQ11" i="14"/>
  <c r="AQ9" i="14"/>
  <c r="AS8" i="14"/>
  <c r="AT8" i="14"/>
  <c r="AR8" i="14"/>
  <c r="AN8" i="14"/>
  <c r="AM8" i="14"/>
  <c r="AO8" i="14"/>
  <c r="AX8" i="14"/>
  <c r="AY8" i="14"/>
  <c r="AW8" i="14"/>
  <c r="BA13" i="14"/>
  <c r="BA10" i="14"/>
  <c r="BA9" i="14"/>
  <c r="BA12" i="14"/>
  <c r="BA11" i="14"/>
  <c r="AA8" i="17"/>
  <c r="AV8" i="14" s="1"/>
  <c r="U17" i="17"/>
  <c r="U8" i="17"/>
  <c r="AO13" i="14" l="1"/>
  <c r="AP13" i="14" s="1"/>
  <c r="AO12" i="14"/>
  <c r="AP12" i="14" s="1"/>
  <c r="AO11" i="14"/>
  <c r="AP11" i="14" s="1"/>
  <c r="AO9" i="14"/>
  <c r="AP9" i="14" s="1"/>
  <c r="AO10" i="14"/>
  <c r="AP10" i="14" s="1"/>
  <c r="AM13" i="14"/>
  <c r="AM10" i="14"/>
  <c r="AM12" i="14"/>
  <c r="AM11" i="14"/>
  <c r="AM9" i="14"/>
  <c r="AN13" i="14"/>
  <c r="AN12" i="14"/>
  <c r="AN11" i="14"/>
  <c r="AN10" i="14"/>
  <c r="AN9" i="14"/>
  <c r="AV13" i="14"/>
  <c r="AV9" i="14"/>
  <c r="AV10" i="14"/>
  <c r="AV11" i="14"/>
  <c r="AV12" i="14"/>
  <c r="AR13" i="14"/>
  <c r="AR11" i="14"/>
  <c r="AR12" i="14"/>
  <c r="AR10" i="14"/>
  <c r="AR9" i="14"/>
  <c r="AY13" i="14"/>
  <c r="AY10" i="14"/>
  <c r="AY11" i="14"/>
  <c r="AY9" i="14"/>
  <c r="AZ9" i="14" s="1"/>
  <c r="AY12" i="14"/>
  <c r="AZ12" i="14" s="1"/>
  <c r="AX13" i="14"/>
  <c r="AX12" i="14"/>
  <c r="AX11" i="14"/>
  <c r="AX9" i="14"/>
  <c r="AX10" i="14"/>
  <c r="AT13" i="14"/>
  <c r="AU13" i="14" s="1"/>
  <c r="AT10" i="14"/>
  <c r="AU10" i="14" s="1"/>
  <c r="AT11" i="14"/>
  <c r="AU11" i="14" s="1"/>
  <c r="AT9" i="14"/>
  <c r="AU9" i="14" s="1"/>
  <c r="AT12" i="14"/>
  <c r="AU12" i="14" s="1"/>
  <c r="AW13" i="14"/>
  <c r="AW11" i="14"/>
  <c r="AW12" i="14"/>
  <c r="AW10" i="14"/>
  <c r="AW9" i="14"/>
  <c r="AS13" i="14"/>
  <c r="AS12" i="14"/>
  <c r="AS11" i="14"/>
  <c r="AS10" i="14"/>
  <c r="AS9" i="14"/>
  <c r="B10" i="2"/>
  <c r="G60" i="1"/>
  <c r="F60" i="1" s="1"/>
  <c r="G59" i="1"/>
  <c r="F59" i="1" s="1"/>
  <c r="G56" i="1"/>
  <c r="F56" i="1" s="1"/>
  <c r="G55" i="1"/>
  <c r="F55" i="1" s="1"/>
  <c r="G52" i="1"/>
  <c r="F52" i="1" s="1"/>
  <c r="G51" i="1"/>
  <c r="F51" i="1" s="1"/>
  <c r="G48" i="1"/>
  <c r="F48" i="1" s="1"/>
  <c r="G47" i="1"/>
  <c r="F47" i="1" s="1"/>
  <c r="O45" i="1"/>
  <c r="M45" i="1"/>
  <c r="O33" i="1"/>
  <c r="L33" i="1"/>
  <c r="M33" i="1" s="1"/>
  <c r="H33" i="1"/>
  <c r="AL32" i="1"/>
  <c r="AK33" i="1" s="1"/>
  <c r="O32" i="1"/>
  <c r="L32" i="1"/>
  <c r="H32" i="1"/>
  <c r="B9" i="2"/>
  <c r="F4" i="2" s="1"/>
  <c r="B8" i="2"/>
  <c r="D7" i="2" s="1"/>
  <c r="H21" i="7"/>
  <c r="M21" i="7"/>
  <c r="O21" i="7"/>
  <c r="G34" i="6"/>
  <c r="G35" i="6"/>
  <c r="G36" i="6"/>
  <c r="G37" i="6"/>
  <c r="G38" i="6"/>
  <c r="G39" i="6"/>
  <c r="G40" i="6"/>
  <c r="G41" i="6"/>
  <c r="G42" i="6"/>
  <c r="G43" i="6"/>
  <c r="H34" i="6"/>
  <c r="H35" i="6"/>
  <c r="H36" i="6"/>
  <c r="H37" i="6"/>
  <c r="H38" i="6"/>
  <c r="H39" i="6"/>
  <c r="H40" i="6"/>
  <c r="H41" i="6"/>
  <c r="H42" i="6"/>
  <c r="H43" i="6"/>
  <c r="O31" i="1"/>
  <c r="Q31" i="1" s="1"/>
  <c r="O30" i="1"/>
  <c r="L31" i="1"/>
  <c r="M31" i="1" s="1"/>
  <c r="L30" i="1"/>
  <c r="M30" i="1" s="1"/>
  <c r="H31" i="1"/>
  <c r="H30" i="1"/>
  <c r="AL30" i="1"/>
  <c r="AK31" i="1" s="1"/>
  <c r="E12" i="5"/>
  <c r="B7" i="2"/>
  <c r="AI13" i="14" l="1"/>
  <c r="AH11" i="14"/>
  <c r="AK11" i="14"/>
  <c r="AH13" i="14"/>
  <c r="AI11" i="14"/>
  <c r="AK13" i="14"/>
  <c r="AJ11" i="14"/>
  <c r="AJ13" i="14"/>
  <c r="AJ12" i="14"/>
  <c r="AH12" i="14"/>
  <c r="AI12" i="14"/>
  <c r="AK12" i="14"/>
  <c r="AK9" i="14"/>
  <c r="AJ9" i="14"/>
  <c r="AI9" i="14"/>
  <c r="AF9" i="14"/>
  <c r="AH9" i="14"/>
  <c r="AG9" i="14"/>
  <c r="AK10" i="14"/>
  <c r="AF10" i="14"/>
  <c r="AH10" i="14"/>
  <c r="AG10" i="14"/>
  <c r="AJ10" i="14"/>
  <c r="AI10" i="14"/>
  <c r="AF6" i="14"/>
  <c r="AK6" i="14"/>
  <c r="AJ6" i="14"/>
  <c r="AI6" i="14"/>
  <c r="AG6" i="14"/>
  <c r="AH6" i="14"/>
  <c r="AI7" i="14"/>
  <c r="AK7" i="14"/>
  <c r="AJ7" i="14"/>
  <c r="AG7" i="14"/>
  <c r="AF7" i="14"/>
  <c r="AH7" i="14"/>
  <c r="P35" i="1"/>
  <c r="Q35" i="1"/>
  <c r="S35" i="1"/>
  <c r="T35" i="1" s="1"/>
  <c r="S37" i="1"/>
  <c r="T37" i="1" s="1"/>
  <c r="P37" i="1"/>
  <c r="Q37" i="1"/>
  <c r="Q12" i="14"/>
  <c r="Q13" i="14"/>
  <c r="Q11" i="14"/>
  <c r="N35" i="1"/>
  <c r="N36" i="1"/>
  <c r="N37" i="1"/>
  <c r="N34" i="1"/>
  <c r="AZ11" i="14"/>
  <c r="AZ10" i="14"/>
  <c r="AF21" i="1"/>
  <c r="AG21" i="1" s="1"/>
  <c r="AH21" i="1" s="1"/>
  <c r="AF18" i="1"/>
  <c r="AF16" i="1"/>
  <c r="AG16" i="1" s="1"/>
  <c r="AH16" i="1" s="1"/>
  <c r="AF10" i="1"/>
  <c r="AG10" i="1" s="1"/>
  <c r="AH10" i="1" s="1"/>
  <c r="AF11" i="1"/>
  <c r="AG11" i="1" s="1"/>
  <c r="AH11" i="1" s="1"/>
  <c r="AF17" i="1"/>
  <c r="AG17" i="1" s="1"/>
  <c r="AH17" i="1" s="1"/>
  <c r="AB17" i="1"/>
  <c r="AD17" i="1"/>
  <c r="AD11" i="1"/>
  <c r="AB11" i="1"/>
  <c r="AB21" i="1"/>
  <c r="AD21" i="1"/>
  <c r="Q10" i="14"/>
  <c r="V6" i="14"/>
  <c r="Q7" i="14"/>
  <c r="Q9" i="14"/>
  <c r="AD16" i="1"/>
  <c r="AD10" i="1"/>
  <c r="AD18" i="1"/>
  <c r="Q33" i="1"/>
  <c r="AZ13" i="14"/>
  <c r="AB16" i="1"/>
  <c r="AB10" i="1"/>
  <c r="AB18" i="1"/>
  <c r="AG18" i="1"/>
  <c r="AH18" i="1" s="1"/>
  <c r="P31" i="1"/>
  <c r="P33" i="1"/>
  <c r="N32" i="1"/>
  <c r="E7" i="2"/>
  <c r="S33" i="1"/>
  <c r="T33" i="1" s="1"/>
  <c r="S31" i="1"/>
  <c r="T31" i="1" s="1"/>
  <c r="N33" i="1"/>
  <c r="M32" i="1"/>
  <c r="N30" i="1"/>
  <c r="N31" i="1"/>
  <c r="Y6" i="14"/>
  <c r="AX18" i="1"/>
  <c r="X6" i="14"/>
  <c r="AO18" i="1"/>
  <c r="AO10" i="1"/>
  <c r="AX10" i="1"/>
  <c r="X33" i="1"/>
  <c r="AA33" i="1"/>
  <c r="AU18" i="1"/>
  <c r="Z13" i="14"/>
  <c r="AW16" i="1"/>
  <c r="AT16" i="1"/>
  <c r="AU16" i="1"/>
  <c r="AV16" i="1"/>
  <c r="AS16" i="1"/>
  <c r="AX16" i="1"/>
  <c r="Y33" i="1"/>
  <c r="AN18" i="1"/>
  <c r="AW18" i="1"/>
  <c r="Z6" i="14"/>
  <c r="AV10" i="1"/>
  <c r="AC31" i="1"/>
  <c r="W6" i="14"/>
  <c r="AT10" i="1"/>
  <c r="AA13" i="14" l="1"/>
  <c r="AA6" i="14"/>
  <c r="V9" i="14"/>
  <c r="V7" i="14"/>
  <c r="V10" i="14"/>
  <c r="O5" i="7"/>
  <c r="O6" i="7"/>
  <c r="O7" i="7"/>
  <c r="O8" i="7"/>
  <c r="O9" i="7"/>
  <c r="O10" i="7"/>
  <c r="O11" i="7"/>
  <c r="O12" i="7"/>
  <c r="O13" i="7"/>
  <c r="O14" i="7"/>
  <c r="O15" i="7"/>
  <c r="O16" i="7"/>
  <c r="O17" i="7"/>
  <c r="O18" i="7"/>
  <c r="O19" i="7"/>
  <c r="O20" i="7"/>
  <c r="O22" i="7"/>
  <c r="O23" i="7"/>
  <c r="O24" i="7"/>
  <c r="O25" i="7"/>
  <c r="O26" i="7"/>
  <c r="O27" i="7"/>
  <c r="O28" i="7"/>
  <c r="O29" i="7"/>
  <c r="O30" i="7"/>
  <c r="L11" i="6"/>
  <c r="B6" i="2"/>
  <c r="B5" i="2"/>
  <c r="L10" i="6"/>
  <c r="L9" i="6"/>
  <c r="L8" i="6"/>
  <c r="L7" i="6"/>
  <c r="L6" i="6"/>
  <c r="L5" i="6"/>
  <c r="L4" i="6"/>
  <c r="L3" i="6"/>
  <c r="BG6" i="1"/>
  <c r="L39" i="7"/>
  <c r="K39" i="7"/>
  <c r="J39" i="7"/>
  <c r="I39" i="7"/>
  <c r="H39" i="7"/>
  <c r="E39" i="7"/>
  <c r="L38" i="7"/>
  <c r="K38" i="7"/>
  <c r="J38" i="7"/>
  <c r="I38" i="7"/>
  <c r="H38" i="7"/>
  <c r="E38" i="7"/>
  <c r="L37" i="7"/>
  <c r="L34" i="7"/>
  <c r="N34" i="7" s="1"/>
  <c r="K34" i="7"/>
  <c r="M34" i="7" s="1"/>
  <c r="J34" i="7"/>
  <c r="I34" i="7"/>
  <c r="H34" i="7"/>
  <c r="L33" i="7"/>
  <c r="N33" i="7" s="1"/>
  <c r="K33" i="7"/>
  <c r="M33" i="7" s="1"/>
  <c r="J33" i="7"/>
  <c r="I33" i="7"/>
  <c r="H33" i="7"/>
  <c r="E33" i="7"/>
  <c r="E34" i="7" s="1"/>
  <c r="M30" i="7"/>
  <c r="M29" i="7"/>
  <c r="M28" i="7"/>
  <c r="M27" i="7"/>
  <c r="N25" i="7"/>
  <c r="M25" i="7"/>
  <c r="N24" i="7"/>
  <c r="M24" i="7"/>
  <c r="N23" i="7"/>
  <c r="M23" i="7"/>
  <c r="N22" i="7"/>
  <c r="M22" i="7"/>
  <c r="N20" i="7"/>
  <c r="M20" i="7"/>
  <c r="N19" i="7"/>
  <c r="M19" i="7"/>
  <c r="N18" i="7"/>
  <c r="M18" i="7"/>
  <c r="N17" i="7"/>
  <c r="M17" i="7"/>
  <c r="N16" i="7"/>
  <c r="M16" i="7"/>
  <c r="N15" i="7"/>
  <c r="M15" i="7"/>
  <c r="N14" i="7"/>
  <c r="M14" i="7"/>
  <c r="N13" i="7"/>
  <c r="M13" i="7"/>
  <c r="N12" i="7"/>
  <c r="M12" i="7"/>
  <c r="N11" i="7"/>
  <c r="M11" i="7"/>
  <c r="N10" i="7"/>
  <c r="M10" i="7"/>
  <c r="N9" i="7"/>
  <c r="M9" i="7"/>
  <c r="N8" i="7"/>
  <c r="M8" i="7"/>
  <c r="N7" i="7"/>
  <c r="M7" i="7"/>
  <c r="N6" i="7"/>
  <c r="M6" i="7"/>
  <c r="N5" i="7"/>
  <c r="M5" i="7"/>
  <c r="M37" i="7" s="1"/>
  <c r="O37" i="7" s="1"/>
  <c r="H15" i="1"/>
  <c r="H14" i="1"/>
  <c r="H13" i="1"/>
  <c r="H12" i="1"/>
  <c r="H9" i="1"/>
  <c r="H8" i="1"/>
  <c r="H7" i="1"/>
  <c r="H6" i="1"/>
  <c r="G33" i="6"/>
  <c r="H33" i="6"/>
  <c r="G32" i="6"/>
  <c r="H32" i="6"/>
  <c r="G31" i="6"/>
  <c r="H31" i="6"/>
  <c r="H30" i="6"/>
  <c r="G30" i="6"/>
  <c r="H29" i="6"/>
  <c r="G29" i="6"/>
  <c r="H28" i="6"/>
  <c r="G28" i="6"/>
  <c r="H27" i="6"/>
  <c r="G27" i="6"/>
  <c r="H26" i="6"/>
  <c r="G26" i="6"/>
  <c r="H25" i="6"/>
  <c r="G25" i="6"/>
  <c r="H24" i="6"/>
  <c r="G24" i="6"/>
  <c r="H23" i="6"/>
  <c r="G23" i="6"/>
  <c r="H22" i="6"/>
  <c r="G22" i="6"/>
  <c r="H21" i="6"/>
  <c r="G21" i="6"/>
  <c r="H20" i="6"/>
  <c r="G20" i="6"/>
  <c r="H19" i="6"/>
  <c r="G19" i="6"/>
  <c r="H18" i="6"/>
  <c r="G18" i="6"/>
  <c r="H17" i="6"/>
  <c r="G17" i="6"/>
  <c r="H16" i="6"/>
  <c r="G16" i="6"/>
  <c r="H15" i="6"/>
  <c r="G15" i="6"/>
  <c r="H14" i="6"/>
  <c r="G14" i="6"/>
  <c r="H13" i="6"/>
  <c r="G13" i="6"/>
  <c r="H12" i="6"/>
  <c r="G12" i="6"/>
  <c r="H11" i="6"/>
  <c r="G11" i="6"/>
  <c r="M10" i="6"/>
  <c r="H10" i="6"/>
  <c r="G10" i="6"/>
  <c r="H9" i="6"/>
  <c r="G9" i="6"/>
  <c r="H8" i="6"/>
  <c r="G8" i="6"/>
  <c r="H7" i="6"/>
  <c r="G7" i="6"/>
  <c r="H6" i="6"/>
  <c r="G6" i="6"/>
  <c r="H5" i="6"/>
  <c r="G5" i="6"/>
  <c r="H4" i="6"/>
  <c r="G4" i="6"/>
  <c r="H3" i="6"/>
  <c r="G3" i="6"/>
  <c r="O15" i="1"/>
  <c r="O14" i="1"/>
  <c r="S14" i="1" s="1"/>
  <c r="O9" i="1"/>
  <c r="O8" i="1"/>
  <c r="S8" i="1" s="1"/>
  <c r="O13" i="1"/>
  <c r="O12" i="1"/>
  <c r="S12" i="1" s="1"/>
  <c r="O7" i="1"/>
  <c r="P7" i="1" s="1"/>
  <c r="O6" i="1"/>
  <c r="P6" i="1" s="1"/>
  <c r="E27" i="5"/>
  <c r="E26" i="5"/>
  <c r="E25" i="5"/>
  <c r="E24" i="5"/>
  <c r="E23" i="5"/>
  <c r="E22" i="5"/>
  <c r="E21" i="5"/>
  <c r="E20" i="5"/>
  <c r="E19" i="5"/>
  <c r="E18" i="5"/>
  <c r="E17" i="5"/>
  <c r="E16" i="5"/>
  <c r="E15" i="5"/>
  <c r="E14" i="5"/>
  <c r="E13" i="5"/>
  <c r="E11" i="5"/>
  <c r="E10" i="5"/>
  <c r="E9" i="5"/>
  <c r="E8" i="5"/>
  <c r="E7" i="5"/>
  <c r="E6" i="5"/>
  <c r="E5" i="5"/>
  <c r="E4" i="5"/>
  <c r="B4" i="2"/>
  <c r="B3" i="2"/>
  <c r="B2" i="2"/>
  <c r="AA35" i="1"/>
  <c r="AH35" i="1"/>
  <c r="AH37" i="1"/>
  <c r="AB33" i="1"/>
  <c r="AF31" i="1"/>
  <c r="AQ11" i="1"/>
  <c r="AS10" i="1"/>
  <c r="Y31" i="1"/>
  <c r="AG31" i="1"/>
  <c r="AL11" i="1"/>
  <c r="AQ18" i="1"/>
  <c r="AN16" i="1"/>
  <c r="Z35" i="1"/>
  <c r="AI35" i="1"/>
  <c r="AI37" i="1"/>
  <c r="W7" i="14"/>
  <c r="AU21" i="1"/>
  <c r="AB37" i="1"/>
  <c r="AI31" i="1"/>
  <c r="AC33" i="1"/>
  <c r="AQ10" i="1"/>
  <c r="Y37" i="1"/>
  <c r="Y35" i="1"/>
  <c r="AE35" i="1"/>
  <c r="AF37" i="1"/>
  <c r="AW21" i="1"/>
  <c r="AN10" i="1"/>
  <c r="X31" i="1"/>
  <c r="AW10" i="1"/>
  <c r="AQ21" i="1"/>
  <c r="AT11" i="1"/>
  <c r="AV17" i="1"/>
  <c r="AX21" i="1"/>
  <c r="AO21" i="1"/>
  <c r="X7" i="14"/>
  <c r="Z33" i="1"/>
  <c r="AO11" i="1"/>
  <c r="AE33" i="1"/>
  <c r="AQ16" i="1"/>
  <c r="AV11" i="1"/>
  <c r="Z37" i="1"/>
  <c r="X35" i="1"/>
  <c r="AG35" i="1"/>
  <c r="AG37" i="1"/>
  <c r="X9" i="14"/>
  <c r="Z10" i="14"/>
  <c r="AN17" i="1"/>
  <c r="AP10" i="1"/>
  <c r="AX17" i="1"/>
  <c r="AV21" i="1"/>
  <c r="AS17" i="1"/>
  <c r="AG33" i="1"/>
  <c r="AN21" i="1"/>
  <c r="AI33" i="1"/>
  <c r="AJ33" i="1"/>
  <c r="AU17" i="1"/>
  <c r="AV18" i="1"/>
  <c r="AB31" i="1"/>
  <c r="AW11" i="1"/>
  <c r="AN11" i="1"/>
  <c r="X37" i="1"/>
  <c r="AC35" i="1"/>
  <c r="AJ35" i="1"/>
  <c r="AJ37" i="1"/>
  <c r="Z9" i="14"/>
  <c r="Y10" i="14"/>
  <c r="AP11" i="1"/>
  <c r="AM11" i="1"/>
  <c r="AL10" i="1"/>
  <c r="AF33" i="1"/>
  <c r="AO16" i="1"/>
  <c r="AE31" i="1"/>
  <c r="AL17" i="1"/>
  <c r="AS11" i="1"/>
  <c r="AJ31" i="1"/>
  <c r="AA37" i="1"/>
  <c r="Z11" i="14"/>
  <c r="Z12" i="14"/>
  <c r="W9" i="14"/>
  <c r="W10" i="14"/>
  <c r="AU11" i="1"/>
  <c r="AM16" i="1"/>
  <c r="AO17" i="1"/>
  <c r="AP17" i="1"/>
  <c r="AH31" i="1"/>
  <c r="AT17" i="1"/>
  <c r="AH33" i="1"/>
  <c r="Z31" i="1"/>
  <c r="AC37" i="1"/>
  <c r="Y11" i="14"/>
  <c r="Y12" i="14"/>
  <c r="Y9" i="14"/>
  <c r="X10" i="14"/>
  <c r="AL16" i="1"/>
  <c r="AQ17" i="1"/>
  <c r="AP21" i="1"/>
  <c r="AM10" i="1"/>
  <c r="AM17" i="1"/>
  <c r="AA31" i="1"/>
  <c r="AP16" i="1"/>
  <c r="AU10" i="1"/>
  <c r="AB35" i="1"/>
  <c r="AF35" i="1"/>
  <c r="AE37" i="1"/>
  <c r="AP18" i="1"/>
  <c r="AW17" i="1"/>
  <c r="AX11" i="1"/>
  <c r="Z7" i="14"/>
  <c r="AA12" i="14" l="1"/>
  <c r="AA11" i="14"/>
  <c r="AA10" i="14"/>
  <c r="AA7" i="14"/>
  <c r="AA9" i="14"/>
  <c r="R17" i="1"/>
  <c r="R11" i="1"/>
  <c r="R18" i="1"/>
  <c r="R21" i="1"/>
  <c r="AE17" i="1"/>
  <c r="AE11" i="1"/>
  <c r="AC17" i="1"/>
  <c r="AC11" i="1"/>
  <c r="AE21" i="1"/>
  <c r="AC21" i="1"/>
  <c r="AE16" i="1"/>
  <c r="AE10" i="1"/>
  <c r="AE18" i="1"/>
  <c r="AE10" i="14"/>
  <c r="AD10" i="14"/>
  <c r="AC10" i="14"/>
  <c r="AB10" i="14"/>
  <c r="AE9" i="14"/>
  <c r="AD9" i="14"/>
  <c r="AC9" i="14"/>
  <c r="AB9" i="14"/>
  <c r="O10" i="14"/>
  <c r="U10" i="14" s="1"/>
  <c r="O6" i="14"/>
  <c r="U6" i="14" s="1"/>
  <c r="O7" i="14"/>
  <c r="U7" i="14" s="1"/>
  <c r="AD6" i="14"/>
  <c r="AB7" i="14"/>
  <c r="AC7" i="14"/>
  <c r="AD7" i="14"/>
  <c r="AE6" i="14"/>
  <c r="AE7" i="14"/>
  <c r="AB6" i="14"/>
  <c r="AC6" i="14"/>
  <c r="O9" i="14"/>
  <c r="U9" i="14" s="1"/>
  <c r="AD7" i="1"/>
  <c r="AD8" i="1"/>
  <c r="AE8" i="1"/>
  <c r="AE7" i="1"/>
  <c r="AD6" i="1"/>
  <c r="AE6" i="1"/>
  <c r="AE14" i="1"/>
  <c r="AD14" i="1"/>
  <c r="AD13" i="1"/>
  <c r="AE13" i="1"/>
  <c r="AE12" i="1"/>
  <c r="AD12" i="1"/>
  <c r="AE9" i="1"/>
  <c r="AD9" i="1"/>
  <c r="AD15" i="1"/>
  <c r="AE15" i="1"/>
  <c r="AB12" i="1"/>
  <c r="AB15" i="1"/>
  <c r="AB13" i="1"/>
  <c r="AF13" i="1"/>
  <c r="AG13" i="1" s="1"/>
  <c r="AH13" i="1" s="1"/>
  <c r="AF9" i="1"/>
  <c r="AG9" i="1" s="1"/>
  <c r="AH9" i="1" s="1"/>
  <c r="AB9" i="1"/>
  <c r="AB8" i="1"/>
  <c r="AF12" i="1"/>
  <c r="AG12" i="1" s="1"/>
  <c r="AH12" i="1" s="1"/>
  <c r="AF8" i="1"/>
  <c r="AG8" i="1" s="1"/>
  <c r="AH8" i="1" s="1"/>
  <c r="AF15" i="1"/>
  <c r="AG15" i="1" s="1"/>
  <c r="AH15" i="1" s="1"/>
  <c r="AB6" i="1"/>
  <c r="AB7" i="1"/>
  <c r="AF14" i="1"/>
  <c r="AG14" i="1" s="1"/>
  <c r="AH14" i="1" s="1"/>
  <c r="AB14" i="1"/>
  <c r="AF6" i="1"/>
  <c r="AG6" i="1" s="1"/>
  <c r="AH6" i="1" s="1"/>
  <c r="AF7" i="1"/>
  <c r="AG7" i="1" s="1"/>
  <c r="AH7" i="1" s="1"/>
  <c r="AC7" i="1"/>
  <c r="AC12" i="1"/>
  <c r="AC10" i="1"/>
  <c r="AC6" i="1"/>
  <c r="AC15" i="1"/>
  <c r="AC13" i="1"/>
  <c r="AC8" i="1"/>
  <c r="AC16" i="1"/>
  <c r="AC14" i="1"/>
  <c r="AC9" i="1"/>
  <c r="R10" i="1"/>
  <c r="R16" i="1"/>
  <c r="AC18" i="1"/>
  <c r="I6" i="14"/>
  <c r="I7" i="14"/>
  <c r="R13" i="1"/>
  <c r="D4" i="2"/>
  <c r="F7" i="2"/>
  <c r="I11" i="14"/>
  <c r="I9" i="14"/>
  <c r="I12" i="14"/>
  <c r="I10" i="14"/>
  <c r="I13" i="14"/>
  <c r="E4" i="2"/>
  <c r="E13" i="2"/>
  <c r="R15" i="1"/>
  <c r="BI13" i="1"/>
  <c r="L13" i="1" s="1"/>
  <c r="M13" i="1" s="1"/>
  <c r="BI6" i="1"/>
  <c r="L6" i="1" s="1"/>
  <c r="M6" i="1" s="1"/>
  <c r="BG14" i="1"/>
  <c r="J14" i="1" s="1"/>
  <c r="BG12" i="1"/>
  <c r="J12" i="1" s="1"/>
  <c r="BI9" i="1"/>
  <c r="L9" i="1" s="1"/>
  <c r="M9" i="1" s="1"/>
  <c r="BH8" i="1"/>
  <c r="K8" i="1" s="1"/>
  <c r="R9" i="1"/>
  <c r="J6" i="1"/>
  <c r="P9" i="1"/>
  <c r="Q15" i="1"/>
  <c r="BI7" i="1"/>
  <c r="BF8" i="1"/>
  <c r="I8" i="1" s="1"/>
  <c r="S9" i="1"/>
  <c r="BI8" i="1"/>
  <c r="L8" i="1" s="1"/>
  <c r="M8" i="1" s="1"/>
  <c r="BG7" i="1"/>
  <c r="J7" i="1" s="1"/>
  <c r="BF9" i="1"/>
  <c r="I9" i="1" s="1"/>
  <c r="BG8" i="1"/>
  <c r="J8" i="1" s="1"/>
  <c r="I18" i="1" s="1"/>
  <c r="M18" i="1" s="1"/>
  <c r="BH9" i="1"/>
  <c r="K9" i="1" s="1"/>
  <c r="BG9" i="1"/>
  <c r="J9" i="1" s="1"/>
  <c r="BG13" i="1"/>
  <c r="J13" i="1" s="1"/>
  <c r="BF7" i="1"/>
  <c r="BH7" i="1"/>
  <c r="BH12" i="1"/>
  <c r="K12" i="1" s="1"/>
  <c r="BH14" i="1"/>
  <c r="K14" i="1" s="1"/>
  <c r="BI12" i="1"/>
  <c r="L12" i="1" s="1"/>
  <c r="M12" i="1" s="1"/>
  <c r="BI14" i="1"/>
  <c r="L14" i="1" s="1"/>
  <c r="M14" i="1" s="1"/>
  <c r="BF13" i="1"/>
  <c r="I13" i="1" s="1"/>
  <c r="BF15" i="1"/>
  <c r="BF6" i="1"/>
  <c r="BH6" i="1"/>
  <c r="BH13" i="1"/>
  <c r="K13" i="1" s="1"/>
  <c r="BF12" i="1"/>
  <c r="I12" i="1" s="1"/>
  <c r="BF14" i="1"/>
  <c r="I14" i="1" s="1"/>
  <c r="S15" i="1"/>
  <c r="Q9" i="1"/>
  <c r="P13" i="1"/>
  <c r="Q13" i="1"/>
  <c r="S13" i="1"/>
  <c r="P15" i="1"/>
  <c r="N37" i="7"/>
  <c r="P37" i="7" s="1"/>
  <c r="M39" i="7"/>
  <c r="O39" i="7" s="1"/>
  <c r="M38" i="7"/>
  <c r="O38" i="7" s="1"/>
  <c r="N38" i="7"/>
  <c r="P38" i="7" s="1"/>
  <c r="N39" i="7"/>
  <c r="P39" i="7" s="1"/>
  <c r="H37" i="7"/>
  <c r="R7" i="1"/>
  <c r="Q7" i="1"/>
  <c r="S7" i="1"/>
  <c r="P8" i="1"/>
  <c r="P12" i="1"/>
  <c r="P14" i="1"/>
  <c r="Q8" i="1"/>
  <c r="Q12" i="1"/>
  <c r="Q14" i="1"/>
  <c r="R8" i="1"/>
  <c r="R12" i="1"/>
  <c r="R14" i="1"/>
  <c r="I37" i="7"/>
  <c r="J37" i="7"/>
  <c r="R6" i="1"/>
  <c r="S6" i="1"/>
  <c r="Q6" i="1"/>
  <c r="AW15" i="1"/>
  <c r="AN6" i="1"/>
  <c r="BE16" i="1"/>
  <c r="AS13" i="1"/>
  <c r="BB9" i="1"/>
  <c r="AU13" i="1"/>
  <c r="AN12" i="1"/>
  <c r="AQ12" i="1"/>
  <c r="BA15" i="1"/>
  <c r="AM6" i="1"/>
  <c r="AP12" i="1"/>
  <c r="AT13" i="1"/>
  <c r="AZ12" i="1"/>
  <c r="AX12" i="1"/>
  <c r="BE9" i="1"/>
  <c r="AL7" i="1"/>
  <c r="AP6" i="1"/>
  <c r="AQ6" i="1"/>
  <c r="AN15" i="1"/>
  <c r="AV13" i="1"/>
  <c r="BB18" i="1"/>
  <c r="BE12" i="1"/>
  <c r="BA10" i="1"/>
  <c r="AL13" i="1"/>
  <c r="BB12" i="1"/>
  <c r="BD16" i="1"/>
  <c r="AU7" i="1"/>
  <c r="AU8" i="1"/>
  <c r="BD10" i="1"/>
  <c r="AW13" i="1"/>
  <c r="AQ8" i="1"/>
  <c r="AZ10" i="1"/>
  <c r="AS14" i="1"/>
  <c r="BA12" i="1"/>
  <c r="AV12" i="1"/>
  <c r="BA9" i="1"/>
  <c r="AS9" i="1"/>
  <c r="Y7" i="14"/>
  <c r="BC12" i="1"/>
  <c r="BE10" i="1"/>
  <c r="AU6" i="1"/>
  <c r="BC15" i="1"/>
  <c r="BC10" i="1"/>
  <c r="AX15" i="1"/>
  <c r="AN9" i="1"/>
  <c r="BC18" i="1"/>
  <c r="AM7" i="1"/>
  <c r="BD6" i="1"/>
  <c r="BB6" i="1"/>
  <c r="BD18" i="1"/>
  <c r="AZ9" i="1"/>
  <c r="AL15" i="1"/>
  <c r="BD9" i="1"/>
  <c r="AO12" i="1"/>
  <c r="AQ7" i="1"/>
  <c r="AZ16" i="1"/>
  <c r="BC9" i="1"/>
  <c r="AX6" i="1"/>
  <c r="BC8" i="1"/>
  <c r="AM13" i="1"/>
  <c r="BD15" i="1"/>
  <c r="AT12" i="1"/>
  <c r="BB8" i="1"/>
  <c r="AO15" i="1"/>
  <c r="BD7" i="1"/>
  <c r="AX13" i="1"/>
  <c r="AP7" i="1"/>
  <c r="AU15" i="1"/>
  <c r="AQ15" i="1"/>
  <c r="AT8" i="1"/>
  <c r="BB15" i="1"/>
  <c r="AS15" i="1"/>
  <c r="AW6" i="1"/>
  <c r="AT15" i="1"/>
  <c r="AV15" i="1"/>
  <c r="AX8" i="1"/>
  <c r="BD12" i="1"/>
  <c r="AM14" i="1"/>
  <c r="AZ18" i="1"/>
  <c r="AS6" i="1"/>
  <c r="AS8" i="1"/>
  <c r="AO6" i="1"/>
  <c r="BD8" i="1"/>
  <c r="AM15" i="1"/>
  <c r="AV8" i="1"/>
  <c r="AL6" i="1"/>
  <c r="BE8" i="1"/>
  <c r="BB10" i="1"/>
  <c r="AW8" i="1"/>
  <c r="AP15" i="1"/>
  <c r="AL12" i="1"/>
  <c r="BB14" i="1"/>
  <c r="AZ13" i="1"/>
  <c r="BA7" i="1"/>
  <c r="BE14" i="1"/>
  <c r="AP8" i="1"/>
  <c r="AS12" i="1"/>
  <c r="I15" i="1" l="1"/>
  <c r="BG15" i="1"/>
  <c r="BN6" i="1"/>
  <c r="J43" i="7"/>
  <c r="K6" i="1"/>
  <c r="BM6" i="1"/>
  <c r="I6" i="1"/>
  <c r="BK6" i="1"/>
  <c r="BM7" i="1"/>
  <c r="K7" i="1"/>
  <c r="BN7" i="1"/>
  <c r="L7" i="1"/>
  <c r="M7" i="1" s="1"/>
  <c r="I7" i="1"/>
  <c r="BK7" i="1"/>
  <c r="K43" i="7"/>
  <c r="K45" i="7"/>
  <c r="J44" i="7"/>
  <c r="K44" i="7"/>
  <c r="J45" i="7"/>
  <c r="AZ14" i="1"/>
  <c r="AU12" i="1"/>
  <c r="AT14" i="1"/>
  <c r="AP13" i="1"/>
  <c r="BB11" i="1"/>
  <c r="BB17" i="1"/>
  <c r="AL9" i="1"/>
  <c r="BC16" i="1"/>
  <c r="AZ6" i="1"/>
  <c r="AV7" i="1"/>
  <c r="AW7" i="1"/>
  <c r="AV9" i="1"/>
  <c r="BD14" i="1"/>
  <c r="AX7" i="1"/>
  <c r="BC14" i="1"/>
  <c r="AN8" i="1"/>
  <c r="AL14" i="1"/>
  <c r="AO13" i="1"/>
  <c r="AT9" i="1"/>
  <c r="BA6" i="1"/>
  <c r="AN7" i="1"/>
  <c r="AU9" i="1"/>
  <c r="AZ11" i="1"/>
  <c r="BE15" i="1"/>
  <c r="AQ13" i="1"/>
  <c r="AW9" i="1"/>
  <c r="AS7" i="1"/>
  <c r="BD13" i="1"/>
  <c r="BA8" i="1"/>
  <c r="BC7" i="1"/>
  <c r="AM8" i="1"/>
  <c r="AZ15" i="1"/>
  <c r="BB13" i="1"/>
  <c r="BA11" i="1"/>
  <c r="AU14" i="1"/>
  <c r="BE21" i="1"/>
  <c r="AX9" i="1"/>
  <c r="BD21" i="1"/>
  <c r="AO14" i="1"/>
  <c r="AQ14" i="1"/>
  <c r="AN13" i="1"/>
  <c r="BC6" i="1"/>
  <c r="AO7" i="1"/>
  <c r="AW12" i="1"/>
  <c r="AO8" i="1"/>
  <c r="AZ21" i="1"/>
  <c r="BC21" i="1"/>
  <c r="BA13" i="1"/>
  <c r="AO9" i="1"/>
  <c r="BE6" i="1"/>
  <c r="BD11" i="1"/>
  <c r="BB16" i="1"/>
  <c r="AT7" i="1"/>
  <c r="AP14" i="1"/>
  <c r="AM12" i="1"/>
  <c r="BC13" i="1"/>
  <c r="AX14" i="1"/>
  <c r="AZ8" i="1"/>
  <c r="BC11" i="1"/>
  <c r="BB21" i="1"/>
  <c r="AZ7" i="1"/>
  <c r="AL8" i="1"/>
  <c r="AZ17" i="1"/>
  <c r="BC17" i="1"/>
  <c r="AM9" i="1"/>
  <c r="BE13" i="1"/>
  <c r="BD17" i="1"/>
  <c r="BB7" i="1"/>
  <c r="BA14" i="1"/>
  <c r="BE11" i="1"/>
  <c r="AN14" i="1"/>
  <c r="AW14" i="1"/>
  <c r="BA16" i="1"/>
  <c r="BA18" i="1"/>
  <c r="BE7" i="1"/>
  <c r="BE17" i="1"/>
  <c r="AP9" i="1"/>
  <c r="AV14" i="1"/>
  <c r="AV6" i="1"/>
  <c r="BA21" i="1"/>
  <c r="AQ9" i="1"/>
  <c r="AT6" i="1"/>
  <c r="BA17" i="1"/>
  <c r="BE18" i="1"/>
  <c r="BH15" i="1" l="1"/>
  <c r="J15" i="1"/>
  <c r="BI15" i="1" l="1"/>
  <c r="L15" i="1" s="1"/>
  <c r="M15" i="1" s="1"/>
  <c r="K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tc={23144A0F-CF60-4B2F-9BEF-5EA009CDE089}</author>
    <author>tc={D6CEF08E-BEB7-4BF3-AEB8-4AF40930021A}</author>
    <author>tc={86BE7A3A-09B5-4069-AFDE-19AD6B3EA5EA}</author>
    <author>tc={268F1659-C7AE-4170-811C-B7951A264370}</author>
    <author>tc={32043501-A0D5-4E0A-A6FA-D6D65854763C}</author>
    <author>tc={0DE89181-8FAF-4576-89B4-98F32CF270CB}</author>
    <author>tc={346FF8BA-D84A-42D0-A508-E30DDB6F0BCF}</author>
    <author>tc={B4B271DA-ACEB-420B-8B0D-57A9E92934DA}</author>
    <author>tc={F66CAD96-4899-4285-A1C3-4B3FA51AD715}</author>
    <author>tc={2FFDE71A-E848-44F7-82F0-3297321B34E4}</author>
    <author>tc={180F2160-DD98-42CD-860F-80D61E917340}</author>
    <author>tc={DBEE92DC-5CC8-4348-8C62-A634AB4E603C}</author>
    <author>tc={AAB1842E-294D-4FA1-AB91-80A8CE6D0910}</author>
    <author>tc={88BCBF14-458B-4DFC-8E4E-2562F65B0334}</author>
    <author>tc={CF5A41E5-9CB3-46F4-A1C4-51D897E11AD0}</author>
    <author>tc={AA15B056-0AB2-4FFA-A4D5-4C1AB037E780}</author>
    <author>tc={6BC5BAC0-A293-48BC-848B-FD2DC127A841}</author>
    <author>tc={93A314FB-4D5C-48DA-9135-36FE91610328}</author>
    <author>tc={A4BA9961-5340-4141-BDEE-0A7CDF246618}</author>
    <author>tc={48F1036D-D63B-45AA-8F78-10246AE9A206}</author>
    <author>tc={E0B0D6EF-97F6-489A-9A11-E59D8085EA47}</author>
    <author>tc={4A77BD4B-6CE3-49E0-8522-9508B9CA12DA}</author>
    <author>tc={AF8DC0C0-13E3-4041-97E1-C6361A7B15F9}</author>
    <author>tc={095F32D2-EE7F-484E-9657-FABFD09BB140}</author>
    <author>tc={A3E29FDE-0D9E-43E7-AF3F-B0FA1877EE3C}</author>
    <author>tc={4736F24D-87DA-443E-8AED-057D2063B350}</author>
    <author>tc={82CD1667-CEBF-4A0D-ABAE-966B3E2A55D5}</author>
    <author>tc={4DFF86A6-98C4-4E52-9DD9-F775A62E1237}</author>
    <author>tc={13397091-E484-4978-8DD2-A47CA324294E}</author>
    <author>tc={FDCBE163-C575-4D74-B295-4C06A4C4F285}</author>
    <author>tc={D7489828-E6A6-4877-A8F8-65691AFC8E48}</author>
    <author>tc={086802CB-08FD-4EC9-B5B5-4DF8EBC34604}</author>
    <author>tc={E79CB4C7-4727-4FA2-A6A9-81B011B00F4A}</author>
    <author>tc={A372D94D-BE3B-4D55-9CFE-106F92C8E64A}</author>
    <author>tc={5050D795-B479-460D-9150-06427DEF6C85}</author>
    <author>tc={DB85491C-AE27-4FBF-9A10-34116FFA1634}</author>
    <author>tc={EA994020-731E-4B77-BFB2-E01CD9440891}</author>
    <author>esmia</author>
    <author>tc={0CE54B48-7C9C-46AD-892B-D7CFB1BF9549}</author>
    <author>tc={B26E023E-7CAC-436E-8F2A-DFF4F56B9935}</author>
    <author>tc={DE125CC0-8225-4B2D-BE85-CC0017498F88}</author>
  </authors>
  <commentList>
    <comment ref="J5" authorId="0" shapeId="0" xr:uid="{23144A0F-CF60-4B2F-9BEF-5EA009CDE089}">
      <text>
        <t xml:space="preserve">[Threaded comment]
Your version of Excel allows you to read this threaded comment; however, any edits to it will get removed if the file is opened in a newer version of Excel. Learn more: https://go.microsoft.com/fwlink/?linkid=870924
Comment:
    Source appears to be: MIT 2009: LWR Base Case Assumptions (Update to 2003 Report). </t>
      </text>
    </comment>
    <comment ref="AB5" authorId="1" shapeId="0" xr:uid="{D6CEF08E-BEB7-4BF3-AEB8-4AF40930021A}">
      <text>
        <t xml:space="preserve">[Threaded comment]
Your version of Excel allows you to read this threaded comment; however, any edits to it will get removed if the file is opened in a newer version of Excel. Learn more: https://go.microsoft.com/fwlink/?linkid=870924
Comment:
    Cost conversion base year </t>
      </text>
    </comment>
    <comment ref="AC5" authorId="2" shapeId="0" xr:uid="{86BE7A3A-09B5-4069-AFDE-19AD6B3EA5EA}">
      <text>
        <t xml:space="preserve">[Threaded comment]
Your version of Excel allows you to read this threaded comment; however, any edits to it will get removed if the file is opened in a newer version of Excel. Learn more: https://go.microsoft.com/fwlink/?linkid=870924
Comment:
    Currency year for 2023 update </t>
      </text>
    </comment>
    <comment ref="BK5" authorId="3" shapeId="0" xr:uid="{268F1659-C7AE-4170-811C-B7951A264370}">
      <text>
        <t>[Threaded comment]
Your version of Excel allows you to read this threaded comment; however, any edits to it will get removed if the file is opened in a newer version of Excel. Learn more: https://go.microsoft.com/fwlink/?linkid=870924
Comment:
    GREET Emissions Factor - hard coded in source</t>
      </text>
    </comment>
    <comment ref="T6" authorId="4" shapeId="0" xr:uid="{32043501-A0D5-4E0A-A6FA-D6D65854763C}">
      <text>
        <t xml:space="preserve">[Threaded comment]
Your version of Excel allows you to read this threaded comment; however, any edits to it will get removed if the file is opened in a newer version of Excel. Learn more: https://go.microsoft.com/fwlink/?linkid=870924
Comment:
    Limits when new technologies are available, by restricting new capacity of outdated technologies. </t>
      </text>
    </comment>
    <comment ref="AC6" authorId="5" shapeId="0" xr:uid="{0DE89181-8FAF-4576-89B4-98F32CF270CB}">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6" authorId="6" shapeId="0" xr:uid="{346FF8BA-D84A-42D0-A508-E30DDB6F0BCF}">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7" authorId="7" shapeId="0" xr:uid="{B4B271DA-ACEB-420B-8B0D-57A9E92934DA}">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7" authorId="8" shapeId="0" xr:uid="{F66CAD96-4899-4285-A1C3-4B3FA51AD715}">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8" authorId="9" shapeId="0" xr:uid="{2FFDE71A-E848-44F7-82F0-3297321B34E4}">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8" authorId="10" shapeId="0" xr:uid="{180F2160-DD98-42CD-860F-80D61E917340}">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9" authorId="11" shapeId="0" xr:uid="{DBEE92DC-5CC8-4348-8C62-A634AB4E603C}">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9" authorId="12" shapeId="0" xr:uid="{AAB1842E-294D-4FA1-AB91-80A8CE6D0910}">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B10" authorId="13" shapeId="0" xr:uid="{88BCBF14-458B-4DFC-8E4E-2562F65B0334}">
      <text>
        <t xml:space="preserve">[Threaded comment]
Your version of Excel allows you to read this threaded comment; however, any edits to it will get removed if the file is opened in a newer version of Excel. Learn more: https://go.microsoft.com/fwlink/?linkid=870924
Comment:
    TODO: review process for adding new technologies. Is this right? </t>
      </text>
    </comment>
    <comment ref="AC10" authorId="14" shapeId="0" xr:uid="{CF5A41E5-9CB3-46F4-A1C4-51D897E11AD0}">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10" authorId="15" shapeId="0" xr:uid="{AA15B056-0AB2-4FFA-A4D5-4C1AB037E780}">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B11" authorId="16" shapeId="0" xr:uid="{6BC5BAC0-A293-48BC-848B-FD2DC127A841}">
      <text>
        <t xml:space="preserve">[Threaded comment]
Your version of Excel allows you to read this threaded comment; however, any edits to it will get removed if the file is opened in a newer version of Excel. Learn more: https://go.microsoft.com/fwlink/?linkid=870924
Comment:
    TODO: review process for adding new technologies. Is this right? </t>
      </text>
    </comment>
    <comment ref="AC11" authorId="17" shapeId="0" xr:uid="{93A314FB-4D5C-48DA-9135-36FE91610328}">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11" authorId="18" shapeId="0" xr:uid="{A4BA9961-5340-4141-BDEE-0A7CDF246618}">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12" authorId="19" shapeId="0" xr:uid="{48F1036D-D63B-45AA-8F78-10246AE9A206}">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12" authorId="20" shapeId="0" xr:uid="{E0B0D6EF-97F6-489A-9A11-E59D8085EA47}">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13" authorId="21" shapeId="0" xr:uid="{4A77BD4B-6CE3-49E0-8522-9508B9CA12DA}">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13" authorId="22" shapeId="0" xr:uid="{AF8DC0C0-13E3-4041-97E1-C6361A7B15F9}">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14" authorId="23" shapeId="0" xr:uid="{095F32D2-EE7F-484E-9657-FABFD09BB140}">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14" authorId="24" shapeId="0" xr:uid="{A3E29FDE-0D9E-43E7-AF3F-B0FA1877EE3C}">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15" authorId="25" shapeId="0" xr:uid="{4736F24D-87DA-443E-8AED-057D2063B350}">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15" authorId="26" shapeId="0" xr:uid="{82CD1667-CEBF-4A0D-ABAE-966B3E2A55D5}">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16" authorId="27" shapeId="0" xr:uid="{4DFF86A6-98C4-4E52-9DD9-F775A62E1237}">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16" authorId="28" shapeId="0" xr:uid="{13397091-E484-4978-8DD2-A47CA324294E}">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17" authorId="29" shapeId="0" xr:uid="{FDCBE163-C575-4D74-B295-4C06A4C4F285}">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17" authorId="30" shapeId="0" xr:uid="{D7489828-E6A6-4877-A8F8-65691AFC8E48}">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18" authorId="31" shapeId="0" xr:uid="{086802CB-08FD-4EC9-B5B5-4DF8EBC34604}">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18" authorId="32" shapeId="0" xr:uid="{E79CB4C7-4727-4FA2-A6A9-81B011B00F4A}">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C21" authorId="33" shapeId="0" xr:uid="{A372D94D-BE3B-4D55-9CFE-106F92C8E64A}">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E21" authorId="34" shapeId="0" xr:uid="{5050D795-B479-460D-9150-06427DEF6C85}">
      <text>
        <t xml:space="preserve">[Threaded comment]
Your version of Excel allows you to read this threaded comment; however, any edits to it will get removed if the file is opened in a newer version of Excel. Learn more: https://go.microsoft.com/fwlink/?linkid=870924
Comment:
    Cost of variable O&amp;M in mills kWh; convert to million PJ </t>
      </text>
    </comment>
    <comment ref="AS28" authorId="35" shapeId="0" xr:uid="{DB85491C-AE27-4FBF-9A10-34116FFA1634}">
      <text>
        <t>[Threaded comment]
Your version of Excel allows you to read this threaded comment; however, any edits to it will get removed if the file is opened in a newer version of Excel. Learn more: https://go.microsoft.com/fwlink/?linkid=870924
Comment:
    Not read in veda</t>
      </text>
    </comment>
    <comment ref="AL30" authorId="36" shapeId="0" xr:uid="{EA994020-731E-4B77-BFB2-E01CD9440891}">
      <text>
        <t xml:space="preserve">[Threaded comment]
Your version of Excel allows you to read this threaded comment; however, any edits to it will get removed if the file is opened in a newer version of Excel. Learn more: https://go.microsoft.com/fwlink/?linkid=870924
Comment:
    4-hour storage, out of 24 hour day </t>
      </text>
    </comment>
    <comment ref="AM31" authorId="37" shapeId="0" xr:uid="{1E49C8D2-3E5F-42F4-A4D0-A9199A126285}">
      <text>
        <r>
          <rPr>
            <b/>
            <sz val="9"/>
            <color indexed="81"/>
            <rFont val="Tahoma"/>
            <family val="2"/>
          </rPr>
          <t>esmia:</t>
        </r>
        <r>
          <rPr>
            <sz val="9"/>
            <color indexed="81"/>
            <rFont val="Tahoma"/>
            <family val="2"/>
          </rPr>
          <t xml:space="preserve">
20% Reserve margin</t>
        </r>
      </text>
    </comment>
    <comment ref="AP31" authorId="37" shapeId="0" xr:uid="{8CD3A90B-AC81-46DC-84C4-8A4273C03D63}">
      <text>
        <r>
          <rPr>
            <b/>
            <sz val="9"/>
            <color indexed="81"/>
            <rFont val="Tahoma"/>
            <family val="2"/>
          </rPr>
          <t>esmia:</t>
        </r>
        <r>
          <rPr>
            <sz val="9"/>
            <color indexed="81"/>
            <rFont val="Tahoma"/>
            <family val="2"/>
          </rPr>
          <t xml:space="preserve">
20% Reserve margin</t>
        </r>
      </text>
    </comment>
    <comment ref="AL32" authorId="38" shapeId="0" xr:uid="{0CE54B48-7C9C-46AD-892B-D7CFB1BF9549}">
      <text>
        <t xml:space="preserve">[Threaded comment]
Your version of Excel allows you to read this threaded comment; however, any edits to it will get removed if the file is opened in a newer version of Excel. Learn more: https://go.microsoft.com/fwlink/?linkid=870924
Comment:
    4-hour storage, out of 24 hour day </t>
      </text>
    </comment>
    <comment ref="AM33" authorId="37" shapeId="0" xr:uid="{033DC60C-78C1-4299-9737-6B5666592A10}">
      <text>
        <r>
          <rPr>
            <b/>
            <sz val="9"/>
            <color indexed="81"/>
            <rFont val="Tahoma"/>
            <family val="2"/>
          </rPr>
          <t>esmia:</t>
        </r>
        <r>
          <rPr>
            <sz val="9"/>
            <color indexed="81"/>
            <rFont val="Tahoma"/>
            <family val="2"/>
          </rPr>
          <t xml:space="preserve">
20% Reserve margin</t>
        </r>
      </text>
    </comment>
    <comment ref="AP33" authorId="37" shapeId="0" xr:uid="{3E050FFC-2D6B-4385-84E9-DBB690A521E0}">
      <text>
        <r>
          <rPr>
            <b/>
            <sz val="9"/>
            <color indexed="81"/>
            <rFont val="Tahoma"/>
            <family val="2"/>
          </rPr>
          <t>esmia:</t>
        </r>
        <r>
          <rPr>
            <sz val="9"/>
            <color indexed="81"/>
            <rFont val="Tahoma"/>
            <family val="2"/>
          </rPr>
          <t xml:space="preserve">
20% Reserve margin</t>
        </r>
      </text>
    </comment>
    <comment ref="AL34" authorId="39" shapeId="0" xr:uid="{B26E023E-7CAC-436E-8F2A-DFF4F56B9935}">
      <text>
        <t xml:space="preserve">[Threaded comment]
Your version of Excel allows you to read this threaded comment; however, any edits to it will get removed if the file is opened in a newer version of Excel. Learn more: https://go.microsoft.com/fwlink/?linkid=870924
Comment:
    4-hour storage, out of 24 hour day </t>
      </text>
    </comment>
    <comment ref="AM35" authorId="37" shapeId="0" xr:uid="{187944C3-CB1D-4D57-9E67-34B6C53521B6}">
      <text>
        <r>
          <rPr>
            <b/>
            <sz val="9"/>
            <color indexed="81"/>
            <rFont val="Tahoma"/>
            <family val="2"/>
          </rPr>
          <t>esmia:</t>
        </r>
        <r>
          <rPr>
            <sz val="9"/>
            <color indexed="81"/>
            <rFont val="Tahoma"/>
            <family val="2"/>
          </rPr>
          <t xml:space="preserve">
20% Reserve margin</t>
        </r>
      </text>
    </comment>
    <comment ref="AP35" authorId="37" shapeId="0" xr:uid="{DCB2A193-F80F-45C1-BFD0-8D7A59F82BA9}">
      <text>
        <r>
          <rPr>
            <b/>
            <sz val="9"/>
            <color indexed="81"/>
            <rFont val="Tahoma"/>
            <family val="2"/>
          </rPr>
          <t>esmia:</t>
        </r>
        <r>
          <rPr>
            <sz val="9"/>
            <color indexed="81"/>
            <rFont val="Tahoma"/>
            <family val="2"/>
          </rPr>
          <t xml:space="preserve">
20% Reserve margin</t>
        </r>
      </text>
    </comment>
    <comment ref="AL36" authorId="40" shapeId="0" xr:uid="{DE125CC0-8225-4B2D-BE85-CC0017498F88}">
      <text>
        <t xml:space="preserve">[Threaded comment]
Your version of Excel allows you to read this threaded comment; however, any edits to it will get removed if the file is opened in a newer version of Excel. Learn more: https://go.microsoft.com/fwlink/?linkid=870924
Comment:
    4-hour storage, out of 24 hour day </t>
      </text>
    </comment>
    <comment ref="AM37" authorId="37" shapeId="0" xr:uid="{797A676B-80FF-411E-8205-A3FCCB105FE8}">
      <text>
        <r>
          <rPr>
            <b/>
            <sz val="9"/>
            <color indexed="81"/>
            <rFont val="Tahoma"/>
            <family val="2"/>
          </rPr>
          <t>esmia:</t>
        </r>
        <r>
          <rPr>
            <sz val="9"/>
            <color indexed="81"/>
            <rFont val="Tahoma"/>
            <family val="2"/>
          </rPr>
          <t xml:space="preserve">
20% Reserve margin</t>
        </r>
      </text>
    </comment>
    <comment ref="AP37" authorId="37" shapeId="0" xr:uid="{3B4F96FF-85FD-47ED-8462-BEE94D718724}">
      <text>
        <r>
          <rPr>
            <b/>
            <sz val="9"/>
            <color indexed="81"/>
            <rFont val="Tahoma"/>
            <family val="2"/>
          </rPr>
          <t>esmia:</t>
        </r>
        <r>
          <rPr>
            <sz val="9"/>
            <color indexed="81"/>
            <rFont val="Tahoma"/>
            <family val="2"/>
          </rPr>
          <t xml:space="preserve">
20% Reserve margin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tc={47CC940D-4168-4053-997A-89138423EEF8}</author>
  </authors>
  <commentList>
    <comment ref="G11" authorId="0" shapeId="0" xr:uid="{47CC940D-4168-4053-997A-89138423EEF8}">
      <text>
        <t xml:space="preserve">[Threaded comment]
Your version of Excel allows you to read this threaded comment; however, any edits to it will get removed if the file is opened in a newer version of Excel. Learn more: https://go.microsoft.com/fwlink/?linkid=870924
Comment:
    Given difficulty of obtaining lease/permits for new OSW projects, start date set to 2035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tc={B0F51C26-1BFF-4ED0-968D-CF49F2C8BB31}</author>
  </authors>
  <commentList>
    <comment ref="AE6" authorId="0" shapeId="0" xr:uid="{B0F51C26-1BFF-4ED0-968D-CF49F2C8BB31}">
      <text>
        <t xml:space="preserve">[Threaded comment]
Your version of Excel allows you to read this threaded comment; however, any edits to it will get removed if the file is opened in a newer version of Excel. Learn more: https://go.microsoft.com/fwlink/?linkid=870924
Comment:
    Input not relevant for hydroelectricity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 Loughlin</author>
  </authors>
  <commentList>
    <comment ref="F5" authorId="0" shapeId="0" xr:uid="{D0493190-72B4-407C-8E7A-243E24319751}">
      <text>
        <r>
          <rPr>
            <b/>
            <sz val="9"/>
            <color indexed="81"/>
            <rFont val="Tahoma"/>
            <family val="2"/>
          </rPr>
          <t>Dan Loughlin:</t>
        </r>
        <r>
          <rPr>
            <sz val="9"/>
            <color indexed="81"/>
            <rFont val="Tahoma"/>
            <family val="2"/>
          </rPr>
          <t xml:space="preserve">
50-yr selected because it works best in prior calibration efforts. To do: test 30-yr</t>
        </r>
      </text>
    </comment>
    <comment ref="G10" authorId="0" shapeId="0" xr:uid="{29E5EFC9-458E-491B-B09E-779AABD22FA1}">
      <text>
        <r>
          <rPr>
            <b/>
            <sz val="9"/>
            <color indexed="81"/>
            <rFont val="Tahoma"/>
            <family val="2"/>
          </rPr>
          <t>Dan Loughlin:</t>
        </r>
        <r>
          <rPr>
            <sz val="9"/>
            <color indexed="81"/>
            <rFont val="Tahoma"/>
            <family val="2"/>
          </rPr>
          <t xml:space="preserve">
High enough to keep existing hydro around for entire modeling horizon. Eventually may want to consider lifetime extension model.</t>
        </r>
      </text>
    </comment>
    <comment ref="E30" authorId="0" shapeId="0" xr:uid="{68D66F4F-B1FE-435E-B7F0-531C8EF19AAC}">
      <text>
        <r>
          <rPr>
            <b/>
            <sz val="9"/>
            <color indexed="81"/>
            <rFont val="Tahoma"/>
            <family val="2"/>
          </rPr>
          <t>Dan Loughlin:</t>
        </r>
        <r>
          <rPr>
            <sz val="9"/>
            <color indexed="81"/>
            <rFont val="Tahoma"/>
            <family val="2"/>
          </rPr>
          <t xml:space="preserve">
Assumed value intended to capture the additional costs associated with construction of CCS retrofits at later stage in project.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tc={38D38A1F-F2A7-4586-800E-066C79345ACF}</author>
    <author>Loughlin, Dan</author>
    <author>Dan Loughlin</author>
  </authors>
  <commentList>
    <comment ref="A21" authorId="0" shapeId="0" xr:uid="{38D38A1F-F2A7-4586-800E-066C79345ACF}">
      <text>
        <t>[Threaded comment]
Your version of Excel allows you to read this threaded comment; however, any edits to it will get removed if the file is opened in a newer version of Excel. Learn more: https://go.microsoft.com/fwlink/?linkid=870924
Comment:
    The following is based upon http://www.eia.gov/forecasts/capitalcost/pdf/updated_capcost.pdf, which was updated in 2013</t>
      </text>
    </comment>
    <comment ref="E37" authorId="1" shapeId="0" xr:uid="{AE24C3C7-7303-4592-B516-7E5CD95558C0}">
      <text>
        <r>
          <rPr>
            <b/>
            <sz val="9"/>
            <color indexed="81"/>
            <rFont val="Tahoma"/>
            <family val="2"/>
          </rPr>
          <t>Loughlin, Dan:</t>
        </r>
        <r>
          <rPr>
            <sz val="9"/>
            <color indexed="81"/>
            <rFont val="Tahoma"/>
            <family val="2"/>
          </rPr>
          <t xml:space="preserve">
Value comes from Assumptions to the AEO2014 (Electricity Market Module documentation, page 106)</t>
        </r>
      </text>
    </comment>
    <comment ref="I42" authorId="2" shapeId="0" xr:uid="{666F09CC-6C84-4DC4-8458-8914CCE5D9DD}">
      <text>
        <r>
          <rPr>
            <b/>
            <sz val="9"/>
            <color indexed="81"/>
            <rFont val="Tahoma"/>
            <family val="2"/>
          </rPr>
          <t>Dan Loughlin:</t>
        </r>
        <r>
          <rPr>
            <sz val="9"/>
            <color indexed="81"/>
            <rFont val="Tahoma"/>
            <family val="2"/>
          </rPr>
          <t xml:space="preserve">
Includes retrofit cost multiplier from "Key Assumptions" page.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Pat DeLaquil</author>
  </authors>
  <commentList>
    <comment ref="N17" authorId="0" shapeId="0" xr:uid="{60E10AF8-42EC-4999-A87F-6ABCA45C0450}">
      <text>
        <r>
          <rPr>
            <b/>
            <sz val="8"/>
            <color indexed="81"/>
            <rFont val="Tahoma"/>
            <family val="2"/>
          </rPr>
          <t>Pat DeLaquil:</t>
        </r>
        <r>
          <rPr>
            <sz val="8"/>
            <color indexed="81"/>
            <rFont val="Tahoma"/>
            <family val="2"/>
          </rPr>
          <t xml:space="preserve">
The NEMS season slices are 4 months each, not 6,3 and 3 like most MARKAL season slices.  </t>
        </r>
      </text>
    </comment>
    <comment ref="N18" authorId="0" shapeId="0" xr:uid="{9561D12A-130A-4332-8598-0D2BC54C7CB5}">
      <text>
        <r>
          <rPr>
            <b/>
            <sz val="8"/>
            <color indexed="81"/>
            <rFont val="Tahoma"/>
            <family val="2"/>
          </rPr>
          <t>Pat DeLaquil:</t>
        </r>
        <r>
          <rPr>
            <sz val="8"/>
            <color indexed="81"/>
            <rFont val="Tahoma"/>
            <family val="2"/>
          </rPr>
          <t xml:space="preserve">
This  QRH matches the 4-month seasons in NEMS.
EPA will need to re-define QRH for the model in various regions.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<sst xmlns="http://schemas.openxmlformats.org/spreadsheetml/2006/main" count="16297" uniqueCount="2321">
  <si>
    <t>worksheet</t>
  </si>
  <si>
    <t>table</t>
  </si>
  <si>
    <t>data_use</t>
  </si>
  <si>
    <t>dependency_1</t>
  </si>
  <si>
    <t>dependency_2</t>
  </si>
  <si>
    <t>dependency_3</t>
  </si>
  <si>
    <t>dependency_4</t>
  </si>
  <si>
    <t>update_freq</t>
  </si>
  <si>
    <t>formula</t>
  </si>
  <si>
    <t>source</t>
  </si>
  <si>
    <t>description</t>
  </si>
  <si>
    <t>notes</t>
  </si>
  <si>
    <t>Commodities</t>
  </si>
  <si>
    <t>output</t>
  </si>
  <si>
    <t>NA</t>
  </si>
  <si>
    <t>-</t>
  </si>
  <si>
    <t xml:space="preserve">Definitions of commodities and technologies; no need to update </t>
  </si>
  <si>
    <t>Technologies</t>
  </si>
  <si>
    <t>TechData_NewCap</t>
  </si>
  <si>
    <t>Updated</t>
  </si>
  <si>
    <t xml:space="preserve">Technical specs (Best Buy) for new natural gas and nuclear technology. </t>
  </si>
  <si>
    <t xml:space="preserve">2013 Cap Raw Data </t>
  </si>
  <si>
    <t>input</t>
  </si>
  <si>
    <t>Historical Reference Data</t>
  </si>
  <si>
    <t>Assumptions to the Annual Energy Outlook 2014, Early Release (http://www.eia.gov/forecasts/aeo/assumptions/pdf/table8_2_2014er.pdf)</t>
  </si>
  <si>
    <t xml:space="preserve">2014 release of AEO costs of new tech installation </t>
  </si>
  <si>
    <t>LifetimeAssumptions</t>
  </si>
  <si>
    <t xml:space="preserve">Technical specs (Best Buy) for new battery energy storage. </t>
  </si>
  <si>
    <t>2023_Regional_Cost_Factor</t>
  </si>
  <si>
    <t>https://www.eia.gov/outlooks/aeo/assumptions/pdf/elec_cost_perf.pdf</t>
  </si>
  <si>
    <t xml:space="preserve">Regional cost shifters for base cost of new capital </t>
  </si>
  <si>
    <t>2023 Cap Raw Data</t>
  </si>
  <si>
    <t xml:space="preserve">Cost and performance of new technologies </t>
  </si>
  <si>
    <t>Update Needed</t>
  </si>
  <si>
    <t>Hard Coded</t>
  </si>
  <si>
    <t xml:space="preserve">Cost and performance of CHP technologies </t>
  </si>
  <si>
    <t>TechData_SolarWind</t>
  </si>
  <si>
    <t xml:space="preserve">Need to find source </t>
  </si>
  <si>
    <t xml:space="preserve">Mostly hard coded </t>
  </si>
  <si>
    <t xml:space="preserve">Cost inputs for solar technologies </t>
  </si>
  <si>
    <t>SOL</t>
  </si>
  <si>
    <t>SEIA, NY State solar targets</t>
  </si>
  <si>
    <t xml:space="preserve">Capacity for rest of state solar installation </t>
  </si>
  <si>
    <t>ATB</t>
  </si>
  <si>
    <t>Nrel_ReEDS</t>
  </si>
  <si>
    <t>AEO Cost Assumptions, multiplied by NREL ReEDS scaling factors to get cost at different technology steps, multiplied by ATB for how cost, FOM scale over time</t>
  </si>
  <si>
    <t xml:space="preserve">Costs, capacity, and activity factors for wind </t>
  </si>
  <si>
    <t>TechData_Hydro</t>
  </si>
  <si>
    <t>Cost and activity factor for existing conventional hydro</t>
  </si>
  <si>
    <t>Cost and activity factor for existing reversible hydro</t>
  </si>
  <si>
    <t>TechData_CoalResid</t>
  </si>
  <si>
    <t xml:space="preserve">No residual coal after 2020. No need to update. </t>
  </si>
  <si>
    <t>ATB_Capex</t>
  </si>
  <si>
    <t>https://atb.nrel.gov/electricity/2024/data</t>
  </si>
  <si>
    <t>NREL Annual Technology Baseline.</t>
  </si>
  <si>
    <t>ATB_CF</t>
  </si>
  <si>
    <t>ATB_FOM</t>
  </si>
  <si>
    <t>ATB_VOM</t>
  </si>
  <si>
    <t>_GLOBAL,R0,R1,R2,R3,R4,R5,R6</t>
  </si>
  <si>
    <t>~FI_Comm</t>
  </si>
  <si>
    <t>ELC_subres_commodities</t>
  </si>
  <si>
    <t>Region</t>
  </si>
  <si>
    <t>CommName</t>
  </si>
  <si>
    <t>CommDesc</t>
  </si>
  <si>
    <t>Unit</t>
  </si>
  <si>
    <t>Csets</t>
  </si>
  <si>
    <t>LimType</t>
  </si>
  <si>
    <t>CTSLvl</t>
  </si>
  <si>
    <t>PeakTS</t>
  </si>
  <si>
    <t>Ctype</t>
  </si>
  <si>
    <t>Comment</t>
  </si>
  <si>
    <t>R1,R2,R3,R4,R5,R6</t>
  </si>
  <si>
    <t>ELC</t>
  </si>
  <si>
    <t>Electricity</t>
  </si>
  <si>
    <t>PJ</t>
  </si>
  <si>
    <t>NRG</t>
  </si>
  <si>
    <t>R1</t>
  </si>
  <si>
    <t>RDMDELC</t>
  </si>
  <si>
    <t>Dummy ELC demand</t>
  </si>
  <si>
    <t>DEM</t>
  </si>
  <si>
    <t>R0,R1</t>
  </si>
  <si>
    <t>ELCNB</t>
  </si>
  <si>
    <t>Electricity from R0</t>
  </si>
  <si>
    <t>R2, R3, R4, R5, R6</t>
  </si>
  <si>
    <t>ELCR1</t>
  </si>
  <si>
    <t>Electricity from R1 (NE)</t>
  </si>
  <si>
    <t>R1,R3,R4,R5,R6</t>
  </si>
  <si>
    <t>ELCR2</t>
  </si>
  <si>
    <t>Electricity from R2 (BK)</t>
  </si>
  <si>
    <t>ELCR3</t>
  </si>
  <si>
    <t>Electricity from R3 (BX)</t>
  </si>
  <si>
    <t>ELCR4</t>
  </si>
  <si>
    <t>Electricity from R4 (MH)</t>
  </si>
  <si>
    <t>ELCR5</t>
  </si>
  <si>
    <t>Electricity from R5 (SI)</t>
  </si>
  <si>
    <t>ELCR6</t>
  </si>
  <si>
    <t>Electricity from R6 (QN)</t>
  </si>
  <si>
    <t>*Material Carriers to Nuclear Techs</t>
  </si>
  <si>
    <t>R0</t>
  </si>
  <si>
    <t>NURN</t>
  </si>
  <si>
    <t>Natural Uranium</t>
  </si>
  <si>
    <t>t</t>
  </si>
  <si>
    <t>MAT</t>
  </si>
  <si>
    <t>URD</t>
  </si>
  <si>
    <t>Depleted uranium generated during enrichment</t>
  </si>
  <si>
    <t>R0,R1,R2,R3,R4,R5,R6</t>
  </si>
  <si>
    <t>URNA</t>
  </si>
  <si>
    <t>Enriched Uranium (4.5%) for LWRs</t>
  </si>
  <si>
    <t>URNB</t>
  </si>
  <si>
    <t>Enriched Uranium (9%) for PBMRs</t>
  </si>
  <si>
    <t>URNC</t>
  </si>
  <si>
    <t>Enriched Uranium (19%) for GT-MHRs</t>
  </si>
  <si>
    <t>USPTA</t>
  </si>
  <si>
    <t>Spent U from LWRs</t>
  </si>
  <si>
    <t>USPTB</t>
  </si>
  <si>
    <t>Spent U from PBMRs</t>
  </si>
  <si>
    <t>USPTC</t>
  </si>
  <si>
    <t>Spent U from GT-MHRs</t>
  </si>
  <si>
    <t>*Coal Energy Carriers</t>
  </si>
  <si>
    <t>CSTMBH</t>
  </si>
  <si>
    <t>High Sulfur Bituminous to SOx Control</t>
  </si>
  <si>
    <t>CSTMBM</t>
  </si>
  <si>
    <t>Medium Sulfur Bituminous to SOx Control</t>
  </si>
  <si>
    <t>CSTMBL</t>
  </si>
  <si>
    <t>Low Sulfur Bituminous to SOx Control</t>
  </si>
  <si>
    <t>CSTMSM</t>
  </si>
  <si>
    <t>Medium Sulfur Sub-Bituminous to SOx Control</t>
  </si>
  <si>
    <t>CSTMSL</t>
  </si>
  <si>
    <t>Low Sulfur Sub-Bituminous to SOx Control</t>
  </si>
  <si>
    <t>CSTMLH</t>
  </si>
  <si>
    <t>High Sulfur Lignite to SOx Control</t>
  </si>
  <si>
    <t>CSTMLM</t>
  </si>
  <si>
    <t>Medium Sulfur Lignite to SOx Control</t>
  </si>
  <si>
    <t>CSTMBIT1O</t>
  </si>
  <si>
    <t>Bituminous to NOX Control Over 100MW</t>
  </si>
  <si>
    <t>CSTMSUB1O</t>
  </si>
  <si>
    <t>Sub-Bituminous to NOX Control Over 100MW</t>
  </si>
  <si>
    <t>CSTMLIG1O</t>
  </si>
  <si>
    <t>Lignite to NOX Control Over 100MW</t>
  </si>
  <si>
    <t>CSTMBIT1U</t>
  </si>
  <si>
    <t>Bituminous to NOX Control Under 100MW</t>
  </si>
  <si>
    <t>CSTMSUB1U</t>
  </si>
  <si>
    <t>Sub-Bituminous to NOX Control Under 100MW</t>
  </si>
  <si>
    <t>CSTMLIG1U</t>
  </si>
  <si>
    <t>Lignite to NOX Control Under 100MW</t>
  </si>
  <si>
    <t>CSTMBIT2O</t>
  </si>
  <si>
    <t>Bituminous from 1st to 2nd Nox Control Over 100MW</t>
  </si>
  <si>
    <t>CSTMSUB2O</t>
  </si>
  <si>
    <t>Sub-Bituminous from 1st to 2nd Nox Control Over 100MW</t>
  </si>
  <si>
    <t>CSTMLIG2O</t>
  </si>
  <si>
    <t>Lignite from 1st to 2nd Nox Control Over 100MW</t>
  </si>
  <si>
    <t>CSTMBIT2U</t>
  </si>
  <si>
    <t>Bituminous from 1st to 2nd Nox Control Under 100MW</t>
  </si>
  <si>
    <t>CSTMSUB2U</t>
  </si>
  <si>
    <t>Sub-Bituminous from 1st to 2nd Nox Control Under 100MW</t>
  </si>
  <si>
    <t>CSTMLIG2U</t>
  </si>
  <si>
    <t>Lignite from 1st to 2nd Nox Control Under 100MW</t>
  </si>
  <si>
    <t>CSTMBIT3O</t>
  </si>
  <si>
    <t>Bituminous to PM Control Over 100MW</t>
  </si>
  <si>
    <t>CSTMSUB3O</t>
  </si>
  <si>
    <t>Sub-Bituminous to PM Control Over 100MW</t>
  </si>
  <si>
    <t>CSTMLIG3O</t>
  </si>
  <si>
    <t>Lignite to PM Control Over 100 MW</t>
  </si>
  <si>
    <t>CSTMBIT3U</t>
  </si>
  <si>
    <t>Bituminous to PM Control Under 100MW</t>
  </si>
  <si>
    <t>CSTMSUB3U</t>
  </si>
  <si>
    <t>Sub-Bituminous to PM Control Under 100MW</t>
  </si>
  <si>
    <t>CSTMLIG3U</t>
  </si>
  <si>
    <t>Lignite to PM Control Under 100 MW</t>
  </si>
  <si>
    <t>CSTMBIT4O</t>
  </si>
  <si>
    <t>Bituminous from 1st to 2nd PM Control Over 100MW</t>
  </si>
  <si>
    <t>CSTMSUB4O</t>
  </si>
  <si>
    <t>Sub-Bituminous from 1st to 2nd PM Control Over 100MW</t>
  </si>
  <si>
    <t>CSTMLIG4O</t>
  </si>
  <si>
    <t>Lignite from 1st to 2nd PM Control Over 100MW</t>
  </si>
  <si>
    <t>CSTMBIT4U</t>
  </si>
  <si>
    <t>Bituminous from 1st to 2nd PM Control Under 100MW</t>
  </si>
  <si>
    <t>CSTMSUB4U</t>
  </si>
  <si>
    <t>Sub-Bituminous from 1st to 2nd PM Control Under 100MW</t>
  </si>
  <si>
    <t>CSTMLIG4U</t>
  </si>
  <si>
    <t>Lignite from 1st to 2nd PM Control Under 100MW</t>
  </si>
  <si>
    <t>CSTMBIT5O</t>
  </si>
  <si>
    <t>Bituminous After Emissions Accounting Over 100MW</t>
  </si>
  <si>
    <t>CSTMSUB5O</t>
  </si>
  <si>
    <t>Sub-Bituminous After Emissions Accounting Over 100MW</t>
  </si>
  <si>
    <t>CSTMLIG5O</t>
  </si>
  <si>
    <t>Lignite After Emissions Accounting Over 100MW</t>
  </si>
  <si>
    <t>CSTMBIT5U</t>
  </si>
  <si>
    <t>Bituminous After Emissions Accounting Under 100MW</t>
  </si>
  <si>
    <t>CSTMSUB5U</t>
  </si>
  <si>
    <t>Sub-Bituminous After Emissions Accounting Under 100MW</t>
  </si>
  <si>
    <t>CSTMLIG5U</t>
  </si>
  <si>
    <t>Lignite After Emissions Accounting Under 100MW</t>
  </si>
  <si>
    <t>COALBST</t>
  </si>
  <si>
    <t>Coal to Boiler Steam Turbine CHP, Coal, Existing</t>
  </si>
  <si>
    <t>COALSTMN</t>
  </si>
  <si>
    <t xml:space="preserve">Coal to NEW Conversion Plants </t>
  </si>
  <si>
    <t>COALIGCC</t>
  </si>
  <si>
    <t>Coal to IGCC</t>
  </si>
  <si>
    <t>*Non-Coal Energy Carriers to Conversion Techs</t>
  </si>
  <si>
    <t>ELCDSLEA</t>
  </si>
  <si>
    <t>Diesel</t>
  </si>
  <si>
    <t>ELCDSL</t>
  </si>
  <si>
    <t>Diesel to the electric system</t>
  </si>
  <si>
    <t>ELCDSLPN</t>
  </si>
  <si>
    <t>Diesel to the electric system PN</t>
  </si>
  <si>
    <t>ELCRFLEA</t>
  </si>
  <si>
    <t>Residual Fuel Oil LS</t>
  </si>
  <si>
    <t>ELCRFHEA</t>
  </si>
  <si>
    <t>Residual Fuel Oil HS</t>
  </si>
  <si>
    <t>ELCRFH</t>
  </si>
  <si>
    <t>Residual fuel oil, high sulfur, to electric system</t>
  </si>
  <si>
    <t>ELCRFL</t>
  </si>
  <si>
    <t>Residual fuel oil, low sulfur, to electric system</t>
  </si>
  <si>
    <t>ELCRFHPS</t>
  </si>
  <si>
    <t>Residual fuel oil, high sulfur, to electric system PS</t>
  </si>
  <si>
    <t>ELCRFLPS</t>
  </si>
  <si>
    <t>Residual fuel oil, low sulfur, to electric system PS</t>
  </si>
  <si>
    <t>ELCRFHPN</t>
  </si>
  <si>
    <t>Residual fuel oil, high sulfur, to electric system PN</t>
  </si>
  <si>
    <t>ELCRFLPN</t>
  </si>
  <si>
    <t>Residual fuel oil, low sulfur, to electric system PN</t>
  </si>
  <si>
    <t>ELCNGAEA</t>
  </si>
  <si>
    <t>Natural Gas to Combustion Turbines</t>
  </si>
  <si>
    <t>ELCNGCEA</t>
  </si>
  <si>
    <t>Natural Gas to Combined-Cycle</t>
  </si>
  <si>
    <t>ELCNGSEA</t>
  </si>
  <si>
    <t>Natural Gas(steam) to Electric Sector</t>
  </si>
  <si>
    <t>ELCNGA</t>
  </si>
  <si>
    <t>Natural gas to the electric system</t>
  </si>
  <si>
    <t>ELCHYD</t>
  </si>
  <si>
    <t>Water</t>
  </si>
  <si>
    <t>ELCWND</t>
  </si>
  <si>
    <t>Wind</t>
  </si>
  <si>
    <t>*R1,R2,R3,R4,R5,R6</t>
  </si>
  <si>
    <t>ELCGEO</t>
  </si>
  <si>
    <t>Geothermal</t>
  </si>
  <si>
    <t>ELCSOL</t>
  </si>
  <si>
    <t>Solar</t>
  </si>
  <si>
    <t>*Biomass energy carriers</t>
  </si>
  <si>
    <t>AGR</t>
  </si>
  <si>
    <t>Delivered ag residues - other (in Mt)</t>
  </si>
  <si>
    <t>Mt</t>
  </si>
  <si>
    <t>ECG</t>
  </si>
  <si>
    <t>Delivered energy crop - grasses (in Mt)</t>
  </si>
  <si>
    <t>ECW</t>
  </si>
  <si>
    <t>Delivered energy crop - woody (in Mt)</t>
  </si>
  <si>
    <t>FSR</t>
  </si>
  <si>
    <t>Delivered forest residues (in Mt)</t>
  </si>
  <si>
    <t>PMR</t>
  </si>
  <si>
    <t>Delivered primary mill residues (in Mt)</t>
  </si>
  <si>
    <t>UWW</t>
  </si>
  <si>
    <t>Delivered urban wood waste (in Mt)</t>
  </si>
  <si>
    <t>STV</t>
  </si>
  <si>
    <t>Delivered corn stover (in Mt)</t>
  </si>
  <si>
    <t>AGR_PJ</t>
  </si>
  <si>
    <t>Delivered ag residues - other (in PJ)</t>
  </si>
  <si>
    <t>ECG_PJ</t>
  </si>
  <si>
    <t>Delivered energy crop - grasses (in PJ)</t>
  </si>
  <si>
    <t>ECW_PJ</t>
  </si>
  <si>
    <t>Delivered energy crop - woody (in PJ)</t>
  </si>
  <si>
    <t>FSR_PJ</t>
  </si>
  <si>
    <t>Delivered forest residues (in PJ)</t>
  </si>
  <si>
    <t>PMR_PJ</t>
  </si>
  <si>
    <t>Delivered primary mill residues (in PJ)</t>
  </si>
  <si>
    <t>UWW_PJ</t>
  </si>
  <si>
    <t>Delivered urban wood waste (in PJ)</t>
  </si>
  <si>
    <t>STV_PJ</t>
  </si>
  <si>
    <t>Delivered corn stover (in PJ)</t>
  </si>
  <si>
    <t>ELCBIO</t>
  </si>
  <si>
    <t>Biomass all kinds</t>
  </si>
  <si>
    <t>ELCBIGCCEA</t>
  </si>
  <si>
    <t>Electric sector biomass (all kinds) to EBIOIGCC after emissions accounting</t>
  </si>
  <si>
    <t>ELCMSWEA</t>
  </si>
  <si>
    <t>Municipal Solid Waste</t>
  </si>
  <si>
    <t>ELCMSW</t>
  </si>
  <si>
    <t>MSW to the electric system</t>
  </si>
  <si>
    <t>ELCBSTMEA</t>
  </si>
  <si>
    <t xml:space="preserve">Electric sector biomass (all kinds) to steam combustion after CO2 and SO2 emissions accounting </t>
  </si>
  <si>
    <t>ELCBIOSTM</t>
  </si>
  <si>
    <t>Electric sector biomass to dedicated steam combustion</t>
  </si>
  <si>
    <t>LFGICEEA</t>
  </si>
  <si>
    <t>LFG to IC Engine after emissions</t>
  </si>
  <si>
    <t>LFGGTREA</t>
  </si>
  <si>
    <t>LFG to Gas Turbine after emissions</t>
  </si>
  <si>
    <t>LFGSTREA</t>
  </si>
  <si>
    <t>LFG to Steam Turbine after emissions</t>
  </si>
  <si>
    <t>LFGGCCEA</t>
  </si>
  <si>
    <t>LFG to Combined Cycle Gas Turbine</t>
  </si>
  <si>
    <t>LFG</t>
  </si>
  <si>
    <t>Landfill gas</t>
  </si>
  <si>
    <t>*Emissions Commodities</t>
  </si>
  <si>
    <t>CARBON</t>
  </si>
  <si>
    <t>Carbon Emissions</t>
  </si>
  <si>
    <t>ENV</t>
  </si>
  <si>
    <t>CO2BE</t>
  </si>
  <si>
    <t>Carbon dioxide- Electricity from biomass</t>
  </si>
  <si>
    <t>kt</t>
  </si>
  <si>
    <t>CO2E</t>
  </si>
  <si>
    <t>Electric Sector Carbon Emissions</t>
  </si>
  <si>
    <t>CO2EN</t>
  </si>
  <si>
    <t>Electric Sector CO2 from new coal</t>
  </si>
  <si>
    <t>CO2EO</t>
  </si>
  <si>
    <t>Electric Sector CO2 from old coal</t>
  </si>
  <si>
    <t>SO2E</t>
  </si>
  <si>
    <t>Electric Sector Sulfur Emissions</t>
  </si>
  <si>
    <t>SO2BE</t>
  </si>
  <si>
    <t>Sulfur dioxide - Electricity from biomass</t>
  </si>
  <si>
    <t>NOXE</t>
  </si>
  <si>
    <t>Electric Sector NOX Emissions</t>
  </si>
  <si>
    <t>NOXBE</t>
  </si>
  <si>
    <t>NOX Emissions - Electricity from biomass</t>
  </si>
  <si>
    <t>PM10E</t>
  </si>
  <si>
    <t>Electric Sector PM10 Emissions</t>
  </si>
  <si>
    <t>NH3</t>
  </si>
  <si>
    <t>Electric Sector NH3 Emissions</t>
  </si>
  <si>
    <t>CO2EF</t>
  </si>
  <si>
    <t>Electric Sector Fossil CO2</t>
  </si>
  <si>
    <t>UPCAR</t>
  </si>
  <si>
    <t>Upstream CO2 emissions for fossil fuels</t>
  </si>
  <si>
    <t>UPMET</t>
  </si>
  <si>
    <t>Upstream CH4 emissions for fossil fuels</t>
  </si>
  <si>
    <t>CO2CPP</t>
  </si>
  <si>
    <t>Electric Sector CO2 on CPP techs</t>
  </si>
  <si>
    <t>ELCCOABH</t>
  </si>
  <si>
    <t>Coal to Electric Sector</t>
  </si>
  <si>
    <t>ELCCOABL</t>
  </si>
  <si>
    <t>ELCCOABM</t>
  </si>
  <si>
    <t>ELCCOALH</t>
  </si>
  <si>
    <t>ELCCOALM</t>
  </si>
  <si>
    <t>ELCCOASL</t>
  </si>
  <si>
    <t>ELCCOASM</t>
  </si>
  <si>
    <t>*CCS: Coal Energy Carriers</t>
  </si>
  <si>
    <t>CSTMBHCCO</t>
  </si>
  <si>
    <t>High Sulfur Bituminous Coal Between SO2 and CO2 Controls or Pass Through Over 100MW</t>
  </si>
  <si>
    <t>CSTMBLCCO</t>
  </si>
  <si>
    <t>Low Sulfur Bituminous Coal Between SO2 and CO2 Controls or Pass Through Over 100MW</t>
  </si>
  <si>
    <t>CSTMBMCCO</t>
  </si>
  <si>
    <t>Medium Sulfur Bituminous Coal Between SO2 and CO2 Controls or Pass Through Over 100MW</t>
  </si>
  <si>
    <t>CSTMLHCCO</t>
  </si>
  <si>
    <t>High Sulfur lignite Coal Between SO2 and CO2 Controls or Pass Through Over 100MW</t>
  </si>
  <si>
    <t>CSTMLMCCO</t>
  </si>
  <si>
    <t>Medium Sulfur lignite Coal Between SO2 and CO2 Controls or Pass Through Over 100MW</t>
  </si>
  <si>
    <t>CSTMSLCCO</t>
  </si>
  <si>
    <t>Low Sulfur Subbituminous Coal Between SO2 and CO2 Controls or Pass Through Over 100MW</t>
  </si>
  <si>
    <t>CSTMSMCCO</t>
  </si>
  <si>
    <t>Medium Sulfur Subbituminous Coal Between SO2 and CO2 Controls or Pass Through Over 100MW</t>
  </si>
  <si>
    <t>CSTMBHCCU</t>
  </si>
  <si>
    <t>High Sulfur Bituminous Coal Between SO2 and CO2 Controls or Pass Through Under 100MW</t>
  </si>
  <si>
    <t>CSTMBLCCU</t>
  </si>
  <si>
    <t>Low Sulfur Bituminous Coal Between SO2 and CO2 Controls or Pass Through Under 100MW</t>
  </si>
  <si>
    <t>CSTMBMCCU</t>
  </si>
  <si>
    <t>Medium Sulfur Bituminous Coal Between SO2 and CO2 Controls or Pass Through Under 100MW</t>
  </si>
  <si>
    <t>CSTMLHCCU</t>
  </si>
  <si>
    <t>High Sulfur lignite Coal Between SO2 and CO2 Controls or Pass Through Under 100MW</t>
  </si>
  <si>
    <t>CSTMLMCCU</t>
  </si>
  <si>
    <t>Medium Sulfur lignite Coal Between SO2 and CO2 Controls or Pass Through Under 100MW</t>
  </si>
  <si>
    <t>CSTMSLCCU</t>
  </si>
  <si>
    <t>Low Sulfur Subbituminous Coal Between SO2 and CO2 Controls or Pass Through Under 100MW</t>
  </si>
  <si>
    <t>CSTMSMCCU</t>
  </si>
  <si>
    <t>Medium Sulfur Subbituminous Coal Between SO2 and CO2 Controls or Pass Through Under 100MW</t>
  </si>
  <si>
    <t>*R1</t>
  </si>
  <si>
    <t>COALSTMCC</t>
  </si>
  <si>
    <t>Coal to Coal Fired Power Post CO2 Capture Retrofit or PT</t>
  </si>
  <si>
    <t>COALIGCCCC</t>
  </si>
  <si>
    <t>Coal to IGCC after CO2 capture retrofit or PT</t>
  </si>
  <si>
    <t>*CCS: Non-Coal Energy Carriers to Conversion Techs</t>
  </si>
  <si>
    <t>ELCNGACC</t>
  </si>
  <si>
    <t>Nat gas to non-stm elec after CO2 capture retrofit</t>
  </si>
  <si>
    <t>*CCS: Emissions Commodities</t>
  </si>
  <si>
    <t>CO2S</t>
  </si>
  <si>
    <t>CO2 Sequestered</t>
  </si>
  <si>
    <t>* Renewables</t>
  </si>
  <si>
    <t>WND</t>
  </si>
  <si>
    <t>*INFES Backstop</t>
  </si>
  <si>
    <t>ZZDMY</t>
  </si>
  <si>
    <t>Dummy commodity for the ZZ-backstop no-INFES processes</t>
  </si>
  <si>
    <t>*Water Commodities</t>
  </si>
  <si>
    <t>H2OC</t>
  </si>
  <si>
    <t>Water Consumed</t>
  </si>
  <si>
    <t>uvol</t>
  </si>
  <si>
    <t>H2OW</t>
  </si>
  <si>
    <t>Water Withdrawn</t>
  </si>
  <si>
    <t>H2OCE</t>
  </si>
  <si>
    <t>Water Consumed - Electric Sector</t>
  </si>
  <si>
    <t>H2OWE</t>
  </si>
  <si>
    <t>Water Withdrawn - Electric Sector</t>
  </si>
  <si>
    <t>*Resid Coal Retirement Dummy</t>
  </si>
  <si>
    <t>ZZDMYCOAL</t>
  </si>
  <si>
    <t>Resid coal retirement dummy</t>
  </si>
  <si>
    <t>*Resid Nuclear Retirement Dummy</t>
  </si>
  <si>
    <t>ZZDMYNUK</t>
  </si>
  <si>
    <t>Resid nuclear retirement dummy</t>
  </si>
  <si>
    <t>*Resid Hydro Retirement Dummy</t>
  </si>
  <si>
    <t>ZZDMYHC</t>
  </si>
  <si>
    <t>Hydro conv pp retirement dummy</t>
  </si>
  <si>
    <t>ZZDMYHR</t>
  </si>
  <si>
    <t>Hydro rev pp retirement dummy</t>
  </si>
  <si>
    <t>*NGA Retirement Dummy</t>
  </si>
  <si>
    <t>ZZDMYNG1</t>
  </si>
  <si>
    <t>Hydro NGAACC retirement dummy</t>
  </si>
  <si>
    <t>*WND Retirement Dummy</t>
  </si>
  <si>
    <t>ZZDMYW1</t>
  </si>
  <si>
    <t>Onshore wind retirement dummy</t>
  </si>
  <si>
    <t>ZZDMYW2</t>
  </si>
  <si>
    <t>Offshore wind retirement dummy</t>
  </si>
  <si>
    <t>*SOL Retirement Dummy</t>
  </si>
  <si>
    <t>ZZDMYPV</t>
  </si>
  <si>
    <t>Solar PV retirement dummy</t>
  </si>
  <si>
    <t>*CHP Retirement Dummy</t>
  </si>
  <si>
    <t>ZZDMYPC1</t>
  </si>
  <si>
    <t>CHP Oil retirement dummy</t>
  </si>
  <si>
    <t>CO2</t>
  </si>
  <si>
    <t>Carbon dioxide emissions</t>
  </si>
  <si>
    <t>SO2</t>
  </si>
  <si>
    <t>Sulfur dioxide emissions</t>
  </si>
  <si>
    <t>NOX</t>
  </si>
  <si>
    <t>NOX Emissions</t>
  </si>
  <si>
    <t>PM10</t>
  </si>
  <si>
    <t>PM10 Emissions</t>
  </si>
  <si>
    <t>PM25</t>
  </si>
  <si>
    <t>Electric Sector PM2.5 Emissions</t>
  </si>
  <si>
    <t>VOC</t>
  </si>
  <si>
    <t>Electric Sector VOC Emissions</t>
  </si>
  <si>
    <t>CO</t>
  </si>
  <si>
    <t>Electric Sector CO Emissions</t>
  </si>
  <si>
    <t>CH4</t>
  </si>
  <si>
    <t>Electric Sector CH4 Emissions</t>
  </si>
  <si>
    <t>N2O</t>
  </si>
  <si>
    <t>Electric Sector N2O Emissions</t>
  </si>
  <si>
    <t>BC</t>
  </si>
  <si>
    <t>Electric Sector BC Emissions</t>
  </si>
  <si>
    <t>OC</t>
  </si>
  <si>
    <t>Electric Sector OC Emissions</t>
  </si>
  <si>
    <t>~FI_Process</t>
  </si>
  <si>
    <t>ELC_subres_technologies</t>
  </si>
  <si>
    <t>TechName</t>
  </si>
  <si>
    <t>TechDesc</t>
  </si>
  <si>
    <t>Tact</t>
  </si>
  <si>
    <t>Tcap</t>
  </si>
  <si>
    <t>Sets</t>
  </si>
  <si>
    <t>Tslvl</t>
  </si>
  <si>
    <t>PrimaryCG</t>
  </si>
  <si>
    <t>Vintage</t>
  </si>
  <si>
    <t>*Electricity production New capacity</t>
  </si>
  <si>
    <t>ENGACC11</t>
  </si>
  <si>
    <t>Natural Gas - Combined-Cycle (Turbine)</t>
  </si>
  <si>
    <t>GW</t>
  </si>
  <si>
    <t>ELE</t>
  </si>
  <si>
    <t>DAYNITE</t>
  </si>
  <si>
    <t>ENGACC15</t>
  </si>
  <si>
    <t>ENGACC20</t>
  </si>
  <si>
    <t>ENGAACC20</t>
  </si>
  <si>
    <t>Natural Gas - Advanced Combined-Cycle (Turbine)</t>
  </si>
  <si>
    <t>ENGACC25</t>
  </si>
  <si>
    <t>ENGACT11</t>
  </si>
  <si>
    <t>Natural Gas - Combustion Turbine</t>
  </si>
  <si>
    <t>ENGACT15</t>
  </si>
  <si>
    <t>ENGACT20</t>
  </si>
  <si>
    <t>ENGAACT20</t>
  </si>
  <si>
    <t>Natural Gas - Advanced Combustion Turbine</t>
  </si>
  <si>
    <t>EURNALWR28</t>
  </si>
  <si>
    <t>Nuclear LWRs in 2028</t>
  </si>
  <si>
    <t>SEASON</t>
  </si>
  <si>
    <t>NRGO</t>
  </si>
  <si>
    <t>EURNASMR</t>
  </si>
  <si>
    <t xml:space="preserve">Advanced nuclear technology: Small Modular Reactors </t>
  </si>
  <si>
    <t>*CHP production New capacity</t>
  </si>
  <si>
    <t>ECHPBIO11</t>
  </si>
  <si>
    <t>Electric sector BIO CHP</t>
  </si>
  <si>
    <t>HPL</t>
  </si>
  <si>
    <t>ECHPCOAL11</t>
  </si>
  <si>
    <t>Electric sector Coal CHP</t>
  </si>
  <si>
    <t>ECHPNGA11</t>
  </si>
  <si>
    <t>Electric sector NGA CHP</t>
  </si>
  <si>
    <t>ECHPOIL11</t>
  </si>
  <si>
    <t>Electric sector Oil CHP</t>
  </si>
  <si>
    <t>*Hydro production New capacity</t>
  </si>
  <si>
    <t>EHYDCONR11</t>
  </si>
  <si>
    <t>Hydroelectric, Conventional</t>
  </si>
  <si>
    <t>SHYDREVRIN11</t>
  </si>
  <si>
    <t>Hydroelectric, Reversible</t>
  </si>
  <si>
    <t>STG</t>
  </si>
  <si>
    <t>EHYDREVROUT11</t>
  </si>
  <si>
    <t>*Utility-Scale Battery</t>
  </si>
  <si>
    <t>SSTOBATUTI-IN</t>
  </si>
  <si>
    <t>Electricity Battery Storage 4-hour Utility Scale</t>
  </si>
  <si>
    <t>ESTOBATUTI-OUT</t>
  </si>
  <si>
    <t>*Solar wind electricity production New capacity</t>
  </si>
  <si>
    <t>* Solar PV Technologies</t>
  </si>
  <si>
    <t>* Wind Technologies</t>
  </si>
  <si>
    <t>~FI_T</t>
  </si>
  <si>
    <t>*TechDesc</t>
  </si>
  <si>
    <t>*Units</t>
  </si>
  <si>
    <t>CommIN</t>
  </si>
  <si>
    <t>CommOUT</t>
  </si>
  <si>
    <t>NCAP_START</t>
  </si>
  <si>
    <t>PRC_CAPACT</t>
  </si>
  <si>
    <t>EFF~2010</t>
  </si>
  <si>
    <t>EFF~2015</t>
  </si>
  <si>
    <t>EFF~2020</t>
  </si>
  <si>
    <t>EFF~2025</t>
  </si>
  <si>
    <t>EFF~2055</t>
  </si>
  <si>
    <t>Output</t>
  </si>
  <si>
    <t>*lookup</t>
  </si>
  <si>
    <t>NCAP_TLIFE</t>
  </si>
  <si>
    <t>Peak</t>
  </si>
  <si>
    <t>NCAP_DRATE</t>
  </si>
  <si>
    <t>NCAP_AFA</t>
  </si>
  <si>
    <t>NCAP_BND~UP~2015</t>
  </si>
  <si>
    <t>NCAP_BND~UP~2020</t>
  </si>
  <si>
    <t>NCAP_BND~UP~2025</t>
  </si>
  <si>
    <t>NCAP_BND~UP~2030</t>
  </si>
  <si>
    <t>NCAP_BND~UP~2035</t>
  </si>
  <si>
    <t>NCAP_BND~UP~2055</t>
  </si>
  <si>
    <t>*Regional Cost Lookup</t>
  </si>
  <si>
    <t>NCAP_FOM~2010</t>
  </si>
  <si>
    <t>ACT_COST~2010</t>
  </si>
  <si>
    <t>NCAP_FOM~2020</t>
  </si>
  <si>
    <t>ACT_COST~2020</t>
  </si>
  <si>
    <t>NCAP_COST~2010</t>
  </si>
  <si>
    <t>NCAP_COST~2015</t>
  </si>
  <si>
    <t>NCAP_COST~2020</t>
  </si>
  <si>
    <t>*LOOKUP: ATB Tech</t>
  </si>
  <si>
    <t>*LOOKUP: ATB TechDetail</t>
  </si>
  <si>
    <t>*ATB CAPEX Base</t>
  </si>
  <si>
    <t>NCAP_COST~2025</t>
  </si>
  <si>
    <t>NCAP_COST~2030</t>
  </si>
  <si>
    <t>NCAP_COST~2035</t>
  </si>
  <si>
    <t>NCAP_COST~2040</t>
  </si>
  <si>
    <t>NCAP_COST~2045</t>
  </si>
  <si>
    <t>NCAP_COST~2050</t>
  </si>
  <si>
    <t>*ATB FOM Base</t>
  </si>
  <si>
    <t>NCAP_FOM~2025</t>
  </si>
  <si>
    <t>NCAP_FOM~2030</t>
  </si>
  <si>
    <t>NCAP_FOM~2035</t>
  </si>
  <si>
    <t>NCAP_FOM~2040</t>
  </si>
  <si>
    <t>NCAP_FOM~2045</t>
  </si>
  <si>
    <t>NCAP_FOM~2050</t>
  </si>
  <si>
    <t>*ATB VOM Base</t>
  </si>
  <si>
    <t>ACT_COST~2025</t>
  </si>
  <si>
    <t>ACT_COST~2030</t>
  </si>
  <si>
    <t>ACT_COST~2035</t>
  </si>
  <si>
    <t>ACT_COST~2040</t>
  </si>
  <si>
    <t>ACT_COST~2045</t>
  </si>
  <si>
    <t>ACT_COST~2050</t>
  </si>
  <si>
    <t>Input~2010</t>
  </si>
  <si>
    <t>Input~2015</t>
  </si>
  <si>
    <t>Input~2020</t>
  </si>
  <si>
    <t>Input~2055</t>
  </si>
  <si>
    <t>ENV_ACT~CO2CPP~2010</t>
  </si>
  <si>
    <t>ENV_ACT~CO2CPP~2015</t>
  </si>
  <si>
    <t>ENV_ACT~CO2CPP~2020</t>
  </si>
  <si>
    <t>ENV_ACT~CO2CPP~2025</t>
  </si>
  <si>
    <t>ENV_ACT~CO2CPP~2055</t>
  </si>
  <si>
    <t>*</t>
  </si>
  <si>
    <t>new_capacity_conventional_technologies</t>
  </si>
  <si>
    <t>Burnup (MWD/kgHM):</t>
  </si>
  <si>
    <t>Lookup from LifetimeAssumptions</t>
  </si>
  <si>
    <t xml:space="preserve">Lookup from New Cap Raw Data </t>
  </si>
  <si>
    <t>PJ, GW</t>
  </si>
  <si>
    <t>R2,R3,R4,R5,R6</t>
  </si>
  <si>
    <t>*ENGACC25</t>
  </si>
  <si>
    <t>ENGACT25</t>
  </si>
  <si>
    <t>*ENGACT25</t>
  </si>
  <si>
    <t xml:space="preserve">Nuclear LWRs online in 2028. Assuming 6-year delay </t>
  </si>
  <si>
    <t/>
  </si>
  <si>
    <t>EFF</t>
  </si>
  <si>
    <t>STG_EFF</t>
  </si>
  <si>
    <t>ACT_COST</t>
  </si>
  <si>
    <t>NCAP_AF</t>
  </si>
  <si>
    <t>NCAP_AFC</t>
  </si>
  <si>
    <t>NCAP_AF~WP</t>
  </si>
  <si>
    <t>NCAP_AF~SP</t>
  </si>
  <si>
    <t>NCAP_AF~IP</t>
  </si>
  <si>
    <t>NCAP_AF~WN</t>
  </si>
  <si>
    <t>NCAP_AF~SN</t>
  </si>
  <si>
    <t>NCAP_AF~IN</t>
  </si>
  <si>
    <t>Output_ELC</t>
  </si>
  <si>
    <t>new_battery_storage</t>
  </si>
  <si>
    <t>Lookup from 2023 Cap Raw Data</t>
  </si>
  <si>
    <t>PJ,GW</t>
  </si>
  <si>
    <t>BATELC</t>
  </si>
  <si>
    <t>SSTOBAT10HRUTI-IN</t>
  </si>
  <si>
    <t>Electricity Battery Storage 10-hour Utility Scale</t>
  </si>
  <si>
    <t>ESTOBAT10HRUTI-OUT</t>
  </si>
  <si>
    <t>Share~LO</t>
  </si>
  <si>
    <t>Share~UP</t>
  </si>
  <si>
    <t>ACT_EFF</t>
  </si>
  <si>
    <t>NCAP_COST</t>
  </si>
  <si>
    <t>NCAP_FOM</t>
  </si>
  <si>
    <t>*CHP Technologies</t>
  </si>
  <si>
    <t>new_cap_CHP</t>
  </si>
  <si>
    <t>COMSTBUC</t>
  </si>
  <si>
    <t>RESSTBUC</t>
  </si>
  <si>
    <t>COMSTNUC</t>
  </si>
  <si>
    <t>RESSTNUC</t>
  </si>
  <si>
    <t>*LOOKUP</t>
  </si>
  <si>
    <t>*Base Cost 2012 - not class adjusted</t>
  </si>
  <si>
    <t>*2023 Cost LOOKUP</t>
  </si>
  <si>
    <t>*Base Cost 2023 - not class adjusted</t>
  </si>
  <si>
    <t>*Supply Curve Label</t>
  </si>
  <si>
    <t>*Supply Curve Reference Price</t>
  </si>
  <si>
    <t>*Supply Curve Class Cost Adjustor</t>
  </si>
  <si>
    <t>NCAP_COST~2022</t>
  </si>
  <si>
    <t>NCAP_COST~2055</t>
  </si>
  <si>
    <t>NCAP_FOM~2005</t>
  </si>
  <si>
    <t>NCAP_FOM~2015</t>
  </si>
  <si>
    <t>*ATB_CapacityFactor</t>
  </si>
  <si>
    <t>NCAP_AF~IDAM</t>
  </si>
  <si>
    <t>NCAP_AF~IDPM</t>
  </si>
  <si>
    <t>*NCAP_AF~IP_Calculation</t>
  </si>
  <si>
    <t>NCAP_AF~SDAM</t>
  </si>
  <si>
    <t>NCAP_AF~SDPM</t>
  </si>
  <si>
    <t>*NCAP_AF~SP_Calc</t>
  </si>
  <si>
    <t>NCAP_AF~WDAM</t>
  </si>
  <si>
    <t>NCAP_AF~WDPM</t>
  </si>
  <si>
    <t>*NCAP_AF~WP_Calculation</t>
  </si>
  <si>
    <t>CAP_BND~UP</t>
  </si>
  <si>
    <t>solarPV_technologies</t>
  </si>
  <si>
    <t>*lifetime_lookup</t>
  </si>
  <si>
    <t>ESOLPVCLOWCOST</t>
  </si>
  <si>
    <t>Solar PV Centralized Generation, Low Cost</t>
  </si>
  <si>
    <t>ESOLPVCHIGHCOST</t>
  </si>
  <si>
    <t xml:space="preserve">Solar PV Centralized Generation, High Cost </t>
  </si>
  <si>
    <t>wind_technologies</t>
  </si>
  <si>
    <t>timeslice_lookup</t>
  </si>
  <si>
    <t>EWNDONLOWCOST</t>
  </si>
  <si>
    <t>Onshore Wind, Low Cost</t>
  </si>
  <si>
    <t>EWNDONHIGHCOST</t>
  </si>
  <si>
    <t>Onshore Wind, High Cost</t>
  </si>
  <si>
    <t>EWNDOFFIX</t>
  </si>
  <si>
    <t>Offshore Wind Fixed Bottom</t>
  </si>
  <si>
    <t>R2</t>
  </si>
  <si>
    <t>EWNDOFFLT</t>
  </si>
  <si>
    <t>Offshore Wind Floating</t>
  </si>
  <si>
    <t>Placeholder</t>
  </si>
  <si>
    <t>NCAP_BND~UP</t>
  </si>
  <si>
    <t>ACT_BND~UP~2010</t>
  </si>
  <si>
    <t>ACT_BND~UP~2015</t>
  </si>
  <si>
    <t>ACT_BND~UP~2020</t>
  </si>
  <si>
    <t>ACT_BND~UP~2025</t>
  </si>
  <si>
    <t>ACT_BND~UP~2030</t>
  </si>
  <si>
    <t>ACT_BND~UP~2035</t>
  </si>
  <si>
    <t>ACT_BND~UP~2040</t>
  </si>
  <si>
    <t>ACT_BND~UP~2045</t>
  </si>
  <si>
    <t>ACT_BND~UP~2050</t>
  </si>
  <si>
    <t>ACT_BND~UP~2055</t>
  </si>
  <si>
    <t>Input</t>
  </si>
  <si>
    <t>Output_elc</t>
  </si>
  <si>
    <t>*R1 Conversion Tech RESIDS</t>
  </si>
  <si>
    <t>conventional_hydro</t>
  </si>
  <si>
    <t>reversible_hydro</t>
  </si>
  <si>
    <t>HYDELC</t>
  </si>
  <si>
    <t>lifetime_assumptions</t>
  </si>
  <si>
    <t>Hurdle rate modifiers</t>
  </si>
  <si>
    <t>For resids and new</t>
  </si>
  <si>
    <t>New</t>
  </si>
  <si>
    <t xml:space="preserve">Existing </t>
  </si>
  <si>
    <t>CO2 capture</t>
  </si>
  <si>
    <t>Start year</t>
  </si>
  <si>
    <t>Application of hurdle rate increments?</t>
  </si>
  <si>
    <t>technology</t>
  </si>
  <si>
    <t>AF</t>
  </si>
  <si>
    <t>Peak (con)</t>
  </si>
  <si>
    <t>Discrate</t>
  </si>
  <si>
    <t>Lifetime</t>
  </si>
  <si>
    <t>Lifetime2</t>
  </si>
  <si>
    <t>Rate</t>
  </si>
  <si>
    <t>High CO2?</t>
  </si>
  <si>
    <t>New/unproven?</t>
  </si>
  <si>
    <t>Combo new/unproven?</t>
  </si>
  <si>
    <t>Infrastructure?</t>
  </si>
  <si>
    <t>Public/private hesitency?</t>
  </si>
  <si>
    <t>Base value</t>
  </si>
  <si>
    <t>Coal boilers</t>
  </si>
  <si>
    <t xml:space="preserve">     Coal life extension</t>
  </si>
  <si>
    <t>50 yr lifetime selected via calibration</t>
  </si>
  <si>
    <t>Incremental</t>
  </si>
  <si>
    <t>Gas boilers</t>
  </si>
  <si>
    <t>Factors impacting hurdle rate</t>
  </si>
  <si>
    <t>Penalty</t>
  </si>
  <si>
    <t>Existing Gas &amp; oil turbines</t>
  </si>
  <si>
    <t>High CO2 emissions</t>
  </si>
  <si>
    <t>New Gas &amp; oil turbines</t>
  </si>
  <si>
    <t>New or unproven technology</t>
  </si>
  <si>
    <t>Combo of new/unproven techs</t>
  </si>
  <si>
    <t>Hydro</t>
  </si>
  <si>
    <t>Additional infrastructure needed</t>
  </si>
  <si>
    <t>Reversible hydro</t>
  </si>
  <si>
    <t>Public/private hesitency associated with risk</t>
  </si>
  <si>
    <t>Battery Storage</t>
  </si>
  <si>
    <t>Nuclear</t>
  </si>
  <si>
    <t xml:space="preserve">    40-yr Nuclear life extension</t>
  </si>
  <si>
    <t>Solar PV</t>
  </si>
  <si>
    <t>Solar Thermal</t>
  </si>
  <si>
    <t>MSW &amp; LFG</t>
  </si>
  <si>
    <t>CHP</t>
  </si>
  <si>
    <t>Coal CCS retrofit</t>
  </si>
  <si>
    <t>Gas CCS retrofit</t>
  </si>
  <si>
    <t>IGCC-CCS</t>
  </si>
  <si>
    <t>NGA-CCS</t>
  </si>
  <si>
    <t>IGCC</t>
  </si>
  <si>
    <t>BioIGCC</t>
  </si>
  <si>
    <t>BioIGCC-CCS</t>
  </si>
  <si>
    <t>Other coal egu retrofits</t>
  </si>
  <si>
    <t>Fraction</t>
  </si>
  <si>
    <t>Orig value</t>
  </si>
  <si>
    <t>Cost multiplier for retrofit CCS</t>
  </si>
  <si>
    <t>CapEx_Lookup</t>
  </si>
  <si>
    <t>Label</t>
  </si>
  <si>
    <t>Technology_Lookup</t>
  </si>
  <si>
    <t>Zone</t>
  </si>
  <si>
    <t>CapEx Bin</t>
  </si>
  <si>
    <t>Total Capacity (MW)</t>
  </si>
  <si>
    <t>Average Capex ($2024 / kW)</t>
  </si>
  <si>
    <t>OpEx (thousand $ 2024 / kW - year)</t>
  </si>
  <si>
    <t>Average Capacity Factor</t>
  </si>
  <si>
    <t>CapEx Escalator_2024</t>
  </si>
  <si>
    <t>CapEx Escalator_2025</t>
  </si>
  <si>
    <t>CapEx Escalator_2026</t>
  </si>
  <si>
    <t>CapEx Escalator_2027</t>
  </si>
  <si>
    <t>CapEx Escalator_2028</t>
  </si>
  <si>
    <t>CapEx Escalator_2029</t>
  </si>
  <si>
    <t>CapEx Escalator_2030</t>
  </si>
  <si>
    <t>CapEx Escalator_2031</t>
  </si>
  <si>
    <t>CapEx Escalator_2032</t>
  </si>
  <si>
    <t>CapEx Escalator_2033</t>
  </si>
  <si>
    <t>CapEx Escalator_2034</t>
  </si>
  <si>
    <t>CapEx Escalator_2035</t>
  </si>
  <si>
    <t>CapEx Escalator_2036</t>
  </si>
  <si>
    <t>CapEx Escalator_2037</t>
  </si>
  <si>
    <t>CapEx Escalator_2038</t>
  </si>
  <si>
    <t>CapEx Escalator_2039</t>
  </si>
  <si>
    <t>CapEx Escalator_2040</t>
  </si>
  <si>
    <t>NYC</t>
  </si>
  <si>
    <t>Low Cost</t>
  </si>
  <si>
    <t>Land-based Wind</t>
  </si>
  <si>
    <t>J</t>
  </si>
  <si>
    <t>Rest of State</t>
  </si>
  <si>
    <t>&lt;&gt;J</t>
  </si>
  <si>
    <t>All</t>
  </si>
  <si>
    <t>High Cost</t>
  </si>
  <si>
    <t>Utility-scale Solar</t>
  </si>
  <si>
    <t>Fixed Bottom</t>
  </si>
  <si>
    <t>Offshore Wind - Fixed Bottom</t>
  </si>
  <si>
    <t>Floating</t>
  </si>
  <si>
    <t>Offshore Wind - Floating</t>
  </si>
  <si>
    <t>Offshore Wind*</t>
  </si>
  <si>
    <t>Large-Scale Renewables Supply Curve Analysis – February 2024</t>
  </si>
  <si>
    <t>NYSERDA is developing renewable energy supply curve analysis in support of the Large-Scale Renewables (LSR) program. The primary use of the this analysis is to support future electricity system modeling. This analysis contains estimates and projections on resource availability, site locations, and site and technology characteristics for a range of large-scale renewable energy technologies. Draft data from the analysis is available here [XLXS].</t>
  </si>
  <si>
    <t xml:space="preserve">Accessed from https://www.nyserda.ny.gov/About/Publications/Energy-Analysis-Reports-and-Studies/Additional-EA-Reports-Studies </t>
  </si>
  <si>
    <t>Table 1: Land-based Wind</t>
  </si>
  <si>
    <t>Values in nominal dollars</t>
  </si>
  <si>
    <t>Resource CapEx Escalator</t>
  </si>
  <si>
    <t>IX CapEx Escalator</t>
  </si>
  <si>
    <t>Resource OpEx Escalator</t>
  </si>
  <si>
    <t>Capacity Factor Escalator</t>
  </si>
  <si>
    <t>Technology Type</t>
  </si>
  <si>
    <t>County</t>
  </si>
  <si>
    <t>Interconnection Zone</t>
  </si>
  <si>
    <t>Available Capacity (MWac)</t>
  </si>
  <si>
    <t xml:space="preserve">Total Cost </t>
  </si>
  <si>
    <t>2024 Weighted Avg Resource CapEx ($/kWac)</t>
  </si>
  <si>
    <t>2024 Weighted Avg IX CapEx ($/kWac)</t>
  </si>
  <si>
    <t>2024 Weighted Avg OpEx ($/kWac-year)</t>
  </si>
  <si>
    <t>2024 Weighted Avg Capacity Factor</t>
  </si>
  <si>
    <t>Total Capex Cost (thousand $)</t>
  </si>
  <si>
    <t>Total OpEx Cost (thousand $ / kW- year)</t>
  </si>
  <si>
    <t>Avg OpEx x Total Generation</t>
  </si>
  <si>
    <t>Resource CapEx Escalator_2024</t>
  </si>
  <si>
    <t>Resource CapEx Escalator_2025</t>
  </si>
  <si>
    <t>Resource CapEx Escalator_2026</t>
  </si>
  <si>
    <t>Resource CapEx Escalator_2027</t>
  </si>
  <si>
    <t>Resource CapEx Escalator_2028</t>
  </si>
  <si>
    <t>Resource CapEx Escalator_2029</t>
  </si>
  <si>
    <t>Resource CapEx Escalator_2030</t>
  </si>
  <si>
    <t>Resource CapEx Escalator_2031</t>
  </si>
  <si>
    <t>Resource CapEx Escalator_2032</t>
  </si>
  <si>
    <t>Resource CapEx Escalator_2033</t>
  </si>
  <si>
    <t>Resource CapEx Escalator_2034</t>
  </si>
  <si>
    <t>Resource CapEx Escalator_2035</t>
  </si>
  <si>
    <t>Resource CapEx Escalator_2036</t>
  </si>
  <si>
    <t>Resource CapEx Escalator_2037</t>
  </si>
  <si>
    <t>Resource CapEx Escalator_2038</t>
  </si>
  <si>
    <t>Resource CapEx Escalator_2039</t>
  </si>
  <si>
    <t>Resource CapEx Escalator_2040</t>
  </si>
  <si>
    <t>IX CapEx Escalator_2024</t>
  </si>
  <si>
    <t>IX CapEx Escalator_2025</t>
  </si>
  <si>
    <t>IX CapEx Escalator_2026</t>
  </si>
  <si>
    <t>IX CapEx Escalator_2027</t>
  </si>
  <si>
    <t>IX CapEx Escalator_2028</t>
  </si>
  <si>
    <t>IX CapEx Escalator_2029</t>
  </si>
  <si>
    <t>IX CapEx Escalator_2030</t>
  </si>
  <si>
    <t>IX CapEx Escalator_2031</t>
  </si>
  <si>
    <t>IX CapEx Escalator_2032</t>
  </si>
  <si>
    <t>IX CapEx Escalator_2033</t>
  </si>
  <si>
    <t>IX CapEx Escalator_2034</t>
  </si>
  <si>
    <t>IX CapEx Escalator_2035</t>
  </si>
  <si>
    <t>IX CapEx Escalator_2036</t>
  </si>
  <si>
    <t>IX CapEx Escalator_2037</t>
  </si>
  <si>
    <t>IX CapEx Escalator_2038</t>
  </si>
  <si>
    <t>IX CapEx Escalator_2039</t>
  </si>
  <si>
    <t>IX CapEx Escalator_2040</t>
  </si>
  <si>
    <t>Resource OpEx Escalator_2024</t>
  </si>
  <si>
    <t>Resource OpEx Escalator_2025</t>
  </si>
  <si>
    <t>Resource OpEx Escalator_2026</t>
  </si>
  <si>
    <t>Resource OpEx Escalator_2027</t>
  </si>
  <si>
    <t>Resource OpEx Escalator_2028</t>
  </si>
  <si>
    <t>Resource OpEx Escalator_2029</t>
  </si>
  <si>
    <t>Resource OpEx Escalator_2030</t>
  </si>
  <si>
    <t>Resource OpEx Escalator_2031</t>
  </si>
  <si>
    <t>Resource OpEx Escalator_2032</t>
  </si>
  <si>
    <t>Resource OpEx Escalator_2033</t>
  </si>
  <si>
    <t>Resource OpEx Escalator_2034</t>
  </si>
  <si>
    <t>Resource OpEx Escalator_2035</t>
  </si>
  <si>
    <t>Resource OpEx Escalator_2036</t>
  </si>
  <si>
    <t>Resource OpEx Escalator_2037</t>
  </si>
  <si>
    <t>Resource OpEx Escalator_2038</t>
  </si>
  <si>
    <t>Resource OpEx Escalator_2039</t>
  </si>
  <si>
    <t>Resource OpEx Escalator_2040</t>
  </si>
  <si>
    <t>Capacity Factor Escalator_2024</t>
  </si>
  <si>
    <t>_2025</t>
  </si>
  <si>
    <t>_2026</t>
  </si>
  <si>
    <t>_2027</t>
  </si>
  <si>
    <t>_2028</t>
  </si>
  <si>
    <t>_2029</t>
  </si>
  <si>
    <t>_2030</t>
  </si>
  <si>
    <t>_2031</t>
  </si>
  <si>
    <t>_2032</t>
  </si>
  <si>
    <t>_2033</t>
  </si>
  <si>
    <t>_2034</t>
  </si>
  <si>
    <t>_2035</t>
  </si>
  <si>
    <t>_2036</t>
  </si>
  <si>
    <t>_2037</t>
  </si>
  <si>
    <t>_2038</t>
  </si>
  <si>
    <t>_2039</t>
  </si>
  <si>
    <t>_2040</t>
  </si>
  <si>
    <t>Albany</t>
  </si>
  <si>
    <t>F</t>
  </si>
  <si>
    <t>Allegany</t>
  </si>
  <si>
    <t>B</t>
  </si>
  <si>
    <t>Broome</t>
  </si>
  <si>
    <t>C</t>
  </si>
  <si>
    <t>Cattaraugus</t>
  </si>
  <si>
    <t>A</t>
  </si>
  <si>
    <t>Cayuga</t>
  </si>
  <si>
    <t>Chautauqua</t>
  </si>
  <si>
    <t>Chemung</t>
  </si>
  <si>
    <t>Clinton</t>
  </si>
  <si>
    <t>D</t>
  </si>
  <si>
    <t>Columbia</t>
  </si>
  <si>
    <t>Cortland</t>
  </si>
  <si>
    <t>Delaware</t>
  </si>
  <si>
    <t>E</t>
  </si>
  <si>
    <t>Dutchess</t>
  </si>
  <si>
    <t>G</t>
  </si>
  <si>
    <t>Erie</t>
  </si>
  <si>
    <t>Franklin</t>
  </si>
  <si>
    <t>Herkimer</t>
  </si>
  <si>
    <t>Jefferson</t>
  </si>
  <si>
    <t>Lewis</t>
  </si>
  <si>
    <t>Livingston</t>
  </si>
  <si>
    <t>Madison</t>
  </si>
  <si>
    <t>Monroe</t>
  </si>
  <si>
    <t>Montgomery</t>
  </si>
  <si>
    <t>Niagara</t>
  </si>
  <si>
    <t>Oneida</t>
  </si>
  <si>
    <t>Onondaga</t>
  </si>
  <si>
    <t>Ontario</t>
  </si>
  <si>
    <t>Orange</t>
  </si>
  <si>
    <t>Orleans</t>
  </si>
  <si>
    <t>Oswego</t>
  </si>
  <si>
    <t>Otsego</t>
  </si>
  <si>
    <t>Rensselaer</t>
  </si>
  <si>
    <t>St Lawrence</t>
  </si>
  <si>
    <t>Saratoga</t>
  </si>
  <si>
    <t>Schenectady</t>
  </si>
  <si>
    <t>Schoharie</t>
  </si>
  <si>
    <t>Schuyler</t>
  </si>
  <si>
    <t>Seneca</t>
  </si>
  <si>
    <t>Steuben</t>
  </si>
  <si>
    <t>Sullivan</t>
  </si>
  <si>
    <t>Tioga</t>
  </si>
  <si>
    <t>Tompkins</t>
  </si>
  <si>
    <t>Washington</t>
  </si>
  <si>
    <t>Wayne</t>
  </si>
  <si>
    <t>Wyoming</t>
  </si>
  <si>
    <t>Yates</t>
  </si>
  <si>
    <t>Chenango</t>
  </si>
  <si>
    <t>Fulton</t>
  </si>
  <si>
    <t>Greene</t>
  </si>
  <si>
    <t>Suffolk</t>
  </si>
  <si>
    <t>K</t>
  </si>
  <si>
    <t>Ulster</t>
  </si>
  <si>
    <t>Existing Lease Area 36 (EL-36)</t>
  </si>
  <si>
    <t>Existing Lease Area 34a (EL-34a)</t>
  </si>
  <si>
    <t>Existing Lease Area 34b (EL-34b)</t>
  </si>
  <si>
    <t>Existing Lease Area 33 (EL-33)</t>
  </si>
  <si>
    <t>Existing Lease Area 28 (EL-28)</t>
  </si>
  <si>
    <t>Existing Lease Area 17 (EL-17)</t>
  </si>
  <si>
    <t>Existing Lease Area 16a (EL-16a)</t>
  </si>
  <si>
    <t>Existing Lease Area 16b (EL-16b)</t>
  </si>
  <si>
    <t>Existing Lease Area 27 (EL-27)</t>
  </si>
  <si>
    <t>Existing Lease Area 37 (EL-37)</t>
  </si>
  <si>
    <t>Existing Lease Area 12b (EL-12b)</t>
  </si>
  <si>
    <t>Existing Lease Area 13b (EL-13b)</t>
  </si>
  <si>
    <t>Existing Lease Area 18 (EL-18)</t>
  </si>
  <si>
    <t>Floating Resource Block 49 (FL-49)</t>
  </si>
  <si>
    <t>Floating Resource Block 45 (FL-45)</t>
  </si>
  <si>
    <t>Floating Resource Block 46 (FL-46)</t>
  </si>
  <si>
    <t>Floating Resource Blcok 44 (FL-44)</t>
  </si>
  <si>
    <t>Floating Resource Block 50 (FL-50)</t>
  </si>
  <si>
    <t>EIA Annual Energy Outlook, 2023, Cost and Performance Characteristics of New Central Station Electricity Generating Technologies</t>
  </si>
  <si>
    <t>Table 1. Cost and Performance Characteristics of New Central Station Electricity Generating Technologies</t>
  </si>
  <si>
    <t>2023_new_cap_cost_data</t>
  </si>
  <si>
    <t>Technology</t>
  </si>
  <si>
    <t>First available yeara</t>
  </si>
  <si>
    <t>Size (MW)</t>
  </si>
  <si>
    <t>Lead time (years)</t>
  </si>
  <si>
    <r>
      <t>Base overnight cost</t>
    </r>
    <r>
      <rPr>
        <b/>
        <vertAlign val="superscript"/>
        <sz val="9"/>
        <color theme="1"/>
        <rFont val="Calibri"/>
        <family val="2"/>
        <scheme val="minor"/>
      </rPr>
      <t>b</t>
    </r>
    <r>
      <rPr>
        <b/>
        <sz val="9"/>
        <color theme="1"/>
        <rFont val="Calibri"/>
        <family val="2"/>
        <scheme val="minor"/>
      </rPr>
      <t xml:space="preserve">  (2022$/kW)</t>
    </r>
  </si>
  <si>
    <r>
      <t>Techno-logical optimism factor</t>
    </r>
    <r>
      <rPr>
        <b/>
        <vertAlign val="superscript"/>
        <sz val="9"/>
        <color theme="1"/>
        <rFont val="Calibri"/>
        <family val="2"/>
        <scheme val="minor"/>
      </rPr>
      <t>c</t>
    </r>
  </si>
  <si>
    <r>
      <t>Total overnight cost</t>
    </r>
    <r>
      <rPr>
        <b/>
        <vertAlign val="superscript"/>
        <sz val="9"/>
        <color theme="1"/>
        <rFont val="Calibri"/>
        <family val="2"/>
        <scheme val="minor"/>
      </rPr>
      <t xml:space="preserve">d,e  </t>
    </r>
    <r>
      <rPr>
        <b/>
        <sz val="9"/>
        <color theme="1"/>
        <rFont val="Calibri"/>
        <family val="2"/>
        <scheme val="minor"/>
      </rPr>
      <t>(2022$/kW)</t>
    </r>
  </si>
  <si>
    <r>
      <t>Variable O&amp;M</t>
    </r>
    <r>
      <rPr>
        <b/>
        <vertAlign val="superscript"/>
        <sz val="9"/>
        <color theme="1"/>
        <rFont val="Calibri"/>
        <family val="2"/>
        <scheme val="minor"/>
      </rPr>
      <t>f</t>
    </r>
    <r>
      <rPr>
        <b/>
        <sz val="9"/>
        <color theme="1"/>
        <rFont val="Calibri"/>
        <family val="2"/>
        <scheme val="minor"/>
      </rPr>
      <t xml:space="preserve"> (2022 $/MWh)</t>
    </r>
  </si>
  <si>
    <t>Fixed O&amp;M (2022$/Kw-y)</t>
  </si>
  <si>
    <r>
      <t>Heat rate</t>
    </r>
    <r>
      <rPr>
        <b/>
        <vertAlign val="superscript"/>
        <sz val="9"/>
        <color theme="1"/>
        <rFont val="Calibri"/>
        <family val="2"/>
        <scheme val="minor"/>
      </rPr>
      <t>g</t>
    </r>
    <r>
      <rPr>
        <b/>
        <sz val="9"/>
        <color theme="1"/>
        <rFont val="Calibri"/>
        <family val="2"/>
        <scheme val="minor"/>
      </rPr>
      <t xml:space="preserve"> (Btu/kWh)</t>
    </r>
  </si>
  <si>
    <t>Ultra-supercritical coal (USC)</t>
  </si>
  <si>
    <t>USC with 30% carbon capture and sequestration (CCS)</t>
  </si>
  <si>
    <t>USC with 90% CCS</t>
  </si>
  <si>
    <t>Combined-cycle—single-shaft</t>
  </si>
  <si>
    <t>Combined-cycle—multi-shaft</t>
  </si>
  <si>
    <t>Combined-cycle with 90% CCS</t>
  </si>
  <si>
    <t>Internal combustion engine</t>
  </si>
  <si>
    <r>
      <t>Combustion turbine—aeroderivative</t>
    </r>
    <r>
      <rPr>
        <vertAlign val="superscript"/>
        <sz val="11"/>
        <color theme="1"/>
        <rFont val="Calibri"/>
        <family val="2"/>
        <scheme val="minor"/>
      </rPr>
      <t>h</t>
    </r>
  </si>
  <si>
    <t>Combustion turbine—industrial frame</t>
  </si>
  <si>
    <t>Fuel cells</t>
  </si>
  <si>
    <t>Nuclear—light water reactor</t>
  </si>
  <si>
    <t>Nuclear—small modular reactor</t>
  </si>
  <si>
    <t>Distributed generation—base</t>
  </si>
  <si>
    <t>Distributed generation—peak</t>
  </si>
  <si>
    <t>Battery storage</t>
  </si>
  <si>
    <t>Biomass</t>
  </si>
  <si>
    <r>
      <t>Geothermal</t>
    </r>
    <r>
      <rPr>
        <vertAlign val="superscript"/>
        <sz val="11"/>
        <color theme="1"/>
        <rFont val="Calibri"/>
        <family val="2"/>
        <scheme val="minor"/>
      </rPr>
      <t>i, j</t>
    </r>
  </si>
  <si>
    <r>
      <t>Conventional hydropower</t>
    </r>
    <r>
      <rPr>
        <vertAlign val="superscript"/>
        <sz val="11"/>
        <color theme="1"/>
        <rFont val="Calibri"/>
        <family val="2"/>
        <scheme val="minor"/>
      </rPr>
      <t>j</t>
    </r>
  </si>
  <si>
    <r>
      <t>Wind</t>
    </r>
    <r>
      <rPr>
        <vertAlign val="superscript"/>
        <sz val="11"/>
        <color theme="1"/>
        <rFont val="Calibri"/>
        <family val="2"/>
        <scheme val="minor"/>
      </rPr>
      <t>e</t>
    </r>
  </si>
  <si>
    <r>
      <t>Wind offshore</t>
    </r>
    <r>
      <rPr>
        <vertAlign val="superscript"/>
        <sz val="11"/>
        <color theme="1"/>
        <rFont val="Calibri"/>
        <family val="2"/>
        <scheme val="minor"/>
      </rPr>
      <t>i</t>
    </r>
  </si>
  <si>
    <r>
      <t>Solar thermal</t>
    </r>
    <r>
      <rPr>
        <vertAlign val="superscript"/>
        <sz val="11"/>
        <color theme="1"/>
        <rFont val="Calibri"/>
        <family val="2"/>
        <scheme val="minor"/>
      </rPr>
      <t>i</t>
    </r>
  </si>
  <si>
    <r>
      <t>Solar photovoltaic (PV) with tracking</t>
    </r>
    <r>
      <rPr>
        <vertAlign val="superscript"/>
        <sz val="11"/>
        <color theme="1"/>
        <rFont val="Calibri"/>
        <family val="2"/>
        <scheme val="minor"/>
      </rPr>
      <t>e, i, k</t>
    </r>
  </si>
  <si>
    <r>
      <t>Solar PV with storage</t>
    </r>
    <r>
      <rPr>
        <vertAlign val="superscript"/>
        <sz val="11"/>
        <color theme="1"/>
        <rFont val="Calibri"/>
        <family val="2"/>
        <scheme val="minor"/>
      </rPr>
      <t>i, k</t>
    </r>
  </si>
  <si>
    <t>Data source: Sargent &amp; Lundy, Cost and Performance Estimates for New Utility-Scale Electric Power Generating Technologies, December 2019; Hydroelectric: Oak Ridge National Lab, An Assessment of Energy Potential at Non-Powered Dams in the United States, 2012, and Idaho National Engineering and Environmental Laboratory, Estimation of Economic Parameters of U.S. Hydropower Resources, 2003; Geothermal: National Renewable Energy Laboratory, Updated U.S. Geothermal Supply Curve, 2010.</t>
  </si>
  <si>
    <t>Note: MW=megawatt, kW=kilowatt, MWh=megawatthour, kW-y=kilowatt-year, kWh=kilowatthour; Btu=British thermal unit</t>
  </si>
  <si>
    <r>
      <rPr>
        <vertAlign val="superscript"/>
        <sz val="9"/>
        <rFont val="Calibri"/>
        <family val="2"/>
        <scheme val="minor"/>
      </rPr>
      <t>a</t>
    </r>
    <r>
      <rPr>
        <sz val="9"/>
        <rFont val="Calibri"/>
        <family val="2"/>
        <scheme val="minor"/>
      </rPr>
      <t xml:space="preserve"> The first year that a new unit could become operational.</t>
    </r>
  </si>
  <si>
    <r>
      <rPr>
        <vertAlign val="superscript"/>
        <sz val="9"/>
        <rFont val="Calibri"/>
        <family val="2"/>
        <scheme val="minor"/>
      </rPr>
      <t>b</t>
    </r>
    <r>
      <rPr>
        <sz val="9"/>
        <rFont val="Calibri"/>
        <family val="2"/>
        <scheme val="minor"/>
      </rPr>
      <t xml:space="preserve"> Base cost includes project contingency costs.</t>
    </r>
  </si>
  <si>
    <r>
      <rPr>
        <vertAlign val="superscript"/>
        <sz val="9"/>
        <rFont val="Calibri"/>
        <family val="2"/>
        <scheme val="minor"/>
      </rPr>
      <t>c</t>
    </r>
    <r>
      <rPr>
        <sz val="9"/>
        <rFont val="Calibri"/>
        <family val="2"/>
        <scheme val="minor"/>
      </rPr>
      <t xml:space="preserve"> We apply the technological optimism factor to the first four units of a new, unproven design; it reflects the demonstrated tendency to underestimate actual costs for a first-of-a-kind unit.</t>
    </r>
  </si>
  <si>
    <r>
      <rPr>
        <vertAlign val="superscript"/>
        <sz val="9"/>
        <rFont val="Calibri"/>
        <family val="2"/>
        <scheme val="minor"/>
      </rPr>
      <t>d</t>
    </r>
    <r>
      <rPr>
        <sz val="9"/>
        <rFont val="Calibri"/>
        <family val="2"/>
        <scheme val="minor"/>
      </rPr>
      <t xml:space="preserve"> Overnight capital cost includes contingency factors and excludes regional multipliers (except as noted for wind and solar PV) and learning effects. Interest charges are also excluded. The capital costs represent current costs for plants that would come online in 2022.</t>
    </r>
  </si>
  <si>
    <r>
      <rPr>
        <vertAlign val="superscript"/>
        <sz val="9"/>
        <rFont val="Calibri"/>
        <family val="2"/>
        <scheme val="minor"/>
      </rPr>
      <t>e</t>
    </r>
    <r>
      <rPr>
        <sz val="9"/>
        <rFont val="Calibri"/>
        <family val="2"/>
        <scheme val="minor"/>
      </rPr>
      <t xml:space="preserve"> Total overnight cost for wind and solar PV technologies in the table are the average input value across all 25 electricity market regions, as weighted by the respective capacity of that type installed during 2021 in each region to account for the substantial regional variation in wind and solar costs (Table 4). The input value used for onshore wind in AEO2023 was $1,566 per kilowatt (kW), and for solar PV with tracking, it was $1,443/kW, which represents the cost of building a plant excluding regional factors. Region-specific factors contributing to the substantial regional variation in cost include differences in typical project size across regions, accessibility of resources, and variation in labor and other construction costs throughout the country.</t>
    </r>
  </si>
  <si>
    <r>
      <rPr>
        <vertAlign val="superscript"/>
        <sz val="9"/>
        <rFont val="Calibri"/>
        <family val="2"/>
        <scheme val="minor"/>
      </rPr>
      <t>f</t>
    </r>
    <r>
      <rPr>
        <sz val="9"/>
        <rFont val="Calibri"/>
        <family val="2"/>
        <scheme val="minor"/>
      </rPr>
      <t xml:space="preserve"> O&amp;M = Operations and maintenance.</t>
    </r>
  </si>
  <si>
    <r>
      <rPr>
        <vertAlign val="superscript"/>
        <sz val="9"/>
        <rFont val="Calibri"/>
        <family val="2"/>
        <scheme val="minor"/>
      </rPr>
      <t>g</t>
    </r>
    <r>
      <rPr>
        <sz val="9"/>
        <rFont val="Calibri"/>
        <family val="2"/>
        <scheme val="minor"/>
      </rPr>
      <t xml:space="preserve"> The nuclear average heat rate is the weighted average tested heat rate for nuclear units as reported on the Form EIA-860, Annual Electric Generator Report. No heat rate is reported for battery storage because it is not a primary conversion technology; conversion losses are accounted for when the electricity is first generated; electricity-to-storage losses are accounted for through the additional demand for electricity required to meet load. For hydropower, wind, solar, and geothermal technologies, no heat rate is reported because the power is generated without fuel combustion, and no set British thermal unit conversion factors exist. The module calculates the average heat rate for fossil-fuel generation in each year to report primary energy consumption displaced for these resources.</t>
    </r>
  </si>
  <si>
    <r>
      <rPr>
        <vertAlign val="superscript"/>
        <sz val="9"/>
        <rFont val="Calibri"/>
        <family val="2"/>
        <scheme val="minor"/>
      </rPr>
      <t>h</t>
    </r>
    <r>
      <rPr>
        <sz val="9"/>
        <rFont val="Calibri"/>
        <family val="2"/>
        <scheme val="minor"/>
      </rPr>
      <t xml:space="preserve"> Combustion turbine aeroderivative units can be built by the module before 2024, if necessary, to meet a region's reserve margin.</t>
    </r>
  </si>
  <si>
    <r>
      <rPr>
        <vertAlign val="superscript"/>
        <sz val="9"/>
        <rFont val="Calibri"/>
        <family val="2"/>
        <scheme val="minor"/>
      </rPr>
      <t>i</t>
    </r>
    <r>
      <rPr>
        <sz val="9"/>
        <rFont val="Calibri"/>
        <family val="2"/>
        <scheme val="minor"/>
      </rPr>
      <t xml:space="preserve"> Capital costs are shown before investment tax credits are applied.</t>
    </r>
  </si>
  <si>
    <r>
      <rPr>
        <vertAlign val="superscript"/>
        <sz val="9"/>
        <rFont val="Calibri"/>
        <family val="2"/>
        <scheme val="minor"/>
      </rPr>
      <t>j</t>
    </r>
    <r>
      <rPr>
        <sz val="9"/>
        <rFont val="Calibri"/>
        <family val="2"/>
        <scheme val="minor"/>
      </rPr>
      <t xml:space="preserve"> Because geothermal and hydropower cost and performance characteristics are specific for each site, the table entries show the cost of the least expensive plant that could be built in the Northwest region for hydro and the Great Basin region for geothermal, where most of the proposed sites are located.</t>
    </r>
  </si>
  <si>
    <r>
      <t>k</t>
    </r>
    <r>
      <rPr>
        <sz val="9"/>
        <color rgb="FF000000"/>
        <rFont val="Calibri"/>
        <family val="2"/>
        <scheme val="minor"/>
      </rPr>
      <t xml:space="preserve"> Costs and capacities are expressed in terms of net AC (alternating current) power available to the grid for the installed capacity.</t>
    </r>
  </si>
  <si>
    <t>*Electricity Market Module</t>
  </si>
  <si>
    <t>Table 8.2. Cost and Performance Characteristics of New Central Station Electricity Generating Technologies</t>
  </si>
  <si>
    <t>AEO_raw_cost_data</t>
  </si>
  <si>
    <t>Online Year</t>
  </si>
  <si>
    <t>Leadtimes (Years)</t>
  </si>
  <si>
    <t>Base Overnight Costs in 2012 ($2012/kW)</t>
  </si>
  <si>
    <t>Project Contingency Factor</t>
  </si>
  <si>
    <t>Technological Optimism Factor</t>
  </si>
  <si>
    <t>Total Overnight Cost in 2012 (2012 $/kW)</t>
  </si>
  <si>
    <t>Variable O&amp;M ($2012 mills/kWh)</t>
  </si>
  <si>
    <t>Fixed O&amp;M ($2012/kW)</t>
  </si>
  <si>
    <t>Heatrate in 2013 (Btu/kWhr)</t>
  </si>
  <si>
    <t>Heatrate nth-of-a-kind (Btu/kWr)</t>
  </si>
  <si>
    <t>efficiency, %</t>
  </si>
  <si>
    <t>efficiency, %2</t>
  </si>
  <si>
    <t>heat_rate_calculation</t>
  </si>
  <si>
    <t>Scrubbed Coal New</t>
  </si>
  <si>
    <t>Integrated Coal-Gasification Combined-Cycle</t>
  </si>
  <si>
    <t>IGCC with Carbon Sequestration</t>
  </si>
  <si>
    <t>Conv Gas/Oil Comb Cycle</t>
  </si>
  <si>
    <t>Adv Gas/Oil Comb Cycle (CC)</t>
  </si>
  <si>
    <t>ADV CC with Carbon Sequestration</t>
  </si>
  <si>
    <t>Conv Combustion Turbine</t>
  </si>
  <si>
    <t>Adv Combustion Turbine</t>
  </si>
  <si>
    <t>Fuel Cells</t>
  </si>
  <si>
    <t>Advanced Nuclear</t>
  </si>
  <si>
    <t>Distributed Generation -Base</t>
  </si>
  <si>
    <t>Distributed Generation -Peak</t>
  </si>
  <si>
    <t>MSW - Landfill Gas</t>
  </si>
  <si>
    <t>Conventional Hydropower</t>
  </si>
  <si>
    <t>Pumped hydro storage</t>
  </si>
  <si>
    <t>Wind Offshore</t>
  </si>
  <si>
    <t>Photovoltaic</t>
  </si>
  <si>
    <t>2013$s</t>
  </si>
  <si>
    <t>Wind-2015 update</t>
  </si>
  <si>
    <t>Wind Offshore -2015 update</t>
  </si>
  <si>
    <t>Solar Thermal-2015 update</t>
  </si>
  <si>
    <t>Solar PV-2015 update</t>
  </si>
  <si>
    <t>The following were estimated based upon the table above</t>
  </si>
  <si>
    <t>Biomass gasification</t>
  </si>
  <si>
    <t>Biomass w/CCS</t>
  </si>
  <si>
    <t>Incremental costs for CCS technology retrofits</t>
  </si>
  <si>
    <t>Efficiency (in/out)</t>
  </si>
  <si>
    <t>Efficiency (out/in)</t>
  </si>
  <si>
    <t xml:space="preserve">      Scrubbed coal</t>
  </si>
  <si>
    <t xml:space="preserve">      IGCC</t>
  </si>
  <si>
    <t xml:space="preserve">      Natural gas</t>
  </si>
  <si>
    <t>MARKAL units</t>
  </si>
  <si>
    <t>INVCOST $mil/Pjin</t>
  </si>
  <si>
    <t>FIXOM $mil/Pjin</t>
  </si>
  <si>
    <t>VariableO&amp;M</t>
  </si>
  <si>
    <t>New Pulverized Coal Steam Additions (post-2005)</t>
  </si>
  <si>
    <t>*The primary sources include:</t>
  </si>
  <si>
    <t xml:space="preserve">   **National Electric Energy Data System (NEEDS) v.4.10; Available: http://www.epa.gov/airmarkets/progsregs/epa-ipm/BaseCasev410.html#needs</t>
  </si>
  <si>
    <t xml:space="preserve">   **Form EIA-767: Steam-Electric Plant Operation and Design Report; Available: http://www.eia.gov/cneaf/electricity/page/eia767.html</t>
  </si>
  <si>
    <t xml:space="preserve">   **EPA Contract No. EP-D-07-097, WA 4-7 Task 8 – PM Emissions from Coal-fired EGUs (E.H. Pechan &amp; Associates)</t>
  </si>
  <si>
    <t>Location</t>
  </si>
  <si>
    <t>Plant Characteristics</t>
  </si>
  <si>
    <t>Coal Characteristics</t>
  </si>
  <si>
    <t>Nitrogen Oxides Control</t>
  </si>
  <si>
    <t>Sulfur Dioxide Control</t>
  </si>
  <si>
    <t>Mercury Control</t>
  </si>
  <si>
    <t>Particulate Matter Control</t>
  </si>
  <si>
    <t>Nitrogen Oxides Emissions</t>
  </si>
  <si>
    <t>Sulfur Dioxide Emissions</t>
  </si>
  <si>
    <t>Mercury Emissions</t>
  </si>
  <si>
    <t>Particulate Matter Emissions</t>
  </si>
  <si>
    <t>Cooling System</t>
  </si>
  <si>
    <t>State</t>
  </si>
  <si>
    <t xml:space="preserve">MARKAL region:  R1 - R9 </t>
  </si>
  <si>
    <t>Plant name</t>
  </si>
  <si>
    <t>Plant ID</t>
  </si>
  <si>
    <t>Boiler ID</t>
  </si>
  <si>
    <t xml:space="preserve">Standard Classification Code </t>
  </si>
  <si>
    <t>Capacity (MW)</t>
  </si>
  <si>
    <t xml:space="preserve">Capacity category:
"Over" &gt;= 100 MW
"Under" &lt; 100 MW </t>
  </si>
  <si>
    <t>Year on-line</t>
  </si>
  <si>
    <t>Heat rate (Btu/kWh)</t>
  </si>
  <si>
    <t>Capacity x HR</t>
  </si>
  <si>
    <t>Firing Type</t>
  </si>
  <si>
    <t>Bottom Type</t>
  </si>
  <si>
    <t xml:space="preserve">Type of coal burned:  BIT, SUB, or LIG </t>
  </si>
  <si>
    <t>Quantity of coal burned (thousand short tons)</t>
  </si>
  <si>
    <t>Quantity of coal burned (metric tons/tonnes)</t>
  </si>
  <si>
    <t>Quantity-weighted average sulfur content (lb/MMBtu)</t>
  </si>
  <si>
    <t xml:space="preserve">Sulfur content category:  
Low &lt;= 0.6
Medium &gt; 0.6 to &lt; = 1.67
High &gt;1.67 </t>
  </si>
  <si>
    <t>Quantity-weighted average ash content (%)</t>
  </si>
  <si>
    <t xml:space="preserve">Heat input (MMBtu) (=coal quantity*heat content) </t>
  </si>
  <si>
    <t>NOX Combustion Control(s)</t>
  </si>
  <si>
    <t>Low Nox Burner?</t>
  </si>
  <si>
    <t>NOX Post-Combustion Control</t>
  </si>
  <si>
    <t>SCR?</t>
  </si>
  <si>
    <t>SNCR?</t>
  </si>
  <si>
    <t>SCR Online Year</t>
  </si>
  <si>
    <t>SNCR Online Year</t>
  </si>
  <si>
    <t>Dispatchable SCR?</t>
  </si>
  <si>
    <t>SO2 Control Type</t>
  </si>
  <si>
    <t>Retrofit or Passthrough?
Retrofit=WS,RI,or DS
Passthrough=None</t>
  </si>
  <si>
    <t>Scrubber Online Year</t>
  </si>
  <si>
    <t>SO2 Control Efficiency</t>
  </si>
  <si>
    <t>Dispatchable Scrubber?</t>
  </si>
  <si>
    <t>Hg Control Type</t>
  </si>
  <si>
    <t>Hg Control Online Year</t>
  </si>
  <si>
    <t>Hg Control Efficiency</t>
  </si>
  <si>
    <t>Dispatchable ACI?</t>
  </si>
  <si>
    <t>Particulate control device(s)</t>
  </si>
  <si>
    <t>PM Control</t>
  </si>
  <si>
    <r>
      <t>PM</t>
    </r>
    <r>
      <rPr>
        <b/>
        <vertAlign val="subscript"/>
        <sz val="10"/>
        <rFont val="Arial"/>
        <family val="2"/>
      </rPr>
      <t>10</t>
    </r>
    <r>
      <rPr>
        <b/>
        <sz val="10"/>
        <rFont val="Arial"/>
        <family val="2"/>
      </rPr>
      <t xml:space="preserve"> control (removal) efficiency (%)</t>
    </r>
  </si>
  <si>
    <r>
      <t>PM</t>
    </r>
    <r>
      <rPr>
        <b/>
        <vertAlign val="subscript"/>
        <sz val="10"/>
        <rFont val="Arial"/>
        <family val="2"/>
      </rPr>
      <t>2.5</t>
    </r>
    <r>
      <rPr>
        <b/>
        <sz val="10"/>
        <rFont val="Arial"/>
        <family val="2"/>
      </rPr>
      <t xml:space="preserve"> control (removal) efficiency (%)</t>
    </r>
  </si>
  <si>
    <t>NOX Uncontrolled Base Emissions Rate (lbs/mmBtu)</t>
  </si>
  <si>
    <t>NOX Controlled Base Emissions Rate (lbs/mmBtu)</t>
  </si>
  <si>
    <t>NOX Uncontrolled Policy Emissions Rate (lbs/mmBtu)</t>
  </si>
  <si>
    <t>NOX Controlled Policy Emissions Rate (lbs/mmBtu)</t>
  </si>
  <si>
    <t>SO2 Emissions Rate (lbs/mmBtu)</t>
  </si>
  <si>
    <t>Hg EMF Inputs</t>
  </si>
  <si>
    <t>Controlled Hg EMF for BIT</t>
  </si>
  <si>
    <t>Controlled Hg EMF for SUB</t>
  </si>
  <si>
    <t>Controlled Hg EMF for LIG</t>
  </si>
  <si>
    <t>Uncontrolled Hg EMF for BIT</t>
  </si>
  <si>
    <t>Uncontrolled Hg EMF for SUB</t>
  </si>
  <si>
    <t>Uncontrolled Hg EMF for LIG</t>
  </si>
  <si>
    <r>
      <t>Primary PM</t>
    </r>
    <r>
      <rPr>
        <b/>
        <vertAlign val="subscript"/>
        <sz val="10"/>
        <rFont val="Arial"/>
        <family val="2"/>
      </rPr>
      <t>10</t>
    </r>
    <r>
      <rPr>
        <b/>
        <sz val="10"/>
        <rFont val="Arial"/>
        <family val="2"/>
      </rPr>
      <t xml:space="preserve"> uncontrolled emissions (ktonnes)</t>
    </r>
  </si>
  <si>
    <r>
      <t>Primary PM</t>
    </r>
    <r>
      <rPr>
        <b/>
        <vertAlign val="subscript"/>
        <sz val="10"/>
        <rFont val="Arial"/>
        <family val="2"/>
      </rPr>
      <t>10</t>
    </r>
    <r>
      <rPr>
        <b/>
        <sz val="10"/>
        <rFont val="Arial"/>
        <family val="2"/>
      </rPr>
      <t xml:space="preserve"> controlled emissions (ktonnes)</t>
    </r>
  </si>
  <si>
    <r>
      <t>Primary PM</t>
    </r>
    <r>
      <rPr>
        <b/>
        <vertAlign val="subscript"/>
        <sz val="10"/>
        <rFont val="Arial"/>
        <family val="2"/>
      </rPr>
      <t>2.5</t>
    </r>
    <r>
      <rPr>
        <b/>
        <sz val="10"/>
        <rFont val="Arial"/>
        <family val="2"/>
      </rPr>
      <t xml:space="preserve"> uncontrolled emissions (ktonnes)</t>
    </r>
  </si>
  <si>
    <r>
      <t>Primary PM</t>
    </r>
    <r>
      <rPr>
        <b/>
        <vertAlign val="subscript"/>
        <sz val="10"/>
        <rFont val="Arial"/>
        <family val="2"/>
      </rPr>
      <t>2.5</t>
    </r>
    <r>
      <rPr>
        <b/>
        <sz val="10"/>
        <rFont val="Arial"/>
        <family val="2"/>
      </rPr>
      <t xml:space="preserve"> controlled emissions (ktonnes)</t>
    </r>
  </si>
  <si>
    <r>
      <t>Primary PM</t>
    </r>
    <r>
      <rPr>
        <b/>
        <vertAlign val="subscript"/>
        <sz val="10"/>
        <rFont val="Arial"/>
        <family val="2"/>
      </rPr>
      <t>10</t>
    </r>
    <r>
      <rPr>
        <b/>
        <sz val="10"/>
        <rFont val="Arial"/>
        <family val="2"/>
      </rPr>
      <t xml:space="preserve"> uncontrolled emission rate (lb/MMBtu)</t>
    </r>
  </si>
  <si>
    <r>
      <t>Primary PM</t>
    </r>
    <r>
      <rPr>
        <b/>
        <vertAlign val="subscript"/>
        <sz val="10"/>
        <rFont val="Arial"/>
        <family val="2"/>
      </rPr>
      <t>10</t>
    </r>
    <r>
      <rPr>
        <b/>
        <sz val="10"/>
        <rFont val="Arial"/>
        <family val="2"/>
      </rPr>
      <t xml:space="preserve"> controlled emission rate (lb/MMBtu)</t>
    </r>
  </si>
  <si>
    <r>
      <t>Primary PM</t>
    </r>
    <r>
      <rPr>
        <b/>
        <vertAlign val="subscript"/>
        <sz val="10"/>
        <rFont val="Arial"/>
        <family val="2"/>
      </rPr>
      <t xml:space="preserve">2.5 </t>
    </r>
    <r>
      <rPr>
        <b/>
        <sz val="10"/>
        <rFont val="Arial"/>
        <family val="2"/>
      </rPr>
      <t>uncontrolled emission rate (lb/MMBtu)</t>
    </r>
  </si>
  <si>
    <r>
      <t>Primary PM</t>
    </r>
    <r>
      <rPr>
        <b/>
        <vertAlign val="subscript"/>
        <sz val="10"/>
        <rFont val="Arial"/>
        <family val="2"/>
      </rPr>
      <t>2.5</t>
    </r>
    <r>
      <rPr>
        <b/>
        <sz val="10"/>
        <rFont val="Arial"/>
        <family val="2"/>
      </rPr>
      <t xml:space="preserve"> controlled emission rate (lb/MMBtu)</t>
    </r>
  </si>
  <si>
    <t>Cooling Loop Type</t>
  </si>
  <si>
    <t>NEEDS v.4.10</t>
  </si>
  <si>
    <t>developed from NEEDS v.4.10</t>
  </si>
  <si>
    <t xml:space="preserve">developed by Pechan </t>
  </si>
  <si>
    <t>ECAT</t>
  </si>
  <si>
    <t>developed from 2005 EIA-767 (or 2005 EIA-906 if possible)</t>
  </si>
  <si>
    <t>2005 EIA-767 (or 2005 EIA-906 if possible)</t>
  </si>
  <si>
    <t xml:space="preserve">developed from 2005 EIA-767 </t>
  </si>
  <si>
    <t>developed from 2005 EIA-767</t>
  </si>
  <si>
    <t xml:space="preserve">developed from 2005 EIA-767 (or 2005 EIA-906 if possible) </t>
  </si>
  <si>
    <t>assigned by AirControlNET</t>
  </si>
  <si>
    <t>developed by Pechan</t>
  </si>
  <si>
    <t>State Name</t>
  </si>
  <si>
    <t>MARKAL Region</t>
  </si>
  <si>
    <t>Plant Name</t>
  </si>
  <si>
    <t>ORISPL</t>
  </si>
  <si>
    <t>BLRID</t>
  </si>
  <si>
    <t>SCC</t>
  </si>
  <si>
    <t>Capacity</t>
  </si>
  <si>
    <t>Capacity (size) category</t>
  </si>
  <si>
    <t>On-Line Year</t>
  </si>
  <si>
    <t xml:space="preserve">Heat Rate </t>
  </si>
  <si>
    <t>CapHR</t>
  </si>
  <si>
    <t>Firing</t>
  </si>
  <si>
    <t>Bottom</t>
  </si>
  <si>
    <t>Coal Type</t>
  </si>
  <si>
    <t>Coal Quantity</t>
  </si>
  <si>
    <t>Heat Content</t>
  </si>
  <si>
    <t>Sulfur Content</t>
  </si>
  <si>
    <t>Sulfur Content Category</t>
  </si>
  <si>
    <t>Ash Content</t>
  </si>
  <si>
    <t>Heat Input</t>
  </si>
  <si>
    <t>NOx Comb Control</t>
  </si>
  <si>
    <t>LNB</t>
  </si>
  <si>
    <t>NOx Post-Comb Control</t>
  </si>
  <si>
    <t>SCR</t>
  </si>
  <si>
    <t>SNCR</t>
  </si>
  <si>
    <t>SCR_Online_Year</t>
  </si>
  <si>
    <t>SNCR_Online_Year</t>
  </si>
  <si>
    <t>Dispatchable SCR</t>
  </si>
  <si>
    <t>Wet/DryScrubber</t>
  </si>
  <si>
    <t>Retrofit/Passthrough</t>
  </si>
  <si>
    <t>Scrubber_Online_Year</t>
  </si>
  <si>
    <t>Scrubber Efficiency</t>
  </si>
  <si>
    <t>Dispatchable Scrubber</t>
  </si>
  <si>
    <t>Mercury_Controls</t>
  </si>
  <si>
    <t>ACI_Online_Year</t>
  </si>
  <si>
    <t>Mercury_Controls Efficiency</t>
  </si>
  <si>
    <t>Dispatchable ACI</t>
  </si>
  <si>
    <t>PM Control(s)</t>
  </si>
  <si>
    <t>PM10 Removal Efficiency</t>
  </si>
  <si>
    <t>PM2.5 Removal Efficiency</t>
  </si>
  <si>
    <t>Uncontrolled NOx Base Rate (lbs/mmBtu)</t>
  </si>
  <si>
    <t>Controlled NOx Base Rate (lbs/mmBtu)</t>
  </si>
  <si>
    <t>Uncontrolled NOx Policy Rate (lbs/mmBtu)</t>
  </si>
  <si>
    <t>Controlled NOx Policy Rate (lbs/mmBtu)</t>
  </si>
  <si>
    <t>SO2 Permit Rate (lbs/mmBtu)</t>
  </si>
  <si>
    <t>Primary PM10 unc</t>
  </si>
  <si>
    <t>Primary PM10 cnt</t>
  </si>
  <si>
    <t>Primary PM2.5 unc</t>
  </si>
  <si>
    <t>Primary PM2.5 cnt</t>
  </si>
  <si>
    <t>Primary PM10 unc ER</t>
  </si>
  <si>
    <t>Primary PM10 cnt ER</t>
  </si>
  <si>
    <t>Primary PM2.5 unc ER</t>
  </si>
  <si>
    <t>Primary PM2.5 cnt ER</t>
  </si>
  <si>
    <t>Arizona</t>
  </si>
  <si>
    <t>R8</t>
  </si>
  <si>
    <t>Springerville</t>
  </si>
  <si>
    <t>3</t>
  </si>
  <si>
    <t>Over</t>
  </si>
  <si>
    <t>tangential</t>
  </si>
  <si>
    <t>dry</t>
  </si>
  <si>
    <t>SUB</t>
  </si>
  <si>
    <t>Low</t>
  </si>
  <si>
    <t>LNC3</t>
  </si>
  <si>
    <t>Y</t>
  </si>
  <si>
    <t>N</t>
  </si>
  <si>
    <t>Dry Scrubber</t>
  </si>
  <si>
    <t>Retrofit</t>
  </si>
  <si>
    <t>ESPC + B</t>
  </si>
  <si>
    <t>ESP</t>
  </si>
  <si>
    <t>Cold-side ESP + Fabric Filter + SCR + Dry Scrubber</t>
  </si>
  <si>
    <t>Recirculating</t>
  </si>
  <si>
    <t>4</t>
  </si>
  <si>
    <t>OVer</t>
  </si>
  <si>
    <t>Wall</t>
  </si>
  <si>
    <t>LNB + OFA</t>
  </si>
  <si>
    <t>Wet Scrubber</t>
  </si>
  <si>
    <t>Cold-side ESP + Fabric Filter + SCR + Wet Scrubber</t>
  </si>
  <si>
    <t>Arkansas</t>
  </si>
  <si>
    <t>R7</t>
  </si>
  <si>
    <t>Plum Point Energy</t>
  </si>
  <si>
    <t>STG1</t>
  </si>
  <si>
    <t>wall</t>
  </si>
  <si>
    <t>ACI</t>
  </si>
  <si>
    <t>Colorado</t>
  </si>
  <si>
    <t>Comanche</t>
  </si>
  <si>
    <t>FF</t>
  </si>
  <si>
    <t>Fabric Filter + SCR + Dry Scrubber</t>
  </si>
  <si>
    <t>Illinois</t>
  </si>
  <si>
    <t>R3</t>
  </si>
  <si>
    <t>Dallman</t>
  </si>
  <si>
    <t>34</t>
  </si>
  <si>
    <t>BIT</t>
  </si>
  <si>
    <t>Iowa</t>
  </si>
  <si>
    <t>R4</t>
  </si>
  <si>
    <t>Walter Scott Jr. Energy Center</t>
  </si>
  <si>
    <t>LNBO</t>
  </si>
  <si>
    <t>Montana</t>
  </si>
  <si>
    <t>Hardin Generator Project</t>
  </si>
  <si>
    <t>PC1</t>
  </si>
  <si>
    <t>Dry</t>
  </si>
  <si>
    <t>Dry scrubber</t>
  </si>
  <si>
    <t>Nevada</t>
  </si>
  <si>
    <t>TS Power Plant</t>
  </si>
  <si>
    <t>001</t>
  </si>
  <si>
    <t>North Dakota</t>
  </si>
  <si>
    <t>Great River Energy Spiritwood Station</t>
  </si>
  <si>
    <t>1</t>
  </si>
  <si>
    <t>Under</t>
  </si>
  <si>
    <t>LIG</t>
  </si>
  <si>
    <t>Cold-side ESP + Fabric Filter + SNCR + Dry Scrubber</t>
  </si>
  <si>
    <t>South Carolina</t>
  </si>
  <si>
    <t>R5</t>
  </si>
  <si>
    <t>Cross</t>
  </si>
  <si>
    <t>High</t>
  </si>
  <si>
    <t>ESPC + WS</t>
  </si>
  <si>
    <t>Cold-side ESP + SCR + Wet Scrubber</t>
  </si>
  <si>
    <t>Texas</t>
  </si>
  <si>
    <t>J K Spruce</t>
  </si>
  <si>
    <t>BLR2</t>
  </si>
  <si>
    <t>Oak Grove</t>
  </si>
  <si>
    <t>OG1</t>
  </si>
  <si>
    <t>Medium</t>
  </si>
  <si>
    <t>Open</t>
  </si>
  <si>
    <t>OG2</t>
  </si>
  <si>
    <t>Sandow</t>
  </si>
  <si>
    <t>5</t>
  </si>
  <si>
    <t>Wisconsin</t>
  </si>
  <si>
    <t>Elm Road Generating Station</t>
  </si>
  <si>
    <t>wet</t>
  </si>
  <si>
    <t>LA + OFA</t>
  </si>
  <si>
    <t>2</t>
  </si>
  <si>
    <t>Weston</t>
  </si>
  <si>
    <t>Wygen</t>
  </si>
  <si>
    <t>Fabric Filter + SCR + Wet Scrubber</t>
  </si>
  <si>
    <t>Two Elk Generating Station</t>
  </si>
  <si>
    <t>55360_B_1</t>
  </si>
  <si>
    <t>Louisiana</t>
  </si>
  <si>
    <t>Rodemacher</t>
  </si>
  <si>
    <t>6190_B_3A</t>
  </si>
  <si>
    <t>FBC</t>
  </si>
  <si>
    <t>Reagent Injection</t>
  </si>
  <si>
    <t>Cold-side ESP + Fabric Filter + SNCR</t>
  </si>
  <si>
    <t>6190_B_3B</t>
  </si>
  <si>
    <t>Ohio</t>
  </si>
  <si>
    <t>Lima Energy</t>
  </si>
  <si>
    <t>55635_B_1</t>
  </si>
  <si>
    <t>NDI</t>
  </si>
  <si>
    <t>Passthrough</t>
  </si>
  <si>
    <t>Manitowoc</t>
  </si>
  <si>
    <t>4125_B_9</t>
  </si>
  <si>
    <t>**Waste coal and petroleum coke plants were added by ECAT (WY) to the BIT,SUB, and LIG plant data provided by Pechan.</t>
  </si>
  <si>
    <t xml:space="preserve">  Plants listed in the NEEDS V4.10 database as primarily burning these fuels are shaded maroon for waste coal and blue for pet coke.</t>
  </si>
  <si>
    <t xml:space="preserve">  Both fuels were changed to medium sulfur bituminous in order to work with existing 9r resource flows.</t>
  </si>
  <si>
    <t>Table 2. Total overnight capital costs of new electricity generating technologies by region</t>
  </si>
  <si>
    <t>2022 $ per kilowatt</t>
  </si>
  <si>
    <t>regional_base_cost</t>
  </si>
  <si>
    <t>1 (TRE)</t>
  </si>
  <si>
    <t>2 (FRCC)</t>
  </si>
  <si>
    <t>3 (MISW)</t>
  </si>
  <si>
    <t>4 (MISC)</t>
  </si>
  <si>
    <t>5 (MISE)</t>
  </si>
  <si>
    <t>6 (MISS)</t>
  </si>
  <si>
    <t>7 (ISNE)</t>
  </si>
  <si>
    <t>8 (NYCW)</t>
  </si>
  <si>
    <t>9 (NYUP)</t>
  </si>
  <si>
    <t>10 (PJME)</t>
  </si>
  <si>
    <t>11 (PJMW)</t>
  </si>
  <si>
    <t>12 (PJMC)</t>
  </si>
  <si>
    <t>13 (PJMD)</t>
  </si>
  <si>
    <t>14 (SRCA)</t>
  </si>
  <si>
    <t>15 (SRSE)</t>
  </si>
  <si>
    <t>16 (SRCE)</t>
  </si>
  <si>
    <t>17 (SPPS)</t>
  </si>
  <si>
    <t>18 (SPPC)</t>
  </si>
  <si>
    <t>19 (SPPN)</t>
  </si>
  <si>
    <t>20 (SRSG)</t>
  </si>
  <si>
    <t>21 (CANO)</t>
  </si>
  <si>
    <t>22 (CASO)</t>
  </si>
  <si>
    <t>23 (NWPP)</t>
  </si>
  <si>
    <t>24 (RMRG)</t>
  </si>
  <si>
    <t>25 (BASN)</t>
  </si>
  <si>
    <t>USC with 30% CCS</t>
  </si>
  <si>
    <t>CC – single shaft</t>
  </si>
  <si>
    <t>CC – multi shaft</t>
  </si>
  <si>
    <t>CC with 90% CCS</t>
  </si>
  <si>
    <t>CT – aeroderivative</t>
  </si>
  <si>
    <t>CT – industrial frame</t>
  </si>
  <si>
    <t>Nuclear– light water reactor</t>
  </si>
  <si>
    <t>Nuclear– small modular reactor</t>
  </si>
  <si>
    <t>Dist. generation– base</t>
  </si>
  <si>
    <t>Dist. generation– peak</t>
  </si>
  <si>
    <t>Conventional hydropower</t>
  </si>
  <si>
    <t>Wind offshore</t>
  </si>
  <si>
    <t>Solar thermal</t>
  </si>
  <si>
    <t>Solar PV with tracking</t>
  </si>
  <si>
    <t>Solar PV with storage</t>
  </si>
  <si>
    <t>Data source: U.S. Energy Information Administration, Office of Electricity, Coal, Nuclear and Renewables Analysis.</t>
  </si>
  <si>
    <t>Notes: Costs include contingency factors, regional cost multipliers, and ambient condition multipliers. Interest charges are excluded. The costs are shown before investment tax credits are applied.</t>
  </si>
  <si>
    <t>NA: Not available; plant type cannot be built in the region due to lack of resources, sites or specific state legislation.</t>
  </si>
  <si>
    <t>USC = ultra-supercritical, CCS = carbon capture and sequestration, CC = combined cycle, CT = combustion turbine, PV = photovoltaic</t>
  </si>
  <si>
    <t>Electricity Market Module region map:   http://www.eia.gov/forecasts/aeo/pdf/nerc_map.pdf</t>
  </si>
  <si>
    <t>CAPEX ($/kW)</t>
  </si>
  <si>
    <t>ATB_capex</t>
  </si>
  <si>
    <t>Key</t>
  </si>
  <si>
    <t>FinancialCase</t>
  </si>
  <si>
    <t>CostCase</t>
  </si>
  <si>
    <t>CRPYears</t>
  </si>
  <si>
    <t>TechDetail</t>
  </si>
  <si>
    <t>DisplayName</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</si>
  <si>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</si>
  <si>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</si>
  <si>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</si>
  <si>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</si>
  <si>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</si>
  <si>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</si>
  <si>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</si>
  <si>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</si>
  <si>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</si>
  <si>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</si>
  <si>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</si>
  <si>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</si>
  <si>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</si>
  <si>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</si>
  <si>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</si>
  <si>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</si>
  <si>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</si>
  <si>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</si>
  <si>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</si>
  <si>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</si>
  <si>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</si>
  <si>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</si>
  <si>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</si>
  <si>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</si>
  <si>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</si>
  <si>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</si>
  <si>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</si>
  <si>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</si>
  <si>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</si>
  <si>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RA3CSSPClass2</t>
  </si>
  <si>
    <t>R&amp;D</t>
  </si>
  <si>
    <t>Advanced</t>
  </si>
  <si>
    <t>CSP</t>
  </si>
  <si>
    <t>Class2</t>
  </si>
  <si>
    <t>CSP - Class 2</t>
  </si>
  <si>
    <t>RM3CSSPClass2</t>
  </si>
  <si>
    <t>Moderate</t>
  </si>
  <si>
    <t>RC3CSSPClass2</t>
  </si>
  <si>
    <t>Conservative</t>
  </si>
  <si>
    <t>RA3CSSPClass3</t>
  </si>
  <si>
    <t>Class3</t>
  </si>
  <si>
    <t>CSP - Class 3</t>
  </si>
  <si>
    <t>RM3CSSPClass3</t>
  </si>
  <si>
    <t>RC3CSSPClass3</t>
  </si>
  <si>
    <t>RA3CSSPClass8</t>
  </si>
  <si>
    <t>Class8</t>
  </si>
  <si>
    <t>CSP - Class 8</t>
  </si>
  <si>
    <t>RM3CSSPClass8</t>
  </si>
  <si>
    <t>RC3CSSPClass8</t>
  </si>
  <si>
    <t>RA3OfndClass1</t>
  </si>
  <si>
    <t>OffShoreWind</t>
  </si>
  <si>
    <t>Class1</t>
  </si>
  <si>
    <t>Offshore Wind - Class 1</t>
  </si>
  <si>
    <t>RM3OfndClass1</t>
  </si>
  <si>
    <t>RC3OfndClass1</t>
  </si>
  <si>
    <t>RA3OfndClass2</t>
  </si>
  <si>
    <t>Offshore Wind - Class 2</t>
  </si>
  <si>
    <t>RM3OfndClass2</t>
  </si>
  <si>
    <t>RC3OfndClass2</t>
  </si>
  <si>
    <t>RA3OfndClass3</t>
  </si>
  <si>
    <t>Offshore Wind - Class 3</t>
  </si>
  <si>
    <t>RM3OfndClass3</t>
  </si>
  <si>
    <t>RC3OfndClass3</t>
  </si>
  <si>
    <t>RA3OfndClass4</t>
  </si>
  <si>
    <t>Class4</t>
  </si>
  <si>
    <t>Offshore Wind - Class 4</t>
  </si>
  <si>
    <t>RM3OfndClass4</t>
  </si>
  <si>
    <t>RC3OfndClass4</t>
  </si>
  <si>
    <t>RA3OfndClass5</t>
  </si>
  <si>
    <t>Class5</t>
  </si>
  <si>
    <t>Offshore Wind - Class 5</t>
  </si>
  <si>
    <t>RM3OfndClass5</t>
  </si>
  <si>
    <t>RC3OfndClass5</t>
  </si>
  <si>
    <t>RA3OfndClass6</t>
  </si>
  <si>
    <t>Class6</t>
  </si>
  <si>
    <t>Offshore Wind - Class 6</t>
  </si>
  <si>
    <t>RM3OfndClass6</t>
  </si>
  <si>
    <t>RC3OfndClass6</t>
  </si>
  <si>
    <t>RA3OfndClass7</t>
  </si>
  <si>
    <t>Class7</t>
  </si>
  <si>
    <t>Offshore Wind - Class 7</t>
  </si>
  <si>
    <t>RM3OfndClass7</t>
  </si>
  <si>
    <t>RC3OfndClass7</t>
  </si>
  <si>
    <t>RA3OfndClass8</t>
  </si>
  <si>
    <t>Offshore Wind - Class 8</t>
  </si>
  <si>
    <t>RM3OfndClass8</t>
  </si>
  <si>
    <t>RC3OfndClass8</t>
  </si>
  <si>
    <t>RA3OfndClass9</t>
  </si>
  <si>
    <t>Class9</t>
  </si>
  <si>
    <t>Offshore Wind - Class 9</t>
  </si>
  <si>
    <t>RM3OfndClass9</t>
  </si>
  <si>
    <t>RC3OfndClass9</t>
  </si>
  <si>
    <t>RA3OfndClass0</t>
  </si>
  <si>
    <t>Class10</t>
  </si>
  <si>
    <t>Offshore Wind - Class 10</t>
  </si>
  <si>
    <t>RM3OfndClass0</t>
  </si>
  <si>
    <t>RC3OfndClass0</t>
  </si>
  <si>
    <t>Class11</t>
  </si>
  <si>
    <t>Offshore Wind - Class 11</t>
  </si>
  <si>
    <t>Class12</t>
  </si>
  <si>
    <t>Offshore Wind - Class 12</t>
  </si>
  <si>
    <t>Class13</t>
  </si>
  <si>
    <t>Offshore Wind - Class 13</t>
  </si>
  <si>
    <t>Class14</t>
  </si>
  <si>
    <t>Offshore Wind - Class 14</t>
  </si>
  <si>
    <t>RA3UtPVClass1</t>
  </si>
  <si>
    <t>UtilityPV</t>
  </si>
  <si>
    <t>Utility PV - Class 1</t>
  </si>
  <si>
    <t>RM3UtPVClass1</t>
  </si>
  <si>
    <t>RC3UtPVClass1</t>
  </si>
  <si>
    <t>RA3UtPVClass2</t>
  </si>
  <si>
    <t>Utility PV - Class 2</t>
  </si>
  <si>
    <t>RM3UtPVClass2</t>
  </si>
  <si>
    <t>RC3UtPVClass2</t>
  </si>
  <si>
    <t>RA3UtPVClass3</t>
  </si>
  <si>
    <t>Utility PV - Class 3</t>
  </si>
  <si>
    <t>RM3UtPVClass3</t>
  </si>
  <si>
    <t>RC3UtPVClass3</t>
  </si>
  <si>
    <t>RA3UtPVClass4</t>
  </si>
  <si>
    <t>Utility PV - Class 4</t>
  </si>
  <si>
    <t>RM3UtPVClass4</t>
  </si>
  <si>
    <t>RC3UtPVClass4</t>
  </si>
  <si>
    <t>RA3UtPVClass5</t>
  </si>
  <si>
    <t>Utility PV - Class 5</t>
  </si>
  <si>
    <t>RM3UtPVClass5</t>
  </si>
  <si>
    <t>RC3UtPVClass5</t>
  </si>
  <si>
    <t>RA3UtPVClass6</t>
  </si>
  <si>
    <t>Utility PV - Class 6</t>
  </si>
  <si>
    <t>RM3UtPVClass6</t>
  </si>
  <si>
    <t>RC3UtPVClass6</t>
  </si>
  <si>
    <t>RA3UtPVClass7</t>
  </si>
  <si>
    <t>Utility PV - Class 7</t>
  </si>
  <si>
    <t>RM3UtPVClass7</t>
  </si>
  <si>
    <t>RC3UtPVClass7</t>
  </si>
  <si>
    <t>RA3UtPVClass8</t>
  </si>
  <si>
    <t>Utility PV - Class 8</t>
  </si>
  <si>
    <t>RM3UtPVClass8</t>
  </si>
  <si>
    <t>RC3UtPVClass8</t>
  </si>
  <si>
    <t>RA3UtPVClass9</t>
  </si>
  <si>
    <t>Utility PV - Class 9</t>
  </si>
  <si>
    <t>RM3UtPVClass9</t>
  </si>
  <si>
    <t>RC3UtPVClass9</t>
  </si>
  <si>
    <t>RA3UtPVClass0</t>
  </si>
  <si>
    <t>Utility PV - Class 10</t>
  </si>
  <si>
    <t>RM3UtPVClass0</t>
  </si>
  <si>
    <t>RC3UtPVClass0</t>
  </si>
  <si>
    <t>RA3LandClass1</t>
  </si>
  <si>
    <t>LandbasedWind</t>
  </si>
  <si>
    <t>Land-Based Wind - Class 1 - Technology 1</t>
  </si>
  <si>
    <t>RM3LandClass1</t>
  </si>
  <si>
    <t>RC3LandClass1</t>
  </si>
  <si>
    <t>RA3LandClass2</t>
  </si>
  <si>
    <t>Land-Based Wind - Class 2 - Technology 1</t>
  </si>
  <si>
    <t>RM3LandClass2</t>
  </si>
  <si>
    <t>RC3LandClass2</t>
  </si>
  <si>
    <t>RA3LandClass3</t>
  </si>
  <si>
    <t>Land-Based Wind - Class 3 - Technology 1</t>
  </si>
  <si>
    <t>RM3LandClass3</t>
  </si>
  <si>
    <t>RC3LandClass3</t>
  </si>
  <si>
    <t>RA3LandClass4</t>
  </si>
  <si>
    <t>Land-Based Wind - Class 4 - Technology 1</t>
  </si>
  <si>
    <t>RM3LandClass4</t>
  </si>
  <si>
    <t>RC3LandClass4</t>
  </si>
  <si>
    <t>RA3LandClass5</t>
  </si>
  <si>
    <t>Land-Based Wind - Class 5 - Technology 1</t>
  </si>
  <si>
    <t>RM3LandClass5</t>
  </si>
  <si>
    <t>RC3LandClass5</t>
  </si>
  <si>
    <t>RA3LandClass6</t>
  </si>
  <si>
    <t>Land-Based Wind - Class 6 - Technology 1</t>
  </si>
  <si>
    <t>RM3LandClass6</t>
  </si>
  <si>
    <t>RC3LandClass6</t>
  </si>
  <si>
    <t>RA3LandClass7</t>
  </si>
  <si>
    <t>Land-Based Wind - Class 7 - Technology 1</t>
  </si>
  <si>
    <t>RM3LandClass7</t>
  </si>
  <si>
    <t>RC3LandClass7</t>
  </si>
  <si>
    <t>RA3LandClass8</t>
  </si>
  <si>
    <t>Land-Based Wind - Class 8 - Technology 2</t>
  </si>
  <si>
    <t>RM3LandClass8</t>
  </si>
  <si>
    <t>RC3LandClass8</t>
  </si>
  <si>
    <t>RA3LandClass9</t>
  </si>
  <si>
    <t>Land-Based Wind - Class 9 - Technology 3</t>
  </si>
  <si>
    <t>RM3LandClass9</t>
  </si>
  <si>
    <t>RC3LandClass9</t>
  </si>
  <si>
    <t>RA3LandClass0</t>
  </si>
  <si>
    <t>Land-Based Wind - Class 10 - Technology 4</t>
  </si>
  <si>
    <t>RM3LandClass0</t>
  </si>
  <si>
    <t>RC3LandClass0</t>
  </si>
  <si>
    <t>RA3DindResid1</t>
  </si>
  <si>
    <t>DistributedWind</t>
  </si>
  <si>
    <t>ResidentialScaleClass1</t>
  </si>
  <si>
    <t>Residential DW - Class 1</t>
  </si>
  <si>
    <t>RM3DindResid1</t>
  </si>
  <si>
    <t>RC3DindResid1</t>
  </si>
  <si>
    <t>RA3DindComme1</t>
  </si>
  <si>
    <t>CommercialScaleClass1</t>
  </si>
  <si>
    <t>Commercial DW - Class 1</t>
  </si>
  <si>
    <t>RM3DindComme1</t>
  </si>
  <si>
    <t>RC3DindComme1</t>
  </si>
  <si>
    <t>RA3DindMidsi1</t>
  </si>
  <si>
    <t>MidsizeScaleClass1</t>
  </si>
  <si>
    <t>Midsize DW - Class 1</t>
  </si>
  <si>
    <t>RM3DindMidsi1</t>
  </si>
  <si>
    <t>RC3DindMidsi1</t>
  </si>
  <si>
    <t>RA3DindLarge1</t>
  </si>
  <si>
    <t>LargeScaleClass1</t>
  </si>
  <si>
    <t>Large DW - Class 1</t>
  </si>
  <si>
    <t>RM3DindLarge1</t>
  </si>
  <si>
    <t>RC3DindLarge1</t>
  </si>
  <si>
    <t>RA3DindResid2</t>
  </si>
  <si>
    <t>ResidentialScaleClass2</t>
  </si>
  <si>
    <t>Residential DW - Class 2</t>
  </si>
  <si>
    <t>RM3DindResid2</t>
  </si>
  <si>
    <t>RC3DindResid2</t>
  </si>
  <si>
    <t>RA3DindComme2</t>
  </si>
  <si>
    <t>CommercialScaleClass2</t>
  </si>
  <si>
    <t>Commercial DW - Class 2</t>
  </si>
  <si>
    <t>RM3DindComme2</t>
  </si>
  <si>
    <t>RC3DindComme2</t>
  </si>
  <si>
    <t>RA3DindMidsi2</t>
  </si>
  <si>
    <t>MidsizeScaleClass2</t>
  </si>
  <si>
    <t>Midsize DW - Class 2</t>
  </si>
  <si>
    <t>RM3DindMidsi2</t>
  </si>
  <si>
    <t>RC3DindMidsi2</t>
  </si>
  <si>
    <t>RA3DindLarge2</t>
  </si>
  <si>
    <t>LargeScaleClass2</t>
  </si>
  <si>
    <t>Large DW - Class 2</t>
  </si>
  <si>
    <t>RM3DindLarge2</t>
  </si>
  <si>
    <t>RC3DindLarge2</t>
  </si>
  <si>
    <t>RA3DindResid3</t>
  </si>
  <si>
    <t>ResidentialScaleClass3</t>
  </si>
  <si>
    <t>Residential DW - Class 3</t>
  </si>
  <si>
    <t>RM3DindResid3</t>
  </si>
  <si>
    <t>RC3DindResid3</t>
  </si>
  <si>
    <t>RA3DindComme3</t>
  </si>
  <si>
    <t>CommercialScaleClass3</t>
  </si>
  <si>
    <t>Commercial DW - Class 3</t>
  </si>
  <si>
    <t>RM3DindComme3</t>
  </si>
  <si>
    <t>RC3DindComme3</t>
  </si>
  <si>
    <t>RA3DindMidsi3</t>
  </si>
  <si>
    <t>MidsizeScaleClass3</t>
  </si>
  <si>
    <t>Midsize DW - Class 3</t>
  </si>
  <si>
    <t>RM3DindMidsi3</t>
  </si>
  <si>
    <t>RC3DindMidsi3</t>
  </si>
  <si>
    <t>RA3DindLarge3</t>
  </si>
  <si>
    <t>LargeScaleClass3</t>
  </si>
  <si>
    <t>Large DW - Class 3</t>
  </si>
  <si>
    <t>RM3DindLarge3</t>
  </si>
  <si>
    <t>RC3DindLarge3</t>
  </si>
  <si>
    <t>RA3DindResid4</t>
  </si>
  <si>
    <t>ResidentialScaleClass4</t>
  </si>
  <si>
    <t>Residential DW - Class 4</t>
  </si>
  <si>
    <t>RM3DindResid4</t>
  </si>
  <si>
    <t>RC3DindResid4</t>
  </si>
  <si>
    <t>RA3DindComme4</t>
  </si>
  <si>
    <t>CommercialScaleClass4</t>
  </si>
  <si>
    <t>Commercial DW - Class 4</t>
  </si>
  <si>
    <t>RM3DindComme4</t>
  </si>
  <si>
    <t>RC3DindComme4</t>
  </si>
  <si>
    <t>RA3DindMidsi4</t>
  </si>
  <si>
    <t>MidsizeScaleClass4</t>
  </si>
  <si>
    <t>Midsize DW - Class 4</t>
  </si>
  <si>
    <t>RM3DindMidsi4</t>
  </si>
  <si>
    <t>RC3DindMidsi4</t>
  </si>
  <si>
    <t>RA3DindLarge4</t>
  </si>
  <si>
    <t>LargeScaleClass4</t>
  </si>
  <si>
    <t>Large DW - Class 4</t>
  </si>
  <si>
    <t>RM3DindLarge4</t>
  </si>
  <si>
    <t>RC3DindLarge4</t>
  </si>
  <si>
    <t>RA3DindResid5</t>
  </si>
  <si>
    <t>ResidentialScaleClass5</t>
  </si>
  <si>
    <t>Residential DW - Class 5</t>
  </si>
  <si>
    <t>RM3DindResid5</t>
  </si>
  <si>
    <t>RC3DindResid5</t>
  </si>
  <si>
    <t>RA3DindComme5</t>
  </si>
  <si>
    <t>CommercialScaleClass5</t>
  </si>
  <si>
    <t>Commercial DW - Class 5</t>
  </si>
  <si>
    <t>RM3DindComme5</t>
  </si>
  <si>
    <t>RC3DindComme5</t>
  </si>
  <si>
    <t>RA3DindMidsi5</t>
  </si>
  <si>
    <t>MidsizeScaleClass5</t>
  </si>
  <si>
    <t>Midsize DW - Class 5</t>
  </si>
  <si>
    <t>RM3DindMidsi5</t>
  </si>
  <si>
    <t>RC3DindMidsi5</t>
  </si>
  <si>
    <t>RA3DindLarge5</t>
  </si>
  <si>
    <t>LargeScaleClass5</t>
  </si>
  <si>
    <t>Large DW - Class 5</t>
  </si>
  <si>
    <t>RM3DindLarge5</t>
  </si>
  <si>
    <t>RC3DindLarge5</t>
  </si>
  <si>
    <t>RA3DindResid6</t>
  </si>
  <si>
    <t>ResidentialScaleClass6</t>
  </si>
  <si>
    <t>Residential DW - Class 6</t>
  </si>
  <si>
    <t>RM3DindResid6</t>
  </si>
  <si>
    <t>RC3DindResid6</t>
  </si>
  <si>
    <t>RA3DindComme6</t>
  </si>
  <si>
    <t>CommercialScaleClass6</t>
  </si>
  <si>
    <t>Commercial DW - Class 6</t>
  </si>
  <si>
    <t>RM3DindComme6</t>
  </si>
  <si>
    <t>RC3DindComme6</t>
  </si>
  <si>
    <t>RA3DindMidsi6</t>
  </si>
  <si>
    <t>MidsizeScaleClass6</t>
  </si>
  <si>
    <t>Midsize DW - Class 6</t>
  </si>
  <si>
    <t>RM3DindMidsi6</t>
  </si>
  <si>
    <t>RC3DindMidsi6</t>
  </si>
  <si>
    <t>RA3DindLarge6</t>
  </si>
  <si>
    <t>LargeScaleClass6</t>
  </si>
  <si>
    <t>Large DW - Class 6</t>
  </si>
  <si>
    <t>RM3DindLarge6</t>
  </si>
  <si>
    <t>RC3DindLarge6</t>
  </si>
  <si>
    <t>RA3DindResid7</t>
  </si>
  <si>
    <t>ResidentialScaleClass7</t>
  </si>
  <si>
    <t>Residential DW - Class 7</t>
  </si>
  <si>
    <t>RM3DindResid7</t>
  </si>
  <si>
    <t>RC3DindResid7</t>
  </si>
  <si>
    <t>RA3DindComme7</t>
  </si>
  <si>
    <t>CommercialScaleClass7</t>
  </si>
  <si>
    <t>Commercial DW - Class 7</t>
  </si>
  <si>
    <t>RM3DindComme7</t>
  </si>
  <si>
    <t>RC3DindComme7</t>
  </si>
  <si>
    <t>RA3DindMidsi7</t>
  </si>
  <si>
    <t>MidsizeScaleClass7</t>
  </si>
  <si>
    <t>Midsize DW - Class 7</t>
  </si>
  <si>
    <t>RM3DindMidsi7</t>
  </si>
  <si>
    <t>RC3DindMidsi7</t>
  </si>
  <si>
    <t>RA3DindLarge7</t>
  </si>
  <si>
    <t>LargeScaleClass7</t>
  </si>
  <si>
    <t>Large DW - Class 7</t>
  </si>
  <si>
    <t>RM3DindLarge7</t>
  </si>
  <si>
    <t>RC3DindLarge7</t>
  </si>
  <si>
    <t>RA3DindResid8</t>
  </si>
  <si>
    <t>ResidentialScaleClass8</t>
  </si>
  <si>
    <t>Residential DW - Class 8</t>
  </si>
  <si>
    <t>RM3DindResid8</t>
  </si>
  <si>
    <t>RC3DindResid8</t>
  </si>
  <si>
    <t>RA3DindComme8</t>
  </si>
  <si>
    <t>CommercialScaleClass8</t>
  </si>
  <si>
    <t>Commercial DW - Class 8</t>
  </si>
  <si>
    <t>RM3DindComme8</t>
  </si>
  <si>
    <t>RC3DindComme8</t>
  </si>
  <si>
    <t>RA3DindMidsi8</t>
  </si>
  <si>
    <t>MidsizeScaleClass8</t>
  </si>
  <si>
    <t>Midsize DW - Class 8</t>
  </si>
  <si>
    <t>RM3DindMidsi8</t>
  </si>
  <si>
    <t>RC3DindMidsi8</t>
  </si>
  <si>
    <t>RA3DindLarge8</t>
  </si>
  <si>
    <t>LargeScaleClass8</t>
  </si>
  <si>
    <t>Large DW - Class 8</t>
  </si>
  <si>
    <t>RM3DindLarge8</t>
  </si>
  <si>
    <t>RC3DindLarge8</t>
  </si>
  <si>
    <t>RA3DindResid9</t>
  </si>
  <si>
    <t>ResidentialScaleClass9</t>
  </si>
  <si>
    <t>Residential DW - Class 9</t>
  </si>
  <si>
    <t>RM3DindResid9</t>
  </si>
  <si>
    <t>RC3DindResid9</t>
  </si>
  <si>
    <t>RA3DindComme9</t>
  </si>
  <si>
    <t>CommercialScaleClass9</t>
  </si>
  <si>
    <t>Commercial DW - Class 9</t>
  </si>
  <si>
    <t>RM3DindComme9</t>
  </si>
  <si>
    <t>RC3DindComme9</t>
  </si>
  <si>
    <t>RA3DindMidsi9</t>
  </si>
  <si>
    <t>MidsizeScaleClass9</t>
  </si>
  <si>
    <t>Midsize DW - Class 9</t>
  </si>
  <si>
    <t>RM3DindMidsi9</t>
  </si>
  <si>
    <t>RC3DindMidsi9</t>
  </si>
  <si>
    <t>RA3DindLarge9</t>
  </si>
  <si>
    <t>LargeScaleClass9</t>
  </si>
  <si>
    <t>Large DW - Class 9</t>
  </si>
  <si>
    <t>RM3DindLarge9</t>
  </si>
  <si>
    <t>RC3DindLarge9</t>
  </si>
  <si>
    <t>RA3DindResid0</t>
  </si>
  <si>
    <t>ResidentialScaleClass10</t>
  </si>
  <si>
    <t>Residential DW - Class 10</t>
  </si>
  <si>
    <t>RM3DindResid0</t>
  </si>
  <si>
    <t>RC3DindResid0</t>
  </si>
  <si>
    <t>RA3DindComme0</t>
  </si>
  <si>
    <t>CommercialScaleClass10</t>
  </si>
  <si>
    <t>Commercial DW - Class 10</t>
  </si>
  <si>
    <t>RM3DindComme0</t>
  </si>
  <si>
    <t>RC3DindComme0</t>
  </si>
  <si>
    <t>RA3DindMidsi0</t>
  </si>
  <si>
    <t>MidsizeScaleClass10</t>
  </si>
  <si>
    <t>Midsize DW - Class 10</t>
  </si>
  <si>
    <t>RM3DindMidsi0</t>
  </si>
  <si>
    <t>RC3DindMidsi0</t>
  </si>
  <si>
    <t>RA3DindLarge0</t>
  </si>
  <si>
    <t>LargeScaleClass10</t>
  </si>
  <si>
    <t>Large DW - Class 10</t>
  </si>
  <si>
    <t>RM3DindLarge0</t>
  </si>
  <si>
    <t>RC3DindLarge0</t>
  </si>
  <si>
    <t>RA3CoPVClass1</t>
  </si>
  <si>
    <t>CommPV</t>
  </si>
  <si>
    <t>Commercial PV - Class 1</t>
  </si>
  <si>
    <t>RM3CoPVClass1</t>
  </si>
  <si>
    <t>RC3CoPVClass1</t>
  </si>
  <si>
    <t>RA3CoPVClass2</t>
  </si>
  <si>
    <t>Commercial PV - Class 2</t>
  </si>
  <si>
    <t>RM3CoPVClass2</t>
  </si>
  <si>
    <t>RC3CoPVClass2</t>
  </si>
  <si>
    <t>RA3CoPVClass3</t>
  </si>
  <si>
    <t>Commercial PV - Class 3</t>
  </si>
  <si>
    <t>RM3CoPVClass3</t>
  </si>
  <si>
    <t>RC3CoPVClass3</t>
  </si>
  <si>
    <t>RA3CoPVClass4</t>
  </si>
  <si>
    <t>Commercial PV - Class 4</t>
  </si>
  <si>
    <t>RM3CoPVClass4</t>
  </si>
  <si>
    <t>RC3CoPVClass4</t>
  </si>
  <si>
    <t>RA3CoPVClass5</t>
  </si>
  <si>
    <t>Commercial PV - Class 5</t>
  </si>
  <si>
    <t>RM3CoPVClass5</t>
  </si>
  <si>
    <t>RC3CoPVClass5</t>
  </si>
  <si>
    <t>RA3CoPVClass6</t>
  </si>
  <si>
    <t>Commercial PV - Class 6</t>
  </si>
  <si>
    <t>RM3CoPVClass6</t>
  </si>
  <si>
    <t>RC3CoPVClass6</t>
  </si>
  <si>
    <t>RA3CoPVClass7</t>
  </si>
  <si>
    <t>Commercial PV - Class 7</t>
  </si>
  <si>
    <t>RM3CoPVClass7</t>
  </si>
  <si>
    <t>RC3CoPVClass7</t>
  </si>
  <si>
    <t>RA3CoPVClass8</t>
  </si>
  <si>
    <t>Commercial PV - Class 8</t>
  </si>
  <si>
    <t>RM3CoPVClass8</t>
  </si>
  <si>
    <t>RC3CoPVClass8</t>
  </si>
  <si>
    <t>RA3CoPVClass9</t>
  </si>
  <si>
    <t>Commercial PV - Class 9</t>
  </si>
  <si>
    <t>RM3CoPVClass9</t>
  </si>
  <si>
    <t>RC3CoPVClass9</t>
  </si>
  <si>
    <t>RA3CoPVClass0</t>
  </si>
  <si>
    <t>Commercial PV - Class 10</t>
  </si>
  <si>
    <t>RM3CoPVClass0</t>
  </si>
  <si>
    <t>RC3CoPVClass0</t>
  </si>
  <si>
    <t>RA3RePVClass1</t>
  </si>
  <si>
    <t>ResPV</t>
  </si>
  <si>
    <t>Residential PV - Class 1</t>
  </si>
  <si>
    <t>RM3RePVClass1</t>
  </si>
  <si>
    <t>RC3RePVClass1</t>
  </si>
  <si>
    <t>RA3RePVClass2</t>
  </si>
  <si>
    <t>Residential PV - Class 2</t>
  </si>
  <si>
    <t>RM3RePVClass2</t>
  </si>
  <si>
    <t>RC3RePVClass2</t>
  </si>
  <si>
    <t>RA3RePVClass3</t>
  </si>
  <si>
    <t>Residential PV - Class 3</t>
  </si>
  <si>
    <t>RM3RePVClass3</t>
  </si>
  <si>
    <t>RC3RePVClass3</t>
  </si>
  <si>
    <t>RA3RePVClass4</t>
  </si>
  <si>
    <t>Residential PV - Class 4</t>
  </si>
  <si>
    <t>RM3RePVClass4</t>
  </si>
  <si>
    <t>RC3RePVClass4</t>
  </si>
  <si>
    <t>RA3RePVClass5</t>
  </si>
  <si>
    <t>Residential PV - Class 5</t>
  </si>
  <si>
    <t>RM3RePVClass5</t>
  </si>
  <si>
    <t>RC3RePVClass5</t>
  </si>
  <si>
    <t>RA3RePVClass6</t>
  </si>
  <si>
    <t>Residential PV - Class 6</t>
  </si>
  <si>
    <t>RM3RePVClass6</t>
  </si>
  <si>
    <t>RC3RePVClass6</t>
  </si>
  <si>
    <t>RA3RePVClass7</t>
  </si>
  <si>
    <t>Residential PV - Class 7</t>
  </si>
  <si>
    <t>RM3RePVClass7</t>
  </si>
  <si>
    <t>RC3RePVClass7</t>
  </si>
  <si>
    <t>RA3RePVClass8</t>
  </si>
  <si>
    <t>Residential PV - Class 8</t>
  </si>
  <si>
    <t>RM3RePVClass8</t>
  </si>
  <si>
    <t>RC3RePVClass8</t>
  </si>
  <si>
    <t>RA3RePVClass9</t>
  </si>
  <si>
    <t>Residential PV - Class 9</t>
  </si>
  <si>
    <t>RM3RePVClass9</t>
  </si>
  <si>
    <t>RC3RePVClass9</t>
  </si>
  <si>
    <t>RA3RePVClass0</t>
  </si>
  <si>
    <t>Residential PV - Class 10</t>
  </si>
  <si>
    <t>RM3RePVClass0</t>
  </si>
  <si>
    <t>RC3RePVClass0</t>
  </si>
  <si>
    <t>RA3GealHydroh</t>
  </si>
  <si>
    <t>HydroFlash</t>
  </si>
  <si>
    <t>Geothermal - Hydro / Flash</t>
  </si>
  <si>
    <t>RM3GealHydroh</t>
  </si>
  <si>
    <t>RC3GealHydroh</t>
  </si>
  <si>
    <t>RA3GealHydroy</t>
  </si>
  <si>
    <t>HydroBinary</t>
  </si>
  <si>
    <t>Geothermal - Hydro / Binary</t>
  </si>
  <si>
    <t>RM3GealHydroy</t>
  </si>
  <si>
    <t>RC3GealHydroy</t>
  </si>
  <si>
    <t>RA3GealNFEGSh</t>
  </si>
  <si>
    <t>NFEGSFlash</t>
  </si>
  <si>
    <t>Geothermal - NF EGS / Flash</t>
  </si>
  <si>
    <t>RM3GealNFEGSh</t>
  </si>
  <si>
    <t>RC3GealNFEGSh</t>
  </si>
  <si>
    <t>RA3GealNFEGSy</t>
  </si>
  <si>
    <t>NFEGSBinary</t>
  </si>
  <si>
    <t>Geothermal - NF EGS / Binary</t>
  </si>
  <si>
    <t>RM3GealNFEGSy</t>
  </si>
  <si>
    <t>RC3GealNFEGSy</t>
  </si>
  <si>
    <t>RA3GealDeepEh</t>
  </si>
  <si>
    <t>DeepEGSFlash</t>
  </si>
  <si>
    <t>Geothermal - Deep EGS / Flash</t>
  </si>
  <si>
    <t>RM3GealDeepEh</t>
  </si>
  <si>
    <t>RC3GealDeepEh</t>
  </si>
  <si>
    <t>RA3GealDeepEy</t>
  </si>
  <si>
    <t>DeepEGSBinary</t>
  </si>
  <si>
    <t>Geothermal - Deep EGS / Binary</t>
  </si>
  <si>
    <t>RM3GealDeepEy</t>
  </si>
  <si>
    <t>RC3GealDeepEy</t>
  </si>
  <si>
    <t>RA6NuarNucler</t>
  </si>
  <si>
    <t>Nuclear - Large</t>
  </si>
  <si>
    <t>RM6NuarNucler</t>
  </si>
  <si>
    <t>RC6NuarNucler</t>
  </si>
  <si>
    <t>RA6NuarNucleR</t>
  </si>
  <si>
    <t>NuclearSMR</t>
  </si>
  <si>
    <t>Nuclear - Small</t>
  </si>
  <si>
    <t>RM6NuarNucleR</t>
  </si>
  <si>
    <t>RC6NuarNucleR</t>
  </si>
  <si>
    <t>RA4BierDedicd</t>
  </si>
  <si>
    <t>Biopower</t>
  </si>
  <si>
    <t>Dedicated</t>
  </si>
  <si>
    <t>Biopower - Dedicated</t>
  </si>
  <si>
    <t>RM4BierDedicd</t>
  </si>
  <si>
    <t>RC4BierDedicd</t>
  </si>
  <si>
    <t>RA*Utge2Hr Be</t>
  </si>
  <si>
    <t>Utility-Scale Battery Storage</t>
  </si>
  <si>
    <t>2Hr Battery Storage</t>
  </si>
  <si>
    <t>Utility-Scale Battery Storage - 2Hr</t>
  </si>
  <si>
    <t>RM*Utge2Hr Be</t>
  </si>
  <si>
    <t>RC*Utge2Hr Be</t>
  </si>
  <si>
    <t>RA*Utge4Hr Be</t>
  </si>
  <si>
    <t>4Hr Battery Storage</t>
  </si>
  <si>
    <t>Utility-Scale Battery Storage - 4Hr</t>
  </si>
  <si>
    <t>RM*Utge4Hr Be</t>
  </si>
  <si>
    <t>RC*Utge4Hr Be</t>
  </si>
  <si>
    <t>RA*Utge6Hr Be</t>
  </si>
  <si>
    <t>6Hr Battery Storage</t>
  </si>
  <si>
    <t>Utility-Scale Battery Storage - 6Hr</t>
  </si>
  <si>
    <t>RM*Utge6Hr Be</t>
  </si>
  <si>
    <t>RC*Utge6Hr Be</t>
  </si>
  <si>
    <t>RA*Utge8Hr Be</t>
  </si>
  <si>
    <t>8Hr Battery Storage</t>
  </si>
  <si>
    <t>Utility-Scale Battery Storage - 8Hr</t>
  </si>
  <si>
    <t>RM*Utge8Hr Be</t>
  </si>
  <si>
    <t>RC*Utge8Hr Be</t>
  </si>
  <si>
    <t>RA*Utge10Hr e</t>
  </si>
  <si>
    <t>10Hr Battery Storage</t>
  </si>
  <si>
    <t>Utility-Scale Battery Storage - 10Hr</t>
  </si>
  <si>
    <t>RM*Utge10Hr e</t>
  </si>
  <si>
    <t>RC*Utge10Hr e</t>
  </si>
  <si>
    <t>RA1HyerNPD11</t>
  </si>
  <si>
    <t>Hydropower</t>
  </si>
  <si>
    <t>NPD1</t>
  </si>
  <si>
    <t>Hydropower - NPD 1</t>
  </si>
  <si>
    <t>RM1HyerNPD11</t>
  </si>
  <si>
    <t>RC1HyerNPD11</t>
  </si>
  <si>
    <t>RA1HyerNPD22</t>
  </si>
  <si>
    <t>NPD2</t>
  </si>
  <si>
    <t>Hydropower - NPD 2</t>
  </si>
  <si>
    <t>RM1HyerNPD22</t>
  </si>
  <si>
    <t>RC1HyerNPD22</t>
  </si>
  <si>
    <t>RA1HyerNPD33</t>
  </si>
  <si>
    <t>NPD3</t>
  </si>
  <si>
    <t>Hydropower - NPD 3</t>
  </si>
  <si>
    <t>RM1HyerNPD33</t>
  </si>
  <si>
    <t>RC1HyerNPD33</t>
  </si>
  <si>
    <t>RA1HyerNPD44</t>
  </si>
  <si>
    <t>NPD4</t>
  </si>
  <si>
    <t>Hydropower - NPD 4</t>
  </si>
  <si>
    <t>RM1HyerNPD44</t>
  </si>
  <si>
    <t>RC1HyerNPD44</t>
  </si>
  <si>
    <t>RA1HyerNPD55</t>
  </si>
  <si>
    <t>NPD5</t>
  </si>
  <si>
    <t>Hydropower - NPD 5</t>
  </si>
  <si>
    <t>RM1HyerNPD55</t>
  </si>
  <si>
    <t>RC1HyerNPD55</t>
  </si>
  <si>
    <t>RA1HyerNPD66</t>
  </si>
  <si>
    <t>NPD6</t>
  </si>
  <si>
    <t>Hydropower - NPD 6</t>
  </si>
  <si>
    <t>RM1HyerNPD66</t>
  </si>
  <si>
    <t>RC1HyerNPD66</t>
  </si>
  <si>
    <t>RA1HyerNPD77</t>
  </si>
  <si>
    <t>NPD7</t>
  </si>
  <si>
    <t>Hydropower - NPD 7</t>
  </si>
  <si>
    <t>RM1HyerNPD77</t>
  </si>
  <si>
    <t>RC1HyerNPD77</t>
  </si>
  <si>
    <t>RA1HyerNPD88</t>
  </si>
  <si>
    <t>NPD8</t>
  </si>
  <si>
    <t>Hydropower - NPD 8</t>
  </si>
  <si>
    <t>RM1HyerNPD88</t>
  </si>
  <si>
    <t>RC1HyerNPD88</t>
  </si>
  <si>
    <t>RA1HyerNSD11</t>
  </si>
  <si>
    <t>NSD1</t>
  </si>
  <si>
    <t>Hydropower - NSD 1</t>
  </si>
  <si>
    <t>RM1HyerNSD11</t>
  </si>
  <si>
    <t>RC1HyerNSD11</t>
  </si>
  <si>
    <t>RA1HyerNSD22</t>
  </si>
  <si>
    <t>NSD2</t>
  </si>
  <si>
    <t>Hydropower - NSD 2</t>
  </si>
  <si>
    <t>RM1HyerNSD22</t>
  </si>
  <si>
    <t>RC1HyerNSD22</t>
  </si>
  <si>
    <t>RA1HyerNSD33</t>
  </si>
  <si>
    <t>NSD3</t>
  </si>
  <si>
    <t>Hydropower - NSD 3</t>
  </si>
  <si>
    <t>RM1HyerNSD33</t>
  </si>
  <si>
    <t>RC1HyerNSD33</t>
  </si>
  <si>
    <t>RA1HyerNSD44</t>
  </si>
  <si>
    <t>NSD4</t>
  </si>
  <si>
    <t>Hydropower - NSD 4</t>
  </si>
  <si>
    <t>RM1HyerNSD44</t>
  </si>
  <si>
    <t>RC1HyerNSD44</t>
  </si>
  <si>
    <t>RA*Coge1Hr Be</t>
  </si>
  <si>
    <t>Commercial Battery Storage</t>
  </si>
  <si>
    <t>1Hr Battery Storage</t>
  </si>
  <si>
    <t>Commercial Battery Storage 1Hr</t>
  </si>
  <si>
    <t>RM*Coge1Hr Be</t>
  </si>
  <si>
    <t>RC*Coge1Hr Be</t>
  </si>
  <si>
    <t>RA*Coge2Hr Be</t>
  </si>
  <si>
    <t>Commercial Battery Storage 2Hr</t>
  </si>
  <si>
    <t>RM*Coge2Hr Be</t>
  </si>
  <si>
    <t>RC*Coge2Hr Be</t>
  </si>
  <si>
    <t>RA*Coge4Hr Be</t>
  </si>
  <si>
    <t>Commercial Battery Storage 4Hr</t>
  </si>
  <si>
    <t>RM*Coge4Hr Be</t>
  </si>
  <si>
    <t>RC*Coge4Hr Be</t>
  </si>
  <si>
    <t>RA*Coge6Hr Be</t>
  </si>
  <si>
    <t>Commercial Battery Storage 6Hr</t>
  </si>
  <si>
    <t>RM*Coge6Hr Be</t>
  </si>
  <si>
    <t>RC*Coge6Hr Be</t>
  </si>
  <si>
    <t>RA*Coge8Hr Be</t>
  </si>
  <si>
    <t>Commercial Battery Storage 8Hr</t>
  </si>
  <si>
    <t>RM*Coge8Hr Be</t>
  </si>
  <si>
    <t>RC*Coge8Hr Be</t>
  </si>
  <si>
    <t>RA*RegeShorte</t>
  </si>
  <si>
    <t>Residential Battery Storage</t>
  </si>
  <si>
    <t>ShortDurationResStorage</t>
  </si>
  <si>
    <t>Residential Battery Storage - 5 kW - 12.5 kWh</t>
  </si>
  <si>
    <t>RM*RegeShorte</t>
  </si>
  <si>
    <t>RC*RegeShorte</t>
  </si>
  <si>
    <t>RA*Rege5kW/2e</t>
  </si>
  <si>
    <t>5kW/20kWh Battery Storage</t>
  </si>
  <si>
    <t>Residential Battery Storage - 5 kW - 20 kWh</t>
  </si>
  <si>
    <t>RM*Rege5kW/2e</t>
  </si>
  <si>
    <t>RC*Rege5kW/2e</t>
  </si>
  <si>
    <t>RA3UtryClass1</t>
  </si>
  <si>
    <t>Utility-Scale PV-Plus-Battery</t>
  </si>
  <si>
    <t>PV+Storage - Class 1</t>
  </si>
  <si>
    <t>RM3UtryClass1</t>
  </si>
  <si>
    <t>RC3UtryClass1</t>
  </si>
  <si>
    <t>RA3UtryClass2</t>
  </si>
  <si>
    <t>PV+Storage - Class 2</t>
  </si>
  <si>
    <t>RM3UtryClass2</t>
  </si>
  <si>
    <t>RC3UtryClass2</t>
  </si>
  <si>
    <t>RA3UtryClass3</t>
  </si>
  <si>
    <t>PV+Storage - Class 3</t>
  </si>
  <si>
    <t>RM3UtryClass3</t>
  </si>
  <si>
    <t>RC3UtryClass3</t>
  </si>
  <si>
    <t>RA3UtryClass4</t>
  </si>
  <si>
    <t>PV+Storage - Class 4</t>
  </si>
  <si>
    <t>RM3UtryClass4</t>
  </si>
  <si>
    <t>RC3UtryClass4</t>
  </si>
  <si>
    <t>RA3UtryClass5</t>
  </si>
  <si>
    <t>PV+Storage - Class 5</t>
  </si>
  <si>
    <t>RM3UtryClass5</t>
  </si>
  <si>
    <t>RC3UtryClass5</t>
  </si>
  <si>
    <t>RA3UtryClass6</t>
  </si>
  <si>
    <t>PV+Storage - Class 6</t>
  </si>
  <si>
    <t>RM3UtryClass6</t>
  </si>
  <si>
    <t>RC3UtryClass6</t>
  </si>
  <si>
    <t>RA3UtryClass7</t>
  </si>
  <si>
    <t>PV+Storage - Class 7</t>
  </si>
  <si>
    <t>RM3UtryClass7</t>
  </si>
  <si>
    <t>RC3UtryClass7</t>
  </si>
  <si>
    <t>RA3UtryClass8</t>
  </si>
  <si>
    <t>PV+Storage - Class 8</t>
  </si>
  <si>
    <t>RM3UtryClass8</t>
  </si>
  <si>
    <t>RC3UtryClass8</t>
  </si>
  <si>
    <t>RA3UtryClass9</t>
  </si>
  <si>
    <t>PV+Storage - Class 9</t>
  </si>
  <si>
    <t>RM3UtryClass9</t>
  </si>
  <si>
    <t>RC3UtryClass9</t>
  </si>
  <si>
    <t>RA3UtryClass0</t>
  </si>
  <si>
    <t>PV+Storage - Class 10</t>
  </si>
  <si>
    <t>RM3UtryClass0</t>
  </si>
  <si>
    <t>RC3UtryClass0</t>
  </si>
  <si>
    <t>RA*PuerNatlC1</t>
  </si>
  <si>
    <t>Pumped Storage Hydropower</t>
  </si>
  <si>
    <t>NatlClass1</t>
  </si>
  <si>
    <t>Pumped Storage Hydropower - National Class 1</t>
  </si>
  <si>
    <t>RM*PuerNatlC1</t>
  </si>
  <si>
    <t>RC*PuerNatlC1</t>
  </si>
  <si>
    <t>RA*PuerNatlC2</t>
  </si>
  <si>
    <t>NatlClass2</t>
  </si>
  <si>
    <t>Pumped Storage Hydropower - National Class 2</t>
  </si>
  <si>
    <t>RM*PuerNatlC2</t>
  </si>
  <si>
    <t>RC*PuerNatlC2</t>
  </si>
  <si>
    <t>RA*PuerNatlC3</t>
  </si>
  <si>
    <t>NatlClass3</t>
  </si>
  <si>
    <t>Pumped Storage Hydropower - National Class 3</t>
  </si>
  <si>
    <t>RM*PuerNatlC3</t>
  </si>
  <si>
    <t>RC*PuerNatlC3</t>
  </si>
  <si>
    <t>RA*PuerNatlC4</t>
  </si>
  <si>
    <t>NatlClass4</t>
  </si>
  <si>
    <t>Pumped Storage Hydropower - National Class 4</t>
  </si>
  <si>
    <t>RM*PuerNatlC4</t>
  </si>
  <si>
    <t>RC*PuerNatlC4</t>
  </si>
  <si>
    <t>RA*PuerNatlC5</t>
  </si>
  <si>
    <t>NatlClass5</t>
  </si>
  <si>
    <t>Pumped Storage Hydropower - National Class 5</t>
  </si>
  <si>
    <t>RM*PuerNatlC5</t>
  </si>
  <si>
    <t>RC*PuerNatlC5</t>
  </si>
  <si>
    <t>RA*PuerNatlC6</t>
  </si>
  <si>
    <t>NatlClass6</t>
  </si>
  <si>
    <t>Pumped Storage Hydropower - National Class 6</t>
  </si>
  <si>
    <t>RM*PuerNatlC6</t>
  </si>
  <si>
    <t>RC*PuerNatlC6</t>
  </si>
  <si>
    <t>RA*PuerNatlC7</t>
  </si>
  <si>
    <t>NatlClass7</t>
  </si>
  <si>
    <t>Pumped Storage Hydropower - National Class 7</t>
  </si>
  <si>
    <t>RM*PuerNatlC7</t>
  </si>
  <si>
    <t>RC*PuerNatlC7</t>
  </si>
  <si>
    <t>RA*PuerNatlC8</t>
  </si>
  <si>
    <t>NatlClass8</t>
  </si>
  <si>
    <t>Pumped Storage Hydropower - National Class 8</t>
  </si>
  <si>
    <t>RM*PuerNatlC8</t>
  </si>
  <si>
    <t>RC*PuerNatlC8</t>
  </si>
  <si>
    <t>RA*PuerNatlC9</t>
  </si>
  <si>
    <t>NatlClass9</t>
  </si>
  <si>
    <t>Pumped Storage Hydropower - National Class 9</t>
  </si>
  <si>
    <t>RM*PuerNatlC9</t>
  </si>
  <si>
    <t>RC*PuerNatlC9</t>
  </si>
  <si>
    <t>RA*PuerNatlC0</t>
  </si>
  <si>
    <t>NatlClass10</t>
  </si>
  <si>
    <t>Pumped Storage Hydropower - National Class 10</t>
  </si>
  <si>
    <t>RM*PuerNatlC0</t>
  </si>
  <si>
    <t>RC*PuerNatlC0</t>
  </si>
  <si>
    <t>NatlClass11</t>
  </si>
  <si>
    <t>Pumped Storage Hydropower - National Class 11</t>
  </si>
  <si>
    <t>NatlClass12</t>
  </si>
  <si>
    <t>Pumped Storage Hydropower - National Class 12</t>
  </si>
  <si>
    <t>NatlClass13</t>
  </si>
  <si>
    <t>Pumped Storage Hydropower - National Class 13</t>
  </si>
  <si>
    <t>NatlClass14</t>
  </si>
  <si>
    <t>Pumped Storage Hydropower - National Class 14</t>
  </si>
  <si>
    <t>NatlClass15</t>
  </si>
  <si>
    <t>Pumped Storage Hydropower - National Class 15</t>
  </si>
  <si>
    <t>RA*PuesNatlC1</t>
  </si>
  <si>
    <t>Pumped Storage Hydropower One New Res</t>
  </si>
  <si>
    <t>Pumped Storage Hydropower One New Reservoir - National Class 1</t>
  </si>
  <si>
    <t>RM*PuesNatlC1</t>
  </si>
  <si>
    <t>RC*PuesNatlC1</t>
  </si>
  <si>
    <t>RA*PuesNatlC2</t>
  </si>
  <si>
    <t>Pumped Storage Hydropower One New Reservoir - National Class 2</t>
  </si>
  <si>
    <t>RM*PuesNatlC2</t>
  </si>
  <si>
    <t>RC*PuesNatlC2</t>
  </si>
  <si>
    <t>RA*PuesNatlC3</t>
  </si>
  <si>
    <t>Pumped Storage Hydropower One New Reservoir - National Class 3</t>
  </si>
  <si>
    <t>RM*PuesNatlC3</t>
  </si>
  <si>
    <t>RC*PuesNatlC3</t>
  </si>
  <si>
    <t>RA*PuesNatlC4</t>
  </si>
  <si>
    <t>Pumped Storage Hydropower One New Reservoir - National Class 4</t>
  </si>
  <si>
    <t>RM*PuesNatlC4</t>
  </si>
  <si>
    <t>RC*PuesNatlC4</t>
  </si>
  <si>
    <t>RA*PuesNatlC5</t>
  </si>
  <si>
    <t>Pumped Storage Hydropower One New Reservoir - National Class 5</t>
  </si>
  <si>
    <t>RM*PuesNatlC5</t>
  </si>
  <si>
    <t>RC*PuesNatlC5</t>
  </si>
  <si>
    <t>RA3NaCTAvgCF</t>
  </si>
  <si>
    <t>RD</t>
  </si>
  <si>
    <t>NaturalGas_FE</t>
  </si>
  <si>
    <t>CTAvgCF</t>
  </si>
  <si>
    <t>NG Combustion Turbine (F-Frame)</t>
  </si>
  <si>
    <t>RM3NaCTAvgCF</t>
  </si>
  <si>
    <t>RC3NaCTAvgCF</t>
  </si>
  <si>
    <t>RA3NaCCAvgCF</t>
  </si>
  <si>
    <t>CCAvgCF</t>
  </si>
  <si>
    <t>NG 2-on-1 Combined Cycle (F-Frame)</t>
  </si>
  <si>
    <t>RM3NaCCAvgCF</t>
  </si>
  <si>
    <t>RC3NaCCAvgCF</t>
  </si>
  <si>
    <t>RA3NaCCHFrae</t>
  </si>
  <si>
    <t>CCHFrame</t>
  </si>
  <si>
    <t>NG 2-on-1 Combined Cycle (H-Frame)</t>
  </si>
  <si>
    <t>RM3NaCCHFrae</t>
  </si>
  <si>
    <t>RC3NaCCHFrae</t>
  </si>
  <si>
    <t>RA3NaCC1x1He</t>
  </si>
  <si>
    <t>CC1x1HFrame</t>
  </si>
  <si>
    <t>NG 1-on-1 Combined Cycle (H-Frame)</t>
  </si>
  <si>
    <t>RM3NaCC1x1He</t>
  </si>
  <si>
    <t>RC3NaCC1x1He</t>
  </si>
  <si>
    <t>RA3NaNGFCC</t>
  </si>
  <si>
    <t>NGFC</t>
  </si>
  <si>
    <t>NG Fuel Cell</t>
  </si>
  <si>
    <t>RM3NaNGFCC</t>
  </si>
  <si>
    <t>RA3NaCCCCSAF</t>
  </si>
  <si>
    <t>CCCCSAvgCF</t>
  </si>
  <si>
    <t>NG 2-on-1 Combined Cycle (F-Frame) 95% CCS</t>
  </si>
  <si>
    <t>RM3NaCCCCSAF</t>
  </si>
  <si>
    <t>RC3NaCCCCSAF</t>
  </si>
  <si>
    <t>RA3NaCCCCSH%</t>
  </si>
  <si>
    <t>CCCCSHFrame95%</t>
  </si>
  <si>
    <t>NG 2-on-1 Combined Cycle (H-Frame) 95% CCS</t>
  </si>
  <si>
    <t>RM3NaCCCCSH%</t>
  </si>
  <si>
    <t>RC3NaCCCCSH%</t>
  </si>
  <si>
    <t>RA3NaCCCCS1%</t>
  </si>
  <si>
    <t>CCCCS1x1HFrame95%</t>
  </si>
  <si>
    <t>NG 1-on-1 Combined Cycle (H-Frame) 95% CCS</t>
  </si>
  <si>
    <t>RM3NaCCCCS1%</t>
  </si>
  <si>
    <t>RC3NaCCCCS1%</t>
  </si>
  <si>
    <t>RA3NaCCFFraS</t>
  </si>
  <si>
    <t>CCFFrameMaxCCS</t>
  </si>
  <si>
    <t>NG 2-on-1 Combined Cycle (F-Frame) 97% CCS</t>
  </si>
  <si>
    <t>RM3NaCCFFraS</t>
  </si>
  <si>
    <t>RC3NaCCFFraS</t>
  </si>
  <si>
    <t>RA3NaCCHFraS</t>
  </si>
  <si>
    <t>CCHFrameMaxCCS</t>
  </si>
  <si>
    <t>NG 2-on-1 Combined Cycle (H-Frame) 97% CCS</t>
  </si>
  <si>
    <t>RM3NaCCHFraS</t>
  </si>
  <si>
    <t>RC3NaCCHFraS</t>
  </si>
  <si>
    <t>RA3NaCC1x1HS</t>
  </si>
  <si>
    <t>CC1x1HFrameMaxCCS</t>
  </si>
  <si>
    <t>NG 1-on-1 Combined Cycle (H-Frame) 97% CCS</t>
  </si>
  <si>
    <t>RM3NaCC1x1HS</t>
  </si>
  <si>
    <t>RC3NaCC1x1HS</t>
  </si>
  <si>
    <t>RA3NaNGFCMaS</t>
  </si>
  <si>
    <t>NGFCMaxCCS</t>
  </si>
  <si>
    <t>NG Fuel Cell 98% CCS</t>
  </si>
  <si>
    <t>RM3NaNGFCMaS</t>
  </si>
  <si>
    <t>RA3ConewAvgF</t>
  </si>
  <si>
    <t>Coal_FE</t>
  </si>
  <si>
    <t>newAvgCF</t>
  </si>
  <si>
    <t>Coal-new</t>
  </si>
  <si>
    <t>RM3ConewAvgF</t>
  </si>
  <si>
    <t>RC3ConewAvgF</t>
  </si>
  <si>
    <t>RA3CoCCS95AF</t>
  </si>
  <si>
    <t>CCS95AvgCF</t>
  </si>
  <si>
    <t>Coal-95%-CCS</t>
  </si>
  <si>
    <t>RM3CoCCS95AF</t>
  </si>
  <si>
    <t>RC3CoCCS95AF</t>
  </si>
  <si>
    <t>RA3CoCoalMaS</t>
  </si>
  <si>
    <t>CoalMaxCCS</t>
  </si>
  <si>
    <t>Coal-99%-CCS</t>
  </si>
  <si>
    <t>RM3CoCoalMaS</t>
  </si>
  <si>
    <t>RC3CoCoalMaS</t>
  </si>
  <si>
    <t>RA3CoIGCCAvF</t>
  </si>
  <si>
    <t>IGCCAvgCF</t>
  </si>
  <si>
    <t>Coal-IGCC</t>
  </si>
  <si>
    <t>RM3CoIGCCAvF</t>
  </si>
  <si>
    <t>RC3CoIGCCAvF</t>
  </si>
  <si>
    <t>Capacity Factor</t>
  </si>
  <si>
    <t>Fixed Operation and Maintenance Expenses ($/kW-yr)</t>
  </si>
  <si>
    <t>Variable Operation and Maintenance Expenses ($/MWh)</t>
  </si>
  <si>
    <t>Processed in python; see process_supply_curves.ipynb</t>
  </si>
  <si>
    <t>Resource</t>
  </si>
  <si>
    <t>class</t>
  </si>
  <si>
    <t>capacity</t>
  </si>
  <si>
    <t>total_supply_curve_cost</t>
  </si>
  <si>
    <t>avg_cost_per_mw</t>
  </si>
  <si>
    <t>solar</t>
  </si>
  <si>
    <t>offshore_wind</t>
  </si>
  <si>
    <t>onshore_wind</t>
  </si>
  <si>
    <t>SUBPERIOD ENERGY PRECENTAGES - DECIMAL FRACTION - DEFAULT LEVEL OUPUT</t>
  </si>
  <si>
    <t>9 Time Slices across, 15 regions down</t>
  </si>
  <si>
    <t>Fraction of Annual Output occurring in Sub-period</t>
  </si>
  <si>
    <t>NERC</t>
  </si>
  <si>
    <t>R#</t>
  </si>
  <si>
    <t>Output Correlation Factor</t>
  </si>
  <si>
    <t>Sub-period Annual Output Percentages according to QRH sub-periods</t>
  </si>
  <si>
    <t>Sub-period Output Proportions (to be multiplied by annual CF)</t>
  </si>
  <si>
    <t>I-D</t>
  </si>
  <si>
    <t>I-N</t>
  </si>
  <si>
    <t>S-D</t>
  </si>
  <si>
    <t>S-N</t>
  </si>
  <si>
    <t>W-D</t>
  </si>
  <si>
    <t>W-N</t>
  </si>
  <si>
    <t>Check Totals</t>
  </si>
  <si>
    <t>R5,R6</t>
  </si>
  <si>
    <t>R8,R9</t>
  </si>
  <si>
    <t>calc QRH</t>
  </si>
  <si>
    <t>QRH</t>
  </si>
  <si>
    <t>R9</t>
  </si>
  <si>
    <t>splits of day slice</t>
  </si>
  <si>
    <t>Time slice fraction (as given in wesarea.v1.10) and as calculated (below)</t>
  </si>
  <si>
    <t>Jun-Sep</t>
  </si>
  <si>
    <t>Dec-Mar</t>
  </si>
  <si>
    <t>Apr,May,Oct,Nov</t>
  </si>
  <si>
    <t>7-18</t>
  </si>
  <si>
    <t xml:space="preserve"> 5-7 &amp; 18-24 </t>
  </si>
  <si>
    <t xml:space="preserve">0-5  </t>
  </si>
  <si>
    <t>State to Census Region Conversion</t>
  </si>
  <si>
    <t>GDP Deflators (Conversion to US$2005)</t>
  </si>
  <si>
    <t>Standard Conversions</t>
  </si>
  <si>
    <t xml:space="preserve">Alabama </t>
  </si>
  <si>
    <t>AL</t>
  </si>
  <si>
    <t>Year</t>
  </si>
  <si>
    <t>Deflator</t>
  </si>
  <si>
    <t>deflate</t>
  </si>
  <si>
    <t>Multiply By (for $2005)</t>
  </si>
  <si>
    <t>from</t>
  </si>
  <si>
    <t>to</t>
  </si>
  <si>
    <t>multiply  by</t>
  </si>
  <si>
    <t>Alaska</t>
  </si>
  <si>
    <t>AK</t>
  </si>
  <si>
    <t>Btu</t>
  </si>
  <si>
    <t xml:space="preserve">Arizona </t>
  </si>
  <si>
    <t>AZ</t>
  </si>
  <si>
    <t>kWh</t>
  </si>
  <si>
    <t>MJ</t>
  </si>
  <si>
    <t xml:space="preserve">Arkansas </t>
  </si>
  <si>
    <t>AR</t>
  </si>
  <si>
    <t>MWh</t>
  </si>
  <si>
    <t xml:space="preserve">California </t>
  </si>
  <si>
    <t>CA</t>
  </si>
  <si>
    <t xml:space="preserve">Colorado </t>
  </si>
  <si>
    <t>MMBtu</t>
  </si>
  <si>
    <t xml:space="preserve">Connecticut </t>
  </si>
  <si>
    <t>CT</t>
  </si>
  <si>
    <t>yr</t>
  </si>
  <si>
    <t>hr</t>
  </si>
  <si>
    <t xml:space="preserve">Delaware </t>
  </si>
  <si>
    <t>DE</t>
  </si>
  <si>
    <t>Pja</t>
  </si>
  <si>
    <t>District of Columbia</t>
  </si>
  <si>
    <t>DC</t>
  </si>
  <si>
    <t>$mills/kWh</t>
  </si>
  <si>
    <t>$Million/PJ</t>
  </si>
  <si>
    <t xml:space="preserve">Florida </t>
  </si>
  <si>
    <t>FL</t>
  </si>
  <si>
    <t>btu/hr</t>
  </si>
  <si>
    <t xml:space="preserve">Georgia </t>
  </si>
  <si>
    <t>GA</t>
  </si>
  <si>
    <t>Hawaii</t>
  </si>
  <si>
    <t>HI</t>
  </si>
  <si>
    <t xml:space="preserve">Idaho </t>
  </si>
  <si>
    <t>ID</t>
  </si>
  <si>
    <t xml:space="preserve">Illinois </t>
  </si>
  <si>
    <t>IL</t>
  </si>
  <si>
    <t xml:space="preserve">Indiana </t>
  </si>
  <si>
    <t>IN</t>
  </si>
  <si>
    <t xml:space="preserve">Iowa </t>
  </si>
  <si>
    <t>IA</t>
  </si>
  <si>
    <t xml:space="preserve">Kansas </t>
  </si>
  <si>
    <t>KS</t>
  </si>
  <si>
    <t xml:space="preserve">Kentucky </t>
  </si>
  <si>
    <t>KY</t>
  </si>
  <si>
    <t xml:space="preserve">Louisiana </t>
  </si>
  <si>
    <t>LA</t>
  </si>
  <si>
    <t xml:space="preserve">Maine </t>
  </si>
  <si>
    <t>ME</t>
  </si>
  <si>
    <t xml:space="preserve">Maryland </t>
  </si>
  <si>
    <t>MD</t>
  </si>
  <si>
    <t xml:space="preserve">Massachusetts </t>
  </si>
  <si>
    <t>MA</t>
  </si>
  <si>
    <t xml:space="preserve">Michigan </t>
  </si>
  <si>
    <t>MI</t>
  </si>
  <si>
    <t xml:space="preserve">Minnesota </t>
  </si>
  <si>
    <t>MN</t>
  </si>
  <si>
    <t xml:space="preserve">Mississippi </t>
  </si>
  <si>
    <t>MS</t>
  </si>
  <si>
    <t xml:space="preserve">Missouri </t>
  </si>
  <si>
    <t>MO</t>
  </si>
  <si>
    <t xml:space="preserve">Montana </t>
  </si>
  <si>
    <t>MT</t>
  </si>
  <si>
    <t xml:space="preserve">Nebraska </t>
  </si>
  <si>
    <t>NE</t>
  </si>
  <si>
    <t xml:space="preserve">Nevada </t>
  </si>
  <si>
    <t>NV</t>
  </si>
  <si>
    <t xml:space="preserve">New Hampshire </t>
  </si>
  <si>
    <t>NH</t>
  </si>
  <si>
    <t xml:space="preserve">New Jersey </t>
  </si>
  <si>
    <t>NJ</t>
  </si>
  <si>
    <t xml:space="preserve">New Mexico </t>
  </si>
  <si>
    <t>NM</t>
  </si>
  <si>
    <t xml:space="preserve">New York </t>
  </si>
  <si>
    <t>NY</t>
  </si>
  <si>
    <t xml:space="preserve">North Carolina </t>
  </si>
  <si>
    <t>NC</t>
  </si>
  <si>
    <t xml:space="preserve">North Dakota </t>
  </si>
  <si>
    <t>ND</t>
  </si>
  <si>
    <t xml:space="preserve">Ohio </t>
  </si>
  <si>
    <t>OH</t>
  </si>
  <si>
    <t xml:space="preserve">Oklahoma </t>
  </si>
  <si>
    <t>OK</t>
  </si>
  <si>
    <t xml:space="preserve">Oregon </t>
  </si>
  <si>
    <t>OR</t>
  </si>
  <si>
    <t xml:space="preserve">Pennsylvania </t>
  </si>
  <si>
    <t>PA</t>
  </si>
  <si>
    <t xml:space="preserve">Rhode Island </t>
  </si>
  <si>
    <t>RI</t>
  </si>
  <si>
    <t xml:space="preserve">South Carolina </t>
  </si>
  <si>
    <t>SC</t>
  </si>
  <si>
    <t xml:space="preserve">South Dakota </t>
  </si>
  <si>
    <t>SD</t>
  </si>
  <si>
    <t xml:space="preserve">Tennessee </t>
  </si>
  <si>
    <t>TN</t>
  </si>
  <si>
    <t xml:space="preserve">Texas </t>
  </si>
  <si>
    <t>TX</t>
  </si>
  <si>
    <t xml:space="preserve">Utah </t>
  </si>
  <si>
    <t>UT</t>
  </si>
  <si>
    <t>FRED Graph Observations</t>
  </si>
  <si>
    <t xml:space="preserve">Vermont </t>
  </si>
  <si>
    <t>VT</t>
  </si>
  <si>
    <t>Federal Reserve Economic Data</t>
  </si>
  <si>
    <t xml:space="preserve">Virginia </t>
  </si>
  <si>
    <t>VA</t>
  </si>
  <si>
    <t>Link: https://fred.stlouisfed.org</t>
  </si>
  <si>
    <t xml:space="preserve">Washington </t>
  </si>
  <si>
    <t>WA</t>
  </si>
  <si>
    <t>Help: https://fredhelp.stlouisfed.org</t>
  </si>
  <si>
    <t xml:space="preserve">West Virginia </t>
  </si>
  <si>
    <t>WV</t>
  </si>
  <si>
    <t>Economic Research Division</t>
  </si>
  <si>
    <t xml:space="preserve">Wisconsin </t>
  </si>
  <si>
    <t>WI</t>
  </si>
  <si>
    <t>Federal Reserve Bank of St. Louis</t>
  </si>
  <si>
    <t xml:space="preserve">Wyoming </t>
  </si>
  <si>
    <t>WY</t>
  </si>
  <si>
    <t>A191RD3A086NBEA</t>
  </si>
  <si>
    <t>Gross domestic product (implicit price deflator), Index 2017=100, Annual, Not Seasonally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</si>
</sst>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3" formatCode="_(* #,##0.00_);_(* \(#,##0.00\);_(* &quot;-&quot;??_);_(@_)"/>
    <numFmt numFmtId="164" formatCode="_-* #,##0.00_-;\-* #,##0.00_-;_-* &quot;-&quot;??_-;_-@_-"/>
    <numFmt numFmtId="165" formatCode="_-* #,##0.000_-;\-* #,##0.000_-;_-* &quot;-&quot;??_-;_-@_-"/>
    <numFmt numFmtId="166" formatCode="\Te\x\t"/>
    <numFmt numFmtId="167" formatCode="0.000"/>
    <numFmt numFmtId="168" formatCode="#,##0.000"/>
    <numFmt numFmtId="169" formatCode="#,##0.0"/>
    <numFmt numFmtId="170" formatCode="#,##0.0000"/>
    <numFmt numFmtId="171" formatCode="0.0"/>
    <numFmt numFmtId="172" formatCode="0.0000"/>
    <numFmt numFmtId="173" formatCode="&quot;$&quot;#,##0.00"/>
    <numFmt numFmtId="174" formatCode="&quot;$&quot;#,##0"/>
    <numFmt numFmtId="175" formatCode="_-* #,##0.0_-;\-* #,##0.0_-;_-* &quot;-&quot;??_-;_-@_-"/>
  </numFmts>
  <fonts count="52" x14ac:knownFonts="1">
    <font>
      <sz val="11"/>
      <color theme="1"/>
      <name val="Calibri"/>
      <family val="2"/>
      <scheme val="minor"/>
    </font>
    <font>
      <sz val="11"/>
      <color theme="1"/>
      <name val="Calibri"/>
      <family val="2"/>
      <scheme val="minor"/>
    </font>
    <font>
      <sz val="11"/>
      <color theme="0"/>
      <name val="Calibri"/>
      <family val="2"/>
      <scheme val="minor"/>
    </font>
    <font>
      <sz val="10"/>
      <name val="Arial"/>
      <family val="2"/>
    </font>
    <font>
      <b/>
      <sz val="11"/>
      <color theme="0"/>
      <name val="Aptos"/>
      <family val="2"/>
    </font>
    <font>
      <sz val="11"/>
      <name val="Aptos"/>
      <family val="2"/>
    </font>
    <font>
      <sz val="11"/>
      <color theme="4" tint="-0.249977111117893"/>
      <name val="Calibri"/>
      <family val="2"/>
      <scheme val="minor"/>
    </font>
    <font>
      <b/>
      <sz val="10"/>
      <color rgb="FF0000FF"/>
      <name val="Arial"/>
      <family val="2"/>
    </font>
    <font>
      <sz val="10"/>
      <color theme="1"/>
      <name val="Arial"/>
      <family val="2"/>
    </font>
    <font>
      <sz val="10"/>
      <name val="Arial"/>
      <family val="2"/>
    </font>
    <font>
      <b/>
      <sz val="10"/>
      <name val="Arial"/>
      <family val="2"/>
    </font>
    <font>
      <b/>
      <sz val="11"/>
      <name val="Arial"/>
      <family val="2"/>
    </font>
    <font>
      <b/>
      <i/>
      <sz val="12"/>
      <name val="Arial"/>
      <family val="2"/>
    </font>
    <font>
      <sz val="8"/>
      <color theme="1"/>
      <name val="Calibri"/>
      <family val="2"/>
      <scheme val="minor"/>
    </font>
    <font>
      <i/>
      <sz val="10"/>
      <name val="Calibri"/>
      <family val="2"/>
      <scheme val="minor"/>
    </font>
    <font>
      <b/>
      <sz val="12"/>
      <name val="Arial"/>
      <family val="2"/>
    </font>
    <font>
      <sz val="10"/>
      <color indexed="8"/>
      <name val="Arial"/>
      <family val="2"/>
    </font>
    <font>
      <b/>
      <sz val="10"/>
      <color indexed="12"/>
      <name val="Arial"/>
      <family val="2"/>
    </font>
    <font>
      <sz val="10"/>
      <color theme="0" tint="-0.34998626667073579"/>
      <name val="Arial"/>
      <family val="2"/>
    </font>
    <font>
      <sz val="8"/>
      <color indexed="8"/>
      <name val="Arial"/>
      <family val="2"/>
    </font>
    <font>
      <b/>
      <sz val="10"/>
      <color indexed="20"/>
      <name val="Arial"/>
      <family val="2"/>
    </font>
    <font>
      <sz val="10"/>
      <color indexed="12"/>
      <name val="Arial"/>
      <family val="2"/>
    </font>
    <font>
      <b/>
      <sz val="9"/>
      <color indexed="81"/>
      <name val="Tahoma"/>
      <family val="2"/>
    </font>
    <font>
      <sz val="9"/>
      <color indexed="81"/>
      <name val="Tahoma"/>
      <family val="2"/>
    </font>
    <font>
      <sz val="11"/>
      <name val="Calibri"/>
      <family val="2"/>
      <scheme val="minor"/>
    </font>
    <font>
      <u/>
      <sz val="10"/>
      <color indexed="12"/>
      <name val="Arial"/>
      <family val="2"/>
    </font>
    <font>
      <i/>
      <sz val="10"/>
      <name val="Arial"/>
      <family val="2"/>
    </font>
    <font>
      <b/>
      <sz val="10"/>
      <color indexed="10"/>
      <name val="Arial"/>
      <family val="2"/>
    </font>
    <font>
      <b/>
      <vertAlign val="subscript"/>
      <sz val="10"/>
      <name val="Arial"/>
      <family val="2"/>
    </font>
    <font>
      <sz val="8"/>
      <name val="Calibri"/>
      <family val="2"/>
      <scheme val="minor"/>
    </font>
    <font>
      <sz val="10"/>
      <name val="MS Sans Serif"/>
      <family val="2"/>
    </font>
    <font>
      <b/>
      <sz val="8"/>
      <color indexed="81"/>
      <name val="Tahoma"/>
      <family val="2"/>
    </font>
    <font>
      <sz val="8"/>
      <color indexed="81"/>
      <name val="Tahoma"/>
      <family val="2"/>
    </font>
    <font>
      <u/>
      <sz val="11"/>
      <color theme="10"/>
      <name val="Calibri"/>
      <family val="2"/>
      <scheme val="minor"/>
    </font>
    <font>
      <sz val="9"/>
      <color theme="1"/>
      <name val="Calibri"/>
      <family val="2"/>
      <scheme val="minor"/>
    </font>
    <font>
      <vertAlign val="superscript"/>
      <sz val="8"/>
      <color rgb="FF000000"/>
      <name val="Calibri"/>
      <family val="2"/>
      <scheme val="minor"/>
    </font>
    <font>
      <vertAlign val="superscript"/>
      <sz val="9"/>
      <color rgb="FF000000"/>
      <name val="Calibri"/>
      <family val="2"/>
      <scheme val="minor"/>
    </font>
    <font>
      <sz val="9"/>
      <color rgb="FF000000"/>
      <name val="Calibri"/>
      <family val="2"/>
      <scheme val="minor"/>
    </font>
    <font>
      <sz val="9"/>
      <name val="Calibri"/>
      <family val="2"/>
      <scheme val="minor"/>
    </font>
    <font>
      <vertAlign val="superscript"/>
      <sz val="9"/>
      <name val="Calibri"/>
      <family val="2"/>
      <scheme val="minor"/>
    </font>
    <font>
      <sz val="8"/>
      <color rgb="FF000000"/>
      <name val="Calibri"/>
      <family val="2"/>
      <scheme val="minor"/>
    </font>
    <font>
      <vertAlign val="superscript"/>
      <sz val="11"/>
      <color theme="1"/>
      <name val="Calibri"/>
      <family val="2"/>
      <scheme val="minor"/>
    </font>
    <font>
      <b/>
      <sz val="9"/>
      <color theme="1"/>
      <name val="Calibri"/>
      <family val="2"/>
      <scheme val="minor"/>
    </font>
    <font>
      <b/>
      <vertAlign val="superscript"/>
      <sz val="9"/>
      <color theme="1"/>
      <name val="Calibri"/>
      <family val="2"/>
      <scheme val="minor"/>
    </font>
    <font>
      <sz val="10"/>
      <name val="Arial"/>
      <family val="2"/>
    </font>
    <font>
      <sz val="10"/>
      <color rgb="FFFF0000"/>
      <name val="Arial"/>
      <family val="2"/>
    </font>
    <font>
      <b/>
      <sz val="11"/>
      <name val="Calibri"/>
    </font>
    <font>
      <b/>
      <sz val="11"/>
      <color theme="0"/>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b/>
      <sz val="13"/>
      <color rgb="FF212529"/>
      <name val="Arial"/>
      <family val="2"/>
    </font>
  </fonts>
  <fills count="20">
    <fill>
      <patternFill patternType="none"/>
    </fill>
    <fill>
      <patternFill patternType="gray125"/>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8" tint="-0.49998474074526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FFFF99"/>
        <bgColor indexed="64"/>
      </patternFill>
    </fill>
    <fill>
      <patternFill patternType="solid">
        <fgColor theme="0" tint="-4.9989318521683403E-2"/>
        <bgColor indexed="64"/>
      </patternFill>
    </fill>
    <fill>
      <patternFill patternType="solid">
        <fgColor indexed="43"/>
        <bgColor indexed="64"/>
      </patternFill>
    </fill>
    <fill>
      <patternFill patternType="solid">
        <fgColor rgb="FFFFFFCC"/>
        <bgColor indexed="64"/>
      </patternFill>
    </fill>
    <fill>
      <patternFill patternType="solid">
        <fgColor theme="0" tint="-0.14999847407452621"/>
        <bgColor indexed="64"/>
      </patternFill>
    </fill>
    <fill>
      <patternFill patternType="solid">
        <fgColor indexed="47"/>
        <bgColor indexed="64"/>
      </patternFill>
    </fill>
    <fill>
      <patternFill patternType="solid">
        <fgColor theme="6" tint="0.79998168889431442"/>
        <bgColor indexed="64"/>
      </patternFill>
    </fill>
    <fill>
      <patternFill patternType="solid">
        <fgColor rgb="FFFFFF00"/>
        <bgColor indexed="64"/>
      </patternFill>
    </fill>
    <fill>
      <patternFill patternType="solid">
        <fgColor theme="6"/>
        <bgColor indexed="64"/>
      </patternFill>
    </fill>
    <fill>
      <patternFill patternType="solid">
        <fgColor theme="4"/>
        <bgColor indexed="64"/>
      </patternFill>
    </fill>
    <fill>
      <patternFill patternType="solid">
        <fgColor theme="2" tint="-0.499984740745262"/>
        <bgColor indexed="64"/>
      </patternFill>
    </fill>
  </fills>
  <borders count="37">
    <border>
      <left/>
      <right/>
      <top/>
      <bottom/>
      <diagonal/>
    </border>
    <border>
      <left style="thick">
        <color indexed="64"/>
      </left>
      <right/>
      <top/>
      <bottom/>
      <diagonal/>
    </border>
    <border>
      <left/>
      <right/>
      <top style="thin">
        <color auto="1"/>
      </top>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style="medium">
        <color theme="4"/>
      </top>
      <bottom/>
      <diagonal/>
    </border>
    <border>
      <left/>
      <right/>
      <top/>
      <bottom style="dashed">
        <color theme="0" tint="-0.2499465926084170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medium">
        <color theme="4" tint="-0.499984740745262"/>
      </top>
      <bottom/>
      <diagonal/>
    </border>
    <border>
      <left style="thin">
        <color theme="0"/>
      </left>
      <right style="thin">
        <color theme="0"/>
      </right>
      <top/>
      <bottom/>
      <diagonal/>
    </border>
    <border>
      <left style="thin">
        <color theme="0"/>
      </left>
      <right style="thin">
        <color theme="0"/>
      </right>
      <top/>
      <bottom style="medium">
        <color theme="4" tint="-0.499984740745262"/>
      </bottom>
      <diagonal/>
    </border>
    <border>
      <left style="thin">
        <color theme="0"/>
      </left>
      <right style="thin">
        <color theme="0"/>
      </right>
      <top style="thin">
        <color theme="0"/>
      </top>
      <bottom style="medium">
        <color theme="4" tint="-0.499984740745262"/>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s>
  <cellStyleXfs count="3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3" fillId="0" borderId="0"/>
    <xf numFmtId="0" fontId="1" fillId="0" borderId="0"/>
    <xf numFmtId="0" fontId="9" fillId="0" borderId="0"/>
    <xf numFmtId="164" fontId="9" fillId="0" borderId="0" applyFont="0" applyFill="0" applyBorder="0" applyAlignment="0" applyProtection="0"/>
    <xf numFmtId="0" fontId="1" fillId="0" borderId="0"/>
    <xf numFmtId="0" fontId="9" fillId="0" borderId="0"/>
    <xf numFmtId="0" fontId="16" fillId="0" borderId="0"/>
    <xf numFmtId="0" fontId="16" fillId="0" borderId="0"/>
    <xf numFmtId="0" fontId="9" fillId="0" borderId="0"/>
    <xf numFmtId="0" fontId="1" fillId="0" borderId="0"/>
    <xf numFmtId="0" fontId="9" fillId="0" borderId="0"/>
    <xf numFmtId="0" fontId="9" fillId="0" borderId="0"/>
    <xf numFmtId="0" fontId="9" fillId="0" borderId="0"/>
    <xf numFmtId="0" fontId="16" fillId="0" borderId="0"/>
    <xf numFmtId="0" fontId="25" fillId="0" borderId="0" applyNumberFormat="0" applyFill="0" applyBorder="0" applyAlignment="0" applyProtection="0">
      <alignment vertical="top"/>
      <protection locked="0"/>
    </xf>
    <xf numFmtId="9" fontId="9" fillId="0" borderId="0" applyFont="0" applyFill="0" applyBorder="0" applyAlignment="0" applyProtection="0"/>
    <xf numFmtId="0" fontId="9" fillId="0" borderId="0"/>
    <xf numFmtId="0" fontId="30" fillId="0" borderId="0"/>
    <xf numFmtId="0" fontId="33" fillId="0" borderId="0" applyNumberFormat="0" applyFill="0" applyBorder="0" applyAlignment="0" applyProtection="0"/>
    <xf numFmtId="0" fontId="34" fillId="0" borderId="0" applyNumberFormat="0" applyProtection="0">
      <alignment vertical="top" wrapText="1"/>
    </xf>
    <xf numFmtId="0" fontId="34" fillId="0" borderId="22" applyNumberFormat="0" applyProtection="0">
      <alignment vertical="top" wrapText="1"/>
    </xf>
    <xf numFmtId="0" fontId="34" fillId="0" borderId="23" applyNumberFormat="0" applyFont="0" applyProtection="0">
      <alignment wrapText="1"/>
    </xf>
    <xf numFmtId="0" fontId="42" fillId="0" borderId="21" applyNumberFormat="0" applyProtection="0">
      <alignment wrapText="1"/>
    </xf>
    <xf numFmtId="43" fontId="1" fillId="0" borderId="0" applyFont="0" applyFill="0" applyBorder="0" applyAlignment="0" applyProtection="0"/>
    <xf numFmtId="0" fontId="44" fillId="0" borderId="0"/>
    <xf numFmtId="164" fontId="3" fillId="0" borderId="0" applyFont="0" applyFill="0" applyBorder="0" applyAlignment="0" applyProtection="0"/>
    <xf numFmtId="9" fontId="1" fillId="0" borderId="0" applyFont="0" applyFill="0" applyBorder="0" applyAlignment="0" applyProtection="0"/>
  </cellStyleXfs>
  <cellXfs count="287">
    <xf numFmtId="0" fontId="0" fillId="0" borderId="0" xfId="0"/>
    <xf numFmtId="0" fontId="4" fillId="6" borderId="0" xfId="5" applyFont="1" applyFill="1" applyAlignment="1">
      <alignment horizontal="center" vertical="center"/>
    </xf>
    <xf numFmtId="0" fontId="3" fillId="0" borderId="0" xfId="5"/>
    <xf numFmtId="0" fontId="5" fillId="0" borderId="0" xfId="5" applyFont="1" applyAlignment="1">
      <alignment vertical="center"/>
    </xf>
    <xf numFmtId="0" fontId="5" fillId="0" borderId="0" xfId="5" applyFont="1" applyAlignment="1">
      <alignment horizontal="center" vertical="center"/>
    </xf>
    <xf numFmtId="0" fontId="6" fillId="7" borderId="0" xfId="5" applyFont="1" applyFill="1"/>
    <xf numFmtId="0" fontId="7" fillId="7" borderId="0" xfId="5" applyFont="1" applyFill="1" applyAlignment="1">
      <alignment horizontal="left"/>
    </xf>
    <xf numFmtId="0" fontId="5" fillId="0" borderId="0" xfId="5" quotePrefix="1" applyFont="1" applyAlignment="1">
      <alignment vertical="center"/>
    </xf>
    <xf numFmtId="0" fontId="6" fillId="0" borderId="0" xfId="5" applyFont="1"/>
    <xf numFmtId="0" fontId="7" fillId="0" borderId="0" xfId="5" applyFont="1" applyAlignment="1">
      <alignment horizontal="left"/>
    </xf>
    <xf numFmtId="0" fontId="3" fillId="0" borderId="0" xfId="5" applyAlignment="1">
      <alignment vertical="center"/>
    </xf>
    <xf numFmtId="0" fontId="10" fillId="8" borderId="0" xfId="5" applyFont="1" applyFill="1"/>
    <xf numFmtId="0" fontId="9" fillId="0" borderId="0" xfId="5" applyFont="1"/>
    <xf numFmtId="0" fontId="11" fillId="8" borderId="0" xfId="5" applyFont="1" applyFill="1" applyAlignment="1">
      <alignment horizontal="center" wrapText="1"/>
    </xf>
    <xf numFmtId="0" fontId="12" fillId="8" borderId="0" xfId="5" applyFont="1" applyFill="1" applyAlignment="1">
      <alignment horizontal="left"/>
    </xf>
    <xf numFmtId="0" fontId="8" fillId="8" borderId="0" xfId="5" applyFont="1" applyFill="1"/>
    <xf numFmtId="0" fontId="3" fillId="8" borderId="0" xfId="5" applyFill="1"/>
    <xf numFmtId="0" fontId="13" fillId="0" borderId="0" xfId="7" applyFont="1" applyAlignment="1">
      <alignment horizontal="left"/>
    </xf>
    <xf numFmtId="165" fontId="9" fillId="8" borderId="0" xfId="8" applyNumberFormat="1" applyFill="1" applyAlignment="1">
      <alignment vertical="center"/>
    </xf>
    <xf numFmtId="0" fontId="14" fillId="10" borderId="1" xfId="9" applyFont="1" applyFill="1" applyBorder="1" applyAlignment="1">
      <alignment horizontal="left"/>
    </xf>
    <xf numFmtId="0" fontId="15" fillId="8" borderId="0" xfId="5" applyFont="1" applyFill="1"/>
    <xf numFmtId="0" fontId="10" fillId="0" borderId="0" xfId="5" applyFont="1"/>
    <xf numFmtId="0" fontId="16" fillId="0" borderId="0" xfId="5" applyFont="1"/>
    <xf numFmtId="166" fontId="17" fillId="0" borderId="0" xfId="5" applyNumberFormat="1" applyFont="1"/>
    <xf numFmtId="166" fontId="10" fillId="9" borderId="2" xfId="5" applyNumberFormat="1" applyFont="1" applyFill="1" applyBorder="1" applyAlignment="1">
      <alignment horizontal="left"/>
    </xf>
    <xf numFmtId="0" fontId="18" fillId="0" borderId="0" xfId="5" applyFont="1"/>
    <xf numFmtId="0" fontId="9" fillId="0" borderId="0" xfId="10"/>
    <xf numFmtId="0" fontId="16" fillId="0" borderId="0" xfId="11" applyAlignment="1">
      <alignment wrapText="1"/>
    </xf>
    <xf numFmtId="0" fontId="19" fillId="0" borderId="0" xfId="11" applyFont="1" applyAlignment="1">
      <alignment wrapText="1"/>
    </xf>
    <xf numFmtId="166" fontId="10" fillId="11" borderId="3" xfId="5" applyNumberFormat="1" applyFont="1" applyFill="1" applyBorder="1"/>
    <xf numFmtId="166" fontId="10" fillId="11" borderId="3" xfId="7" applyNumberFormat="1" applyFont="1" applyFill="1" applyBorder="1"/>
    <xf numFmtId="166" fontId="10" fillId="9" borderId="0" xfId="5" applyNumberFormat="1" applyFont="1" applyFill="1" applyAlignment="1">
      <alignment horizontal="left"/>
    </xf>
    <xf numFmtId="166" fontId="10" fillId="11" borderId="0" xfId="5" applyNumberFormat="1" applyFont="1" applyFill="1"/>
    <xf numFmtId="166" fontId="9" fillId="12" borderId="0" xfId="7" applyNumberFormat="1" applyFill="1"/>
    <xf numFmtId="166" fontId="10" fillId="0" borderId="0" xfId="5" applyNumberFormat="1" applyFont="1"/>
    <xf numFmtId="166" fontId="10" fillId="0" borderId="0" xfId="5" applyNumberFormat="1" applyFont="1" applyAlignment="1">
      <alignment horizontal="left"/>
    </xf>
    <xf numFmtId="166" fontId="8" fillId="12" borderId="0" xfId="5" applyNumberFormat="1" applyFont="1" applyFill="1"/>
    <xf numFmtId="0" fontId="20" fillId="0" borderId="0" xfId="5" applyFont="1"/>
    <xf numFmtId="0" fontId="21" fillId="0" borderId="0" xfId="5" applyFont="1"/>
    <xf numFmtId="0" fontId="17" fillId="0" borderId="0" xfId="14" applyFont="1" applyAlignment="1">
      <alignment horizontal="left"/>
    </xf>
    <xf numFmtId="0" fontId="10" fillId="11" borderId="4" xfId="15" applyFont="1" applyFill="1" applyBorder="1" applyAlignment="1">
      <alignment vertical="center"/>
    </xf>
    <xf numFmtId="0" fontId="10" fillId="11" borderId="0" xfId="15" applyFont="1" applyFill="1" applyAlignment="1">
      <alignment vertical="center"/>
    </xf>
    <xf numFmtId="0" fontId="0" fillId="8" borderId="0" xfId="0" applyFill="1"/>
    <xf numFmtId="0" fontId="10" fillId="8" borderId="5" xfId="0" applyFont="1" applyFill="1" applyBorder="1"/>
    <xf numFmtId="0" fontId="0" fillId="8" borderId="6" xfId="0" applyFill="1" applyBorder="1"/>
    <xf numFmtId="0" fontId="0" fillId="8" borderId="5" xfId="0" applyFill="1" applyBorder="1"/>
    <xf numFmtId="0" fontId="0" fillId="8" borderId="7" xfId="0" applyFill="1" applyBorder="1"/>
    <xf numFmtId="0" fontId="0" fillId="8" borderId="8" xfId="0" applyFill="1" applyBorder="1"/>
    <xf numFmtId="0" fontId="0" fillId="8" borderId="9" xfId="0" applyFill="1" applyBorder="1"/>
    <xf numFmtId="0" fontId="0" fillId="8" borderId="10" xfId="0" applyFill="1" applyBorder="1"/>
    <xf numFmtId="0" fontId="0" fillId="8" borderId="12" xfId="0" applyFill="1" applyBorder="1"/>
    <xf numFmtId="0" fontId="10" fillId="8" borderId="13" xfId="0" applyFont="1" applyFill="1" applyBorder="1"/>
    <xf numFmtId="0" fontId="10" fillId="8" borderId="0" xfId="0" applyFont="1" applyFill="1"/>
    <xf numFmtId="0" fontId="0" fillId="8" borderId="3" xfId="0" applyFill="1" applyBorder="1"/>
    <xf numFmtId="0" fontId="0" fillId="8" borderId="14" xfId="0" applyFill="1" applyBorder="1"/>
    <xf numFmtId="0" fontId="0" fillId="8" borderId="2" xfId="0" applyFill="1" applyBorder="1"/>
    <xf numFmtId="0" fontId="0" fillId="8" borderId="16" xfId="0" applyFill="1" applyBorder="1"/>
    <xf numFmtId="0" fontId="0" fillId="8" borderId="13" xfId="0" applyFill="1" applyBorder="1"/>
    <xf numFmtId="0" fontId="0" fillId="8" borderId="17" xfId="0" applyFill="1" applyBorder="1"/>
    <xf numFmtId="0" fontId="10" fillId="8" borderId="3" xfId="0" applyFont="1" applyFill="1" applyBorder="1"/>
    <xf numFmtId="0" fontId="0" fillId="8" borderId="19" xfId="0" applyFill="1" applyBorder="1"/>
    <xf numFmtId="0" fontId="0" fillId="8" borderId="11" xfId="0" applyFill="1" applyBorder="1"/>
    <xf numFmtId="0" fontId="0" fillId="8" borderId="20" xfId="0" applyFill="1" applyBorder="1"/>
    <xf numFmtId="0" fontId="24" fillId="8" borderId="0" xfId="0" applyFont="1" applyFill="1"/>
    <xf numFmtId="0" fontId="9" fillId="0" borderId="0" xfId="16"/>
    <xf numFmtId="0" fontId="9" fillId="0" borderId="0" xfId="16" applyAlignment="1">
      <alignment horizontal="center"/>
    </xf>
    <xf numFmtId="0" fontId="9" fillId="0" borderId="0" xfId="13"/>
    <xf numFmtId="0" fontId="9" fillId="0" borderId="0" xfId="17"/>
    <xf numFmtId="0" fontId="9" fillId="0" borderId="0" xfId="7"/>
    <xf numFmtId="0" fontId="10" fillId="15" borderId="0" xfId="13" applyFont="1" applyFill="1" applyAlignment="1">
      <alignment horizontal="right"/>
    </xf>
    <xf numFmtId="0" fontId="10" fillId="15" borderId="0" xfId="16" applyFont="1" applyFill="1" applyAlignment="1">
      <alignment horizontal="center"/>
    </xf>
    <xf numFmtId="167" fontId="9" fillId="0" borderId="0" xfId="13" applyNumberFormat="1"/>
    <xf numFmtId="167" fontId="9" fillId="0" borderId="0" xfId="16" applyNumberFormat="1" applyAlignment="1">
      <alignment horizontal="center"/>
    </xf>
    <xf numFmtId="0" fontId="16" fillId="0" borderId="0" xfId="18" applyAlignment="1">
      <alignment horizontal="right" wrapText="1"/>
    </xf>
    <xf numFmtId="0" fontId="26" fillId="8" borderId="0" xfId="7" applyFont="1" applyFill="1"/>
    <xf numFmtId="0" fontId="9" fillId="8" borderId="0" xfId="7" applyFill="1"/>
    <xf numFmtId="0" fontId="27" fillId="8" borderId="0" xfId="7" applyFont="1" applyFill="1"/>
    <xf numFmtId="0" fontId="10" fillId="8" borderId="0" xfId="7" applyFont="1" applyFill="1"/>
    <xf numFmtId="0" fontId="10" fillId="8" borderId="0" xfId="7" applyFont="1" applyFill="1" applyAlignment="1">
      <alignment horizontal="center" wrapText="1"/>
    </xf>
    <xf numFmtId="3" fontId="9" fillId="8" borderId="0" xfId="7" applyNumberFormat="1" applyFill="1"/>
    <xf numFmtId="1" fontId="9" fillId="8" borderId="0" xfId="7" applyNumberFormat="1" applyFill="1" applyAlignment="1">
      <alignment horizontal="right"/>
    </xf>
    <xf numFmtId="4" fontId="9" fillId="8" borderId="0" xfId="7" applyNumberFormat="1" applyFill="1"/>
    <xf numFmtId="43" fontId="9" fillId="8" borderId="0" xfId="7" applyNumberFormat="1" applyFill="1"/>
    <xf numFmtId="168" fontId="9" fillId="8" borderId="0" xfId="7" applyNumberFormat="1" applyFill="1"/>
    <xf numFmtId="0" fontId="26" fillId="8" borderId="0" xfId="9" applyFont="1" applyFill="1" applyAlignment="1">
      <alignment horizontal="left"/>
    </xf>
    <xf numFmtId="1" fontId="10" fillId="8" borderId="0" xfId="21" applyNumberFormat="1" applyFont="1" applyFill="1" applyAlignment="1">
      <alignment horizontal="center" wrapText="1"/>
    </xf>
    <xf numFmtId="49" fontId="10" fillId="8" borderId="0" xfId="21" applyNumberFormat="1" applyFont="1" applyFill="1" applyAlignment="1">
      <alignment horizontal="center" wrapText="1"/>
    </xf>
    <xf numFmtId="169" fontId="10" fillId="8" borderId="0" xfId="21" applyNumberFormat="1" applyFont="1" applyFill="1" applyAlignment="1">
      <alignment horizontal="center" wrapText="1"/>
    </xf>
    <xf numFmtId="3" fontId="10" fillId="8" borderId="0" xfId="21" applyNumberFormat="1" applyFont="1" applyFill="1" applyAlignment="1">
      <alignment horizontal="center" wrapText="1"/>
    </xf>
    <xf numFmtId="170" fontId="10" fillId="8" borderId="0" xfId="21" applyNumberFormat="1" applyFont="1" applyFill="1" applyAlignment="1">
      <alignment horizontal="center" wrapText="1"/>
    </xf>
    <xf numFmtId="1" fontId="9" fillId="8" borderId="0" xfId="21" applyNumberFormat="1" applyFill="1" applyAlignment="1">
      <alignment horizontal="center" wrapText="1"/>
    </xf>
    <xf numFmtId="0" fontId="9" fillId="8" borderId="0" xfId="21" applyFill="1" applyAlignment="1">
      <alignment horizontal="center" wrapText="1"/>
    </xf>
    <xf numFmtId="49" fontId="9" fillId="8" borderId="0" xfId="21" applyNumberFormat="1" applyFill="1" applyAlignment="1">
      <alignment horizontal="center" wrapText="1"/>
    </xf>
    <xf numFmtId="169" fontId="9" fillId="8" borderId="0" xfId="21" applyNumberFormat="1" applyFill="1" applyAlignment="1">
      <alignment horizontal="center" wrapText="1"/>
    </xf>
    <xf numFmtId="3" fontId="9" fillId="8" borderId="0" xfId="21" applyNumberFormat="1" applyFill="1" applyAlignment="1">
      <alignment horizontal="center" wrapText="1"/>
    </xf>
    <xf numFmtId="4" fontId="9" fillId="8" borderId="0" xfId="21" applyNumberFormat="1" applyFill="1" applyAlignment="1">
      <alignment horizontal="center" wrapText="1"/>
    </xf>
    <xf numFmtId="170" fontId="9" fillId="8" borderId="0" xfId="21" applyNumberFormat="1" applyFill="1" applyAlignment="1">
      <alignment horizontal="center" wrapText="1"/>
    </xf>
    <xf numFmtId="0" fontId="9" fillId="8" borderId="0" xfId="7" quotePrefix="1" applyFill="1"/>
    <xf numFmtId="0" fontId="9" fillId="8" borderId="0" xfId="7" quotePrefix="1" applyFill="1" applyAlignment="1">
      <alignment horizontal="right"/>
    </xf>
    <xf numFmtId="0" fontId="9" fillId="8" borderId="0" xfId="15" applyFill="1"/>
    <xf numFmtId="171" fontId="9" fillId="8" borderId="0" xfId="7" quotePrefix="1" applyNumberFormat="1" applyFill="1" applyAlignment="1">
      <alignment horizontal="right"/>
    </xf>
    <xf numFmtId="3" fontId="9" fillId="8" borderId="0" xfId="7" quotePrefix="1" applyNumberFormat="1" applyFill="1" applyAlignment="1">
      <alignment horizontal="right"/>
    </xf>
    <xf numFmtId="3" fontId="9" fillId="8" borderId="0" xfId="15" applyNumberFormat="1" applyFill="1"/>
    <xf numFmtId="0" fontId="9" fillId="8" borderId="0" xfId="7" applyFill="1" applyAlignment="1">
      <alignment horizontal="right"/>
    </xf>
    <xf numFmtId="4" fontId="16" fillId="8" borderId="0" xfId="7" applyNumberFormat="1" applyFont="1" applyFill="1"/>
    <xf numFmtId="3" fontId="16" fillId="8" borderId="0" xfId="7" applyNumberFormat="1" applyFont="1" applyFill="1"/>
    <xf numFmtId="2" fontId="9" fillId="8" borderId="0" xfId="7" quotePrefix="1" applyNumberFormat="1" applyFill="1" applyAlignment="1">
      <alignment horizontal="right"/>
    </xf>
    <xf numFmtId="0" fontId="9" fillId="8" borderId="0" xfId="15" applyFill="1" applyAlignment="1">
      <alignment horizontal="right"/>
    </xf>
    <xf numFmtId="172" fontId="9" fillId="8" borderId="0" xfId="7" quotePrefix="1" applyNumberFormat="1" applyFill="1" applyAlignment="1">
      <alignment horizontal="right"/>
    </xf>
    <xf numFmtId="0" fontId="9" fillId="8" borderId="0" xfId="7" quotePrefix="1" applyFill="1" applyAlignment="1">
      <alignment horizontal="left"/>
    </xf>
    <xf numFmtId="0" fontId="9" fillId="8" borderId="0" xfId="7" applyFill="1" applyAlignment="1">
      <alignment horizontal="left"/>
    </xf>
    <xf numFmtId="3" fontId="9" fillId="8" borderId="0" xfId="15" applyNumberFormat="1" applyFill="1" applyAlignment="1">
      <alignment horizontal="right"/>
    </xf>
    <xf numFmtId="4" fontId="9" fillId="8" borderId="0" xfId="7" applyNumberFormat="1" applyFill="1" applyAlignment="1">
      <alignment horizontal="right"/>
    </xf>
    <xf numFmtId="3" fontId="9" fillId="8" borderId="0" xfId="7" applyNumberFormat="1" applyFill="1" applyAlignment="1">
      <alignment horizontal="right"/>
    </xf>
    <xf numFmtId="172" fontId="9" fillId="8" borderId="0" xfId="7" quotePrefix="1" applyNumberFormat="1" applyFill="1" applyAlignment="1">
      <alignment horizontal="left"/>
    </xf>
    <xf numFmtId="4" fontId="9" fillId="8" borderId="0" xfId="7" quotePrefix="1" applyNumberFormat="1" applyFill="1" applyAlignment="1">
      <alignment horizontal="right"/>
    </xf>
    <xf numFmtId="0" fontId="9" fillId="8" borderId="0" xfId="21" applyFill="1" applyAlignment="1">
      <alignment horizontal="center"/>
    </xf>
    <xf numFmtId="171" fontId="9" fillId="8" borderId="0" xfId="7" applyNumberFormat="1" applyFill="1" applyAlignment="1">
      <alignment horizontal="right"/>
    </xf>
    <xf numFmtId="3" fontId="9" fillId="8" borderId="0" xfId="15" quotePrefix="1" applyNumberFormat="1" applyFill="1"/>
    <xf numFmtId="2" fontId="9" fillId="8" borderId="0" xfId="15" quotePrefix="1" applyNumberFormat="1" applyFill="1"/>
    <xf numFmtId="0" fontId="9" fillId="8" borderId="0" xfId="15" quotePrefix="1" applyFill="1" applyAlignment="1">
      <alignment horizontal="right"/>
    </xf>
    <xf numFmtId="2" fontId="9" fillId="8" borderId="0" xfId="7" applyNumberFormat="1" applyFill="1" applyAlignment="1">
      <alignment horizontal="right"/>
    </xf>
    <xf numFmtId="0" fontId="9" fillId="8" borderId="0" xfId="21" applyFill="1" applyAlignment="1">
      <alignment horizontal="left"/>
    </xf>
    <xf numFmtId="0" fontId="9" fillId="16" borderId="0" xfId="7" applyFill="1"/>
    <xf numFmtId="3" fontId="9" fillId="16" borderId="0" xfId="7" applyNumberFormat="1" applyFill="1"/>
    <xf numFmtId="0" fontId="34" fillId="0" borderId="0" xfId="0" applyFont="1"/>
    <xf numFmtId="0" fontId="35" fillId="0" borderId="0" xfId="0" applyFont="1" applyAlignment="1">
      <alignment vertical="center"/>
    </xf>
    <xf numFmtId="0" fontId="36" fillId="0" borderId="0" xfId="0" applyFont="1" applyAlignment="1">
      <alignment vertical="center"/>
    </xf>
    <xf numFmtId="0" fontId="33" fillId="0" borderId="0" xfId="23" applyAlignment="1">
      <alignment vertical="center"/>
    </xf>
    <xf numFmtId="0" fontId="40" fillId="0" borderId="0" xfId="0" applyFont="1" applyAlignment="1">
      <alignment vertical="center"/>
    </xf>
    <xf numFmtId="3" fontId="0" fillId="0" borderId="0" xfId="0" applyNumberFormat="1"/>
    <xf numFmtId="3" fontId="0" fillId="0" borderId="23" xfId="26" applyNumberFormat="1" applyFont="1" applyAlignment="1">
      <alignment horizontal="right" wrapText="1"/>
    </xf>
    <xf numFmtId="173" fontId="0" fillId="0" borderId="23" xfId="26" applyNumberFormat="1" applyFont="1" applyAlignment="1">
      <alignment horizontal="right" wrapText="1"/>
    </xf>
    <xf numFmtId="174" fontId="0" fillId="0" borderId="23" xfId="26" applyNumberFormat="1" applyFont="1" applyAlignment="1">
      <alignment horizontal="right" wrapText="1"/>
    </xf>
    <xf numFmtId="2" fontId="0" fillId="0" borderId="23" xfId="26" applyNumberFormat="1" applyFont="1" applyAlignment="1">
      <alignment horizontal="right" wrapText="1"/>
    </xf>
    <xf numFmtId="0" fontId="0" fillId="0" borderId="23" xfId="26" applyFont="1" applyAlignment="1">
      <alignment horizontal="right" wrapText="1"/>
    </xf>
    <xf numFmtId="0" fontId="0" fillId="0" borderId="23" xfId="26" applyFont="1">
      <alignment wrapText="1"/>
    </xf>
    <xf numFmtId="0" fontId="0" fillId="0" borderId="23" xfId="26" applyFont="1" applyAlignment="1">
      <alignment horizontal="left" vertical="center" wrapText="1"/>
    </xf>
    <xf numFmtId="0" fontId="42" fillId="0" borderId="21" xfId="27" applyAlignment="1">
      <alignment horizontal="right" wrapText="1"/>
    </xf>
    <xf numFmtId="0" fontId="42" fillId="0" borderId="21" xfId="27">
      <alignment wrapText="1"/>
    </xf>
    <xf numFmtId="0" fontId="34" fillId="0" borderId="0" xfId="24" applyAlignment="1" applyProtection="1">
      <alignment vertical="top"/>
    </xf>
    <xf numFmtId="0" fontId="34" fillId="0" borderId="0" xfId="0" applyFont="1" applyAlignment="1">
      <alignment vertical="center"/>
    </xf>
    <xf numFmtId="0" fontId="0" fillId="0" borderId="0" xfId="26" applyFont="1" applyBorder="1">
      <alignment wrapText="1"/>
    </xf>
    <xf numFmtId="0" fontId="0" fillId="0" borderId="0" xfId="26" applyFont="1" applyBorder="1" applyAlignment="1">
      <alignment horizontal="right" wrapText="1"/>
    </xf>
    <xf numFmtId="3" fontId="0" fillId="0" borderId="0" xfId="26" applyNumberFormat="1" applyFont="1" applyBorder="1" applyAlignment="1">
      <alignment horizontal="right" wrapText="1"/>
    </xf>
    <xf numFmtId="174" fontId="0" fillId="0" borderId="0" xfId="26" applyNumberFormat="1" applyFont="1" applyBorder="1" applyAlignment="1">
      <alignment horizontal="right" wrapText="1"/>
    </xf>
    <xf numFmtId="2" fontId="0" fillId="0" borderId="0" xfId="26" applyNumberFormat="1" applyFont="1" applyBorder="1" applyAlignment="1">
      <alignment horizontal="right" wrapText="1"/>
    </xf>
    <xf numFmtId="173" fontId="0" fillId="0" borderId="0" xfId="26" applyNumberFormat="1" applyFont="1" applyBorder="1" applyAlignment="1">
      <alignment horizontal="right" wrapText="1"/>
    </xf>
    <xf numFmtId="167" fontId="3" fillId="0" borderId="0" xfId="5" applyNumberFormat="1"/>
    <xf numFmtId="1" fontId="3" fillId="0" borderId="0" xfId="5" applyNumberFormat="1"/>
    <xf numFmtId="1" fontId="9" fillId="0" borderId="0" xfId="16" applyNumberFormat="1"/>
    <xf numFmtId="0" fontId="10" fillId="12" borderId="0" xfId="0" applyFont="1" applyFill="1" applyAlignment="1">
      <alignment wrapText="1"/>
    </xf>
    <xf numFmtId="0" fontId="10" fillId="12" borderId="0" xfId="0" applyFont="1" applyFill="1"/>
    <xf numFmtId="0" fontId="3" fillId="0" borderId="0" xfId="0" applyFont="1"/>
    <xf numFmtId="0" fontId="10" fillId="0" borderId="0" xfId="0" applyFont="1"/>
    <xf numFmtId="0" fontId="10" fillId="9" borderId="0" xfId="0" applyFont="1" applyFill="1"/>
    <xf numFmtId="0" fontId="10" fillId="9" borderId="0" xfId="0" applyFont="1" applyFill="1" applyAlignment="1">
      <alignment horizontal="center"/>
    </xf>
    <xf numFmtId="0" fontId="3" fillId="9" borderId="0" xfId="0" applyFont="1" applyFill="1"/>
    <xf numFmtId="0" fontId="3" fillId="9" borderId="0" xfId="0" applyFont="1" applyFill="1" applyAlignment="1">
      <alignment horizontal="center"/>
    </xf>
    <xf numFmtId="0" fontId="3" fillId="0" borderId="0" xfId="0" applyFont="1" applyAlignment="1">
      <alignment horizontal="center"/>
    </xf>
    <xf numFmtId="0" fontId="3" fillId="12" borderId="0" xfId="0" applyFont="1" applyFill="1"/>
    <xf numFmtId="0" fontId="3" fillId="12" borderId="0" xfId="0" applyFont="1" applyFill="1" applyAlignment="1">
      <alignment horizontal="center"/>
    </xf>
    <xf numFmtId="43" fontId="3" fillId="12" borderId="0" xfId="28" applyFont="1" applyFill="1" applyAlignment="1">
      <alignment horizontal="center"/>
    </xf>
    <xf numFmtId="1" fontId="3" fillId="12" borderId="0" xfId="0" applyNumberFormat="1" applyFont="1" applyFill="1" applyAlignment="1">
      <alignment horizontal="center"/>
    </xf>
    <xf numFmtId="172" fontId="3" fillId="0" borderId="0" xfId="0" applyNumberFormat="1" applyFont="1" applyAlignment="1">
      <alignment horizontal="center"/>
    </xf>
    <xf numFmtId="2" fontId="3" fillId="12" borderId="0" xfId="0" applyNumberFormat="1" applyFont="1" applyFill="1" applyAlignment="1">
      <alignment horizontal="center"/>
    </xf>
    <xf numFmtId="171" fontId="3" fillId="12" borderId="0" xfId="0" applyNumberFormat="1" applyFont="1" applyFill="1" applyAlignment="1">
      <alignment horizontal="center"/>
    </xf>
    <xf numFmtId="0" fontId="3" fillId="8" borderId="0" xfId="0" applyFont="1" applyFill="1"/>
    <xf numFmtId="0" fontId="3" fillId="8" borderId="0" xfId="0" applyFont="1" applyFill="1" applyAlignment="1">
      <alignment horizontal="right" wrapText="1"/>
    </xf>
    <xf numFmtId="0" fontId="3" fillId="8" borderId="0" xfId="0" applyFont="1" applyFill="1" applyAlignment="1">
      <alignment wrapText="1"/>
    </xf>
    <xf numFmtId="167" fontId="3" fillId="8" borderId="0" xfId="0" applyNumberFormat="1" applyFont="1" applyFill="1" applyAlignment="1">
      <alignment horizontal="center"/>
    </xf>
    <xf numFmtId="167" fontId="3" fillId="8" borderId="0" xfId="0" applyNumberFormat="1" applyFont="1" applyFill="1"/>
    <xf numFmtId="0" fontId="3" fillId="8" borderId="0" xfId="0" applyFont="1" applyFill="1" applyAlignment="1">
      <alignment horizontal="right"/>
    </xf>
    <xf numFmtId="16" fontId="3" fillId="8" borderId="0" xfId="0" quotePrefix="1" applyNumberFormat="1" applyFont="1" applyFill="1" applyAlignment="1">
      <alignment horizontal="center"/>
    </xf>
    <xf numFmtId="0" fontId="3" fillId="8" borderId="0" xfId="7" applyFont="1" applyFill="1"/>
    <xf numFmtId="1" fontId="0" fillId="0" borderId="0" xfId="0" applyNumberFormat="1"/>
    <xf numFmtId="167" fontId="3" fillId="12" borderId="0" xfId="0" applyNumberFormat="1" applyFont="1" applyFill="1" applyAlignment="1">
      <alignment horizontal="center"/>
    </xf>
    <xf numFmtId="0" fontId="3" fillId="17" borderId="0" xfId="0" applyFont="1" applyFill="1"/>
    <xf numFmtId="167" fontId="3" fillId="0" borderId="0" xfId="30" applyNumberFormat="1" applyFont="1" applyFill="1" applyBorder="1"/>
    <xf numFmtId="1" fontId="3" fillId="12" borderId="0" xfId="30" applyNumberFormat="1" applyFont="1" applyFill="1" applyBorder="1"/>
    <xf numFmtId="43" fontId="3" fillId="12" borderId="0" xfId="0" applyNumberFormat="1" applyFont="1" applyFill="1"/>
    <xf numFmtId="167" fontId="3" fillId="12" borderId="0" xfId="30" applyNumberFormat="1" applyFont="1" applyFill="1" applyBorder="1"/>
    <xf numFmtId="1" fontId="45" fillId="17" borderId="0" xfId="30" applyNumberFormat="1" applyFont="1" applyFill="1" applyBorder="1"/>
    <xf numFmtId="164" fontId="3" fillId="12" borderId="0" xfId="30" applyFont="1" applyFill="1" applyBorder="1"/>
    <xf numFmtId="0" fontId="3" fillId="12" borderId="0" xfId="30" applyNumberFormat="1" applyFont="1" applyFill="1" applyBorder="1"/>
    <xf numFmtId="175" fontId="3" fillId="0" borderId="0" xfId="30" applyNumberFormat="1" applyFont="1" applyFill="1" applyBorder="1" applyAlignment="1">
      <alignment horizontal="left"/>
    </xf>
    <xf numFmtId="166" fontId="3" fillId="0" borderId="0" xfId="5" applyNumberFormat="1" applyAlignment="1">
      <alignment horizontal="left"/>
    </xf>
    <xf numFmtId="0" fontId="3" fillId="8" borderId="0" xfId="0" applyFont="1" applyFill="1" applyAlignment="1">
      <alignment horizontal="center" wrapText="1"/>
    </xf>
    <xf numFmtId="37" fontId="0" fillId="0" borderId="0" xfId="0" applyNumberFormat="1"/>
    <xf numFmtId="9" fontId="0" fillId="0" borderId="0" xfId="0" applyNumberFormat="1"/>
    <xf numFmtId="5" fontId="0" fillId="0" borderId="0" xfId="0" applyNumberFormat="1"/>
    <xf numFmtId="0" fontId="46" fillId="0" borderId="5" xfId="0" applyFont="1" applyBorder="1" applyAlignment="1">
      <alignment horizontal="center" vertical="top"/>
    </xf>
    <xf numFmtId="0" fontId="10" fillId="8" borderId="27" xfId="0" applyFont="1" applyFill="1" applyBorder="1" applyAlignment="1">
      <alignment horizontal="center"/>
    </xf>
    <xf numFmtId="0" fontId="10" fillId="8" borderId="28" xfId="0" applyFont="1" applyFill="1" applyBorder="1" applyAlignment="1">
      <alignment horizontal="center"/>
    </xf>
    <xf numFmtId="0" fontId="10" fillId="8" borderId="29" xfId="0" applyFont="1" applyFill="1" applyBorder="1" applyAlignment="1">
      <alignment horizontal="center"/>
    </xf>
    <xf numFmtId="0" fontId="3" fillId="8" borderId="24" xfId="0" applyFont="1" applyFill="1" applyBorder="1" applyAlignment="1">
      <alignment horizontal="center"/>
    </xf>
    <xf numFmtId="167" fontId="3" fillId="8" borderId="25" xfId="0" applyNumberFormat="1" applyFont="1" applyFill="1" applyBorder="1" applyAlignment="1">
      <alignment horizontal="center"/>
    </xf>
    <xf numFmtId="167" fontId="3" fillId="8" borderId="26" xfId="0" applyNumberFormat="1" applyFont="1" applyFill="1" applyBorder="1" applyAlignment="1">
      <alignment horizontal="center"/>
    </xf>
    <xf numFmtId="0" fontId="38" fillId="0" borderId="0" xfId="24" applyFont="1">
      <alignment vertical="top" wrapText="1"/>
    </xf>
    <xf numFmtId="0" fontId="9" fillId="8" borderId="0" xfId="7" applyFill="1"/>
    <xf numFmtId="0" fontId="34" fillId="0" borderId="0" xfId="24">
      <alignment vertical="top" wrapText="1"/>
    </xf>
    <xf numFmtId="2" fontId="0" fillId="0" borderId="0" xfId="0" applyNumberFormat="1"/>
    <xf numFmtId="0" fontId="0" fillId="0" borderId="24" xfId="0" applyBorder="1"/>
    <xf numFmtId="171" fontId="0" fillId="0" borderId="0" xfId="0" applyNumberFormat="1"/>
    <xf numFmtId="0" fontId="0" fillId="0" borderId="0" xfId="0" applyAlignment="1">
      <alignment wrapText="1"/>
    </xf>
    <xf numFmtId="9" fontId="0" fillId="0" borderId="0" xfId="31" applyFont="1"/>
    <xf numFmtId="0" fontId="0" fillId="0" borderId="0" xfId="0" applyAlignment="1">
      <alignment horizontal="center"/>
    </xf>
    <xf numFmtId="0" fontId="0" fillId="0" borderId="30" xfId="0" applyBorder="1" applyAlignment="1">
      <alignment horizontal="center"/>
    </xf>
    <xf numFmtId="0" fontId="47" fillId="18" borderId="0" xfId="0" applyFont="1" applyFill="1" applyAlignment="1">
      <alignment horizontal="center" wrapText="1"/>
    </xf>
    <xf numFmtId="0" fontId="47" fillId="19" borderId="0" xfId="0" applyFont="1" applyFill="1" applyAlignment="1">
      <alignment horizontal="center" wrapText="1"/>
    </xf>
    <xf numFmtId="0" fontId="47" fillId="18" borderId="31" xfId="0" applyFont="1" applyFill="1" applyBorder="1" applyAlignment="1">
      <alignment horizontal="center" wrapText="1"/>
    </xf>
    <xf numFmtId="0" fontId="47" fillId="19" borderId="32" xfId="0" applyFont="1" applyFill="1" applyBorder="1" applyAlignment="1">
      <alignment horizontal="center" wrapText="1"/>
    </xf>
    <xf numFmtId="0" fontId="47" fillId="19" borderId="33" xfId="0" applyFont="1" applyFill="1" applyBorder="1" applyAlignment="1">
      <alignment horizontal="center" wrapText="1"/>
    </xf>
    <xf numFmtId="0" fontId="47" fillId="18" borderId="34" xfId="0" applyFont="1" applyFill="1" applyBorder="1" applyAlignment="1">
      <alignment vertical="center" wrapText="1"/>
    </xf>
    <xf numFmtId="0" fontId="47" fillId="18" borderId="35" xfId="0" applyFont="1" applyFill="1" applyBorder="1" applyAlignment="1">
      <alignment vertical="center" wrapText="1"/>
    </xf>
    <xf numFmtId="0" fontId="47" fillId="18" borderId="36" xfId="0" applyFont="1" applyFill="1" applyBorder="1" applyAlignment="1">
      <alignment vertical="center" wrapText="1"/>
    </xf>
    <xf numFmtId="0" fontId="50" fillId="0" borderId="0" xfId="0" applyFont="1"/>
    <xf numFmtId="0" fontId="49" fillId="0" borderId="0" xfId="0" applyFont="1"/>
    <xf numFmtId="0" fontId="48" fillId="0" borderId="0" xfId="0" applyFont="1"/>
    <xf numFmtId="171" fontId="3" fillId="9" borderId="0" xfId="0" applyNumberFormat="1" applyFont="1" applyFill="1"/>
    <xf numFmtId="0" fontId="33" fillId="0" borderId="0" xfId="23"/>
    <xf numFmtId="0" fontId="3" fillId="0" borderId="0" xfId="5" applyFont="1"/>
    <xf numFmtId="0" fontId="3" fillId="8" borderId="0" xfId="5" applyFont="1" applyFill="1"/>
    <xf numFmtId="2" fontId="3" fillId="8" borderId="0" xfId="5" applyNumberFormat="1" applyFont="1" applyFill="1"/>
    <xf numFmtId="0" fontId="3" fillId="8" borderId="0" xfId="5" applyFont="1" applyFill="1" applyAlignment="1">
      <alignment wrapText="1"/>
    </xf>
    <xf numFmtId="0" fontId="3" fillId="9" borderId="0" xfId="5" applyFont="1" applyFill="1"/>
    <xf numFmtId="0" fontId="3" fillId="8" borderId="0" xfId="5" applyFont="1" applyFill="1" applyAlignment="1">
      <alignment horizontal="center"/>
    </xf>
    <xf numFmtId="0" fontId="3" fillId="0" borderId="0" xfId="12" applyFont="1" applyAlignment="1">
      <alignment wrapText="1"/>
    </xf>
    <xf numFmtId="166" fontId="3" fillId="0" borderId="0" xfId="5" applyNumberFormat="1" applyFont="1" applyAlignment="1">
      <alignment horizontal="left"/>
    </xf>
    <xf numFmtId="166" fontId="3" fillId="0" borderId="0" xfId="5" applyNumberFormat="1" applyFont="1"/>
    <xf numFmtId="0" fontId="3" fillId="0" borderId="0" xfId="5" applyFont="1" applyAlignment="1">
      <alignment vertical="center"/>
    </xf>
    <xf numFmtId="2" fontId="3" fillId="12" borderId="0" xfId="0" applyNumberFormat="1" applyFont="1" applyFill="1"/>
    <xf numFmtId="1" fontId="3" fillId="12" borderId="0" xfId="0" applyNumberFormat="1" applyFont="1" applyFill="1"/>
    <xf numFmtId="167" fontId="3" fillId="12" borderId="0" xfId="0" applyNumberFormat="1" applyFont="1" applyFill="1"/>
    <xf numFmtId="171" fontId="3" fillId="12" borderId="0" xfId="0" applyNumberFormat="1" applyFont="1" applyFill="1"/>
    <xf numFmtId="172" fontId="3" fillId="12" borderId="0" xfId="0" applyNumberFormat="1" applyFont="1" applyFill="1"/>
    <xf numFmtId="1" fontId="3" fillId="0" borderId="0" xfId="0" applyNumberFormat="1" applyFont="1"/>
    <xf numFmtId="172" fontId="3" fillId="0" borderId="0" xfId="0" applyNumberFormat="1" applyFont="1"/>
    <xf numFmtId="164" fontId="3" fillId="12" borderId="0" xfId="8" applyFont="1" applyFill="1"/>
    <xf numFmtId="0" fontId="3" fillId="8" borderId="8" xfId="0" applyFont="1" applyFill="1" applyBorder="1"/>
    <xf numFmtId="0" fontId="3" fillId="8" borderId="15" xfId="0" applyFont="1" applyFill="1" applyBorder="1"/>
    <xf numFmtId="0" fontId="3" fillId="8" borderId="6" xfId="0" applyFont="1" applyFill="1" applyBorder="1"/>
    <xf numFmtId="0" fontId="3" fillId="8" borderId="7" xfId="0" applyFont="1" applyFill="1" applyBorder="1"/>
    <xf numFmtId="0" fontId="3" fillId="8" borderId="13" xfId="0" applyFont="1" applyFill="1" applyBorder="1"/>
    <xf numFmtId="0" fontId="3" fillId="8" borderId="5" xfId="0" applyFont="1" applyFill="1" applyBorder="1"/>
    <xf numFmtId="0" fontId="3" fillId="8" borderId="7" xfId="0" applyFont="1" applyFill="1" applyBorder="1" applyAlignment="1">
      <alignment horizontal="left"/>
    </xf>
    <xf numFmtId="0" fontId="3" fillId="8" borderId="13" xfId="0" applyFont="1" applyFill="1" applyBorder="1" applyAlignment="1">
      <alignment horizontal="left"/>
    </xf>
    <xf numFmtId="0" fontId="3" fillId="8" borderId="18" xfId="0" applyFont="1" applyFill="1" applyBorder="1"/>
    <xf numFmtId="0" fontId="3" fillId="8" borderId="11" xfId="0" applyFont="1" applyFill="1" applyBorder="1" applyAlignment="1">
      <alignment horizontal="left"/>
    </xf>
    <xf numFmtId="0" fontId="3" fillId="8" borderId="6" xfId="0" applyFont="1" applyFill="1" applyBorder="1" applyAlignment="1">
      <alignment horizontal="left"/>
    </xf>
    <xf numFmtId="0" fontId="3" fillId="8" borderId="18" xfId="0" applyFont="1" applyFill="1" applyBorder="1" applyAlignment="1">
      <alignment horizontal="left"/>
    </xf>
    <xf numFmtId="0" fontId="3" fillId="8" borderId="0" xfId="0" applyFont="1" applyFill="1" applyAlignment="1">
      <alignment horizontal="left"/>
    </xf>
    <xf numFmtId="9" fontId="3" fillId="8" borderId="0" xfId="20" applyFont="1" applyFill="1" applyBorder="1"/>
    <xf numFmtId="9" fontId="3" fillId="16" borderId="0" xfId="20" applyFont="1" applyFill="1" applyBorder="1"/>
    <xf numFmtId="164" fontId="3" fillId="8" borderId="0" xfId="8" applyFont="1" applyFill="1" applyBorder="1"/>
    <xf numFmtId="0" fontId="3" fillId="8" borderId="0" xfId="9" applyFont="1" applyFill="1" applyAlignment="1">
      <alignment horizontal="left"/>
    </xf>
    <xf numFmtId="170" fontId="3" fillId="8" borderId="0" xfId="9" applyNumberFormat="1" applyFont="1" applyFill="1" applyAlignment="1">
      <alignment horizontal="right"/>
    </xf>
    <xf numFmtId="11" fontId="3" fillId="0" borderId="0" xfId="8" applyNumberFormat="1" applyFont="1" applyAlignment="1">
      <alignment horizontal="center"/>
    </xf>
    <xf numFmtId="0" fontId="10" fillId="8" borderId="0" xfId="21" applyFont="1" applyFill="1" applyAlignment="1">
      <alignment horizontal="center" wrapText="1"/>
    </xf>
    <xf numFmtId="4" fontId="10" fillId="8" borderId="0" xfId="21" applyNumberFormat="1" applyFont="1" applyFill="1" applyAlignment="1">
      <alignment horizontal="center" wrapText="1"/>
    </xf>
    <xf numFmtId="0" fontId="3" fillId="8" borderId="0" xfId="0" applyFont="1" applyFill="1" applyAlignment="1">
      <alignment horizontal="center"/>
    </xf>
    <xf numFmtId="0" fontId="47" fillId="18" borderId="36" xfId="0" applyFont="1" applyFill="1" applyBorder="1" applyAlignment="1">
      <alignment horizontal="center" vertical="center" wrapText="1"/>
    </xf>
    <xf numFmtId="0" fontId="47" fillId="18" borderId="35" xfId="0" applyFont="1" applyFill="1" applyBorder="1" applyAlignment="1">
      <alignment horizontal="center" vertical="center" wrapText="1"/>
    </xf>
    <xf numFmtId="0" fontId="47" fillId="18" borderId="34" xfId="0" applyFont="1" applyFill="1" applyBorder="1" applyAlignment="1">
      <alignment horizontal="center" vertical="center" wrapText="1"/>
    </xf>
    <xf numFmtId="0" fontId="33" fillId="0" borderId="0" xfId="23" applyAlignment="1">
      <alignment horizontal="center" vertical="center" wrapText="1"/>
    </xf>
    <xf numFmtId="0" fontId="51" fillId="0" borderId="0" xfId="0" applyFont="1" applyAlignment="1">
      <alignment horizontal="center" vertical="center" wrapText="1"/>
    </xf>
    <xf numFmtId="0" fontId="38" fillId="0" borderId="0" xfId="24" applyFont="1" applyAlignment="1">
      <alignment vertical="top" wrapText="1"/>
    </xf>
    <xf numFmtId="0" fontId="38" fillId="0" borderId="0" xfId="0" applyFont="1" applyAlignment="1">
      <alignment wrapText="1"/>
    </xf>
    <xf numFmtId="0" fontId="38" fillId="0" borderId="22" xfId="25" applyFont="1" applyAlignment="1">
      <alignment vertical="top" wrapText="1"/>
    </xf>
    <xf numFmtId="49" fontId="10" fillId="8" borderId="0" xfId="4" applyNumberFormat="1" applyFont="1" applyFill="1" applyBorder="1" applyAlignment="1">
      <alignment horizontal="center" wrapText="1"/>
    </xf>
    <xf numFmtId="0" fontId="9" fillId="8" borderId="0" xfId="7" applyFill="1" applyAlignment="1">
      <alignment wrapText="1"/>
    </xf>
    <xf numFmtId="0" fontId="10" fillId="8" borderId="0" xfId="21" applyFont="1" applyFill="1" applyAlignment="1">
      <alignment horizontal="center" wrapText="1"/>
    </xf>
    <xf numFmtId="4" fontId="10" fillId="8" borderId="0" xfId="21" applyNumberFormat="1" applyFont="1" applyFill="1" applyAlignment="1">
      <alignment horizontal="center" wrapText="1"/>
    </xf>
    <xf numFmtId="0" fontId="10" fillId="8" borderId="0" xfId="2" applyFont="1" applyFill="1" applyBorder="1" applyAlignment="1">
      <alignment horizontal="center" wrapText="1"/>
    </xf>
    <xf numFmtId="0" fontId="9" fillId="8" borderId="0" xfId="7" applyFill="1" applyAlignment="1"/>
    <xf numFmtId="0" fontId="10" fillId="8" borderId="0" xfId="1" applyFont="1" applyFill="1" applyBorder="1" applyAlignment="1">
      <alignment horizontal="center" wrapText="1"/>
    </xf>
    <xf numFmtId="0" fontId="10" fillId="8" borderId="0" xfId="3" applyFont="1" applyFill="1" applyBorder="1" applyAlignment="1">
      <alignment horizontal="center" wrapText="1"/>
    </xf>
    <xf numFmtId="0" fontId="34" fillId="0" borderId="22" xfId="25" applyAlignment="1">
      <alignment vertical="top" wrapText="1"/>
    </xf>
    <xf numFmtId="0" fontId="34" fillId="0" borderId="0" xfId="24" applyAlignment="1">
      <alignment vertical="top" wrapText="1"/>
    </xf>
    <xf numFmtId="0" fontId="34" fillId="0" borderId="0" xfId="24" applyAlignment="1">
      <alignment horizontal="left" vertical="top" wrapText="1"/>
    </xf>
    <xf numFmtId="0" fontId="3" fillId="8" borderId="0" xfId="0" applyFont="1" applyFill="1" applyAlignment="1">
      <alignment horizontal="center"/>
    </xf>
    <xf numFmtId="0" fontId="10" fillId="13" borderId="0" xfId="16" applyFont="1" applyFill="1" applyAlignment="1">
      <alignment horizontal="center" vertical="top" wrapText="1"/>
    </xf>
    <xf numFmtId="0" fontId="10" fillId="13" borderId="0" xfId="16" applyFont="1" applyFill="1" applyAlignment="1">
      <alignment horizontal="center"/>
    </xf>
    <xf numFmtId="0" fontId="9" fillId="0" borderId="0" xfId="7" applyAlignment="1">
      <alignment horizontal="center"/>
    </xf>
    <xf numFmtId="0" fontId="10" fillId="14" borderId="0" xfId="16" applyFont="1" applyFill="1" applyAlignment="1">
      <alignment horizontal="center"/>
    </xf>
    <xf numFmtId="167" fontId="3" fillId="9" borderId="0" xfId="0" applyNumberFormat="1" applyFont="1" applyFill="1"/>
    <xf numFmtId="1" fontId="3" fillId="9" borderId="0" xfId="0" applyNumberFormat="1" applyFont="1" applyFill="1"/>
  </cellXfs>
  <cellStyles count="32">
    <cellStyle name="Accent2" xfId="1" builtinId="33"/>
    <cellStyle name="Accent3" xfId="2" builtinId="37"/>
    <cellStyle name="Accent4" xfId="3" builtinId="41"/>
    <cellStyle name="Accent5" xfId="4" builtinId="45"/>
    <cellStyle name="Body: normal cell" xfId="26" xr:uid="{EBDCE579-80DA-429D-83B3-214A78A3B678}"/>
    <cellStyle name="Comma" xfId="28" builtinId="3"/>
    <cellStyle name="Comma 2" xfId="8" xr:uid="{4F638D7F-CCE4-4C71-A232-2ADDD33EDF93}"/>
    <cellStyle name="Comma 3" xfId="30" xr:uid="{01F9A5B6-BC3D-4AC4-B07C-14CD151A6D26}"/>
    <cellStyle name="Footnotes: all except top row" xfId="24" xr:uid="{9849A823-FEC2-41C5-ABF9-D3C5563C402A}"/>
    <cellStyle name="Footnotes: top row" xfId="25" xr:uid="{BD00A398-6543-4537-8C12-33B92DAB7F20}"/>
    <cellStyle name="Header: bottom row" xfId="27" xr:uid="{052C9259-6DE5-4F57-85D1-57D59159D4EC}"/>
    <cellStyle name="Hyperlink" xfId="23" builtinId="8"/>
    <cellStyle name="Hyperlink 2" xfId="19" xr:uid="{F994BFBA-C28E-4FB6-A58D-0A7D6780465E}"/>
    <cellStyle name="Normal" xfId="0" builtinId="0"/>
    <cellStyle name="Normal 10" xfId="14" xr:uid="{E8E89D52-A8CC-4D15-869E-90070CC23238}"/>
    <cellStyle name="Normal 10 10" xfId="7" xr:uid="{460DFCEA-DF84-445A-A93F-E10275F7A07E}"/>
    <cellStyle name="Normal 2" xfId="5" xr:uid="{C68C8BC5-3F35-4BE7-B490-E2A7FEF56E08}"/>
    <cellStyle name="Normal 2 2" xfId="21" xr:uid="{E6BBA863-D9FE-4FD0-914D-E3DBC79FB9B6}"/>
    <cellStyle name="Normal 2 3" xfId="22" xr:uid="{0A29EE1B-9D85-4D25-9CC1-868987528A6B}"/>
    <cellStyle name="Normal 3" xfId="29" xr:uid="{9A38EEBC-FD30-40D5-A3A2-6FC8FA13B726}"/>
    <cellStyle name="Normal 3 12" xfId="6" xr:uid="{2A39DDA1-A6B7-443C-8ADD-4BFAABF483DB}"/>
    <cellStyle name="Normal 4 12" xfId="9" xr:uid="{FFF27742-1550-4535-9885-1C08B0AB256E}"/>
    <cellStyle name="Normal 4 2 2" xfId="15" xr:uid="{9D62E9F7-A228-4533-BB56-C123E94EE73A}"/>
    <cellStyle name="Normal_Commodities" xfId="10" xr:uid="{083966C7-6622-43AB-B439-2296D08006C1}"/>
    <cellStyle name="Normal_Conv" xfId="18" xr:uid="{11E121E7-0957-4D18-B97D-77E123427314}"/>
    <cellStyle name="Normal_conversion factors" xfId="17" xr:uid="{9D1EED94-9A15-45A6-8C0A-C1343E0EBE2D}"/>
    <cellStyle name="Normal_Data Improvement Calcs" xfId="16" xr:uid="{47A9F018-6642-453A-8985-D352AA29B4E1}"/>
    <cellStyle name="Normal_EPAUS9r_08_SRC_Coal_v0.1a" xfId="13" xr:uid="{48B806FA-D51D-4127-8F3F-303F61D9C025}"/>
    <cellStyle name="Normal_Sheet1" xfId="11" xr:uid="{EE8A47B1-2E60-4D39-AF34-CC117CF5A18E}"/>
    <cellStyle name="Normal_Sheet1 2" xfId="12" xr:uid="{F78C01BF-2FA6-42A7-B9FC-739D3AA13589}"/>
    <cellStyle name="Percent" xfId="31" builtinId="5"/>
    <cellStyle name="Percent 2" xfId="20" xr:uid="{FAAAE123-E5CE-4C1B-99EC-843C99EB934A}"/>
  </cellStyles>
  <dxfs count="279">
    <dxf>
      <numFmt numFmtId="167" formatCode="0.000"/>
    </dxf>
    <dxf>
      <numFmt numFmtId="1" formatCode="0"/>
    </dxf>
    <dxf>
      <font>
        <b/>
        <i val="0"/>
        <strike val="0"/>
        <condense val="0"/>
        <extend val="0"/>
        <outline val="0"/>
        <shadow val="0"/>
        <u val="none"/>
        <vertAlign val="baseline"/>
        <sz val="10"/>
        <color auto="1"/>
        <name val="Arial"/>
        <family val="2"/>
        <scheme val="none"/>
      </font>
      <fill>
        <patternFill patternType="solid">
          <fgColor indexed="64"/>
          <bgColor theme="6" tint="0.79998168889431442"/>
        </patternFill>
      </fill>
      <alignment horizontal="right"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5" formatCode="#,##0_);\(#,##0\)"/>
    </dxf>
    <dxf>
      <numFmt numFmtId="5" formatCode="#,##0_);\(#,##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5" formatCode="#,##0_);\(#,##0\)"/>
    </dxf>
    <dxf>
      <numFmt numFmtId="5" formatCode="#,##0_);\(#,##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border outline="0">
        <bottom style="dashed">
          <color theme="0" tint="-0.24994659260841701"/>
        </bottom>
      </border>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border outline="0">
        <bottom style="thick">
          <color theme="4"/>
        </bottom>
      </border>
    </dxf>
    <dxf>
      <numFmt numFmtId="0" formatCode="General"/>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numFmt numFmtId="3" formatCode="#,##0"/>
      <fill>
        <patternFill patternType="solid">
          <fgColor indexed="64"/>
          <bgColor theme="0"/>
        </patternFill>
      </fill>
    </dxf>
    <dxf>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0"/>
        <color auto="1"/>
        <name val="Arial"/>
        <family val="2"/>
        <scheme val="none"/>
      </font>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2" formatCode="0.0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2" formatCode="0.0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2" formatCode="0.0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2" formatCode="0.0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theme="0"/>
        </patternFill>
      </fill>
      <alignment horizontal="general"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4" formatCode="#,##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general"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1" formatCode="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dxf>
    <dxf>
      <border outline="0">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border outline="0">
        <bottom style="medium">
          <color indexed="64"/>
        </bottom>
      </border>
    </dxf>
    <dxf>
      <font>
        <b val="0"/>
        <i val="0"/>
        <strike val="0"/>
        <condense val="0"/>
        <extend val="0"/>
        <outline val="0"/>
        <shadow val="0"/>
        <u val="none"/>
        <vertAlign val="baseline"/>
        <sz val="10"/>
        <color auto="1"/>
        <name val="Arial"/>
        <family val="2"/>
        <scheme val="none"/>
      </font>
      <fill>
        <patternFill>
          <fgColor indexed="64"/>
          <bgColor theme="0"/>
        </patternFill>
      </fill>
      <alignment horizontal="center" vertical="bottom" textRotation="0" wrapText="1" relative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3" formatCode="&quot;$&quot;#,##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3" formatCode="&quot;$&quot;#,##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4"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border outline="0">
        <bottom style="dashed">
          <color theme="0" tint="-0.24994659260841701"/>
        </bottom>
      </border>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border outline="0">
        <bottom style="thick">
          <color theme="4"/>
        </bottom>
      </border>
    </dxf>
    <dxf>
      <alignment horizontal="right" vertical="bottom"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1" formatCode="0.0"/>
    </dxf>
    <dxf>
      <numFmt numFmtId="1" formatCode="0"/>
    </dxf>
    <dxf>
      <numFmt numFmtId="1" formatCode="0"/>
    </dxf>
    <dxf>
      <border diagonalUp="0" diagonalDown="0">
        <left style="thin">
          <color theme="4" tint="0.39997558519241921"/>
        </left>
        <right/>
        <top style="thin">
          <color theme="4" tint="0.39997558519241921"/>
        </top>
        <bottom style="thin">
          <color theme="4" tint="0.39997558519241921"/>
        </bottom>
        <vertical/>
        <horizontal/>
      </border>
    </dxf>
    <dxf>
      <numFmt numFmtId="0" formatCode="General"/>
    </dxf>
    <dxf>
      <numFmt numFmtId="0" formatCode="General"/>
    </dxf>
    <dxf>
      <alignment horizontal="general" vertical="bottom" textRotation="0" wrapText="1" indent="0" justifyLastLine="0" shrinkToFit="0" readingOrder="0"/>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bottom style="thin">
          <color indexed="64"/>
        </bottom>
        <vertical/>
        <horizontal/>
      </border>
    </dxf>
    <dxf>
      <border outline="0">
        <bottom style="thin">
          <color indexed="64"/>
        </bottom>
      </border>
    </dxf>
    <dxf>
      <fill>
        <patternFill patternType="solid">
          <fgColor indexed="64"/>
          <bgColor theme="0"/>
        </patternFill>
      </fill>
    </dxf>
    <dxf>
      <font>
        <b/>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Vilgalys, Max" id="{46B2B21F-6167-4FBC-82F6-0833733329D0}" userId="S::VilgalysM@omb.nyc.gov::2f772ca1-1042-4197-962a-1b495cdaaa71" providerId="AD"/>
  <person displayName="Robertson, Aurora" id="{8192386F-C523-40E4-9DD6-AC96999D4FB7}" userId="S::RobertsonA@omb.nyc.gov::64748c27-f566-469f-bc0b-104e9214689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D11C7F-9EAD-4096-B900-0A60C81ACEF0}" name="LifetimeAssumptions" displayName="LifetimeAssumptions" ref="B3:H27" totalsRowShown="0" headerRowDxfId="278" dataDxfId="277" tableBorderDxfId="276">
  <autoFilter ref="B3:H27" xr:uid="{2ED11C7F-9EAD-4096-B900-0A60C81ACEF0}"/>
  <tableColumns count="7">
    <tableColumn id="1" xr3:uid="{3EBE1ACA-9D5A-4256-9C68-A9F56D99A93A}" name="technology" dataDxfId="275"/>
    <tableColumn id="2" xr3:uid="{E74F511A-D15A-4585-B7DE-E21209A4EB73}" name="AF" dataDxfId="274"/>
    <tableColumn id="3" xr3:uid="{59A4CA16-EB6E-4213-9614-62ABB5561E17}" name="Peak (con)" dataDxfId="273"/>
    <tableColumn id="4" xr3:uid="{4A903FDA-740D-452D-B933-C649541283D4}" name="Discrate" dataDxfId="272">
      <calculatedColumnFormula>$T$3+K4*$T$7+L4*$T$8+M4*$T$9+N4*$T$10+O4*$T$11</calculatedColumnFormula>
    </tableColumn>
    <tableColumn id="5" xr3:uid="{94131BE9-B5D1-4504-BA58-FA49523ADF17}" name="Lifetime" dataDxfId="271"/>
    <tableColumn id="6" xr3:uid="{8169945E-32BF-472C-AC0A-8AED1EACDBFE}" name="Lifetime2" dataDxfId="270"/>
    <tableColumn id="7" xr3:uid="{355A7F1C-82EC-413F-9830-5834258B35FE}" name="Rate" dataDxfId="26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0C686EF-EDED-47A0-89BF-597A1AA7F2CC}" name="NYSERDA_SupplyProcessed" displayName="NYSERDA_SupplyProcessed" ref="C14:AC29" totalsRowShown="0" headerRowDxfId="268">
  <autoFilter ref="C14:AC29" xr:uid="{70C686EF-EDED-47A0-89BF-597A1AA7F2CC}"/>
  <tableColumns count="27">
    <tableColumn id="1" xr3:uid="{DA7BE515-7115-4F1B-8A7E-E9F411761303}" name="Region"/>
    <tableColumn id="25" xr3:uid="{821485CF-BE60-401D-A77C-F63DC959ACD3}" name="CapEx_Lookup" dataDxfId="267">
      <calculatedColumnFormula array="1">_xlfn.IFS(NYSERDA_SupplyProcessed[[#This Row],[Technology_Lookup]]="*scale*","hi",TRUE,"bye")</calculatedColumnFormula>
    </tableColumn>
    <tableColumn id="27" xr3:uid="{3017BD1D-F27D-40A7-BD61-98B1AE03C172}" name="Label" dataDxfId="266">
      <calculatedColumnFormula>NYSERDA_SupplyProcessed[[#This Row],[Technology_Lookup]]&amp;"_"&amp;NYSERDA_SupplyProcessed[[#This Row],[Region]]&amp;"_"&amp;NYSERDA_SupplyProcessed[[#This Row],[CapEx_Lookup]]</calculatedColumnFormula>
    </tableColumn>
    <tableColumn id="2" xr3:uid="{E56A30ED-3D4F-45D0-A9E2-882DBDF183A3}" name="Technology_Lookup" dataDxfId="265"/>
    <tableColumn id="3" xr3:uid="{B21687BC-A9C7-4D2B-B280-784BA067559E}" name="Zone"/>
    <tableColumn id="4" xr3:uid="{773DEE4D-C986-4829-BA5B-C4676CC8AA2A}" name="CapEx Bin"/>
    <tableColumn id="5" xr3:uid="{21D0C1D2-E7CA-4866-8ECE-29E84F123971}" name="Total Capacity (MW)" dataDxfId="264">
      <calculatedColumnFormula>SUMIFS(NYSERDA_SupplyCurve_Raw[Available Capacity (MWac)],NYSERDA_SupplyCurve_Raw[Interconnection Zone],$G15,NYSERDA_SupplyCurve_Raw[CapEx Bin],$H15,NYSERDA_SupplyCurve_Raw[Technology Type],$F15)</calculatedColumnFormula>
    </tableColumn>
    <tableColumn id="6" xr3:uid="{9407C03C-B07B-4948-80F9-295A67BECE61}" name="Average Capex ($2024 / kW)" dataDxfId="263">
      <calculatedColumnFormula>IF($I15&gt;0,SUMIFS(NYSERDA_SupplyCurve_Raw[Total Capex Cost (thousand $)],NYSERDA_SupplyCurve_Raw[Interconnection Zone],$G15,NYSERDA_SupplyCurve_Raw[CapEx Bin],$H15,NYSERDA_SupplyCurve_Raw[Technology Type],$F15)/$I15,"")</calculatedColumnFormula>
    </tableColumn>
    <tableColumn id="7" xr3:uid="{F2C6DB7D-DE44-46BD-BB3E-829B66D80E52}" name="OpEx (thousand $ 2024 / kW - year)" dataDxfId="262">
      <calculatedColumnFormula>IF($I15&gt;0,SUMIFS(NYSERDA_SupplyCurve_Raw[Total OpEx Cost (thousand $ / kW- year)],NYSERDA_SupplyCurve_Raw[Interconnection Zone],$G15,NYSERDA_SupplyCurve_Raw[CapEx Bin],$H15,NYSERDA_SupplyCurve_Raw[Technology Type],$F15)/$I15,"")</calculatedColumnFormula>
    </tableColumn>
    <tableColumn id="26" xr3:uid="{DFB37789-B9A9-404F-BA1B-C1B92F7069F9}" name="Average Capacity Factor" dataDxfId="261">
      <calculatedColumnFormula>IF($I15&gt;0,SUMIFS(NYSERDA_SupplyCurve_Raw[Avg OpEx x Total Generation],NYSERDA_SupplyCurve_Raw[Interconnection Zone],$G15,NYSERDA_SupplyCurve_Raw[CapEx Bin],$H15,NYSERDA_SupplyCurve_Raw[Technology Type],$F15)/$I15,"")</calculatedColumnFormula>
    </tableColumn>
    <tableColumn id="8" xr3:uid="{F6BAFCF5-F91C-45B2-BC20-B55B17BE3E1C}" name="CapEx Escalator_2024" dataDxfId="260">
      <calculatedColumnFormula>IFERROR(AVERAGEIFS(INDIRECT("NYSERDA_SupplyCurve_Raw[Resource "&amp;M$14&amp;"]"),
NYSERDA_SupplyCurve_Raw[Interconnection Zone],$G15,NYSERDA_SupplyCurve_Raw[CapEx Bin],$H15,NYSERDA_SupplyCurve_Raw[Technology Type],$F15),"")</calculatedColumnFormula>
    </tableColumn>
    <tableColumn id="9" xr3:uid="{88356D46-3A0E-43F7-ACC0-83B83486716D}" name="CapEx Escalator_2025" dataDxfId="259">
      <calculatedColumnFormula>IFERROR(AVERAGEIFS(INDIRECT("NYSERDA_SupplyCurve_Raw[Resource "&amp;N$14&amp;"]"),
NYSERDA_SupplyCurve_Raw[Interconnection Zone],$G15,NYSERDA_SupplyCurve_Raw[CapEx Bin],$H15,NYSERDA_SupplyCurve_Raw[Technology Type],$F15),"")</calculatedColumnFormula>
    </tableColumn>
    <tableColumn id="10" xr3:uid="{90AFE002-7B2E-4881-80D2-94653A002865}" name="CapEx Escalator_2026" dataDxfId="258">
      <calculatedColumnFormula>IFERROR(AVERAGEIFS(INDIRECT("NYSERDA_SupplyCurve_Raw[Resource "&amp;O$14&amp;"]"),
NYSERDA_SupplyCurve_Raw[Interconnection Zone],$G15,NYSERDA_SupplyCurve_Raw[CapEx Bin],$H15,NYSERDA_SupplyCurve_Raw[Technology Type],$F15),"")</calculatedColumnFormula>
    </tableColumn>
    <tableColumn id="11" xr3:uid="{DC5353B7-18CF-4113-A8EC-339E0D5D967A}" name="CapEx Escalator_2027" dataDxfId="257">
      <calculatedColumnFormula>IFERROR(AVERAGEIFS(INDIRECT("NYSERDA_SupplyCurve_Raw[Resource "&amp;P$14&amp;"]"),
NYSERDA_SupplyCurve_Raw[Interconnection Zone],$G15,NYSERDA_SupplyCurve_Raw[CapEx Bin],$H15,NYSERDA_SupplyCurve_Raw[Technology Type],$F15),"")</calculatedColumnFormula>
    </tableColumn>
    <tableColumn id="12" xr3:uid="{9D2DA420-2E27-42E2-BB0C-1994C1748AC2}" name="CapEx Escalator_2028" dataDxfId="256">
      <calculatedColumnFormula>IFERROR(AVERAGEIFS(INDIRECT("NYSERDA_SupplyCurve_Raw[Resource "&amp;Q$14&amp;"]"),
NYSERDA_SupplyCurve_Raw[Interconnection Zone],$G15,NYSERDA_SupplyCurve_Raw[CapEx Bin],$H15,NYSERDA_SupplyCurve_Raw[Technology Type],$F15),"")</calculatedColumnFormula>
    </tableColumn>
    <tableColumn id="13" xr3:uid="{915DCE2C-D7D4-4C07-80DC-43377F5855EB}" name="CapEx Escalator_2029" dataDxfId="255">
      <calculatedColumnFormula>IFERROR(AVERAGEIFS(INDIRECT("NYSERDA_SupplyCurve_Raw[Resource "&amp;R$14&amp;"]"),
NYSERDA_SupplyCurve_Raw[Interconnection Zone],$G15,NYSERDA_SupplyCurve_Raw[CapEx Bin],$H15,NYSERDA_SupplyCurve_Raw[Technology Type],$F15),"")</calculatedColumnFormula>
    </tableColumn>
    <tableColumn id="14" xr3:uid="{9462A8FE-47CA-439D-B56A-B274C6595283}" name="CapEx Escalator_2030" dataDxfId="254">
      <calculatedColumnFormula>IFERROR(AVERAGEIFS(INDIRECT("NYSERDA_SupplyCurve_Raw[Resource "&amp;S$14&amp;"]"),
NYSERDA_SupplyCurve_Raw[Interconnection Zone],$G15,NYSERDA_SupplyCurve_Raw[CapEx Bin],$H15,NYSERDA_SupplyCurve_Raw[Technology Type],$F15),"")</calculatedColumnFormula>
    </tableColumn>
    <tableColumn id="15" xr3:uid="{9CEE0DD9-9861-4454-BC98-94C31F06BB7C}" name="CapEx Escalator_2031" dataDxfId="253">
      <calculatedColumnFormula>IFERROR(AVERAGEIFS(INDIRECT("NYSERDA_SupplyCurve_Raw[Resource "&amp;T$14&amp;"]"),
NYSERDA_SupplyCurve_Raw[Interconnection Zone],$G15,NYSERDA_SupplyCurve_Raw[CapEx Bin],$H15,NYSERDA_SupplyCurve_Raw[Technology Type],$F15),"")</calculatedColumnFormula>
    </tableColumn>
    <tableColumn id="16" xr3:uid="{C20A558C-C22C-40C4-BE5E-4A6FED1CEFA2}" name="CapEx Escalator_2032" dataDxfId="252">
      <calculatedColumnFormula>IFERROR(AVERAGEIFS(INDIRECT("NYSERDA_SupplyCurve_Raw[Resource "&amp;U$14&amp;"]"),
NYSERDA_SupplyCurve_Raw[Interconnection Zone],$G15,NYSERDA_SupplyCurve_Raw[CapEx Bin],$H15,NYSERDA_SupplyCurve_Raw[Technology Type],$F15),"")</calculatedColumnFormula>
    </tableColumn>
    <tableColumn id="17" xr3:uid="{44C27FA8-FFA7-426C-8FF7-F285DB1899A2}" name="CapEx Escalator_2033" dataDxfId="251">
      <calculatedColumnFormula>IFERROR(AVERAGEIFS(INDIRECT("NYSERDA_SupplyCurve_Raw[Resource "&amp;V$14&amp;"]"),
NYSERDA_SupplyCurve_Raw[Interconnection Zone],$G15,NYSERDA_SupplyCurve_Raw[CapEx Bin],$H15,NYSERDA_SupplyCurve_Raw[Technology Type],$F15),"")</calculatedColumnFormula>
    </tableColumn>
    <tableColumn id="18" xr3:uid="{637D93E9-7B82-4D84-8D16-693BB27701C5}" name="CapEx Escalator_2034" dataDxfId="250">
      <calculatedColumnFormula>IFERROR(AVERAGEIFS(INDIRECT("NYSERDA_SupplyCurve_Raw[Resource "&amp;W$14&amp;"]"),
NYSERDA_SupplyCurve_Raw[Interconnection Zone],$G15,NYSERDA_SupplyCurve_Raw[CapEx Bin],$H15,NYSERDA_SupplyCurve_Raw[Technology Type],$F15),"")</calculatedColumnFormula>
    </tableColumn>
    <tableColumn id="19" xr3:uid="{E1E709D3-D886-46BB-B861-0B39F30B4199}" name="CapEx Escalator_2035" dataDxfId="249">
      <calculatedColumnFormula>IFERROR(AVERAGEIFS(INDIRECT("NYSERDA_SupplyCurve_Raw[Resource "&amp;X$14&amp;"]"),
NYSERDA_SupplyCurve_Raw[Interconnection Zone],$G15,NYSERDA_SupplyCurve_Raw[CapEx Bin],$H15,NYSERDA_SupplyCurve_Raw[Technology Type],$F15),"")</calculatedColumnFormula>
    </tableColumn>
    <tableColumn id="20" xr3:uid="{D0388D2F-7D3E-4799-8D89-EAF7D2293B69}" name="CapEx Escalator_2036" dataDxfId="248">
      <calculatedColumnFormula>IFERROR(AVERAGEIFS(INDIRECT("NYSERDA_SupplyCurve_Raw[Resource "&amp;Y$14&amp;"]"),
NYSERDA_SupplyCurve_Raw[Interconnection Zone],$G15,NYSERDA_SupplyCurve_Raw[CapEx Bin],$H15,NYSERDA_SupplyCurve_Raw[Technology Type],$F15),"")</calculatedColumnFormula>
    </tableColumn>
    <tableColumn id="21" xr3:uid="{DB546C64-51F9-4085-9A31-14C884705D28}" name="CapEx Escalator_2037" dataDxfId="247">
      <calculatedColumnFormula>IFERROR(AVERAGEIFS(INDIRECT("NYSERDA_SupplyCurve_Raw[Resource "&amp;Z$14&amp;"]"),
NYSERDA_SupplyCurve_Raw[Interconnection Zone],$G15,NYSERDA_SupplyCurve_Raw[CapEx Bin],$H15,NYSERDA_SupplyCurve_Raw[Technology Type],$F15),"")</calculatedColumnFormula>
    </tableColumn>
    <tableColumn id="22" xr3:uid="{535DE714-6614-4D64-8D23-09A2658525AC}" name="CapEx Escalator_2038" dataDxfId="246">
      <calculatedColumnFormula>IFERROR(AVERAGEIFS(INDIRECT("NYSERDA_SupplyCurve_Raw[Resource "&amp;AA$14&amp;"]"),
NYSERDA_SupplyCurve_Raw[Interconnection Zone],$G15,NYSERDA_SupplyCurve_Raw[CapEx Bin],$H15,NYSERDA_SupplyCurve_Raw[Technology Type],$F15),"")</calculatedColumnFormula>
    </tableColumn>
    <tableColumn id="23" xr3:uid="{38E707B7-A1B1-461A-97BB-D3219FFDB3DF}" name="CapEx Escalator_2039" dataDxfId="245">
      <calculatedColumnFormula>IFERROR(AVERAGEIFS(INDIRECT("NYSERDA_SupplyCurve_Raw[Resource "&amp;AB$14&amp;"]"),
NYSERDA_SupplyCurve_Raw[Interconnection Zone],$G15,NYSERDA_SupplyCurve_Raw[CapEx Bin],$H15,NYSERDA_SupplyCurve_Raw[Technology Type],$F15),"")</calculatedColumnFormula>
    </tableColumn>
    <tableColumn id="24" xr3:uid="{18D0FFE9-BB8F-40C2-9BA9-6EA1D40DE818}" name="CapEx Escalator_2040" dataDxfId="244">
      <calculatedColumnFormula>IFERROR(AVERAGEIFS(INDIRECT("NYSERDA_SupplyCurve_Raw[Resource "&amp;AC$14&amp;"]"),
NYSERDA_SupplyCurve_Raw[Interconnection Zone],$G15,NYSERDA_SupplyCurve_Raw[CapEx Bin],$H15,NYSERDA_SupplyCurve_Raw[Technology Type],$F15),"")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87072FD-A16B-4138-8891-8E04698F87A1}" name="NYSERDA_SupplyCurve_Raw" displayName="NYSERDA_SupplyCurve_Raw" ref="A7:CB160" totalsRowShown="0" headerRowDxfId="243">
  <autoFilter ref="A7:CB160" xr:uid="{816854E7-4881-4865-ABEF-6BEEA84F09FF}"/>
  <tableColumns count="80">
    <tableColumn id="1" xr3:uid="{F39A881F-EACA-4610-8167-C7E9D645BC6F}" name="Technology Type"/>
    <tableColumn id="2" xr3:uid="{F2D627D2-4B0E-440D-BB0F-86217149761F}" name="County"/>
    <tableColumn id="3" xr3:uid="{AA891497-6BCC-48EE-9C57-7EE1EC5F0EF5}" name="Interconnection Zone" dataDxfId="242"/>
    <tableColumn id="4" xr3:uid="{4D7C1DB7-0C9D-4EC0-AD09-3216A5328C22}" name="CapEx Bin"/>
    <tableColumn id="5" xr3:uid="{A0F94AC2-59BA-4F97-ADF4-A81113C74B90}" name="Available Capacity (MWac)" dataDxfId="241"/>
    <tableColumn id="78" xr3:uid="{8744EA9D-2020-4CFC-9FEF-87DC83228FAA}" name="Total Capex Cost (thousand $)" dataDxfId="240">
      <calculatedColumnFormula>NYSERDA_SupplyCurve_Raw[[#This Row],[Available Capacity (MWac)]]*NYSERDA_SupplyCurve_Raw[[#This Row],[2024 Weighted Avg Resource CapEx ($/kWac)]]</calculatedColumnFormula>
    </tableColumn>
    <tableColumn id="79" xr3:uid="{2D74F3A2-3E76-41DD-AF8D-B9D66B0BC74C}" name="Total OpEx Cost (thousand $ / kW- year)" dataDxfId="239">
      <calculatedColumnFormula>NYSERDA_SupplyCurve_Raw[[#This Row],[Available Capacity (MWac)]]*NYSERDA_SupplyCurve_Raw[[#This Row],[2024 Weighted Avg OpEx ($/kWac-year)]]</calculatedColumnFormula>
    </tableColumn>
    <tableColumn id="6" xr3:uid="{441567F1-A6F1-48DE-9709-83A8AE8019DB}" name="2024 Weighted Avg Resource CapEx ($/kWac)" dataDxfId="238"/>
    <tableColumn id="7" xr3:uid="{4A00826C-4A6D-4EE4-85C5-EC0C14AC5227}" name="2024 Weighted Avg IX CapEx ($/kWac)" dataDxfId="237"/>
    <tableColumn id="8" xr3:uid="{30A28CBB-D775-48B3-8B14-AFF6B84906C8}" name="2024 Weighted Avg OpEx ($/kWac-year)" dataDxfId="236"/>
    <tableColumn id="80" xr3:uid="{9F4B4CEF-9965-4647-84B7-5467254F1DC1}" name="Avg OpEx x Total Generation" dataDxfId="235">
      <calculatedColumnFormula>NYSERDA_SupplyCurve_Raw[[#This Row],[2024 Weighted Avg Capacity Factor]]*NYSERDA_SupplyCurve_Raw[[#This Row],[Available Capacity (MWac)]]</calculatedColumnFormula>
    </tableColumn>
    <tableColumn id="9" xr3:uid="{12B76597-E86F-42C6-BB66-980B459A79AA}" name="2024 Weighted Avg Capacity Factor" dataDxfId="234" dataCellStyle="Percent"/>
    <tableColumn id="10" xr3:uid="{1E428305-8494-43B9-8BC3-F02042C5DF05}" name="Resource CapEx Escalator_2024" dataDxfId="233"/>
    <tableColumn id="11" xr3:uid="{04E53E3C-B7B4-410D-BC35-377A9FFC9351}" name="Resource CapEx Escalator_2025" dataDxfId="232"/>
    <tableColumn id="12" xr3:uid="{692DAB8F-1135-401A-8338-476B55EA337C}" name="Resource CapEx Escalator_2026" dataDxfId="231"/>
    <tableColumn id="13" xr3:uid="{6BF8B0CB-B153-4DFA-82D5-5070FA2DB565}" name="Resource CapEx Escalator_2027" dataDxfId="230"/>
    <tableColumn id="14" xr3:uid="{8007677A-ED7D-4E0E-90EE-EE12CF48563E}" name="Resource CapEx Escalator_2028" dataDxfId="229"/>
    <tableColumn id="15" xr3:uid="{D1BA2E8E-6F52-4B77-8AE9-DF0F16C59CC9}" name="Resource CapEx Escalator_2029" dataDxfId="228"/>
    <tableColumn id="16" xr3:uid="{6BAD3CBC-3727-4463-9DBA-E55283153176}" name="Resource CapEx Escalator_2030" dataDxfId="227"/>
    <tableColumn id="17" xr3:uid="{E5375172-662A-4E0E-9641-6786836B0098}" name="Resource CapEx Escalator_2031" dataDxfId="226"/>
    <tableColumn id="18" xr3:uid="{C9703C6B-F415-4FAC-ADFA-598BD6875B4D}" name="Resource CapEx Escalator_2032" dataDxfId="225"/>
    <tableColumn id="19" xr3:uid="{72AB44B2-CB45-47FA-8B72-5F94C2ADC50A}" name="Resource CapEx Escalator_2033" dataDxfId="224"/>
    <tableColumn id="20" xr3:uid="{D2B0BCE3-D14A-4B9B-8DAF-A79A9D696277}" name="Resource CapEx Escalator_2034" dataDxfId="223"/>
    <tableColumn id="21" xr3:uid="{6F68AF9C-FBA9-4614-9CC8-5974C49EBE59}" name="Resource CapEx Escalator_2035" dataDxfId="222"/>
    <tableColumn id="22" xr3:uid="{5346B702-5A94-49BC-88B1-2DB27B8AA172}" name="Resource CapEx Escalator_2036" dataDxfId="221"/>
    <tableColumn id="23" xr3:uid="{37307190-F38A-4AE9-ADB2-E7D424AEEE32}" name="Resource CapEx Escalator_2037" dataDxfId="220"/>
    <tableColumn id="24" xr3:uid="{66D36F7C-E589-4060-86D9-C37587B1E149}" name="Resource CapEx Escalator_2038" dataDxfId="219"/>
    <tableColumn id="25" xr3:uid="{22EB88CF-38A7-4F16-8850-443D604307B3}" name="Resource CapEx Escalator_2039" dataDxfId="218"/>
    <tableColumn id="26" xr3:uid="{0979BD53-7E9E-470D-8A40-9A9920C280DE}" name="Resource CapEx Escalator_2040" dataDxfId="217"/>
    <tableColumn id="27" xr3:uid="{593DC8E5-1499-470F-996A-10451241B1B9}" name="IX CapEx Escalator_2024" dataDxfId="216"/>
    <tableColumn id="28" xr3:uid="{9963DD60-FDAE-4676-B216-FF207750EC5E}" name="IX CapEx Escalator_2025" dataDxfId="215"/>
    <tableColumn id="29" xr3:uid="{6C2B9D2C-94CE-4A55-B6CD-48B9C283ABCF}" name="IX CapEx Escalator_2026" dataDxfId="214"/>
    <tableColumn id="30" xr3:uid="{872B1DDD-590E-426B-9526-347D1CF00E13}" name="IX CapEx Escalator_2027" dataDxfId="213"/>
    <tableColumn id="31" xr3:uid="{E8412C36-1B60-4E6D-8BDB-114B84023675}" name="IX CapEx Escalator_2028" dataDxfId="212"/>
    <tableColumn id="32" xr3:uid="{6D6EF59C-6BDE-43D0-8597-FCA920A1B80D}" name="IX CapEx Escalator_2029" dataDxfId="211"/>
    <tableColumn id="33" xr3:uid="{9CB2BA3D-5DCA-4BA9-A88D-86FD8B2011FD}" name="IX CapEx Escalator_2030" dataDxfId="210"/>
    <tableColumn id="34" xr3:uid="{030B5613-CEC0-4D72-8FEB-589317437D59}" name="IX CapEx Escalator_2031" dataDxfId="209"/>
    <tableColumn id="35" xr3:uid="{1CE39AED-611C-407B-AF43-5FDE2E343F98}" name="IX CapEx Escalator_2032" dataDxfId="208"/>
    <tableColumn id="36" xr3:uid="{D6592EE3-4682-43A2-8217-1207614EE6B2}" name="IX CapEx Escalator_2033" dataDxfId="207"/>
    <tableColumn id="37" xr3:uid="{F194F4AF-E2DD-4A38-A2F8-62A2C5A9507A}" name="IX CapEx Escalator_2034" dataDxfId="206"/>
    <tableColumn id="38" xr3:uid="{7B95B8A7-724B-4038-8F18-74247A100030}" name="IX CapEx Escalator_2035" dataDxfId="205"/>
    <tableColumn id="39" xr3:uid="{A578ED70-8B16-4D50-B5C3-10DC8B884BAB}" name="IX CapEx Escalator_2036" dataDxfId="204"/>
    <tableColumn id="40" xr3:uid="{666FB817-5090-4663-B538-59D866087CFC}" name="IX CapEx Escalator_2037" dataDxfId="203"/>
    <tableColumn id="41" xr3:uid="{6D1CDEA8-70B4-4D92-A725-26E4B52E44B8}" name="IX CapEx Escalator_2038" dataDxfId="202"/>
    <tableColumn id="42" xr3:uid="{4C884D64-AF86-4254-98E9-1D4B7EA47A91}" name="IX CapEx Escalator_2039" dataDxfId="201"/>
    <tableColumn id="43" xr3:uid="{B9E06562-6B95-4F4E-AEBA-70122D46E43D}" name="IX CapEx Escalator_2040" dataDxfId="200"/>
    <tableColumn id="44" xr3:uid="{D0E2FB58-4CEF-4790-BF2D-6EA2A92994E4}" name="Resource OpEx Escalator_2024" dataDxfId="199"/>
    <tableColumn id="45" xr3:uid="{F4932105-B113-42A7-BC66-138D942D8C57}" name="Resource OpEx Escalator_2025" dataDxfId="198"/>
    <tableColumn id="46" xr3:uid="{1E2608FB-9B1E-4526-850B-1CAF122640B3}" name="Resource OpEx Escalator_2026" dataDxfId="197"/>
    <tableColumn id="47" xr3:uid="{E63B133A-0B5D-45CD-A284-CBDDE4F95F52}" name="Resource OpEx Escalator_2027" dataDxfId="196"/>
    <tableColumn id="48" xr3:uid="{D2F5714C-526B-41EB-89C2-13BA43367F2D}" name="Resource OpEx Escalator_2028" dataDxfId="195"/>
    <tableColumn id="49" xr3:uid="{A35B9376-F752-4B72-9608-406B08681417}" name="Resource OpEx Escalator_2029" dataDxfId="194"/>
    <tableColumn id="50" xr3:uid="{2D7FCD00-83EF-40AE-9E9A-52A8973E9287}" name="Resource OpEx Escalator_2030" dataDxfId="193"/>
    <tableColumn id="51" xr3:uid="{53FDD3EB-1CFF-4AD7-B784-160349A6D155}" name="Resource OpEx Escalator_2031" dataDxfId="192"/>
    <tableColumn id="52" xr3:uid="{E5606D21-457E-4BC6-91ED-816DB3255BE5}" name="Resource OpEx Escalator_2032" dataDxfId="191"/>
    <tableColumn id="53" xr3:uid="{35BAA2C5-28A8-48A5-8BD9-06E3778FD392}" name="Resource OpEx Escalator_2033" dataDxfId="190"/>
    <tableColumn id="54" xr3:uid="{EAE38C58-D39A-4D54-98EF-04737171D1E4}" name="Resource OpEx Escalator_2034" dataDxfId="189"/>
    <tableColumn id="55" xr3:uid="{7D134241-9744-493C-B985-8164373ECB6F}" name="Resource OpEx Escalator_2035" dataDxfId="188"/>
    <tableColumn id="56" xr3:uid="{7617BC4D-AEF0-4F09-950B-2E21322E7BDC}" name="Resource OpEx Escalator_2036" dataDxfId="187"/>
    <tableColumn id="57" xr3:uid="{B649A708-8CD6-4886-B72F-0F4429A7AD6B}" name="Resource OpEx Escalator_2037" dataDxfId="186"/>
    <tableColumn id="58" xr3:uid="{15F600DB-822E-4830-ABEB-D946667E2141}" name="Resource OpEx Escalator_2038" dataDxfId="185"/>
    <tableColumn id="59" xr3:uid="{E913828A-AE9D-4DA9-92F4-984A776B2A0B}" name="Resource OpEx Escalator_2039" dataDxfId="184"/>
    <tableColumn id="60" xr3:uid="{9491BBF8-E92F-45B8-ABB1-5A64BA7998DB}" name="Resource OpEx Escalator_2040" dataDxfId="183"/>
    <tableColumn id="61" xr3:uid="{299E0303-B8EE-4260-8A92-0CF6E25755D1}" name="Capacity Factor Escalator_2024" dataDxfId="182"/>
    <tableColumn id="62" xr3:uid="{C7D44926-FB58-4C5B-8727-BBA0744E0CD6}" name="_2025" dataDxfId="181"/>
    <tableColumn id="63" xr3:uid="{0FE3F7F9-A45A-43DF-9D09-857FEDF668B9}" name="_2026" dataDxfId="180"/>
    <tableColumn id="64" xr3:uid="{EA882B71-EFAF-415C-9C97-210DE260021B}" name="_2027" dataDxfId="179"/>
    <tableColumn id="65" xr3:uid="{7124EEE3-A30D-439D-B344-92A275A78EF7}" name="_2028" dataDxfId="178"/>
    <tableColumn id="66" xr3:uid="{32450911-ABA5-4B7E-87AE-0F2B893909E8}" name="_2029" dataDxfId="177"/>
    <tableColumn id="67" xr3:uid="{76F81182-9203-4041-B657-46F53F6C1429}" name="_2030" dataDxfId="176"/>
    <tableColumn id="68" xr3:uid="{8F3791E8-8ADF-4D10-B291-020435C558ED}" name="_2031" dataDxfId="175"/>
    <tableColumn id="69" xr3:uid="{2CFB51E8-16FC-49FA-B3BC-547B16B19770}" name="_2032" dataDxfId="174"/>
    <tableColumn id="70" xr3:uid="{D874316D-BFAD-4A89-AD3A-0CFE5FF243EC}" name="_2033" dataDxfId="173"/>
    <tableColumn id="71" xr3:uid="{C2B757AF-91CC-454F-92A0-5C87E7493D86}" name="_2034" dataDxfId="172"/>
    <tableColumn id="72" xr3:uid="{0EAE140A-492E-426C-8421-7488A4360B70}" name="_2035" dataDxfId="171"/>
    <tableColumn id="73" xr3:uid="{DFD7C936-BC31-47FE-986B-3F72C0058B17}" name="_2036" dataDxfId="170"/>
    <tableColumn id="74" xr3:uid="{D63C00CB-147B-4A2A-92E1-F79059338977}" name="_2037" dataDxfId="169"/>
    <tableColumn id="75" xr3:uid="{57ED29D6-55E6-4057-ABBD-0071E9232AC8}" name="_2038" dataDxfId="168"/>
    <tableColumn id="76" xr3:uid="{86CC54E1-80A0-4CF2-9210-E6C69EB2A66F}" name="_2039" dataDxfId="167"/>
    <tableColumn id="77" xr3:uid="{B5714B5F-05D8-4C01-AC8A-CC94B795C3A8}" name="_2040" dataDxfId="16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01814F-3513-49FC-82AC-E1318D41E381}" name="NewCapCosts2023" displayName="NewCapCosts2023" ref="A5:J28" totalsRowShown="0" headerRowDxfId="165" dataDxfId="163" headerRowBorderDxfId="164" tableBorderDxfId="162" headerRowCellStyle="Header: bottom row" dataCellStyle="Body: normal cell">
  <autoFilter ref="A5:J28" xr:uid="{3301814F-3513-49FC-82AC-E1318D41E381}"/>
  <tableColumns count="10">
    <tableColumn id="1" xr3:uid="{2257F8CB-6A33-4C83-815E-138D77B4BA4E}" name="Technology" dataDxfId="161" dataCellStyle="Body: normal cell"/>
    <tableColumn id="2" xr3:uid="{403B9BC6-1062-45A1-AB83-40DF6FB12B06}" name="First available yeara" dataDxfId="160" dataCellStyle="Body: normal cell"/>
    <tableColumn id="3" xr3:uid="{69A0A23C-B40B-486B-8408-E287FF67B66B}" name="Size (MW)" dataDxfId="159" dataCellStyle="Body: normal cell"/>
    <tableColumn id="4" xr3:uid="{32FD513E-3700-43C1-A0EF-199341C92C9D}" name="Lead time (years)" dataDxfId="158" dataCellStyle="Body: normal cell"/>
    <tableColumn id="5" xr3:uid="{D2EB7D98-E835-46B5-81C9-2BC87586378E}" name="Base overnight costb  (2022$/kW)" dataDxfId="157" dataCellStyle="Body: normal cell"/>
    <tableColumn id="6" xr3:uid="{ACBDEC71-528F-4315-8405-C33B8446559A}" name="Techno-logical optimism factorc" dataDxfId="156" dataCellStyle="Body: normal cell"/>
    <tableColumn id="7" xr3:uid="{8BA1C5A8-E0C5-4FF5-9F10-F0A38710E3AD}" name="Total overnight costd,e  (2022$/kW)" dataDxfId="155" dataCellStyle="Body: normal cell"/>
    <tableColumn id="8" xr3:uid="{29F019A7-877F-43C8-B7CD-4D3DFA13E3AF}" name="Variable O&amp;Mf (2022 $/MWh)" dataDxfId="154" dataCellStyle="Body: normal cell"/>
    <tableColumn id="9" xr3:uid="{41F18B52-56C0-49D9-805F-5349B5E7E877}" name="Fixed O&amp;M (2022$/Kw-y)" dataDxfId="153" dataCellStyle="Body: normal cell"/>
    <tableColumn id="10" xr3:uid="{D132EE1C-E8E4-44C4-930F-D4401E026346}" name="Heat rateg (Btu/kWh)" dataDxfId="152" dataCellStyle="Body: normal 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5C0226-44DB-4FF5-ACF9-299AAAEF0A83}" name="Table8" displayName="Table8" ref="A55:BK72" totalsRowShown="0" headerRowDxfId="151" dataDxfId="149" headerRowBorderDxfId="150" tableBorderDxfId="148" headerRowCellStyle="Normal 2">
  <autoFilter ref="A55:BK72" xr:uid="{00000000-0009-0000-0100-000006000000}"/>
  <sortState xmlns:xlrd2="http://schemas.microsoft.com/office/spreadsheetml/2017/richdata2" ref="A56:BK72">
    <sortCondition ref="A38:A55"/>
  </sortState>
  <tableColumns count="63">
    <tableColumn id="1" xr3:uid="{88660884-0E64-460C-9EF5-A90CEA759E4D}" name="State Name" dataDxfId="147"/>
    <tableColumn id="2" xr3:uid="{FC0262B2-8752-4DBD-87F4-F69BD5DD0212}" name="MARKAL Region" dataDxfId="146"/>
    <tableColumn id="3" xr3:uid="{DBE6B1F0-B822-436D-B8F7-DC2509A85FA0}" name="Plant Name" dataDxfId="145"/>
    <tableColumn id="4" xr3:uid="{40124F46-0E08-4E96-B6E8-B3B3DFF9FB70}" name="ORISPL" dataDxfId="144"/>
    <tableColumn id="5" xr3:uid="{53739857-B2CE-489B-850F-77C5972C8837}" name="BLRID" dataDxfId="143"/>
    <tableColumn id="6" xr3:uid="{D612D1E5-259E-43AD-B9A1-FD7B705DF413}" name="SCC" dataDxfId="142"/>
    <tableColumn id="7" xr3:uid="{408C8CF3-A36F-44A8-B4A4-5221B4276AA8}" name="Capacity" dataDxfId="141"/>
    <tableColumn id="8" xr3:uid="{4255B8B4-C52F-44C2-98E0-D8603CED80DE}" name="Capacity (size) category" dataDxfId="140"/>
    <tableColumn id="9" xr3:uid="{47F072BB-397F-465E-B390-627E6F41E3D5}" name="On-Line Year" dataDxfId="139"/>
    <tableColumn id="10" xr3:uid="{7D3738DC-E930-4BF8-8A7A-764943A729F1}" name="Vintage" dataDxfId="138"/>
    <tableColumn id="11" xr3:uid="{7D1F1DEF-213F-4992-8BDA-3EB1EBA80C1F}" name="Heat Rate " dataDxfId="137"/>
    <tableColumn id="12" xr3:uid="{60B04212-F518-43CA-80B6-D00D449AB98C}" name="CapHR" dataDxfId="136"/>
    <tableColumn id="13" xr3:uid="{F6185A01-63CD-41FD-9273-CA1089578A23}" name="Firing" dataDxfId="135"/>
    <tableColumn id="14" xr3:uid="{30A6B18F-4F59-42B9-8035-740C66571DAA}" name="Bottom" dataDxfId="134"/>
    <tableColumn id="15" xr3:uid="{A081BCCA-51BF-4647-AEA0-4D33EE0A982A}" name="Coal Type" dataDxfId="133"/>
    <tableColumn id="16" xr3:uid="{C2DFD6BF-E123-4B62-8997-F5D16B46656B}" name="Coal Quantity" dataDxfId="132"/>
    <tableColumn id="17" xr3:uid="{02269082-C317-40F6-B254-961F5FCFC0A8}" name="Heat Content" dataDxfId="131"/>
    <tableColumn id="18" xr3:uid="{C5EB7F19-D0BB-4503-8096-66B41341F306}" name="Sulfur Content" dataDxfId="130"/>
    <tableColumn id="19" xr3:uid="{22CFAE4B-6F2E-4F08-97F0-72ADB89E2E43}" name="Sulfur Content Category" dataDxfId="129"/>
    <tableColumn id="20" xr3:uid="{9CC1EE21-3690-4306-8F41-87410A73BB66}" name="Ash Content" dataDxfId="128"/>
    <tableColumn id="21" xr3:uid="{8C036B28-F621-4FB7-AC6D-E0CDB978F798}" name="Heat Input" dataDxfId="127"/>
    <tableColumn id="22" xr3:uid="{C79B9DF2-2E98-48A5-82DF-BB226615408B}" name="NOx Comb Control" dataDxfId="126"/>
    <tableColumn id="23" xr3:uid="{3CBF71BC-148C-4C88-BDA6-1E0289AD05A0}" name="LNB" dataDxfId="125"/>
    <tableColumn id="24" xr3:uid="{B09B6BB3-00BD-478E-A5C2-25F8B23E2B05}" name="NOx Post-Comb Control" dataDxfId="124"/>
    <tableColumn id="25" xr3:uid="{C6167AFB-EC23-4F14-A605-0D5D9B2A23DB}" name="SCR" dataDxfId="123"/>
    <tableColumn id="26" xr3:uid="{DCB9C3A4-68B5-443C-83E2-66E765D1A672}" name="SNCR" dataDxfId="122"/>
    <tableColumn id="27" xr3:uid="{A102BD5F-06F9-4CE6-B7E1-A4C55D3AD5E2}" name="SCR_Online_Year" dataDxfId="121"/>
    <tableColumn id="28" xr3:uid="{2C82C66C-9226-42B0-81A0-6F21AEC420CC}" name="SNCR_Online_Year" dataDxfId="120"/>
    <tableColumn id="29" xr3:uid="{CEDD6156-9E57-4A77-A20A-0103FFFA93FD}" name="Dispatchable SCR" dataDxfId="119"/>
    <tableColumn id="30" xr3:uid="{5E410DA8-CBDB-488E-B045-FF9CF80B309F}" name="Wet/DryScrubber" dataDxfId="118"/>
    <tableColumn id="31" xr3:uid="{8C65D3F9-A809-411D-A245-AE73AF0347AC}" name="Retrofit/Passthrough" dataDxfId="117"/>
    <tableColumn id="32" xr3:uid="{6C55ECD8-276A-40F0-A874-35F722365816}" name="Scrubber_Online_Year" dataDxfId="116"/>
    <tableColumn id="33" xr3:uid="{51EAD3C7-1014-469E-B10C-328BBB422730}" name="Scrubber Efficiency" dataDxfId="115"/>
    <tableColumn id="34" xr3:uid="{C2B86A78-CAC7-4B51-9D7F-66FE5B264F47}" name="Dispatchable Scrubber" dataDxfId="114"/>
    <tableColumn id="35" xr3:uid="{3D5AF530-64E5-4764-B401-569C6F334C7C}" name="Mercury_Controls" dataDxfId="113"/>
    <tableColumn id="36" xr3:uid="{29734C77-D388-4960-BB5F-32FC7B065945}" name="ACI_Online_Year" dataDxfId="112"/>
    <tableColumn id="37" xr3:uid="{DEFA2BF5-315F-4170-B2F9-2BFCC4228DC0}" name="Mercury_Controls Efficiency" dataDxfId="111"/>
    <tableColumn id="38" xr3:uid="{6B02BC2B-00FA-4D56-8514-E70185E9C184}" name="Dispatchable ACI" dataDxfId="110"/>
    <tableColumn id="39" xr3:uid="{69366182-DAB6-4EA4-90B8-5C9D755B2F18}" name="PM Control(s)" dataDxfId="109"/>
    <tableColumn id="40" xr3:uid="{33863A7D-4F99-4D6F-86A3-9F314F5ECFF5}" name="PM Control" dataDxfId="108"/>
    <tableColumn id="41" xr3:uid="{0718EA79-0D63-47C1-99A5-D60502B069A6}" name="PM10 Removal Efficiency" dataDxfId="107"/>
    <tableColumn id="42" xr3:uid="{E401517B-D36C-45B3-90CD-DFF76A01EA1E}" name="PM2.5 Removal Efficiency" dataDxfId="106"/>
    <tableColumn id="43" xr3:uid="{793FB1D1-9CB0-46F6-98FE-ECF4C5DC16DA}" name="Uncontrolled NOx Base Rate (lbs/mmBtu)" dataDxfId="105"/>
    <tableColumn id="44" xr3:uid="{366855B9-1C12-4FCD-9CD0-E5F4163341D4}" name="Controlled NOx Base Rate (lbs/mmBtu)" dataDxfId="104"/>
    <tableColumn id="45" xr3:uid="{54C6CC69-A567-4A5F-8476-425B4DEBF5F1}" name="Uncontrolled NOx Policy Rate (lbs/mmBtu)" dataDxfId="103"/>
    <tableColumn id="46" xr3:uid="{CE454E4E-D0EA-4A98-BC84-58451A1888B2}" name="Controlled NOx Policy Rate (lbs/mmBtu)" dataDxfId="102"/>
    <tableColumn id="47" xr3:uid="{5574D6AD-57BB-42BB-9835-C565BF4099A4}" name="SO2 Permit Rate (lbs/mmBtu)" dataDxfId="101"/>
    <tableColumn id="48" xr3:uid="{FFE88FEF-7902-4ECA-94BB-4F602D949047}" name="Hg EMF Inputs" dataDxfId="100"/>
    <tableColumn id="49" xr3:uid="{60A651B3-CAF0-42DA-8DA8-F8A68753658E}" name="Controlled Hg EMF for BIT" dataDxfId="99"/>
    <tableColumn id="50" xr3:uid="{FB9A7E73-618C-4456-B1DB-540B48E3BAAF}" name="Controlled Hg EMF for SUB" dataDxfId="98"/>
    <tableColumn id="51" xr3:uid="{7E9860B2-A63D-4C1A-A39B-8DBC638AC66D}" name="Controlled Hg EMF for LIG" dataDxfId="97"/>
    <tableColumn id="52" xr3:uid="{BF6CC5EE-1564-47B4-9A7C-568E6EF4E211}" name="Uncontrolled Hg EMF for BIT" dataDxfId="96"/>
    <tableColumn id="53" xr3:uid="{F563E77A-6B08-4387-AD68-33341637B5B3}" name="Uncontrolled Hg EMF for SUB" dataDxfId="95"/>
    <tableColumn id="54" xr3:uid="{94550E80-D424-4D9F-BD1D-E2DF167B71D4}" name="Uncontrolled Hg EMF for LIG" dataDxfId="94"/>
    <tableColumn id="55" xr3:uid="{ADDFBCE6-E94A-4F1D-B505-E2A9C14071CD}" name="Primary PM10 unc" dataDxfId="93"/>
    <tableColumn id="56" xr3:uid="{19A5A9D4-1320-4F4F-923A-185A9FAFE74C}" name="Primary PM10 cnt" dataDxfId="92"/>
    <tableColumn id="57" xr3:uid="{B759BF7C-F865-4F2E-A8CB-A67604A03CFB}" name="Primary PM2.5 unc" dataDxfId="91"/>
    <tableColumn id="58" xr3:uid="{D15787D9-EDA8-4D5C-81B5-D66BF0BEF6FE}" name="Primary PM2.5 cnt" dataDxfId="90"/>
    <tableColumn id="59" xr3:uid="{3D48AFBF-38BD-4863-B72D-BB401D84CFB8}" name="Primary PM10 unc ER" dataDxfId="89"/>
    <tableColumn id="60" xr3:uid="{F38D5B4D-4502-4DE6-BB1F-F81684E2C116}" name="Primary PM10 cnt ER" dataDxfId="88"/>
    <tableColumn id="61" xr3:uid="{B7EB7C58-B538-44D1-B0E3-04EDB83FD679}" name="Primary PM2.5 unc ER" dataDxfId="87"/>
    <tableColumn id="62" xr3:uid="{2B80517D-03D9-47CA-B663-70FAC34B047D}" name="Primary PM2.5 cnt ER" dataDxfId="86"/>
    <tableColumn id="63" xr3:uid="{7BB99E8A-4CB5-4815-A0F3-34D675CDC462}" name="Cooling System" dataDxfId="85"/>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83FF91-9BFF-4E5E-B867-51B52A8EAF00}" name="NewCapCosts2013" displayName="NewCapCosts2013" ref="A4:O30" totalsRowShown="0" headerRowDxfId="84" headerRowCellStyle="Normal 10 10">
  <autoFilter ref="A4:O30" xr:uid="{F983FF91-9BFF-4E5E-B867-51B52A8EAF00}"/>
  <tableColumns count="15">
    <tableColumn id="1" xr3:uid="{C7CC9D64-37C6-401E-8922-8A6E21399128}" name="Technology" dataDxfId="83" dataCellStyle="Normal 10 10"/>
    <tableColumn id="2" xr3:uid="{22B2FA07-C9B6-495B-BE96-72E756B46E66}" name="Online Year" dataDxfId="82" dataCellStyle="Normal 10 10"/>
    <tableColumn id="3" xr3:uid="{2BBEBEC4-953E-4566-94F5-4A574BEAF626}" name="Size (MW)" dataDxfId="81" dataCellStyle="Normal 10 10"/>
    <tableColumn id="4" xr3:uid="{F5623F71-E7C1-4B19-A6C7-38003C6840BC}" name="Leadtimes (Years)" dataDxfId="80" dataCellStyle="Normal 10 10"/>
    <tableColumn id="5" xr3:uid="{F3338440-640C-407C-AF8E-0AA0FC534CE8}" name="Base Overnight Costs in 2012 ($2012/kW)" dataDxfId="79" dataCellStyle="Normal 10 10"/>
    <tableColumn id="6" xr3:uid="{8E9BE70D-4F17-4C4F-93EB-23D69945466E}" name="Project Contingency Factor" dataDxfId="78" dataCellStyle="Normal 10 10"/>
    <tableColumn id="7" xr3:uid="{EC7F2739-B40D-4730-A630-B93730AD4B60}" name="Technological Optimism Factor" dataDxfId="77" dataCellStyle="Normal 10 10"/>
    <tableColumn id="8" xr3:uid="{05ACB80F-E6DD-4178-8521-F9F2D6EC40A1}" name="Total Overnight Cost in 2012 (2012 $/kW)" dataDxfId="76" dataCellStyle="Normal 10 10"/>
    <tableColumn id="9" xr3:uid="{E758843D-B821-496C-A054-5A3C6A480F68}" name="Variable O&amp;M ($2012 mills/kWh)" dataDxfId="75" dataCellStyle="Normal 10 10"/>
    <tableColumn id="10" xr3:uid="{746F9D09-E3B9-4620-83D4-E8E51DFD8752}" name="Fixed O&amp;M ($2012/kW)" dataDxfId="74" dataCellStyle="Normal 10 10"/>
    <tableColumn id="11" xr3:uid="{32A210B1-9D57-40E0-82DC-B0168848A734}" name="Heatrate in 2013 (Btu/kWhr)" dataDxfId="73" dataCellStyle="Normal 10 10"/>
    <tableColumn id="12" xr3:uid="{D89AE64D-A2AD-41F3-9042-482F0369EE64}" name="Heatrate nth-of-a-kind (Btu/kWr)" dataDxfId="72" dataCellStyle="Normal 10 10"/>
    <tableColumn id="13" xr3:uid="{4FD1CF33-3093-4866-A1B4-EF1915579E78}" name="efficiency, %" dataDxfId="71" dataCellStyle="Percent 2">
      <calculatedColumnFormula>3412/K5</calculatedColumnFormula>
    </tableColumn>
    <tableColumn id="14" xr3:uid="{4E0CF696-FC27-4131-8125-4E94598DE6F9}" name="efficiency, %2" dataDxfId="70" dataCellStyle="Percent 2"/>
    <tableColumn id="15" xr3:uid="{3CABB87D-27E4-4B65-A6FD-73E2E511BCEA}" name="heat_rate_calculation" dataDxfId="69" dataCellStyle="Normal 10 10">
      <calculatedColumnFormula>K5*0.9/3412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C0B28DD-59EB-4EA4-905E-5D2F708F0EC7}" name="NewCapRegionalCosts" displayName="NewCapRegionalCosts" ref="A4:Z27" totalsRowShown="0" dataDxfId="67" headerRowBorderDxfId="68" tableBorderDxfId="66" headerRowCellStyle="Header: bottom row" dataCellStyle="Body: normal cell">
  <autoFilter ref="A4:Z27" xr:uid="{8C0B28DD-59EB-4EA4-905E-5D2F708F0EC7}"/>
  <tableColumns count="26">
    <tableColumn id="1" xr3:uid="{D2BC2258-2F5C-4419-957E-2B67DA7ED1C2}" name="Technology" dataDxfId="65" dataCellStyle="Body: normal cell"/>
    <tableColumn id="2" xr3:uid="{850E3FC2-9EA1-4898-983D-217A3872B1C1}" name="1 (TRE)" dataDxfId="64" dataCellStyle="Body: normal cell"/>
    <tableColumn id="3" xr3:uid="{72921A18-A7BF-4A74-B8DC-5905CF5A44F0}" name="2 (FRCC)" dataDxfId="63" dataCellStyle="Body: normal cell"/>
    <tableColumn id="4" xr3:uid="{0B2E6EC3-5D67-4ED7-B1B5-64FF24C3DB66}" name="3 (MISW)" dataDxfId="62" dataCellStyle="Body: normal cell"/>
    <tableColumn id="5" xr3:uid="{790F9131-2FBC-42BC-AA69-71F33152865D}" name="4 (MISC)" dataDxfId="61" dataCellStyle="Body: normal cell"/>
    <tableColumn id="6" xr3:uid="{F9057715-F2E8-4066-9F94-5369F8D0B227}" name="5 (MISE)" dataDxfId="60" dataCellStyle="Body: normal cell"/>
    <tableColumn id="7" xr3:uid="{77B6B424-CD38-4011-903A-7A8531AD402F}" name="6 (MISS)" dataDxfId="59" dataCellStyle="Body: normal cell"/>
    <tableColumn id="8" xr3:uid="{108A7DDA-055E-4228-814E-81E5E0313E43}" name="7 (ISNE)" dataDxfId="58" dataCellStyle="Body: normal cell"/>
    <tableColumn id="9" xr3:uid="{E05AE674-CE8A-4B3D-BAF3-F4BB4D290FE1}" name="8 (NYCW)" dataDxfId="57" dataCellStyle="Body: normal cell"/>
    <tableColumn id="10" xr3:uid="{E7F2A789-BB98-42A5-89F5-069990D96844}" name="9 (NYUP)" dataDxfId="56" dataCellStyle="Body: normal cell"/>
    <tableColumn id="11" xr3:uid="{D81DCA95-3BEC-448F-9628-D1F1E30D11B9}" name="10 (PJME)" dataDxfId="55" dataCellStyle="Body: normal cell"/>
    <tableColumn id="12" xr3:uid="{936EFE5B-AFB9-4E17-9D68-04EB58D1083E}" name="11 (PJMW)" dataDxfId="54" dataCellStyle="Body: normal cell"/>
    <tableColumn id="13" xr3:uid="{A05F0734-100E-4402-8008-87574902FF86}" name="12 (PJMC)" dataDxfId="53" dataCellStyle="Body: normal cell"/>
    <tableColumn id="14" xr3:uid="{0295817D-D5A5-4177-AE6B-CFEDBC3F83F4}" name="13 (PJMD)" dataDxfId="52" dataCellStyle="Body: normal cell"/>
    <tableColumn id="15" xr3:uid="{48843517-245A-4F22-9270-3B47F3EE809F}" name="14 (SRCA)" dataDxfId="51" dataCellStyle="Body: normal cell"/>
    <tableColumn id="16" xr3:uid="{4575FCA9-2DF1-49B1-99C7-33C92E54BCB2}" name="15 (SRSE)" dataDxfId="50" dataCellStyle="Body: normal cell"/>
    <tableColumn id="17" xr3:uid="{4F02BFB0-8453-452E-8589-0D2CBBA6540B}" name="16 (SRCE)" dataDxfId="49" dataCellStyle="Body: normal cell"/>
    <tableColumn id="18" xr3:uid="{CCE5CDA0-4A86-43FC-B943-1029528010EF}" name="17 (SPPS)" dataDxfId="48" dataCellStyle="Body: normal cell"/>
    <tableColumn id="19" xr3:uid="{4B9DA8BE-A096-4F53-BD30-408FA8FD78B8}" name="18 (SPPC)" dataDxfId="47" dataCellStyle="Body: normal cell"/>
    <tableColumn id="20" xr3:uid="{4EEDC6B2-3E45-4BAC-9837-32FEB52B1F2F}" name="19 (SPPN)" dataDxfId="46" dataCellStyle="Body: normal cell"/>
    <tableColumn id="21" xr3:uid="{37A88BE6-0257-4151-B4BB-60670CEB1753}" name="20 (SRSG)" dataDxfId="45" dataCellStyle="Body: normal cell"/>
    <tableColumn id="22" xr3:uid="{9D78AF46-F1CC-4D43-B134-55098170C9C1}" name="21 (CANO)" dataDxfId="44" dataCellStyle="Body: normal cell"/>
    <tableColumn id="23" xr3:uid="{A1D82205-7161-414A-9C7D-B5B9BD674556}" name="22 (CASO)" dataDxfId="43" dataCellStyle="Body: normal cell"/>
    <tableColumn id="24" xr3:uid="{1E10AECB-423A-4F3A-8861-E72465851874}" name="23 (NWPP)" dataDxfId="42" dataCellStyle="Body: normal cell"/>
    <tableColumn id="25" xr3:uid="{2125C912-6C4A-4090-8A53-901008ED25BB}" name="24 (RMRG)" dataDxfId="41" dataCellStyle="Body: normal cell"/>
    <tableColumn id="26" xr3:uid="{C1DA58F0-F788-48DD-9364-71A7D29EF578}" name="25 (BASN)" dataDxfId="40" dataCellStyle="Body: normal cell"/>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6110E25-0213-49EE-AC15-D754F97B13A7}" name="ATB_CAPEX" displayName="ATB_CAPEX" ref="A2:AJ528" totalsRowShown="0">
  <autoFilter ref="A2:AJ528" xr:uid="{D6110E25-0213-49EE-AC15-D754F97B13A7}"/>
  <tableColumns count="36">
    <tableColumn id="1" xr3:uid="{445E0D5A-38C4-4808-8F91-D1248536F00F}" name="Key"/>
    <tableColumn id="2" xr3:uid="{76D9BE61-D710-4DCB-9448-207328CC79F7}" name="FinancialCase"/>
    <tableColumn id="3" xr3:uid="{B1B00E51-A101-4F03-920C-40FC7AFA8ED7}" name="CostCase"/>
    <tableColumn id="4" xr3:uid="{6734C5B7-0A81-4A59-836F-1DE3126F97B3}" name="CRPYears"/>
    <tableColumn id="5" xr3:uid="{8CC812F3-3BB7-460D-9363-07717BB5BEEB}" name="Technology"/>
    <tableColumn id="6" xr3:uid="{E713E920-C480-497B-ACAB-6683E61251E2}" name="TechDetail"/>
    <tableColumn id="7" xr3:uid="{D031F801-D3B0-4DFD-A5E9-5FA3AA81B14B}" name="DisplayName"/>
    <tableColumn id="8" xr3:uid="{D2C90347-FA02-4447-B204-3267CFF62A67}" name="2022"/>
    <tableColumn id="9" xr3:uid="{AA7D7748-2D91-4C6A-A708-62009A21B7FC}" name="2023"/>
    <tableColumn id="10" xr3:uid="{727A857E-3D38-446B-AA43-1749D71CC061}" name="2024"/>
    <tableColumn id="11" xr3:uid="{EC5E4E09-6103-493B-941A-F4912BBB4B7A}" name="2025"/>
    <tableColumn id="12" xr3:uid="{7A01E6AB-E945-4603-BC05-5150CC909248}" name="2026"/>
    <tableColumn id="13" xr3:uid="{C1079511-C2F8-42D6-A828-31B4FB763B05}" name="2027"/>
    <tableColumn id="14" xr3:uid="{F059BD2C-78F0-4233-AFB8-B212B77AAF67}" name="2028"/>
    <tableColumn id="15" xr3:uid="{0AD95C23-1970-4210-98DB-899D16F7D6BF}" name="2029"/>
    <tableColumn id="16" xr3:uid="{8674723A-76BB-4842-89DF-B88AA84E42EF}" name="2030"/>
    <tableColumn id="17" xr3:uid="{CDE5104C-0473-42DE-96D5-94300F7F16D1}" name="2031"/>
    <tableColumn id="18" xr3:uid="{84DE9044-ECCB-47C4-A260-75DEF916533C}" name="2032"/>
    <tableColumn id="19" xr3:uid="{E43EA0E5-DD63-4A4D-972D-234D3F9D00D5}" name="2033"/>
    <tableColumn id="20" xr3:uid="{D91C880C-5072-4AA7-9FE0-01E87005660D}" name="2034"/>
    <tableColumn id="21" xr3:uid="{559EBF08-4530-4006-8FE0-B18B41C9BAAB}" name="2035"/>
    <tableColumn id="22" xr3:uid="{FEFDE687-A82D-4B2F-9766-2E32DB58FF45}" name="2036"/>
    <tableColumn id="23" xr3:uid="{38B80091-B33B-4E4B-BD2D-CF6C772D04BB}" name="2037"/>
    <tableColumn id="24" xr3:uid="{AAB01D5A-D906-4F35-B325-9F3D73F490B4}" name="2038"/>
    <tableColumn id="25" xr3:uid="{A5B446C1-002C-48FB-B7DC-8AAA58D6A810}" name="2039"/>
    <tableColumn id="26" xr3:uid="{91E66B9F-CDCB-4A7C-9526-5BA6E4C3C843}" name="2040"/>
    <tableColumn id="27" xr3:uid="{43E0CEB6-9E0E-4406-9D84-4C5A38A2A1FC}" name="2041"/>
    <tableColumn id="28" xr3:uid="{0DEA4D37-32AA-4B90-B98C-9108CB1ECAB7}" name="2042"/>
    <tableColumn id="29" xr3:uid="{A58888C9-8B81-48E6-A888-C9A5E71EBAD8}" name="2043"/>
    <tableColumn id="30" xr3:uid="{F7BC10EF-E851-4C6D-87D9-1A14CBEA7522}" name="2044"/>
    <tableColumn id="31" xr3:uid="{1BDBEF7D-77B4-47E1-BECD-2227C4A5D051}" name="2045"/>
    <tableColumn id="32" xr3:uid="{1125C12C-3B22-4F2E-AB16-05FD5FDA9C5B}" name="2046"/>
    <tableColumn id="33" xr3:uid="{8FCE98D6-AEF3-45E5-A3AF-F7A8C0AEC73D}" name="2047"/>
    <tableColumn id="34" xr3:uid="{8BE72823-BD9F-49F6-B5DB-31473A6909D7}" name="2048"/>
    <tableColumn id="35" xr3:uid="{97C33B64-C730-403B-97AA-D887AE8B8260}" name="2049"/>
    <tableColumn id="36" xr3:uid="{42952CA1-86EB-451F-AB86-8312FCF66255}" name="205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8B4F455-5486-47A8-AD6B-502092D59082}" name="ATB_CF" displayName="ATB_CF" ref="A2:AJ422" totalsRowShown="0">
  <autoFilter ref="A2:AJ422" xr:uid="{F8B4F455-5486-47A8-AD6B-502092D59082}"/>
  <tableColumns count="36">
    <tableColumn id="1" xr3:uid="{A9F09A9A-766B-4E3D-98D4-10036359F75E}" name="Key"/>
    <tableColumn id="2" xr3:uid="{C168BCA3-6998-49D9-94A4-6B1F8B2F015A}" name="FinancialCase" dataDxfId="39"/>
    <tableColumn id="3" xr3:uid="{5D3C02F1-CD27-426B-B4B3-AEC4F4DCF2B9}" name="CostCase"/>
    <tableColumn id="4" xr3:uid="{C4C0E0D7-3547-4B56-AF43-7E70CDCD3423}" name="CRPYears" dataDxfId="38"/>
    <tableColumn id="5" xr3:uid="{7592363B-BD11-40A8-88E7-19761342423F}" name="Technology"/>
    <tableColumn id="6" xr3:uid="{3F03FB42-7CF1-47A0-9BD9-07DCA5AF92EE}" name="TechDetail"/>
    <tableColumn id="7" xr3:uid="{919CA5D1-7673-4F04-81B7-E0D47AB9EA05}" name="DisplayName" dataDxfId="37"/>
    <tableColumn id="8" xr3:uid="{226BD30D-61EF-4356-AA16-2736A43C9A9F}" name="2022" dataDxfId="36"/>
    <tableColumn id="9" xr3:uid="{9D4DA627-F1CA-4054-BFC4-7ED57698E502}" name="2023" dataDxfId="35"/>
    <tableColumn id="10" xr3:uid="{E265C2F4-220C-4212-AA98-C1868034C118}" name="2024" dataDxfId="34"/>
    <tableColumn id="11" xr3:uid="{8532CF81-8BE7-4589-98D8-8E9E56D00578}" name="2025" dataDxfId="33"/>
    <tableColumn id="12" xr3:uid="{9C51C88D-45DA-4258-BDAE-34C4E09D38B2}" name="2026" dataDxfId="32"/>
    <tableColumn id="13" xr3:uid="{D2DD314C-ECC0-42A8-9FA8-669C293096EB}" name="2027" dataDxfId="31"/>
    <tableColumn id="14" xr3:uid="{85726CB7-1569-4FD3-80A9-32B7E3B96A37}" name="2028" dataDxfId="30"/>
    <tableColumn id="15" xr3:uid="{06599527-197B-468A-AF42-7F46F4619D06}" name="2029" dataDxfId="29"/>
    <tableColumn id="16" xr3:uid="{5EE26FF9-78B7-4CC1-9009-023FFFA9E5BF}" name="2030" dataDxfId="28"/>
    <tableColumn id="17" xr3:uid="{FC40EDC0-064D-49E7-B679-0DB0FF245966}" name="2031" dataDxfId="27"/>
    <tableColumn id="18" xr3:uid="{77EF4989-DBE3-4A3B-B9B3-1243F9FA422E}" name="2032" dataDxfId="26"/>
    <tableColumn id="19" xr3:uid="{E14554A2-E256-4DE5-8A26-C38EBC0EF503}" name="2033" dataDxfId="25"/>
    <tableColumn id="20" xr3:uid="{B70EA258-A59C-4434-9484-DE8D81530B25}" name="2034" dataDxfId="24"/>
    <tableColumn id="21" xr3:uid="{C25E77BA-28C8-4EC8-87C8-218F2BCC14BD}" name="2035" dataDxfId="23"/>
    <tableColumn id="22" xr3:uid="{60E32949-72C7-4A2C-AC33-F9A7C05F3B8F}" name="2036" dataDxfId="22"/>
    <tableColumn id="23" xr3:uid="{50A3B066-AC6A-40E1-8ECA-C6545DE5F939}" name="2037" dataDxfId="21"/>
    <tableColumn id="24" xr3:uid="{1C31E7A4-8B28-4640-B57E-28A49C673B64}" name="2038" dataDxfId="20"/>
    <tableColumn id="25" xr3:uid="{9891275D-786F-4D9B-8CB0-2E444D90A732}" name="2039" dataDxfId="19"/>
    <tableColumn id="26" xr3:uid="{1CEFB6A6-F110-4176-A021-4348CF771E80}" name="2040" dataDxfId="18"/>
    <tableColumn id="27" xr3:uid="{A479FD5F-37C2-48A8-BCC9-8093DE491C28}" name="2041" dataDxfId="17"/>
    <tableColumn id="28" xr3:uid="{DCBB57B3-D3D7-40C7-BEFA-52F32E1C4535}" name="2042" dataDxfId="16"/>
    <tableColumn id="29" xr3:uid="{815D5E3F-7412-4226-95A3-27CF3880F8F3}" name="2043" dataDxfId="15"/>
    <tableColumn id="30" xr3:uid="{8F52A385-D08B-4A58-84A8-98B9E4FC4F69}" name="2044" dataDxfId="14"/>
    <tableColumn id="31" xr3:uid="{74CC69A8-F6FB-4E93-B847-D5B38443BF9A}" name="2045" dataDxfId="13"/>
    <tableColumn id="32" xr3:uid="{D9A5B624-E3C0-4841-86EC-C95009B472F6}" name="2046" dataDxfId="12"/>
    <tableColumn id="33" xr3:uid="{81B0E8B0-F880-482C-A641-D69653D9CE82}" name="2047" dataDxfId="11"/>
    <tableColumn id="34" xr3:uid="{8C7E1D5A-644C-4B57-BF4D-AC4B9FF7B489}" name="2048" dataDxfId="10"/>
    <tableColumn id="35" xr3:uid="{7612B450-937C-4D59-8EF4-CBF605AD7133}" name="2049" dataDxfId="9"/>
    <tableColumn id="36" xr3:uid="{ECD4C7F5-2680-4BF4-8710-7C30C4580FFD}" name="2050" dataDxfId="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DC83FB-33C9-4D51-9CF9-5C2C6B7DEDA1}" name="ATB_FOM" displayName="ATB_FOM" ref="A2:AJ528" totalsRowShown="0">
  <autoFilter ref="A2:AJ528" xr:uid="{E4DC83FB-33C9-4D51-9CF9-5C2C6B7DEDA1}">
    <filterColumn colId="4">
      <filters>
        <filter val="Commercial Battery Storage"/>
        <filter val="Residential Battery Storage"/>
        <filter val="Utility-Scale Battery Storage"/>
        <filter val="Utility-Scale PV-Plus-Battery"/>
      </filters>
    </filterColumn>
  </autoFilter>
  <tableColumns count="36">
    <tableColumn id="1" xr3:uid="{5D2C6454-BC82-4CB3-82E9-0BDAA46C45CB}" name="Key"/>
    <tableColumn id="2" xr3:uid="{892898EA-011D-4B79-AE8C-51DBBF5F9B89}" name="FinancialCase" dataDxfId="7"/>
    <tableColumn id="3" xr3:uid="{8197F1CA-27C7-47B3-81F9-D2183C2F73E1}" name="CostCase"/>
    <tableColumn id="4" xr3:uid="{6D05F47F-D42F-48F9-85D8-85F52F05366C}" name="CRPYears"/>
    <tableColumn id="5" xr3:uid="{7C2C9C48-D041-45D8-ACD1-9ADA936A2406}" name="Technology"/>
    <tableColumn id="6" xr3:uid="{D996C3C5-2B4A-4D58-A5EE-C7DDE203FF6E}" name="TechDetail"/>
    <tableColumn id="7" xr3:uid="{ED868082-7261-4776-97FB-0639FC16B0C4}" name="DisplayName"/>
    <tableColumn id="8" xr3:uid="{EA09189F-96CF-474A-A328-338D22CC4410}" name="2022"/>
    <tableColumn id="9" xr3:uid="{17E4CE52-CF87-4F1D-A55F-8D8D6AE00351}" name="2023"/>
    <tableColumn id="10" xr3:uid="{A73B5C03-DE16-40BF-AFD4-7E85BD429A86}" name="2024"/>
    <tableColumn id="11" xr3:uid="{AEC87B20-3BAB-4E68-9A25-CAA4C20E6C09}" name="2025"/>
    <tableColumn id="12" xr3:uid="{FF26D898-4EE6-47B6-9364-A3B280221985}" name="2026"/>
    <tableColumn id="13" xr3:uid="{9739B1C7-707F-49F7-ACD9-38921DE3CFCD}" name="2027"/>
    <tableColumn id="14" xr3:uid="{5C5A164F-CEF1-4D55-A08A-6804496EC71C}" name="2028"/>
    <tableColumn id="15" xr3:uid="{06219EE7-4DE8-4989-8102-5B21171D81F2}" name="2029"/>
    <tableColumn id="16" xr3:uid="{113A063C-3C1E-4C9F-883C-5EB68991D0FA}" name="2030"/>
    <tableColumn id="17" xr3:uid="{6A10F2B4-9E73-4738-A979-A9B499A596DA}" name="2031"/>
    <tableColumn id="18" xr3:uid="{A03808B1-5734-4547-8852-836FD66251AA}" name="2032"/>
    <tableColumn id="19" xr3:uid="{ED8D1BCE-5D00-4249-81A4-4963637D07AC}" name="2033"/>
    <tableColumn id="20" xr3:uid="{21E19DBF-7D89-4335-8B2F-994DD59D4703}" name="2034"/>
    <tableColumn id="21" xr3:uid="{6126D92E-AD5D-40B7-BAC3-52336F356B31}" name="2035"/>
    <tableColumn id="22" xr3:uid="{DB25097B-C7CD-4FE8-9D72-5355F8F1997E}" name="2036"/>
    <tableColumn id="23" xr3:uid="{93FDE276-D159-4D90-AFE3-4B7CC0FED000}" name="2037"/>
    <tableColumn id="24" xr3:uid="{BD13C9E8-437B-480A-8FBB-441C1E77C686}" name="2038"/>
    <tableColumn id="25" xr3:uid="{C07950D6-2A97-4FF5-9B36-5FE7F5114CF4}" name="2039"/>
    <tableColumn id="26" xr3:uid="{9F1D5997-D9F7-404C-9234-ED2230C73ED5}" name="2040"/>
    <tableColumn id="27" xr3:uid="{E3AF2FD1-40DA-4423-98CD-C5657EA3F994}" name="2041"/>
    <tableColumn id="28" xr3:uid="{B11E6608-194E-4B50-9F25-856B721BDF08}" name="2042"/>
    <tableColumn id="29" xr3:uid="{0B6C45D0-DC7A-4F66-8E33-F40A883A50D3}" name="2043"/>
    <tableColumn id="30" xr3:uid="{61FC20B4-FC98-4945-8CB5-1DFE722A859F}" name="2044"/>
    <tableColumn id="31" xr3:uid="{76BA4854-BC04-4BB0-8785-42A6ADA21AB3}" name="2045"/>
    <tableColumn id="32" xr3:uid="{7E6E7992-DC1E-4AEB-A1A7-128F53830F3F}" name="2046"/>
    <tableColumn id="33" xr3:uid="{3794A587-33B1-4673-BDBD-9AE8869C58F5}" name="2047"/>
    <tableColumn id="34" xr3:uid="{519A0D78-AD50-4B1E-AE04-94CC3EF781CA}" name="2048"/>
    <tableColumn id="35" xr3:uid="{1FF47021-26D6-4D02-8F24-9D1985CA75E1}" name="2049"/>
    <tableColumn id="36" xr3:uid="{2509FDAD-2B17-454B-8F05-383190DCBEE7}" name="205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D48B5F4-502A-4956-A35F-1307798D641B}" name="ATB_VOM" displayName="ATB_VOM" ref="A2:AJ528" totalsRowShown="0">
  <autoFilter ref="A2:AJ528" xr:uid="{FD48B5F4-502A-4956-A35F-1307798D641B}"/>
  <tableColumns count="36">
    <tableColumn id="1" xr3:uid="{E5C4E721-8F17-4AAF-82BA-2FF9B4668CB1}" name="Key"/>
    <tableColumn id="2" xr3:uid="{707E58AD-BD6C-47C4-80B7-483C0D6EFB5E}" name="FinancialCase" dataDxfId="6"/>
    <tableColumn id="3" xr3:uid="{6190DD21-9863-400A-894B-5E6E6552CD45}" name="CostCase"/>
    <tableColumn id="4" xr3:uid="{3C39506A-D293-4D63-B2E1-F5B83D5BA2A4}" name="CRPYears"/>
    <tableColumn id="5" xr3:uid="{24F62352-2C79-4A64-BC5C-74AA84354774}" name="Technology"/>
    <tableColumn id="6" xr3:uid="{71462B6D-872B-4016-B0E8-3281D3F7FB02}" name="TechDetail"/>
    <tableColumn id="7" xr3:uid="{0C6BDC9E-1387-4E3E-8E2B-4A93751B0E44}" name="DisplayName"/>
    <tableColumn id="8" xr3:uid="{920AB43D-91E7-45CB-9987-6747158D0935}" name="2022"/>
    <tableColumn id="9" xr3:uid="{4BAB3516-FB69-4C4F-A252-1FD4E1389532}" name="2023"/>
    <tableColumn id="10" xr3:uid="{7A8CEB73-768F-43F3-A58B-457D7984DB6B}" name="2024"/>
    <tableColumn id="11" xr3:uid="{46F3B6EB-690A-4AF2-8A1B-95A84113D8B2}" name="2025"/>
    <tableColumn id="12" xr3:uid="{ECE9B326-6ED2-4E04-939F-0DE7E475CCBC}" name="2026"/>
    <tableColumn id="13" xr3:uid="{B7FF8559-E101-429F-8A88-C95E92ECF3E9}" name="2027"/>
    <tableColumn id="14" xr3:uid="{4697CDAB-D2B7-4A5B-9AEF-50436BCDCB61}" name="2028"/>
    <tableColumn id="15" xr3:uid="{380E57A5-5152-43FA-81B5-F16043DD50F9}" name="2029"/>
    <tableColumn id="16" xr3:uid="{15A7F591-C533-4FD8-B77D-3D938A226E50}" name="2030"/>
    <tableColumn id="17" xr3:uid="{A8C8DC85-9E5D-42CD-ABFF-51716A10FD41}" name="2031"/>
    <tableColumn id="18" xr3:uid="{951F755D-BC7E-468A-8923-EB5E30C5D4CF}" name="2032"/>
    <tableColumn id="19" xr3:uid="{906A0E8B-D3BC-4ABB-B1C0-C2BD6E80F121}" name="2033"/>
    <tableColumn id="20" xr3:uid="{E94FD865-CFCC-4417-88E1-13E45C19214F}" name="2034"/>
    <tableColumn id="21" xr3:uid="{F23A026C-010F-4EF7-A0B1-FA6E18CB9B18}" name="2035"/>
    <tableColumn id="22" xr3:uid="{7CE45BB4-AE74-47DA-82F2-BB8FA727ECC7}" name="2036"/>
    <tableColumn id="23" xr3:uid="{F49C9E7D-BC38-41E1-BB32-354CBB0A4382}" name="2037"/>
    <tableColumn id="24" xr3:uid="{B735E68D-FCD1-42AC-96B6-CB1EA117E3A0}" name="2038"/>
    <tableColumn id="25" xr3:uid="{BB2E4002-0062-4EA7-88EE-094D0555D0EF}" name="2039"/>
    <tableColumn id="26" xr3:uid="{ED8550F1-4EF5-493F-AD64-13E5400858C6}" name="2040"/>
    <tableColumn id="27" xr3:uid="{00D3BD2C-8AD7-4580-8050-26E3C07032BA}" name="2041"/>
    <tableColumn id="28" xr3:uid="{C001311C-9262-4414-8DAF-1EFFC8382BF4}" name="2042"/>
    <tableColumn id="29" xr3:uid="{A4E40AC4-B137-41D5-87DB-2106E7FDA90D}" name="2043"/>
    <tableColumn id="30" xr3:uid="{712E6E7E-EC91-4070-9340-0471A21FCFD8}" name="2044"/>
    <tableColumn id="31" xr3:uid="{E3906E88-55E2-42E7-B710-FEE9720FBCF1}" name="2045"/>
    <tableColumn id="32" xr3:uid="{F557BA54-34A7-405A-9D4B-09D308683AE4}" name="2046"/>
    <tableColumn id="33" xr3:uid="{742C9591-3FC4-4819-A56B-1AD37D94F208}" name="2047"/>
    <tableColumn id="34" xr3:uid="{209582FC-2258-4426-B69F-E4BFCA64F301}" name="2048"/>
    <tableColumn id="35" xr3:uid="{E05C2147-0F76-4565-94B2-FEE46A448582}" name="2049"/>
    <tableColumn id="36" xr3:uid="{26A65C48-6097-414B-BFA1-4381A9A41D60}" name="205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6FD497B-E490-482E-8652-594B3C47D188}" name="ReEDS_Supply_Curve" displayName="ReEDS_Supply_Curve" ref="B2:F18" totalsRowShown="0" headerRowDxfId="5" headerRowBorderDxfId="4" tableBorderDxfId="3">
  <autoFilter ref="B2:F18" xr:uid="{E6FD497B-E490-482E-8652-594B3C47D188}"/>
  <tableColumns count="5">
    <tableColumn id="1" xr3:uid="{EF4D9E7E-33F0-4403-9470-7ADDFFD710B5}" name="Resource"/>
    <tableColumn id="3" xr3:uid="{2C32FE74-8730-4760-8B7A-05B804552265}" name="class"/>
    <tableColumn id="4" xr3:uid="{A71A7EF3-288F-4363-912F-65D22BD20DC0}" name="capacity"/>
    <tableColumn id="5" xr3:uid="{58D485E2-C73D-4DA9-A1AD-AEB6553AF9C7}" name="total_supply_curve_cost"/>
    <tableColumn id="6" xr3:uid="{4B6BBF1F-72BA-45D2-BB0C-9E183A5131E7}" name="avg_cost_per_mw"/>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8B8746-B60D-4F86-B899-81CDFEF8F176}" name="GDP_deflator" displayName="GDP_deflator" ref="E2:H43" totalsRowShown="0" headerRowDxfId="2" headerRowCellStyle="Normal_EPAUS9r_08_SRC_Coal_v0.1a">
  <autoFilter ref="E2:H43" xr:uid="{E98B8746-B60D-4F86-B899-81CDFEF8F176}"/>
  <tableColumns count="4">
    <tableColumn id="1" xr3:uid="{0C944AB0-B5CF-4077-A86B-A6E1B5FF5167}" name="Year" dataDxfId="1" dataCellStyle="Normal_Data Improvement Calcs"/>
    <tableColumn id="2" xr3:uid="{E8DB4911-0577-4399-8324-1E4360872812}" name="Deflator" dataCellStyle="Normal_Data Improvement Calcs"/>
    <tableColumn id="3" xr3:uid="{BFB52E33-7616-4B24-8106-C3EA870EE9BB}" name="deflate" dataCellStyle="Normal 10 10">
      <calculatedColumnFormula>$G$2&amp;"_"&amp;E3</calculatedColumnFormula>
    </tableColumn>
    <tableColumn id="4" xr3:uid="{86C493E4-18AA-4E66-AECC-A31E741A5A28}" name="Multiply By (for $2005)" dataDxfId="0" dataCellStyle="Normal_EPAUS9r_08_SRC_Coal_v0.1a">
      <calculatedColumnFormula>$F$25/F3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5" dT="2024-11-29T22:37:27.93" personId="{46B2B21F-6167-4FBC-82F6-0833733329D0}" id="{23144A0F-CF60-4B2F-9BEF-5EA009CDE089}">
    <text xml:space="preserve">Source appears to be: MIT 2009: LWR Base Case Assumptions (Update to 2003 Report). </text>
  </threadedComment>
  <threadedComment ref="AB5" dT="2024-12-02T17:26:08.30" personId="{46B2B21F-6167-4FBC-82F6-0833733329D0}" id="{D6CEF08E-BEB7-4BF3-AEB8-4AF40930021A}">
    <text xml:space="preserve">Cost conversion base year </text>
  </threadedComment>
  <threadedComment ref="AC5" dT="2024-12-12T22:33:43.29" personId="{46B2B21F-6167-4FBC-82F6-0833733329D0}" id="{86BE7A3A-09B5-4069-AFDE-19AD6B3EA5EA}">
    <text xml:space="preserve">Currency year for 2023 update </text>
  </threadedComment>
  <threadedComment ref="BK5" dT="2024-11-29T22:29:51.86" personId="{46B2B21F-6167-4FBC-82F6-0833733329D0}" id="{268F1659-C7AE-4170-811C-B7951A264370}">
    <text>GREET Emissions Factor - hard coded in source</text>
  </threadedComment>
  <threadedComment ref="T6" dT="2024-12-20T17:38:55.64" personId="{46B2B21F-6167-4FBC-82F6-0833733329D0}" id="{32043501-A0D5-4E0A-A6FA-D6D65854763C}">
    <text xml:space="preserve">Limits when new technologies are available, by restricting new capacity of outdated technologies. </text>
  </threadedComment>
  <threadedComment ref="AC6" dT="2024-11-29T21:26:42.69" personId="{46B2B21F-6167-4FBC-82F6-0833733329D0}" id="{0DE89181-8FAF-4576-89B4-98F32CF270CB}">
    <text xml:space="preserve">Cost of variable O&amp;M in mills kWh; convert to million PJ </text>
  </threadedComment>
  <threadedComment ref="AE6" dT="2024-11-29T21:26:42.69" personId="{46B2B21F-6167-4FBC-82F6-0833733329D0}" id="{346FF8BA-D84A-42D0-A508-E30DDB6F0BCF}">
    <text xml:space="preserve">Cost of variable O&amp;M in mills kWh; convert to million PJ </text>
  </threadedComment>
  <threadedComment ref="AC7" dT="2024-11-29T21:26:42.69" personId="{46B2B21F-6167-4FBC-82F6-0833733329D0}" id="{B4B271DA-ACEB-420B-8B0D-57A9E92934DA}">
    <text xml:space="preserve">Cost of variable O&amp;M in mills kWh; convert to million PJ </text>
  </threadedComment>
  <threadedComment ref="AE7" dT="2024-11-29T21:26:42.69" personId="{46B2B21F-6167-4FBC-82F6-0833733329D0}" id="{F66CAD96-4899-4285-A1C3-4B3FA51AD715}">
    <text xml:space="preserve">Cost of variable O&amp;M in mills kWh; convert to million PJ </text>
  </threadedComment>
  <threadedComment ref="AC8" dT="2024-11-29T21:26:42.69" personId="{46B2B21F-6167-4FBC-82F6-0833733329D0}" id="{2FFDE71A-E848-44F7-82F0-3297321B34E4}">
    <text xml:space="preserve">Cost of variable O&amp;M in mills kWh; convert to million PJ </text>
  </threadedComment>
  <threadedComment ref="AE8" dT="2024-11-29T21:26:42.69" personId="{46B2B21F-6167-4FBC-82F6-0833733329D0}" id="{180F2160-DD98-42CD-860F-80D61E917340}">
    <text xml:space="preserve">Cost of variable O&amp;M in mills kWh; convert to million PJ </text>
  </threadedComment>
  <threadedComment ref="AC9" dT="2024-11-29T21:26:42.69" personId="{46B2B21F-6167-4FBC-82F6-0833733329D0}" id="{DBEE92DC-5CC8-4348-8C62-A634AB4E603C}">
    <text xml:space="preserve">Cost of variable O&amp;M in mills kWh; convert to million PJ </text>
  </threadedComment>
  <threadedComment ref="AE9" dT="2024-11-29T21:26:42.69" personId="{46B2B21F-6167-4FBC-82F6-0833733329D0}" id="{AAB1842E-294D-4FA1-AB91-80A8CE6D0910}">
    <text xml:space="preserve">Cost of variable O&amp;M in mills kWh; convert to million PJ </text>
  </threadedComment>
  <threadedComment ref="B10" dT="2024-12-12T23:17:30.44" personId="{46B2B21F-6167-4FBC-82F6-0833733329D0}" id="{88BCBF14-458B-4DFC-8E4E-2562F65B0334}">
    <text xml:space="preserve">TODO: review process for adding new technologies. Is this right? </text>
  </threadedComment>
  <threadedComment ref="AC10" dT="2024-11-29T21:26:42.69" personId="{46B2B21F-6167-4FBC-82F6-0833733329D0}" id="{CF5A41E5-9CB3-46F4-A1C4-51D897E11AD0}">
    <text xml:space="preserve">Cost of variable O&amp;M in mills kWh; convert to million PJ </text>
  </threadedComment>
  <threadedComment ref="AE10" dT="2024-11-29T21:26:42.69" personId="{46B2B21F-6167-4FBC-82F6-0833733329D0}" id="{AA15B056-0AB2-4FFA-A4D5-4C1AB037E780}">
    <text xml:space="preserve">Cost of variable O&amp;M in mills kWh; convert to million PJ </text>
  </threadedComment>
  <threadedComment ref="B11" dT="2024-12-12T23:17:30.44" personId="{46B2B21F-6167-4FBC-82F6-0833733329D0}" id="{6BC5BAC0-A293-48BC-848B-FD2DC127A841}">
    <text xml:space="preserve">TODO: review process for adding new technologies. Is this right? </text>
  </threadedComment>
  <threadedComment ref="AC11" dT="2024-11-29T21:26:42.69" personId="{46B2B21F-6167-4FBC-82F6-0833733329D0}" id="{93A314FB-4D5C-48DA-9135-36FE91610328}">
    <text xml:space="preserve">Cost of variable O&amp;M in mills kWh; convert to million PJ </text>
  </threadedComment>
  <threadedComment ref="AE11" dT="2024-11-29T21:26:42.69" personId="{46B2B21F-6167-4FBC-82F6-0833733329D0}" id="{A4BA9961-5340-4141-BDEE-0A7CDF246618}">
    <text xml:space="preserve">Cost of variable O&amp;M in mills kWh; convert to million PJ </text>
  </threadedComment>
  <threadedComment ref="AC12" dT="2024-11-29T21:26:42.69" personId="{46B2B21F-6167-4FBC-82F6-0833733329D0}" id="{48F1036D-D63B-45AA-8F78-10246AE9A206}">
    <text xml:space="preserve">Cost of variable O&amp;M in mills kWh; convert to million PJ </text>
  </threadedComment>
  <threadedComment ref="AE12" dT="2024-11-29T21:26:42.69" personId="{46B2B21F-6167-4FBC-82F6-0833733329D0}" id="{E0B0D6EF-97F6-489A-9A11-E59D8085EA47}">
    <text xml:space="preserve">Cost of variable O&amp;M in mills kWh; convert to million PJ </text>
  </threadedComment>
  <threadedComment ref="AC13" dT="2024-11-29T21:26:42.69" personId="{46B2B21F-6167-4FBC-82F6-0833733329D0}" id="{4A77BD4B-6CE3-49E0-8522-9508B9CA12DA}">
    <text xml:space="preserve">Cost of variable O&amp;M in mills kWh; convert to million PJ </text>
  </threadedComment>
  <threadedComment ref="AE13" dT="2024-11-29T21:26:42.69" personId="{46B2B21F-6167-4FBC-82F6-0833733329D0}" id="{AF8DC0C0-13E3-4041-97E1-C6361A7B15F9}">
    <text xml:space="preserve">Cost of variable O&amp;M in mills kWh; convert to million PJ </text>
  </threadedComment>
  <threadedComment ref="AC14" dT="2024-11-29T21:26:42.69" personId="{46B2B21F-6167-4FBC-82F6-0833733329D0}" id="{095F32D2-EE7F-484E-9657-FABFD09BB140}">
    <text xml:space="preserve">Cost of variable O&amp;M in mills kWh; convert to million PJ </text>
  </threadedComment>
  <threadedComment ref="AE14" dT="2024-11-29T21:26:42.69" personId="{46B2B21F-6167-4FBC-82F6-0833733329D0}" id="{A3E29FDE-0D9E-43E7-AF3F-B0FA1877EE3C}">
    <text xml:space="preserve">Cost of variable O&amp;M in mills kWh; convert to million PJ </text>
  </threadedComment>
  <threadedComment ref="AC15" dT="2024-11-29T21:26:42.69" personId="{46B2B21F-6167-4FBC-82F6-0833733329D0}" id="{4736F24D-87DA-443E-8AED-057D2063B350}">
    <text xml:space="preserve">Cost of variable O&amp;M in mills kWh; convert to million PJ </text>
  </threadedComment>
  <threadedComment ref="AE15" dT="2024-11-29T21:26:42.69" personId="{46B2B21F-6167-4FBC-82F6-0833733329D0}" id="{82CD1667-CEBF-4A0D-ABAE-966B3E2A55D5}">
    <text xml:space="preserve">Cost of variable O&amp;M in mills kWh; convert to million PJ </text>
  </threadedComment>
  <threadedComment ref="AC16" dT="2024-11-29T21:26:42.69" personId="{46B2B21F-6167-4FBC-82F6-0833733329D0}" id="{4DFF86A6-98C4-4E52-9DD9-F775A62E1237}">
    <text xml:space="preserve">Cost of variable O&amp;M in mills kWh; convert to million PJ </text>
  </threadedComment>
  <threadedComment ref="AE16" dT="2024-11-29T21:26:42.69" personId="{46B2B21F-6167-4FBC-82F6-0833733329D0}" id="{13397091-E484-4978-8DD2-A47CA324294E}">
    <text xml:space="preserve">Cost of variable O&amp;M in mills kWh; convert to million PJ </text>
  </threadedComment>
  <threadedComment ref="AC17" dT="2024-11-29T21:26:42.69" personId="{46B2B21F-6167-4FBC-82F6-0833733329D0}" id="{FDCBE163-C575-4D74-B295-4C06A4C4F285}">
    <text xml:space="preserve">Cost of variable O&amp;M in mills kWh; convert to million PJ </text>
  </threadedComment>
  <threadedComment ref="AE17" dT="2024-11-29T21:26:42.69" personId="{46B2B21F-6167-4FBC-82F6-0833733329D0}" id="{D7489828-E6A6-4877-A8F8-65691AFC8E48}">
    <text xml:space="preserve">Cost of variable O&amp;M in mills kWh; convert to million PJ </text>
  </threadedComment>
  <threadedComment ref="AC18" dT="2024-11-29T21:26:42.69" personId="{46B2B21F-6167-4FBC-82F6-0833733329D0}" id="{086802CB-08FD-4EC9-B5B5-4DF8EBC34604}">
    <text xml:space="preserve">Cost of variable O&amp;M in mills kWh; convert to million PJ </text>
  </threadedComment>
  <threadedComment ref="AE18" dT="2024-11-29T21:26:42.69" personId="{46B2B21F-6167-4FBC-82F6-0833733329D0}" id="{E79CB4C7-4727-4FA2-A6A9-81B011B00F4A}">
    <text xml:space="preserve">Cost of variable O&amp;M in mills kWh; convert to million PJ </text>
  </threadedComment>
  <threadedComment ref="AC21" dT="2024-11-29T21:26:42.69" personId="{46B2B21F-6167-4FBC-82F6-0833733329D0}" id="{A372D94D-BE3B-4D55-9CFE-106F92C8E64A}">
    <text xml:space="preserve">Cost of variable O&amp;M in mills kWh; convert to million PJ </text>
  </threadedComment>
  <threadedComment ref="AE21" dT="2024-11-29T21:26:42.69" personId="{46B2B21F-6167-4FBC-82F6-0833733329D0}" id="{5050D795-B479-460D-9150-06427DEF6C85}">
    <text xml:space="preserve">Cost of variable O&amp;M in mills kWh; convert to million PJ </text>
  </threadedComment>
  <threadedComment ref="AS28" dT="2024-12-03T21:11:49.87" personId="{8192386F-C523-40E4-9DD6-AC96999D4FB7}" id="{DB85491C-AE27-4FBF-9A10-34116FFA1634}">
    <text>Not read in veda</text>
  </threadedComment>
  <threadedComment ref="AL30" dT="2024-12-02T16:57:07.69" personId="{46B2B21F-6167-4FBC-82F6-0833733329D0}" id="{EA994020-731E-4B77-BFB2-E01CD9440891}">
    <text xml:space="preserve">4-hour storage, out of 24 hour day </text>
  </threadedComment>
  <threadedComment ref="AL32" dT="2024-12-02T16:57:07.69" personId="{46B2B21F-6167-4FBC-82F6-0833733329D0}" id="{0CE54B48-7C9C-46AD-892B-D7CFB1BF9549}">
    <text xml:space="preserve">4-hour storage, out of 24 hour day </text>
  </threadedComment>
  <threadedComment ref="AL34" dT="2024-12-02T16:57:07.69" personId="{46B2B21F-6167-4FBC-82F6-0833733329D0}" id="{B26E023E-7CAC-436E-8F2A-DFF4F56B9935}">
    <text xml:space="preserve">4-hour storage, out of 24 hour day </text>
  </threadedComment>
  <threadedComment ref="AL36" dT="2024-12-02T16:57:07.69" personId="{46B2B21F-6167-4FBC-82F6-0833733329D0}" id="{DE125CC0-8225-4B2D-BE85-CC0017498F88}">
    <text xml:space="preserve">4-hour storage, out of 24 hour day </text>
  </threadedComment>
</ThreadedComments>
</file>

<file path=xl/threadedComments/threadedComment2.xml><?xml version="1.0" encoding="utf-8"?>
<ThreadedComments xmlns="http://schemas.microsoft.com/office/spreadsheetml/2018/threadedcomments" xmlns:x="http://schemas.openxmlformats.org/spreadsheetml/2006/main">
  <threadedComment ref="G11" dT="2025-01-30T20:30:51.29" personId="{46B2B21F-6167-4FBC-82F6-0833733329D0}" id="{47CC940D-4168-4053-997A-89138423EEF8}">
    <text xml:space="preserve">Given difficulty of obtaining lease/permits for new OSW projects, start date set to 2035 </text>
  </threadedComment>
</ThreadedComments>
</file>

<file path=xl/threadedComments/threadedComment3.xml><?xml version="1.0" encoding="utf-8"?>
<ThreadedComments xmlns="http://schemas.microsoft.com/office/spreadsheetml/2018/threadedcomments" xmlns:x="http://schemas.openxmlformats.org/spreadsheetml/2006/main">
  <threadedComment ref="AE6" dT="2024-12-05T17:16:10.79" personId="{46B2B21F-6167-4FBC-82F6-0833733329D0}" id="{B0F51C26-1BFF-4ED0-968D-CF49F2C8BB31}">
    <text xml:space="preserve">Input not relevant for hydroelectricity </text>
  </threadedComment>
</ThreadedComments>
</file>

<file path=xl/threadedComments/threadedComment4.xml><?xml version="1.0" encoding="utf-8"?>
<ThreadedComments xmlns="http://schemas.microsoft.com/office/spreadsheetml/2018/threadedcomments" xmlns:x="http://schemas.openxmlformats.org/spreadsheetml/2006/main">
  <threadedComment ref="A21" dT="2024-12-02T17:35:13.00" personId="{46B2B21F-6167-4FBC-82F6-0833733329D0}" id="{38D38A1F-F2A7-4586-800E-066C79345ACF}">
    <text>The following is based upon http://www.eia.gov/forecasts/capitalcost/pdf/updated_capcost.pdf, which was updated in 2013</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eia.gov/outlooks/aeo/assumptions/pdf/elec_cost_perf.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www.nyserda.ny.gov/-/media/Project/Nyserda/Files/Programs/LSR/NYSERDA-LSR-Supply-Curve-Results-Table-2023-12-09.xlsx"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6" Type="http://schemas.microsoft.com/office/2017/10/relationships/threadedComment" Target="../threadedComments/threadedComment4.xml"/><Relationship Id="rId5" Type="http://schemas.openxmlformats.org/officeDocument/2006/relationships/comments" Target="../comments5.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rinterSettings" Target="../printerSettings/printerSettings6.bin"/><Relationship Id="rId1" Type="http://schemas.openxmlformats.org/officeDocument/2006/relationships/hyperlink" Target="http://www.eia.gov/forecasts/aeo/pdf/nerc_map.pdf"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B6EC-97CB-4F4B-8D30-1D712F15491F}">
  <dimension ref="A1:L46"/>
  <sheetViews>
    <sheetView workbookViewId="0">
      <selection activeCell="E13" sqref="E13"/>
    </sheetView>
  </sheetViews>
  <sheetFormatPr defaultColWidth="8.81640625" defaultRowHeight="12.5" x14ac:dyDescent="0.25"/>
  <cols>
    <col min="1" max="1" width="26.453125" style="2" customWidth="1"/>
    <col min="2" max="2" width="32.7265625" style="2" customWidth="1"/>
    <col min="3" max="3" width="8.81640625" style="2"/>
    <col min="4" max="4" width="17.7265625" style="2" customWidth="1"/>
    <col min="5" max="7" width="15.453125" style="2" customWidth="1"/>
    <col min="8" max="8" width="16.26953125" style="2" customWidth="1"/>
    <col min="9" max="9" width="55.7265625" style="2" customWidth="1"/>
    <col min="10" max="10" width="22" style="2" customWidth="1"/>
    <col min="11" max="11" width="52.453125" style="2" customWidth="1"/>
    <col min="12" max="12" width="57.453125" style="2" customWidth="1"/>
    <col min="13" max="16384" width="8.81640625" style="2"/>
  </cols>
  <sheetData>
    <row r="1" spans="1:12" ht="14.5" x14ac:dyDescent="0.25">
      <c r="A1" s="1" t="s">
        <v>0</v>
      </c>
      <c r="B1" s="1" t="s">
        <v>1</v>
      </c>
      <c r="C1" s="1" t="s">
        <v>2</v>
      </c>
      <c r="D1" s="1" t="s">
        <v>3</v>
      </c>
      <c r="E1" s="1" t="s">
        <v>4</v>
      </c>
      <c r="F1" s="1" t="s">
        <v>5</v>
      </c>
      <c r="G1" s="1" t="s">
        <v>6</v>
      </c>
      <c r="H1" s="1" t="s">
        <v>7</v>
      </c>
      <c r="I1" s="1" t="s">
        <v>8</v>
      </c>
      <c r="J1" s="1" t="s">
        <v>9</v>
      </c>
      <c r="K1" s="1" t="s">
        <v>10</v>
      </c>
      <c r="L1" s="1" t="s">
        <v>11</v>
      </c>
    </row>
    <row r="2" spans="1:12" ht="14.5" x14ac:dyDescent="0.25">
      <c r="A2" s="3" t="s">
        <v>12</v>
      </c>
      <c r="B2" s="3" t="str">
        <f>Commodities!$C$6</f>
        <v>ELC_subres_commodities</v>
      </c>
      <c r="C2" s="3" t="s">
        <v>13</v>
      </c>
      <c r="D2" s="3"/>
      <c r="E2" s="3"/>
      <c r="F2" s="3"/>
      <c r="G2" s="3"/>
      <c r="H2" s="3" t="s">
        <v>14</v>
      </c>
      <c r="I2" s="4" t="s">
        <v>15</v>
      </c>
      <c r="J2" s="4" t="s">
        <v>15</v>
      </c>
      <c r="K2" s="2" t="s">
        <v>16</v>
      </c>
      <c r="L2" s="3"/>
    </row>
    <row r="3" spans="1:12" ht="14.5" x14ac:dyDescent="0.25">
      <c r="A3" s="3" t="s">
        <v>17</v>
      </c>
      <c r="B3" s="3" t="str">
        <f>Technologies!$C$6</f>
        <v>ELC_subres_technologies</v>
      </c>
      <c r="C3" s="3" t="s">
        <v>13</v>
      </c>
      <c r="D3" s="3"/>
      <c r="E3" s="3"/>
      <c r="F3" s="3"/>
      <c r="G3" s="3"/>
      <c r="H3" s="3" t="s">
        <v>14</v>
      </c>
      <c r="I3" s="4" t="s">
        <v>15</v>
      </c>
      <c r="J3" s="4" t="s">
        <v>15</v>
      </c>
      <c r="K3" s="2" t="s">
        <v>16</v>
      </c>
      <c r="L3" s="3"/>
    </row>
    <row r="4" spans="1:12" ht="14.5" x14ac:dyDescent="0.35">
      <c r="A4" s="5" t="s">
        <v>18</v>
      </c>
      <c r="B4" s="6" t="str">
        <f>TechData_NewCap!$B$5</f>
        <v>new_capacity_conventional_technologies</v>
      </c>
      <c r="C4" s="2" t="s">
        <v>13</v>
      </c>
      <c r="D4" s="2" t="str">
        <f>B5</f>
        <v>AEO_raw_cost_data</v>
      </c>
      <c r="E4" s="2" t="str">
        <f>B6</f>
        <v>lifetime_assumptions</v>
      </c>
      <c r="F4" s="2" t="str">
        <f>B9</f>
        <v>2023_new_cap_cost_data</v>
      </c>
      <c r="H4" s="3" t="s">
        <v>19</v>
      </c>
      <c r="I4" s="7"/>
      <c r="J4" s="4" t="s">
        <v>15</v>
      </c>
      <c r="K4" s="3" t="s">
        <v>20</v>
      </c>
      <c r="L4" s="3"/>
    </row>
    <row r="5" spans="1:12" ht="14.5" x14ac:dyDescent="0.35">
      <c r="A5" s="5" t="s">
        <v>21</v>
      </c>
      <c r="B5" s="6" t="str">
        <f>'2013 Cap Raw Data'!$A$3</f>
        <v>AEO_raw_cost_data</v>
      </c>
      <c r="C5" s="221" t="s">
        <v>22</v>
      </c>
      <c r="H5" s="3" t="s">
        <v>23</v>
      </c>
      <c r="I5" s="7"/>
      <c r="J5" s="4" t="s">
        <v>24</v>
      </c>
      <c r="K5" s="3" t="s">
        <v>25</v>
      </c>
      <c r="L5" s="3"/>
    </row>
    <row r="6" spans="1:12" ht="14.5" x14ac:dyDescent="0.35">
      <c r="A6" s="5" t="s">
        <v>26</v>
      </c>
      <c r="B6" s="6" t="str">
        <f>LifetimeAssumptions!$B$1</f>
        <v>lifetime_assumptions</v>
      </c>
      <c r="C6" s="221" t="s">
        <v>22</v>
      </c>
      <c r="H6" s="3"/>
      <c r="I6" s="7"/>
      <c r="J6" s="4"/>
      <c r="K6" s="3"/>
      <c r="L6" s="3"/>
    </row>
    <row r="7" spans="1:12" ht="14.5" x14ac:dyDescent="0.35">
      <c r="A7" s="8" t="s">
        <v>18</v>
      </c>
      <c r="B7" s="9" t="str">
        <f>TechData_NewCap!$B$29</f>
        <v>new_battery_storage</v>
      </c>
      <c r="C7" s="2" t="s">
        <v>13</v>
      </c>
      <c r="D7" s="2" t="str">
        <f>B8</f>
        <v>regional_base_cost</v>
      </c>
      <c r="E7" s="2" t="str">
        <f>B9</f>
        <v>2023_new_cap_cost_data</v>
      </c>
      <c r="F7" s="2" t="str">
        <f>B5</f>
        <v>AEO_raw_cost_data</v>
      </c>
      <c r="H7" s="2" t="s">
        <v>19</v>
      </c>
      <c r="I7" s="4"/>
      <c r="J7" s="4"/>
      <c r="K7" s="3" t="s">
        <v>27</v>
      </c>
      <c r="L7" s="3"/>
    </row>
    <row r="8" spans="1:12" ht="14.5" x14ac:dyDescent="0.35">
      <c r="A8" s="5" t="s">
        <v>28</v>
      </c>
      <c r="B8" s="6" t="str">
        <f>'2023_Regional_Cost_Factor'!$A$3</f>
        <v>regional_base_cost</v>
      </c>
      <c r="C8" s="2" t="s">
        <v>22</v>
      </c>
      <c r="H8" s="3" t="s">
        <v>19</v>
      </c>
      <c r="I8" s="4"/>
      <c r="J8" s="2" t="s">
        <v>29</v>
      </c>
      <c r="K8" s="2" t="s">
        <v>30</v>
      </c>
      <c r="L8" s="3"/>
    </row>
    <row r="9" spans="1:12" ht="14.5" x14ac:dyDescent="0.35">
      <c r="A9" s="5" t="s">
        <v>31</v>
      </c>
      <c r="B9" s="9" t="str">
        <f>'2023 Cap Raw Data'!$A$4</f>
        <v>2023_new_cap_cost_data</v>
      </c>
      <c r="C9" s="2" t="s">
        <v>22</v>
      </c>
      <c r="H9" s="3" t="s">
        <v>19</v>
      </c>
      <c r="I9" s="4"/>
      <c r="J9" s="220" t="s">
        <v>29</v>
      </c>
      <c r="K9" s="2" t="s">
        <v>32</v>
      </c>
      <c r="L9" s="3"/>
    </row>
    <row r="10" spans="1:12" ht="14.5" x14ac:dyDescent="0.35">
      <c r="A10" s="8" t="s">
        <v>18</v>
      </c>
      <c r="B10" s="6" t="str">
        <f>TechData_NewCap!$B$44</f>
        <v>new_cap_CHP</v>
      </c>
      <c r="C10" s="2" t="s">
        <v>13</v>
      </c>
      <c r="H10" s="3" t="s">
        <v>33</v>
      </c>
      <c r="I10" s="4"/>
      <c r="J10" s="4" t="s">
        <v>34</v>
      </c>
      <c r="K10" s="2" t="s">
        <v>35</v>
      </c>
      <c r="L10" s="3"/>
    </row>
    <row r="11" spans="1:12" ht="14.5" x14ac:dyDescent="0.35">
      <c r="A11" s="8" t="s">
        <v>36</v>
      </c>
      <c r="B11" s="9" t="str">
        <f>TechData_SolarWind!$B$5</f>
        <v>solarPV_technologies</v>
      </c>
      <c r="C11" s="2" t="s">
        <v>13</v>
      </c>
      <c r="D11" s="2" t="e">
        <f>B12</f>
        <v>#REF!</v>
      </c>
      <c r="H11" s="3" t="s">
        <v>37</v>
      </c>
      <c r="I11" s="4"/>
      <c r="J11" s="4" t="s">
        <v>38</v>
      </c>
      <c r="K11" s="2" t="s">
        <v>39</v>
      </c>
      <c r="L11" s="3"/>
    </row>
    <row r="12" spans="1:12" ht="14.5" x14ac:dyDescent="0.35">
      <c r="A12" s="8" t="s">
        <v>40</v>
      </c>
      <c r="B12" s="9" t="e">
        <f>#REF!</f>
        <v>#REF!</v>
      </c>
      <c r="C12" s="2" t="s">
        <v>22</v>
      </c>
      <c r="H12" s="3" t="s">
        <v>33</v>
      </c>
      <c r="I12" s="4"/>
      <c r="J12" s="4" t="s">
        <v>41</v>
      </c>
      <c r="K12" s="3" t="s">
        <v>42</v>
      </c>
      <c r="L12" s="3"/>
    </row>
    <row r="13" spans="1:12" ht="14.5" x14ac:dyDescent="0.35">
      <c r="A13" s="8" t="s">
        <v>36</v>
      </c>
      <c r="B13" s="9" t="str">
        <f>TechData_SolarWind!$B$8</f>
        <v>wind_technologies</v>
      </c>
      <c r="C13" s="2" t="s">
        <v>13</v>
      </c>
      <c r="D13" s="2" t="s">
        <v>43</v>
      </c>
      <c r="E13" s="2" t="str">
        <f>B6</f>
        <v>lifetime_assumptions</v>
      </c>
      <c r="F13" s="2" t="s">
        <v>44</v>
      </c>
      <c r="H13" s="3"/>
      <c r="I13" s="4" t="s">
        <v>45</v>
      </c>
      <c r="J13" s="4"/>
      <c r="K13" s="3" t="s">
        <v>46</v>
      </c>
      <c r="L13" s="3"/>
    </row>
    <row r="14" spans="1:12" ht="14.5" x14ac:dyDescent="0.25">
      <c r="A14" s="3" t="s">
        <v>47</v>
      </c>
      <c r="B14" s="3" t="str">
        <f>TechData_Hydro!$B$5</f>
        <v>conventional_hydro</v>
      </c>
      <c r="C14" s="3" t="s">
        <v>13</v>
      </c>
      <c r="D14" s="3"/>
      <c r="E14" s="3"/>
      <c r="F14" s="3"/>
      <c r="G14" s="3"/>
      <c r="H14" s="3" t="s">
        <v>37</v>
      </c>
      <c r="I14" s="3"/>
      <c r="J14" s="4"/>
      <c r="K14" s="3" t="s">
        <v>48</v>
      </c>
      <c r="L14" s="3"/>
    </row>
    <row r="15" spans="1:12" ht="14.5" x14ac:dyDescent="0.25">
      <c r="A15" s="3" t="s">
        <v>47</v>
      </c>
      <c r="B15" s="3" t="str">
        <f>TechData_Hydro!$B$11</f>
        <v>reversible_hydro</v>
      </c>
      <c r="C15" s="3" t="s">
        <v>13</v>
      </c>
      <c r="D15" s="3"/>
      <c r="E15" s="3"/>
      <c r="F15" s="3"/>
      <c r="G15" s="3"/>
      <c r="H15" s="3" t="s">
        <v>37</v>
      </c>
      <c r="I15" s="3"/>
      <c r="J15" s="4"/>
      <c r="K15" s="3" t="s">
        <v>49</v>
      </c>
      <c r="L15" s="3"/>
    </row>
    <row r="16" spans="1:12" ht="14.5" x14ac:dyDescent="0.25">
      <c r="A16" s="3" t="s">
        <v>50</v>
      </c>
      <c r="B16" s="3" t="e">
        <f>#REF!</f>
        <v>#REF!</v>
      </c>
      <c r="C16" s="3" t="s">
        <v>13</v>
      </c>
      <c r="D16" s="3"/>
      <c r="E16" s="3"/>
      <c r="F16" s="3"/>
      <c r="G16" s="3"/>
      <c r="H16" s="3" t="s">
        <v>14</v>
      </c>
      <c r="I16" s="3"/>
      <c r="J16" s="4"/>
      <c r="K16" s="3" t="s">
        <v>51</v>
      </c>
      <c r="L16" s="3"/>
    </row>
    <row r="17" spans="1:12" ht="14.5" x14ac:dyDescent="0.25">
      <c r="A17" s="3" t="s">
        <v>52</v>
      </c>
      <c r="B17" s="3" t="str">
        <f>ATB_CAPEX!$C$1</f>
        <v>ATB_capex</v>
      </c>
      <c r="C17" s="3" t="s">
        <v>22</v>
      </c>
      <c r="D17" s="3"/>
      <c r="E17" s="3"/>
      <c r="F17" s="3"/>
      <c r="G17" s="3"/>
      <c r="H17" s="3" t="s">
        <v>19</v>
      </c>
      <c r="I17" s="3"/>
      <c r="J17" s="4" t="s">
        <v>53</v>
      </c>
      <c r="K17" s="3" t="s">
        <v>54</v>
      </c>
      <c r="L17" s="3"/>
    </row>
    <row r="18" spans="1:12" ht="14.5" x14ac:dyDescent="0.25">
      <c r="A18" s="3" t="s">
        <v>55</v>
      </c>
      <c r="B18" s="3" t="str">
        <f>ATB_CF!$C$1</f>
        <v>ATB_CF</v>
      </c>
      <c r="C18" s="3" t="s">
        <v>22</v>
      </c>
      <c r="D18" s="3"/>
      <c r="E18" s="3"/>
      <c r="F18" s="3"/>
      <c r="G18" s="3"/>
      <c r="H18" s="3" t="s">
        <v>19</v>
      </c>
      <c r="I18" s="3"/>
      <c r="J18" s="4" t="s">
        <v>53</v>
      </c>
      <c r="K18" s="3" t="s">
        <v>54</v>
      </c>
      <c r="L18" s="3"/>
    </row>
    <row r="19" spans="1:12" ht="14.5" x14ac:dyDescent="0.25">
      <c r="A19" s="3" t="s">
        <v>56</v>
      </c>
      <c r="B19" s="3" t="str">
        <f>ATB_FOM!$F$1</f>
        <v>ATB_FOM</v>
      </c>
      <c r="C19" s="3" t="s">
        <v>22</v>
      </c>
      <c r="D19" s="3"/>
      <c r="E19" s="3"/>
      <c r="F19" s="3"/>
      <c r="G19" s="3"/>
      <c r="H19" s="3" t="s">
        <v>19</v>
      </c>
      <c r="I19" s="3"/>
      <c r="J19" s="4" t="s">
        <v>53</v>
      </c>
      <c r="K19" s="3" t="s">
        <v>54</v>
      </c>
      <c r="L19" s="3"/>
    </row>
    <row r="20" spans="1:12" ht="14.5" x14ac:dyDescent="0.25">
      <c r="A20" s="3" t="s">
        <v>57</v>
      </c>
      <c r="B20" s="3" t="str">
        <f>ATB_VOM!$G$1</f>
        <v>ATB_VOM</v>
      </c>
      <c r="C20" s="3" t="s">
        <v>22</v>
      </c>
      <c r="D20" s="3"/>
      <c r="E20" s="3"/>
      <c r="F20" s="3"/>
      <c r="G20" s="3"/>
      <c r="H20" s="3" t="s">
        <v>19</v>
      </c>
      <c r="I20" s="3"/>
      <c r="J20" s="4" t="s">
        <v>53</v>
      </c>
      <c r="K20" s="3" t="s">
        <v>54</v>
      </c>
      <c r="L20" s="3"/>
    </row>
    <row r="21" spans="1:12" ht="14.5" x14ac:dyDescent="0.25">
      <c r="A21" s="3"/>
      <c r="B21" s="10"/>
      <c r="C21" s="3"/>
      <c r="D21" s="3"/>
      <c r="E21" s="3"/>
      <c r="F21" s="3"/>
      <c r="G21" s="3"/>
      <c r="H21" s="3"/>
      <c r="I21" s="3"/>
      <c r="J21" s="3"/>
      <c r="K21" s="3"/>
      <c r="L21" s="3"/>
    </row>
    <row r="22" spans="1:12" ht="14.5" x14ac:dyDescent="0.25">
      <c r="A22" s="3"/>
      <c r="B22" s="3"/>
      <c r="C22" s="3"/>
      <c r="D22" s="3"/>
      <c r="E22" s="3"/>
      <c r="F22" s="3"/>
      <c r="G22" s="3"/>
      <c r="H22" s="3"/>
      <c r="I22" s="3"/>
      <c r="J22" s="3"/>
      <c r="K22" s="3"/>
      <c r="L22" s="3"/>
    </row>
    <row r="23" spans="1:12" ht="14.5" x14ac:dyDescent="0.3">
      <c r="A23" s="3"/>
      <c r="B23" s="222"/>
      <c r="C23" s="3"/>
      <c r="H23" s="3"/>
      <c r="I23" s="3"/>
      <c r="J23" s="11"/>
      <c r="K23" s="3"/>
      <c r="L23" s="221"/>
    </row>
    <row r="24" spans="1:12" ht="14.5" x14ac:dyDescent="0.25">
      <c r="A24" s="3"/>
      <c r="B24" s="223"/>
      <c r="C24" s="3"/>
      <c r="I24" s="3"/>
      <c r="K24" s="3"/>
    </row>
    <row r="25" spans="1:12" ht="14.5" x14ac:dyDescent="0.25">
      <c r="A25" s="3"/>
      <c r="C25" s="3"/>
      <c r="I25" s="3"/>
      <c r="K25" s="3"/>
    </row>
    <row r="26" spans="1:12" ht="14.5" x14ac:dyDescent="0.25">
      <c r="A26" s="3"/>
      <c r="B26" s="222"/>
      <c r="C26" s="3"/>
      <c r="H26" s="3"/>
      <c r="I26" s="3"/>
      <c r="K26" s="3"/>
    </row>
    <row r="27" spans="1:12" ht="14.5" x14ac:dyDescent="0.25">
      <c r="A27" s="3"/>
      <c r="B27" s="222"/>
      <c r="C27" s="3"/>
      <c r="H27" s="3"/>
      <c r="I27" s="3"/>
      <c r="K27" s="3"/>
    </row>
    <row r="28" spans="1:12" ht="15.5" x14ac:dyDescent="0.35">
      <c r="A28" s="3"/>
      <c r="B28" s="13"/>
      <c r="C28" s="3"/>
      <c r="H28" s="3"/>
      <c r="I28" s="3"/>
      <c r="J28" s="14"/>
      <c r="K28" s="3"/>
    </row>
    <row r="29" spans="1:12" ht="14.5" x14ac:dyDescent="0.25">
      <c r="A29" s="3"/>
      <c r="B29" s="15"/>
      <c r="C29" s="3"/>
      <c r="I29" s="3"/>
      <c r="K29" s="3"/>
      <c r="L29" s="221"/>
    </row>
    <row r="30" spans="1:12" ht="14.5" x14ac:dyDescent="0.25">
      <c r="A30" s="3"/>
      <c r="B30" s="221"/>
      <c r="C30" s="3"/>
      <c r="H30" s="3"/>
      <c r="I30" s="3"/>
      <c r="K30" s="3"/>
      <c r="L30" s="221"/>
    </row>
    <row r="31" spans="1:12" ht="14.5" x14ac:dyDescent="0.3">
      <c r="A31" s="3"/>
      <c r="B31" s="222"/>
      <c r="C31" s="3"/>
      <c r="H31" s="3"/>
      <c r="I31" s="3"/>
      <c r="J31" s="11"/>
      <c r="K31" s="3"/>
    </row>
    <row r="32" spans="1:12" ht="14.5" x14ac:dyDescent="0.3">
      <c r="A32" s="3"/>
      <c r="B32" s="222"/>
      <c r="C32" s="3"/>
      <c r="H32" s="3"/>
      <c r="I32" s="3"/>
      <c r="J32" s="11"/>
      <c r="K32" s="3"/>
    </row>
    <row r="33" spans="1:11" ht="14.5" x14ac:dyDescent="0.25">
      <c r="A33" s="3"/>
      <c r="B33" s="222"/>
      <c r="C33" s="3"/>
      <c r="H33" s="3"/>
      <c r="I33" s="3"/>
      <c r="J33" s="222"/>
      <c r="K33" s="3"/>
    </row>
    <row r="34" spans="1:11" ht="14.5" x14ac:dyDescent="0.25">
      <c r="A34" s="3"/>
      <c r="B34" s="222"/>
      <c r="C34" s="3"/>
      <c r="H34" s="3"/>
      <c r="I34" s="3"/>
      <c r="J34" s="16"/>
      <c r="K34" s="3"/>
    </row>
    <row r="35" spans="1:11" ht="14.5" x14ac:dyDescent="0.25">
      <c r="A35" s="3"/>
      <c r="B35" s="222"/>
      <c r="C35" s="3"/>
      <c r="I35" s="3"/>
      <c r="K35" s="3"/>
    </row>
    <row r="36" spans="1:11" ht="14.5" x14ac:dyDescent="0.25">
      <c r="A36" s="3"/>
      <c r="B36" s="222"/>
      <c r="C36" s="3"/>
      <c r="I36" s="3"/>
      <c r="K36" s="3"/>
    </row>
    <row r="37" spans="1:11" ht="14.5" x14ac:dyDescent="0.25">
      <c r="A37" s="3"/>
      <c r="B37" s="224"/>
      <c r="C37" s="3"/>
      <c r="I37" s="3"/>
      <c r="J37" s="17"/>
      <c r="K37" s="3"/>
    </row>
    <row r="38" spans="1:11" ht="14.5" x14ac:dyDescent="0.25">
      <c r="A38" s="3"/>
      <c r="B38" s="225"/>
      <c r="C38" s="3"/>
      <c r="I38" s="3"/>
      <c r="K38" s="3"/>
    </row>
    <row r="39" spans="1:11" ht="14.5" x14ac:dyDescent="0.25">
      <c r="A39" s="3"/>
      <c r="B39" s="226"/>
      <c r="C39" s="3"/>
      <c r="I39" s="3"/>
      <c r="J39" s="18"/>
      <c r="K39" s="3"/>
    </row>
    <row r="40" spans="1:11" ht="14.5" x14ac:dyDescent="0.25">
      <c r="A40" s="3"/>
      <c r="B40" s="16"/>
      <c r="C40" s="3"/>
      <c r="I40" s="3"/>
      <c r="K40" s="3"/>
    </row>
    <row r="41" spans="1:11" ht="14.5" x14ac:dyDescent="0.3">
      <c r="A41" s="3"/>
      <c r="B41" s="16"/>
      <c r="C41" s="3"/>
      <c r="I41" s="3"/>
      <c r="J41" s="19"/>
      <c r="K41" s="3"/>
    </row>
    <row r="42" spans="1:11" ht="15.5" x14ac:dyDescent="0.35">
      <c r="A42" s="16"/>
      <c r="B42" s="20"/>
      <c r="C42" s="3"/>
      <c r="I42" s="3"/>
      <c r="K42" s="3"/>
    </row>
    <row r="43" spans="1:11" ht="14.5" x14ac:dyDescent="0.25">
      <c r="A43" s="3"/>
      <c r="C43" s="3"/>
      <c r="J43" s="16"/>
      <c r="K43" s="3"/>
    </row>
    <row r="44" spans="1:11" ht="14.5" x14ac:dyDescent="0.25">
      <c r="A44" s="3"/>
      <c r="C44" s="3"/>
      <c r="J44" s="16"/>
      <c r="K44" s="3"/>
    </row>
    <row r="45" spans="1:11" ht="14.5" x14ac:dyDescent="0.25">
      <c r="A45" s="3"/>
      <c r="C45" s="3"/>
      <c r="J45" s="16"/>
      <c r="K45" s="3"/>
    </row>
    <row r="46" spans="1:11" ht="14.5" x14ac:dyDescent="0.25">
      <c r="A46" s="16"/>
      <c r="C46" s="3"/>
      <c r="K46" s="3"/>
    </row>
  </sheetData>
  <hyperlinks>
    <hyperlink ref="J9" r:id="rId1" xr:uid="{14F49696-4870-431A-8DFA-16F84000EB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4C64-E623-4CF7-A694-C573B50CBE39}">
  <sheetPr>
    <tabColor rgb="FFFFC000"/>
  </sheetPr>
  <dimension ref="B1:O195"/>
  <sheetViews>
    <sheetView workbookViewId="0">
      <selection activeCell="C160" sqref="C160"/>
    </sheetView>
  </sheetViews>
  <sheetFormatPr defaultColWidth="9.26953125" defaultRowHeight="12.5" x14ac:dyDescent="0.25"/>
  <cols>
    <col min="1" max="1" width="9.26953125" style="12"/>
    <col min="2" max="2" width="32.7265625" style="12" customWidth="1"/>
    <col min="3" max="3" width="17.7265625" style="12" customWidth="1"/>
    <col min="4" max="4" width="53.54296875" style="12" customWidth="1"/>
    <col min="5" max="5" width="10.26953125" style="12" customWidth="1"/>
    <col min="6" max="6" width="29.7265625" style="12" customWidth="1"/>
    <col min="7" max="7" width="10.26953125" style="12" customWidth="1"/>
    <col min="8" max="16384" width="9.26953125" style="12"/>
  </cols>
  <sheetData>
    <row r="1" spans="2:15" ht="13" x14ac:dyDescent="0.3">
      <c r="B1" s="21" t="s">
        <v>12</v>
      </c>
      <c r="C1" s="221" t="s">
        <v>58</v>
      </c>
      <c r="D1" s="221"/>
      <c r="E1" s="221"/>
      <c r="F1" s="221"/>
      <c r="G1" s="221"/>
      <c r="H1" s="221"/>
      <c r="I1" s="221"/>
      <c r="J1" s="221"/>
      <c r="K1" s="221"/>
      <c r="L1" s="221"/>
      <c r="M1" s="221"/>
      <c r="N1" s="221"/>
      <c r="O1" s="221"/>
    </row>
    <row r="4" spans="2:15" ht="17.25" customHeight="1" x14ac:dyDescent="0.25">
      <c r="B4" s="221"/>
      <c r="C4" s="221"/>
      <c r="D4" s="221"/>
      <c r="E4" s="221"/>
      <c r="F4" s="221"/>
      <c r="G4" s="221"/>
      <c r="H4" s="221"/>
      <c r="I4" s="221"/>
      <c r="J4" s="221"/>
      <c r="K4" s="221"/>
      <c r="L4" s="221"/>
      <c r="M4" s="221"/>
      <c r="N4" s="221"/>
      <c r="O4" s="221"/>
    </row>
    <row r="5" spans="2:15" ht="17.25" customHeight="1" x14ac:dyDescent="0.25">
      <c r="B5" s="221"/>
      <c r="C5" s="221"/>
      <c r="D5" s="22"/>
      <c r="E5" s="221"/>
      <c r="F5" s="221"/>
      <c r="G5" s="221"/>
      <c r="H5" s="221"/>
      <c r="I5" s="221"/>
      <c r="J5" s="221"/>
      <c r="K5" s="221"/>
      <c r="L5" s="221"/>
      <c r="M5" s="221"/>
      <c r="N5" s="221"/>
      <c r="O5" s="221"/>
    </row>
    <row r="6" spans="2:15" s="2" customFormat="1" ht="15.75" customHeight="1" x14ac:dyDescent="0.3">
      <c r="B6" s="23" t="s">
        <v>59</v>
      </c>
      <c r="C6" s="2" t="s">
        <v>60</v>
      </c>
      <c r="E6" s="221"/>
      <c r="F6" s="221"/>
    </row>
    <row r="7" spans="2:15" s="2" customFormat="1" ht="13" x14ac:dyDescent="0.3">
      <c r="B7" s="24" t="s">
        <v>61</v>
      </c>
      <c r="C7" s="24" t="s">
        <v>62</v>
      </c>
      <c r="D7" s="24" t="s">
        <v>63</v>
      </c>
      <c r="E7" s="24" t="s">
        <v>64</v>
      </c>
      <c r="F7" s="24" t="s">
        <v>65</v>
      </c>
      <c r="G7" s="24" t="s">
        <v>66</v>
      </c>
      <c r="H7" s="24" t="s">
        <v>67</v>
      </c>
      <c r="I7" s="24" t="s">
        <v>68</v>
      </c>
      <c r="J7" s="24" t="s">
        <v>69</v>
      </c>
      <c r="O7" s="2" t="s">
        <v>70</v>
      </c>
    </row>
    <row r="8" spans="2:15" ht="13" x14ac:dyDescent="0.3">
      <c r="B8" s="221" t="s">
        <v>71</v>
      </c>
      <c r="C8" s="221" t="s">
        <v>72</v>
      </c>
      <c r="D8" s="221" t="s">
        <v>73</v>
      </c>
      <c r="E8" s="21" t="s">
        <v>74</v>
      </c>
      <c r="F8" s="21" t="s">
        <v>75</v>
      </c>
      <c r="G8" s="221"/>
      <c r="H8" s="221"/>
      <c r="I8" s="221"/>
      <c r="J8" s="221"/>
      <c r="K8" s="221"/>
      <c r="L8" s="221"/>
      <c r="M8" s="221"/>
      <c r="N8" s="221"/>
      <c r="O8" s="221"/>
    </row>
    <row r="9" spans="2:15" s="25" customFormat="1" ht="13" x14ac:dyDescent="0.3">
      <c r="B9" s="221" t="s">
        <v>76</v>
      </c>
      <c r="C9" s="221" t="s">
        <v>77</v>
      </c>
      <c r="D9" s="221" t="s">
        <v>78</v>
      </c>
      <c r="E9" s="21" t="s">
        <v>74</v>
      </c>
      <c r="F9" s="21" t="s">
        <v>79</v>
      </c>
    </row>
    <row r="10" spans="2:15" s="25" customFormat="1" ht="13" x14ac:dyDescent="0.3">
      <c r="B10" s="221" t="s">
        <v>80</v>
      </c>
      <c r="C10" s="221" t="s">
        <v>81</v>
      </c>
      <c r="D10" s="221" t="s">
        <v>82</v>
      </c>
      <c r="E10" s="21" t="s">
        <v>74</v>
      </c>
      <c r="F10" s="21" t="s">
        <v>75</v>
      </c>
    </row>
    <row r="11" spans="2:15" s="25" customFormat="1" ht="13" x14ac:dyDescent="0.3">
      <c r="B11" s="221" t="s">
        <v>83</v>
      </c>
      <c r="C11" s="221" t="s">
        <v>84</v>
      </c>
      <c r="D11" s="221" t="s">
        <v>85</v>
      </c>
      <c r="E11" s="21" t="s">
        <v>74</v>
      </c>
      <c r="F11" s="21"/>
    </row>
    <row r="12" spans="2:15" s="25" customFormat="1" ht="13" x14ac:dyDescent="0.3">
      <c r="B12" s="221" t="s">
        <v>86</v>
      </c>
      <c r="C12" s="221" t="s">
        <v>87</v>
      </c>
      <c r="D12" s="221" t="s">
        <v>88</v>
      </c>
      <c r="E12" s="21" t="s">
        <v>74</v>
      </c>
      <c r="F12" s="21"/>
    </row>
    <row r="13" spans="2:15" s="25" customFormat="1" ht="13" x14ac:dyDescent="0.3">
      <c r="B13" s="221" t="s">
        <v>71</v>
      </c>
      <c r="C13" s="221" t="s">
        <v>89</v>
      </c>
      <c r="D13" s="221" t="s">
        <v>90</v>
      </c>
      <c r="E13" s="21" t="s">
        <v>74</v>
      </c>
      <c r="F13" s="21"/>
    </row>
    <row r="14" spans="2:15" s="25" customFormat="1" ht="13" x14ac:dyDescent="0.3">
      <c r="B14" s="221" t="s">
        <v>71</v>
      </c>
      <c r="C14" s="221" t="s">
        <v>91</v>
      </c>
      <c r="D14" s="221" t="s">
        <v>92</v>
      </c>
      <c r="E14" s="21" t="s">
        <v>74</v>
      </c>
      <c r="F14" s="21"/>
    </row>
    <row r="15" spans="2:15" s="25" customFormat="1" ht="13" x14ac:dyDescent="0.3">
      <c r="B15" s="221" t="s">
        <v>71</v>
      </c>
      <c r="C15" s="221" t="s">
        <v>93</v>
      </c>
      <c r="D15" s="221" t="s">
        <v>94</v>
      </c>
      <c r="E15" s="21" t="s">
        <v>74</v>
      </c>
      <c r="F15" s="21"/>
    </row>
    <row r="16" spans="2:15" s="25" customFormat="1" ht="13" x14ac:dyDescent="0.3">
      <c r="B16" s="221" t="s">
        <v>71</v>
      </c>
      <c r="C16" s="221" t="s">
        <v>95</v>
      </c>
      <c r="D16" s="221" t="s">
        <v>96</v>
      </c>
      <c r="E16" s="21" t="s">
        <v>74</v>
      </c>
      <c r="F16" s="21"/>
    </row>
    <row r="17" spans="2:6" ht="13" x14ac:dyDescent="0.3">
      <c r="B17" s="21" t="s">
        <v>97</v>
      </c>
      <c r="C17" s="221"/>
      <c r="D17" s="221"/>
      <c r="E17" s="21"/>
      <c r="F17" s="21"/>
    </row>
    <row r="18" spans="2:6" ht="13" x14ac:dyDescent="0.3">
      <c r="B18" s="221" t="s">
        <v>98</v>
      </c>
      <c r="C18" s="221" t="s">
        <v>99</v>
      </c>
      <c r="D18" s="221" t="s">
        <v>100</v>
      </c>
      <c r="E18" s="21" t="s">
        <v>101</v>
      </c>
      <c r="F18" s="21" t="s">
        <v>102</v>
      </c>
    </row>
    <row r="19" spans="2:6" ht="13" x14ac:dyDescent="0.3">
      <c r="B19" s="221" t="s">
        <v>98</v>
      </c>
      <c r="C19" s="221" t="s">
        <v>103</v>
      </c>
      <c r="D19" s="221" t="s">
        <v>104</v>
      </c>
      <c r="E19" s="21" t="s">
        <v>101</v>
      </c>
      <c r="F19" s="21"/>
    </row>
    <row r="20" spans="2:6" ht="13" x14ac:dyDescent="0.3">
      <c r="B20" s="221" t="s">
        <v>105</v>
      </c>
      <c r="C20" s="221" t="s">
        <v>106</v>
      </c>
      <c r="D20" s="221" t="s">
        <v>107</v>
      </c>
      <c r="E20" s="21" t="s">
        <v>101</v>
      </c>
      <c r="F20" s="21"/>
    </row>
    <row r="21" spans="2:6" ht="13" x14ac:dyDescent="0.3">
      <c r="B21" s="221" t="s">
        <v>105</v>
      </c>
      <c r="C21" s="221" t="s">
        <v>108</v>
      </c>
      <c r="D21" s="221" t="s">
        <v>109</v>
      </c>
      <c r="E21" s="21" t="s">
        <v>101</v>
      </c>
      <c r="F21" s="21"/>
    </row>
    <row r="22" spans="2:6" ht="13" x14ac:dyDescent="0.3">
      <c r="B22" s="221" t="s">
        <v>105</v>
      </c>
      <c r="C22" s="221" t="s">
        <v>110</v>
      </c>
      <c r="D22" s="221" t="s">
        <v>111</v>
      </c>
      <c r="E22" s="21" t="s">
        <v>101</v>
      </c>
      <c r="F22" s="21"/>
    </row>
    <row r="23" spans="2:6" ht="13" x14ac:dyDescent="0.3">
      <c r="B23" s="221" t="s">
        <v>71</v>
      </c>
      <c r="C23" s="221" t="s">
        <v>112</v>
      </c>
      <c r="D23" s="221" t="s">
        <v>113</v>
      </c>
      <c r="E23" s="21" t="s">
        <v>101</v>
      </c>
      <c r="F23" s="21"/>
    </row>
    <row r="24" spans="2:6" ht="13" x14ac:dyDescent="0.3">
      <c r="B24" s="221" t="s">
        <v>71</v>
      </c>
      <c r="C24" s="221" t="s">
        <v>114</v>
      </c>
      <c r="D24" s="221" t="s">
        <v>115</v>
      </c>
      <c r="E24" s="21" t="s">
        <v>101</v>
      </c>
      <c r="F24" s="21"/>
    </row>
    <row r="25" spans="2:6" ht="13" x14ac:dyDescent="0.3">
      <c r="B25" s="221" t="s">
        <v>71</v>
      </c>
      <c r="C25" s="221" t="s">
        <v>116</v>
      </c>
      <c r="D25" s="221" t="s">
        <v>117</v>
      </c>
      <c r="E25" s="21" t="s">
        <v>101</v>
      </c>
      <c r="F25" s="21"/>
    </row>
    <row r="26" spans="2:6" ht="13" x14ac:dyDescent="0.3">
      <c r="B26" s="21" t="s">
        <v>118</v>
      </c>
      <c r="C26" s="221"/>
      <c r="D26" s="221"/>
      <c r="E26" s="21"/>
      <c r="F26" s="21"/>
    </row>
    <row r="27" spans="2:6" ht="13" x14ac:dyDescent="0.3">
      <c r="B27" s="221" t="s">
        <v>76</v>
      </c>
      <c r="C27" s="221" t="s">
        <v>119</v>
      </c>
      <c r="D27" s="26" t="s">
        <v>120</v>
      </c>
      <c r="E27" s="21" t="s">
        <v>74</v>
      </c>
      <c r="F27" s="21" t="s">
        <v>75</v>
      </c>
    </row>
    <row r="28" spans="2:6" ht="13" x14ac:dyDescent="0.3">
      <c r="B28" s="221" t="s">
        <v>76</v>
      </c>
      <c r="C28" s="221" t="s">
        <v>121</v>
      </c>
      <c r="D28" s="26" t="s">
        <v>122</v>
      </c>
      <c r="E28" s="21" t="s">
        <v>74</v>
      </c>
      <c r="F28" s="21"/>
    </row>
    <row r="29" spans="2:6" ht="13" x14ac:dyDescent="0.3">
      <c r="B29" s="221" t="s">
        <v>76</v>
      </c>
      <c r="C29" s="221" t="s">
        <v>123</v>
      </c>
      <c r="D29" s="26" t="s">
        <v>124</v>
      </c>
      <c r="E29" s="21" t="s">
        <v>74</v>
      </c>
      <c r="F29" s="21"/>
    </row>
    <row r="30" spans="2:6" ht="13" x14ac:dyDescent="0.3">
      <c r="B30" s="221" t="s">
        <v>76</v>
      </c>
      <c r="C30" s="221" t="s">
        <v>125</v>
      </c>
      <c r="D30" s="26" t="s">
        <v>126</v>
      </c>
      <c r="E30" s="21" t="s">
        <v>74</v>
      </c>
      <c r="F30" s="21"/>
    </row>
    <row r="31" spans="2:6" ht="13" x14ac:dyDescent="0.3">
      <c r="B31" s="221" t="s">
        <v>76</v>
      </c>
      <c r="C31" s="221" t="s">
        <v>127</v>
      </c>
      <c r="D31" s="26" t="s">
        <v>128</v>
      </c>
      <c r="E31" s="21" t="s">
        <v>74</v>
      </c>
      <c r="F31" s="21"/>
    </row>
    <row r="32" spans="2:6" ht="13" x14ac:dyDescent="0.3">
      <c r="B32" s="221" t="s">
        <v>76</v>
      </c>
      <c r="C32" s="221" t="s">
        <v>129</v>
      </c>
      <c r="D32" s="26" t="s">
        <v>130</v>
      </c>
      <c r="E32" s="21" t="s">
        <v>74</v>
      </c>
      <c r="F32" s="21"/>
    </row>
    <row r="33" spans="2:6" ht="13" x14ac:dyDescent="0.3">
      <c r="B33" s="221" t="s">
        <v>76</v>
      </c>
      <c r="C33" s="221" t="s">
        <v>131</v>
      </c>
      <c r="D33" s="26" t="s">
        <v>132</v>
      </c>
      <c r="E33" s="21" t="s">
        <v>74</v>
      </c>
      <c r="F33" s="21"/>
    </row>
    <row r="34" spans="2:6" ht="13" x14ac:dyDescent="0.3">
      <c r="B34" s="221" t="s">
        <v>76</v>
      </c>
      <c r="C34" s="221" t="s">
        <v>133</v>
      </c>
      <c r="D34" s="26" t="s">
        <v>134</v>
      </c>
      <c r="E34" s="21" t="s">
        <v>74</v>
      </c>
      <c r="F34" s="21"/>
    </row>
    <row r="35" spans="2:6" ht="13" x14ac:dyDescent="0.3">
      <c r="B35" s="221" t="s">
        <v>76</v>
      </c>
      <c r="C35" s="221" t="s">
        <v>135</v>
      </c>
      <c r="D35" s="26" t="s">
        <v>136</v>
      </c>
      <c r="E35" s="21" t="s">
        <v>74</v>
      </c>
      <c r="F35" s="21"/>
    </row>
    <row r="36" spans="2:6" ht="13" x14ac:dyDescent="0.3">
      <c r="B36" s="221" t="s">
        <v>76</v>
      </c>
      <c r="C36" s="221" t="s">
        <v>137</v>
      </c>
      <c r="D36" s="26" t="s">
        <v>138</v>
      </c>
      <c r="E36" s="21" t="s">
        <v>74</v>
      </c>
      <c r="F36" s="21"/>
    </row>
    <row r="37" spans="2:6" ht="13" x14ac:dyDescent="0.3">
      <c r="B37" s="221" t="s">
        <v>76</v>
      </c>
      <c r="C37" s="221" t="s">
        <v>139</v>
      </c>
      <c r="D37" s="26" t="s">
        <v>140</v>
      </c>
      <c r="E37" s="21" t="s">
        <v>74</v>
      </c>
      <c r="F37" s="21"/>
    </row>
    <row r="38" spans="2:6" ht="13" x14ac:dyDescent="0.3">
      <c r="B38" s="221" t="s">
        <v>76</v>
      </c>
      <c r="C38" s="221" t="s">
        <v>141</v>
      </c>
      <c r="D38" s="26" t="s">
        <v>142</v>
      </c>
      <c r="E38" s="21" t="s">
        <v>74</v>
      </c>
      <c r="F38" s="21"/>
    </row>
    <row r="39" spans="2:6" ht="13" x14ac:dyDescent="0.3">
      <c r="B39" s="221" t="s">
        <v>76</v>
      </c>
      <c r="C39" s="221" t="s">
        <v>143</v>
      </c>
      <c r="D39" s="26" t="s">
        <v>144</v>
      </c>
      <c r="E39" s="21" t="s">
        <v>74</v>
      </c>
      <c r="F39" s="21"/>
    </row>
    <row r="40" spans="2:6" ht="13" x14ac:dyDescent="0.3">
      <c r="B40" s="221" t="s">
        <v>76</v>
      </c>
      <c r="C40" s="221" t="s">
        <v>145</v>
      </c>
      <c r="D40" s="26" t="s">
        <v>146</v>
      </c>
      <c r="E40" s="21" t="s">
        <v>74</v>
      </c>
      <c r="F40" s="21"/>
    </row>
    <row r="41" spans="2:6" ht="13" x14ac:dyDescent="0.3">
      <c r="B41" s="221" t="s">
        <v>76</v>
      </c>
      <c r="C41" s="221" t="s">
        <v>147</v>
      </c>
      <c r="D41" s="26" t="s">
        <v>148</v>
      </c>
      <c r="E41" s="21" t="s">
        <v>74</v>
      </c>
      <c r="F41" s="21"/>
    </row>
    <row r="42" spans="2:6" ht="13" x14ac:dyDescent="0.3">
      <c r="B42" s="221" t="s">
        <v>76</v>
      </c>
      <c r="C42" s="221" t="s">
        <v>149</v>
      </c>
      <c r="D42" s="26" t="s">
        <v>150</v>
      </c>
      <c r="E42" s="21" t="s">
        <v>74</v>
      </c>
      <c r="F42" s="21"/>
    </row>
    <row r="43" spans="2:6" ht="13" x14ac:dyDescent="0.3">
      <c r="B43" s="221" t="s">
        <v>76</v>
      </c>
      <c r="C43" s="221" t="s">
        <v>151</v>
      </c>
      <c r="D43" s="26" t="s">
        <v>152</v>
      </c>
      <c r="E43" s="21" t="s">
        <v>74</v>
      </c>
      <c r="F43" s="21"/>
    </row>
    <row r="44" spans="2:6" ht="13" x14ac:dyDescent="0.3">
      <c r="B44" s="221" t="s">
        <v>76</v>
      </c>
      <c r="C44" s="221" t="s">
        <v>153</v>
      </c>
      <c r="D44" s="26" t="s">
        <v>154</v>
      </c>
      <c r="E44" s="21" t="s">
        <v>74</v>
      </c>
      <c r="F44" s="21"/>
    </row>
    <row r="45" spans="2:6" ht="13" x14ac:dyDescent="0.3">
      <c r="B45" s="221" t="s">
        <v>76</v>
      </c>
      <c r="C45" s="221" t="s">
        <v>155</v>
      </c>
      <c r="D45" s="26" t="s">
        <v>156</v>
      </c>
      <c r="E45" s="21" t="s">
        <v>74</v>
      </c>
      <c r="F45" s="21"/>
    </row>
    <row r="46" spans="2:6" ht="13" x14ac:dyDescent="0.3">
      <c r="B46" s="221" t="s">
        <v>76</v>
      </c>
      <c r="C46" s="221" t="s">
        <v>157</v>
      </c>
      <c r="D46" s="26" t="s">
        <v>158</v>
      </c>
      <c r="E46" s="21" t="s">
        <v>74</v>
      </c>
      <c r="F46" s="21"/>
    </row>
    <row r="47" spans="2:6" ht="13" x14ac:dyDescent="0.3">
      <c r="B47" s="221" t="s">
        <v>76</v>
      </c>
      <c r="C47" s="221" t="s">
        <v>159</v>
      </c>
      <c r="D47" s="26" t="s">
        <v>160</v>
      </c>
      <c r="E47" s="21" t="s">
        <v>74</v>
      </c>
      <c r="F47" s="21"/>
    </row>
    <row r="48" spans="2:6" ht="13" x14ac:dyDescent="0.3">
      <c r="B48" s="221" t="s">
        <v>76</v>
      </c>
      <c r="C48" s="221" t="s">
        <v>161</v>
      </c>
      <c r="D48" s="26" t="s">
        <v>162</v>
      </c>
      <c r="E48" s="21" t="s">
        <v>74</v>
      </c>
      <c r="F48" s="21"/>
    </row>
    <row r="49" spans="2:6" ht="13" x14ac:dyDescent="0.3">
      <c r="B49" s="221" t="s">
        <v>76</v>
      </c>
      <c r="C49" s="221" t="s">
        <v>163</v>
      </c>
      <c r="D49" s="26" t="s">
        <v>164</v>
      </c>
      <c r="E49" s="21" t="s">
        <v>74</v>
      </c>
      <c r="F49" s="21"/>
    </row>
    <row r="50" spans="2:6" ht="13" x14ac:dyDescent="0.3">
      <c r="B50" s="221" t="s">
        <v>76</v>
      </c>
      <c r="C50" s="221" t="s">
        <v>165</v>
      </c>
      <c r="D50" s="26" t="s">
        <v>166</v>
      </c>
      <c r="E50" s="21" t="s">
        <v>74</v>
      </c>
      <c r="F50" s="21"/>
    </row>
    <row r="51" spans="2:6" ht="13" x14ac:dyDescent="0.3">
      <c r="B51" s="221" t="s">
        <v>76</v>
      </c>
      <c r="C51" s="221" t="s">
        <v>167</v>
      </c>
      <c r="D51" s="26" t="s">
        <v>168</v>
      </c>
      <c r="E51" s="21" t="s">
        <v>74</v>
      </c>
      <c r="F51" s="21"/>
    </row>
    <row r="52" spans="2:6" ht="13" x14ac:dyDescent="0.3">
      <c r="B52" s="221" t="s">
        <v>76</v>
      </c>
      <c r="C52" s="221" t="s">
        <v>169</v>
      </c>
      <c r="D52" s="26" t="s">
        <v>170</v>
      </c>
      <c r="E52" s="21" t="s">
        <v>74</v>
      </c>
      <c r="F52" s="21"/>
    </row>
    <row r="53" spans="2:6" ht="13" x14ac:dyDescent="0.3">
      <c r="B53" s="221" t="s">
        <v>76</v>
      </c>
      <c r="C53" s="221" t="s">
        <v>171</v>
      </c>
      <c r="D53" s="26" t="s">
        <v>172</v>
      </c>
      <c r="E53" s="21" t="s">
        <v>74</v>
      </c>
      <c r="F53" s="21"/>
    </row>
    <row r="54" spans="2:6" ht="13" x14ac:dyDescent="0.3">
      <c r="B54" s="221" t="s">
        <v>76</v>
      </c>
      <c r="C54" s="221" t="s">
        <v>173</v>
      </c>
      <c r="D54" s="26" t="s">
        <v>174</v>
      </c>
      <c r="E54" s="21" t="s">
        <v>74</v>
      </c>
      <c r="F54" s="21"/>
    </row>
    <row r="55" spans="2:6" ht="13" x14ac:dyDescent="0.3">
      <c r="B55" s="221" t="s">
        <v>76</v>
      </c>
      <c r="C55" s="221" t="s">
        <v>175</v>
      </c>
      <c r="D55" s="26" t="s">
        <v>176</v>
      </c>
      <c r="E55" s="21" t="s">
        <v>74</v>
      </c>
      <c r="F55" s="21"/>
    </row>
    <row r="56" spans="2:6" ht="13" x14ac:dyDescent="0.3">
      <c r="B56" s="221" t="s">
        <v>76</v>
      </c>
      <c r="C56" s="221" t="s">
        <v>177</v>
      </c>
      <c r="D56" s="26" t="s">
        <v>178</v>
      </c>
      <c r="E56" s="21" t="s">
        <v>74</v>
      </c>
      <c r="F56" s="21"/>
    </row>
    <row r="57" spans="2:6" ht="13" x14ac:dyDescent="0.3">
      <c r="B57" s="221" t="s">
        <v>76</v>
      </c>
      <c r="C57" s="221" t="s">
        <v>179</v>
      </c>
      <c r="D57" s="26" t="s">
        <v>180</v>
      </c>
      <c r="E57" s="21" t="s">
        <v>74</v>
      </c>
      <c r="F57" s="21"/>
    </row>
    <row r="58" spans="2:6" ht="13" x14ac:dyDescent="0.3">
      <c r="B58" s="221" t="s">
        <v>76</v>
      </c>
      <c r="C58" s="221" t="s">
        <v>181</v>
      </c>
      <c r="D58" s="26" t="s">
        <v>182</v>
      </c>
      <c r="E58" s="21" t="s">
        <v>74</v>
      </c>
      <c r="F58" s="21"/>
    </row>
    <row r="59" spans="2:6" ht="13" x14ac:dyDescent="0.3">
      <c r="B59" s="221" t="s">
        <v>76</v>
      </c>
      <c r="C59" s="221" t="s">
        <v>183</v>
      </c>
      <c r="D59" s="26" t="s">
        <v>184</v>
      </c>
      <c r="E59" s="21" t="s">
        <v>74</v>
      </c>
      <c r="F59" s="21"/>
    </row>
    <row r="60" spans="2:6" ht="13" x14ac:dyDescent="0.3">
      <c r="B60" s="221" t="s">
        <v>76</v>
      </c>
      <c r="C60" s="221" t="s">
        <v>185</v>
      </c>
      <c r="D60" s="26" t="s">
        <v>186</v>
      </c>
      <c r="E60" s="21" t="s">
        <v>74</v>
      </c>
      <c r="F60" s="21"/>
    </row>
    <row r="61" spans="2:6" ht="13" x14ac:dyDescent="0.3">
      <c r="B61" s="221" t="s">
        <v>76</v>
      </c>
      <c r="C61" s="221" t="s">
        <v>187</v>
      </c>
      <c r="D61" s="26" t="s">
        <v>188</v>
      </c>
      <c r="E61" s="21" t="s">
        <v>74</v>
      </c>
      <c r="F61" s="21"/>
    </row>
    <row r="62" spans="2:6" ht="13" x14ac:dyDescent="0.3">
      <c r="B62" s="221" t="s">
        <v>76</v>
      </c>
      <c r="C62" s="221" t="s">
        <v>189</v>
      </c>
      <c r="D62" s="26" t="s">
        <v>190</v>
      </c>
      <c r="E62" s="21" t="s">
        <v>74</v>
      </c>
      <c r="F62" s="21"/>
    </row>
    <row r="63" spans="2:6" ht="13" x14ac:dyDescent="0.3">
      <c r="B63" s="221" t="s">
        <v>76</v>
      </c>
      <c r="C63" s="221" t="s">
        <v>191</v>
      </c>
      <c r="D63" s="26" t="s">
        <v>192</v>
      </c>
      <c r="E63" s="21" t="s">
        <v>74</v>
      </c>
      <c r="F63" s="21"/>
    </row>
    <row r="64" spans="2:6" ht="13" x14ac:dyDescent="0.3">
      <c r="B64" s="221" t="s">
        <v>71</v>
      </c>
      <c r="C64" s="221" t="s">
        <v>193</v>
      </c>
      <c r="D64" s="26" t="s">
        <v>194</v>
      </c>
      <c r="E64" s="21" t="s">
        <v>74</v>
      </c>
      <c r="F64" s="21"/>
    </row>
    <row r="65" spans="2:7" ht="13" x14ac:dyDescent="0.3">
      <c r="B65" s="221" t="s">
        <v>76</v>
      </c>
      <c r="C65" s="221" t="s">
        <v>195</v>
      </c>
      <c r="D65" s="26" t="s">
        <v>196</v>
      </c>
      <c r="E65" s="21" t="s">
        <v>74</v>
      </c>
      <c r="F65" s="21"/>
      <c r="G65" s="221"/>
    </row>
    <row r="66" spans="2:7" ht="13" x14ac:dyDescent="0.3">
      <c r="B66" s="221" t="s">
        <v>76</v>
      </c>
      <c r="C66" s="221" t="s">
        <v>197</v>
      </c>
      <c r="D66" s="221" t="s">
        <v>198</v>
      </c>
      <c r="E66" s="21" t="s">
        <v>74</v>
      </c>
      <c r="F66" s="21"/>
      <c r="G66" s="221"/>
    </row>
    <row r="67" spans="2:7" ht="13" x14ac:dyDescent="0.3">
      <c r="B67" s="21" t="s">
        <v>199</v>
      </c>
      <c r="C67" s="221"/>
      <c r="D67" s="26"/>
      <c r="E67" s="21"/>
      <c r="F67" s="21"/>
      <c r="G67" s="221"/>
    </row>
    <row r="68" spans="2:7" ht="13" x14ac:dyDescent="0.3">
      <c r="B68" s="221" t="s">
        <v>71</v>
      </c>
      <c r="C68" s="221" t="s">
        <v>200</v>
      </c>
      <c r="D68" s="26" t="s">
        <v>201</v>
      </c>
      <c r="E68" s="21" t="s">
        <v>74</v>
      </c>
      <c r="F68" s="21" t="s">
        <v>75</v>
      </c>
      <c r="G68" s="221"/>
    </row>
    <row r="69" spans="2:7" ht="13" x14ac:dyDescent="0.3">
      <c r="B69" s="221" t="s">
        <v>71</v>
      </c>
      <c r="C69" s="221" t="s">
        <v>202</v>
      </c>
      <c r="D69" s="221" t="s">
        <v>203</v>
      </c>
      <c r="E69" s="21" t="s">
        <v>74</v>
      </c>
      <c r="F69" s="21"/>
      <c r="G69" s="221"/>
    </row>
    <row r="70" spans="2:7" ht="13" x14ac:dyDescent="0.3">
      <c r="B70" s="221" t="s">
        <v>71</v>
      </c>
      <c r="C70" s="221" t="s">
        <v>204</v>
      </c>
      <c r="D70" s="221" t="s">
        <v>205</v>
      </c>
      <c r="E70" s="21" t="s">
        <v>74</v>
      </c>
      <c r="F70" s="21"/>
      <c r="G70" s="221"/>
    </row>
    <row r="71" spans="2:7" ht="13" x14ac:dyDescent="0.3">
      <c r="B71" s="221" t="s">
        <v>71</v>
      </c>
      <c r="C71" s="221" t="s">
        <v>206</v>
      </c>
      <c r="D71" s="26" t="s">
        <v>207</v>
      </c>
      <c r="E71" s="21" t="s">
        <v>74</v>
      </c>
      <c r="F71" s="21"/>
      <c r="G71" s="221"/>
    </row>
    <row r="72" spans="2:7" ht="13" x14ac:dyDescent="0.3">
      <c r="B72" s="221" t="s">
        <v>71</v>
      </c>
      <c r="C72" s="221" t="s">
        <v>208</v>
      </c>
      <c r="D72" s="221" t="s">
        <v>209</v>
      </c>
      <c r="E72" s="21" t="s">
        <v>74</v>
      </c>
      <c r="F72" s="21"/>
      <c r="G72" s="221"/>
    </row>
    <row r="73" spans="2:7" ht="13" x14ac:dyDescent="0.3">
      <c r="B73" s="221" t="s">
        <v>71</v>
      </c>
      <c r="C73" s="221" t="s">
        <v>210</v>
      </c>
      <c r="D73" s="221" t="s">
        <v>211</v>
      </c>
      <c r="E73" s="21" t="s">
        <v>74</v>
      </c>
      <c r="F73" s="21"/>
      <c r="G73" s="221"/>
    </row>
    <row r="74" spans="2:7" ht="13" x14ac:dyDescent="0.3">
      <c r="B74" s="221" t="s">
        <v>71</v>
      </c>
      <c r="C74" s="221" t="s">
        <v>212</v>
      </c>
      <c r="D74" s="221" t="s">
        <v>213</v>
      </c>
      <c r="E74" s="21" t="s">
        <v>74</v>
      </c>
      <c r="F74" s="21"/>
      <c r="G74" s="221"/>
    </row>
    <row r="75" spans="2:7" ht="13" x14ac:dyDescent="0.3">
      <c r="B75" s="221" t="s">
        <v>71</v>
      </c>
      <c r="C75" s="221" t="s">
        <v>214</v>
      </c>
      <c r="D75" s="221" t="s">
        <v>215</v>
      </c>
      <c r="E75" s="21" t="s">
        <v>74</v>
      </c>
      <c r="F75" s="21"/>
      <c r="G75" s="221"/>
    </row>
    <row r="76" spans="2:7" ht="13" x14ac:dyDescent="0.3">
      <c r="B76" s="221" t="s">
        <v>71</v>
      </c>
      <c r="C76" s="221" t="s">
        <v>216</v>
      </c>
      <c r="D76" s="221" t="s">
        <v>217</v>
      </c>
      <c r="E76" s="21" t="s">
        <v>74</v>
      </c>
      <c r="F76" s="21"/>
      <c r="G76" s="221"/>
    </row>
    <row r="77" spans="2:7" ht="13" x14ac:dyDescent="0.3">
      <c r="B77" s="221" t="s">
        <v>71</v>
      </c>
      <c r="C77" s="27" t="s">
        <v>218</v>
      </c>
      <c r="D77" s="221" t="s">
        <v>219</v>
      </c>
      <c r="E77" s="21" t="s">
        <v>74</v>
      </c>
      <c r="F77" s="21"/>
      <c r="G77" s="221"/>
    </row>
    <row r="78" spans="2:7" ht="13" x14ac:dyDescent="0.3">
      <c r="B78" s="221" t="s">
        <v>71</v>
      </c>
      <c r="C78" s="27" t="s">
        <v>220</v>
      </c>
      <c r="D78" s="221" t="s">
        <v>221</v>
      </c>
      <c r="E78" s="21" t="s">
        <v>74</v>
      </c>
      <c r="F78" s="21"/>
      <c r="G78" s="221"/>
    </row>
    <row r="79" spans="2:7" ht="13" x14ac:dyDescent="0.3">
      <c r="B79" s="221" t="s">
        <v>71</v>
      </c>
      <c r="C79" s="221" t="s">
        <v>222</v>
      </c>
      <c r="D79" s="221" t="s">
        <v>223</v>
      </c>
      <c r="E79" s="21" t="s">
        <v>74</v>
      </c>
      <c r="F79" s="21"/>
      <c r="G79" s="21"/>
    </row>
    <row r="80" spans="2:7" ht="13" x14ac:dyDescent="0.3">
      <c r="B80" s="221" t="s">
        <v>71</v>
      </c>
      <c r="C80" s="221" t="s">
        <v>224</v>
      </c>
      <c r="D80" s="221" t="s">
        <v>225</v>
      </c>
      <c r="E80" s="21" t="s">
        <v>74</v>
      </c>
      <c r="F80" s="21"/>
      <c r="G80" s="21"/>
    </row>
    <row r="81" spans="2:7" ht="13" x14ac:dyDescent="0.3">
      <c r="B81" s="221" t="s">
        <v>71</v>
      </c>
      <c r="C81" s="221" t="s">
        <v>226</v>
      </c>
      <c r="D81" s="221" t="s">
        <v>227</v>
      </c>
      <c r="E81" s="21" t="s">
        <v>74</v>
      </c>
      <c r="F81" s="21"/>
      <c r="G81" s="21"/>
    </row>
    <row r="82" spans="2:7" ht="13" x14ac:dyDescent="0.3">
      <c r="B82" s="221" t="s">
        <v>71</v>
      </c>
      <c r="C82" s="221" t="s">
        <v>228</v>
      </c>
      <c r="D82" s="221" t="s">
        <v>229</v>
      </c>
      <c r="E82" s="21" t="s">
        <v>74</v>
      </c>
      <c r="F82" s="21"/>
      <c r="G82" s="221"/>
    </row>
    <row r="83" spans="2:7" ht="13" x14ac:dyDescent="0.3">
      <c r="B83" s="221" t="s">
        <v>76</v>
      </c>
      <c r="C83" s="221" t="s">
        <v>230</v>
      </c>
      <c r="D83" s="221" t="s">
        <v>231</v>
      </c>
      <c r="E83" s="21" t="s">
        <v>74</v>
      </c>
      <c r="F83" s="21"/>
      <c r="G83" s="221"/>
    </row>
    <row r="84" spans="2:7" ht="13" x14ac:dyDescent="0.3">
      <c r="B84" s="221" t="s">
        <v>71</v>
      </c>
      <c r="C84" s="221" t="s">
        <v>232</v>
      </c>
      <c r="D84" s="221" t="s">
        <v>233</v>
      </c>
      <c r="E84" s="21" t="s">
        <v>74</v>
      </c>
      <c r="F84" s="21"/>
      <c r="G84" s="221"/>
    </row>
    <row r="85" spans="2:7" ht="13" x14ac:dyDescent="0.3">
      <c r="B85" s="221" t="s">
        <v>234</v>
      </c>
      <c r="C85" s="221" t="s">
        <v>235</v>
      </c>
      <c r="D85" s="221" t="s">
        <v>236</v>
      </c>
      <c r="E85" s="21" t="s">
        <v>74</v>
      </c>
      <c r="F85" s="21"/>
      <c r="G85" s="221"/>
    </row>
    <row r="86" spans="2:7" ht="13" x14ac:dyDescent="0.3">
      <c r="B86" s="221" t="s">
        <v>76</v>
      </c>
      <c r="C86" s="221" t="s">
        <v>237</v>
      </c>
      <c r="D86" s="221" t="s">
        <v>238</v>
      </c>
      <c r="E86" s="21" t="s">
        <v>74</v>
      </c>
      <c r="F86" s="21"/>
      <c r="G86" s="221"/>
    </row>
    <row r="87" spans="2:7" ht="13" x14ac:dyDescent="0.3">
      <c r="B87" s="21" t="s">
        <v>239</v>
      </c>
      <c r="C87" s="221"/>
      <c r="D87" s="221"/>
      <c r="E87" s="21"/>
      <c r="F87" s="21"/>
      <c r="G87" s="221"/>
    </row>
    <row r="88" spans="2:7" ht="13" x14ac:dyDescent="0.3">
      <c r="B88" s="221" t="s">
        <v>234</v>
      </c>
      <c r="C88" s="221" t="s">
        <v>240</v>
      </c>
      <c r="D88" s="221" t="s">
        <v>241</v>
      </c>
      <c r="E88" s="21" t="s">
        <v>242</v>
      </c>
      <c r="F88" s="21" t="s">
        <v>102</v>
      </c>
      <c r="G88" s="221"/>
    </row>
    <row r="89" spans="2:7" ht="13" x14ac:dyDescent="0.3">
      <c r="B89" s="221" t="s">
        <v>234</v>
      </c>
      <c r="C89" s="221" t="s">
        <v>243</v>
      </c>
      <c r="D89" s="221" t="s">
        <v>244</v>
      </c>
      <c r="E89" s="21" t="s">
        <v>242</v>
      </c>
      <c r="F89" s="21"/>
      <c r="G89" s="221"/>
    </row>
    <row r="90" spans="2:7" ht="13" x14ac:dyDescent="0.3">
      <c r="B90" s="221" t="s">
        <v>234</v>
      </c>
      <c r="C90" s="221" t="s">
        <v>245</v>
      </c>
      <c r="D90" s="221" t="s">
        <v>246</v>
      </c>
      <c r="E90" s="21" t="s">
        <v>242</v>
      </c>
      <c r="F90" s="21"/>
      <c r="G90" s="221"/>
    </row>
    <row r="91" spans="2:7" ht="13" x14ac:dyDescent="0.3">
      <c r="B91" s="221" t="s">
        <v>234</v>
      </c>
      <c r="C91" s="221" t="s">
        <v>247</v>
      </c>
      <c r="D91" s="221" t="s">
        <v>248</v>
      </c>
      <c r="E91" s="21" t="s">
        <v>242</v>
      </c>
      <c r="F91" s="21"/>
      <c r="G91" s="221"/>
    </row>
    <row r="92" spans="2:7" ht="13" x14ac:dyDescent="0.3">
      <c r="B92" s="221" t="s">
        <v>234</v>
      </c>
      <c r="C92" s="221" t="s">
        <v>249</v>
      </c>
      <c r="D92" s="221" t="s">
        <v>250</v>
      </c>
      <c r="E92" s="21" t="s">
        <v>242</v>
      </c>
      <c r="F92" s="21"/>
      <c r="G92" s="221"/>
    </row>
    <row r="93" spans="2:7" ht="13" x14ac:dyDescent="0.3">
      <c r="B93" s="221" t="s">
        <v>234</v>
      </c>
      <c r="C93" s="221" t="s">
        <v>251</v>
      </c>
      <c r="D93" s="221" t="s">
        <v>252</v>
      </c>
      <c r="E93" s="21" t="s">
        <v>242</v>
      </c>
      <c r="F93" s="21"/>
      <c r="G93" s="221"/>
    </row>
    <row r="94" spans="2:7" ht="13" x14ac:dyDescent="0.3">
      <c r="B94" s="221" t="s">
        <v>234</v>
      </c>
      <c r="C94" s="221" t="s">
        <v>253</v>
      </c>
      <c r="D94" s="221" t="s">
        <v>254</v>
      </c>
      <c r="E94" s="21" t="s">
        <v>242</v>
      </c>
      <c r="F94" s="21"/>
      <c r="G94" s="221"/>
    </row>
    <row r="95" spans="2:7" ht="13" x14ac:dyDescent="0.3">
      <c r="B95" s="221" t="s">
        <v>234</v>
      </c>
      <c r="C95" s="221" t="s">
        <v>255</v>
      </c>
      <c r="D95" s="221" t="s">
        <v>256</v>
      </c>
      <c r="E95" s="21" t="s">
        <v>74</v>
      </c>
      <c r="F95" s="21" t="s">
        <v>75</v>
      </c>
      <c r="G95" s="221"/>
    </row>
    <row r="96" spans="2:7" ht="13" x14ac:dyDescent="0.3">
      <c r="B96" s="221" t="s">
        <v>234</v>
      </c>
      <c r="C96" s="221" t="s">
        <v>257</v>
      </c>
      <c r="D96" s="221" t="s">
        <v>258</v>
      </c>
      <c r="E96" s="21" t="s">
        <v>74</v>
      </c>
      <c r="F96" s="21"/>
      <c r="G96" s="221"/>
    </row>
    <row r="97" spans="2:6" ht="13" x14ac:dyDescent="0.3">
      <c r="B97" s="221" t="s">
        <v>234</v>
      </c>
      <c r="C97" s="221" t="s">
        <v>259</v>
      </c>
      <c r="D97" s="221" t="s">
        <v>260</v>
      </c>
      <c r="E97" s="21" t="s">
        <v>74</v>
      </c>
      <c r="F97" s="21"/>
    </row>
    <row r="98" spans="2:6" ht="13" x14ac:dyDescent="0.3">
      <c r="B98" s="221" t="s">
        <v>234</v>
      </c>
      <c r="C98" s="221" t="s">
        <v>261</v>
      </c>
      <c r="D98" s="221" t="s">
        <v>262</v>
      </c>
      <c r="E98" s="21" t="s">
        <v>74</v>
      </c>
      <c r="F98" s="21"/>
    </row>
    <row r="99" spans="2:6" ht="13" x14ac:dyDescent="0.3">
      <c r="B99" s="221" t="s">
        <v>234</v>
      </c>
      <c r="C99" s="221" t="s">
        <v>263</v>
      </c>
      <c r="D99" s="221" t="s">
        <v>264</v>
      </c>
      <c r="E99" s="21" t="s">
        <v>74</v>
      </c>
      <c r="F99" s="21"/>
    </row>
    <row r="100" spans="2:6" ht="13" x14ac:dyDescent="0.3">
      <c r="B100" s="221" t="s">
        <v>234</v>
      </c>
      <c r="C100" s="221" t="s">
        <v>265</v>
      </c>
      <c r="D100" s="221" t="s">
        <v>266</v>
      </c>
      <c r="E100" s="21" t="s">
        <v>74</v>
      </c>
      <c r="F100" s="21"/>
    </row>
    <row r="101" spans="2:6" ht="13" x14ac:dyDescent="0.3">
      <c r="B101" s="221" t="s">
        <v>234</v>
      </c>
      <c r="C101" s="221" t="s">
        <v>267</v>
      </c>
      <c r="D101" s="221" t="s">
        <v>268</v>
      </c>
      <c r="E101" s="21" t="s">
        <v>74</v>
      </c>
      <c r="F101" s="21"/>
    </row>
    <row r="102" spans="2:6" ht="13" x14ac:dyDescent="0.3">
      <c r="B102" s="221" t="s">
        <v>234</v>
      </c>
      <c r="C102" s="221" t="s">
        <v>269</v>
      </c>
      <c r="D102" s="221" t="s">
        <v>270</v>
      </c>
      <c r="E102" s="21" t="s">
        <v>74</v>
      </c>
      <c r="F102" s="21"/>
    </row>
    <row r="103" spans="2:6" ht="13" x14ac:dyDescent="0.3">
      <c r="B103" s="221" t="s">
        <v>234</v>
      </c>
      <c r="C103" s="221" t="s">
        <v>271</v>
      </c>
      <c r="D103" s="221" t="s">
        <v>272</v>
      </c>
      <c r="E103" s="21" t="s">
        <v>74</v>
      </c>
      <c r="F103" s="21"/>
    </row>
    <row r="104" spans="2:6" ht="13" x14ac:dyDescent="0.3">
      <c r="B104" s="221" t="s">
        <v>234</v>
      </c>
      <c r="C104" s="221" t="s">
        <v>273</v>
      </c>
      <c r="D104" s="221" t="s">
        <v>274</v>
      </c>
      <c r="E104" s="21" t="s">
        <v>74</v>
      </c>
      <c r="F104" s="21"/>
    </row>
    <row r="105" spans="2:6" ht="13" x14ac:dyDescent="0.3">
      <c r="B105" s="221" t="s">
        <v>234</v>
      </c>
      <c r="C105" s="221" t="s">
        <v>275</v>
      </c>
      <c r="D105" s="221" t="s">
        <v>276</v>
      </c>
      <c r="E105" s="221" t="s">
        <v>74</v>
      </c>
      <c r="F105" s="21"/>
    </row>
    <row r="106" spans="2:6" ht="13" x14ac:dyDescent="0.3">
      <c r="B106" s="221" t="s">
        <v>234</v>
      </c>
      <c r="C106" s="221" t="s">
        <v>277</v>
      </c>
      <c r="D106" s="221" t="s">
        <v>278</v>
      </c>
      <c r="E106" s="21" t="s">
        <v>74</v>
      </c>
      <c r="F106" s="21"/>
    </row>
    <row r="107" spans="2:6" ht="13" x14ac:dyDescent="0.3">
      <c r="B107" s="221" t="s">
        <v>234</v>
      </c>
      <c r="C107" s="221" t="s">
        <v>279</v>
      </c>
      <c r="D107" s="221" t="s">
        <v>280</v>
      </c>
      <c r="E107" s="21" t="s">
        <v>74</v>
      </c>
      <c r="F107" s="21"/>
    </row>
    <row r="108" spans="2:6" ht="13" x14ac:dyDescent="0.3">
      <c r="B108" s="221" t="s">
        <v>234</v>
      </c>
      <c r="C108" s="227" t="s">
        <v>281</v>
      </c>
      <c r="D108" s="221" t="s">
        <v>282</v>
      </c>
      <c r="E108" s="21" t="s">
        <v>74</v>
      </c>
      <c r="F108" s="21"/>
    </row>
    <row r="109" spans="2:6" ht="13" x14ac:dyDescent="0.3">
      <c r="B109" s="221" t="s">
        <v>234</v>
      </c>
      <c r="C109" s="227" t="s">
        <v>283</v>
      </c>
      <c r="D109" s="221" t="s">
        <v>284</v>
      </c>
      <c r="E109" s="21" t="s">
        <v>74</v>
      </c>
      <c r="F109" s="21"/>
    </row>
    <row r="110" spans="2:6" ht="13" x14ac:dyDescent="0.3">
      <c r="B110" s="221" t="s">
        <v>234</v>
      </c>
      <c r="C110" s="227" t="s">
        <v>285</v>
      </c>
      <c r="D110" s="221" t="s">
        <v>286</v>
      </c>
      <c r="E110" s="21" t="s">
        <v>74</v>
      </c>
      <c r="F110" s="21"/>
    </row>
    <row r="111" spans="2:6" ht="13" x14ac:dyDescent="0.3">
      <c r="B111" s="221" t="s">
        <v>234</v>
      </c>
      <c r="C111" s="221" t="s">
        <v>287</v>
      </c>
      <c r="D111" s="221" t="s">
        <v>288</v>
      </c>
      <c r="E111" s="221" t="s">
        <v>74</v>
      </c>
      <c r="F111" s="21"/>
    </row>
    <row r="112" spans="2:6" ht="13" x14ac:dyDescent="0.3">
      <c r="B112" s="221" t="s">
        <v>234</v>
      </c>
      <c r="C112" s="221" t="s">
        <v>289</v>
      </c>
      <c r="D112" s="221" t="s">
        <v>290</v>
      </c>
      <c r="E112" s="221" t="s">
        <v>74</v>
      </c>
      <c r="F112" s="21"/>
    </row>
    <row r="113" spans="2:6" ht="13" x14ac:dyDescent="0.3">
      <c r="B113" s="21" t="s">
        <v>291</v>
      </c>
      <c r="C113" s="221"/>
      <c r="D113" s="221"/>
      <c r="E113" s="21"/>
      <c r="F113" s="21"/>
    </row>
    <row r="114" spans="2:6" s="25" customFormat="1" ht="13" x14ac:dyDescent="0.3">
      <c r="B114" s="221" t="s">
        <v>71</v>
      </c>
      <c r="C114" s="25" t="s">
        <v>292</v>
      </c>
      <c r="D114" s="25" t="s">
        <v>293</v>
      </c>
      <c r="E114" s="21" t="s">
        <v>242</v>
      </c>
      <c r="F114" s="21" t="s">
        <v>294</v>
      </c>
    </row>
    <row r="115" spans="2:6" ht="13" x14ac:dyDescent="0.3">
      <c r="B115" s="221" t="s">
        <v>71</v>
      </c>
      <c r="C115" s="221" t="s">
        <v>295</v>
      </c>
      <c r="D115" s="221" t="s">
        <v>296</v>
      </c>
      <c r="E115" s="21" t="s">
        <v>297</v>
      </c>
      <c r="F115" s="21" t="s">
        <v>294</v>
      </c>
    </row>
    <row r="116" spans="2:6" ht="13" x14ac:dyDescent="0.3">
      <c r="B116" s="221" t="s">
        <v>71</v>
      </c>
      <c r="C116" s="221" t="s">
        <v>298</v>
      </c>
      <c r="D116" s="221" t="s">
        <v>299</v>
      </c>
      <c r="E116" s="21" t="s">
        <v>297</v>
      </c>
      <c r="F116" s="21" t="s">
        <v>294</v>
      </c>
    </row>
    <row r="117" spans="2:6" ht="13" x14ac:dyDescent="0.3">
      <c r="B117" s="221" t="s">
        <v>71</v>
      </c>
      <c r="C117" s="221" t="s">
        <v>300</v>
      </c>
      <c r="D117" s="221" t="s">
        <v>301</v>
      </c>
      <c r="E117" s="21" t="s">
        <v>297</v>
      </c>
      <c r="F117" s="21" t="s">
        <v>294</v>
      </c>
    </row>
    <row r="118" spans="2:6" ht="13" x14ac:dyDescent="0.3">
      <c r="B118" s="221" t="s">
        <v>71</v>
      </c>
      <c r="C118" s="221" t="s">
        <v>302</v>
      </c>
      <c r="D118" s="221" t="s">
        <v>303</v>
      </c>
      <c r="E118" s="21" t="s">
        <v>297</v>
      </c>
      <c r="F118" s="21" t="s">
        <v>294</v>
      </c>
    </row>
    <row r="119" spans="2:6" ht="13" x14ac:dyDescent="0.3">
      <c r="B119" s="221" t="s">
        <v>71</v>
      </c>
      <c r="C119" s="221" t="s">
        <v>304</v>
      </c>
      <c r="D119" s="221" t="s">
        <v>305</v>
      </c>
      <c r="E119" s="21" t="s">
        <v>297</v>
      </c>
      <c r="F119" s="21" t="s">
        <v>294</v>
      </c>
    </row>
    <row r="120" spans="2:6" ht="13" x14ac:dyDescent="0.3">
      <c r="B120" s="221" t="s">
        <v>71</v>
      </c>
      <c r="C120" s="221" t="s">
        <v>306</v>
      </c>
      <c r="D120" s="221" t="s">
        <v>307</v>
      </c>
      <c r="E120" s="21" t="s">
        <v>297</v>
      </c>
      <c r="F120" s="21" t="s">
        <v>294</v>
      </c>
    </row>
    <row r="121" spans="2:6" ht="13" x14ac:dyDescent="0.3">
      <c r="B121" s="221" t="s">
        <v>71</v>
      </c>
      <c r="C121" s="221" t="s">
        <v>308</v>
      </c>
      <c r="D121" s="221" t="s">
        <v>309</v>
      </c>
      <c r="E121" s="21" t="s">
        <v>297</v>
      </c>
      <c r="F121" s="21" t="s">
        <v>294</v>
      </c>
    </row>
    <row r="122" spans="2:6" ht="13" x14ac:dyDescent="0.3">
      <c r="B122" s="221" t="s">
        <v>71</v>
      </c>
      <c r="C122" s="221" t="s">
        <v>310</v>
      </c>
      <c r="D122" s="221" t="s">
        <v>311</v>
      </c>
      <c r="E122" s="21" t="s">
        <v>297</v>
      </c>
      <c r="F122" s="21" t="s">
        <v>294</v>
      </c>
    </row>
    <row r="123" spans="2:6" ht="13" x14ac:dyDescent="0.3">
      <c r="B123" s="221" t="s">
        <v>71</v>
      </c>
      <c r="C123" s="221" t="s">
        <v>312</v>
      </c>
      <c r="D123" s="221" t="s">
        <v>313</v>
      </c>
      <c r="E123" s="21" t="s">
        <v>297</v>
      </c>
      <c r="F123" s="21" t="s">
        <v>294</v>
      </c>
    </row>
    <row r="124" spans="2:6" ht="13" x14ac:dyDescent="0.3">
      <c r="B124" s="221" t="s">
        <v>71</v>
      </c>
      <c r="C124" s="221" t="s">
        <v>314</v>
      </c>
      <c r="D124" s="221" t="s">
        <v>315</v>
      </c>
      <c r="E124" s="21" t="s">
        <v>297</v>
      </c>
      <c r="F124" s="21" t="s">
        <v>294</v>
      </c>
    </row>
    <row r="125" spans="2:6" ht="13" x14ac:dyDescent="0.3">
      <c r="B125" s="221" t="s">
        <v>71</v>
      </c>
      <c r="C125" s="221" t="s">
        <v>316</v>
      </c>
      <c r="D125" s="221" t="s">
        <v>317</v>
      </c>
      <c r="E125" s="21" t="s">
        <v>297</v>
      </c>
      <c r="F125" s="21" t="s">
        <v>294</v>
      </c>
    </row>
    <row r="126" spans="2:6" ht="13" x14ac:dyDescent="0.3">
      <c r="B126" s="221" t="s">
        <v>71</v>
      </c>
      <c r="C126" s="221" t="s">
        <v>318</v>
      </c>
      <c r="D126" s="221" t="s">
        <v>319</v>
      </c>
      <c r="E126" s="21" t="s">
        <v>297</v>
      </c>
      <c r="F126" s="21" t="s">
        <v>294</v>
      </c>
    </row>
    <row r="127" spans="2:6" ht="13" x14ac:dyDescent="0.3">
      <c r="B127" s="221" t="s">
        <v>71</v>
      </c>
      <c r="C127" s="221" t="s">
        <v>320</v>
      </c>
      <c r="D127" s="221" t="s">
        <v>321</v>
      </c>
      <c r="E127" s="21" t="s">
        <v>297</v>
      </c>
      <c r="F127" s="21" t="s">
        <v>294</v>
      </c>
    </row>
    <row r="128" spans="2:6" ht="13" x14ac:dyDescent="0.3">
      <c r="B128" s="221" t="s">
        <v>71</v>
      </c>
      <c r="C128" s="221" t="s">
        <v>322</v>
      </c>
      <c r="D128" s="221" t="s">
        <v>323</v>
      </c>
      <c r="E128" s="21" t="s">
        <v>297</v>
      </c>
      <c r="F128" s="21" t="s">
        <v>294</v>
      </c>
    </row>
    <row r="129" spans="2:6" ht="13" x14ac:dyDescent="0.3">
      <c r="B129" s="21" t="s">
        <v>291</v>
      </c>
      <c r="C129" s="221"/>
      <c r="D129" s="221"/>
      <c r="E129" s="221"/>
      <c r="F129" s="221"/>
    </row>
    <row r="130" spans="2:6" ht="13" x14ac:dyDescent="0.3">
      <c r="B130" s="221" t="s">
        <v>76</v>
      </c>
      <c r="C130" s="221" t="s">
        <v>324</v>
      </c>
      <c r="D130" s="221" t="s">
        <v>325</v>
      </c>
      <c r="E130" s="21" t="s">
        <v>74</v>
      </c>
      <c r="F130" s="21" t="s">
        <v>75</v>
      </c>
    </row>
    <row r="131" spans="2:6" ht="13" x14ac:dyDescent="0.3">
      <c r="B131" s="221" t="s">
        <v>76</v>
      </c>
      <c r="C131" s="221" t="s">
        <v>326</v>
      </c>
      <c r="D131" s="221" t="s">
        <v>325</v>
      </c>
      <c r="E131" s="21" t="s">
        <v>74</v>
      </c>
      <c r="F131" s="21"/>
    </row>
    <row r="132" spans="2:6" ht="13" x14ac:dyDescent="0.3">
      <c r="B132" s="221" t="s">
        <v>76</v>
      </c>
      <c r="C132" s="221" t="s">
        <v>327</v>
      </c>
      <c r="D132" s="221" t="s">
        <v>325</v>
      </c>
      <c r="E132" s="21" t="s">
        <v>74</v>
      </c>
      <c r="F132" s="21"/>
    </row>
    <row r="133" spans="2:6" ht="13" x14ac:dyDescent="0.3">
      <c r="B133" s="221" t="s">
        <v>76</v>
      </c>
      <c r="C133" s="221" t="s">
        <v>328</v>
      </c>
      <c r="D133" s="221" t="s">
        <v>325</v>
      </c>
      <c r="E133" s="21" t="s">
        <v>74</v>
      </c>
      <c r="F133" s="21"/>
    </row>
    <row r="134" spans="2:6" ht="13" x14ac:dyDescent="0.3">
      <c r="B134" s="221" t="s">
        <v>76</v>
      </c>
      <c r="C134" s="221" t="s">
        <v>329</v>
      </c>
      <c r="D134" s="221" t="s">
        <v>325</v>
      </c>
      <c r="E134" s="21" t="s">
        <v>74</v>
      </c>
      <c r="F134" s="21"/>
    </row>
    <row r="135" spans="2:6" ht="13" x14ac:dyDescent="0.3">
      <c r="B135" s="221" t="s">
        <v>76</v>
      </c>
      <c r="C135" s="221" t="s">
        <v>330</v>
      </c>
      <c r="D135" s="221" t="s">
        <v>325</v>
      </c>
      <c r="E135" s="21" t="s">
        <v>74</v>
      </c>
      <c r="F135" s="21"/>
    </row>
    <row r="136" spans="2:6" ht="13" x14ac:dyDescent="0.3">
      <c r="B136" s="221" t="s">
        <v>76</v>
      </c>
      <c r="C136" s="221" t="s">
        <v>331</v>
      </c>
      <c r="D136" s="221" t="s">
        <v>325</v>
      </c>
      <c r="E136" s="21" t="s">
        <v>74</v>
      </c>
      <c r="F136" s="21"/>
    </row>
    <row r="137" spans="2:6" ht="13" x14ac:dyDescent="0.3">
      <c r="B137" s="21" t="s">
        <v>332</v>
      </c>
      <c r="C137" s="221"/>
      <c r="D137" s="221"/>
      <c r="E137" s="221"/>
      <c r="F137" s="221"/>
    </row>
    <row r="138" spans="2:6" ht="13" x14ac:dyDescent="0.3">
      <c r="B138" s="221" t="s">
        <v>76</v>
      </c>
      <c r="C138" s="221" t="s">
        <v>333</v>
      </c>
      <c r="D138" s="221" t="s">
        <v>334</v>
      </c>
      <c r="E138" s="21" t="s">
        <v>74</v>
      </c>
      <c r="F138" s="21" t="s">
        <v>75</v>
      </c>
    </row>
    <row r="139" spans="2:6" ht="13" x14ac:dyDescent="0.3">
      <c r="B139" s="221" t="s">
        <v>76</v>
      </c>
      <c r="C139" s="221" t="s">
        <v>335</v>
      </c>
      <c r="D139" s="221" t="s">
        <v>336</v>
      </c>
      <c r="E139" s="21" t="s">
        <v>74</v>
      </c>
      <c r="F139" s="21"/>
    </row>
    <row r="140" spans="2:6" ht="13" x14ac:dyDescent="0.3">
      <c r="B140" s="221" t="s">
        <v>76</v>
      </c>
      <c r="C140" s="221" t="s">
        <v>337</v>
      </c>
      <c r="D140" s="221" t="s">
        <v>338</v>
      </c>
      <c r="E140" s="21" t="s">
        <v>74</v>
      </c>
      <c r="F140" s="21"/>
    </row>
    <row r="141" spans="2:6" ht="13" x14ac:dyDescent="0.3">
      <c r="B141" s="221" t="s">
        <v>76</v>
      </c>
      <c r="C141" s="221" t="s">
        <v>339</v>
      </c>
      <c r="D141" s="221" t="s">
        <v>340</v>
      </c>
      <c r="E141" s="21" t="s">
        <v>74</v>
      </c>
      <c r="F141" s="21"/>
    </row>
    <row r="142" spans="2:6" ht="13" x14ac:dyDescent="0.3">
      <c r="B142" s="221" t="s">
        <v>76</v>
      </c>
      <c r="C142" s="221" t="s">
        <v>341</v>
      </c>
      <c r="D142" s="221" t="s">
        <v>342</v>
      </c>
      <c r="E142" s="21" t="s">
        <v>74</v>
      </c>
      <c r="F142" s="21"/>
    </row>
    <row r="143" spans="2:6" ht="13" x14ac:dyDescent="0.3">
      <c r="B143" s="221" t="s">
        <v>76</v>
      </c>
      <c r="C143" s="221" t="s">
        <v>343</v>
      </c>
      <c r="D143" s="221" t="s">
        <v>344</v>
      </c>
      <c r="E143" s="21" t="s">
        <v>74</v>
      </c>
      <c r="F143" s="21"/>
    </row>
    <row r="144" spans="2:6" ht="13" x14ac:dyDescent="0.3">
      <c r="B144" s="221" t="s">
        <v>76</v>
      </c>
      <c r="C144" s="221" t="s">
        <v>345</v>
      </c>
      <c r="D144" s="221" t="s">
        <v>346</v>
      </c>
      <c r="E144" s="21" t="s">
        <v>74</v>
      </c>
      <c r="F144" s="21"/>
    </row>
    <row r="145" spans="2:6" ht="13" x14ac:dyDescent="0.3">
      <c r="B145" s="221" t="s">
        <v>76</v>
      </c>
      <c r="C145" s="221" t="s">
        <v>347</v>
      </c>
      <c r="D145" s="221" t="s">
        <v>348</v>
      </c>
      <c r="E145" s="21" t="s">
        <v>74</v>
      </c>
      <c r="F145" s="21"/>
    </row>
    <row r="146" spans="2:6" ht="13" x14ac:dyDescent="0.3">
      <c r="B146" s="221" t="s">
        <v>76</v>
      </c>
      <c r="C146" s="221" t="s">
        <v>349</v>
      </c>
      <c r="D146" s="221" t="s">
        <v>350</v>
      </c>
      <c r="E146" s="21" t="s">
        <v>74</v>
      </c>
      <c r="F146" s="21"/>
    </row>
    <row r="147" spans="2:6" ht="13" x14ac:dyDescent="0.3">
      <c r="B147" s="221" t="s">
        <v>76</v>
      </c>
      <c r="C147" s="221" t="s">
        <v>351</v>
      </c>
      <c r="D147" s="221" t="s">
        <v>352</v>
      </c>
      <c r="E147" s="21" t="s">
        <v>74</v>
      </c>
      <c r="F147" s="21"/>
    </row>
    <row r="148" spans="2:6" ht="13" x14ac:dyDescent="0.3">
      <c r="B148" s="221" t="s">
        <v>76</v>
      </c>
      <c r="C148" s="221" t="s">
        <v>353</v>
      </c>
      <c r="D148" s="221" t="s">
        <v>354</v>
      </c>
      <c r="E148" s="21" t="s">
        <v>74</v>
      </c>
      <c r="F148" s="21"/>
    </row>
    <row r="149" spans="2:6" ht="13" x14ac:dyDescent="0.3">
      <c r="B149" s="221" t="s">
        <v>76</v>
      </c>
      <c r="C149" s="221" t="s">
        <v>355</v>
      </c>
      <c r="D149" s="221" t="s">
        <v>356</v>
      </c>
      <c r="E149" s="21" t="s">
        <v>74</v>
      </c>
      <c r="F149" s="21"/>
    </row>
    <row r="150" spans="2:6" ht="13" x14ac:dyDescent="0.3">
      <c r="B150" s="221" t="s">
        <v>76</v>
      </c>
      <c r="C150" s="221" t="s">
        <v>357</v>
      </c>
      <c r="D150" s="221" t="s">
        <v>358</v>
      </c>
      <c r="E150" s="21" t="s">
        <v>74</v>
      </c>
      <c r="F150" s="21"/>
    </row>
    <row r="151" spans="2:6" ht="13" x14ac:dyDescent="0.3">
      <c r="B151" s="221" t="s">
        <v>76</v>
      </c>
      <c r="C151" s="221" t="s">
        <v>359</v>
      </c>
      <c r="D151" s="221" t="s">
        <v>360</v>
      </c>
      <c r="E151" s="21" t="s">
        <v>74</v>
      </c>
      <c r="F151" s="21"/>
    </row>
    <row r="152" spans="2:6" ht="13" x14ac:dyDescent="0.3">
      <c r="B152" s="221" t="s">
        <v>361</v>
      </c>
      <c r="C152" s="221" t="s">
        <v>362</v>
      </c>
      <c r="D152" s="221" t="s">
        <v>363</v>
      </c>
      <c r="E152" s="21" t="s">
        <v>74</v>
      </c>
      <c r="F152" s="21"/>
    </row>
    <row r="153" spans="2:6" ht="13" x14ac:dyDescent="0.3">
      <c r="B153" s="221" t="s">
        <v>361</v>
      </c>
      <c r="C153" s="221" t="s">
        <v>364</v>
      </c>
      <c r="D153" s="221" t="s">
        <v>365</v>
      </c>
      <c r="E153" s="21" t="s">
        <v>74</v>
      </c>
      <c r="F153" s="21"/>
    </row>
    <row r="154" spans="2:6" ht="13" x14ac:dyDescent="0.3">
      <c r="B154" s="21" t="s">
        <v>366</v>
      </c>
      <c r="C154" s="221"/>
      <c r="D154" s="221"/>
      <c r="E154" s="21"/>
      <c r="F154" s="21"/>
    </row>
    <row r="155" spans="2:6" ht="13" x14ac:dyDescent="0.3">
      <c r="B155" s="221" t="s">
        <v>234</v>
      </c>
      <c r="C155" s="221" t="s">
        <v>367</v>
      </c>
      <c r="D155" s="221" t="s">
        <v>368</v>
      </c>
      <c r="E155" s="21" t="s">
        <v>74</v>
      </c>
      <c r="F155" s="21" t="s">
        <v>75</v>
      </c>
    </row>
    <row r="156" spans="2:6" ht="13" x14ac:dyDescent="0.3">
      <c r="B156" s="21" t="s">
        <v>369</v>
      </c>
      <c r="C156" s="221"/>
      <c r="D156" s="221"/>
      <c r="E156" s="221"/>
      <c r="F156" s="221"/>
    </row>
    <row r="157" spans="2:6" ht="13" x14ac:dyDescent="0.3">
      <c r="B157" s="221" t="s">
        <v>234</v>
      </c>
      <c r="C157" s="221" t="s">
        <v>370</v>
      </c>
      <c r="D157" s="221" t="s">
        <v>371</v>
      </c>
      <c r="E157" s="21" t="s">
        <v>297</v>
      </c>
      <c r="F157" s="21" t="s">
        <v>294</v>
      </c>
    </row>
    <row r="158" spans="2:6" ht="13" x14ac:dyDescent="0.3">
      <c r="B158" s="21" t="s">
        <v>372</v>
      </c>
      <c r="C158" s="221"/>
      <c r="D158" s="221"/>
      <c r="E158" s="221"/>
      <c r="F158" s="221"/>
    </row>
    <row r="159" spans="2:6" s="25" customFormat="1" ht="13" x14ac:dyDescent="0.3">
      <c r="B159" s="221" t="s">
        <v>234</v>
      </c>
      <c r="C159" s="221" t="s">
        <v>373</v>
      </c>
      <c r="D159" s="221" t="s">
        <v>233</v>
      </c>
      <c r="E159" s="21" t="s">
        <v>74</v>
      </c>
      <c r="F159" s="21" t="s">
        <v>75</v>
      </c>
    </row>
    <row r="160" spans="2:6" s="25" customFormat="1" ht="13" x14ac:dyDescent="0.3">
      <c r="B160" s="221" t="s">
        <v>234</v>
      </c>
      <c r="C160" s="221" t="s">
        <v>40</v>
      </c>
      <c r="D160" s="221" t="s">
        <v>238</v>
      </c>
      <c r="E160" s="21" t="s">
        <v>74</v>
      </c>
      <c r="F160" s="21"/>
    </row>
    <row r="161" spans="2:6" ht="13" x14ac:dyDescent="0.3">
      <c r="B161" s="21" t="s">
        <v>374</v>
      </c>
      <c r="C161" s="221"/>
      <c r="D161" s="221"/>
      <c r="E161" s="221"/>
      <c r="F161" s="221"/>
    </row>
    <row r="162" spans="2:6" ht="13" x14ac:dyDescent="0.3">
      <c r="B162" s="221"/>
      <c r="C162" s="221" t="s">
        <v>375</v>
      </c>
      <c r="D162" s="221" t="s">
        <v>376</v>
      </c>
      <c r="E162" s="21" t="s">
        <v>74</v>
      </c>
      <c r="F162" s="21" t="s">
        <v>75</v>
      </c>
    </row>
    <row r="163" spans="2:6" ht="13" x14ac:dyDescent="0.3">
      <c r="B163" s="21" t="s">
        <v>377</v>
      </c>
      <c r="C163" s="28"/>
      <c r="D163" s="221"/>
      <c r="E163" s="221"/>
      <c r="F163" s="221"/>
    </row>
    <row r="164" spans="2:6" ht="13" x14ac:dyDescent="0.3">
      <c r="B164" s="221" t="s">
        <v>105</v>
      </c>
      <c r="C164" s="221" t="s">
        <v>378</v>
      </c>
      <c r="D164" s="221" t="s">
        <v>379</v>
      </c>
      <c r="E164" s="21" t="s">
        <v>380</v>
      </c>
      <c r="F164" s="21" t="s">
        <v>294</v>
      </c>
    </row>
    <row r="165" spans="2:6" ht="13" x14ac:dyDescent="0.3">
      <c r="B165" s="221" t="s">
        <v>105</v>
      </c>
      <c r="C165" s="221" t="s">
        <v>381</v>
      </c>
      <c r="D165" s="221" t="s">
        <v>382</v>
      </c>
      <c r="E165" s="21" t="s">
        <v>380</v>
      </c>
      <c r="F165" s="21" t="s">
        <v>294</v>
      </c>
    </row>
    <row r="166" spans="2:6" ht="13" x14ac:dyDescent="0.3">
      <c r="B166" s="221" t="s">
        <v>105</v>
      </c>
      <c r="C166" s="221" t="s">
        <v>383</v>
      </c>
      <c r="D166" s="221" t="s">
        <v>384</v>
      </c>
      <c r="E166" s="21" t="s">
        <v>380</v>
      </c>
      <c r="F166" s="21" t="s">
        <v>294</v>
      </c>
    </row>
    <row r="167" spans="2:6" ht="13" x14ac:dyDescent="0.3">
      <c r="B167" s="221" t="s">
        <v>105</v>
      </c>
      <c r="C167" s="221" t="s">
        <v>385</v>
      </c>
      <c r="D167" s="221" t="s">
        <v>386</v>
      </c>
      <c r="E167" s="21" t="s">
        <v>380</v>
      </c>
      <c r="F167" s="21" t="s">
        <v>294</v>
      </c>
    </row>
    <row r="168" spans="2:6" ht="13" x14ac:dyDescent="0.3">
      <c r="B168" s="21" t="s">
        <v>387</v>
      </c>
      <c r="C168" s="221"/>
      <c r="D168" s="221"/>
      <c r="E168" s="221"/>
      <c r="F168" s="21"/>
    </row>
    <row r="169" spans="2:6" ht="13" x14ac:dyDescent="0.3">
      <c r="B169" s="221" t="s">
        <v>71</v>
      </c>
      <c r="C169" s="221" t="s">
        <v>388</v>
      </c>
      <c r="D169" s="221" t="s">
        <v>389</v>
      </c>
      <c r="E169" s="21" t="s">
        <v>74</v>
      </c>
      <c r="F169" s="21" t="s">
        <v>75</v>
      </c>
    </row>
    <row r="170" spans="2:6" ht="13" x14ac:dyDescent="0.3">
      <c r="B170" s="21" t="s">
        <v>390</v>
      </c>
      <c r="C170" s="221"/>
      <c r="D170" s="221"/>
      <c r="E170" s="221"/>
      <c r="F170" s="21"/>
    </row>
    <row r="171" spans="2:6" ht="13" x14ac:dyDescent="0.3">
      <c r="B171" s="221" t="s">
        <v>71</v>
      </c>
      <c r="C171" s="221" t="s">
        <v>391</v>
      </c>
      <c r="D171" s="221" t="s">
        <v>392</v>
      </c>
      <c r="E171" s="21" t="s">
        <v>74</v>
      </c>
      <c r="F171" s="21" t="s">
        <v>75</v>
      </c>
    </row>
    <row r="172" spans="2:6" ht="13" x14ac:dyDescent="0.3">
      <c r="B172" s="21" t="s">
        <v>393</v>
      </c>
      <c r="C172" s="221"/>
      <c r="D172" s="221"/>
      <c r="E172" s="221"/>
      <c r="F172" s="21"/>
    </row>
    <row r="173" spans="2:6" ht="13" x14ac:dyDescent="0.3">
      <c r="B173" s="221" t="s">
        <v>71</v>
      </c>
      <c r="C173" s="221" t="s">
        <v>394</v>
      </c>
      <c r="D173" s="221" t="s">
        <v>395</v>
      </c>
      <c r="E173" s="21" t="s">
        <v>74</v>
      </c>
      <c r="F173" s="21" t="s">
        <v>75</v>
      </c>
    </row>
    <row r="174" spans="2:6" ht="13" x14ac:dyDescent="0.3">
      <c r="B174" s="221" t="s">
        <v>71</v>
      </c>
      <c r="C174" s="221" t="s">
        <v>396</v>
      </c>
      <c r="D174" s="221" t="s">
        <v>397</v>
      </c>
      <c r="E174" s="21" t="s">
        <v>74</v>
      </c>
      <c r="F174" s="21"/>
    </row>
    <row r="175" spans="2:6" ht="13" x14ac:dyDescent="0.3">
      <c r="B175" s="21" t="s">
        <v>398</v>
      </c>
      <c r="C175" s="221"/>
      <c r="D175" s="221"/>
      <c r="E175" s="221"/>
      <c r="F175" s="221"/>
    </row>
    <row r="176" spans="2:6" ht="13" x14ac:dyDescent="0.3">
      <c r="B176" s="221" t="s">
        <v>71</v>
      </c>
      <c r="C176" s="221" t="s">
        <v>399</v>
      </c>
      <c r="D176" s="221" t="s">
        <v>400</v>
      </c>
      <c r="E176" s="21" t="s">
        <v>74</v>
      </c>
      <c r="F176" s="21" t="s">
        <v>75</v>
      </c>
    </row>
    <row r="177" spans="2:6" ht="13" x14ac:dyDescent="0.3">
      <c r="B177" s="21" t="s">
        <v>401</v>
      </c>
      <c r="C177" s="221"/>
      <c r="D177" s="221"/>
      <c r="E177" s="221"/>
      <c r="F177" s="221"/>
    </row>
    <row r="178" spans="2:6" ht="13" x14ac:dyDescent="0.3">
      <c r="B178" s="221" t="s">
        <v>71</v>
      </c>
      <c r="C178" s="221" t="s">
        <v>402</v>
      </c>
      <c r="D178" s="221" t="s">
        <v>403</v>
      </c>
      <c r="E178" s="21" t="s">
        <v>74</v>
      </c>
      <c r="F178" s="21" t="s">
        <v>75</v>
      </c>
    </row>
    <row r="179" spans="2:6" ht="13" x14ac:dyDescent="0.3">
      <c r="B179" s="221" t="s">
        <v>71</v>
      </c>
      <c r="C179" s="221" t="s">
        <v>404</v>
      </c>
      <c r="D179" s="221" t="s">
        <v>405</v>
      </c>
      <c r="E179" s="21" t="s">
        <v>74</v>
      </c>
      <c r="F179" s="21"/>
    </row>
    <row r="180" spans="2:6" ht="13" x14ac:dyDescent="0.3">
      <c r="B180" s="21" t="s">
        <v>406</v>
      </c>
      <c r="C180" s="221"/>
      <c r="D180" s="221"/>
      <c r="E180" s="221"/>
      <c r="F180" s="221"/>
    </row>
    <row r="181" spans="2:6" ht="13" x14ac:dyDescent="0.3">
      <c r="B181" s="221" t="s">
        <v>71</v>
      </c>
      <c r="C181" s="221" t="s">
        <v>407</v>
      </c>
      <c r="D181" s="221" t="s">
        <v>408</v>
      </c>
      <c r="E181" s="21" t="s">
        <v>74</v>
      </c>
      <c r="F181" s="21" t="s">
        <v>75</v>
      </c>
    </row>
    <row r="182" spans="2:6" ht="13" x14ac:dyDescent="0.3">
      <c r="B182" s="21" t="s">
        <v>409</v>
      </c>
      <c r="C182" s="221"/>
      <c r="D182" s="221"/>
      <c r="E182" s="221"/>
      <c r="F182" s="221"/>
    </row>
    <row r="183" spans="2:6" ht="13" x14ac:dyDescent="0.3">
      <c r="B183" s="221" t="s">
        <v>71</v>
      </c>
      <c r="C183" s="221" t="s">
        <v>410</v>
      </c>
      <c r="D183" s="221" t="s">
        <v>411</v>
      </c>
      <c r="E183" s="21" t="s">
        <v>74</v>
      </c>
      <c r="F183" s="21" t="s">
        <v>75</v>
      </c>
    </row>
    <row r="184" spans="2:6" ht="13" x14ac:dyDescent="0.3">
      <c r="B184" s="21" t="s">
        <v>291</v>
      </c>
      <c r="C184" s="221"/>
      <c r="D184" s="221"/>
      <c r="E184" s="21"/>
      <c r="F184" s="21"/>
    </row>
    <row r="185" spans="2:6" ht="13" x14ac:dyDescent="0.3">
      <c r="B185" s="221" t="s">
        <v>71</v>
      </c>
      <c r="C185" s="221" t="s">
        <v>412</v>
      </c>
      <c r="D185" s="221" t="s">
        <v>413</v>
      </c>
      <c r="E185" s="21" t="s">
        <v>242</v>
      </c>
      <c r="F185" s="21" t="s">
        <v>294</v>
      </c>
    </row>
    <row r="186" spans="2:6" ht="13" x14ac:dyDescent="0.3">
      <c r="B186" s="221" t="s">
        <v>71</v>
      </c>
      <c r="C186" s="221" t="s">
        <v>414</v>
      </c>
      <c r="D186" s="221" t="s">
        <v>415</v>
      </c>
      <c r="E186" s="21" t="s">
        <v>297</v>
      </c>
      <c r="F186" s="21" t="s">
        <v>294</v>
      </c>
    </row>
    <row r="187" spans="2:6" ht="13" x14ac:dyDescent="0.3">
      <c r="B187" s="221" t="s">
        <v>71</v>
      </c>
      <c r="C187" s="221" t="s">
        <v>416</v>
      </c>
      <c r="D187" s="221" t="s">
        <v>417</v>
      </c>
      <c r="E187" s="21" t="s">
        <v>297</v>
      </c>
      <c r="F187" s="21" t="s">
        <v>294</v>
      </c>
    </row>
    <row r="188" spans="2:6" ht="13" x14ac:dyDescent="0.3">
      <c r="B188" s="221" t="s">
        <v>71</v>
      </c>
      <c r="C188" s="221" t="s">
        <v>418</v>
      </c>
      <c r="D188" s="221" t="s">
        <v>419</v>
      </c>
      <c r="E188" s="21" t="s">
        <v>297</v>
      </c>
      <c r="F188" s="21" t="s">
        <v>294</v>
      </c>
    </row>
    <row r="189" spans="2:6" ht="13" x14ac:dyDescent="0.3">
      <c r="B189" s="221" t="s">
        <v>71</v>
      </c>
      <c r="C189" s="221" t="s">
        <v>420</v>
      </c>
      <c r="D189" s="221" t="s">
        <v>421</v>
      </c>
      <c r="E189" s="21" t="s">
        <v>297</v>
      </c>
      <c r="F189" s="21" t="s">
        <v>294</v>
      </c>
    </row>
    <row r="190" spans="2:6" ht="13" x14ac:dyDescent="0.3">
      <c r="B190" s="221" t="s">
        <v>71</v>
      </c>
      <c r="C190" s="221" t="s">
        <v>422</v>
      </c>
      <c r="D190" s="221" t="s">
        <v>423</v>
      </c>
      <c r="E190" s="21" t="s">
        <v>297</v>
      </c>
      <c r="F190" s="21" t="s">
        <v>294</v>
      </c>
    </row>
    <row r="191" spans="2:6" ht="13" x14ac:dyDescent="0.3">
      <c r="B191" s="221" t="s">
        <v>71</v>
      </c>
      <c r="C191" s="221" t="s">
        <v>424</v>
      </c>
      <c r="D191" s="221" t="s">
        <v>425</v>
      </c>
      <c r="E191" s="21" t="s">
        <v>297</v>
      </c>
      <c r="F191" s="21" t="s">
        <v>294</v>
      </c>
    </row>
    <row r="192" spans="2:6" ht="13" x14ac:dyDescent="0.3">
      <c r="B192" s="221" t="s">
        <v>71</v>
      </c>
      <c r="C192" s="221" t="s">
        <v>426</v>
      </c>
      <c r="D192" s="221" t="s">
        <v>427</v>
      </c>
      <c r="E192" s="21" t="s">
        <v>297</v>
      </c>
      <c r="F192" s="21" t="s">
        <v>294</v>
      </c>
    </row>
    <row r="193" spans="2:6" ht="13" x14ac:dyDescent="0.3">
      <c r="B193" s="221" t="s">
        <v>71</v>
      </c>
      <c r="C193" s="221" t="s">
        <v>428</v>
      </c>
      <c r="D193" s="221" t="s">
        <v>429</v>
      </c>
      <c r="E193" s="21" t="s">
        <v>297</v>
      </c>
      <c r="F193" s="21" t="s">
        <v>294</v>
      </c>
    </row>
    <row r="194" spans="2:6" ht="13" x14ac:dyDescent="0.3">
      <c r="B194" s="221" t="s">
        <v>71</v>
      </c>
      <c r="C194" s="221" t="s">
        <v>430</v>
      </c>
      <c r="D194" s="221" t="s">
        <v>431</v>
      </c>
      <c r="E194" s="21" t="s">
        <v>297</v>
      </c>
      <c r="F194" s="21" t="s">
        <v>294</v>
      </c>
    </row>
    <row r="195" spans="2:6" ht="13" x14ac:dyDescent="0.3">
      <c r="B195" s="221" t="s">
        <v>71</v>
      </c>
      <c r="C195" s="221" t="s">
        <v>432</v>
      </c>
      <c r="D195" s="221" t="s">
        <v>433</v>
      </c>
      <c r="E195" s="21" t="s">
        <v>297</v>
      </c>
      <c r="F195" s="21" t="s">
        <v>294</v>
      </c>
    </row>
  </sheetData>
  <pageMargins left="0.75" right="0.75" top="1" bottom="1" header="0.5" footer="0.5"/>
  <pageSetup paperSize="9" orientation="portrait" horizont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AB193-059A-4195-B904-3ADA3445AC70}">
  <sheetPr>
    <tabColor rgb="FFFFC000"/>
    <pageSetUpPr fitToPage="1"/>
  </sheetPr>
  <dimension ref="B1:P46"/>
  <sheetViews>
    <sheetView topLeftCell="A10" workbookViewId="0">
      <selection activeCell="C46" sqref="C46"/>
    </sheetView>
  </sheetViews>
  <sheetFormatPr defaultColWidth="9.26953125" defaultRowHeight="12.5" x14ac:dyDescent="0.25"/>
  <cols>
    <col min="1" max="1" width="9.26953125" style="12"/>
    <col min="2" max="2" width="18.7265625" style="12" customWidth="1"/>
    <col min="3" max="3" width="77.26953125" style="12" customWidth="1"/>
    <col min="4" max="5" width="9.7265625" style="12" customWidth="1"/>
    <col min="6" max="7" width="30.453125" style="12" customWidth="1"/>
    <col min="8" max="8" width="10.453125" style="12" customWidth="1"/>
    <col min="9" max="12" width="9.26953125" style="12"/>
    <col min="13" max="13" width="22.26953125" style="12" customWidth="1"/>
    <col min="14" max="16384" width="9.26953125" style="12"/>
  </cols>
  <sheetData>
    <row r="1" spans="2:16" ht="13" x14ac:dyDescent="0.3">
      <c r="B1" s="221" t="s">
        <v>58</v>
      </c>
      <c r="C1" s="221"/>
      <c r="D1" s="221"/>
      <c r="E1" s="221"/>
      <c r="F1" s="221"/>
      <c r="G1" s="221"/>
      <c r="H1" s="221"/>
      <c r="I1" s="221"/>
      <c r="J1" s="221"/>
      <c r="K1" s="221"/>
      <c r="L1" s="221"/>
      <c r="M1" s="21" t="s">
        <v>17</v>
      </c>
      <c r="N1" s="221"/>
      <c r="O1" s="221"/>
      <c r="P1" s="221"/>
    </row>
    <row r="6" spans="2:16" s="2" customFormat="1" ht="13" x14ac:dyDescent="0.3">
      <c r="B6" s="23" t="s">
        <v>434</v>
      </c>
      <c r="C6" s="2" t="s">
        <v>435</v>
      </c>
      <c r="M6" s="221"/>
    </row>
    <row r="7" spans="2:16" s="2" customFormat="1" ht="13" x14ac:dyDescent="0.3">
      <c r="B7" s="29" t="s">
        <v>436</v>
      </c>
      <c r="C7" s="29" t="s">
        <v>437</v>
      </c>
      <c r="D7" s="29" t="s">
        <v>438</v>
      </c>
      <c r="E7" s="29" t="s">
        <v>439</v>
      </c>
      <c r="F7" s="29" t="s">
        <v>440</v>
      </c>
      <c r="G7" s="30" t="s">
        <v>441</v>
      </c>
      <c r="H7" s="29" t="s">
        <v>442</v>
      </c>
      <c r="I7" s="29" t="s">
        <v>443</v>
      </c>
      <c r="M7" s="24" t="s">
        <v>61</v>
      </c>
      <c r="P7" s="24" t="s">
        <v>70</v>
      </c>
    </row>
    <row r="8" spans="2:16" s="2" customFormat="1" ht="13" x14ac:dyDescent="0.3">
      <c r="B8" s="31" t="s">
        <v>444</v>
      </c>
      <c r="C8" s="31"/>
      <c r="D8" s="32"/>
      <c r="E8" s="32"/>
      <c r="F8" s="31"/>
      <c r="G8" s="31"/>
      <c r="H8" s="32"/>
      <c r="I8" s="32"/>
      <c r="M8" s="31"/>
      <c r="P8" s="31"/>
    </row>
    <row r="9" spans="2:16" s="2" customFormat="1" ht="13" x14ac:dyDescent="0.3">
      <c r="B9" s="228" t="s">
        <v>445</v>
      </c>
      <c r="C9" s="228" t="s">
        <v>446</v>
      </c>
      <c r="D9" s="229" t="s">
        <v>74</v>
      </c>
      <c r="E9" s="229" t="s">
        <v>447</v>
      </c>
      <c r="F9" s="228" t="s">
        <v>448</v>
      </c>
      <c r="G9" s="33" t="s">
        <v>449</v>
      </c>
      <c r="H9" s="34"/>
      <c r="I9" s="34"/>
      <c r="M9" s="35"/>
      <c r="P9" s="35"/>
    </row>
    <row r="10" spans="2:16" s="2" customFormat="1" ht="13" x14ac:dyDescent="0.3">
      <c r="B10" s="228" t="s">
        <v>450</v>
      </c>
      <c r="C10" s="228" t="s">
        <v>446</v>
      </c>
      <c r="D10" s="229" t="s">
        <v>74</v>
      </c>
      <c r="E10" s="229" t="s">
        <v>447</v>
      </c>
      <c r="F10" s="228" t="s">
        <v>448</v>
      </c>
      <c r="G10" s="33" t="s">
        <v>449</v>
      </c>
      <c r="H10" s="34"/>
      <c r="I10" s="34"/>
      <c r="M10" s="35"/>
      <c r="P10" s="35"/>
    </row>
    <row r="11" spans="2:16" s="2" customFormat="1" ht="13" x14ac:dyDescent="0.3">
      <c r="B11" s="228" t="s">
        <v>451</v>
      </c>
      <c r="C11" s="228" t="s">
        <v>446</v>
      </c>
      <c r="D11" s="229" t="s">
        <v>74</v>
      </c>
      <c r="E11" s="229" t="s">
        <v>447</v>
      </c>
      <c r="F11" s="228" t="s">
        <v>448</v>
      </c>
      <c r="G11" s="33" t="s">
        <v>449</v>
      </c>
      <c r="H11" s="34"/>
      <c r="I11" s="34"/>
      <c r="M11" s="35"/>
      <c r="P11" s="35"/>
    </row>
    <row r="12" spans="2:16" s="2" customFormat="1" ht="13" x14ac:dyDescent="0.3">
      <c r="B12" s="228" t="s">
        <v>452</v>
      </c>
      <c r="C12" s="228" t="s">
        <v>453</v>
      </c>
      <c r="D12" s="229" t="s">
        <v>74</v>
      </c>
      <c r="E12" s="229" t="s">
        <v>447</v>
      </c>
      <c r="F12" s="228" t="s">
        <v>448</v>
      </c>
      <c r="G12" s="33" t="s">
        <v>449</v>
      </c>
      <c r="H12" s="34"/>
      <c r="I12" s="34"/>
      <c r="M12" s="35"/>
      <c r="P12" s="35"/>
    </row>
    <row r="13" spans="2:16" s="2" customFormat="1" ht="13" x14ac:dyDescent="0.3">
      <c r="B13" s="186" t="s">
        <v>454</v>
      </c>
      <c r="C13" s="228" t="s">
        <v>453</v>
      </c>
      <c r="D13" s="229" t="s">
        <v>74</v>
      </c>
      <c r="E13" s="229" t="s">
        <v>447</v>
      </c>
      <c r="F13" s="228" t="s">
        <v>448</v>
      </c>
      <c r="G13" s="33" t="s">
        <v>449</v>
      </c>
      <c r="H13" s="34"/>
      <c r="I13" s="34"/>
      <c r="M13" s="35"/>
      <c r="P13" s="35"/>
    </row>
    <row r="14" spans="2:16" s="2" customFormat="1" ht="13" x14ac:dyDescent="0.3">
      <c r="B14" s="228" t="s">
        <v>455</v>
      </c>
      <c r="C14" s="228" t="s">
        <v>456</v>
      </c>
      <c r="D14" s="229" t="s">
        <v>74</v>
      </c>
      <c r="E14" s="229" t="s">
        <v>447</v>
      </c>
      <c r="F14" s="228" t="s">
        <v>448</v>
      </c>
      <c r="G14" s="33" t="s">
        <v>449</v>
      </c>
      <c r="H14" s="34"/>
      <c r="I14" s="34"/>
      <c r="M14" s="35"/>
      <c r="P14" s="35"/>
    </row>
    <row r="15" spans="2:16" s="2" customFormat="1" ht="13" x14ac:dyDescent="0.3">
      <c r="B15" s="228" t="s">
        <v>457</v>
      </c>
      <c r="C15" s="228" t="s">
        <v>456</v>
      </c>
      <c r="D15" s="229" t="s">
        <v>74</v>
      </c>
      <c r="E15" s="229" t="s">
        <v>447</v>
      </c>
      <c r="F15" s="228" t="s">
        <v>448</v>
      </c>
      <c r="G15" s="33" t="s">
        <v>449</v>
      </c>
      <c r="H15" s="34"/>
      <c r="I15" s="34"/>
      <c r="M15" s="35"/>
      <c r="P15" s="35"/>
    </row>
    <row r="16" spans="2:16" s="2" customFormat="1" ht="13" x14ac:dyDescent="0.3">
      <c r="B16" s="228" t="s">
        <v>458</v>
      </c>
      <c r="C16" s="228" t="s">
        <v>456</v>
      </c>
      <c r="D16" s="229" t="s">
        <v>74</v>
      </c>
      <c r="E16" s="229" t="s">
        <v>447</v>
      </c>
      <c r="F16" s="228" t="s">
        <v>448</v>
      </c>
      <c r="G16" s="33" t="s">
        <v>449</v>
      </c>
      <c r="H16" s="34"/>
      <c r="I16" s="34"/>
      <c r="K16" s="228"/>
      <c r="M16" s="35"/>
      <c r="P16" s="35"/>
    </row>
    <row r="17" spans="2:16" s="2" customFormat="1" ht="13" x14ac:dyDescent="0.3">
      <c r="B17" s="228" t="s">
        <v>459</v>
      </c>
      <c r="C17" s="228" t="s">
        <v>460</v>
      </c>
      <c r="D17" s="229" t="s">
        <v>74</v>
      </c>
      <c r="E17" s="229" t="s">
        <v>447</v>
      </c>
      <c r="F17" s="228" t="s">
        <v>448</v>
      </c>
      <c r="G17" s="33" t="s">
        <v>449</v>
      </c>
      <c r="H17" s="34"/>
      <c r="I17" s="34"/>
      <c r="K17" s="228"/>
      <c r="M17" s="35"/>
      <c r="P17" s="35"/>
    </row>
    <row r="18" spans="2:16" s="2" customFormat="1" ht="13" x14ac:dyDescent="0.3">
      <c r="B18" s="186" t="s">
        <v>461</v>
      </c>
      <c r="C18" s="186" t="s">
        <v>462</v>
      </c>
      <c r="D18" s="229" t="s">
        <v>74</v>
      </c>
      <c r="E18" s="229" t="s">
        <v>447</v>
      </c>
      <c r="F18" s="228" t="s">
        <v>448</v>
      </c>
      <c r="G18" s="36" t="s">
        <v>463</v>
      </c>
      <c r="H18" s="34" t="s">
        <v>464</v>
      </c>
      <c r="I18" s="34"/>
      <c r="M18" s="35"/>
      <c r="P18" s="35"/>
    </row>
    <row r="19" spans="2:16" s="2" customFormat="1" ht="13" x14ac:dyDescent="0.3">
      <c r="B19" s="186" t="s">
        <v>465</v>
      </c>
      <c r="C19" s="186" t="s">
        <v>466</v>
      </c>
      <c r="D19" s="229" t="s">
        <v>74</v>
      </c>
      <c r="E19" s="229" t="s">
        <v>447</v>
      </c>
      <c r="F19" s="228" t="s">
        <v>448</v>
      </c>
      <c r="G19" s="36" t="s">
        <v>463</v>
      </c>
      <c r="H19" s="34" t="s">
        <v>464</v>
      </c>
      <c r="I19" s="34"/>
      <c r="M19" s="35"/>
      <c r="P19" s="35"/>
    </row>
    <row r="20" spans="2:16" s="2" customFormat="1" ht="13" x14ac:dyDescent="0.3">
      <c r="B20" s="31" t="s">
        <v>467</v>
      </c>
      <c r="C20" s="31"/>
      <c r="D20" s="32"/>
      <c r="E20" s="32"/>
      <c r="F20" s="31"/>
      <c r="G20" s="31"/>
      <c r="H20" s="32"/>
      <c r="I20" s="32"/>
      <c r="M20" s="31"/>
      <c r="P20" s="31"/>
    </row>
    <row r="21" spans="2:16" s="21" customFormat="1" ht="13" x14ac:dyDescent="0.3">
      <c r="B21" s="228" t="s">
        <v>468</v>
      </c>
      <c r="C21" s="228" t="s">
        <v>469</v>
      </c>
      <c r="D21" s="229" t="s">
        <v>74</v>
      </c>
      <c r="E21" s="229" t="s">
        <v>447</v>
      </c>
      <c r="F21" s="221" t="s">
        <v>470</v>
      </c>
      <c r="G21" s="36" t="s">
        <v>463</v>
      </c>
      <c r="H21" s="34"/>
      <c r="I21" s="34"/>
      <c r="M21" s="35"/>
      <c r="P21" s="35"/>
    </row>
    <row r="22" spans="2:16" s="21" customFormat="1" ht="13" x14ac:dyDescent="0.3">
      <c r="B22" s="228" t="s">
        <v>471</v>
      </c>
      <c r="C22" s="228" t="s">
        <v>472</v>
      </c>
      <c r="D22" s="229" t="s">
        <v>74</v>
      </c>
      <c r="E22" s="229" t="s">
        <v>447</v>
      </c>
      <c r="F22" s="221" t="s">
        <v>470</v>
      </c>
      <c r="G22" s="33" t="s">
        <v>449</v>
      </c>
      <c r="H22" s="34"/>
      <c r="I22" s="34"/>
      <c r="M22" s="35"/>
      <c r="P22" s="35"/>
    </row>
    <row r="23" spans="2:16" s="21" customFormat="1" ht="13" x14ac:dyDescent="0.3">
      <c r="B23" s="228" t="s">
        <v>473</v>
      </c>
      <c r="C23" s="228" t="s">
        <v>474</v>
      </c>
      <c r="D23" s="229" t="s">
        <v>74</v>
      </c>
      <c r="E23" s="229" t="s">
        <v>447</v>
      </c>
      <c r="F23" s="221" t="s">
        <v>470</v>
      </c>
      <c r="G23" s="33" t="s">
        <v>449</v>
      </c>
      <c r="H23" s="34"/>
      <c r="I23" s="34"/>
      <c r="M23" s="35"/>
      <c r="P23" s="35"/>
    </row>
    <row r="24" spans="2:16" s="21" customFormat="1" ht="13" x14ac:dyDescent="0.3">
      <c r="B24" s="228" t="s">
        <v>475</v>
      </c>
      <c r="C24" s="228" t="s">
        <v>476</v>
      </c>
      <c r="D24" s="229" t="s">
        <v>74</v>
      </c>
      <c r="E24" s="229" t="s">
        <v>447</v>
      </c>
      <c r="F24" s="221" t="s">
        <v>470</v>
      </c>
      <c r="G24" s="33" t="s">
        <v>449</v>
      </c>
      <c r="H24" s="34"/>
      <c r="I24" s="34"/>
      <c r="M24" s="35"/>
      <c r="P24" s="35"/>
    </row>
    <row r="25" spans="2:16" s="2" customFormat="1" ht="13" x14ac:dyDescent="0.3">
      <c r="B25" s="31" t="s">
        <v>477</v>
      </c>
      <c r="C25" s="31"/>
      <c r="D25" s="32"/>
      <c r="E25" s="32"/>
      <c r="F25" s="31"/>
      <c r="G25" s="31"/>
      <c r="H25" s="32"/>
      <c r="I25" s="32"/>
      <c r="M25" s="31"/>
      <c r="P25" s="31"/>
    </row>
    <row r="26" spans="2:16" s="21" customFormat="1" ht="13" x14ac:dyDescent="0.3">
      <c r="B26" s="228" t="s">
        <v>478</v>
      </c>
      <c r="C26" s="228" t="s">
        <v>479</v>
      </c>
      <c r="D26" s="229" t="s">
        <v>74</v>
      </c>
      <c r="E26" s="229" t="s">
        <v>447</v>
      </c>
      <c r="F26" s="228" t="s">
        <v>448</v>
      </c>
      <c r="G26" s="33" t="s">
        <v>449</v>
      </c>
      <c r="H26" s="34"/>
      <c r="I26" s="34"/>
      <c r="M26" s="35"/>
      <c r="P26" s="35"/>
    </row>
    <row r="27" spans="2:16" s="21" customFormat="1" ht="13" x14ac:dyDescent="0.3">
      <c r="B27" s="228" t="s">
        <v>480</v>
      </c>
      <c r="C27" s="228" t="s">
        <v>481</v>
      </c>
      <c r="D27" s="229" t="s">
        <v>74</v>
      </c>
      <c r="E27" s="229" t="s">
        <v>447</v>
      </c>
      <c r="F27" s="228" t="s">
        <v>482</v>
      </c>
      <c r="G27" s="33" t="s">
        <v>449</v>
      </c>
      <c r="H27" s="34"/>
      <c r="I27" s="34"/>
      <c r="M27" s="35"/>
      <c r="P27" s="35"/>
    </row>
    <row r="28" spans="2:16" s="21" customFormat="1" ht="13" x14ac:dyDescent="0.3">
      <c r="B28" s="228" t="s">
        <v>483</v>
      </c>
      <c r="C28" s="228" t="s">
        <v>481</v>
      </c>
      <c r="D28" s="229" t="s">
        <v>74</v>
      </c>
      <c r="E28" s="229" t="s">
        <v>447</v>
      </c>
      <c r="F28" s="228" t="s">
        <v>448</v>
      </c>
      <c r="G28" s="33" t="s">
        <v>449</v>
      </c>
      <c r="H28" s="34"/>
      <c r="I28" s="34"/>
      <c r="M28" s="35"/>
      <c r="P28" s="35"/>
    </row>
    <row r="29" spans="2:16" s="2" customFormat="1" ht="13" x14ac:dyDescent="0.3">
      <c r="B29" s="31" t="s">
        <v>484</v>
      </c>
      <c r="C29" s="31"/>
      <c r="D29" s="32"/>
      <c r="E29" s="32"/>
      <c r="F29" s="31"/>
      <c r="G29" s="31"/>
      <c r="H29" s="32"/>
      <c r="I29" s="32"/>
      <c r="M29" s="31"/>
      <c r="P29" s="31"/>
    </row>
    <row r="30" spans="2:16" s="21" customFormat="1" ht="13" x14ac:dyDescent="0.3">
      <c r="B30" s="186" t="s">
        <v>485</v>
      </c>
      <c r="C30" s="228" t="s">
        <v>486</v>
      </c>
      <c r="D30" s="229" t="s">
        <v>74</v>
      </c>
      <c r="E30" s="229" t="s">
        <v>447</v>
      </c>
      <c r="F30" s="228" t="s">
        <v>482</v>
      </c>
      <c r="G30" s="33" t="s">
        <v>449</v>
      </c>
      <c r="H30" s="34"/>
      <c r="I30" s="34"/>
      <c r="M30" s="35"/>
      <c r="P30" s="35"/>
    </row>
    <row r="31" spans="2:16" s="21" customFormat="1" ht="13" x14ac:dyDescent="0.3">
      <c r="B31" s="186" t="s">
        <v>487</v>
      </c>
      <c r="C31" s="228" t="s">
        <v>486</v>
      </c>
      <c r="D31" s="229" t="s">
        <v>74</v>
      </c>
      <c r="E31" s="229" t="s">
        <v>447</v>
      </c>
      <c r="F31" s="228" t="s">
        <v>448</v>
      </c>
      <c r="G31" s="33" t="s">
        <v>449</v>
      </c>
      <c r="H31" s="34"/>
      <c r="I31" s="34"/>
      <c r="M31" s="35"/>
      <c r="P31" s="35"/>
    </row>
    <row r="32" spans="2:16" s="21" customFormat="1" ht="13" x14ac:dyDescent="0.3">
      <c r="B32" s="186" t="str">
        <f>TechData_NewCap!A34</f>
        <v>SSTOBAT10HRUTI-IN</v>
      </c>
      <c r="C32" s="228" t="str">
        <f>TechData_NewCap!B34</f>
        <v>Electricity Battery Storage 10-hour Utility Scale</v>
      </c>
      <c r="D32" s="229" t="s">
        <v>74</v>
      </c>
      <c r="E32" s="229" t="s">
        <v>447</v>
      </c>
      <c r="F32" s="228" t="s">
        <v>482</v>
      </c>
      <c r="G32" s="33" t="s">
        <v>449</v>
      </c>
      <c r="H32" s="34"/>
      <c r="I32" s="34"/>
      <c r="M32" s="35"/>
      <c r="P32" s="35"/>
    </row>
    <row r="33" spans="2:16" s="21" customFormat="1" ht="13" x14ac:dyDescent="0.3">
      <c r="B33" s="186" t="str">
        <f>TechData_NewCap!A35</f>
        <v>ESTOBAT10HRUTI-OUT</v>
      </c>
      <c r="C33" s="228" t="str">
        <f>TechData_NewCap!B35</f>
        <v>Electricity Battery Storage 10-hour Utility Scale</v>
      </c>
      <c r="D33" s="229" t="s">
        <v>74</v>
      </c>
      <c r="E33" s="229" t="s">
        <v>447</v>
      </c>
      <c r="F33" s="228" t="s">
        <v>448</v>
      </c>
      <c r="G33" s="33" t="s">
        <v>449</v>
      </c>
      <c r="H33" s="34"/>
      <c r="I33" s="34"/>
      <c r="M33" s="35"/>
      <c r="P33" s="35"/>
    </row>
    <row r="34" spans="2:16" s="21" customFormat="1" ht="13" x14ac:dyDescent="0.3">
      <c r="B34" s="31" t="s">
        <v>488</v>
      </c>
      <c r="C34" s="31"/>
      <c r="D34" s="32"/>
      <c r="E34" s="32"/>
      <c r="F34" s="31"/>
      <c r="G34" s="31"/>
      <c r="H34" s="32"/>
      <c r="I34" s="32"/>
      <c r="M34" s="35"/>
      <c r="P34" s="35"/>
    </row>
    <row r="35" spans="2:16" x14ac:dyDescent="0.25">
      <c r="B35" s="228" t="s">
        <v>489</v>
      </c>
      <c r="C35" s="228"/>
      <c r="D35" s="230"/>
      <c r="E35" s="230"/>
      <c r="F35" s="221"/>
      <c r="G35" s="33" t="s">
        <v>449</v>
      </c>
      <c r="H35" s="229"/>
      <c r="I35" s="229"/>
      <c r="J35" s="221"/>
      <c r="K35" s="221"/>
      <c r="L35" s="221"/>
      <c r="M35" s="228"/>
      <c r="N35" s="221"/>
      <c r="O35" s="221"/>
      <c r="P35" s="228"/>
    </row>
    <row r="36" spans="2:16" x14ac:dyDescent="0.25">
      <c r="B36" s="160" t="str">
        <f>TechData_SolarWind!A6</f>
        <v>ESOLPVCLOWCOST</v>
      </c>
      <c r="C36" s="160" t="str">
        <f>TechData_SolarWind!B6</f>
        <v>Solar PV Centralized Generation, Low Cost</v>
      </c>
      <c r="D36" s="230" t="s">
        <v>74</v>
      </c>
      <c r="E36" s="230" t="s">
        <v>447</v>
      </c>
      <c r="F36" s="221" t="s">
        <v>448</v>
      </c>
      <c r="G36" s="33" t="s">
        <v>449</v>
      </c>
      <c r="H36" s="229"/>
      <c r="I36" s="229"/>
      <c r="J36" s="221"/>
      <c r="K36" s="221"/>
      <c r="L36" s="221"/>
      <c r="M36" s="228"/>
      <c r="N36" s="221"/>
      <c r="O36" s="221"/>
      <c r="P36" s="228"/>
    </row>
    <row r="37" spans="2:16" x14ac:dyDescent="0.25">
      <c r="B37" s="160" t="str">
        <f>TechData_SolarWind!A7</f>
        <v>ESOLPVCHIGHCOST</v>
      </c>
      <c r="C37" s="160" t="str">
        <f>TechData_SolarWind!B7</f>
        <v xml:space="preserve">Solar PV Centralized Generation, High Cost </v>
      </c>
      <c r="D37" s="230" t="s">
        <v>74</v>
      </c>
      <c r="E37" s="230" t="s">
        <v>447</v>
      </c>
      <c r="F37" s="221" t="s">
        <v>448</v>
      </c>
      <c r="G37" s="33" t="s">
        <v>449</v>
      </c>
      <c r="H37" s="229"/>
      <c r="I37" s="229"/>
      <c r="J37" s="221"/>
      <c r="K37" s="221"/>
      <c r="L37" s="221"/>
      <c r="M37" s="228"/>
      <c r="N37" s="221"/>
      <c r="O37" s="221"/>
      <c r="P37" s="228"/>
    </row>
    <row r="38" spans="2:16" x14ac:dyDescent="0.25">
      <c r="B38" s="228" t="s">
        <v>490</v>
      </c>
      <c r="C38" s="228">
        <v>0</v>
      </c>
      <c r="D38" s="230" t="s">
        <v>74</v>
      </c>
      <c r="E38" s="230" t="s">
        <v>447</v>
      </c>
      <c r="F38" s="221" t="s">
        <v>448</v>
      </c>
      <c r="G38" s="33" t="s">
        <v>449</v>
      </c>
      <c r="H38" s="229"/>
      <c r="I38" s="229"/>
      <c r="J38" s="221"/>
      <c r="K38" s="221"/>
      <c r="L38" s="221"/>
      <c r="M38" s="228"/>
      <c r="N38" s="221"/>
      <c r="O38" s="221"/>
      <c r="P38" s="228"/>
    </row>
    <row r="39" spans="2:16" x14ac:dyDescent="0.25">
      <c r="B39" s="228" t="str">
        <f>TechData_SolarWind!A9</f>
        <v>EWNDONLOWCOST</v>
      </c>
      <c r="C39" s="228" t="str">
        <f>TechData_SolarWind!B9</f>
        <v>Onshore Wind, Low Cost</v>
      </c>
      <c r="D39" s="230" t="s">
        <v>74</v>
      </c>
      <c r="E39" s="230" t="s">
        <v>447</v>
      </c>
      <c r="F39" s="221" t="s">
        <v>448</v>
      </c>
      <c r="G39" s="33" t="s">
        <v>449</v>
      </c>
      <c r="H39" s="229"/>
      <c r="I39" s="229"/>
      <c r="J39" s="221"/>
      <c r="K39" s="221"/>
      <c r="L39" s="221"/>
      <c r="M39" s="228"/>
      <c r="N39" s="221"/>
      <c r="O39" s="221"/>
      <c r="P39" s="228"/>
    </row>
    <row r="40" spans="2:16" x14ac:dyDescent="0.25">
      <c r="B40" s="228" t="str">
        <f>TechData_SolarWind!A10</f>
        <v>EWNDONHIGHCOST</v>
      </c>
      <c r="C40" s="228" t="str">
        <f>TechData_SolarWind!B10</f>
        <v>Onshore Wind, High Cost</v>
      </c>
      <c r="D40" s="230" t="s">
        <v>74</v>
      </c>
      <c r="E40" s="230" t="s">
        <v>447</v>
      </c>
      <c r="F40" s="221" t="s">
        <v>448</v>
      </c>
      <c r="G40" s="33" t="s">
        <v>449</v>
      </c>
      <c r="H40" s="229"/>
      <c r="I40" s="229"/>
      <c r="J40" s="221"/>
      <c r="K40" s="221"/>
      <c r="L40" s="221"/>
      <c r="M40" s="228"/>
      <c r="N40" s="221"/>
      <c r="O40" s="221"/>
      <c r="P40" s="228"/>
    </row>
    <row r="41" spans="2:16" x14ac:dyDescent="0.25">
      <c r="B41" s="228" t="str">
        <f>TechData_SolarWind!A11</f>
        <v>EWNDOFFIX</v>
      </c>
      <c r="C41" s="228" t="str">
        <f>TechData_SolarWind!B11</f>
        <v>Offshore Wind Fixed Bottom</v>
      </c>
      <c r="D41" s="230" t="s">
        <v>74</v>
      </c>
      <c r="E41" s="230" t="s">
        <v>447</v>
      </c>
      <c r="F41" s="221" t="s">
        <v>448</v>
      </c>
      <c r="G41" s="33" t="s">
        <v>449</v>
      </c>
      <c r="H41" s="229"/>
      <c r="I41" s="229"/>
      <c r="J41" s="221"/>
      <c r="K41" s="221"/>
      <c r="L41" s="221"/>
      <c r="M41" s="228"/>
      <c r="N41" s="221"/>
      <c r="O41" s="221"/>
      <c r="P41" s="228"/>
    </row>
    <row r="42" spans="2:16" x14ac:dyDescent="0.25">
      <c r="B42" s="228" t="str">
        <f>TechData_SolarWind!A12</f>
        <v>EWNDOFFIX</v>
      </c>
      <c r="C42" s="228" t="str">
        <f>TechData_SolarWind!B12</f>
        <v>Offshore Wind Fixed Bottom</v>
      </c>
      <c r="D42" s="230" t="s">
        <v>74</v>
      </c>
      <c r="E42" s="230" t="s">
        <v>447</v>
      </c>
      <c r="F42" s="221" t="s">
        <v>448</v>
      </c>
      <c r="G42" s="33" t="s">
        <v>449</v>
      </c>
      <c r="H42" s="229"/>
      <c r="I42" s="229"/>
      <c r="J42" s="221"/>
      <c r="K42" s="221"/>
      <c r="L42" s="221"/>
      <c r="M42" s="228"/>
      <c r="N42" s="221"/>
      <c r="O42" s="221"/>
      <c r="P42" s="228"/>
    </row>
    <row r="43" spans="2:16" x14ac:dyDescent="0.25">
      <c r="B43" s="228" t="str">
        <f>TechData_SolarWind!A13</f>
        <v>EWNDOFFLT</v>
      </c>
      <c r="C43" s="228" t="str">
        <f>TechData_SolarWind!B13</f>
        <v>Offshore Wind Floating</v>
      </c>
      <c r="D43" s="230" t="s">
        <v>74</v>
      </c>
      <c r="E43" s="230" t="s">
        <v>447</v>
      </c>
      <c r="F43" s="221" t="s">
        <v>448</v>
      </c>
      <c r="G43" s="33" t="s">
        <v>449</v>
      </c>
      <c r="H43" s="229"/>
      <c r="I43" s="229"/>
      <c r="J43" s="221"/>
      <c r="K43" s="221"/>
      <c r="L43" s="221"/>
      <c r="M43" s="228"/>
      <c r="N43" s="221"/>
      <c r="O43" s="221"/>
      <c r="P43" s="228"/>
    </row>
    <row r="44" spans="2:16" s="21" customFormat="1" ht="13" x14ac:dyDescent="0.3">
      <c r="B44" s="228"/>
      <c r="C44" s="35"/>
      <c r="D44" s="34"/>
      <c r="E44" s="34"/>
      <c r="F44" s="35"/>
      <c r="G44" s="35"/>
      <c r="H44" s="34"/>
      <c r="I44" s="34"/>
      <c r="M44" s="35"/>
      <c r="P44" s="35"/>
    </row>
    <row r="45" spans="2:16" s="2" customFormat="1" ht="13" x14ac:dyDescent="0.3">
      <c r="B45" s="35"/>
      <c r="C45" s="35"/>
      <c r="D45" s="34"/>
      <c r="E45" s="34"/>
      <c r="F45" s="35"/>
      <c r="G45" s="35"/>
      <c r="H45" s="34"/>
      <c r="I45" s="34"/>
      <c r="M45" s="35"/>
      <c r="P45" s="35"/>
    </row>
    <row r="46" spans="2:16" ht="13" x14ac:dyDescent="0.3">
      <c r="B46" s="221"/>
      <c r="C46" s="221"/>
      <c r="D46" s="221"/>
      <c r="E46" s="221"/>
      <c r="F46" s="38"/>
      <c r="G46" s="38"/>
      <c r="H46" s="221"/>
      <c r="I46" s="221"/>
      <c r="J46" s="221"/>
      <c r="K46" s="221"/>
      <c r="L46" s="221"/>
      <c r="M46" s="37"/>
      <c r="N46" s="221"/>
      <c r="O46" s="221"/>
      <c r="P46" s="221"/>
    </row>
  </sheetData>
  <pageMargins left="0.75" right="0.75" top="1" bottom="1" header="0.5" footer="0.5"/>
  <pageSetup paperSize="9" scale="31" fitToHeight="4" orientation="portrait" horizontalDpi="1200"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16261-4EE3-406F-912F-C6E7DE651B95}">
  <sheetPr>
    <tabColor rgb="FFFFC000"/>
  </sheetPr>
  <dimension ref="A1:BO60"/>
  <sheetViews>
    <sheetView tabSelected="1" topLeftCell="A15" workbookViewId="0">
      <selection activeCell="K39" sqref="K39"/>
    </sheetView>
  </sheetViews>
  <sheetFormatPr defaultRowHeight="14.5" x14ac:dyDescent="0.35"/>
  <cols>
    <col min="1" max="1" width="22.26953125" customWidth="1"/>
    <col min="2" max="2" width="58.7265625" customWidth="1"/>
    <col min="4" max="4" width="11.453125" customWidth="1"/>
    <col min="5" max="5" width="15.453125" customWidth="1"/>
    <col min="6" max="6" width="13.1796875" customWidth="1"/>
    <col min="11" max="11" width="17.26953125" customWidth="1"/>
    <col min="12" max="12" width="12.26953125" customWidth="1"/>
    <col min="13" max="13" width="13" customWidth="1"/>
    <col min="14" max="14" width="22.453125" customWidth="1"/>
    <col min="15" max="15" width="21.54296875" customWidth="1"/>
    <col min="16" max="16" width="18.81640625" customWidth="1"/>
    <col min="17" max="17" width="11.54296875" customWidth="1"/>
    <col min="18" max="19" width="13.26953125" customWidth="1"/>
    <col min="20" max="20" width="12.54296875" customWidth="1"/>
    <col min="21" max="21" width="19.54296875" customWidth="1"/>
    <col min="22" max="40" width="20.26953125" customWidth="1"/>
    <col min="41" max="49" width="19.81640625" customWidth="1"/>
    <col min="50" max="66" width="20.453125" customWidth="1"/>
  </cols>
  <sheetData>
    <row r="1" spans="1:67" x14ac:dyDescent="0.35">
      <c r="A1" s="153" t="s">
        <v>58</v>
      </c>
      <c r="B1" s="153"/>
      <c r="C1" s="153"/>
      <c r="D1" s="153"/>
      <c r="E1" s="153"/>
      <c r="F1" s="153"/>
      <c r="N1" s="153"/>
    </row>
    <row r="2" spans="1:67" x14ac:dyDescent="0.35">
      <c r="A2" s="153"/>
      <c r="B2" s="153"/>
      <c r="C2" s="153"/>
      <c r="D2" s="153"/>
      <c r="E2" s="153"/>
      <c r="F2" s="153"/>
      <c r="N2" s="153"/>
    </row>
    <row r="3" spans="1:67" x14ac:dyDescent="0.35">
      <c r="A3" s="153"/>
      <c r="B3" s="153"/>
      <c r="C3" s="153"/>
      <c r="D3" s="153"/>
      <c r="E3" s="39" t="s">
        <v>491</v>
      </c>
      <c r="F3" s="153"/>
      <c r="N3" s="153"/>
    </row>
    <row r="4" spans="1:67" ht="15" thickBot="1" x14ac:dyDescent="0.4">
      <c r="A4" s="40" t="s">
        <v>436</v>
      </c>
      <c r="B4" s="40" t="s">
        <v>492</v>
      </c>
      <c r="C4" s="40" t="s">
        <v>493</v>
      </c>
      <c r="D4" s="40" t="s">
        <v>61</v>
      </c>
      <c r="E4" s="40" t="s">
        <v>494</v>
      </c>
      <c r="F4" s="40" t="s">
        <v>495</v>
      </c>
      <c r="G4" s="40" t="s">
        <v>496</v>
      </c>
      <c r="H4" s="40" t="s">
        <v>497</v>
      </c>
      <c r="I4" s="40" t="s">
        <v>498</v>
      </c>
      <c r="J4" s="40" t="s">
        <v>499</v>
      </c>
      <c r="K4" s="40" t="s">
        <v>500</v>
      </c>
      <c r="L4" s="40" t="s">
        <v>501</v>
      </c>
      <c r="M4" s="40" t="s">
        <v>502</v>
      </c>
      <c r="N4" s="40" t="s">
        <v>503</v>
      </c>
      <c r="O4" s="40" t="s">
        <v>504</v>
      </c>
      <c r="P4" s="40" t="s">
        <v>505</v>
      </c>
      <c r="Q4" s="40" t="s">
        <v>506</v>
      </c>
      <c r="R4" s="40" t="s">
        <v>507</v>
      </c>
      <c r="S4" s="40" t="s">
        <v>508</v>
      </c>
      <c r="T4" s="40" t="s">
        <v>509</v>
      </c>
      <c r="U4" s="40" t="s">
        <v>510</v>
      </c>
      <c r="V4" s="40" t="s">
        <v>511</v>
      </c>
      <c r="W4" s="40" t="s">
        <v>512</v>
      </c>
      <c r="X4" s="40" t="s">
        <v>513</v>
      </c>
      <c r="Y4" s="40" t="s">
        <v>514</v>
      </c>
      <c r="Z4" s="40" t="s">
        <v>504</v>
      </c>
      <c r="AA4" s="40" t="s">
        <v>515</v>
      </c>
      <c r="AB4" s="40" t="s">
        <v>516</v>
      </c>
      <c r="AC4" s="40" t="s">
        <v>517</v>
      </c>
      <c r="AD4" s="40" t="s">
        <v>518</v>
      </c>
      <c r="AE4" s="40" t="s">
        <v>519</v>
      </c>
      <c r="AF4" s="40" t="s">
        <v>520</v>
      </c>
      <c r="AG4" s="40" t="s">
        <v>521</v>
      </c>
      <c r="AH4" s="40" t="s">
        <v>522</v>
      </c>
      <c r="AI4" s="40" t="s">
        <v>523</v>
      </c>
      <c r="AJ4" s="40" t="s">
        <v>524</v>
      </c>
      <c r="AK4" s="40" t="s">
        <v>525</v>
      </c>
      <c r="AL4" s="40" t="s">
        <v>526</v>
      </c>
      <c r="AM4" s="40" t="s">
        <v>527</v>
      </c>
      <c r="AN4" s="40" t="s">
        <v>528</v>
      </c>
      <c r="AO4" s="40" t="s">
        <v>529</v>
      </c>
      <c r="AP4" s="40" t="s">
        <v>530</v>
      </c>
      <c r="AQ4" s="40" t="s">
        <v>531</v>
      </c>
      <c r="AR4" s="40" t="s">
        <v>532</v>
      </c>
      <c r="AS4" s="40" t="s">
        <v>533</v>
      </c>
      <c r="AT4" s="40" t="s">
        <v>534</v>
      </c>
      <c r="AU4" s="40" t="s">
        <v>535</v>
      </c>
      <c r="AV4" s="40" t="s">
        <v>536</v>
      </c>
      <c r="AW4" s="40" t="s">
        <v>537</v>
      </c>
      <c r="AX4" s="40" t="s">
        <v>538</v>
      </c>
      <c r="AY4" s="40" t="s">
        <v>539</v>
      </c>
      <c r="AZ4" s="40" t="s">
        <v>540</v>
      </c>
      <c r="BA4" s="40" t="s">
        <v>541</v>
      </c>
      <c r="BB4" s="40" t="s">
        <v>542</v>
      </c>
      <c r="BC4" s="40" t="s">
        <v>543</v>
      </c>
      <c r="BD4" s="40" t="s">
        <v>544</v>
      </c>
      <c r="BE4" s="40" t="s">
        <v>545</v>
      </c>
      <c r="BF4" s="40" t="s">
        <v>546</v>
      </c>
      <c r="BG4" s="40" t="s">
        <v>547</v>
      </c>
      <c r="BH4" s="40" t="s">
        <v>548</v>
      </c>
      <c r="BI4" s="40" t="s">
        <v>549</v>
      </c>
      <c r="BJ4" s="40" t="s">
        <v>61</v>
      </c>
      <c r="BK4" s="40" t="s">
        <v>550</v>
      </c>
      <c r="BL4" s="40" t="s">
        <v>551</v>
      </c>
      <c r="BM4" s="40" t="s">
        <v>552</v>
      </c>
      <c r="BN4" s="40" t="s">
        <v>553</v>
      </c>
      <c r="BO4" s="40" t="s">
        <v>554</v>
      </c>
    </row>
    <row r="5" spans="1:67" x14ac:dyDescent="0.35">
      <c r="A5" s="41" t="s">
        <v>555</v>
      </c>
      <c r="B5" s="41" t="s">
        <v>556</v>
      </c>
      <c r="C5" s="41"/>
      <c r="D5" s="41"/>
      <c r="E5" s="41"/>
      <c r="F5" s="41"/>
      <c r="G5" s="41"/>
      <c r="H5" s="41"/>
      <c r="I5" s="41" t="s">
        <v>557</v>
      </c>
      <c r="J5" s="41">
        <v>50</v>
      </c>
      <c r="K5" s="41"/>
      <c r="L5" s="41"/>
      <c r="M5" s="41"/>
      <c r="N5" s="41"/>
      <c r="O5" s="41" t="s">
        <v>558</v>
      </c>
      <c r="P5" s="41"/>
      <c r="Q5" s="41"/>
      <c r="R5" s="41"/>
      <c r="S5" s="41"/>
      <c r="T5" s="157"/>
      <c r="U5" s="158"/>
      <c r="V5" s="157"/>
      <c r="W5" s="157"/>
      <c r="X5" s="157"/>
      <c r="Y5" s="157"/>
      <c r="Z5" s="41" t="s">
        <v>559</v>
      </c>
      <c r="AA5" s="41"/>
      <c r="AB5" s="41">
        <v>2012</v>
      </c>
      <c r="AC5" s="41">
        <v>2022</v>
      </c>
      <c r="AD5" s="41"/>
      <c r="AE5" s="41"/>
      <c r="AF5" s="41"/>
      <c r="AG5" s="41"/>
      <c r="AH5" s="41"/>
      <c r="AI5" s="41"/>
      <c r="AJ5" s="41"/>
      <c r="AK5" s="41"/>
      <c r="AL5" s="41">
        <v>2025</v>
      </c>
      <c r="AM5" s="41">
        <v>2030</v>
      </c>
      <c r="AN5" s="41">
        <v>2035</v>
      </c>
      <c r="AO5" s="41">
        <v>2040</v>
      </c>
      <c r="AP5" s="41">
        <v>2045</v>
      </c>
      <c r="AQ5" s="41">
        <v>2050</v>
      </c>
      <c r="AR5" s="41"/>
      <c r="AS5" s="41">
        <v>2025</v>
      </c>
      <c r="AT5" s="41">
        <v>2030</v>
      </c>
      <c r="AU5" s="41">
        <v>2035</v>
      </c>
      <c r="AV5" s="41">
        <v>2040</v>
      </c>
      <c r="AW5" s="41">
        <v>2045</v>
      </c>
      <c r="AX5" s="41">
        <v>2050</v>
      </c>
      <c r="AY5" s="41"/>
      <c r="AZ5" s="41">
        <v>2025</v>
      </c>
      <c r="BA5" s="41">
        <v>2030</v>
      </c>
      <c r="BB5" s="41">
        <v>2035</v>
      </c>
      <c r="BC5" s="41">
        <v>2040</v>
      </c>
      <c r="BD5" s="41">
        <v>2045</v>
      </c>
      <c r="BE5" s="41">
        <v>2050</v>
      </c>
      <c r="BF5" s="41"/>
      <c r="BG5" s="41"/>
      <c r="BH5" s="41"/>
      <c r="BI5" s="41"/>
      <c r="BJ5" s="41"/>
      <c r="BK5" s="41">
        <v>57.838547419048538</v>
      </c>
      <c r="BL5" s="41"/>
      <c r="BM5" s="41"/>
      <c r="BN5" s="41"/>
      <c r="BO5" s="41"/>
    </row>
    <row r="6" spans="1:67" x14ac:dyDescent="0.35">
      <c r="A6" s="160" t="s">
        <v>445</v>
      </c>
      <c r="B6" s="160" t="s">
        <v>446</v>
      </c>
      <c r="C6" s="160" t="s">
        <v>560</v>
      </c>
      <c r="D6" s="160" t="s">
        <v>71</v>
      </c>
      <c r="E6" s="160" t="s">
        <v>224</v>
      </c>
      <c r="F6" s="160" t="s">
        <v>72</v>
      </c>
      <c r="G6" s="160">
        <v>2011</v>
      </c>
      <c r="H6" s="160">
        <f t="shared" ref="H6:H17" si="0">GW_to_Pja</f>
        <v>31.536000000000001</v>
      </c>
      <c r="I6" s="231">
        <f t="shared" ref="I6:I16" si="1">1/BF6</f>
        <v>0.53774625689519306</v>
      </c>
      <c r="J6" s="231">
        <f t="shared" ref="J6:J16" si="2">1/BG6</f>
        <v>0.55751633986928106</v>
      </c>
      <c r="K6" s="231">
        <f t="shared" ref="K6:K16" si="3">1/BH6</f>
        <v>0.55751633986928106</v>
      </c>
      <c r="L6" s="231">
        <f t="shared" ref="L6:L16" si="4">1/BI6</f>
        <v>0.55751633986928106</v>
      </c>
      <c r="M6" s="231">
        <f>L6</f>
        <v>0.55751633986928106</v>
      </c>
      <c r="N6" s="231"/>
      <c r="O6" s="160" t="str">
        <f>LifetimeAssumptions!$B$7</f>
        <v>Existing Gas &amp; oil turbines</v>
      </c>
      <c r="P6" s="160">
        <f>_xlfn.XLOOKUP($O6, LifetimeAssumptions[technology],LifetimeAssumptions[Lifetime])</f>
        <v>50</v>
      </c>
      <c r="Q6" s="160">
        <f>_xlfn.XLOOKUP($O6, LifetimeAssumptions[technology],LifetimeAssumptions[Peak (con)])</f>
        <v>0.95</v>
      </c>
      <c r="R6" s="160">
        <f>_xlfn.XLOOKUP($O6, LifetimeAssumptions[technology],LifetimeAssumptions[Discrate])</f>
        <v>0.15000000000000002</v>
      </c>
      <c r="S6" s="160">
        <f>_xlfn.XLOOKUP($O6, LifetimeAssumptions[technology],LifetimeAssumptions[AF])</f>
        <v>0.9</v>
      </c>
      <c r="T6" s="161">
        <v>0</v>
      </c>
      <c r="U6" s="161">
        <v>0</v>
      </c>
      <c r="V6" s="161">
        <v>0</v>
      </c>
      <c r="W6" s="161">
        <v>0</v>
      </c>
      <c r="X6" s="161">
        <v>0</v>
      </c>
      <c r="Y6" s="161">
        <v>0</v>
      </c>
      <c r="Z6" s="160" t="str">
        <f>'2013 Cap Raw Data'!$A$8</f>
        <v>Conv Gas/Oil Comb Cycle</v>
      </c>
      <c r="AA6" s="160"/>
      <c r="AB6" s="231">
        <f>_xlfn.XLOOKUP($Z6, NewCapCosts2013[Technology],NewCapCosts2013[Fixed O&amp;M ($2012/kW)])*_xlfn.XLOOKUP($AB$5,GDP_deflator[Year],GDP_deflator[Multiply By (for $2005)])</f>
        <v>11.526452969898589</v>
      </c>
      <c r="AC6" s="231">
        <f>_xlfn.XLOOKUP($Z6, NewCapCosts2013[Technology],NewCapCosts2013[Variable O&amp;M ($2012 mills/kWh)])*_xlfn.XLOOKUP($AB$5,GDP_deflator[Year],GDP_deflator[Multiply By (for $2005)])*mills_kWh_to__Million_PJ</f>
        <v>0.87520523689435004</v>
      </c>
      <c r="AD6" s="231">
        <f>_xlfn.XLOOKUP($Z6, NewCapCosts2013[Technology],NewCapCosts2013[Fixed O&amp;M ($2012/kW)])*_xlfn.XLOOKUP($AB$5,GDP_deflator[Year],GDP_deflator[Multiply By (for $2005)])</f>
        <v>11.526452969898589</v>
      </c>
      <c r="AE6" s="231">
        <f>_xlfn.XLOOKUP($Z6, NewCapCosts2013[Technology],NewCapCosts2013[Variable O&amp;M ($2012 mills/kWh)])*_xlfn.XLOOKUP($AB$5,GDP_deflator[Year],GDP_deflator[Multiply By (for $2005)])*mills_kWh_to__Million_PJ</f>
        <v>0.87520523689435004</v>
      </c>
      <c r="AF6" s="232">
        <f>_xlfn.XLOOKUP($Z6, NewCapCosts2013[Technology],NewCapCosts2013[Base Overnight Costs in 2012 ($2012/kW)])*_xlfn.XLOOKUP($AB$5,GDP_deflator[Year],GDP_deflator[Multiply By (for $2005)])</f>
        <v>762.30376133497873</v>
      </c>
      <c r="AG6" s="232">
        <f>AF6</f>
        <v>762.30376133497873</v>
      </c>
      <c r="AH6" s="232">
        <f t="shared" ref="AH6" si="5">AG6</f>
        <v>762.30376133497873</v>
      </c>
      <c r="AI6" s="163" t="str">
        <f>ATB_CAPEX!$E$490</f>
        <v>NaturalGas_FE</v>
      </c>
      <c r="AJ6" s="232" t="str">
        <f>ATB_CAPEX!$F$485</f>
        <v>CTAvgCF</v>
      </c>
      <c r="AK6" s="163">
        <f>SUMIFS(ATB_CAPEX[2022],ATB_CAPEX[CostCase],"Conservative",ATB_CAPEX[Technology],$AI6, ATB_CAPEX[TechDetail],$AJ6)</f>
        <v>1348.8151364634859</v>
      </c>
      <c r="AL6" s="232">
        <f ca="1">$AH6 * SUMIFS(INDIRECT("ATB_CAPEX["&amp;AL$5&amp;"]"),ATB_CAPEX[CostCase],"Conservative",ATB_CAPEX[Technology],$AI6, ATB_CAPEX[TechDetail],$AJ6)/$AK6</f>
        <v>745.67717566144643</v>
      </c>
      <c r="AM6" s="232">
        <f ca="1">$AH6 * SUMIFS(INDIRECT("ATB_CAPEX["&amp;AM$5&amp;"]"),ATB_CAPEX[CostCase],"Conservative",ATB_CAPEX[Technology],$AI6, ATB_CAPEX[TechDetail],$AJ6)/$AK6</f>
        <v>718.02917903008017</v>
      </c>
      <c r="AN6" s="232">
        <f ca="1">$AH6 * SUMIFS(INDIRECT("ATB_CAPEX["&amp;AN$5&amp;"]"),ATB_CAPEX[CostCase],"Conservative",ATB_CAPEX[Technology],$AI6, ATB_CAPEX[TechDetail],$AJ6)/$AK6</f>
        <v>690.31820290752648</v>
      </c>
      <c r="AO6" s="232">
        <f ca="1">$AH6 * SUMIFS(INDIRECT("ATB_CAPEX["&amp;AO$5&amp;"]"),ATB_CAPEX[CostCase],"Conservative",ATB_CAPEX[Technology],$AI6, ATB_CAPEX[TechDetail],$AJ6)/$AK6</f>
        <v>662.67020627616034</v>
      </c>
      <c r="AP6" s="232">
        <f ca="1">$AH6 * SUMIFS(INDIRECT("ATB_CAPEX["&amp;AP$5&amp;"]"),ATB_CAPEX[CostCase],"Conservative",ATB_CAPEX[Technology],$AI6, ATB_CAPEX[TechDetail],$AJ6)/$AK6</f>
        <v>635.02220964479432</v>
      </c>
      <c r="AQ6" s="232">
        <f ca="1">$AH6 * SUMIFS(INDIRECT("ATB_CAPEX["&amp;AQ$5&amp;"]"),ATB_CAPEX[CostCase],"Conservative",ATB_CAPEX[Technology],$AI6, ATB_CAPEX[TechDetail],$AJ6)/$AK6</f>
        <v>607.31123352224051</v>
      </c>
      <c r="AR6" s="163">
        <f>SUMIFS(ATB_FOM[2022],ATB_FOM[CostCase],"Conservative",ATB_FOM[Technology],$AI6, ATB_FOM[TechDetail],$AJ6)</f>
        <v>26.1</v>
      </c>
      <c r="AS6" s="232">
        <f ca="1">$AB6 * SUMIFS(INDIRECT("ATB_FOM["&amp;AS$5&amp;"]"),ATB_FOM[CostCase],"Conservative",ATB_FOM[Technology],$AI6, ATB_FOM[TechDetail],$AJ6)/$AR6</f>
        <v>11.349802349670258</v>
      </c>
      <c r="AT6" s="232">
        <f ca="1">$AB6 * SUMIFS(INDIRECT("ATB_FOM["&amp;AT$5&amp;"]"),ATB_FOM[CostCase],"Conservative",ATB_FOM[Technology],$AI6, ATB_FOM[TechDetail],$AJ6)/$AR6</f>
        <v>11.040663764270679</v>
      </c>
      <c r="AU6" s="232">
        <f ca="1">$AB6 * SUMIFS(INDIRECT("ATB_FOM["&amp;AU$5&amp;"]"),ATB_FOM[CostCase],"Conservative",ATB_FOM[Technology],$AI6, ATB_FOM[TechDetail],$AJ6)/$AR6</f>
        <v>10.687362523814016</v>
      </c>
      <c r="AV6" s="232">
        <f ca="1">$AB6 * SUMIFS(INDIRECT("ATB_FOM["&amp;AV$5&amp;"]"),ATB_FOM[CostCase],"Conservative",ATB_FOM[Technology],$AI6, ATB_FOM[TechDetail],$AJ6)/$AR6</f>
        <v>10.378223938414438</v>
      </c>
      <c r="AW6" s="232">
        <f ca="1">$AB6 * SUMIFS(INDIRECT("ATB_FOM["&amp;AW$5&amp;"]"),ATB_FOM[CostCase],"Conservative",ATB_FOM[Technology],$AI6, ATB_FOM[TechDetail],$AJ6)/$AR6</f>
        <v>10.069085353014859</v>
      </c>
      <c r="AX6" s="232">
        <f ca="1">$AB6 * SUMIFS(INDIRECT("ATB_FOM["&amp;AX$5&amp;"]"),ATB_FOM[CostCase],"Conservative",ATB_FOM[Technology],$AI6, ATB_FOM[TechDetail],$AJ6)/$AR6</f>
        <v>9.7157841125581967</v>
      </c>
      <c r="AY6" s="163">
        <f>SUMIFS(ATB_VOM[2022],ATB_VOM[CostCase],"Conservative",ATB_VOM[Technology],$AI6, ATB_VOM[TechDetail],$AJ6)</f>
        <v>6.94</v>
      </c>
      <c r="AZ6" s="232">
        <f ca="1">$AC6 * SUMIFS(INDIRECT("ATB_VOM["&amp;AZ$5&amp;"]"),ATB_VOM[CostCase],"Conservative",ATB_VOM[Technology],$AI6, ATB_VOM[TechDetail],$AJ6)/$AY6</f>
        <v>0.87520523689434992</v>
      </c>
      <c r="BA6" s="232">
        <f ca="1">$AC6 * SUMIFS(INDIRECT("ATB_VOM["&amp;BA$5&amp;"]"),ATB_VOM[CostCase],"Conservative",ATB_VOM[Technology],$AI6, ATB_VOM[TechDetail],$AJ6)/$AY6</f>
        <v>0.87520523689434992</v>
      </c>
      <c r="BB6" s="232">
        <f ca="1">$AC6 * SUMIFS(INDIRECT("ATB_VOM["&amp;BB$5&amp;"]"),ATB_VOM[CostCase],"Conservative",ATB_VOM[Technology],$AI6, ATB_VOM[TechDetail],$AJ6)/$AY6</f>
        <v>0.87520523689434992</v>
      </c>
      <c r="BC6" s="232">
        <f ca="1">$AC6 * SUMIFS(INDIRECT("ATB_VOM["&amp;BC$5&amp;"]"),ATB_VOM[CostCase],"Conservative",ATB_VOM[Technology],$AI6, ATB_VOM[TechDetail],$AJ6)/$AY6</f>
        <v>0.87520523689434992</v>
      </c>
      <c r="BD6" s="232">
        <f ca="1">$AC6 * SUMIFS(INDIRECT("ATB_VOM["&amp;BD$5&amp;"]"),ATB_VOM[CostCase],"Conservative",ATB_VOM[Technology],$AI6, ATB_VOM[TechDetail],$AJ6)/$AY6</f>
        <v>0.87520523689434992</v>
      </c>
      <c r="BE6" s="232">
        <f ca="1">$AC6 * SUMIFS(INDIRECT("ATB_VOM["&amp;BE$5&amp;"]"),ATB_VOM[CostCase],"Conservative",ATB_VOM[Technology],$AI6, ATB_VOM[TechDetail],$AJ6)/$AY6</f>
        <v>0.87520523689434992</v>
      </c>
      <c r="BF6" s="231">
        <f>_xlfn.XLOOKUP($Z6, NewCapCosts2013[Technology],NewCapCosts2013[Heatrate in 2013 (Btu/kWhr)])*0.9/kWh_to_btu_hr</f>
        <v>1.8596131301289567</v>
      </c>
      <c r="BG6" s="231">
        <f>_xlfn.XLOOKUP($Z6, NewCapCosts2013[Technology],NewCapCosts2013[Heatrate nth-of-a-kind (Btu/kWr)])*0.9/kWh_to_btu_hr</f>
        <v>1.7936694021101993</v>
      </c>
      <c r="BH6" s="231">
        <f>_xlfn.XLOOKUP($Z6, NewCapCosts2013[Technology],NewCapCosts2013[Heatrate nth-of-a-kind (Btu/kWr)])*0.9/kWh_to_btu_hr</f>
        <v>1.7936694021101993</v>
      </c>
      <c r="BI6" s="231">
        <f>_xlfn.XLOOKUP($Z6, NewCapCosts2013[Technology],NewCapCosts2013[Heatrate nth-of-a-kind (Btu/kWr)])*0.9/kWh_to_btu_hr</f>
        <v>1.7936694021101993</v>
      </c>
      <c r="BJ6" s="160" t="s">
        <v>561</v>
      </c>
      <c r="BK6" s="160">
        <f>$BK$5*BF6</f>
        <v>107.55732220804894</v>
      </c>
      <c r="BL6" s="160"/>
      <c r="BM6" s="160">
        <f>$BK$5*BH6</f>
        <v>103.74323276804721</v>
      </c>
      <c r="BN6" s="160">
        <f>$BK$5*BI6</f>
        <v>103.74323276804721</v>
      </c>
      <c r="BO6" s="160"/>
    </row>
    <row r="7" spans="1:67" x14ac:dyDescent="0.35">
      <c r="A7" s="160" t="s">
        <v>450</v>
      </c>
      <c r="B7" s="160" t="s">
        <v>446</v>
      </c>
      <c r="C7" s="160" t="s">
        <v>560</v>
      </c>
      <c r="D7" s="160" t="s">
        <v>76</v>
      </c>
      <c r="E7" s="160" t="s">
        <v>224</v>
      </c>
      <c r="F7" s="160" t="s">
        <v>72</v>
      </c>
      <c r="G7" s="160">
        <v>2015</v>
      </c>
      <c r="H7" s="160">
        <f t="shared" si="0"/>
        <v>31.536000000000001</v>
      </c>
      <c r="I7" s="231">
        <f t="shared" si="1"/>
        <v>0.53774625689519306</v>
      </c>
      <c r="J7" s="231">
        <f t="shared" si="2"/>
        <v>0.55751633986928106</v>
      </c>
      <c r="K7" s="231">
        <f t="shared" si="3"/>
        <v>0.55751633986928106</v>
      </c>
      <c r="L7" s="231">
        <f t="shared" si="4"/>
        <v>0.55751633986928106</v>
      </c>
      <c r="M7" s="231">
        <f t="shared" ref="M7:M16" si="6">L7</f>
        <v>0.55751633986928106</v>
      </c>
      <c r="N7" s="231"/>
      <c r="O7" s="160" t="str">
        <f>LifetimeAssumptions!$B$7</f>
        <v>Existing Gas &amp; oil turbines</v>
      </c>
      <c r="P7" s="160">
        <f>_xlfn.XLOOKUP($O7, LifetimeAssumptions[technology],LifetimeAssumptions[Lifetime])</f>
        <v>50</v>
      </c>
      <c r="Q7" s="160">
        <f>_xlfn.XLOOKUP($O7, LifetimeAssumptions[technology],LifetimeAssumptions[Peak (con)])</f>
        <v>0.95</v>
      </c>
      <c r="R7" s="160">
        <f>_xlfn.XLOOKUP($O7, LifetimeAssumptions[technology],LifetimeAssumptions[Discrate])</f>
        <v>0.15000000000000002</v>
      </c>
      <c r="S7" s="160">
        <f>_xlfn.XLOOKUP($O7, LifetimeAssumptions[technology],LifetimeAssumptions[AF])</f>
        <v>0.9</v>
      </c>
      <c r="T7" s="161"/>
      <c r="U7" s="161">
        <v>0</v>
      </c>
      <c r="V7" s="161">
        <v>0</v>
      </c>
      <c r="W7" s="161">
        <v>0</v>
      </c>
      <c r="X7" s="161">
        <v>0</v>
      </c>
      <c r="Y7" s="161">
        <v>0</v>
      </c>
      <c r="Z7" s="160" t="str">
        <f>'2013 Cap Raw Data'!$A$8</f>
        <v>Conv Gas/Oil Comb Cycle</v>
      </c>
      <c r="AA7" s="160"/>
      <c r="AB7" s="231">
        <f>_xlfn.XLOOKUP($Z7, NewCapCosts2013[Technology],NewCapCosts2013[Fixed O&amp;M ($2012/kW)])*_xlfn.XLOOKUP($AB$5,GDP_deflator[Year],GDP_deflator[Multiply By (for $2005)])</f>
        <v>11.526452969898589</v>
      </c>
      <c r="AC7" s="231">
        <f>_xlfn.XLOOKUP($Z7, NewCapCosts2013[Technology],NewCapCosts2013[Variable O&amp;M ($2012 mills/kWh)])*_xlfn.XLOOKUP($AB$5,GDP_deflator[Year],GDP_deflator[Multiply By (for $2005)])*mills_kWh_to__Million_PJ</f>
        <v>0.87520523689435004</v>
      </c>
      <c r="AD7" s="231">
        <f>_xlfn.XLOOKUP($Z7, NewCapCosts2013[Technology],NewCapCosts2013[Fixed O&amp;M ($2012/kW)])*_xlfn.XLOOKUP($AB$5,GDP_deflator[Year],GDP_deflator[Multiply By (for $2005)])</f>
        <v>11.526452969898589</v>
      </c>
      <c r="AE7" s="231">
        <f>_xlfn.XLOOKUP($Z7, NewCapCosts2013[Technology],NewCapCosts2013[Variable O&amp;M ($2012 mills/kWh)])*_xlfn.XLOOKUP($AB$5,GDP_deflator[Year],GDP_deflator[Multiply By (for $2005)])*mills_kWh_to__Million_PJ</f>
        <v>0.87520523689435004</v>
      </c>
      <c r="AF7" s="232">
        <f>_xlfn.XLOOKUP($Z7, NewCapCosts2013[Technology],NewCapCosts2013[Base Overnight Costs in 2012 ($2012/kW)])*_xlfn.XLOOKUP($AB$5,GDP_deflator[Year],GDP_deflator[Multiply By (for $2005)])</f>
        <v>762.30376133497873</v>
      </c>
      <c r="AG7" s="232">
        <f t="shared" ref="AG7:AH7" si="7">AF7</f>
        <v>762.30376133497873</v>
      </c>
      <c r="AH7" s="232">
        <f t="shared" si="7"/>
        <v>762.30376133497873</v>
      </c>
      <c r="AI7" s="163" t="str">
        <f>ATB_CAPEX!$E$490</f>
        <v>NaturalGas_FE</v>
      </c>
      <c r="AJ7" s="232" t="str">
        <f>ATB_CAPEX!$F$485</f>
        <v>CTAvgCF</v>
      </c>
      <c r="AK7" s="163">
        <f>SUMIFS(ATB_CAPEX[2022],ATB_CAPEX[CostCase],"Conservative",ATB_CAPEX[Technology],$AI7, ATB_CAPEX[TechDetail],$AJ7)</f>
        <v>1348.8151364634859</v>
      </c>
      <c r="AL7" s="232">
        <f ca="1">$AH7 * SUMIFS(INDIRECT("ATB_CAPEX["&amp;AL$5&amp;"]"),ATB_CAPEX[CostCase],"Conservative",ATB_CAPEX[Technology],$AI7, ATB_CAPEX[TechDetail],$AJ7)/$AK7</f>
        <v>745.67717566144643</v>
      </c>
      <c r="AM7" s="232">
        <f ca="1">$AH7 * SUMIFS(INDIRECT("ATB_CAPEX["&amp;AM$5&amp;"]"),ATB_CAPEX[CostCase],"Conservative",ATB_CAPEX[Technology],$AI7, ATB_CAPEX[TechDetail],$AJ7)/$AK7</f>
        <v>718.02917903008017</v>
      </c>
      <c r="AN7" s="232">
        <f ca="1">$AH7 * SUMIFS(INDIRECT("ATB_CAPEX["&amp;AN$5&amp;"]"),ATB_CAPEX[CostCase],"Conservative",ATB_CAPEX[Technology],$AI7, ATB_CAPEX[TechDetail],$AJ7)/$AK7</f>
        <v>690.31820290752648</v>
      </c>
      <c r="AO7" s="232">
        <f ca="1">$AH7 * SUMIFS(INDIRECT("ATB_CAPEX["&amp;AO$5&amp;"]"),ATB_CAPEX[CostCase],"Conservative",ATB_CAPEX[Technology],$AI7, ATB_CAPEX[TechDetail],$AJ7)/$AK7</f>
        <v>662.67020627616034</v>
      </c>
      <c r="AP7" s="232">
        <f ca="1">$AH7 * SUMIFS(INDIRECT("ATB_CAPEX["&amp;AP$5&amp;"]"),ATB_CAPEX[CostCase],"Conservative",ATB_CAPEX[Technology],$AI7, ATB_CAPEX[TechDetail],$AJ7)/$AK7</f>
        <v>635.02220964479432</v>
      </c>
      <c r="AQ7" s="232">
        <f ca="1">$AH7 * SUMIFS(INDIRECT("ATB_CAPEX["&amp;AQ$5&amp;"]"),ATB_CAPEX[CostCase],"Conservative",ATB_CAPEX[Technology],$AI7, ATB_CAPEX[TechDetail],$AJ7)/$AK7</f>
        <v>607.31123352224051</v>
      </c>
      <c r="AR7" s="163">
        <f>SUMIFS(ATB_FOM[2022],ATB_FOM[CostCase],"Conservative",ATB_FOM[Technology],$AI7, ATB_FOM[TechDetail],$AJ7)</f>
        <v>26.1</v>
      </c>
      <c r="AS7" s="232">
        <f ca="1">$AB7 * SUMIFS(INDIRECT("ATB_FOM["&amp;AS$5&amp;"]"),ATB_FOM[CostCase],"Conservative",ATB_FOM[Technology],$AI7, ATB_FOM[TechDetail],$AJ7)/$AR7</f>
        <v>11.349802349670258</v>
      </c>
      <c r="AT7" s="232">
        <f ca="1">$AB7 * SUMIFS(INDIRECT("ATB_FOM["&amp;AT$5&amp;"]"),ATB_FOM[CostCase],"Conservative",ATB_FOM[Technology],$AI7, ATB_FOM[TechDetail],$AJ7)/$AR7</f>
        <v>11.040663764270679</v>
      </c>
      <c r="AU7" s="232">
        <f ca="1">$AB7 * SUMIFS(INDIRECT("ATB_FOM["&amp;AU$5&amp;"]"),ATB_FOM[CostCase],"Conservative",ATB_FOM[Technology],$AI7, ATB_FOM[TechDetail],$AJ7)/$AR7</f>
        <v>10.687362523814016</v>
      </c>
      <c r="AV7" s="232">
        <f ca="1">$AB7 * SUMIFS(INDIRECT("ATB_FOM["&amp;AV$5&amp;"]"),ATB_FOM[CostCase],"Conservative",ATB_FOM[Technology],$AI7, ATB_FOM[TechDetail],$AJ7)/$AR7</f>
        <v>10.378223938414438</v>
      </c>
      <c r="AW7" s="232">
        <f ca="1">$AB7 * SUMIFS(INDIRECT("ATB_FOM["&amp;AW$5&amp;"]"),ATB_FOM[CostCase],"Conservative",ATB_FOM[Technology],$AI7, ATB_FOM[TechDetail],$AJ7)/$AR7</f>
        <v>10.069085353014859</v>
      </c>
      <c r="AX7" s="232">
        <f ca="1">$AB7 * SUMIFS(INDIRECT("ATB_FOM["&amp;AX$5&amp;"]"),ATB_FOM[CostCase],"Conservative",ATB_FOM[Technology],$AI7, ATB_FOM[TechDetail],$AJ7)/$AR7</f>
        <v>9.7157841125581967</v>
      </c>
      <c r="AY7" s="163">
        <f>SUMIFS(ATB_VOM[2022],ATB_VOM[CostCase],"Conservative",ATB_VOM[Technology],$AI7, ATB_VOM[TechDetail],$AJ7)</f>
        <v>6.94</v>
      </c>
      <c r="AZ7" s="232">
        <f ca="1">$AC7 * SUMIFS(INDIRECT("ATB_VOM["&amp;AZ$5&amp;"]"),ATB_VOM[CostCase],"Conservative",ATB_VOM[Technology],$AI7, ATB_VOM[TechDetail],$AJ7)/$AY7</f>
        <v>0.87520523689434992</v>
      </c>
      <c r="BA7" s="232">
        <f ca="1">$AC7 * SUMIFS(INDIRECT("ATB_VOM["&amp;BA$5&amp;"]"),ATB_VOM[CostCase],"Conservative",ATB_VOM[Technology],$AI7, ATB_VOM[TechDetail],$AJ7)/$AY7</f>
        <v>0.87520523689434992</v>
      </c>
      <c r="BB7" s="232">
        <f ca="1">$AC7 * SUMIFS(INDIRECT("ATB_VOM["&amp;BB$5&amp;"]"),ATB_VOM[CostCase],"Conservative",ATB_VOM[Technology],$AI7, ATB_VOM[TechDetail],$AJ7)/$AY7</f>
        <v>0.87520523689434992</v>
      </c>
      <c r="BC7" s="232">
        <f ca="1">$AC7 * SUMIFS(INDIRECT("ATB_VOM["&amp;BC$5&amp;"]"),ATB_VOM[CostCase],"Conservative",ATB_VOM[Technology],$AI7, ATB_VOM[TechDetail],$AJ7)/$AY7</f>
        <v>0.87520523689434992</v>
      </c>
      <c r="BD7" s="232">
        <f ca="1">$AC7 * SUMIFS(INDIRECT("ATB_VOM["&amp;BD$5&amp;"]"),ATB_VOM[CostCase],"Conservative",ATB_VOM[Technology],$AI7, ATB_VOM[TechDetail],$AJ7)/$AY7</f>
        <v>0.87520523689434992</v>
      </c>
      <c r="BE7" s="232">
        <f ca="1">$AC7 * SUMIFS(INDIRECT("ATB_VOM["&amp;BE$5&amp;"]"),ATB_VOM[CostCase],"Conservative",ATB_VOM[Technology],$AI7, ATB_VOM[TechDetail],$AJ7)/$AY7</f>
        <v>0.87520523689434992</v>
      </c>
      <c r="BF7" s="231">
        <f>_xlfn.XLOOKUP($Z7, NewCapCosts2013[Technology],NewCapCosts2013[Heatrate in 2013 (Btu/kWhr)])*0.9/kWh_to_btu_hr</f>
        <v>1.8596131301289567</v>
      </c>
      <c r="BG7" s="231">
        <f>_xlfn.XLOOKUP($Z7, NewCapCosts2013[Technology],NewCapCosts2013[Heatrate nth-of-a-kind (Btu/kWr)])*0.9/kWh_to_btu_hr</f>
        <v>1.7936694021101993</v>
      </c>
      <c r="BH7" s="231">
        <f>_xlfn.XLOOKUP($Z7, NewCapCosts2013[Technology],NewCapCosts2013[Heatrate nth-of-a-kind (Btu/kWr)])*0.9/kWh_to_btu_hr</f>
        <v>1.7936694021101993</v>
      </c>
      <c r="BI7" s="231">
        <f>_xlfn.XLOOKUP($Z7, NewCapCosts2013[Technology],NewCapCosts2013[Heatrate nth-of-a-kind (Btu/kWr)])*0.9/kWh_to_btu_hr</f>
        <v>1.7936694021101993</v>
      </c>
      <c r="BJ7" s="160" t="s">
        <v>561</v>
      </c>
      <c r="BK7" s="160">
        <f>$BK$5*BF7</f>
        <v>107.55732220804894</v>
      </c>
      <c r="BL7" s="160"/>
      <c r="BM7" s="160">
        <f>$BK$5*BH7</f>
        <v>103.74323276804721</v>
      </c>
      <c r="BN7" s="160">
        <f>$BK$5*BI7</f>
        <v>103.74323276804721</v>
      </c>
      <c r="BO7" s="160"/>
    </row>
    <row r="8" spans="1:67" x14ac:dyDescent="0.35">
      <c r="A8" s="160" t="s">
        <v>451</v>
      </c>
      <c r="B8" s="160" t="s">
        <v>446</v>
      </c>
      <c r="C8" s="160" t="s">
        <v>560</v>
      </c>
      <c r="D8" s="160" t="s">
        <v>76</v>
      </c>
      <c r="E8" s="160" t="s">
        <v>224</v>
      </c>
      <c r="F8" s="160" t="s">
        <v>72</v>
      </c>
      <c r="G8" s="160">
        <v>2020</v>
      </c>
      <c r="H8" s="160">
        <f t="shared" si="0"/>
        <v>31.536000000000001</v>
      </c>
      <c r="I8" s="231">
        <f t="shared" si="1"/>
        <v>0.53774625689519306</v>
      </c>
      <c r="J8" s="231">
        <f t="shared" si="2"/>
        <v>0.55751633986928106</v>
      </c>
      <c r="K8" s="231">
        <f t="shared" si="3"/>
        <v>0.55751633986928106</v>
      </c>
      <c r="L8" s="231">
        <f t="shared" si="4"/>
        <v>0.55751633986928106</v>
      </c>
      <c r="M8" s="231">
        <f t="shared" si="6"/>
        <v>0.55751633986928106</v>
      </c>
      <c r="N8" s="231"/>
      <c r="O8" s="160" t="str">
        <f>LifetimeAssumptions!$B$8</f>
        <v>New Gas &amp; oil turbines</v>
      </c>
      <c r="P8" s="160">
        <f>_xlfn.XLOOKUP($O8, LifetimeAssumptions[technology],LifetimeAssumptions[Lifetime])</f>
        <v>30</v>
      </c>
      <c r="Q8" s="160">
        <f>_xlfn.XLOOKUP($O8, LifetimeAssumptions[technology],LifetimeAssumptions[Peak (con)])</f>
        <v>0.95</v>
      </c>
      <c r="R8" s="160">
        <f>_xlfn.XLOOKUP($O8, LifetimeAssumptions[technology],LifetimeAssumptions[Discrate])</f>
        <v>0.15000000000000002</v>
      </c>
      <c r="S8" s="160">
        <f>_xlfn.XLOOKUP($O8, LifetimeAssumptions[technology],LifetimeAssumptions[AF])</f>
        <v>0.9</v>
      </c>
      <c r="T8" s="161"/>
      <c r="U8" s="161"/>
      <c r="V8" s="161">
        <v>0</v>
      </c>
      <c r="W8" s="161">
        <v>0</v>
      </c>
      <c r="X8" s="161">
        <v>0</v>
      </c>
      <c r="Y8" s="161">
        <v>0</v>
      </c>
      <c r="Z8" s="160" t="str">
        <f>'2013 Cap Raw Data'!$A$8</f>
        <v>Conv Gas/Oil Comb Cycle</v>
      </c>
      <c r="AA8" s="160"/>
      <c r="AB8" s="231">
        <f>_xlfn.XLOOKUP($Z8, NewCapCosts2013[Technology],NewCapCosts2013[Fixed O&amp;M ($2012/kW)])*_xlfn.XLOOKUP($AB$5,GDP_deflator[Year],GDP_deflator[Multiply By (for $2005)])</f>
        <v>11.526452969898589</v>
      </c>
      <c r="AC8" s="231">
        <f>_xlfn.XLOOKUP($Z8, NewCapCosts2013[Technology],NewCapCosts2013[Variable O&amp;M ($2012 mills/kWh)])*_xlfn.XLOOKUP($AB$5,GDP_deflator[Year],GDP_deflator[Multiply By (for $2005)])*mills_kWh_to__Million_PJ</f>
        <v>0.87520523689435004</v>
      </c>
      <c r="AD8" s="231">
        <f>_xlfn.XLOOKUP($Z8, NewCapCosts2013[Technology],NewCapCosts2013[Fixed O&amp;M ($2012/kW)])*_xlfn.XLOOKUP($AB$5,GDP_deflator[Year],GDP_deflator[Multiply By (for $2005)])</f>
        <v>11.526452969898589</v>
      </c>
      <c r="AE8" s="231">
        <f>_xlfn.XLOOKUP($Z8, NewCapCosts2013[Technology],NewCapCosts2013[Variable O&amp;M ($2012 mills/kWh)])*_xlfn.XLOOKUP($AB$5,GDP_deflator[Year],GDP_deflator[Multiply By (for $2005)])*mills_kWh_to__Million_PJ</f>
        <v>0.87520523689435004</v>
      </c>
      <c r="AF8" s="232">
        <f>_xlfn.XLOOKUP($Z8, NewCapCosts2013[Technology],NewCapCosts2013[Base Overnight Costs in 2012 ($2012/kW)])*_xlfn.XLOOKUP($AB$5,GDP_deflator[Year],GDP_deflator[Multiply By (for $2005)])</f>
        <v>762.30376133497873</v>
      </c>
      <c r="AG8" s="232">
        <f t="shared" ref="AG8:AH8" si="8">AF8</f>
        <v>762.30376133497873</v>
      </c>
      <c r="AH8" s="232">
        <f t="shared" si="8"/>
        <v>762.30376133497873</v>
      </c>
      <c r="AI8" s="163" t="str">
        <f>ATB_CAPEX!$E$490</f>
        <v>NaturalGas_FE</v>
      </c>
      <c r="AJ8" s="232" t="str">
        <f>ATB_CAPEX!$F$485</f>
        <v>CTAvgCF</v>
      </c>
      <c r="AK8" s="163">
        <f>SUMIFS(ATB_CAPEX[2022],ATB_CAPEX[CostCase],"Conservative",ATB_CAPEX[Technology],$AI8, ATB_CAPEX[TechDetail],$AJ8)</f>
        <v>1348.8151364634859</v>
      </c>
      <c r="AL8" s="232">
        <f ca="1">$AH8 * SUMIFS(INDIRECT("ATB_CAPEX["&amp;AL$5&amp;"]"),ATB_CAPEX[CostCase],"Conservative",ATB_CAPEX[Technology],$AI8, ATB_CAPEX[TechDetail],$AJ8)/$AK8</f>
        <v>745.67717566144643</v>
      </c>
      <c r="AM8" s="232">
        <f ca="1">$AH8 * SUMIFS(INDIRECT("ATB_CAPEX["&amp;AM$5&amp;"]"),ATB_CAPEX[CostCase],"Conservative",ATB_CAPEX[Technology],$AI8, ATB_CAPEX[TechDetail],$AJ8)/$AK8</f>
        <v>718.02917903008017</v>
      </c>
      <c r="AN8" s="232">
        <f ca="1">$AH8 * SUMIFS(INDIRECT("ATB_CAPEX["&amp;AN$5&amp;"]"),ATB_CAPEX[CostCase],"Conservative",ATB_CAPEX[Technology],$AI8, ATB_CAPEX[TechDetail],$AJ8)/$AK8</f>
        <v>690.31820290752648</v>
      </c>
      <c r="AO8" s="232">
        <f ca="1">$AH8 * SUMIFS(INDIRECT("ATB_CAPEX["&amp;AO$5&amp;"]"),ATB_CAPEX[CostCase],"Conservative",ATB_CAPEX[Technology],$AI8, ATB_CAPEX[TechDetail],$AJ8)/$AK8</f>
        <v>662.67020627616034</v>
      </c>
      <c r="AP8" s="232">
        <f ca="1">$AH8 * SUMIFS(INDIRECT("ATB_CAPEX["&amp;AP$5&amp;"]"),ATB_CAPEX[CostCase],"Conservative",ATB_CAPEX[Technology],$AI8, ATB_CAPEX[TechDetail],$AJ8)/$AK8</f>
        <v>635.02220964479432</v>
      </c>
      <c r="AQ8" s="232">
        <f ca="1">$AH8 * SUMIFS(INDIRECT("ATB_CAPEX["&amp;AQ$5&amp;"]"),ATB_CAPEX[CostCase],"Conservative",ATB_CAPEX[Technology],$AI8, ATB_CAPEX[TechDetail],$AJ8)/$AK8</f>
        <v>607.31123352224051</v>
      </c>
      <c r="AR8" s="163">
        <f>SUMIFS(ATB_FOM[2022],ATB_FOM[CostCase],"Conservative",ATB_FOM[Technology],$AI8, ATB_FOM[TechDetail],$AJ8)</f>
        <v>26.1</v>
      </c>
      <c r="AS8" s="232">
        <f ca="1">$AB8 * SUMIFS(INDIRECT("ATB_FOM["&amp;AS$5&amp;"]"),ATB_FOM[CostCase],"Conservative",ATB_FOM[Technology],$AI8, ATB_FOM[TechDetail],$AJ8)/$AR8</f>
        <v>11.349802349670258</v>
      </c>
      <c r="AT8" s="232">
        <f ca="1">$AB8 * SUMIFS(INDIRECT("ATB_FOM["&amp;AT$5&amp;"]"),ATB_FOM[CostCase],"Conservative",ATB_FOM[Technology],$AI8, ATB_FOM[TechDetail],$AJ8)/$AR8</f>
        <v>11.040663764270679</v>
      </c>
      <c r="AU8" s="232">
        <f ca="1">$AB8 * SUMIFS(INDIRECT("ATB_FOM["&amp;AU$5&amp;"]"),ATB_FOM[CostCase],"Conservative",ATB_FOM[Technology],$AI8, ATB_FOM[TechDetail],$AJ8)/$AR8</f>
        <v>10.687362523814016</v>
      </c>
      <c r="AV8" s="232">
        <f ca="1">$AB8 * SUMIFS(INDIRECT("ATB_FOM["&amp;AV$5&amp;"]"),ATB_FOM[CostCase],"Conservative",ATB_FOM[Technology],$AI8, ATB_FOM[TechDetail],$AJ8)/$AR8</f>
        <v>10.378223938414438</v>
      </c>
      <c r="AW8" s="232">
        <f ca="1">$AB8 * SUMIFS(INDIRECT("ATB_FOM["&amp;AW$5&amp;"]"),ATB_FOM[CostCase],"Conservative",ATB_FOM[Technology],$AI8, ATB_FOM[TechDetail],$AJ8)/$AR8</f>
        <v>10.069085353014859</v>
      </c>
      <c r="AX8" s="232">
        <f ca="1">$AB8 * SUMIFS(INDIRECT("ATB_FOM["&amp;AX$5&amp;"]"),ATB_FOM[CostCase],"Conservative",ATB_FOM[Technology],$AI8, ATB_FOM[TechDetail],$AJ8)/$AR8</f>
        <v>9.7157841125581967</v>
      </c>
      <c r="AY8" s="163">
        <f>SUMIFS(ATB_VOM[2022],ATB_VOM[CostCase],"Conservative",ATB_VOM[Technology],$AI8, ATB_VOM[TechDetail],$AJ8)</f>
        <v>6.94</v>
      </c>
      <c r="AZ8" s="232">
        <f ca="1">$AC8 * SUMIFS(INDIRECT("ATB_VOM["&amp;AZ$5&amp;"]"),ATB_VOM[CostCase],"Conservative",ATB_VOM[Technology],$AI8, ATB_VOM[TechDetail],$AJ8)/$AY8</f>
        <v>0.87520523689434992</v>
      </c>
      <c r="BA8" s="232">
        <f ca="1">$AC8 * SUMIFS(INDIRECT("ATB_VOM["&amp;BA$5&amp;"]"),ATB_VOM[CostCase],"Conservative",ATB_VOM[Technology],$AI8, ATB_VOM[TechDetail],$AJ8)/$AY8</f>
        <v>0.87520523689434992</v>
      </c>
      <c r="BB8" s="232">
        <f ca="1">$AC8 * SUMIFS(INDIRECT("ATB_VOM["&amp;BB$5&amp;"]"),ATB_VOM[CostCase],"Conservative",ATB_VOM[Technology],$AI8, ATB_VOM[TechDetail],$AJ8)/$AY8</f>
        <v>0.87520523689434992</v>
      </c>
      <c r="BC8" s="232">
        <f ca="1">$AC8 * SUMIFS(INDIRECT("ATB_VOM["&amp;BC$5&amp;"]"),ATB_VOM[CostCase],"Conservative",ATB_VOM[Technology],$AI8, ATB_VOM[TechDetail],$AJ8)/$AY8</f>
        <v>0.87520523689434992</v>
      </c>
      <c r="BD8" s="232">
        <f ca="1">$AC8 * SUMIFS(INDIRECT("ATB_VOM["&amp;BD$5&amp;"]"),ATB_VOM[CostCase],"Conservative",ATB_VOM[Technology],$AI8, ATB_VOM[TechDetail],$AJ8)/$AY8</f>
        <v>0.87520523689434992</v>
      </c>
      <c r="BE8" s="232">
        <f ca="1">$AC8 * SUMIFS(INDIRECT("ATB_VOM["&amp;BE$5&amp;"]"),ATB_VOM[CostCase],"Conservative",ATB_VOM[Technology],$AI8, ATB_VOM[TechDetail],$AJ8)/$AY8</f>
        <v>0.87520523689434992</v>
      </c>
      <c r="BF8" s="231">
        <f>_xlfn.XLOOKUP($Z8, NewCapCosts2013[Technology],NewCapCosts2013[Heatrate in 2013 (Btu/kWhr)])*0.9/kWh_to_btu_hr</f>
        <v>1.8596131301289567</v>
      </c>
      <c r="BG8" s="231">
        <f>_xlfn.XLOOKUP($Z8, NewCapCosts2013[Technology],NewCapCosts2013[Heatrate nth-of-a-kind (Btu/kWr)])*0.9/kWh_to_btu_hr</f>
        <v>1.7936694021101993</v>
      </c>
      <c r="BH8" s="231">
        <f>_xlfn.XLOOKUP($Z8, NewCapCosts2013[Technology],NewCapCosts2013[Heatrate nth-of-a-kind (Btu/kWr)])*0.9/kWh_to_btu_hr</f>
        <v>1.7936694021101993</v>
      </c>
      <c r="BI8" s="231">
        <f>_xlfn.XLOOKUP($Z8, NewCapCosts2013[Technology],NewCapCosts2013[Heatrate nth-of-a-kind (Btu/kWr)])*0.9/kWh_to_btu_hr</f>
        <v>1.7936694021101993</v>
      </c>
      <c r="BJ8" s="160" t="s">
        <v>561</v>
      </c>
      <c r="BK8" s="160"/>
      <c r="BL8" s="160"/>
      <c r="BM8" s="160"/>
      <c r="BN8" s="160"/>
      <c r="BO8" s="160"/>
    </row>
    <row r="9" spans="1:67" x14ac:dyDescent="0.35">
      <c r="A9" s="160" t="s">
        <v>452</v>
      </c>
      <c r="B9" s="160" t="s">
        <v>453</v>
      </c>
      <c r="C9" s="160" t="s">
        <v>560</v>
      </c>
      <c r="D9" s="160" t="s">
        <v>76</v>
      </c>
      <c r="E9" s="160" t="s">
        <v>224</v>
      </c>
      <c r="F9" s="160" t="s">
        <v>72</v>
      </c>
      <c r="G9" s="160">
        <v>2020</v>
      </c>
      <c r="H9" s="160">
        <f t="shared" si="0"/>
        <v>31.536000000000001</v>
      </c>
      <c r="I9" s="231">
        <f t="shared" si="1"/>
        <v>0.58959737342318985</v>
      </c>
      <c r="J9" s="231">
        <f t="shared" si="2"/>
        <v>0.59862799796480515</v>
      </c>
      <c r="K9" s="231">
        <f t="shared" si="3"/>
        <v>0.59862799796480515</v>
      </c>
      <c r="L9" s="231">
        <f t="shared" si="4"/>
        <v>0.59862799796480515</v>
      </c>
      <c r="M9" s="231">
        <f t="shared" si="6"/>
        <v>0.59862799796480515</v>
      </c>
      <c r="N9" s="231"/>
      <c r="O9" s="160" t="str">
        <f>LifetimeAssumptions!$B$8</f>
        <v>New Gas &amp; oil turbines</v>
      </c>
      <c r="P9" s="160">
        <f>_xlfn.XLOOKUP($O9, LifetimeAssumptions[technology],LifetimeAssumptions[Lifetime])</f>
        <v>30</v>
      </c>
      <c r="Q9" s="160">
        <f>_xlfn.XLOOKUP($O9, LifetimeAssumptions[technology],LifetimeAssumptions[Peak (con)])</f>
        <v>0.95</v>
      </c>
      <c r="R9" s="160">
        <f>_xlfn.XLOOKUP($O9, LifetimeAssumptions[technology],LifetimeAssumptions[Discrate])</f>
        <v>0.15000000000000002</v>
      </c>
      <c r="S9" s="160">
        <f>_xlfn.XLOOKUP($O9, LifetimeAssumptions[technology],LifetimeAssumptions[AF])</f>
        <v>0.9</v>
      </c>
      <c r="T9" s="161"/>
      <c r="U9" s="161"/>
      <c r="V9" s="161">
        <v>0</v>
      </c>
      <c r="W9" s="161">
        <v>0</v>
      </c>
      <c r="X9" s="161">
        <v>0</v>
      </c>
      <c r="Y9" s="161">
        <v>0</v>
      </c>
      <c r="Z9" s="160" t="str">
        <f>'2013 Cap Raw Data'!$A$9</f>
        <v>Adv Gas/Oil Comb Cycle (CC)</v>
      </c>
      <c r="AA9" s="160"/>
      <c r="AB9" s="231">
        <f>_xlfn.XLOOKUP($Z9, NewCapCosts2013[Technology],NewCapCosts2013[Fixed O&amp;M ($2012/kW)])*_xlfn.XLOOKUP($AB$5,GDP_deflator[Year],GDP_deflator[Multiply By (for $2005)])</f>
        <v>13.451904491066157</v>
      </c>
      <c r="AC9" s="231">
        <f>_xlfn.XLOOKUP($Z9, NewCapCosts2013[Technology],NewCapCosts2013[Variable O&amp;M ($2012 mills/kWh)])*_xlfn.XLOOKUP($AB$5,GDP_deflator[Year],GDP_deflator[Multiply By (for $2005)])*mills_kWh_to__Million_PJ</f>
        <v>0.79497809017903454</v>
      </c>
      <c r="AD9" s="231">
        <f>_xlfn.XLOOKUP($Z9, NewCapCosts2013[Technology],NewCapCosts2013[Fixed O&amp;M ($2012/kW)])*_xlfn.XLOOKUP($AB$5,GDP_deflator[Year],GDP_deflator[Multiply By (for $2005)])</f>
        <v>13.451904491066157</v>
      </c>
      <c r="AE9" s="231">
        <f>_xlfn.XLOOKUP($Z9, NewCapCosts2013[Technology],NewCapCosts2013[Variable O&amp;M ($2012 mills/kWh)])*_xlfn.XLOOKUP($AB$5,GDP_deflator[Year],GDP_deflator[Multiply By (for $2005)])*mills_kWh_to__Million_PJ</f>
        <v>0.79497809017903454</v>
      </c>
      <c r="AF9" s="232">
        <f>_xlfn.XLOOKUP($Z9, NewCapCosts2013[Technology],NewCapCosts2013[Base Overnight Costs in 2012 ($2012/kW)])*_xlfn.XLOOKUP($AB$5,GDP_deflator[Year],GDP_deflator[Multiply By (for $2005)])</f>
        <v>827.06894886516068</v>
      </c>
      <c r="AG9" s="232">
        <f t="shared" ref="AG9:AH10" si="9">AF9</f>
        <v>827.06894886516068</v>
      </c>
      <c r="AH9" s="232">
        <f t="shared" si="9"/>
        <v>827.06894886516068</v>
      </c>
      <c r="AI9" s="163" t="str">
        <f>ATB_CAPEX!$E$490</f>
        <v>NaturalGas_FE</v>
      </c>
      <c r="AJ9" s="232" t="str">
        <f>ATB_CAPEX!$F$485</f>
        <v>CTAvgCF</v>
      </c>
      <c r="AK9" s="163">
        <f>SUMIFS(ATB_CAPEX[2022],ATB_CAPEX[CostCase],"Conservative",ATB_CAPEX[Technology],$AI9, ATB_CAPEX[TechDetail],$AJ9)</f>
        <v>1348.8151364634859</v>
      </c>
      <c r="AL9" s="232">
        <f ca="1">$AH9 * SUMIFS(INDIRECT("ATB_CAPEX["&amp;AL$5&amp;"]"),ATB_CAPEX[CostCase],"Conservative",ATB_CAPEX[Technology],$AI9, ATB_CAPEX[TechDetail],$AJ9)/$AK9</f>
        <v>809.02977152705728</v>
      </c>
      <c r="AM9" s="232">
        <f ca="1">$AH9 * SUMIFS(INDIRECT("ATB_CAPEX["&amp;AM$5&amp;"]"),ATB_CAPEX[CostCase],"Conservative",ATB_CAPEX[Technology],$AI9, ATB_CAPEX[TechDetail],$AJ9)/$AK9</f>
        <v>779.03280618074143</v>
      </c>
      <c r="AN9" s="232">
        <f ca="1">$AH9 * SUMIFS(INDIRECT("ATB_CAPEX["&amp;AN$5&amp;"]"),ATB_CAPEX[CostCase],"Conservative",ATB_CAPEX[Technology],$AI9, ATB_CAPEX[TechDetail],$AJ9)/$AK9</f>
        <v>748.96751061723592</v>
      </c>
      <c r="AO9" s="232">
        <f ca="1">$AH9 * SUMIFS(INDIRECT("ATB_CAPEX["&amp;AO$5&amp;"]"),ATB_CAPEX[CostCase],"Conservative",ATB_CAPEX[Technology],$AI9, ATB_CAPEX[TechDetail],$AJ9)/$AK9</f>
        <v>718.9705452709203</v>
      </c>
      <c r="AP9" s="232">
        <f ca="1">$AH9 * SUMIFS(INDIRECT("ATB_CAPEX["&amp;AP$5&amp;"]"),ATB_CAPEX[CostCase],"Conservative",ATB_CAPEX[Technology],$AI9, ATB_CAPEX[TechDetail],$AJ9)/$AK9</f>
        <v>688.97357992460456</v>
      </c>
      <c r="AQ9" s="232">
        <f ca="1">$AH9 * SUMIFS(INDIRECT("ATB_CAPEX["&amp;AQ$5&amp;"]"),ATB_CAPEX[CostCase],"Conservative",ATB_CAPEX[Technology],$AI9, ATB_CAPEX[TechDetail],$AJ9)/$AK9</f>
        <v>658.90828436109916</v>
      </c>
      <c r="AR9" s="163">
        <f>SUMIFS(ATB_FOM[2022],ATB_FOM[CostCase],"Conservative",ATB_FOM[Technology],$AI9, ATB_FOM[TechDetail],$AJ9)</f>
        <v>26.1</v>
      </c>
      <c r="AS9" s="232">
        <f ca="1">$AB9 * SUMIFS(INDIRECT("ATB_FOM["&amp;AS$5&amp;"]"),ATB_FOM[CostCase],"Conservative",ATB_FOM[Technology],$AI9, ATB_FOM[TechDetail],$AJ9)/$AR9</f>
        <v>13.245745035264378</v>
      </c>
      <c r="AT9" s="232">
        <f ca="1">$AB9 * SUMIFS(INDIRECT("ATB_FOM["&amp;AT$5&amp;"]"),ATB_FOM[CostCase],"Conservative",ATB_FOM[Technology],$AI9, ATB_FOM[TechDetail],$AJ9)/$AR9</f>
        <v>12.884965987611261</v>
      </c>
      <c r="AU9" s="232">
        <f ca="1">$AB9 * SUMIFS(INDIRECT("ATB_FOM["&amp;AU$5&amp;"]"),ATB_FOM[CostCase],"Conservative",ATB_FOM[Technology],$AI9, ATB_FOM[TechDetail],$AJ9)/$AR9</f>
        <v>12.4726470760077</v>
      </c>
      <c r="AV9" s="232">
        <f ca="1">$AB9 * SUMIFS(INDIRECT("ATB_FOM["&amp;AV$5&amp;"]"),ATB_FOM[CostCase],"Conservative",ATB_FOM[Technology],$AI9, ATB_FOM[TechDetail],$AJ9)/$AR9</f>
        <v>12.111868028354586</v>
      </c>
      <c r="AW9" s="232">
        <f ca="1">$AB9 * SUMIFS(INDIRECT("ATB_FOM["&amp;AW$5&amp;"]"),ATB_FOM[CostCase],"Conservative",ATB_FOM[Technology],$AI9, ATB_FOM[TechDetail],$AJ9)/$AR9</f>
        <v>11.75108898070147</v>
      </c>
      <c r="AX9" s="232">
        <f ca="1">$AB9 * SUMIFS(INDIRECT("ATB_FOM["&amp;AX$5&amp;"]"),ATB_FOM[CostCase],"Conservative",ATB_FOM[Technology],$AI9, ATB_FOM[TechDetail],$AJ9)/$AR9</f>
        <v>11.33877006909791</v>
      </c>
      <c r="AY9" s="163">
        <f>SUMIFS(ATB_VOM[2022],ATB_VOM[CostCase],"Conservative",ATB_VOM[Technology],$AI9, ATB_VOM[TechDetail],$AJ9)</f>
        <v>6.94</v>
      </c>
      <c r="AZ9" s="232">
        <f ca="1">$AC9 * SUMIFS(INDIRECT("ATB_VOM["&amp;AZ$5&amp;"]"),ATB_VOM[CostCase],"Conservative",ATB_VOM[Technology],$AI9, ATB_VOM[TechDetail],$AJ9)/$AY9</f>
        <v>0.79497809017903454</v>
      </c>
      <c r="BA9" s="232">
        <f ca="1">$AC9 * SUMIFS(INDIRECT("ATB_VOM["&amp;BA$5&amp;"]"),ATB_VOM[CostCase],"Conservative",ATB_VOM[Technology],$AI9, ATB_VOM[TechDetail],$AJ9)/$AY9</f>
        <v>0.79497809017903454</v>
      </c>
      <c r="BB9" s="232">
        <f ca="1">$AC9 * SUMIFS(INDIRECT("ATB_VOM["&amp;BB$5&amp;"]"),ATB_VOM[CostCase],"Conservative",ATB_VOM[Technology],$AI9, ATB_VOM[TechDetail],$AJ9)/$AY9</f>
        <v>0.79497809017903454</v>
      </c>
      <c r="BC9" s="232">
        <f ca="1">$AC9 * SUMIFS(INDIRECT("ATB_VOM["&amp;BC$5&amp;"]"),ATB_VOM[CostCase],"Conservative",ATB_VOM[Technology],$AI9, ATB_VOM[TechDetail],$AJ9)/$AY9</f>
        <v>0.79497809017903454</v>
      </c>
      <c r="BD9" s="232">
        <f ca="1">$AC9 * SUMIFS(INDIRECT("ATB_VOM["&amp;BD$5&amp;"]"),ATB_VOM[CostCase],"Conservative",ATB_VOM[Technology],$AI9, ATB_VOM[TechDetail],$AJ9)/$AY9</f>
        <v>0.79497809017903454</v>
      </c>
      <c r="BE9" s="232">
        <f ca="1">$AC9 * SUMIFS(INDIRECT("ATB_VOM["&amp;BE$5&amp;"]"),ATB_VOM[CostCase],"Conservative",ATB_VOM[Technology],$AI9, ATB_VOM[TechDetail],$AJ9)/$AY9</f>
        <v>0.79497809017903454</v>
      </c>
      <c r="BF9" s="231">
        <f>_xlfn.XLOOKUP($Z9, NewCapCosts2013[Technology],NewCapCosts2013[Heatrate in 2013 (Btu/kWhr)])*0.9/kWh_to_btu_hr</f>
        <v>1.6960726846424385</v>
      </c>
      <c r="BG9" s="231">
        <f>_xlfn.XLOOKUP($Z9, NewCapCosts2013[Technology],NewCapCosts2013[Heatrate nth-of-a-kind (Btu/kWr)])*0.9/kWh_to_btu_hr</f>
        <v>1.6704865181711606</v>
      </c>
      <c r="BH9" s="231">
        <f>_xlfn.XLOOKUP($Z9, NewCapCosts2013[Technology],NewCapCosts2013[Heatrate nth-of-a-kind (Btu/kWr)])*0.9/kWh_to_btu_hr</f>
        <v>1.6704865181711606</v>
      </c>
      <c r="BI9" s="231">
        <f>_xlfn.XLOOKUP($Z9, NewCapCosts2013[Technology],NewCapCosts2013[Heatrate nth-of-a-kind (Btu/kWr)])*0.9/kWh_to_btu_hr</f>
        <v>1.6704865181711606</v>
      </c>
      <c r="BJ9" s="160" t="s">
        <v>561</v>
      </c>
      <c r="BK9" s="160"/>
      <c r="BL9" s="160"/>
      <c r="BM9" s="160"/>
      <c r="BN9" s="160"/>
      <c r="BO9" s="160"/>
    </row>
    <row r="10" spans="1:67" x14ac:dyDescent="0.35">
      <c r="A10" s="160" t="s">
        <v>454</v>
      </c>
      <c r="B10" s="160" t="s">
        <v>446</v>
      </c>
      <c r="C10" s="160" t="s">
        <v>560</v>
      </c>
      <c r="D10" s="160" t="s">
        <v>76</v>
      </c>
      <c r="E10" s="160" t="s">
        <v>224</v>
      </c>
      <c r="F10" s="160" t="s">
        <v>72</v>
      </c>
      <c r="G10" s="160">
        <v>2025</v>
      </c>
      <c r="H10" s="160">
        <f t="shared" si="0"/>
        <v>31.536000000000001</v>
      </c>
      <c r="I10" s="231">
        <f t="shared" si="1"/>
        <v>0.59515088086516665</v>
      </c>
      <c r="J10" s="231">
        <f t="shared" si="2"/>
        <v>0.59515088086516665</v>
      </c>
      <c r="K10" s="231">
        <f t="shared" si="3"/>
        <v>0.59515088086516665</v>
      </c>
      <c r="L10" s="231">
        <f t="shared" si="4"/>
        <v>0.59515088086516665</v>
      </c>
      <c r="M10" s="231">
        <f t="shared" ref="M10" si="10">L10</f>
        <v>0.59515088086516665</v>
      </c>
      <c r="N10" s="231"/>
      <c r="O10" s="160" t="str">
        <f>LifetimeAssumptions!$B$8</f>
        <v>New Gas &amp; oil turbines</v>
      </c>
      <c r="P10" s="160">
        <f>_xlfn.XLOOKUP($O10, LifetimeAssumptions[technology],LifetimeAssumptions[Lifetime])</f>
        <v>30</v>
      </c>
      <c r="Q10" s="160">
        <f>_xlfn.XLOOKUP($O10, LifetimeAssumptions[technology],LifetimeAssumptions[Peak (con)])</f>
        <v>0.95</v>
      </c>
      <c r="R10" s="160">
        <f>_xlfn.XLOOKUP($O10, LifetimeAssumptions[technology],LifetimeAssumptions[Discrate])</f>
        <v>0.15000000000000002</v>
      </c>
      <c r="S10" s="160">
        <f>_xlfn.XLOOKUP($O10, LifetimeAssumptions[technology],LifetimeAssumptions[AF])</f>
        <v>0.9</v>
      </c>
      <c r="T10" s="161"/>
      <c r="U10" s="161"/>
      <c r="V10" s="161"/>
      <c r="W10" s="161"/>
      <c r="X10" s="161"/>
      <c r="Y10" s="161"/>
      <c r="Z10" s="160" t="str">
        <f>'2023 Cap Raw Data'!$A$10</f>
        <v>Combined-cycle—multi-shaft</v>
      </c>
      <c r="AA10" s="160" t="str">
        <f>'2023_Regional_Cost_Factor'!$A$9</f>
        <v>CC – multi shaft</v>
      </c>
      <c r="AB10" s="231">
        <f>_xlfn.XLOOKUP($Z10, NewCapCosts2023[Technology],NewCapCosts2023[Fixed O&amp;M (2022$/Kw-y)])*_xlfn.XLOOKUP($AC$5,GDP_deflator[Year],GDP_deflator[Multiply By (for $2005)])</f>
        <v>9.4882051115516912</v>
      </c>
      <c r="AC10" s="231">
        <f>_xlfn.XLOOKUP($Z10, NewCapCosts2023[Technology],NewCapCosts2023[Variable O&amp;Mf (2022 $/MWh)])*_xlfn.XLOOKUP($AC$5,GDP_deflator[Year],GDP_deflator[Multiply By (for $2005)])*mills_kWh_to__Million_PJ</f>
        <v>0.40398314536156821</v>
      </c>
      <c r="AD10" s="231">
        <f>_xlfn.XLOOKUP($Z10, NewCapCosts2023[Technology],NewCapCosts2023[Fixed O&amp;M (2022$/Kw-y)])*_xlfn.XLOOKUP($AC$5,GDP_deflator[Year],GDP_deflator[Multiply By (for $2005)])</f>
        <v>9.4882051115516912</v>
      </c>
      <c r="AE10" s="231">
        <f>_xlfn.XLOOKUP($Z10, NewCapCosts2023[Technology],NewCapCosts2023[Variable O&amp;Mf (2022 $/MWh)])*_xlfn.XLOOKUP($AC$5,GDP_deflator[Year],GDP_deflator[Multiply By (for $2005)])*mills_kWh_to__Million_PJ</f>
        <v>0.40398314536156821</v>
      </c>
      <c r="AF10" s="231">
        <f>_xlfn.XLOOKUP($AA10,NewCapRegionalCosts[Technology], NewCapRegionalCosts[9 (NYUP)])*_xlfn.XLOOKUP($AC$5,GDP_deflator[Year],GDP_deflator[Multiply By (for $2005)])</f>
        <v>946.79624585027022</v>
      </c>
      <c r="AG10" s="232">
        <f t="shared" si="9"/>
        <v>946.79624585027022</v>
      </c>
      <c r="AH10" s="232">
        <f t="shared" si="9"/>
        <v>946.79624585027022</v>
      </c>
      <c r="AI10" s="163" t="str">
        <f>ATB_CAPEX!$E$490</f>
        <v>NaturalGas_FE</v>
      </c>
      <c r="AJ10" s="232" t="str">
        <f>ATB_CAPEX!$F$485</f>
        <v>CTAvgCF</v>
      </c>
      <c r="AK10" s="163">
        <f>SUMIFS(ATB_CAPEX[2022],ATB_CAPEX[CostCase],"Conservative",ATB_CAPEX[Technology],$AI10, ATB_CAPEX[TechDetail],$AJ10)</f>
        <v>1348.8151364634859</v>
      </c>
      <c r="AL10" s="232">
        <f ca="1">$AH10 * SUMIFS(INDIRECT("ATB_CAPEX["&amp;AL$5&amp;"]"),ATB_CAPEX[CostCase],"Conservative",ATB_CAPEX[Technology],$AI10, ATB_CAPEX[TechDetail],$AJ10)/$AK10</f>
        <v>926.14569984031721</v>
      </c>
      <c r="AM10" s="232">
        <f ca="1">$AH10 * SUMIFS(INDIRECT("ATB_CAPEX["&amp;AM$5&amp;"]"),ATB_CAPEX[CostCase],"Conservative",ATB_CAPEX[Technology],$AI10, ATB_CAPEX[TechDetail],$AJ10)/$AK10</f>
        <v>891.80634492225124</v>
      </c>
      <c r="AN10" s="232">
        <f ca="1">$AH10 * SUMIFS(INDIRECT("ATB_CAPEX["&amp;AN$5&amp;"]"),ATB_CAPEX[CostCase],"Conservative",ATB_CAPEX[Technology],$AI10, ATB_CAPEX[TechDetail],$AJ10)/$AK10</f>
        <v>857.38876823899614</v>
      </c>
      <c r="AO10" s="232">
        <f ca="1">$AH10 * SUMIFS(INDIRECT("ATB_CAPEX["&amp;AO$5&amp;"]"),ATB_CAPEX[CostCase],"Conservative",ATB_CAPEX[Technology],$AI10, ATB_CAPEX[TechDetail],$AJ10)/$AK10</f>
        <v>823.04941332093051</v>
      </c>
      <c r="AP10" s="232">
        <f ca="1">$AH10 * SUMIFS(INDIRECT("ATB_CAPEX["&amp;AP$5&amp;"]"),ATB_CAPEX[CostCase],"Conservative",ATB_CAPEX[Technology],$AI10, ATB_CAPEX[TechDetail],$AJ10)/$AK10</f>
        <v>788.71005840286466</v>
      </c>
      <c r="AQ10" s="232">
        <f ca="1">$AH10 * SUMIFS(INDIRECT("ATB_CAPEX["&amp;AQ$5&amp;"]"),ATB_CAPEX[CostCase],"Conservative",ATB_CAPEX[Technology],$AI10, ATB_CAPEX[TechDetail],$AJ10)/$AK10</f>
        <v>754.29248171960955</v>
      </c>
      <c r="AR10" s="163">
        <f>SUMIFS(ATB_FOM[2022],ATB_FOM[CostCase],"Conservative",ATB_FOM[Technology],$AI10, ATB_FOM[TechDetail],$AJ10)</f>
        <v>26.1</v>
      </c>
      <c r="AS10" s="232">
        <f ca="1">$AB10 * SUMIFS(INDIRECT("ATB_FOM["&amp;AS$5&amp;"]"),ATB_FOM[CostCase],"Conservative",ATB_FOM[Technology],$AI10, ATB_FOM[TechDetail],$AJ10)/$AR10</f>
        <v>9.3427920063938092</v>
      </c>
      <c r="AT10" s="232">
        <f ca="1">$AB10 * SUMIFS(INDIRECT("ATB_FOM["&amp;AT$5&amp;"]"),ATB_FOM[CostCase],"Conservative",ATB_FOM[Technology],$AI10, ATB_FOM[TechDetail],$AJ10)/$AR10</f>
        <v>9.0883190723675202</v>
      </c>
      <c r="AU10" s="232">
        <f ca="1">$AB10 * SUMIFS(INDIRECT("ATB_FOM["&amp;AU$5&amp;"]"),ATB_FOM[CostCase],"Conservative",ATB_FOM[Technology],$AI10, ATB_FOM[TechDetail],$AJ10)/$AR10</f>
        <v>8.7974928620517598</v>
      </c>
      <c r="AV10" s="232">
        <f ca="1">$AB10 * SUMIFS(INDIRECT("ATB_FOM["&amp;AV$5&amp;"]"),ATB_FOM[CostCase],"Conservative",ATB_FOM[Technology],$AI10, ATB_FOM[TechDetail],$AJ10)/$AR10</f>
        <v>8.5430199280254691</v>
      </c>
      <c r="AW10" s="232">
        <f ca="1">$AB10 * SUMIFS(INDIRECT("ATB_FOM["&amp;AW$5&amp;"]"),ATB_FOM[CostCase],"Conservative",ATB_FOM[Technology],$AI10, ATB_FOM[TechDetail],$AJ10)/$AR10</f>
        <v>8.2885469939991783</v>
      </c>
      <c r="AX10" s="232">
        <f ca="1">$AB10 * SUMIFS(INDIRECT("ATB_FOM["&amp;AX$5&amp;"]"),ATB_FOM[CostCase],"Conservative",ATB_FOM[Technology],$AI10, ATB_FOM[TechDetail],$AJ10)/$AR10</f>
        <v>7.9977207836834179</v>
      </c>
      <c r="AY10" s="163">
        <f>SUMIFS(ATB_VOM[2022],ATB_VOM[CostCase],"Conservative",ATB_VOM[Technology],$AI10, ATB_VOM[TechDetail],$AJ10)</f>
        <v>6.94</v>
      </c>
      <c r="AZ10" s="232">
        <f ca="1">$AC10 * SUMIFS(INDIRECT("ATB_VOM["&amp;AZ$5&amp;"]"),ATB_VOM[CostCase],"Conservative",ATB_VOM[Technology],$AI10, ATB_VOM[TechDetail],$AJ10)/$AY10</f>
        <v>0.40398314536156821</v>
      </c>
      <c r="BA10" s="232">
        <f ca="1">$AC10 * SUMIFS(INDIRECT("ATB_VOM["&amp;BA$5&amp;"]"),ATB_VOM[CostCase],"Conservative",ATB_VOM[Technology],$AI10, ATB_VOM[TechDetail],$AJ10)/$AY10</f>
        <v>0.40398314536156821</v>
      </c>
      <c r="BB10" s="232">
        <f ca="1">$AC10 * SUMIFS(INDIRECT("ATB_VOM["&amp;BB$5&amp;"]"),ATB_VOM[CostCase],"Conservative",ATB_VOM[Technology],$AI10, ATB_VOM[TechDetail],$AJ10)/$AY10</f>
        <v>0.40398314536156821</v>
      </c>
      <c r="BC10" s="232">
        <f ca="1">$AC10 * SUMIFS(INDIRECT("ATB_VOM["&amp;BC$5&amp;"]"),ATB_VOM[CostCase],"Conservative",ATB_VOM[Technology],$AI10, ATB_VOM[TechDetail],$AJ10)/$AY10</f>
        <v>0.40398314536156821</v>
      </c>
      <c r="BD10" s="232">
        <f ca="1">$AC10 * SUMIFS(INDIRECT("ATB_VOM["&amp;BD$5&amp;"]"),ATB_VOM[CostCase],"Conservative",ATB_VOM[Technology],$AI10, ATB_VOM[TechDetail],$AJ10)/$AY10</f>
        <v>0.40398314536156821</v>
      </c>
      <c r="BE10" s="232">
        <f ca="1">$AC10 * SUMIFS(INDIRECT("ATB_VOM["&amp;BE$5&amp;"]"),ATB_VOM[CostCase],"Conservative",ATB_VOM[Technology],$AI10, ATB_VOM[TechDetail],$AJ10)/$AY10</f>
        <v>0.40398314536156821</v>
      </c>
      <c r="BF10" s="231">
        <f>_xlfn.XLOOKUP($Z10, NewCapCosts2023[Technology],NewCapCosts2023[Heat rateg (Btu/kWh)])*0.9/kWh_to_btu_hr</f>
        <v>1.6802461899179366</v>
      </c>
      <c r="BG10" s="231">
        <f>_xlfn.XLOOKUP($Z10, NewCapCosts2023[Technology],NewCapCosts2023[Heat rateg (Btu/kWh)])*0.9/kWh_to_btu_hr</f>
        <v>1.6802461899179366</v>
      </c>
      <c r="BH10" s="231">
        <f>_xlfn.XLOOKUP($Z10, NewCapCosts2023[Technology],NewCapCosts2023[Heat rateg (Btu/kWh)])*0.9/kWh_to_btu_hr</f>
        <v>1.6802461899179366</v>
      </c>
      <c r="BI10" s="231">
        <f>_xlfn.XLOOKUP($Z10, NewCapCosts2023[Technology],NewCapCosts2023[Heat rateg (Btu/kWh)])*0.9/kWh_to_btu_hr</f>
        <v>1.6802461899179366</v>
      </c>
      <c r="BJ10" s="160" t="s">
        <v>561</v>
      </c>
      <c r="BK10" s="160"/>
      <c r="BL10" s="160"/>
      <c r="BM10" s="160"/>
      <c r="BN10" s="160"/>
      <c r="BO10" s="160"/>
    </row>
    <row r="11" spans="1:67" x14ac:dyDescent="0.35">
      <c r="A11" s="160" t="s">
        <v>562</v>
      </c>
      <c r="B11" s="160" t="s">
        <v>446</v>
      </c>
      <c r="C11" s="160" t="s">
        <v>560</v>
      </c>
      <c r="D11" s="160" t="s">
        <v>561</v>
      </c>
      <c r="E11" s="160" t="s">
        <v>224</v>
      </c>
      <c r="F11" s="160" t="s">
        <v>72</v>
      </c>
      <c r="G11" s="160">
        <v>2025</v>
      </c>
      <c r="H11" s="160">
        <f t="shared" si="0"/>
        <v>31.536000000000001</v>
      </c>
      <c r="I11" s="231">
        <f t="shared" ref="I11" si="11">1/BF11</f>
        <v>0.59515088086516665</v>
      </c>
      <c r="J11" s="231">
        <f t="shared" ref="J11" si="12">1/BG11</f>
        <v>0.59515088086516665</v>
      </c>
      <c r="K11" s="231">
        <f t="shared" ref="K11" si="13">1/BH11</f>
        <v>0.59515088086516665</v>
      </c>
      <c r="L11" s="231">
        <f t="shared" ref="L11" si="14">1/BI11</f>
        <v>0.59515088086516665</v>
      </c>
      <c r="M11" s="231">
        <f t="shared" ref="M11" si="15">L11</f>
        <v>0.59515088086516665</v>
      </c>
      <c r="N11" s="231"/>
      <c r="O11" s="160" t="str">
        <f>LifetimeAssumptions!$B$8</f>
        <v>New Gas &amp; oil turbines</v>
      </c>
      <c r="P11" s="160">
        <f>_xlfn.XLOOKUP($O11, LifetimeAssumptions[technology],LifetimeAssumptions[Lifetime])</f>
        <v>30</v>
      </c>
      <c r="Q11" s="160">
        <f>_xlfn.XLOOKUP($O11, LifetimeAssumptions[technology],LifetimeAssumptions[Peak (con)])</f>
        <v>0.95</v>
      </c>
      <c r="R11" s="160">
        <f>_xlfn.XLOOKUP($O11, LifetimeAssumptions[technology],LifetimeAssumptions[Discrate])</f>
        <v>0.15000000000000002</v>
      </c>
      <c r="S11" s="160">
        <f>_xlfn.XLOOKUP($O11, LifetimeAssumptions[technology],LifetimeAssumptions[AF])</f>
        <v>0.9</v>
      </c>
      <c r="T11" s="161"/>
      <c r="U11" s="161"/>
      <c r="V11" s="161"/>
      <c r="W11" s="161"/>
      <c r="X11" s="161"/>
      <c r="Y11" s="161"/>
      <c r="Z11" s="160" t="str">
        <f>'2023 Cap Raw Data'!$A$10</f>
        <v>Combined-cycle—multi-shaft</v>
      </c>
      <c r="AA11" s="160" t="str">
        <f>'2023_Regional_Cost_Factor'!$A$9</f>
        <v>CC – multi shaft</v>
      </c>
      <c r="AB11" s="231">
        <f>_xlfn.XLOOKUP($Z11, NewCapCosts2023[Technology],NewCapCosts2023[Fixed O&amp;M (2022$/Kw-y)])*_xlfn.XLOOKUP($AC$5,GDP_deflator[Year],GDP_deflator[Multiply By (for $2005)])</f>
        <v>9.4882051115516912</v>
      </c>
      <c r="AC11" s="231">
        <f>_xlfn.XLOOKUP($Z11, NewCapCosts2023[Technology],NewCapCosts2023[Variable O&amp;Mf (2022 $/MWh)])*_xlfn.XLOOKUP($AC$5,GDP_deflator[Year],GDP_deflator[Multiply By (for $2005)])*mills_kWh_to__Million_PJ</f>
        <v>0.40398314536156821</v>
      </c>
      <c r="AD11" s="231">
        <f>_xlfn.XLOOKUP($Z11, NewCapCosts2023[Technology],NewCapCosts2023[Fixed O&amp;M (2022$/Kw-y)])*_xlfn.XLOOKUP($AC$5,GDP_deflator[Year],GDP_deflator[Multiply By (for $2005)])</f>
        <v>9.4882051115516912</v>
      </c>
      <c r="AE11" s="231">
        <f>_xlfn.XLOOKUP($Z11, NewCapCosts2023[Technology],NewCapCosts2023[Variable O&amp;Mf (2022 $/MWh)])*_xlfn.XLOOKUP($AC$5,GDP_deflator[Year],GDP_deflator[Multiply By (for $2005)])*mills_kWh_to__Million_PJ</f>
        <v>0.40398314536156821</v>
      </c>
      <c r="AF11" s="231">
        <f>_xlfn.XLOOKUP($AA11,NewCapRegionalCosts[Technology], NewCapRegionalCosts[8 (NYCW)])*_xlfn.XLOOKUP($AC$5,GDP_deflator[Year],GDP_deflator[Multiply By (for $2005)])</f>
        <v>1318.8731620299593</v>
      </c>
      <c r="AG11" s="232">
        <f t="shared" ref="AG11" si="16">AF11</f>
        <v>1318.8731620299593</v>
      </c>
      <c r="AH11" s="232">
        <f t="shared" ref="AH11" si="17">AG11</f>
        <v>1318.8731620299593</v>
      </c>
      <c r="AI11" s="163" t="str">
        <f>ATB_CAPEX!$E$490</f>
        <v>NaturalGas_FE</v>
      </c>
      <c r="AJ11" s="232" t="str">
        <f>ATB_CAPEX!$F$485</f>
        <v>CTAvgCF</v>
      </c>
      <c r="AK11" s="163">
        <f>SUMIFS(ATB_CAPEX[2022],ATB_CAPEX[CostCase],"Conservative",ATB_CAPEX[Technology],$AI11, ATB_CAPEX[TechDetail],$AJ11)</f>
        <v>1348.8151364634859</v>
      </c>
      <c r="AL11" s="232">
        <f ca="1">$AH11 * SUMIFS(INDIRECT("ATB_CAPEX["&amp;AL$5&amp;"]"),ATB_CAPEX[CostCase],"Conservative",ATB_CAPEX[Technology],$AI11, ATB_CAPEX[TechDetail],$AJ11)/$AK11</f>
        <v>1290.1072569757698</v>
      </c>
      <c r="AM11" s="232">
        <f ca="1">$AH11 * SUMIFS(INDIRECT("ATB_CAPEX["&amp;AM$5&amp;"]"),ATB_CAPEX[CostCase],"Conservative",ATB_CAPEX[Technology],$AI11, ATB_CAPEX[TechDetail],$AJ11)/$AK11</f>
        <v>1242.2730436470229</v>
      </c>
      <c r="AN11" s="232">
        <f ca="1">$AH11 * SUMIFS(INDIRECT("ATB_CAPEX["&amp;AN$5&amp;"]"),ATB_CAPEX[CostCase],"Conservative",ATB_CAPEX[Technology],$AI11, ATB_CAPEX[TechDetail],$AJ11)/$AK11</f>
        <v>1194.329868556707</v>
      </c>
      <c r="AO11" s="232">
        <f ca="1">$AH11 * SUMIFS(INDIRECT("ATB_CAPEX["&amp;AO$5&amp;"]"),ATB_CAPEX[CostCase],"Conservative",ATB_CAPEX[Technology],$AI11, ATB_CAPEX[TechDetail],$AJ11)/$AK11</f>
        <v>1146.4956552279602</v>
      </c>
      <c r="AP11" s="232">
        <f ca="1">$AH11 * SUMIFS(INDIRECT("ATB_CAPEX["&amp;AP$5&amp;"]"),ATB_CAPEX[CostCase],"Conservative",ATB_CAPEX[Technology],$AI11, ATB_CAPEX[TechDetail],$AJ11)/$AK11</f>
        <v>1098.6614418992133</v>
      </c>
      <c r="AQ11" s="232">
        <f ca="1">$AH11 * SUMIFS(INDIRECT("ATB_CAPEX["&amp;AQ$5&amp;"]"),ATB_CAPEX[CostCase],"Conservative",ATB_CAPEX[Technology],$AI11, ATB_CAPEX[TechDetail],$AJ11)/$AK11</f>
        <v>1050.7182668088974</v>
      </c>
      <c r="AR11" s="163">
        <f>SUMIFS(ATB_FOM[2022],ATB_FOM[CostCase],"Conservative",ATB_FOM[Technology],$AI11, ATB_FOM[TechDetail],$AJ11)</f>
        <v>26.1</v>
      </c>
      <c r="AS11" s="232">
        <f ca="1">$AB11 * SUMIFS(INDIRECT("ATB_FOM["&amp;AS$5&amp;"]"),ATB_FOM[CostCase],"Conservative",ATB_FOM[Technology],$AI11, ATB_FOM[TechDetail],$AJ11)/$AR11</f>
        <v>9.3427920063938092</v>
      </c>
      <c r="AT11" s="232">
        <f ca="1">$AB11 * SUMIFS(INDIRECT("ATB_FOM["&amp;AT$5&amp;"]"),ATB_FOM[CostCase],"Conservative",ATB_FOM[Technology],$AI11, ATB_FOM[TechDetail],$AJ11)/$AR11</f>
        <v>9.0883190723675202</v>
      </c>
      <c r="AU11" s="232">
        <f ca="1">$AB11 * SUMIFS(INDIRECT("ATB_FOM["&amp;AU$5&amp;"]"),ATB_FOM[CostCase],"Conservative",ATB_FOM[Technology],$AI11, ATB_FOM[TechDetail],$AJ11)/$AR11</f>
        <v>8.7974928620517598</v>
      </c>
      <c r="AV11" s="232">
        <f ca="1">$AB11 * SUMIFS(INDIRECT("ATB_FOM["&amp;AV$5&amp;"]"),ATB_FOM[CostCase],"Conservative",ATB_FOM[Technology],$AI11, ATB_FOM[TechDetail],$AJ11)/$AR11</f>
        <v>8.5430199280254691</v>
      </c>
      <c r="AW11" s="232">
        <f ca="1">$AB11 * SUMIFS(INDIRECT("ATB_FOM["&amp;AW$5&amp;"]"),ATB_FOM[CostCase],"Conservative",ATB_FOM[Technology],$AI11, ATB_FOM[TechDetail],$AJ11)/$AR11</f>
        <v>8.2885469939991783</v>
      </c>
      <c r="AX11" s="232">
        <f ca="1">$AB11 * SUMIFS(INDIRECT("ATB_FOM["&amp;AX$5&amp;"]"),ATB_FOM[CostCase],"Conservative",ATB_FOM[Technology],$AI11, ATB_FOM[TechDetail],$AJ11)/$AR11</f>
        <v>7.9977207836834179</v>
      </c>
      <c r="AY11" s="163">
        <f>SUMIFS(ATB_VOM[2022],ATB_VOM[CostCase],"Conservative",ATB_VOM[Technology],$AI11, ATB_VOM[TechDetail],$AJ11)</f>
        <v>6.94</v>
      </c>
      <c r="AZ11" s="232">
        <f ca="1">$AC11 * SUMIFS(INDIRECT("ATB_VOM["&amp;AZ$5&amp;"]"),ATB_VOM[CostCase],"Conservative",ATB_VOM[Technology],$AI11, ATB_VOM[TechDetail],$AJ11)/$AY11</f>
        <v>0.40398314536156821</v>
      </c>
      <c r="BA11" s="232">
        <f ca="1">$AC11 * SUMIFS(INDIRECT("ATB_VOM["&amp;BA$5&amp;"]"),ATB_VOM[CostCase],"Conservative",ATB_VOM[Technology],$AI11, ATB_VOM[TechDetail],$AJ11)/$AY11</f>
        <v>0.40398314536156821</v>
      </c>
      <c r="BB11" s="232">
        <f ca="1">$AC11 * SUMIFS(INDIRECT("ATB_VOM["&amp;BB$5&amp;"]"),ATB_VOM[CostCase],"Conservative",ATB_VOM[Technology],$AI11, ATB_VOM[TechDetail],$AJ11)/$AY11</f>
        <v>0.40398314536156821</v>
      </c>
      <c r="BC11" s="232">
        <f ca="1">$AC11 * SUMIFS(INDIRECT("ATB_VOM["&amp;BC$5&amp;"]"),ATB_VOM[CostCase],"Conservative",ATB_VOM[Technology],$AI11, ATB_VOM[TechDetail],$AJ11)/$AY11</f>
        <v>0.40398314536156821</v>
      </c>
      <c r="BD11" s="232">
        <f ca="1">$AC11 * SUMIFS(INDIRECT("ATB_VOM["&amp;BD$5&amp;"]"),ATB_VOM[CostCase],"Conservative",ATB_VOM[Technology],$AI11, ATB_VOM[TechDetail],$AJ11)/$AY11</f>
        <v>0.40398314536156821</v>
      </c>
      <c r="BE11" s="232">
        <f ca="1">$AC11 * SUMIFS(INDIRECT("ATB_VOM["&amp;BE$5&amp;"]"),ATB_VOM[CostCase],"Conservative",ATB_VOM[Technology],$AI11, ATB_VOM[TechDetail],$AJ11)/$AY11</f>
        <v>0.40398314536156821</v>
      </c>
      <c r="BF11" s="231">
        <f>_xlfn.XLOOKUP($Z11, NewCapCosts2023[Technology],NewCapCosts2023[Heat rateg (Btu/kWh)])*0.9/kWh_to_btu_hr</f>
        <v>1.6802461899179366</v>
      </c>
      <c r="BG11" s="231">
        <f>_xlfn.XLOOKUP($Z11, NewCapCosts2023[Technology],NewCapCosts2023[Heat rateg (Btu/kWh)])*0.9/kWh_to_btu_hr</f>
        <v>1.6802461899179366</v>
      </c>
      <c r="BH11" s="231">
        <f>_xlfn.XLOOKUP($Z11, NewCapCosts2023[Technology],NewCapCosts2023[Heat rateg (Btu/kWh)])*0.9/kWh_to_btu_hr</f>
        <v>1.6802461899179366</v>
      </c>
      <c r="BI11" s="231">
        <f>_xlfn.XLOOKUP($Z11, NewCapCosts2023[Technology],NewCapCosts2023[Heat rateg (Btu/kWh)])*0.9/kWh_to_btu_hr</f>
        <v>1.6802461899179366</v>
      </c>
      <c r="BJ11" s="160" t="s">
        <v>561</v>
      </c>
      <c r="BK11" s="160"/>
      <c r="BL11" s="160"/>
      <c r="BM11" s="160"/>
      <c r="BN11" s="160"/>
      <c r="BO11" s="160"/>
    </row>
    <row r="12" spans="1:67" x14ac:dyDescent="0.35">
      <c r="A12" s="160" t="s">
        <v>455</v>
      </c>
      <c r="B12" s="160" t="s">
        <v>456</v>
      </c>
      <c r="C12" s="160" t="s">
        <v>560</v>
      </c>
      <c r="D12" s="160" t="s">
        <v>71</v>
      </c>
      <c r="E12" s="160" t="s">
        <v>222</v>
      </c>
      <c r="F12" s="160" t="s">
        <v>72</v>
      </c>
      <c r="G12" s="160">
        <v>2011</v>
      </c>
      <c r="H12" s="160">
        <f t="shared" si="0"/>
        <v>31.536000000000001</v>
      </c>
      <c r="I12" s="231">
        <f t="shared" si="1"/>
        <v>0.34726675012467811</v>
      </c>
      <c r="J12" s="231">
        <f t="shared" si="2"/>
        <v>0.36278575225943643</v>
      </c>
      <c r="K12" s="231">
        <f t="shared" si="3"/>
        <v>0.36278575225943643</v>
      </c>
      <c r="L12" s="231">
        <f t="shared" si="4"/>
        <v>0.36278575225943643</v>
      </c>
      <c r="M12" s="231">
        <f t="shared" si="6"/>
        <v>0.36278575225943643</v>
      </c>
      <c r="N12" s="231"/>
      <c r="O12" s="160" t="str">
        <f>LifetimeAssumptions!$B$7</f>
        <v>Existing Gas &amp; oil turbines</v>
      </c>
      <c r="P12" s="160">
        <f>_xlfn.XLOOKUP($O12, LifetimeAssumptions[technology],LifetimeAssumptions[Lifetime])</f>
        <v>50</v>
      </c>
      <c r="Q12" s="160">
        <f>_xlfn.XLOOKUP($O12, LifetimeAssumptions[technology],LifetimeAssumptions[Peak (con)])</f>
        <v>0.95</v>
      </c>
      <c r="R12" s="160">
        <f>_xlfn.XLOOKUP($O12, LifetimeAssumptions[technology],LifetimeAssumptions[Discrate])</f>
        <v>0.15000000000000002</v>
      </c>
      <c r="S12" s="160">
        <f>_xlfn.XLOOKUP($O12, LifetimeAssumptions[technology],LifetimeAssumptions[AF])</f>
        <v>0.9</v>
      </c>
      <c r="T12" s="161">
        <v>0</v>
      </c>
      <c r="U12" s="161">
        <v>0</v>
      </c>
      <c r="V12" s="161">
        <v>0</v>
      </c>
      <c r="W12" s="161">
        <v>0</v>
      </c>
      <c r="X12" s="161">
        <v>0</v>
      </c>
      <c r="Y12" s="161">
        <v>0</v>
      </c>
      <c r="Z12" s="160" t="str">
        <f>'2013 Cap Raw Data'!$A$11</f>
        <v>Conv Combustion Turbine</v>
      </c>
      <c r="AA12" s="160"/>
      <c r="AB12" s="231">
        <f>_xlfn.XLOOKUP($Z12, NewCapCosts2013[Technology],NewCapCosts2013[Fixed O&amp;M ($2012/kW)])*_xlfn.XLOOKUP($AB$5,GDP_deflator[Year],GDP_deflator[Multiply By (for $2005)])</f>
        <v>6.4240064388045282</v>
      </c>
      <c r="AC12" s="231">
        <f>_xlfn.XLOOKUP($Z12, NewCapCosts2013[Technology],NewCapCosts2013[Variable O&amp;M ($2012 mills/kWh)])*_xlfn.XLOOKUP($AB$5,GDP_deflator[Year],GDP_deflator[Multiply By (for $2005)])*mills_kWh_to__Million_PJ</f>
        <v>3.7560891416715849</v>
      </c>
      <c r="AD12" s="231">
        <f>_xlfn.XLOOKUP($Z12, NewCapCosts2013[Technology],NewCapCosts2013[Fixed O&amp;M ($2012/kW)])*_xlfn.XLOOKUP($AB$5,GDP_deflator[Year],GDP_deflator[Multiply By (for $2005)])</f>
        <v>6.4240064388045282</v>
      </c>
      <c r="AE12" s="231">
        <f>_xlfn.XLOOKUP($Z12, NewCapCosts2013[Technology],NewCapCosts2013[Variable O&amp;M ($2012 mills/kWh)])*_xlfn.XLOOKUP($AB$5,GDP_deflator[Year],GDP_deflator[Multiply By (for $2005)])*mills_kWh_to__Million_PJ</f>
        <v>3.7560891416715849</v>
      </c>
      <c r="AF12" s="232">
        <f>_xlfn.XLOOKUP($Z12, NewCapCosts2013[Technology],NewCapCosts2013[Base Overnight Costs in 2012 ($2012/kW)])*_xlfn.XLOOKUP($AB$5,GDP_deflator[Year],GDP_deflator[Multiply By (for $2005)])</f>
        <v>808.68963889037934</v>
      </c>
      <c r="AG12" s="232">
        <f t="shared" ref="AG12:AH12" si="18">AF12</f>
        <v>808.68963889037934</v>
      </c>
      <c r="AH12" s="232">
        <f t="shared" si="18"/>
        <v>808.68963889037934</v>
      </c>
      <c r="AI12" s="163" t="str">
        <f>ATB_CAPEX!$E$490</f>
        <v>NaturalGas_FE</v>
      </c>
      <c r="AJ12" s="232" t="str">
        <f>ATB_CAPEX!$F$488</f>
        <v>CCAvgCF</v>
      </c>
      <c r="AK12" s="163">
        <f>SUMIFS(ATB_CAPEX[2022],ATB_CAPEX[CostCase],"Conservative",ATB_CAPEX[Technology],$AI12, ATB_CAPEX[TechDetail],$AJ12)</f>
        <v>1499.2530441159731</v>
      </c>
      <c r="AL12" s="232">
        <f ca="1">$AH12 * SUMIFS(INDIRECT("ATB_CAPEX["&amp;AL$5&amp;"]"),ATB_CAPEX[CostCase],"Conservative",ATB_CAPEX[Technology],$AI12, ATB_CAPEX[TechDetail],$AJ12)/$AK12</f>
        <v>793.78291743617876</v>
      </c>
      <c r="AM12" s="232">
        <f ca="1">$AH12 * SUMIFS(INDIRECT("ATB_CAPEX["&amp;AM$5&amp;"]"),ATB_CAPEX[CostCase],"Conservative",ATB_CAPEX[Technology],$AI12, ATB_CAPEX[TechDetail],$AJ12)/$AK12</f>
        <v>768.89830984731179</v>
      </c>
      <c r="AN12" s="232">
        <f ca="1">$AH12 * SUMIFS(INDIRECT("ATB_CAPEX["&amp;AN$5&amp;"]"),ATB_CAPEX[CostCase],"Conservative",ATB_CAPEX[Technology],$AI12, ATB_CAPEX[TechDetail],$AJ12)/$AK12</f>
        <v>744.0137022584446</v>
      </c>
      <c r="AO12" s="232">
        <f ca="1">$AH12 * SUMIFS(INDIRECT("ATB_CAPEX["&amp;AO$5&amp;"]"),ATB_CAPEX[CostCase],"Conservative",ATB_CAPEX[Technology],$AI12, ATB_CAPEX[TechDetail],$AJ12)/$AK12</f>
        <v>719.12909466957763</v>
      </c>
      <c r="AP12" s="232">
        <f ca="1">$AH12 * SUMIFS(INDIRECT("ATB_CAPEX["&amp;AP$5&amp;"]"),ATB_CAPEX[CostCase],"Conservative",ATB_CAPEX[Technology],$AI12, ATB_CAPEX[TechDetail],$AJ12)/$AK12</f>
        <v>694.24448708071066</v>
      </c>
      <c r="AQ12" s="232">
        <f ca="1">$AH12 * SUMIFS(INDIRECT("ATB_CAPEX["&amp;AQ$5&amp;"]"),ATB_CAPEX[CostCase],"Conservative",ATB_CAPEX[Technology],$AI12, ATB_CAPEX[TechDetail],$AJ12)/$AK12</f>
        <v>669.41998723964286</v>
      </c>
      <c r="AR12" s="163">
        <f>SUMIFS(ATB_FOM[2022],ATB_FOM[CostCase],"Conservative",ATB_FOM[Technology],$AI12, ATB_FOM[TechDetail],$AJ12)</f>
        <v>34.5</v>
      </c>
      <c r="AS12" s="232">
        <f ca="1">$AB12 * SUMIFS(INDIRECT("ATB_FOM["&amp;AS$5&amp;"]"),ATB_FOM[CostCase],"Conservative",ATB_FOM[Technology],$AI12, ATB_FOM[TechDetail],$AJ12)/$AR12</f>
        <v>6.3122845876948839</v>
      </c>
      <c r="AT12" s="232">
        <f ca="1">$AB12 * SUMIFS(INDIRECT("ATB_FOM["&amp;AT$5&amp;"]"),ATB_FOM[CostCase],"Conservative",ATB_FOM[Technology],$AI12, ATB_FOM[TechDetail],$AJ12)/$AR12</f>
        <v>6.1074611939938697</v>
      </c>
      <c r="AU12" s="232">
        <f ca="1">$AB12 * SUMIFS(INDIRECT("ATB_FOM["&amp;AU$5&amp;"]"),ATB_FOM[CostCase],"Conservative",ATB_FOM[Technology],$AI12, ATB_FOM[TechDetail],$AJ12)/$AR12</f>
        <v>5.9212581088111307</v>
      </c>
      <c r="AV12" s="232">
        <f ca="1">$AB12 * SUMIFS(INDIRECT("ATB_FOM["&amp;AV$5&amp;"]"),ATB_FOM[CostCase],"Conservative",ATB_FOM[Technology],$AI12, ATB_FOM[TechDetail],$AJ12)/$AR12</f>
        <v>5.7350550236283908</v>
      </c>
      <c r="AW12" s="232">
        <f ca="1">$AB12 * SUMIFS(INDIRECT("ATB_FOM["&amp;AW$5&amp;"]"),ATB_FOM[CostCase],"Conservative",ATB_FOM[Technology],$AI12, ATB_FOM[TechDetail],$AJ12)/$AR12</f>
        <v>5.5488519384456509</v>
      </c>
      <c r="AX12" s="232">
        <f ca="1">$AB12 * SUMIFS(INDIRECT("ATB_FOM["&amp;AX$5&amp;"]"),ATB_FOM[CostCase],"Conservative",ATB_FOM[Technology],$AI12, ATB_FOM[TechDetail],$AJ12)/$AR12</f>
        <v>5.3626488532629111</v>
      </c>
      <c r="AY12" s="163">
        <f>SUMIFS(ATB_VOM[2022],ATB_VOM[CostCase],"Conservative",ATB_VOM[Technology],$AI12, ATB_VOM[TechDetail],$AJ12)</f>
        <v>2.17</v>
      </c>
      <c r="AZ12" s="232">
        <f ca="1">$AC12 * SUMIFS(INDIRECT("ATB_VOM["&amp;AZ$5&amp;"]"),ATB_VOM[CostCase],"Conservative",ATB_VOM[Technology],$AI12, ATB_VOM[TechDetail],$AJ12)/$AY12</f>
        <v>3.704161642017139</v>
      </c>
      <c r="BA12" s="232">
        <f ca="1">$AC12 * SUMIFS(INDIRECT("ATB_VOM["&amp;BA$5&amp;"]"),ATB_VOM[CostCase],"Conservative",ATB_VOM[Technology],$AI12, ATB_VOM[TechDetail],$AJ12)/$AY12</f>
        <v>3.6003066427082477</v>
      </c>
      <c r="BB12" s="232">
        <f ca="1">$AC12 * SUMIFS(INDIRECT("ATB_VOM["&amp;BB$5&amp;"]"),ATB_VOM[CostCase],"Conservative",ATB_VOM[Technology],$AI12, ATB_VOM[TechDetail],$AJ12)/$AY12</f>
        <v>3.5137608099508371</v>
      </c>
      <c r="BC12" s="232">
        <f ca="1">$AC12 * SUMIFS(INDIRECT("ATB_VOM["&amp;BC$5&amp;"]"),ATB_VOM[CostCase],"Conservative",ATB_VOM[Technology],$AI12, ATB_VOM[TechDetail],$AJ12)/$AY12</f>
        <v>3.4272149771934277</v>
      </c>
      <c r="BD12" s="232">
        <f ca="1">$AC12 * SUMIFS(INDIRECT("ATB_VOM["&amp;BD$5&amp;"]"),ATB_VOM[CostCase],"Conservative",ATB_VOM[Technology],$AI12, ATB_VOM[TechDetail],$AJ12)/$AY12</f>
        <v>3.3406691444360179</v>
      </c>
      <c r="BE12" s="232">
        <f ca="1">$AC12 * SUMIFS(INDIRECT("ATB_VOM["&amp;BE$5&amp;"]"),ATB_VOM[CostCase],"Conservative",ATB_VOM[Technology],$AI12, ATB_VOM[TechDetail],$AJ12)/$AY12</f>
        <v>3.2368141451271266</v>
      </c>
      <c r="BF12" s="231">
        <f>_xlfn.XLOOKUP($Z12, NewCapCosts2013[Technology],NewCapCosts2013[Heatrate in 2013 (Btu/kWhr)])*0.9/kWh_to_btu_hr</f>
        <v>2.8796307151230951</v>
      </c>
      <c r="BG12" s="231">
        <f>_xlfn.XLOOKUP($Z12, NewCapCosts2013[Technology],NewCapCosts2013[Heatrate nth-of-a-kind (Btu/kWr)])*0.9/kWh_to_btu_hr</f>
        <v>2.7564478311840563</v>
      </c>
      <c r="BH12" s="231">
        <f>_xlfn.XLOOKUP($Z12, NewCapCosts2013[Technology],NewCapCosts2013[Heatrate nth-of-a-kind (Btu/kWr)])*0.9/kWh_to_btu_hr</f>
        <v>2.7564478311840563</v>
      </c>
      <c r="BI12" s="231">
        <f>_xlfn.XLOOKUP($Z12, NewCapCosts2013[Technology],NewCapCosts2013[Heatrate nth-of-a-kind (Btu/kWr)])*0.9/kWh_to_btu_hr</f>
        <v>2.7564478311840563</v>
      </c>
      <c r="BJ12" s="160" t="s">
        <v>561</v>
      </c>
      <c r="BK12" s="160"/>
      <c r="BL12" s="160"/>
      <c r="BM12" s="160"/>
      <c r="BN12" s="160"/>
      <c r="BO12" s="160"/>
    </row>
    <row r="13" spans="1:67" x14ac:dyDescent="0.35">
      <c r="A13" s="160" t="s">
        <v>457</v>
      </c>
      <c r="B13" s="160" t="s">
        <v>456</v>
      </c>
      <c r="C13" s="160" t="s">
        <v>560</v>
      </c>
      <c r="D13" s="160" t="s">
        <v>76</v>
      </c>
      <c r="E13" s="160" t="s">
        <v>222</v>
      </c>
      <c r="F13" s="160" t="s">
        <v>72</v>
      </c>
      <c r="G13" s="160">
        <v>2015</v>
      </c>
      <c r="H13" s="160">
        <f t="shared" si="0"/>
        <v>31.536000000000001</v>
      </c>
      <c r="I13" s="231">
        <f t="shared" si="1"/>
        <v>0.34726675012467811</v>
      </c>
      <c r="J13" s="231">
        <f t="shared" si="2"/>
        <v>0.36278575225943643</v>
      </c>
      <c r="K13" s="231">
        <f t="shared" si="3"/>
        <v>0.36278575225943643</v>
      </c>
      <c r="L13" s="231">
        <f t="shared" si="4"/>
        <v>0.36278575225943643</v>
      </c>
      <c r="M13" s="231">
        <f t="shared" si="6"/>
        <v>0.36278575225943643</v>
      </c>
      <c r="N13" s="231"/>
      <c r="O13" s="160" t="str">
        <f>LifetimeAssumptions!$B$7</f>
        <v>Existing Gas &amp; oil turbines</v>
      </c>
      <c r="P13" s="160">
        <f>_xlfn.XLOOKUP($O13, LifetimeAssumptions[technology],LifetimeAssumptions[Lifetime])</f>
        <v>50</v>
      </c>
      <c r="Q13" s="160">
        <f>_xlfn.XLOOKUP($O13, LifetimeAssumptions[technology],LifetimeAssumptions[Peak (con)])</f>
        <v>0.95</v>
      </c>
      <c r="R13" s="160">
        <f>_xlfn.XLOOKUP($O13, LifetimeAssumptions[technology],LifetimeAssumptions[Discrate])</f>
        <v>0.15000000000000002</v>
      </c>
      <c r="S13" s="160">
        <f>_xlfn.XLOOKUP($O13, LifetimeAssumptions[technology],LifetimeAssumptions[AF])</f>
        <v>0.9</v>
      </c>
      <c r="T13" s="161"/>
      <c r="U13" s="161">
        <v>0</v>
      </c>
      <c r="V13" s="161">
        <v>0</v>
      </c>
      <c r="W13" s="161">
        <v>0</v>
      </c>
      <c r="X13" s="161">
        <v>0</v>
      </c>
      <c r="Y13" s="161">
        <v>0</v>
      </c>
      <c r="Z13" s="160" t="str">
        <f>'2013 Cap Raw Data'!$A$11</f>
        <v>Conv Combustion Turbine</v>
      </c>
      <c r="AA13" s="160"/>
      <c r="AB13" s="231">
        <f>_xlfn.XLOOKUP($Z13, NewCapCosts2013[Technology],NewCapCosts2013[Fixed O&amp;M ($2012/kW)])*_xlfn.XLOOKUP($AB$5,GDP_deflator[Year],GDP_deflator[Multiply By (for $2005)])</f>
        <v>6.4240064388045282</v>
      </c>
      <c r="AC13" s="231">
        <f>_xlfn.XLOOKUP($Z13, NewCapCosts2013[Technology],NewCapCosts2013[Variable O&amp;M ($2012 mills/kWh)])*_xlfn.XLOOKUP($AB$5,GDP_deflator[Year],GDP_deflator[Multiply By (for $2005)])*mills_kWh_to__Million_PJ</f>
        <v>3.7560891416715849</v>
      </c>
      <c r="AD13" s="231">
        <f>_xlfn.XLOOKUP($Z13, NewCapCosts2013[Technology],NewCapCosts2013[Fixed O&amp;M ($2012/kW)])*_xlfn.XLOOKUP($AB$5,GDP_deflator[Year],GDP_deflator[Multiply By (for $2005)])</f>
        <v>6.4240064388045282</v>
      </c>
      <c r="AE13" s="231">
        <f>_xlfn.XLOOKUP($Z13, NewCapCosts2013[Technology],NewCapCosts2013[Variable O&amp;M ($2012 mills/kWh)])*_xlfn.XLOOKUP($AB$5,GDP_deflator[Year],GDP_deflator[Multiply By (for $2005)])*mills_kWh_to__Million_PJ</f>
        <v>3.7560891416715849</v>
      </c>
      <c r="AF13" s="232">
        <f>_xlfn.XLOOKUP($Z13, NewCapCosts2013[Technology],NewCapCosts2013[Base Overnight Costs in 2012 ($2012/kW)])*_xlfn.XLOOKUP($AB$5,GDP_deflator[Year],GDP_deflator[Multiply By (for $2005)])</f>
        <v>808.68963889037934</v>
      </c>
      <c r="AG13" s="232">
        <f t="shared" ref="AG13:AH13" si="19">AF13</f>
        <v>808.68963889037934</v>
      </c>
      <c r="AH13" s="232">
        <f t="shared" si="19"/>
        <v>808.68963889037934</v>
      </c>
      <c r="AI13" s="163" t="str">
        <f>ATB_CAPEX!$E$490</f>
        <v>NaturalGas_FE</v>
      </c>
      <c r="AJ13" s="232" t="str">
        <f>ATB_CAPEX!$F$488</f>
        <v>CCAvgCF</v>
      </c>
      <c r="AK13" s="163">
        <f>SUMIFS(ATB_CAPEX[2022],ATB_CAPEX[CostCase],"Conservative",ATB_CAPEX[Technology],$AI13, ATB_CAPEX[TechDetail],$AJ13)</f>
        <v>1499.2530441159731</v>
      </c>
      <c r="AL13" s="232">
        <f ca="1">$AH13 * SUMIFS(INDIRECT("ATB_CAPEX["&amp;AL$5&amp;"]"),ATB_CAPEX[CostCase],"Conservative",ATB_CAPEX[Technology],$AI13, ATB_CAPEX[TechDetail],$AJ13)/$AK13</f>
        <v>793.78291743617876</v>
      </c>
      <c r="AM13" s="232">
        <f ca="1">$AH13 * SUMIFS(INDIRECT("ATB_CAPEX["&amp;AM$5&amp;"]"),ATB_CAPEX[CostCase],"Conservative",ATB_CAPEX[Technology],$AI13, ATB_CAPEX[TechDetail],$AJ13)/$AK13</f>
        <v>768.89830984731179</v>
      </c>
      <c r="AN13" s="232">
        <f ca="1">$AH13 * SUMIFS(INDIRECT("ATB_CAPEX["&amp;AN$5&amp;"]"),ATB_CAPEX[CostCase],"Conservative",ATB_CAPEX[Technology],$AI13, ATB_CAPEX[TechDetail],$AJ13)/$AK13</f>
        <v>744.0137022584446</v>
      </c>
      <c r="AO13" s="232">
        <f ca="1">$AH13 * SUMIFS(INDIRECT("ATB_CAPEX["&amp;AO$5&amp;"]"),ATB_CAPEX[CostCase],"Conservative",ATB_CAPEX[Technology],$AI13, ATB_CAPEX[TechDetail],$AJ13)/$AK13</f>
        <v>719.12909466957763</v>
      </c>
      <c r="AP13" s="232">
        <f ca="1">$AH13 * SUMIFS(INDIRECT("ATB_CAPEX["&amp;AP$5&amp;"]"),ATB_CAPEX[CostCase],"Conservative",ATB_CAPEX[Technology],$AI13, ATB_CAPEX[TechDetail],$AJ13)/$AK13</f>
        <v>694.24448708071066</v>
      </c>
      <c r="AQ13" s="232">
        <f ca="1">$AH13 * SUMIFS(INDIRECT("ATB_CAPEX["&amp;AQ$5&amp;"]"),ATB_CAPEX[CostCase],"Conservative",ATB_CAPEX[Technology],$AI13, ATB_CAPEX[TechDetail],$AJ13)/$AK13</f>
        <v>669.41998723964286</v>
      </c>
      <c r="AR13" s="163">
        <f>SUMIFS(ATB_FOM[2022],ATB_FOM[CostCase],"Conservative",ATB_FOM[Technology],$AI13, ATB_FOM[TechDetail],$AJ13)</f>
        <v>34.5</v>
      </c>
      <c r="AS13" s="232">
        <f ca="1">$AB13 * SUMIFS(INDIRECT("ATB_FOM["&amp;AS$5&amp;"]"),ATB_FOM[CostCase],"Conservative",ATB_FOM[Technology],$AI13, ATB_FOM[TechDetail],$AJ13)/$AR13</f>
        <v>6.3122845876948839</v>
      </c>
      <c r="AT13" s="232">
        <f ca="1">$AB13 * SUMIFS(INDIRECT("ATB_FOM["&amp;AT$5&amp;"]"),ATB_FOM[CostCase],"Conservative",ATB_FOM[Technology],$AI13, ATB_FOM[TechDetail],$AJ13)/$AR13</f>
        <v>6.1074611939938697</v>
      </c>
      <c r="AU13" s="232">
        <f ca="1">$AB13 * SUMIFS(INDIRECT("ATB_FOM["&amp;AU$5&amp;"]"),ATB_FOM[CostCase],"Conservative",ATB_FOM[Technology],$AI13, ATB_FOM[TechDetail],$AJ13)/$AR13</f>
        <v>5.9212581088111307</v>
      </c>
      <c r="AV13" s="232">
        <f ca="1">$AB13 * SUMIFS(INDIRECT("ATB_FOM["&amp;AV$5&amp;"]"),ATB_FOM[CostCase],"Conservative",ATB_FOM[Technology],$AI13, ATB_FOM[TechDetail],$AJ13)/$AR13</f>
        <v>5.7350550236283908</v>
      </c>
      <c r="AW13" s="232">
        <f ca="1">$AB13 * SUMIFS(INDIRECT("ATB_FOM["&amp;AW$5&amp;"]"),ATB_FOM[CostCase],"Conservative",ATB_FOM[Technology],$AI13, ATB_FOM[TechDetail],$AJ13)/$AR13</f>
        <v>5.5488519384456509</v>
      </c>
      <c r="AX13" s="232">
        <f ca="1">$AB13 * SUMIFS(INDIRECT("ATB_FOM["&amp;AX$5&amp;"]"),ATB_FOM[CostCase],"Conservative",ATB_FOM[Technology],$AI13, ATB_FOM[TechDetail],$AJ13)/$AR13</f>
        <v>5.3626488532629111</v>
      </c>
      <c r="AY13" s="163">
        <f>SUMIFS(ATB_VOM[2022],ATB_VOM[CostCase],"Conservative",ATB_VOM[Technology],$AI13, ATB_VOM[TechDetail],$AJ13)</f>
        <v>2.17</v>
      </c>
      <c r="AZ13" s="232">
        <f ca="1">$AC13 * SUMIFS(INDIRECT("ATB_VOM["&amp;AZ$5&amp;"]"),ATB_VOM[CostCase],"Conservative",ATB_VOM[Technology],$AI13, ATB_VOM[TechDetail],$AJ13)/$AY13</f>
        <v>3.704161642017139</v>
      </c>
      <c r="BA13" s="232">
        <f ca="1">$AC13 * SUMIFS(INDIRECT("ATB_VOM["&amp;BA$5&amp;"]"),ATB_VOM[CostCase],"Conservative",ATB_VOM[Technology],$AI13, ATB_VOM[TechDetail],$AJ13)/$AY13</f>
        <v>3.6003066427082477</v>
      </c>
      <c r="BB13" s="232">
        <f ca="1">$AC13 * SUMIFS(INDIRECT("ATB_VOM["&amp;BB$5&amp;"]"),ATB_VOM[CostCase],"Conservative",ATB_VOM[Technology],$AI13, ATB_VOM[TechDetail],$AJ13)/$AY13</f>
        <v>3.5137608099508371</v>
      </c>
      <c r="BC13" s="232">
        <f ca="1">$AC13 * SUMIFS(INDIRECT("ATB_VOM["&amp;BC$5&amp;"]"),ATB_VOM[CostCase],"Conservative",ATB_VOM[Technology],$AI13, ATB_VOM[TechDetail],$AJ13)/$AY13</f>
        <v>3.4272149771934277</v>
      </c>
      <c r="BD13" s="232">
        <f ca="1">$AC13 * SUMIFS(INDIRECT("ATB_VOM["&amp;BD$5&amp;"]"),ATB_VOM[CostCase],"Conservative",ATB_VOM[Technology],$AI13, ATB_VOM[TechDetail],$AJ13)/$AY13</f>
        <v>3.3406691444360179</v>
      </c>
      <c r="BE13" s="232">
        <f ca="1">$AC13 * SUMIFS(INDIRECT("ATB_VOM["&amp;BE$5&amp;"]"),ATB_VOM[CostCase],"Conservative",ATB_VOM[Technology],$AI13, ATB_VOM[TechDetail],$AJ13)/$AY13</f>
        <v>3.2368141451271266</v>
      </c>
      <c r="BF13" s="231">
        <f>_xlfn.XLOOKUP($Z13, NewCapCosts2013[Technology],NewCapCosts2013[Heatrate in 2013 (Btu/kWhr)])*0.9/kWh_to_btu_hr</f>
        <v>2.8796307151230951</v>
      </c>
      <c r="BG13" s="231">
        <f>_xlfn.XLOOKUP($Z13, NewCapCosts2013[Technology],NewCapCosts2013[Heatrate nth-of-a-kind (Btu/kWr)])*0.9/kWh_to_btu_hr</f>
        <v>2.7564478311840563</v>
      </c>
      <c r="BH13" s="231">
        <f>_xlfn.XLOOKUP($Z13, NewCapCosts2013[Technology],NewCapCosts2013[Heatrate nth-of-a-kind (Btu/kWr)])*0.9/kWh_to_btu_hr</f>
        <v>2.7564478311840563</v>
      </c>
      <c r="BI13" s="231">
        <f>_xlfn.XLOOKUP($Z13, NewCapCosts2013[Technology],NewCapCosts2013[Heatrate nth-of-a-kind (Btu/kWr)])*0.9/kWh_to_btu_hr</f>
        <v>2.7564478311840563</v>
      </c>
      <c r="BJ13" s="160" t="s">
        <v>561</v>
      </c>
      <c r="BK13" s="160"/>
      <c r="BL13" s="160"/>
      <c r="BM13" s="160"/>
      <c r="BN13" s="160"/>
      <c r="BO13" s="160"/>
    </row>
    <row r="14" spans="1:67" x14ac:dyDescent="0.35">
      <c r="A14" s="160" t="s">
        <v>458</v>
      </c>
      <c r="B14" s="160" t="s">
        <v>456</v>
      </c>
      <c r="C14" s="160" t="s">
        <v>560</v>
      </c>
      <c r="D14" s="160" t="s">
        <v>76</v>
      </c>
      <c r="E14" s="160" t="s">
        <v>222</v>
      </c>
      <c r="F14" s="160" t="s">
        <v>72</v>
      </c>
      <c r="G14" s="160">
        <v>2020</v>
      </c>
      <c r="H14" s="160">
        <f t="shared" si="0"/>
        <v>31.536000000000001</v>
      </c>
      <c r="I14" s="231">
        <f t="shared" si="1"/>
        <v>0.34726675012467811</v>
      </c>
      <c r="J14" s="231">
        <f t="shared" si="2"/>
        <v>0.36278575225943643</v>
      </c>
      <c r="K14" s="231">
        <f t="shared" si="3"/>
        <v>0.36278575225943643</v>
      </c>
      <c r="L14" s="231">
        <f t="shared" si="4"/>
        <v>0.36278575225943643</v>
      </c>
      <c r="M14" s="231">
        <f t="shared" si="6"/>
        <v>0.36278575225943643</v>
      </c>
      <c r="N14" s="231"/>
      <c r="O14" s="160" t="str">
        <f>LifetimeAssumptions!$B$8</f>
        <v>New Gas &amp; oil turbines</v>
      </c>
      <c r="P14" s="160">
        <f>_xlfn.XLOOKUP($O14, LifetimeAssumptions[technology],LifetimeAssumptions[Lifetime])</f>
        <v>30</v>
      </c>
      <c r="Q14" s="160">
        <f>_xlfn.XLOOKUP($O14, LifetimeAssumptions[technology],LifetimeAssumptions[Peak (con)])</f>
        <v>0.95</v>
      </c>
      <c r="R14" s="160">
        <f>_xlfn.XLOOKUP($O14, LifetimeAssumptions[technology],LifetimeAssumptions[Discrate])</f>
        <v>0.15000000000000002</v>
      </c>
      <c r="S14" s="160">
        <f>_xlfn.XLOOKUP($O14, LifetimeAssumptions[technology],LifetimeAssumptions[AF])</f>
        <v>0.9</v>
      </c>
      <c r="T14" s="161"/>
      <c r="U14" s="161"/>
      <c r="V14" s="161">
        <v>0</v>
      </c>
      <c r="W14" s="161">
        <v>0</v>
      </c>
      <c r="X14" s="161">
        <v>0</v>
      </c>
      <c r="Y14" s="161">
        <v>0</v>
      </c>
      <c r="Z14" s="160" t="str">
        <f>'2013 Cap Raw Data'!$A$11</f>
        <v>Conv Combustion Turbine</v>
      </c>
      <c r="AA14" s="160"/>
      <c r="AB14" s="231">
        <f>_xlfn.XLOOKUP($Z14, NewCapCosts2013[Technology],NewCapCosts2013[Fixed O&amp;M ($2012/kW)])*_xlfn.XLOOKUP($AB$5,GDP_deflator[Year],GDP_deflator[Multiply By (for $2005)])</f>
        <v>6.4240064388045282</v>
      </c>
      <c r="AC14" s="231">
        <f>_xlfn.XLOOKUP($Z14, NewCapCosts2013[Technology],NewCapCosts2013[Variable O&amp;M ($2012 mills/kWh)])*_xlfn.XLOOKUP($AB$5,GDP_deflator[Year],GDP_deflator[Multiply By (for $2005)])*mills_kWh_to__Million_PJ</f>
        <v>3.7560891416715849</v>
      </c>
      <c r="AD14" s="231">
        <f>_xlfn.XLOOKUP($Z14, NewCapCosts2013[Technology],NewCapCosts2013[Fixed O&amp;M ($2012/kW)])*_xlfn.XLOOKUP($AB$5,GDP_deflator[Year],GDP_deflator[Multiply By (for $2005)])</f>
        <v>6.4240064388045282</v>
      </c>
      <c r="AE14" s="231">
        <f>_xlfn.XLOOKUP($Z14, NewCapCosts2013[Technology],NewCapCosts2013[Variable O&amp;M ($2012 mills/kWh)])*_xlfn.XLOOKUP($AB$5,GDP_deflator[Year],GDP_deflator[Multiply By (for $2005)])*mills_kWh_to__Million_PJ</f>
        <v>3.7560891416715849</v>
      </c>
      <c r="AF14" s="232">
        <f>_xlfn.XLOOKUP($Z14, NewCapCosts2013[Technology],NewCapCosts2013[Base Overnight Costs in 2012 ($2012/kW)])*_xlfn.XLOOKUP($AB$5,GDP_deflator[Year],GDP_deflator[Multiply By (for $2005)])</f>
        <v>808.68963889037934</v>
      </c>
      <c r="AG14" s="232">
        <f t="shared" ref="AG14:AH14" si="20">AF14</f>
        <v>808.68963889037934</v>
      </c>
      <c r="AH14" s="232">
        <f t="shared" si="20"/>
        <v>808.68963889037934</v>
      </c>
      <c r="AI14" s="163" t="str">
        <f>ATB_CAPEX!$E$490</f>
        <v>NaturalGas_FE</v>
      </c>
      <c r="AJ14" s="232" t="str">
        <f>ATB_CAPEX!$F$488</f>
        <v>CCAvgCF</v>
      </c>
      <c r="AK14" s="163">
        <f>SUMIFS(ATB_CAPEX[2022],ATB_CAPEX[CostCase],"Conservative",ATB_CAPEX[Technology],$AI14, ATB_CAPEX[TechDetail],$AJ14)</f>
        <v>1499.2530441159731</v>
      </c>
      <c r="AL14" s="232">
        <f ca="1">$AH14 * SUMIFS(INDIRECT("ATB_CAPEX["&amp;AL$5&amp;"]"),ATB_CAPEX[CostCase],"Conservative",ATB_CAPEX[Technology],$AI14, ATB_CAPEX[TechDetail],$AJ14)/$AK14</f>
        <v>793.78291743617876</v>
      </c>
      <c r="AM14" s="232">
        <f ca="1">$AH14 * SUMIFS(INDIRECT("ATB_CAPEX["&amp;AM$5&amp;"]"),ATB_CAPEX[CostCase],"Conservative",ATB_CAPEX[Technology],$AI14, ATB_CAPEX[TechDetail],$AJ14)/$AK14</f>
        <v>768.89830984731179</v>
      </c>
      <c r="AN14" s="232">
        <f ca="1">$AH14 * SUMIFS(INDIRECT("ATB_CAPEX["&amp;AN$5&amp;"]"),ATB_CAPEX[CostCase],"Conservative",ATB_CAPEX[Technology],$AI14, ATB_CAPEX[TechDetail],$AJ14)/$AK14</f>
        <v>744.0137022584446</v>
      </c>
      <c r="AO14" s="232">
        <f ca="1">$AH14 * SUMIFS(INDIRECT("ATB_CAPEX["&amp;AO$5&amp;"]"),ATB_CAPEX[CostCase],"Conservative",ATB_CAPEX[Technology],$AI14, ATB_CAPEX[TechDetail],$AJ14)/$AK14</f>
        <v>719.12909466957763</v>
      </c>
      <c r="AP14" s="232">
        <f ca="1">$AH14 * SUMIFS(INDIRECT("ATB_CAPEX["&amp;AP$5&amp;"]"),ATB_CAPEX[CostCase],"Conservative",ATB_CAPEX[Technology],$AI14, ATB_CAPEX[TechDetail],$AJ14)/$AK14</f>
        <v>694.24448708071066</v>
      </c>
      <c r="AQ14" s="232">
        <f ca="1">$AH14 * SUMIFS(INDIRECT("ATB_CAPEX["&amp;AQ$5&amp;"]"),ATB_CAPEX[CostCase],"Conservative",ATB_CAPEX[Technology],$AI14, ATB_CAPEX[TechDetail],$AJ14)/$AK14</f>
        <v>669.41998723964286</v>
      </c>
      <c r="AR14" s="163">
        <f>SUMIFS(ATB_FOM[2022],ATB_FOM[CostCase],"Conservative",ATB_FOM[Technology],$AI14, ATB_FOM[TechDetail],$AJ14)</f>
        <v>34.5</v>
      </c>
      <c r="AS14" s="232">
        <f ca="1">$AB14 * SUMIFS(INDIRECT("ATB_FOM["&amp;AS$5&amp;"]"),ATB_FOM[CostCase],"Conservative",ATB_FOM[Technology],$AI14, ATB_FOM[TechDetail],$AJ14)/$AR14</f>
        <v>6.3122845876948839</v>
      </c>
      <c r="AT14" s="232">
        <f ca="1">$AB14 * SUMIFS(INDIRECT("ATB_FOM["&amp;AT$5&amp;"]"),ATB_FOM[CostCase],"Conservative",ATB_FOM[Technology],$AI14, ATB_FOM[TechDetail],$AJ14)/$AR14</f>
        <v>6.1074611939938697</v>
      </c>
      <c r="AU14" s="232">
        <f ca="1">$AB14 * SUMIFS(INDIRECT("ATB_FOM["&amp;AU$5&amp;"]"),ATB_FOM[CostCase],"Conservative",ATB_FOM[Technology],$AI14, ATB_FOM[TechDetail],$AJ14)/$AR14</f>
        <v>5.9212581088111307</v>
      </c>
      <c r="AV14" s="232">
        <f ca="1">$AB14 * SUMIFS(INDIRECT("ATB_FOM["&amp;AV$5&amp;"]"),ATB_FOM[CostCase],"Conservative",ATB_FOM[Technology],$AI14, ATB_FOM[TechDetail],$AJ14)/$AR14</f>
        <v>5.7350550236283908</v>
      </c>
      <c r="AW14" s="232">
        <f ca="1">$AB14 * SUMIFS(INDIRECT("ATB_FOM["&amp;AW$5&amp;"]"),ATB_FOM[CostCase],"Conservative",ATB_FOM[Technology],$AI14, ATB_FOM[TechDetail],$AJ14)/$AR14</f>
        <v>5.5488519384456509</v>
      </c>
      <c r="AX14" s="232">
        <f ca="1">$AB14 * SUMIFS(INDIRECT("ATB_FOM["&amp;AX$5&amp;"]"),ATB_FOM[CostCase],"Conservative",ATB_FOM[Technology],$AI14, ATB_FOM[TechDetail],$AJ14)/$AR14</f>
        <v>5.3626488532629111</v>
      </c>
      <c r="AY14" s="163">
        <f>SUMIFS(ATB_VOM[2022],ATB_VOM[CostCase],"Conservative",ATB_VOM[Technology],$AI14, ATB_VOM[TechDetail],$AJ14)</f>
        <v>2.17</v>
      </c>
      <c r="AZ14" s="232">
        <f ca="1">$AC14 * SUMIFS(INDIRECT("ATB_VOM["&amp;AZ$5&amp;"]"),ATB_VOM[CostCase],"Conservative",ATB_VOM[Technology],$AI14, ATB_VOM[TechDetail],$AJ14)/$AY14</f>
        <v>3.704161642017139</v>
      </c>
      <c r="BA14" s="232">
        <f ca="1">$AC14 * SUMIFS(INDIRECT("ATB_VOM["&amp;BA$5&amp;"]"),ATB_VOM[CostCase],"Conservative",ATB_VOM[Technology],$AI14, ATB_VOM[TechDetail],$AJ14)/$AY14</f>
        <v>3.6003066427082477</v>
      </c>
      <c r="BB14" s="232">
        <f ca="1">$AC14 * SUMIFS(INDIRECT("ATB_VOM["&amp;BB$5&amp;"]"),ATB_VOM[CostCase],"Conservative",ATB_VOM[Technology],$AI14, ATB_VOM[TechDetail],$AJ14)/$AY14</f>
        <v>3.5137608099508371</v>
      </c>
      <c r="BC14" s="232">
        <f ca="1">$AC14 * SUMIFS(INDIRECT("ATB_VOM["&amp;BC$5&amp;"]"),ATB_VOM[CostCase],"Conservative",ATB_VOM[Technology],$AI14, ATB_VOM[TechDetail],$AJ14)/$AY14</f>
        <v>3.4272149771934277</v>
      </c>
      <c r="BD14" s="232">
        <f ca="1">$AC14 * SUMIFS(INDIRECT("ATB_VOM["&amp;BD$5&amp;"]"),ATB_VOM[CostCase],"Conservative",ATB_VOM[Technology],$AI14, ATB_VOM[TechDetail],$AJ14)/$AY14</f>
        <v>3.3406691444360179</v>
      </c>
      <c r="BE14" s="232">
        <f ca="1">$AC14 * SUMIFS(INDIRECT("ATB_VOM["&amp;BE$5&amp;"]"),ATB_VOM[CostCase],"Conservative",ATB_VOM[Technology],$AI14, ATB_VOM[TechDetail],$AJ14)/$AY14</f>
        <v>3.2368141451271266</v>
      </c>
      <c r="BF14" s="231">
        <f>_xlfn.XLOOKUP($Z14, NewCapCosts2013[Technology],NewCapCosts2013[Heatrate in 2013 (Btu/kWhr)])*0.9/kWh_to_btu_hr</f>
        <v>2.8796307151230951</v>
      </c>
      <c r="BG14" s="231">
        <f>_xlfn.XLOOKUP($Z14, NewCapCosts2013[Technology],NewCapCosts2013[Heatrate nth-of-a-kind (Btu/kWr)])*0.9/kWh_to_btu_hr</f>
        <v>2.7564478311840563</v>
      </c>
      <c r="BH14" s="231">
        <f>_xlfn.XLOOKUP($Z14, NewCapCosts2013[Technology],NewCapCosts2013[Heatrate nth-of-a-kind (Btu/kWr)])*0.9/kWh_to_btu_hr</f>
        <v>2.7564478311840563</v>
      </c>
      <c r="BI14" s="231">
        <f>_xlfn.XLOOKUP($Z14, NewCapCosts2013[Technology],NewCapCosts2013[Heatrate nth-of-a-kind (Btu/kWr)])*0.9/kWh_to_btu_hr</f>
        <v>2.7564478311840563</v>
      </c>
      <c r="BJ14" s="160" t="s">
        <v>561</v>
      </c>
      <c r="BK14" s="160"/>
      <c r="BL14" s="160"/>
      <c r="BM14" s="160"/>
      <c r="BN14" s="160"/>
      <c r="BO14" s="160"/>
    </row>
    <row r="15" spans="1:67" x14ac:dyDescent="0.35">
      <c r="A15" s="160" t="s">
        <v>459</v>
      </c>
      <c r="B15" s="160" t="s">
        <v>460</v>
      </c>
      <c r="C15" s="160" t="s">
        <v>560</v>
      </c>
      <c r="D15" s="160" t="s">
        <v>76</v>
      </c>
      <c r="E15" s="160" t="s">
        <v>222</v>
      </c>
      <c r="F15" s="160" t="s">
        <v>72</v>
      </c>
      <c r="G15" s="160">
        <v>2020</v>
      </c>
      <c r="H15" s="160">
        <f t="shared" si="0"/>
        <v>31.536000000000001</v>
      </c>
      <c r="I15" s="231">
        <f t="shared" si="1"/>
        <v>0.38883190883190882</v>
      </c>
      <c r="J15" s="231">
        <f t="shared" si="2"/>
        <v>0.38883190883190882</v>
      </c>
      <c r="K15" s="231">
        <f t="shared" si="3"/>
        <v>0.38883190883190882</v>
      </c>
      <c r="L15" s="231">
        <f t="shared" si="4"/>
        <v>0.38883190883190882</v>
      </c>
      <c r="M15" s="231">
        <f t="shared" si="6"/>
        <v>0.38883190883190882</v>
      </c>
      <c r="N15" s="231"/>
      <c r="O15" s="160" t="str">
        <f>LifetimeAssumptions!$B$8</f>
        <v>New Gas &amp; oil turbines</v>
      </c>
      <c r="P15" s="160">
        <f>_xlfn.XLOOKUP($O15, LifetimeAssumptions[technology],LifetimeAssumptions[Lifetime])</f>
        <v>30</v>
      </c>
      <c r="Q15" s="160">
        <f>_xlfn.XLOOKUP($O15, LifetimeAssumptions[technology],LifetimeAssumptions[Peak (con)])</f>
        <v>0.95</v>
      </c>
      <c r="R15" s="160">
        <f>_xlfn.XLOOKUP($O15, LifetimeAssumptions[technology],LifetimeAssumptions[Discrate])</f>
        <v>0.15000000000000002</v>
      </c>
      <c r="S15" s="160">
        <f>_xlfn.XLOOKUP($O15, LifetimeAssumptions[technology],LifetimeAssumptions[AF])</f>
        <v>0.9</v>
      </c>
      <c r="T15" s="161"/>
      <c r="U15" s="161"/>
      <c r="V15" s="161">
        <v>0</v>
      </c>
      <c r="W15" s="161">
        <v>0</v>
      </c>
      <c r="X15" s="161">
        <v>0</v>
      </c>
      <c r="Y15" s="161">
        <v>0</v>
      </c>
      <c r="Z15" s="160" t="str">
        <f>'2013 Cap Raw Data'!$A$12</f>
        <v>Adv Combustion Turbine</v>
      </c>
      <c r="AA15" s="160"/>
      <c r="AB15" s="231">
        <f>_xlfn.XLOOKUP($Z15, NewCapCosts2013[Technology],NewCapCosts2013[Fixed O&amp;M ($2012/kW)])*_xlfn.XLOOKUP($AB$5,GDP_deflator[Year],GDP_deflator[Multiply By (for $2005)])</f>
        <v>6.1614448677362237</v>
      </c>
      <c r="AC15" s="231">
        <f>_xlfn.XLOOKUP($Z15, NewCapCosts2013[Technology],NewCapCosts2013[Variable O&amp;M ($2012 mills/kWh)])*_xlfn.XLOOKUP($AB$5,GDP_deflator[Year],GDP_deflator[Multiply By (for $2005)])*mills_kWh_to__Million_PJ</f>
        <v>2.5210773073873356</v>
      </c>
      <c r="AD15" s="231">
        <f>_xlfn.XLOOKUP($Z15, NewCapCosts2013[Technology],NewCapCosts2013[Fixed O&amp;M ($2012/kW)])*_xlfn.XLOOKUP($AB$5,GDP_deflator[Year],GDP_deflator[Multiply By (for $2005)])</f>
        <v>6.1614448677362237</v>
      </c>
      <c r="AE15" s="231">
        <f>_xlfn.XLOOKUP($Z15, NewCapCosts2013[Technology],NewCapCosts2013[Variable O&amp;M ($2012 mills/kWh)])*_xlfn.XLOOKUP($AB$5,GDP_deflator[Year],GDP_deflator[Multiply By (for $2005)])*mills_kWh_to__Million_PJ</f>
        <v>2.5210773073873356</v>
      </c>
      <c r="AF15" s="232">
        <f>_xlfn.XLOOKUP($Z15, NewCapCosts2013[Technology],NewCapCosts2013[Base Overnight Costs in 2012 ($2012/kW)])*_xlfn.XLOOKUP($AB$5,GDP_deflator[Year],GDP_deflator[Multiply By (for $2005)])</f>
        <v>561.00655684927835</v>
      </c>
      <c r="AG15" s="232">
        <f t="shared" ref="AG15:AH16" si="21">AF15</f>
        <v>561.00655684927835</v>
      </c>
      <c r="AH15" s="232">
        <f t="shared" si="21"/>
        <v>561.00655684927835</v>
      </c>
      <c r="AI15" s="163" t="str">
        <f>ATB_CAPEX!$E$490</f>
        <v>NaturalGas_FE</v>
      </c>
      <c r="AJ15" s="232" t="str">
        <f>ATB_CAPEX!$F$488</f>
        <v>CCAvgCF</v>
      </c>
      <c r="AK15" s="163">
        <f>SUMIFS(ATB_CAPEX[2022],ATB_CAPEX[CostCase],"Conservative",ATB_CAPEX[Technology],$AI15, ATB_CAPEX[TechDetail],$AJ15)</f>
        <v>1499.2530441159731</v>
      </c>
      <c r="AL15" s="232">
        <f ca="1">$AH15 * SUMIFS(INDIRECT("ATB_CAPEX["&amp;AL$5&amp;"]"),ATB_CAPEX[CostCase],"Conservative",ATB_CAPEX[Technology],$AI15, ATB_CAPEX[TechDetail],$AJ15)/$AK15</f>
        <v>550.66542216081234</v>
      </c>
      <c r="AM15" s="232">
        <f ca="1">$AH15 * SUMIFS(INDIRECT("ATB_CAPEX["&amp;AM$5&amp;"]"),ATB_CAPEX[CostCase],"Conservative",ATB_CAPEX[Technology],$AI15, ATB_CAPEX[TechDetail],$AJ15)/$AK15</f>
        <v>533.40239893087323</v>
      </c>
      <c r="AN15" s="232">
        <f ca="1">$AH15 * SUMIFS(INDIRECT("ATB_CAPEX["&amp;AN$5&amp;"]"),ATB_CAPEX[CostCase],"Conservative",ATB_CAPEX[Technology],$AI15, ATB_CAPEX[TechDetail],$AJ15)/$AK15</f>
        <v>516.13937570093401</v>
      </c>
      <c r="AO15" s="232">
        <f ca="1">$AH15 * SUMIFS(INDIRECT("ATB_CAPEX["&amp;AO$5&amp;"]"),ATB_CAPEX[CostCase],"Conservative",ATB_CAPEX[Technology],$AI15, ATB_CAPEX[TechDetail],$AJ15)/$AK15</f>
        <v>498.87635247099496</v>
      </c>
      <c r="AP15" s="232">
        <f ca="1">$AH15 * SUMIFS(INDIRECT("ATB_CAPEX["&amp;AP$5&amp;"]"),ATB_CAPEX[CostCase],"Conservative",ATB_CAPEX[Technology],$AI15, ATB_CAPEX[TechDetail],$AJ15)/$AK15</f>
        <v>481.61332924105579</v>
      </c>
      <c r="AQ15" s="232">
        <f ca="1">$AH15 * SUMIFS(INDIRECT("ATB_CAPEX["&amp;AQ$5&amp;"]"),ATB_CAPEX[CostCase],"Conservative",ATB_CAPEX[Technology],$AI15, ATB_CAPEX[TechDetail],$AJ15)/$AK15</f>
        <v>464.39200413486049</v>
      </c>
      <c r="AR15" s="163">
        <f>SUMIFS(ATB_FOM[2022],ATB_FOM[CostCase],"Conservative",ATB_FOM[Technology],$AI15, ATB_FOM[TechDetail],$AJ15)</f>
        <v>34.5</v>
      </c>
      <c r="AS15" s="232">
        <f ca="1">$AB15 * SUMIFS(INDIRECT("ATB_FOM["&amp;AS$5&amp;"]"),ATB_FOM[CostCase],"Conservative",ATB_FOM[Technology],$AI15, ATB_FOM[TechDetail],$AJ15)/$AR15</f>
        <v>6.0542893048190711</v>
      </c>
      <c r="AT15" s="232">
        <f ca="1">$AB15 * SUMIFS(INDIRECT("ATB_FOM["&amp;AT$5&amp;"]"),ATB_FOM[CostCase],"Conservative",ATB_FOM[Technology],$AI15, ATB_FOM[TechDetail],$AJ15)/$AR15</f>
        <v>5.85783743947096</v>
      </c>
      <c r="AU15" s="232">
        <f ca="1">$AB15 * SUMIFS(INDIRECT("ATB_FOM["&amp;AU$5&amp;"]"),ATB_FOM[CostCase],"Conservative",ATB_FOM[Technology],$AI15, ATB_FOM[TechDetail],$AJ15)/$AR15</f>
        <v>5.6792448346090412</v>
      </c>
      <c r="AV15" s="232">
        <f ca="1">$AB15 * SUMIFS(INDIRECT("ATB_FOM["&amp;AV$5&amp;"]"),ATB_FOM[CostCase],"Conservative",ATB_FOM[Technology],$AI15, ATB_FOM[TechDetail],$AJ15)/$AR15</f>
        <v>5.5006522297471214</v>
      </c>
      <c r="AW15" s="232">
        <f ca="1">$AB15 * SUMIFS(INDIRECT("ATB_FOM["&amp;AW$5&amp;"]"),ATB_FOM[CostCase],"Conservative",ATB_FOM[Technology],$AI15, ATB_FOM[TechDetail],$AJ15)/$AR15</f>
        <v>5.3220596248852017</v>
      </c>
      <c r="AX15" s="232">
        <f ca="1">$AB15 * SUMIFS(INDIRECT("ATB_FOM["&amp;AX$5&amp;"]"),ATB_FOM[CostCase],"Conservative",ATB_FOM[Technology],$AI15, ATB_FOM[TechDetail],$AJ15)/$AR15</f>
        <v>5.1434670200232819</v>
      </c>
      <c r="AY15" s="163">
        <f>SUMIFS(ATB_VOM[2022],ATB_VOM[CostCase],"Conservative",ATB_VOM[Technology],$AI15, ATB_VOM[TechDetail],$AJ15)</f>
        <v>2.17</v>
      </c>
      <c r="AZ15" s="232">
        <f ca="1">$AC15 * SUMIFS(INDIRECT("ATB_VOM["&amp;AZ$5&amp;"]"),ATB_VOM[CostCase],"Conservative",ATB_VOM[Technology],$AI15, ATB_VOM[TechDetail],$AJ15)/$AY15</f>
        <v>2.4862237040594004</v>
      </c>
      <c r="BA15" s="232">
        <f ca="1">$AC15 * SUMIFS(INDIRECT("ATB_VOM["&amp;BA$5&amp;"]"),ATB_VOM[CostCase],"Conservative",ATB_VOM[Technology],$AI15, ATB_VOM[TechDetail],$AJ15)/$AY15</f>
        <v>2.4165164974035296</v>
      </c>
      <c r="BB15" s="232">
        <f ca="1">$AC15 * SUMIFS(INDIRECT("ATB_VOM["&amp;BB$5&amp;"]"),ATB_VOM[CostCase],"Conservative",ATB_VOM[Technology],$AI15, ATB_VOM[TechDetail],$AJ15)/$AY15</f>
        <v>2.3584271585236363</v>
      </c>
      <c r="BC15" s="232">
        <f ca="1">$AC15 * SUMIFS(INDIRECT("ATB_VOM["&amp;BC$5&amp;"]"),ATB_VOM[CostCase],"Conservative",ATB_VOM[Technology],$AI15, ATB_VOM[TechDetail],$AJ15)/$AY15</f>
        <v>2.3003378196437443</v>
      </c>
      <c r="BD15" s="232">
        <f ca="1">$AC15 * SUMIFS(INDIRECT("ATB_VOM["&amp;BD$5&amp;"]"),ATB_VOM[CostCase],"Conservative",ATB_VOM[Technology],$AI15, ATB_VOM[TechDetail],$AJ15)/$AY15</f>
        <v>2.2422484807638514</v>
      </c>
      <c r="BE15" s="232">
        <f ca="1">$AC15 * SUMIFS(INDIRECT("ATB_VOM["&amp;BE$5&amp;"]"),ATB_VOM[CostCase],"Conservative",ATB_VOM[Technology],$AI15, ATB_VOM[TechDetail],$AJ15)/$AY15</f>
        <v>2.1725412741079806</v>
      </c>
      <c r="BF15" s="231">
        <f>_xlfn.XLOOKUP($Z15, NewCapCosts2013[Technology],NewCapCosts2013[Heatrate in 2013 (Btu/kWhr)])*0.9/kWh_to_btu_hr</f>
        <v>2.5718053927315356</v>
      </c>
      <c r="BG15" s="231">
        <f>BF15</f>
        <v>2.5718053927315356</v>
      </c>
      <c r="BH15" s="231">
        <f>BG15</f>
        <v>2.5718053927315356</v>
      </c>
      <c r="BI15" s="231">
        <f>BH15</f>
        <v>2.5718053927315356</v>
      </c>
      <c r="BJ15" s="160" t="s">
        <v>561</v>
      </c>
      <c r="BK15" s="160"/>
      <c r="BL15" s="160"/>
      <c r="BM15" s="160"/>
      <c r="BN15" s="160"/>
      <c r="BO15" s="160"/>
    </row>
    <row r="16" spans="1:67" x14ac:dyDescent="0.35">
      <c r="A16" s="160" t="s">
        <v>563</v>
      </c>
      <c r="B16" s="160" t="s">
        <v>456</v>
      </c>
      <c r="C16" s="160" t="s">
        <v>560</v>
      </c>
      <c r="D16" s="160" t="s">
        <v>76</v>
      </c>
      <c r="E16" s="160" t="s">
        <v>224</v>
      </c>
      <c r="F16" s="160" t="s">
        <v>72</v>
      </c>
      <c r="G16" s="160">
        <v>2025</v>
      </c>
      <c r="H16" s="160">
        <f t="shared" si="0"/>
        <v>31.536000000000001</v>
      </c>
      <c r="I16" s="231">
        <f t="shared" si="1"/>
        <v>0.41550976667153783</v>
      </c>
      <c r="J16" s="231">
        <f t="shared" si="2"/>
        <v>0.41550976667153783</v>
      </c>
      <c r="K16" s="231">
        <f t="shared" si="3"/>
        <v>0.41550976667153783</v>
      </c>
      <c r="L16" s="231">
        <f t="shared" si="4"/>
        <v>0.41550976667153783</v>
      </c>
      <c r="M16" s="231">
        <f t="shared" si="6"/>
        <v>0.41550976667153783</v>
      </c>
      <c r="N16" s="231"/>
      <c r="O16" s="160" t="str">
        <f>LifetimeAssumptions!$B$8</f>
        <v>New Gas &amp; oil turbines</v>
      </c>
      <c r="P16" s="160">
        <f>_xlfn.XLOOKUP($O16, LifetimeAssumptions[technology],LifetimeAssumptions[Lifetime])</f>
        <v>30</v>
      </c>
      <c r="Q16" s="160">
        <f>_xlfn.XLOOKUP($O16, LifetimeAssumptions[technology],LifetimeAssumptions[Peak (con)])</f>
        <v>0.95</v>
      </c>
      <c r="R16" s="160">
        <f>_xlfn.XLOOKUP($O16, LifetimeAssumptions[technology],LifetimeAssumptions[Discrate])</f>
        <v>0.15000000000000002</v>
      </c>
      <c r="S16" s="160">
        <f>_xlfn.XLOOKUP($O16, LifetimeAssumptions[technology],LifetimeAssumptions[AF])</f>
        <v>0.9</v>
      </c>
      <c r="T16" s="161"/>
      <c r="U16" s="161"/>
      <c r="V16" s="161"/>
      <c r="W16" s="161"/>
      <c r="X16" s="161"/>
      <c r="Y16" s="161"/>
      <c r="Z16" s="160" t="str">
        <f>'2023 Cap Raw Data'!$A$13</f>
        <v>Combustion turbine—aeroderivativeh</v>
      </c>
      <c r="AA16" s="160" t="str">
        <f>'2023_Regional_Cost_Factor'!$A$12</f>
        <v>CT – aeroderivative</v>
      </c>
      <c r="AB16" s="231">
        <f>_xlfn.XLOOKUP($Z16, NewCapCosts2023[Technology],NewCapCosts2023[Fixed O&amp;M (2022$/Kw-y)])*_xlfn.XLOOKUP($AC$5,GDP_deflator[Year],GDP_deflator[Multiply By (for $2005)])</f>
        <v>12.676863945876331</v>
      </c>
      <c r="AC16" s="231">
        <f>_xlfn.XLOOKUP($Z16, NewCapCosts2023[Technology],NewCapCosts2023[Variable O&amp;Mf (2022 $/MWh)])*_xlfn.XLOOKUP($AC$5,GDP_deflator[Year],GDP_deflator[Multiply By (for $2005)])*mills_kWh_to__Million_PJ</f>
        <v>1.015358894405564</v>
      </c>
      <c r="AD16" s="231">
        <f>_xlfn.XLOOKUP($Z16, NewCapCosts2023[Technology],NewCapCosts2023[Fixed O&amp;M (2022$/Kw-y)])*_xlfn.XLOOKUP($AC$5,GDP_deflator[Year],GDP_deflator[Multiply By (for $2005)])</f>
        <v>12.676863945876331</v>
      </c>
      <c r="AE16" s="231">
        <f>_xlfn.XLOOKUP($Z16, NewCapCosts2023[Technology],NewCapCosts2023[Variable O&amp;Mf (2022 $/MWh)])*_xlfn.XLOOKUP($AC$5,GDP_deflator[Year],GDP_deflator[Multiply By (for $2005)])*mills_kWh_to__Million_PJ</f>
        <v>1.015358894405564</v>
      </c>
      <c r="AF16" s="231">
        <f>_xlfn.XLOOKUP($AA16,NewCapRegionalCosts[Technology], NewCapRegionalCosts[9 (NYUP)])*_xlfn.XLOOKUP($AC$5,GDP_deflator[Year],GDP_deflator[Multiply By (for $2005)])</f>
        <v>1071.4031164748105</v>
      </c>
      <c r="AG16" s="232">
        <f t="shared" si="21"/>
        <v>1071.4031164748105</v>
      </c>
      <c r="AH16" s="232">
        <f t="shared" si="21"/>
        <v>1071.4031164748105</v>
      </c>
      <c r="AI16" s="163" t="str">
        <f>ATB_CAPEX!$E$490</f>
        <v>NaturalGas_FE</v>
      </c>
      <c r="AJ16" s="232" t="str">
        <f>ATB_CAPEX!$F$488</f>
        <v>CCAvgCF</v>
      </c>
      <c r="AK16" s="163">
        <f>SUMIFS(ATB_CAPEX[2022],ATB_CAPEX[CostCase],"Conservative",ATB_CAPEX[Technology],$AI16, ATB_CAPEX[TechDetail],$AJ16)</f>
        <v>1499.2530441159731</v>
      </c>
      <c r="AL16" s="232">
        <f ca="1">$AH16 * SUMIFS(INDIRECT("ATB_CAPEX["&amp;AL$5&amp;"]"),ATB_CAPEX[CostCase],"Conservative",ATB_CAPEX[Technology],$AI16, ATB_CAPEX[TechDetail],$AJ16)/$AK16</f>
        <v>1051.6537502725098</v>
      </c>
      <c r="AM16" s="232">
        <f ca="1">$AH16 * SUMIFS(INDIRECT("ATB_CAPEX["&amp;AM$5&amp;"]"),ATB_CAPEX[CostCase],"Conservative",ATB_CAPEX[Technology],$AI16, ATB_CAPEX[TechDetail],$AJ16)/$AK16</f>
        <v>1018.6850502412499</v>
      </c>
      <c r="AN16" s="232">
        <f ca="1">$AH16 * SUMIFS(INDIRECT("ATB_CAPEX["&amp;AN$5&amp;"]"),ATB_CAPEX[CostCase],"Conservative",ATB_CAPEX[Technology],$AI16, ATB_CAPEX[TechDetail],$AJ16)/$AK16</f>
        <v>985.71635020998986</v>
      </c>
      <c r="AO16" s="232">
        <f ca="1">$AH16 * SUMIFS(INDIRECT("ATB_CAPEX["&amp;AO$5&amp;"]"),ATB_CAPEX[CostCase],"Conservative",ATB_CAPEX[Technology],$AI16, ATB_CAPEX[TechDetail],$AJ16)/$AK16</f>
        <v>952.74765017873005</v>
      </c>
      <c r="AP16" s="232">
        <f ca="1">$AH16 * SUMIFS(INDIRECT("ATB_CAPEX["&amp;AP$5&amp;"]"),ATB_CAPEX[CostCase],"Conservative",ATB_CAPEX[Technology],$AI16, ATB_CAPEX[TechDetail],$AJ16)/$AK16</f>
        <v>919.77895014747003</v>
      </c>
      <c r="AQ16" s="232">
        <f ca="1">$AH16 * SUMIFS(INDIRECT("ATB_CAPEX["&amp;AQ$5&amp;"]"),ATB_CAPEX[CostCase],"Conservative",ATB_CAPEX[Technology],$AI16, ATB_CAPEX[TechDetail],$AJ16)/$AK16</f>
        <v>886.88988465734826</v>
      </c>
      <c r="AR16" s="163">
        <f>SUMIFS(ATB_FOM[2022],ATB_FOM[CostCase],"Conservative",ATB_FOM[Technology],$AI16, ATB_FOM[TechDetail],$AJ16)</f>
        <v>34.5</v>
      </c>
      <c r="AS16" s="232">
        <f ca="1">$AB16 * SUMIFS(INDIRECT("ATB_FOM["&amp;AS$5&amp;"]"),ATB_FOM[CostCase],"Conservative",ATB_FOM[Technology],$AI16, ATB_FOM[TechDetail],$AJ16)/$AR16</f>
        <v>12.456396746817612</v>
      </c>
      <c r="AT16" s="232">
        <f ca="1">$AB16 * SUMIFS(INDIRECT("ATB_FOM["&amp;AT$5&amp;"]"),ATB_FOM[CostCase],"Conservative",ATB_FOM[Technology],$AI16, ATB_FOM[TechDetail],$AJ16)/$AR16</f>
        <v>12.052206881876627</v>
      </c>
      <c r="AU16" s="232">
        <f ca="1">$AB16 * SUMIFS(INDIRECT("ATB_FOM["&amp;AU$5&amp;"]"),ATB_FOM[CostCase],"Conservative",ATB_FOM[Technology],$AI16, ATB_FOM[TechDetail],$AJ16)/$AR16</f>
        <v>11.684761550112096</v>
      </c>
      <c r="AV16" s="232">
        <f ca="1">$AB16 * SUMIFS(INDIRECT("ATB_FOM["&amp;AV$5&amp;"]"),ATB_FOM[CostCase],"Conservative",ATB_FOM[Technology],$AI16, ATB_FOM[TechDetail],$AJ16)/$AR16</f>
        <v>11.317316218347566</v>
      </c>
      <c r="AW16" s="232">
        <f ca="1">$AB16 * SUMIFS(INDIRECT("ATB_FOM["&amp;AW$5&amp;"]"),ATB_FOM[CostCase],"Conservative",ATB_FOM[Technology],$AI16, ATB_FOM[TechDetail],$AJ16)/$AR16</f>
        <v>10.949870886583033</v>
      </c>
      <c r="AX16" s="232">
        <f ca="1">$AB16 * SUMIFS(INDIRECT("ATB_FOM["&amp;AX$5&amp;"]"),ATB_FOM[CostCase],"Conservative",ATB_FOM[Technology],$AI16, ATB_FOM[TechDetail],$AJ16)/$AR16</f>
        <v>10.582425554818503</v>
      </c>
      <c r="AY16" s="163">
        <f>SUMIFS(ATB_VOM[2022],ATB_VOM[CostCase],"Conservative",ATB_VOM[Technology],$AI16, ATB_VOM[TechDetail],$AJ16)</f>
        <v>2.17</v>
      </c>
      <c r="AZ16" s="232">
        <f ca="1">$AC16 * SUMIFS(INDIRECT("ATB_VOM["&amp;AZ$5&amp;"]"),ATB_VOM[CostCase],"Conservative",ATB_VOM[Technology],$AI16, ATB_VOM[TechDetail],$AJ16)/$AY16</f>
        <v>1.0013216746672382</v>
      </c>
      <c r="BA16" s="232">
        <f ca="1">$AC16 * SUMIFS(INDIRECT("ATB_VOM["&amp;BA$5&amp;"]"),ATB_VOM[CostCase],"Conservative",ATB_VOM[Technology],$AI16, ATB_VOM[TechDetail],$AJ16)/$AY16</f>
        <v>0.97324723519058687</v>
      </c>
      <c r="BB16" s="232">
        <f ca="1">$AC16 * SUMIFS(INDIRECT("ATB_VOM["&amp;BB$5&amp;"]"),ATB_VOM[CostCase],"Conservative",ATB_VOM[Technology],$AI16, ATB_VOM[TechDetail],$AJ16)/$AY16</f>
        <v>0.94985186896004381</v>
      </c>
      <c r="BC16" s="232">
        <f ca="1">$AC16 * SUMIFS(INDIRECT("ATB_VOM["&amp;BC$5&amp;"]"),ATB_VOM[CostCase],"Conservative",ATB_VOM[Technology],$AI16, ATB_VOM[TechDetail],$AJ16)/$AY16</f>
        <v>0.92645650272950086</v>
      </c>
      <c r="BD16" s="232">
        <f ca="1">$AC16 * SUMIFS(INDIRECT("ATB_VOM["&amp;BD$5&amp;"]"),ATB_VOM[CostCase],"Conservative",ATB_VOM[Technology],$AI16, ATB_VOM[TechDetail],$AJ16)/$AY16</f>
        <v>0.90306113649895792</v>
      </c>
      <c r="BE16" s="232">
        <f ca="1">$AC16 * SUMIFS(INDIRECT("ATB_VOM["&amp;BE$5&amp;"]"),ATB_VOM[CostCase],"Conservative",ATB_VOM[Technology],$AI16, ATB_VOM[TechDetail],$AJ16)/$AY16</f>
        <v>0.87498669702230636</v>
      </c>
      <c r="BF16" s="231">
        <f>_xlfn.XLOOKUP($Z16, NewCapCosts2023[Technology],NewCapCosts2023[Heat rateg (Btu/kWh)])*0.9/kWh_to_btu_hr</f>
        <v>2.4066822977725675</v>
      </c>
      <c r="BG16" s="231">
        <f>_xlfn.XLOOKUP($Z16, NewCapCosts2023[Technology],NewCapCosts2023[Heat rateg (Btu/kWh)])*0.9/kWh_to_btu_hr</f>
        <v>2.4066822977725675</v>
      </c>
      <c r="BH16" s="231">
        <f>_xlfn.XLOOKUP($Z16, NewCapCosts2023[Technology],NewCapCosts2023[Heat rateg (Btu/kWh)])*0.9/kWh_to_btu_hr</f>
        <v>2.4066822977725675</v>
      </c>
      <c r="BI16" s="231">
        <f>_xlfn.XLOOKUP($Z16, NewCapCosts2023[Technology],NewCapCosts2023[Heat rateg (Btu/kWh)])*0.9/kWh_to_btu_hr</f>
        <v>2.4066822977725675</v>
      </c>
      <c r="BJ16" s="160" t="s">
        <v>561</v>
      </c>
      <c r="BK16" s="160"/>
      <c r="BL16" s="160"/>
      <c r="BM16" s="160"/>
      <c r="BN16" s="160"/>
      <c r="BO16" s="160"/>
    </row>
    <row r="17" spans="1:67" x14ac:dyDescent="0.35">
      <c r="A17" s="160" t="s">
        <v>564</v>
      </c>
      <c r="B17" s="160" t="s">
        <v>456</v>
      </c>
      <c r="C17" s="160" t="s">
        <v>560</v>
      </c>
      <c r="D17" s="160" t="s">
        <v>561</v>
      </c>
      <c r="E17" s="160" t="s">
        <v>224</v>
      </c>
      <c r="F17" s="160" t="s">
        <v>72</v>
      </c>
      <c r="G17" s="160">
        <v>2025</v>
      </c>
      <c r="H17" s="160">
        <f t="shared" si="0"/>
        <v>31.536000000000001</v>
      </c>
      <c r="I17" s="231">
        <f t="shared" ref="I17" si="22">1/BF17</f>
        <v>0.41550976667153783</v>
      </c>
      <c r="J17" s="231">
        <f t="shared" ref="J17" si="23">1/BG17</f>
        <v>0.41550976667153783</v>
      </c>
      <c r="K17" s="231">
        <f t="shared" ref="K17" si="24">1/BH17</f>
        <v>0.41550976667153783</v>
      </c>
      <c r="L17" s="231">
        <f t="shared" ref="L17" si="25">1/BI17</f>
        <v>0.41550976667153783</v>
      </c>
      <c r="M17" s="231">
        <f t="shared" ref="M17" si="26">L17</f>
        <v>0.41550976667153783</v>
      </c>
      <c r="N17" s="231"/>
      <c r="O17" s="160" t="str">
        <f>LifetimeAssumptions!$B$8</f>
        <v>New Gas &amp; oil turbines</v>
      </c>
      <c r="P17" s="160">
        <f>_xlfn.XLOOKUP($O17, LifetimeAssumptions[technology],LifetimeAssumptions[Lifetime])</f>
        <v>30</v>
      </c>
      <c r="Q17" s="160">
        <f>_xlfn.XLOOKUP($O17, LifetimeAssumptions[technology],LifetimeAssumptions[Peak (con)])</f>
        <v>0.95</v>
      </c>
      <c r="R17" s="160">
        <f>_xlfn.XLOOKUP($O17, LifetimeAssumptions[technology],LifetimeAssumptions[Discrate])</f>
        <v>0.15000000000000002</v>
      </c>
      <c r="S17" s="160">
        <f>_xlfn.XLOOKUP($O17, LifetimeAssumptions[technology],LifetimeAssumptions[AF])</f>
        <v>0.9</v>
      </c>
      <c r="T17" s="161"/>
      <c r="U17" s="161"/>
      <c r="V17" s="161"/>
      <c r="W17" s="161"/>
      <c r="X17" s="161"/>
      <c r="Y17" s="161"/>
      <c r="Z17" s="160" t="str">
        <f>'2023 Cap Raw Data'!$A$13</f>
        <v>Combustion turbine—aeroderivativeh</v>
      </c>
      <c r="AA17" s="160" t="str">
        <f>'2023_Regional_Cost_Factor'!$A$12</f>
        <v>CT – aeroderivative</v>
      </c>
      <c r="AB17" s="231">
        <f>_xlfn.XLOOKUP($Z17, NewCapCosts2023[Technology],NewCapCosts2023[Fixed O&amp;M (2022$/Kw-y)])*_xlfn.XLOOKUP($AC$5,GDP_deflator[Year],GDP_deflator[Multiply By (for $2005)])</f>
        <v>12.676863945876331</v>
      </c>
      <c r="AC17" s="231">
        <f>_xlfn.XLOOKUP($Z17, NewCapCosts2023[Technology],NewCapCosts2023[Variable O&amp;Mf (2022 $/MWh)])*_xlfn.XLOOKUP($AC$5,GDP_deflator[Year],GDP_deflator[Multiply By (for $2005)])*mills_kWh_to__Million_PJ</f>
        <v>1.015358894405564</v>
      </c>
      <c r="AD17" s="231">
        <f>_xlfn.XLOOKUP($Z17, NewCapCosts2023[Technology],NewCapCosts2023[Fixed O&amp;M (2022$/Kw-y)])*_xlfn.XLOOKUP($AC$5,GDP_deflator[Year],GDP_deflator[Multiply By (for $2005)])</f>
        <v>12.676863945876331</v>
      </c>
      <c r="AE17" s="231">
        <f>_xlfn.XLOOKUP($Z17, NewCapCosts2023[Technology],NewCapCosts2023[Variable O&amp;Mf (2022 $/MWh)])*_xlfn.XLOOKUP($AC$5,GDP_deflator[Year],GDP_deflator[Multiply By (for $2005)])*mills_kWh_to__Million_PJ</f>
        <v>1.015358894405564</v>
      </c>
      <c r="AF17" s="231">
        <f>_xlfn.XLOOKUP($AA17,NewCapRegionalCosts[Technology], NewCapRegionalCosts[8 (NYCW)])*_xlfn.XLOOKUP($AC$5,GDP_deflator[Year],GDP_deflator[Multiply By (for $2005)])</f>
        <v>1421.2492577616797</v>
      </c>
      <c r="AG17" s="232">
        <f t="shared" ref="AG17" si="27">AF17</f>
        <v>1421.2492577616797</v>
      </c>
      <c r="AH17" s="232">
        <f t="shared" ref="AH17" si="28">AG17</f>
        <v>1421.2492577616797</v>
      </c>
      <c r="AI17" s="163" t="str">
        <f>ATB_CAPEX!$E$490</f>
        <v>NaturalGas_FE</v>
      </c>
      <c r="AJ17" s="232" t="str">
        <f>ATB_CAPEX!$F$488</f>
        <v>CCAvgCF</v>
      </c>
      <c r="AK17" s="163">
        <f>SUMIFS(ATB_CAPEX[2022],ATB_CAPEX[CostCase],"Conservative",ATB_CAPEX[Technology],$AI17, ATB_CAPEX[TechDetail],$AJ17)</f>
        <v>1499.2530441159731</v>
      </c>
      <c r="AL17" s="232">
        <f ca="1">$AH17 * SUMIFS(INDIRECT("ATB_CAPEX["&amp;AL$5&amp;"]"),ATB_CAPEX[CostCase],"Conservative",ATB_CAPEX[Technology],$AI17, ATB_CAPEX[TechDetail],$AJ17)/$AK17</f>
        <v>1395.0511147614643</v>
      </c>
      <c r="AM17" s="232">
        <f ca="1">$AH17 * SUMIFS(INDIRECT("ATB_CAPEX["&amp;AM$5&amp;"]"),ATB_CAPEX[CostCase],"Conservative",ATB_CAPEX[Technology],$AI17, ATB_CAPEX[TechDetail],$AJ17)/$AK17</f>
        <v>1351.3171179788469</v>
      </c>
      <c r="AN17" s="232">
        <f ca="1">$AH17 * SUMIFS(INDIRECT("ATB_CAPEX["&amp;AN$5&amp;"]"),ATB_CAPEX[CostCase],"Conservative",ATB_CAPEX[Technology],$AI17, ATB_CAPEX[TechDetail],$AJ17)/$AK17</f>
        <v>1307.5831211962293</v>
      </c>
      <c r="AO17" s="232">
        <f ca="1">$AH17 * SUMIFS(INDIRECT("ATB_CAPEX["&amp;AO$5&amp;"]"),ATB_CAPEX[CostCase],"Conservative",ATB_CAPEX[Technology],$AI17, ATB_CAPEX[TechDetail],$AJ17)/$AK17</f>
        <v>1263.8491244136121</v>
      </c>
      <c r="AP17" s="232">
        <f ca="1">$AH17 * SUMIFS(INDIRECT("ATB_CAPEX["&amp;AP$5&amp;"]"),ATB_CAPEX[CostCase],"Conservative",ATB_CAPEX[Technology],$AI17, ATB_CAPEX[TechDetail],$AJ17)/$AK17</f>
        <v>1220.1151276309945</v>
      </c>
      <c r="AQ17" s="232">
        <f ca="1">$AH17 * SUMIFS(INDIRECT("ATB_CAPEX["&amp;AQ$5&amp;"]"),ATB_CAPEX[CostCase],"Conservative",ATB_CAPEX[Technology],$AI17, ATB_CAPEX[TechDetail],$AJ17)/$AK17</f>
        <v>1176.486768521765</v>
      </c>
      <c r="AR17" s="163">
        <f>SUMIFS(ATB_FOM[2022],ATB_FOM[CostCase],"Conservative",ATB_FOM[Technology],$AI17, ATB_FOM[TechDetail],$AJ17)</f>
        <v>34.5</v>
      </c>
      <c r="AS17" s="232">
        <f ca="1">$AB17 * SUMIFS(INDIRECT("ATB_FOM["&amp;AS$5&amp;"]"),ATB_FOM[CostCase],"Conservative",ATB_FOM[Technology],$AI17, ATB_FOM[TechDetail],$AJ17)/$AR17</f>
        <v>12.456396746817612</v>
      </c>
      <c r="AT17" s="232">
        <f ca="1">$AB17 * SUMIFS(INDIRECT("ATB_FOM["&amp;AT$5&amp;"]"),ATB_FOM[CostCase],"Conservative",ATB_FOM[Technology],$AI17, ATB_FOM[TechDetail],$AJ17)/$AR17</f>
        <v>12.052206881876627</v>
      </c>
      <c r="AU17" s="232">
        <f ca="1">$AB17 * SUMIFS(INDIRECT("ATB_FOM["&amp;AU$5&amp;"]"),ATB_FOM[CostCase],"Conservative",ATB_FOM[Technology],$AI17, ATB_FOM[TechDetail],$AJ17)/$AR17</f>
        <v>11.684761550112096</v>
      </c>
      <c r="AV17" s="232">
        <f ca="1">$AB17 * SUMIFS(INDIRECT("ATB_FOM["&amp;AV$5&amp;"]"),ATB_FOM[CostCase],"Conservative",ATB_FOM[Technology],$AI17, ATB_FOM[TechDetail],$AJ17)/$AR17</f>
        <v>11.317316218347566</v>
      </c>
      <c r="AW17" s="232">
        <f ca="1">$AB17 * SUMIFS(INDIRECT("ATB_FOM["&amp;AW$5&amp;"]"),ATB_FOM[CostCase],"Conservative",ATB_FOM[Technology],$AI17, ATB_FOM[TechDetail],$AJ17)/$AR17</f>
        <v>10.949870886583033</v>
      </c>
      <c r="AX17" s="232">
        <f ca="1">$AB17 * SUMIFS(INDIRECT("ATB_FOM["&amp;AX$5&amp;"]"),ATB_FOM[CostCase],"Conservative",ATB_FOM[Technology],$AI17, ATB_FOM[TechDetail],$AJ17)/$AR17</f>
        <v>10.582425554818503</v>
      </c>
      <c r="AY17" s="163">
        <f>SUMIFS(ATB_VOM[2022],ATB_VOM[CostCase],"Conservative",ATB_VOM[Technology],$AI17, ATB_VOM[TechDetail],$AJ17)</f>
        <v>2.17</v>
      </c>
      <c r="AZ17" s="232">
        <f ca="1">$AC17 * SUMIFS(INDIRECT("ATB_VOM["&amp;AZ$5&amp;"]"),ATB_VOM[CostCase],"Conservative",ATB_VOM[Technology],$AI17, ATB_VOM[TechDetail],$AJ17)/$AY17</f>
        <v>1.0013216746672382</v>
      </c>
      <c r="BA17" s="232">
        <f ca="1">$AC17 * SUMIFS(INDIRECT("ATB_VOM["&amp;BA$5&amp;"]"),ATB_VOM[CostCase],"Conservative",ATB_VOM[Technology],$AI17, ATB_VOM[TechDetail],$AJ17)/$AY17</f>
        <v>0.97324723519058687</v>
      </c>
      <c r="BB17" s="232">
        <f ca="1">$AC17 * SUMIFS(INDIRECT("ATB_VOM["&amp;BB$5&amp;"]"),ATB_VOM[CostCase],"Conservative",ATB_VOM[Technology],$AI17, ATB_VOM[TechDetail],$AJ17)/$AY17</f>
        <v>0.94985186896004381</v>
      </c>
      <c r="BC17" s="232">
        <f ca="1">$AC17 * SUMIFS(INDIRECT("ATB_VOM["&amp;BC$5&amp;"]"),ATB_VOM[CostCase],"Conservative",ATB_VOM[Technology],$AI17, ATB_VOM[TechDetail],$AJ17)/$AY17</f>
        <v>0.92645650272950086</v>
      </c>
      <c r="BD17" s="232">
        <f ca="1">$AC17 * SUMIFS(INDIRECT("ATB_VOM["&amp;BD$5&amp;"]"),ATB_VOM[CostCase],"Conservative",ATB_VOM[Technology],$AI17, ATB_VOM[TechDetail],$AJ17)/$AY17</f>
        <v>0.90306113649895792</v>
      </c>
      <c r="BE17" s="232">
        <f ca="1">$AC17 * SUMIFS(INDIRECT("ATB_VOM["&amp;BE$5&amp;"]"),ATB_VOM[CostCase],"Conservative",ATB_VOM[Technology],$AI17, ATB_VOM[TechDetail],$AJ17)/$AY17</f>
        <v>0.87498669702230636</v>
      </c>
      <c r="BF17" s="231">
        <f>_xlfn.XLOOKUP($Z17, NewCapCosts2023[Technology],NewCapCosts2023[Heat rateg (Btu/kWh)])*0.9/kWh_to_btu_hr</f>
        <v>2.4066822977725675</v>
      </c>
      <c r="BG17" s="231">
        <f>_xlfn.XLOOKUP($Z17, NewCapCosts2023[Technology],NewCapCosts2023[Heat rateg (Btu/kWh)])*0.9/kWh_to_btu_hr</f>
        <v>2.4066822977725675</v>
      </c>
      <c r="BH17" s="231">
        <f>_xlfn.XLOOKUP($Z17, NewCapCosts2023[Technology],NewCapCosts2023[Heat rateg (Btu/kWh)])*0.9/kWh_to_btu_hr</f>
        <v>2.4066822977725675</v>
      </c>
      <c r="BI17" s="231">
        <f>_xlfn.XLOOKUP($Z17, NewCapCosts2023[Technology],NewCapCosts2023[Heat rateg (Btu/kWh)])*0.9/kWh_to_btu_hr</f>
        <v>2.4066822977725675</v>
      </c>
      <c r="BJ17" s="160" t="s">
        <v>561</v>
      </c>
      <c r="BK17" s="160"/>
      <c r="BL17" s="160"/>
      <c r="BM17" s="160"/>
      <c r="BN17" s="160"/>
      <c r="BO17" s="160"/>
    </row>
    <row r="18" spans="1:67" x14ac:dyDescent="0.35">
      <c r="A18" s="160" t="s">
        <v>461</v>
      </c>
      <c r="B18" s="160" t="s">
        <v>565</v>
      </c>
      <c r="C18" s="160" t="s">
        <v>560</v>
      </c>
      <c r="D18" s="160" t="s">
        <v>76</v>
      </c>
      <c r="E18" s="160" t="s">
        <v>106</v>
      </c>
      <c r="F18" s="160"/>
      <c r="G18" s="160">
        <v>2035</v>
      </c>
      <c r="H18" s="160">
        <f t="shared" ref="H18" si="29">GW_to_Pja</f>
        <v>31.536000000000001</v>
      </c>
      <c r="I18" s="231">
        <f>1/N20</f>
        <v>1.5335877312981496</v>
      </c>
      <c r="J18" s="231"/>
      <c r="K18" s="231"/>
      <c r="L18" s="231"/>
      <c r="M18" s="231">
        <f>I18</f>
        <v>1.5335877312981496</v>
      </c>
      <c r="N18" s="231"/>
      <c r="O18" s="160" t="str">
        <f>LifetimeAssumptions!$B$13</f>
        <v>Nuclear</v>
      </c>
      <c r="P18" s="160">
        <f>_xlfn.XLOOKUP($O18, LifetimeAssumptions[technology],LifetimeAssumptions[Lifetime])</f>
        <v>30</v>
      </c>
      <c r="Q18" s="160">
        <f>_xlfn.XLOOKUP($O18, LifetimeAssumptions[technology],LifetimeAssumptions[Peak (con)])</f>
        <v>0.95</v>
      </c>
      <c r="R18" s="160">
        <f>_xlfn.XLOOKUP($O18, LifetimeAssumptions[technology],LifetimeAssumptions[Discrate])</f>
        <v>0.25</v>
      </c>
      <c r="S18" s="160">
        <f>_xlfn.XLOOKUP($O18, LifetimeAssumptions[technology],LifetimeAssumptions[AF])</f>
        <v>0.9</v>
      </c>
      <c r="T18" s="160"/>
      <c r="U18" s="160"/>
      <c r="V18" s="160"/>
      <c r="W18" s="160"/>
      <c r="X18" s="160"/>
      <c r="Y18" s="160"/>
      <c r="Z18" s="160" t="str">
        <f>'2023 Cap Raw Data'!$A$16</f>
        <v>Nuclear—light water reactor</v>
      </c>
      <c r="AA18" s="160" t="str">
        <f>'2023_Regional_Cost_Factor'!$A$15</f>
        <v>Nuclear– light water reactor</v>
      </c>
      <c r="AB18" s="231">
        <f>_xlfn.XLOOKUP($Z18, NewCapCosts2023[Technology],NewCapCosts2023[Fixed O&amp;M (2022$/Kw-y)])*_xlfn.XLOOKUP($AC$5,GDP_deflator[Year],GDP_deflator[Multiply By (for $2005)])</f>
        <v>94.602068163794428</v>
      </c>
      <c r="AC18" s="231">
        <f>_xlfn.XLOOKUP($Z18, NewCapCosts2023[Technology],NewCapCosts2023[Variable O&amp;Mf (2022 $/MWh)])*_xlfn.XLOOKUP($AC$5,GDP_deflator[Year],GDP_deflator[Multiply By (for $2005)])*mills_kWh_to__Million_PJ</f>
        <v>0.51200011844847748</v>
      </c>
      <c r="AD18" s="231">
        <f>_xlfn.XLOOKUP($Z18, NewCapCosts2023[Technology],NewCapCosts2023[Fixed O&amp;M (2022$/Kw-y)])*_xlfn.XLOOKUP($AC$5,GDP_deflator[Year],GDP_deflator[Multiply By (for $2005)])</f>
        <v>94.602068163794428</v>
      </c>
      <c r="AE18" s="231">
        <f>_xlfn.XLOOKUP($Z18, NewCapCosts2023[Technology],NewCapCosts2023[Variable O&amp;Mf (2022 $/MWh)])*_xlfn.XLOOKUP($AC$5,GDP_deflator[Year],GDP_deflator[Multiply By (for $2005)])*mills_kWh_to__Million_PJ</f>
        <v>0.51200011844847748</v>
      </c>
      <c r="AF18" s="231">
        <f>_xlfn.XLOOKUP($AA18,NewCapRegionalCosts[Technology], NewCapRegionalCosts[9 (NYUP)])*_xlfn.XLOOKUP($AC$5,GDP_deflator[Year],GDP_deflator[Multiply By (for $2005)])</f>
        <v>5679.3293430339072</v>
      </c>
      <c r="AG18" s="232">
        <f t="shared" ref="AG18" si="30">AF18</f>
        <v>5679.3293430339072</v>
      </c>
      <c r="AH18" s="232">
        <f t="shared" ref="AH18" si="31">AG18</f>
        <v>5679.3293430339072</v>
      </c>
      <c r="AI18" s="232" t="str">
        <f>ATB_FOM!$E$314</f>
        <v>Nuclear</v>
      </c>
      <c r="AJ18" s="232" t="str">
        <f>ATB_FOM!$F$314</f>
        <v>Nuclear</v>
      </c>
      <c r="AK18" s="163">
        <f>SUMIFS(ATB_CAPEX[2030],ATB_CAPEX[CostCase],"Conservative",ATB_CAPEX[Technology],$AI18, ATB_CAPEX[TechDetail],$AJ18)</f>
        <v>11836.117690043655</v>
      </c>
      <c r="AL18" s="232"/>
      <c r="AM18" s="232"/>
      <c r="AN18" s="232">
        <f ca="1">$AH18 * SUMIFS(INDIRECT("ATB_CAPEX["&amp;AN$5&amp;"]"),ATB_CAPEX[CostCase],"Conservative",ATB_CAPEX[Technology],$AI18, ATB_CAPEX[TechDetail],$AJ18)/$AK18</f>
        <v>5679.3293430339072</v>
      </c>
      <c r="AO18" s="232">
        <f ca="1">$AH18 * SUMIFS(INDIRECT("ATB_CAPEX["&amp;AO$5&amp;"]"),ATB_CAPEX[CostCase],"Conservative",ATB_CAPEX[Technology],$AI18, ATB_CAPEX[TechDetail],$AJ18)/$AK18</f>
        <v>5498.458981790789</v>
      </c>
      <c r="AP18" s="232">
        <f ca="1">$AH18 * SUMIFS(INDIRECT("ATB_CAPEX["&amp;AP$5&amp;"]"),ATB_CAPEX[CostCase],"Conservative",ATB_CAPEX[Technology],$AI18, ATB_CAPEX[TechDetail],$AJ18)/$AK18</f>
        <v>4955.8478980614345</v>
      </c>
      <c r="AQ18" s="232">
        <f ca="1">$AH18 * SUMIFS(INDIRECT("ATB_CAPEX["&amp;AQ$5&amp;"]"),ATB_CAPEX[CostCase],"Conservative",ATB_CAPEX[Technology],$AI18, ATB_CAPEX[TechDetail],$AJ18)/$AK18</f>
        <v>4413.2368143320809</v>
      </c>
      <c r="AR18" s="163">
        <f>SUMIFS(ATB_FOM[2030],ATB_FOM[CostCase],"Conservative",ATB_FOM[Technology],$AI18, ATB_FOM[TechDetail],$AJ18)</f>
        <v>204</v>
      </c>
      <c r="AS18" s="232"/>
      <c r="AT18" s="232"/>
      <c r="AU18" s="232">
        <f ca="1">$AB18 * SUMIFS(INDIRECT("ATB_FOM["&amp;AU$5&amp;"]"),ATB_FOM[CostCase],"Conservative",ATB_FOM[Technology],$AI18, ATB_FOM[TechDetail],$AJ18)/$AR18</f>
        <v>94.602068163794428</v>
      </c>
      <c r="AV18" s="232">
        <f ca="1">$AB18 * SUMIFS(INDIRECT("ATB_FOM["&amp;AV$5&amp;"]"),ATB_FOM[CostCase],"Conservative",ATB_FOM[Technology],$AI18, ATB_FOM[TechDetail],$AJ18)/$AR18</f>
        <v>94.602068163794428</v>
      </c>
      <c r="AW18" s="232">
        <f ca="1">$AB18 * SUMIFS(INDIRECT("ATB_FOM["&amp;AW$5&amp;"]"),ATB_FOM[CostCase],"Conservative",ATB_FOM[Technology],$AI18, ATB_FOM[TechDetail],$AJ18)/$AR18</f>
        <v>94.602068163794428</v>
      </c>
      <c r="AX18" s="232">
        <f ca="1">$AB18 * SUMIFS(INDIRECT("ATB_FOM["&amp;AX$5&amp;"]"),ATB_FOM[CostCase],"Conservative",ATB_FOM[Technology],$AI18, ATB_FOM[TechDetail],$AJ18)/$AR18</f>
        <v>94.602068163794428</v>
      </c>
      <c r="AY18" s="163">
        <f>SUMIFS(ATB_VOM[2030],ATB_VOM[CostCase],"Conservative",ATB_VOM[Technology],$AI18, ATB_VOM[TechDetail],$AJ18)</f>
        <v>3.4</v>
      </c>
      <c r="AZ18" s="232">
        <f ca="1">$AC18 * SUMIFS(INDIRECT("ATB_VOM["&amp;AZ$5&amp;"]"),ATB_VOM[CostCase],"Conservative",ATB_VOM[Technology],$AI18, ATB_VOM[TechDetail],$AJ18)/$AY18</f>
        <v>0</v>
      </c>
      <c r="BA18" s="232">
        <f ca="1">$AC18 * SUMIFS(INDIRECT("ATB_VOM["&amp;BA$5&amp;"]"),ATB_VOM[CostCase],"Conservative",ATB_VOM[Technology],$AI18, ATB_VOM[TechDetail],$AJ18)/$AY18</f>
        <v>0.51200011844847748</v>
      </c>
      <c r="BB18" s="232">
        <f ca="1">$AC18 * SUMIFS(INDIRECT("ATB_VOM["&amp;BB$5&amp;"]"),ATB_VOM[CostCase],"Conservative",ATB_VOM[Technology],$AI18, ATB_VOM[TechDetail],$AJ18)/$AY18</f>
        <v>0.51200011844847748</v>
      </c>
      <c r="BC18" s="232">
        <f ca="1">$AC18 * SUMIFS(INDIRECT("ATB_VOM["&amp;BC$5&amp;"]"),ATB_VOM[CostCase],"Conservative",ATB_VOM[Technology],$AI18, ATB_VOM[TechDetail],$AJ18)/$AY18</f>
        <v>0.51200011844847748</v>
      </c>
      <c r="BD18" s="232">
        <f ca="1">$AC18 * SUMIFS(INDIRECT("ATB_VOM["&amp;BD$5&amp;"]"),ATB_VOM[CostCase],"Conservative",ATB_VOM[Technology],$AI18, ATB_VOM[TechDetail],$AJ18)/$AY18</f>
        <v>0.51200011844847748</v>
      </c>
      <c r="BE18" s="232">
        <f ca="1">$AC18 * SUMIFS(INDIRECT("ATB_VOM["&amp;BE$5&amp;"]"),ATB_VOM[CostCase],"Conservative",ATB_VOM[Technology],$AI18, ATB_VOM[TechDetail],$AJ18)/$AY18</f>
        <v>0.51200011844847748</v>
      </c>
      <c r="BF18" s="231"/>
      <c r="BG18" s="231"/>
      <c r="BH18" s="231"/>
      <c r="BI18" s="231"/>
      <c r="BJ18" s="160" t="s">
        <v>76</v>
      </c>
      <c r="BK18" s="160"/>
      <c r="BL18" s="160"/>
      <c r="BM18" s="160"/>
      <c r="BN18" s="160"/>
      <c r="BO18" s="160"/>
    </row>
    <row r="19" spans="1:67" x14ac:dyDescent="0.35">
      <c r="A19" s="160" t="s">
        <v>566</v>
      </c>
      <c r="B19" s="160"/>
      <c r="C19" s="160"/>
      <c r="D19" s="160"/>
      <c r="E19" s="160"/>
      <c r="F19" s="160" t="s">
        <v>72</v>
      </c>
      <c r="G19" s="160"/>
      <c r="H19" s="160"/>
      <c r="I19" s="231"/>
      <c r="J19" s="231"/>
      <c r="K19" s="231"/>
      <c r="L19" s="231"/>
      <c r="M19" s="231"/>
      <c r="N19" s="231"/>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row>
    <row r="20" spans="1:67" x14ac:dyDescent="0.35">
      <c r="A20" s="160" t="s">
        <v>566</v>
      </c>
      <c r="B20" s="160"/>
      <c r="C20" s="160"/>
      <c r="D20" s="160"/>
      <c r="E20" s="160"/>
      <c r="F20" s="160" t="s">
        <v>112</v>
      </c>
      <c r="G20" s="160"/>
      <c r="H20" s="160"/>
      <c r="I20" s="231"/>
      <c r="J20" s="231"/>
      <c r="K20" s="231"/>
      <c r="L20" s="231"/>
      <c r="M20" s="231"/>
      <c r="N20" s="231">
        <f>(1/(($J$5*24)/(277.78)))/0.355</f>
        <v>0.65206572769953053</v>
      </c>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row>
    <row r="21" spans="1:67" x14ac:dyDescent="0.35">
      <c r="A21" s="160" t="s">
        <v>465</v>
      </c>
      <c r="B21" s="160" t="s">
        <v>466</v>
      </c>
      <c r="C21" s="160" t="s">
        <v>560</v>
      </c>
      <c r="D21" s="160" t="s">
        <v>76</v>
      </c>
      <c r="E21" s="160" t="s">
        <v>106</v>
      </c>
      <c r="F21" s="160"/>
      <c r="G21" s="160">
        <v>2035</v>
      </c>
      <c r="H21" s="160">
        <f t="shared" ref="H21" si="32">GW_to_Pja</f>
        <v>31.536000000000001</v>
      </c>
      <c r="I21" s="231">
        <f>1/N23</f>
        <v>1.5335877312981496</v>
      </c>
      <c r="J21" s="231"/>
      <c r="K21" s="231"/>
      <c r="L21" s="231"/>
      <c r="M21" s="231">
        <f>I21</f>
        <v>1.5335877312981496</v>
      </c>
      <c r="N21" s="231"/>
      <c r="O21" s="160" t="str">
        <f>LifetimeAssumptions!$B$13</f>
        <v>Nuclear</v>
      </c>
      <c r="P21" s="160">
        <f>_xlfn.XLOOKUP($O21, LifetimeAssumptions[technology],LifetimeAssumptions[Lifetime])</f>
        <v>30</v>
      </c>
      <c r="Q21" s="160">
        <f>_xlfn.XLOOKUP($O21, LifetimeAssumptions[technology],LifetimeAssumptions[Peak (con)])</f>
        <v>0.95</v>
      </c>
      <c r="R21" s="160">
        <f>_xlfn.XLOOKUP($O21, LifetimeAssumptions[technology],LifetimeAssumptions[Discrate])</f>
        <v>0.25</v>
      </c>
      <c r="S21" s="160">
        <f>_xlfn.XLOOKUP($O21, LifetimeAssumptions[technology],LifetimeAssumptions[AF])</f>
        <v>0.9</v>
      </c>
      <c r="T21" s="160"/>
      <c r="U21" s="160"/>
      <c r="V21" s="160"/>
      <c r="W21" s="160"/>
      <c r="X21" s="160"/>
      <c r="Y21" s="160"/>
      <c r="Z21" s="160" t="str">
        <f>'2023 Cap Raw Data'!$A$17</f>
        <v>Nuclear—small modular reactor</v>
      </c>
      <c r="AA21" s="160" t="str">
        <f>'2023_Regional_Cost_Factor'!$A$16</f>
        <v>Nuclear– small modular reactor</v>
      </c>
      <c r="AB21" s="231">
        <f>_xlfn.XLOOKUP($Z21, NewCapCosts2023[Technology],NewCapCosts2023[Fixed O&amp;M (2022$/Kw-y)])*_xlfn.XLOOKUP($AC$5,GDP_deflator[Year],GDP_deflator[Multiply By (for $2005)])</f>
        <v>73.88356813142866</v>
      </c>
      <c r="AC21" s="231">
        <f>_xlfn.XLOOKUP($Z21, NewCapCosts2023[Technology],NewCapCosts2023[Variable O&amp;Mf (2022 $/MWh)])*_xlfn.XLOOKUP($AC$5,GDP_deflator[Year],GDP_deflator[Multiply By (for $2005)])*mills_kWh_to__Million_PJ</f>
        <v>0.64810145463240687</v>
      </c>
      <c r="AD21" s="231">
        <f>_xlfn.XLOOKUP($Z21, NewCapCosts2023[Technology],NewCapCosts2023[Fixed O&amp;M (2022$/Kw-y)])*_xlfn.XLOOKUP($AC$5,GDP_deflator[Year],GDP_deflator[Multiply By (for $2005)])</f>
        <v>73.88356813142866</v>
      </c>
      <c r="AE21" s="231">
        <f>_xlfn.XLOOKUP($Z21, NewCapCosts2023[Technology],NewCapCosts2023[Variable O&amp;Mf (2022 $/MWh)])*_xlfn.XLOOKUP($AC$5,GDP_deflator[Year],GDP_deflator[Multiply By (for $2005)])*mills_kWh_to__Million_PJ</f>
        <v>0.64810145463240687</v>
      </c>
      <c r="AF21" s="231">
        <f>_xlfn.XLOOKUP($AA21,NewCapRegionalCosts[Technology], NewCapRegionalCosts[9 (NYUP)])*_xlfn.XLOOKUP($AC$5,GDP_deflator[Year],GDP_deflator[Multiply By (for $2005)])</f>
        <v>6145.579763470726</v>
      </c>
      <c r="AG21" s="232">
        <f t="shared" ref="AG21" si="33">AF21</f>
        <v>6145.579763470726</v>
      </c>
      <c r="AH21" s="232">
        <f t="shared" ref="AH21" si="34">AG21</f>
        <v>6145.579763470726</v>
      </c>
      <c r="AI21" s="232" t="str">
        <f>ATB_FOM!$E$315</f>
        <v>Nuclear</v>
      </c>
      <c r="AJ21" s="232" t="str">
        <f>ATB_FOM!$F$315</f>
        <v>NuclearSMR</v>
      </c>
      <c r="AK21" s="163">
        <f>SUMIFS(ATB_CAPEX[2030],ATB_CAPEX[CostCase],"Conservative",ATB_CAPEX[Technology],$AI21, ATB_CAPEX[TechDetail],$AJ21)</f>
        <v>12681.1268480299</v>
      </c>
      <c r="AL21" s="232"/>
      <c r="AM21" s="232"/>
      <c r="AN21" s="232">
        <f ca="1">$AH21 * SUMIFS(INDIRECT("ATB_CAPEX["&amp;AN$5&amp;"]"),ATB_CAPEX[CostCase],"Conservative",ATB_CAPEX[Technology],$AI21, ATB_CAPEX[TechDetail],$AJ21)/$AK21</f>
        <v>5841.3431415167297</v>
      </c>
      <c r="AO21" s="232">
        <f ca="1">$AH21 * SUMIFS(INDIRECT("ATB_CAPEX["&amp;AO$5&amp;"]"),ATB_CAPEX[CostCase],"Conservative",ATB_CAPEX[Technology],$AI21, ATB_CAPEX[TechDetail],$AJ21)/$AK21</f>
        <v>4928.6332756547408</v>
      </c>
      <c r="AP21" s="232">
        <f ca="1">$AH21 * SUMIFS(INDIRECT("ATB_CAPEX["&amp;AP$5&amp;"]"),ATB_CAPEX[CostCase],"Conservative",ATB_CAPEX[Technology],$AI21, ATB_CAPEX[TechDetail],$AJ21)/$AK21</f>
        <v>4320.1600317467473</v>
      </c>
      <c r="AQ21" s="232">
        <f ca="1">$AH21 * SUMIFS(INDIRECT("ATB_CAPEX["&amp;AQ$5&amp;"]"),ATB_CAPEX[CostCase],"Conservative",ATB_CAPEX[Technology],$AI21, ATB_CAPEX[TechDetail],$AJ21)/$AK21</f>
        <v>3863.8050988157538</v>
      </c>
      <c r="AR21" s="163">
        <f>SUMIFS(ATB_FOM[2030],ATB_FOM[CostCase],"Conservative",ATB_FOM[Technology],$AI21, ATB_FOM[TechDetail],$AJ21)</f>
        <v>216</v>
      </c>
      <c r="AS21" s="232"/>
      <c r="AT21" s="232"/>
      <c r="AU21" s="232">
        <f ca="1">$AB21 * SUMIFS(INDIRECT("ATB_FOM["&amp;AU$5&amp;"]"),ATB_FOM[CostCase],"Conservative",ATB_FOM[Technology],$AI21, ATB_FOM[TechDetail],$AJ21)/$AR21</f>
        <v>73.88356813142866</v>
      </c>
      <c r="AV21" s="232">
        <f ca="1">$AB21 * SUMIFS(INDIRECT("ATB_FOM["&amp;AV$5&amp;"]"),ATB_FOM[CostCase],"Conservative",ATB_FOM[Technology],$AI21, ATB_FOM[TechDetail],$AJ21)/$AR21</f>
        <v>73.88356813142866</v>
      </c>
      <c r="AW21" s="232">
        <f ca="1">$AB21 * SUMIFS(INDIRECT("ATB_FOM["&amp;AW$5&amp;"]"),ATB_FOM[CostCase],"Conservative",ATB_FOM[Technology],$AI21, ATB_FOM[TechDetail],$AJ21)/$AR21</f>
        <v>73.88356813142866</v>
      </c>
      <c r="AX21" s="232">
        <f ca="1">$AB21 * SUMIFS(INDIRECT("ATB_FOM["&amp;AX$5&amp;"]"),ATB_FOM[CostCase],"Conservative",ATB_FOM[Technology],$AI21, ATB_FOM[TechDetail],$AJ21)/$AR21</f>
        <v>73.88356813142866</v>
      </c>
      <c r="AY21" s="163">
        <f>SUMIFS(ATB_VOM[2030],ATB_VOM[CostCase],"Conservative",ATB_VOM[Technology],$AI21, ATB_VOM[TechDetail],$AJ21)</f>
        <v>2.8</v>
      </c>
      <c r="AZ21" s="232">
        <f ca="1">$AC21 * SUMIFS(INDIRECT("ATB_VOM["&amp;AZ$5&amp;"]"),ATB_VOM[CostCase],"Conservative",ATB_VOM[Technology],$AI21, ATB_VOM[TechDetail],$AJ21)/$AY21</f>
        <v>0</v>
      </c>
      <c r="BA21" s="232">
        <f ca="1">$AC21 * SUMIFS(INDIRECT("ATB_VOM["&amp;BA$5&amp;"]"),ATB_VOM[CostCase],"Conservative",ATB_VOM[Technology],$AI21, ATB_VOM[TechDetail],$AJ21)/$AY21</f>
        <v>0.64810145463240687</v>
      </c>
      <c r="BB21" s="232">
        <f ca="1">$AC21 * SUMIFS(INDIRECT("ATB_VOM["&amp;BB$5&amp;"]"),ATB_VOM[CostCase],"Conservative",ATB_VOM[Technology],$AI21, ATB_VOM[TechDetail],$AJ21)/$AY21</f>
        <v>0.64810145463240687</v>
      </c>
      <c r="BC21" s="232">
        <f ca="1">$AC21 * SUMIFS(INDIRECT("ATB_VOM["&amp;BC$5&amp;"]"),ATB_VOM[CostCase],"Conservative",ATB_VOM[Technology],$AI21, ATB_VOM[TechDetail],$AJ21)/$AY21</f>
        <v>0.64810145463240687</v>
      </c>
      <c r="BD21" s="232">
        <f ca="1">$AC21 * SUMIFS(INDIRECT("ATB_VOM["&amp;BD$5&amp;"]"),ATB_VOM[CostCase],"Conservative",ATB_VOM[Technology],$AI21, ATB_VOM[TechDetail],$AJ21)/$AY21</f>
        <v>0.64810145463240687</v>
      </c>
      <c r="BE21" s="232">
        <f ca="1">$AC21 * SUMIFS(INDIRECT("ATB_VOM["&amp;BE$5&amp;"]"),ATB_VOM[CostCase],"Conservative",ATB_VOM[Technology],$AI21, ATB_VOM[TechDetail],$AJ21)/$AY21</f>
        <v>0.64810145463240687</v>
      </c>
      <c r="BF21" s="231"/>
      <c r="BG21" s="231"/>
      <c r="BH21" s="231"/>
      <c r="BI21" s="231"/>
      <c r="BJ21" s="160" t="s">
        <v>76</v>
      </c>
      <c r="BK21" s="160"/>
      <c r="BL21" s="160"/>
      <c r="BM21" s="160"/>
      <c r="BN21" s="160"/>
      <c r="BO21" s="160"/>
    </row>
    <row r="22" spans="1:67" x14ac:dyDescent="0.35">
      <c r="A22" s="160" t="s">
        <v>566</v>
      </c>
      <c r="B22" s="160"/>
      <c r="C22" s="160"/>
      <c r="D22" s="160"/>
      <c r="E22" s="160"/>
      <c r="F22" s="160" t="s">
        <v>72</v>
      </c>
      <c r="G22" s="160"/>
      <c r="H22" s="160"/>
      <c r="I22" s="231"/>
      <c r="J22" s="231"/>
      <c r="K22" s="231"/>
      <c r="L22" s="231"/>
      <c r="M22" s="231"/>
      <c r="N22" s="231"/>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row>
    <row r="23" spans="1:67" x14ac:dyDescent="0.35">
      <c r="A23" s="160" t="s">
        <v>566</v>
      </c>
      <c r="B23" s="160"/>
      <c r="C23" s="160"/>
      <c r="D23" s="160"/>
      <c r="E23" s="160"/>
      <c r="F23" s="160" t="s">
        <v>112</v>
      </c>
      <c r="G23" s="160"/>
      <c r="H23" s="160"/>
      <c r="I23" s="231"/>
      <c r="J23" s="231"/>
      <c r="K23" s="231"/>
      <c r="L23" s="231"/>
      <c r="M23" s="231"/>
      <c r="N23" s="231">
        <f>(1/(($J$5*24)/(277.78)))/0.355</f>
        <v>0.65206572769953053</v>
      </c>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row>
    <row r="27" spans="1:67" x14ac:dyDescent="0.35">
      <c r="A27" s="153"/>
      <c r="B27" s="153"/>
      <c r="C27" s="153"/>
      <c r="D27" s="153"/>
      <c r="E27" s="39" t="s">
        <v>491</v>
      </c>
      <c r="F27" s="153"/>
      <c r="G27" s="153"/>
      <c r="H27" s="153"/>
      <c r="I27" s="153"/>
      <c r="J27" s="153"/>
      <c r="K27" s="153"/>
    </row>
    <row r="28" spans="1:67" ht="15" thickBot="1" x14ac:dyDescent="0.4">
      <c r="A28" s="40" t="s">
        <v>436</v>
      </c>
      <c r="B28" s="40" t="s">
        <v>492</v>
      </c>
      <c r="C28" s="40" t="s">
        <v>493</v>
      </c>
      <c r="D28" s="40" t="s">
        <v>61</v>
      </c>
      <c r="E28" s="40" t="s">
        <v>494</v>
      </c>
      <c r="F28" s="40" t="s">
        <v>495</v>
      </c>
      <c r="G28" s="40" t="s">
        <v>496</v>
      </c>
      <c r="H28" s="40" t="s">
        <v>497</v>
      </c>
      <c r="I28" s="40" t="s">
        <v>567</v>
      </c>
      <c r="J28" s="40" t="s">
        <v>568</v>
      </c>
      <c r="K28" s="40" t="s">
        <v>506</v>
      </c>
      <c r="L28" s="40" t="s">
        <v>504</v>
      </c>
      <c r="M28" s="40" t="s">
        <v>505</v>
      </c>
      <c r="N28" s="40" t="s">
        <v>507</v>
      </c>
      <c r="O28" s="40" t="s">
        <v>504</v>
      </c>
      <c r="P28" s="40" t="s">
        <v>516</v>
      </c>
      <c r="Q28" s="40" t="s">
        <v>518</v>
      </c>
      <c r="R28" s="40" t="s">
        <v>569</v>
      </c>
      <c r="S28" s="40" t="s">
        <v>520</v>
      </c>
      <c r="T28" s="40" t="s">
        <v>522</v>
      </c>
      <c r="U28" s="40" t="s">
        <v>523</v>
      </c>
      <c r="V28" s="40" t="s">
        <v>524</v>
      </c>
      <c r="W28" s="40" t="s">
        <v>525</v>
      </c>
      <c r="X28" s="40" t="s">
        <v>526</v>
      </c>
      <c r="Y28" s="40" t="s">
        <v>527</v>
      </c>
      <c r="Z28" s="40" t="s">
        <v>528</v>
      </c>
      <c r="AA28" s="40" t="s">
        <v>529</v>
      </c>
      <c r="AB28" s="40" t="s">
        <v>530</v>
      </c>
      <c r="AC28" s="40" t="s">
        <v>531</v>
      </c>
      <c r="AD28" s="40" t="s">
        <v>532</v>
      </c>
      <c r="AE28" s="40" t="s">
        <v>533</v>
      </c>
      <c r="AF28" s="40" t="s">
        <v>534</v>
      </c>
      <c r="AG28" s="40" t="s">
        <v>535</v>
      </c>
      <c r="AH28" s="40" t="s">
        <v>536</v>
      </c>
      <c r="AI28" s="40" t="s">
        <v>537</v>
      </c>
      <c r="AJ28" s="40" t="s">
        <v>538</v>
      </c>
      <c r="AK28" s="40" t="s">
        <v>570</v>
      </c>
      <c r="AL28" s="40" t="s">
        <v>571</v>
      </c>
      <c r="AM28" s="40" t="s">
        <v>572</v>
      </c>
      <c r="AN28" s="40" t="s">
        <v>573</v>
      </c>
      <c r="AO28" s="40" t="s">
        <v>574</v>
      </c>
      <c r="AP28" s="40" t="s">
        <v>575</v>
      </c>
      <c r="AQ28" s="40" t="s">
        <v>576</v>
      </c>
      <c r="AR28" s="40" t="s">
        <v>577</v>
      </c>
      <c r="AS28" s="40" t="s">
        <v>578</v>
      </c>
      <c r="AT28" s="40" t="s">
        <v>546</v>
      </c>
      <c r="AU28" s="40" t="s">
        <v>547</v>
      </c>
      <c r="AV28" s="40" t="s">
        <v>548</v>
      </c>
      <c r="AW28" s="40" t="s">
        <v>549</v>
      </c>
    </row>
    <row r="29" spans="1:67" x14ac:dyDescent="0.35">
      <c r="A29" s="41" t="s">
        <v>555</v>
      </c>
      <c r="B29" s="41" t="s">
        <v>579</v>
      </c>
      <c r="C29" s="41"/>
      <c r="D29" s="41"/>
      <c r="E29" s="41"/>
      <c r="F29" s="41"/>
      <c r="G29" s="41"/>
      <c r="H29" s="41"/>
      <c r="I29" s="41"/>
      <c r="J29" s="41"/>
      <c r="K29" s="41"/>
      <c r="L29" s="41" t="s">
        <v>558</v>
      </c>
      <c r="M29" s="41"/>
      <c r="N29" s="41"/>
      <c r="O29" s="41" t="s">
        <v>580</v>
      </c>
      <c r="P29" s="41">
        <v>2022</v>
      </c>
      <c r="Q29" s="41">
        <v>2022</v>
      </c>
      <c r="R29" s="41"/>
      <c r="S29" s="41"/>
      <c r="T29" s="41"/>
      <c r="U29" s="41"/>
      <c r="V29" s="41"/>
      <c r="W29" s="41"/>
      <c r="X29" s="41">
        <v>2025</v>
      </c>
      <c r="Y29" s="41">
        <v>2030</v>
      </c>
      <c r="Z29" s="41">
        <v>2035</v>
      </c>
      <c r="AA29" s="41">
        <v>2040</v>
      </c>
      <c r="AB29" s="41">
        <v>2045</v>
      </c>
      <c r="AC29" s="41">
        <v>2050</v>
      </c>
      <c r="AD29" s="41"/>
      <c r="AE29" s="41">
        <v>2025</v>
      </c>
      <c r="AF29" s="41">
        <v>2030</v>
      </c>
      <c r="AG29" s="41">
        <v>2035</v>
      </c>
      <c r="AH29" s="41">
        <v>2040</v>
      </c>
      <c r="AI29" s="41">
        <v>2045</v>
      </c>
      <c r="AJ29" s="41">
        <v>2050</v>
      </c>
      <c r="AK29" s="41"/>
      <c r="AL29" s="41"/>
      <c r="AM29" s="41"/>
      <c r="AN29" s="41"/>
      <c r="AO29" s="41"/>
      <c r="AP29" s="41"/>
      <c r="AQ29" s="41"/>
      <c r="AR29" s="41"/>
      <c r="AS29" s="41"/>
      <c r="AT29" s="41"/>
      <c r="AU29" s="41"/>
      <c r="AV29" s="41"/>
      <c r="AW29" s="41"/>
    </row>
    <row r="30" spans="1:67" x14ac:dyDescent="0.35">
      <c r="A30" s="160" t="s">
        <v>485</v>
      </c>
      <c r="B30" s="160" t="s">
        <v>486</v>
      </c>
      <c r="C30" s="160" t="s">
        <v>581</v>
      </c>
      <c r="D30" s="160" t="s">
        <v>561</v>
      </c>
      <c r="E30" s="160" t="s">
        <v>72</v>
      </c>
      <c r="F30" s="160" t="s">
        <v>582</v>
      </c>
      <c r="G30" s="160">
        <v>2023</v>
      </c>
      <c r="H30" s="160">
        <f t="shared" ref="H30:H37" si="35">GW_to_Pja</f>
        <v>31.536000000000001</v>
      </c>
      <c r="I30" s="160"/>
      <c r="J30" s="160">
        <v>1</v>
      </c>
      <c r="K30" s="160"/>
      <c r="L30" s="160" t="str">
        <f>LifetimeAssumptions!$B$12</f>
        <v>Battery Storage</v>
      </c>
      <c r="M30" s="160">
        <f>_xlfn.XLOOKUP($L30, LifetimeAssumptions[technology],LifetimeAssumptions[Lifetime])</f>
        <v>15</v>
      </c>
      <c r="N30" s="160">
        <f>_xlfn.XLOOKUP($L30, LifetimeAssumptions[technology],LifetimeAssumptions[Discrate])</f>
        <v>0.1</v>
      </c>
      <c r="O30" s="160" t="str">
        <f>'2023 Cap Raw Data'!$A$20</f>
        <v>Battery storage</v>
      </c>
      <c r="P30" s="160"/>
      <c r="Q30" s="160"/>
      <c r="R30" s="160"/>
      <c r="S30" s="160"/>
      <c r="T30" s="160"/>
      <c r="U30" s="163" t="str">
        <f>ATB_CAPEX!$E$326</f>
        <v>Utility-Scale Battery Storage</v>
      </c>
      <c r="V30" s="232" t="str">
        <f>ATB_CAPEX!$F$326</f>
        <v>4Hr Battery Storage</v>
      </c>
      <c r="W30" s="163">
        <f>SUMIFS(ATB_CAPEX[2022],ATB_CAPEX[CostCase],"Conservative",ATB_CAPEX[Technology],$U30, ATB_CAPEX[TechDetail],$V30)</f>
        <v>2100.7782310539828</v>
      </c>
      <c r="X30" s="160"/>
      <c r="Y30" s="160"/>
      <c r="Z30" s="160"/>
      <c r="AA30" s="160"/>
      <c r="AB30" s="160"/>
      <c r="AC30" s="160"/>
      <c r="AD30" s="163">
        <f>SUMIFS(ATB_FOM[2022],ATB_FOM[CostCase],"Conservative",ATB_FOM[Technology],$U30, ATB_FOM[TechDetail],$V30)</f>
        <v>48.168000000000006</v>
      </c>
      <c r="AE30" s="160"/>
      <c r="AF30" s="160"/>
      <c r="AG30" s="160"/>
      <c r="AH30" s="160"/>
      <c r="AI30" s="160"/>
      <c r="AJ30" s="160"/>
      <c r="AK30" s="160"/>
      <c r="AL30" s="233">
        <f>4/24</f>
        <v>0.16666666666666666</v>
      </c>
      <c r="AM30" s="160"/>
      <c r="AN30" s="160"/>
      <c r="AO30" s="160"/>
      <c r="AP30" s="160"/>
      <c r="AQ30" s="160"/>
      <c r="AR30" s="160"/>
      <c r="AS30" s="160">
        <v>1</v>
      </c>
      <c r="AT30" s="160">
        <v>1.1000000000000001</v>
      </c>
      <c r="AU30" s="160"/>
      <c r="AV30" s="160">
        <v>1.1000000000000001</v>
      </c>
      <c r="AW30" s="160">
        <v>1.1000000000000001</v>
      </c>
    </row>
    <row r="31" spans="1:67" x14ac:dyDescent="0.35">
      <c r="A31" s="160" t="s">
        <v>487</v>
      </c>
      <c r="B31" s="160" t="s">
        <v>486</v>
      </c>
      <c r="C31" s="160" t="s">
        <v>581</v>
      </c>
      <c r="D31" s="160" t="s">
        <v>561</v>
      </c>
      <c r="E31" s="160" t="s">
        <v>582</v>
      </c>
      <c r="F31" s="160" t="s">
        <v>72</v>
      </c>
      <c r="G31" s="160">
        <v>2023</v>
      </c>
      <c r="H31" s="160">
        <f t="shared" si="35"/>
        <v>31.536000000000001</v>
      </c>
      <c r="I31" s="160">
        <v>0.85</v>
      </c>
      <c r="J31" s="160"/>
      <c r="K31" s="160">
        <v>0.5</v>
      </c>
      <c r="L31" s="160" t="str">
        <f>LifetimeAssumptions!$B$12</f>
        <v>Battery Storage</v>
      </c>
      <c r="M31" s="160">
        <f>_xlfn.XLOOKUP($L31, LifetimeAssumptions[technology],LifetimeAssumptions[Lifetime])</f>
        <v>15</v>
      </c>
      <c r="N31" s="160">
        <f>_xlfn.XLOOKUP($L31, LifetimeAssumptions[technology],LifetimeAssumptions[Discrate])</f>
        <v>0.1</v>
      </c>
      <c r="O31" s="160" t="str">
        <f>'2023 Cap Raw Data'!$A$20</f>
        <v>Battery storage</v>
      </c>
      <c r="P31" s="231">
        <f>_xlfn.XLOOKUP($O31,NewCapCosts2023[Technology],NewCapCosts2023[Fixed O&amp;M (2022$/Kw-y)])*_xlfn.XLOOKUP(lookup_deflator_2023,GDP_deflator[Year],GDP_deflator[Multiply By (for $2005)])</f>
        <v>31.622415478114988</v>
      </c>
      <c r="Q31" s="231">
        <f>_xlfn.XLOOKUP($O31,NewCapCosts2023[Technology],NewCapCosts2023[Fixed O&amp;M (2022$/Kw-y)])*_xlfn.XLOOKUP(lookup_deflator_2023,GDP_deflator[Year],GDP_deflator[Multiply By (for $2005)])</f>
        <v>31.622415478114988</v>
      </c>
      <c r="R31" s="160"/>
      <c r="S31" s="231">
        <f>_xlfn.XLOOKUP($O31,NewCapRegionalCosts[Technology],NewCapRegionalCosts[8 (NYCW)])*_xlfn.XLOOKUP(lookup_deflator_2023,GDP_deflator[Year],GDP_deflator[Multiply By (for $2005)])</f>
        <v>901.07894390640331</v>
      </c>
      <c r="T31" s="231">
        <f>S31</f>
        <v>901.07894390640331</v>
      </c>
      <c r="U31" s="231"/>
      <c r="V31" s="231"/>
      <c r="W31" s="231"/>
      <c r="X31" s="234">
        <f ca="1">$T31*SUMIFS(INDIRECT("ATB_CAPEX["&amp;X$29&amp;"]"),ATB_CAPEX[CostCase],"Conservative",ATB_CAPEX[Technology],$U30, ATB_CAPEX[TechDetail],$V30)/$W30</f>
        <v>926.45615288259819</v>
      </c>
      <c r="Y31" s="234">
        <f ca="1">$T31*SUMIFS(INDIRECT("ATB_CAPEX["&amp;Y$29&amp;"]"),ATB_CAPEX[CostCase],"Conservative",ATB_CAPEX[Technology],$U30, ATB_CAPEX[TechDetail],$V30)/$W30</f>
        <v>761.30756499327458</v>
      </c>
      <c r="Z31" s="234">
        <f ca="1">$T31*SUMIFS(INDIRECT("ATB_CAPEX["&amp;Z$29&amp;"]"),ATB_CAPEX[CostCase],"Conservative",ATB_CAPEX[Technology],$U30, ATB_CAPEX[TechDetail],$V30)/$W30</f>
        <v>736.7670666643985</v>
      </c>
      <c r="AA31" s="234">
        <f ca="1">$T31*SUMIFS(INDIRECT("ATB_CAPEX["&amp;AA$29&amp;"]"),ATB_CAPEX[CostCase],"Conservative",ATB_CAPEX[Technology],$U30, ATB_CAPEX[TechDetail],$V30)/$W30</f>
        <v>712.22656833552219</v>
      </c>
      <c r="AB31" s="234">
        <f ca="1">$T31*SUMIFS(INDIRECT("ATB_CAPEX["&amp;AB$29&amp;"]"),ATB_CAPEX[CostCase],"Conservative",ATB_CAPEX[Technology],$U30, ATB_CAPEX[TechDetail],$V30)/$W30</f>
        <v>687.68607000664599</v>
      </c>
      <c r="AC31" s="234">
        <f ca="1">$T31*SUMIFS(INDIRECT("ATB_CAPEX["&amp;AC$29&amp;"]"),ATB_CAPEX[CostCase],"Conservative",ATB_CAPEX[Technology],$U30, ATB_CAPEX[TechDetail],$V30)/$W30</f>
        <v>663.14557167777002</v>
      </c>
      <c r="AD31" s="231"/>
      <c r="AE31" s="234">
        <f ca="1">$P31*SUMIFS(INDIRECT("ATB_FOM["&amp;AE$29&amp;"]"),ATB_FOM[CostCase],"Conservative",ATB_FOM[Technology],$U30, ATB_FOM[TechDetail],$V30)/$AD30</f>
        <v>32.559224798204376</v>
      </c>
      <c r="AF31" s="234">
        <f ca="1">$P31*SUMIFS(INDIRECT("ATB_FOM["&amp;AF$29&amp;"]"),ATB_FOM[CostCase],"Conservative",ATB_FOM[Technology],$U30, ATB_FOM[TechDetail],$V30)/$AD30</f>
        <v>26.462701871689941</v>
      </c>
      <c r="AG31" s="234">
        <f ca="1">$P31*SUMIFS(INDIRECT("ATB_FOM["&amp;AG$29&amp;"]"),ATB_FOM[CostCase],"Conservative",ATB_FOM[Technology],$U30, ATB_FOM[TechDetail],$V30)/$AD30</f>
        <v>25.556780043340147</v>
      </c>
      <c r="AH31" s="234">
        <f ca="1">$P31*SUMIFS(INDIRECT("ATB_FOM["&amp;AH$29&amp;"]"),ATB_FOM[CostCase],"Conservative",ATB_FOM[Technology],$U30, ATB_FOM[TechDetail],$V30)/$AD30</f>
        <v>24.65085821499035</v>
      </c>
      <c r="AI31" s="234">
        <f ca="1">$P31*SUMIFS(INDIRECT("ATB_FOM["&amp;AI$29&amp;"]"),ATB_FOM[CostCase],"Conservative",ATB_FOM[Technology],$U30, ATB_FOM[TechDetail],$V30)/$AD30</f>
        <v>23.744936386640557</v>
      </c>
      <c r="AJ31" s="234">
        <f ca="1">$P31*SUMIFS(INDIRECT("ATB_FOM["&amp;AJ$29&amp;"]"),ATB_FOM[CostCase],"Conservative",ATB_FOM[Technology],$U30, ATB_FOM[TechDetail],$V30)/$AD30</f>
        <v>22.839014558290767</v>
      </c>
      <c r="AK31" s="233">
        <f>AL30</f>
        <v>0.16666666666666666</v>
      </c>
      <c r="AL31" s="160"/>
      <c r="AM31" s="235">
        <f>1/2*1/(1+20%)</f>
        <v>0.41666666666666669</v>
      </c>
      <c r="AN31" s="235">
        <f t="shared" ref="AN31:AO37" si="36">1/2*1/(1+20%)</f>
        <v>0.41666666666666669</v>
      </c>
      <c r="AO31" s="235">
        <f t="shared" si="36"/>
        <v>0.41666666666666669</v>
      </c>
      <c r="AP31" s="235"/>
      <c r="AQ31" s="235"/>
      <c r="AR31" s="235"/>
      <c r="AS31" s="160">
        <v>1</v>
      </c>
      <c r="AT31" s="160">
        <v>1.1000000000000001</v>
      </c>
      <c r="AU31" s="160"/>
      <c r="AV31" s="160">
        <v>1.1000000000000001</v>
      </c>
      <c r="AW31" s="160">
        <v>1.1000000000000001</v>
      </c>
    </row>
    <row r="32" spans="1:67" x14ac:dyDescent="0.35">
      <c r="A32" s="160" t="s">
        <v>485</v>
      </c>
      <c r="B32" s="160" t="s">
        <v>486</v>
      </c>
      <c r="C32" s="160" t="s">
        <v>581</v>
      </c>
      <c r="D32" s="160" t="s">
        <v>76</v>
      </c>
      <c r="E32" s="160" t="s">
        <v>72</v>
      </c>
      <c r="F32" s="160" t="s">
        <v>582</v>
      </c>
      <c r="G32" s="160">
        <v>2023</v>
      </c>
      <c r="H32" s="160">
        <f t="shared" si="35"/>
        <v>31.536000000000001</v>
      </c>
      <c r="I32" s="160"/>
      <c r="J32" s="160">
        <v>1</v>
      </c>
      <c r="K32" s="160"/>
      <c r="L32" s="160" t="str">
        <f>LifetimeAssumptions!$B$12</f>
        <v>Battery Storage</v>
      </c>
      <c r="M32" s="160">
        <f>_xlfn.XLOOKUP($L32, LifetimeAssumptions[technology],LifetimeAssumptions[Lifetime])</f>
        <v>15</v>
      </c>
      <c r="N32" s="160">
        <f>_xlfn.XLOOKUP($L32, LifetimeAssumptions[technology],LifetimeAssumptions[Discrate])</f>
        <v>0.1</v>
      </c>
      <c r="O32" s="160" t="str">
        <f>'2023 Cap Raw Data'!$A$20</f>
        <v>Battery storage</v>
      </c>
      <c r="P32" s="160"/>
      <c r="Q32" s="160"/>
      <c r="R32" s="160"/>
      <c r="S32" s="160"/>
      <c r="T32" s="160"/>
      <c r="U32" s="163" t="str">
        <f>ATB_CAPEX!$E$326</f>
        <v>Utility-Scale Battery Storage</v>
      </c>
      <c r="V32" s="232" t="str">
        <f>ATB_CAPEX!$F$326</f>
        <v>4Hr Battery Storage</v>
      </c>
      <c r="W32" s="163">
        <f>SUMIFS(ATB_CAPEX[2022],ATB_CAPEX[CostCase],"Conservative",ATB_CAPEX[Technology],$U32, ATB_CAPEX[TechDetail],$V32)</f>
        <v>2100.7782310539828</v>
      </c>
      <c r="X32" s="160"/>
      <c r="Y32" s="160"/>
      <c r="Z32" s="160"/>
      <c r="AA32" s="160"/>
      <c r="AB32" s="160"/>
      <c r="AC32" s="160"/>
      <c r="AD32" s="163">
        <f>SUMIFS(ATB_FOM[2022],ATB_FOM[CostCase],"Conservative",ATB_FOM[Technology],$U32, ATB_FOM[TechDetail],$V32)</f>
        <v>48.168000000000006</v>
      </c>
      <c r="AE32" s="160"/>
      <c r="AF32" s="160"/>
      <c r="AG32" s="160"/>
      <c r="AH32" s="160"/>
      <c r="AI32" s="160"/>
      <c r="AJ32" s="160"/>
      <c r="AK32" s="160"/>
      <c r="AL32" s="233">
        <f>4/24</f>
        <v>0.16666666666666666</v>
      </c>
      <c r="AM32" s="160"/>
      <c r="AN32" s="160"/>
      <c r="AO32" s="160"/>
      <c r="AP32" s="160"/>
      <c r="AQ32" s="160"/>
      <c r="AR32" s="160"/>
      <c r="AS32" s="160">
        <v>1</v>
      </c>
      <c r="AT32" s="160">
        <v>1.1000000000000001</v>
      </c>
      <c r="AU32" s="160"/>
      <c r="AV32" s="160">
        <v>1.1000000000000001</v>
      </c>
      <c r="AW32" s="160">
        <v>1.1000000000000001</v>
      </c>
    </row>
    <row r="33" spans="1:49" x14ac:dyDescent="0.35">
      <c r="A33" s="160" t="s">
        <v>487</v>
      </c>
      <c r="B33" s="160" t="s">
        <v>486</v>
      </c>
      <c r="C33" s="160" t="s">
        <v>581</v>
      </c>
      <c r="D33" s="160" t="s">
        <v>76</v>
      </c>
      <c r="E33" s="160" t="s">
        <v>582</v>
      </c>
      <c r="F33" s="160" t="s">
        <v>72</v>
      </c>
      <c r="G33" s="160">
        <v>2023</v>
      </c>
      <c r="H33" s="160">
        <f t="shared" si="35"/>
        <v>31.536000000000001</v>
      </c>
      <c r="I33" s="160">
        <v>0.85</v>
      </c>
      <c r="J33" s="160"/>
      <c r="K33" s="160">
        <v>0.5</v>
      </c>
      <c r="L33" s="160" t="str">
        <f>LifetimeAssumptions!$B$12</f>
        <v>Battery Storage</v>
      </c>
      <c r="M33" s="160">
        <f>_xlfn.XLOOKUP($L33, LifetimeAssumptions[technology],LifetimeAssumptions[Lifetime])</f>
        <v>15</v>
      </c>
      <c r="N33" s="160">
        <f>_xlfn.XLOOKUP($L33, LifetimeAssumptions[technology],LifetimeAssumptions[Discrate])</f>
        <v>0.1</v>
      </c>
      <c r="O33" s="160" t="str">
        <f>'2023 Cap Raw Data'!$A$20</f>
        <v>Battery storage</v>
      </c>
      <c r="P33" s="231">
        <f>_xlfn.XLOOKUP($O33,NewCapCosts2023[Technology],NewCapCosts2023[Fixed O&amp;M (2022$/Kw-y)])*_xlfn.XLOOKUP(lookup_deflator_2023,GDP_deflator[Year],GDP_deflator[Multiply By (for $2005)])</f>
        <v>31.622415478114988</v>
      </c>
      <c r="Q33" s="231">
        <f>_xlfn.XLOOKUP($O33,NewCapCosts2023[Technology],NewCapCosts2023[Fixed O&amp;M (2022$/Kw-y)])*_xlfn.XLOOKUP(lookup_deflator_2023,GDP_deflator[Year],GDP_deflator[Multiply By (for $2005)])</f>
        <v>31.622415478114988</v>
      </c>
      <c r="R33" s="160"/>
      <c r="S33" s="231">
        <f>_xlfn.XLOOKUP($O33,NewCapRegionalCosts[Technology],NewCapRegionalCosts[9 (NYUP)])*_xlfn.XLOOKUP(lookup_deflator_2023,GDP_deflator[Year],GDP_deflator[Multiply By (for $2005)])</f>
        <v>880.89106941167927</v>
      </c>
      <c r="T33" s="231">
        <f>S33</f>
        <v>880.89106941167927</v>
      </c>
      <c r="U33" s="231"/>
      <c r="V33" s="231"/>
      <c r="W33" s="231"/>
      <c r="X33" s="234">
        <f ca="1">$T33*SUMIFS(INDIRECT("ATB_CAPEX["&amp;X29&amp;"]"),ATB_CAPEX[CostCase],"Conservative",ATB_CAPEX[Technology],$U32, ATB_CAPEX[TechDetail],$V32)/$W$30</f>
        <v>905.69972452996592</v>
      </c>
      <c r="Y33" s="234">
        <f ca="1">$T33*SUMIFS(INDIRECT("ATB_CAPEX["&amp;Y29&amp;"]"),ATB_CAPEX[CostCase],"Conservative",ATB_CAPEX[Technology],$U32, ATB_CAPEX[TechDetail],$V32)/$W$30</f>
        <v>744.25114426798393</v>
      </c>
      <c r="Z33" s="234">
        <f ca="1">$T33*SUMIFS(INDIRECT("ATB_CAPEX["&amp;Z29&amp;"]"),ATB_CAPEX[CostCase],"Conservative",ATB_CAPEX[Technology],$U32, ATB_CAPEX[TechDetail],$V32)/$W$30</f>
        <v>720.26045403711259</v>
      </c>
      <c r="AA33" s="234">
        <f ca="1">$T33*SUMIFS(INDIRECT("ATB_CAPEX["&amp;AA29&amp;"]"),ATB_CAPEX[CostCase],"Conservative",ATB_CAPEX[Technology],$U32, ATB_CAPEX[TechDetail],$V32)/$W$30</f>
        <v>696.26976380624126</v>
      </c>
      <c r="AB33" s="234">
        <f ca="1">$T33*SUMIFS(INDIRECT("ATB_CAPEX["&amp;AB29&amp;"]"),ATB_CAPEX[CostCase],"Conservative",ATB_CAPEX[Technology],$U32, ATB_CAPEX[TechDetail],$V32)/$W$30</f>
        <v>672.27907357536969</v>
      </c>
      <c r="AC33" s="234">
        <f ca="1">$T33*SUMIFS(INDIRECT("ATB_CAPEX["&amp;AC29&amp;"]"),ATB_CAPEX[CostCase],"Conservative",ATB_CAPEX[Technology],$U32, ATB_CAPEX[TechDetail],$V32)/$W$30</f>
        <v>648.28838334449858</v>
      </c>
      <c r="AD33" s="231"/>
      <c r="AE33" s="234">
        <f ca="1">$P33*SUMIFS(INDIRECT("ATB_FOM["&amp;AE$29&amp;"]"),ATB_FOM[CostCase],"Conservative",ATB_FOM[Technology],$U32, ATB_FOM[TechDetail],$V32)/$AD32</f>
        <v>32.559224798204376</v>
      </c>
      <c r="AF33" s="234">
        <f ca="1">$P33*SUMIFS(INDIRECT("ATB_FOM["&amp;AF$29&amp;"]"),ATB_FOM[CostCase],"Conservative",ATB_FOM[Technology],$U32, ATB_FOM[TechDetail],$V32)/$AD32</f>
        <v>26.462701871689941</v>
      </c>
      <c r="AG33" s="234">
        <f ca="1">$P33*SUMIFS(INDIRECT("ATB_FOM["&amp;AG$29&amp;"]"),ATB_FOM[CostCase],"Conservative",ATB_FOM[Technology],$U32, ATB_FOM[TechDetail],$V32)/$AD32</f>
        <v>25.556780043340147</v>
      </c>
      <c r="AH33" s="234">
        <f ca="1">$P33*SUMIFS(INDIRECT("ATB_FOM["&amp;AH$29&amp;"]"),ATB_FOM[CostCase],"Conservative",ATB_FOM[Technology],$U32, ATB_FOM[TechDetail],$V32)/$AD32</f>
        <v>24.65085821499035</v>
      </c>
      <c r="AI33" s="234">
        <f ca="1">$P33*SUMIFS(INDIRECT("ATB_FOM["&amp;AI$29&amp;"]"),ATB_FOM[CostCase],"Conservative",ATB_FOM[Technology],$U32, ATB_FOM[TechDetail],$V32)/$AD32</f>
        <v>23.744936386640557</v>
      </c>
      <c r="AJ33" s="234">
        <f ca="1">$P33*SUMIFS(INDIRECT("ATB_FOM["&amp;AJ$29&amp;"]"),ATB_FOM[CostCase],"Conservative",ATB_FOM[Technology],$U32, ATB_FOM[TechDetail],$V32)/$AD32</f>
        <v>22.839014558290767</v>
      </c>
      <c r="AK33" s="233">
        <f>AL32</f>
        <v>0.16666666666666666</v>
      </c>
      <c r="AL33" s="160"/>
      <c r="AM33" s="235">
        <f>1/2*1/(1+20%)</f>
        <v>0.41666666666666669</v>
      </c>
      <c r="AN33" s="235">
        <f t="shared" si="36"/>
        <v>0.41666666666666669</v>
      </c>
      <c r="AO33" s="235">
        <f t="shared" si="36"/>
        <v>0.41666666666666669</v>
      </c>
      <c r="AP33" s="235"/>
      <c r="AQ33" s="235"/>
      <c r="AR33" s="235"/>
      <c r="AS33" s="160">
        <v>1</v>
      </c>
      <c r="AT33" s="160">
        <v>1.1000000000000001</v>
      </c>
      <c r="AU33" s="160"/>
      <c r="AV33" s="160">
        <v>1.1000000000000001</v>
      </c>
      <c r="AW33" s="160">
        <v>1.1000000000000001</v>
      </c>
    </row>
    <row r="34" spans="1:49" x14ac:dyDescent="0.35">
      <c r="A34" s="160" t="s">
        <v>583</v>
      </c>
      <c r="B34" s="160" t="s">
        <v>584</v>
      </c>
      <c r="C34" s="160" t="s">
        <v>581</v>
      </c>
      <c r="D34" s="160" t="s">
        <v>561</v>
      </c>
      <c r="E34" s="160" t="s">
        <v>72</v>
      </c>
      <c r="F34" s="160" t="s">
        <v>582</v>
      </c>
      <c r="G34" s="160">
        <v>2030</v>
      </c>
      <c r="H34" s="160">
        <f t="shared" si="35"/>
        <v>31.536000000000001</v>
      </c>
      <c r="I34" s="160"/>
      <c r="J34" s="160">
        <v>1</v>
      </c>
      <c r="K34" s="160"/>
      <c r="L34" s="160" t="str">
        <f>LifetimeAssumptions!$B$12</f>
        <v>Battery Storage</v>
      </c>
      <c r="M34" s="160">
        <f>_xlfn.XLOOKUP($L34, LifetimeAssumptions[technology],LifetimeAssumptions[Lifetime])</f>
        <v>15</v>
      </c>
      <c r="N34" s="160">
        <f>_xlfn.XLOOKUP($L34, LifetimeAssumptions[technology],LifetimeAssumptions[Discrate])</f>
        <v>0.1</v>
      </c>
      <c r="O34" s="160" t="str">
        <f>'2023 Cap Raw Data'!$A$20</f>
        <v>Battery storage</v>
      </c>
      <c r="P34" s="160"/>
      <c r="Q34" s="160"/>
      <c r="R34" s="160"/>
      <c r="S34" s="160"/>
      <c r="T34" s="160"/>
      <c r="U34" s="163" t="str">
        <f>ATB_CAPEX!$E$326</f>
        <v>Utility-Scale Battery Storage</v>
      </c>
      <c r="V34" s="232" t="str">
        <f>ATB_CAPEX!$F$333</f>
        <v>10Hr Battery Storage</v>
      </c>
      <c r="W34" s="163">
        <f>SUMIFS(ATB_CAPEX[2022],ATB_CAPEX[CostCase],"Conservative",ATB_CAPEX[Technology],$U34, ATB_CAPEX[TechDetail],$V34)</f>
        <v>4532.0591827595699</v>
      </c>
      <c r="X34" s="160"/>
      <c r="Y34" s="160"/>
      <c r="Z34" s="160"/>
      <c r="AA34" s="160"/>
      <c r="AB34" s="160"/>
      <c r="AC34" s="160"/>
      <c r="AD34" s="163">
        <f>SUMIFS(ATB_FOM[2022],ATB_FOM[CostCase],"Conservative",ATB_FOM[Technology],$U34, ATB_FOM[TechDetail],$V34)</f>
        <v>106.807289688</v>
      </c>
      <c r="AE34" s="160"/>
      <c r="AF34" s="160"/>
      <c r="AG34" s="160"/>
      <c r="AH34" s="160"/>
      <c r="AI34" s="160"/>
      <c r="AJ34" s="160"/>
      <c r="AK34" s="160"/>
      <c r="AL34" s="233">
        <f>8/24</f>
        <v>0.33333333333333331</v>
      </c>
      <c r="AM34" s="160"/>
      <c r="AN34" s="160"/>
      <c r="AO34" s="160"/>
      <c r="AP34" s="160"/>
      <c r="AQ34" s="160"/>
      <c r="AR34" s="160"/>
      <c r="AS34" s="160">
        <v>1</v>
      </c>
      <c r="AT34" s="160">
        <v>1.1000000000000001</v>
      </c>
      <c r="AU34" s="160"/>
      <c r="AV34" s="160">
        <v>1.1000000000000001</v>
      </c>
      <c r="AW34" s="160">
        <v>1.1000000000000001</v>
      </c>
    </row>
    <row r="35" spans="1:49" x14ac:dyDescent="0.35">
      <c r="A35" s="160" t="s">
        <v>585</v>
      </c>
      <c r="B35" s="160" t="s">
        <v>584</v>
      </c>
      <c r="C35" s="160" t="s">
        <v>581</v>
      </c>
      <c r="D35" s="160" t="s">
        <v>561</v>
      </c>
      <c r="E35" s="160" t="s">
        <v>582</v>
      </c>
      <c r="F35" s="160" t="s">
        <v>72</v>
      </c>
      <c r="G35" s="160">
        <v>2030</v>
      </c>
      <c r="H35" s="160">
        <f t="shared" si="35"/>
        <v>31.536000000000001</v>
      </c>
      <c r="I35" s="160">
        <v>0.85</v>
      </c>
      <c r="J35" s="160"/>
      <c r="K35" s="160">
        <v>0.5</v>
      </c>
      <c r="L35" s="160" t="str">
        <f>LifetimeAssumptions!$B$12</f>
        <v>Battery Storage</v>
      </c>
      <c r="M35" s="160">
        <f>_xlfn.XLOOKUP($L35, LifetimeAssumptions[technology],LifetimeAssumptions[Lifetime])</f>
        <v>15</v>
      </c>
      <c r="N35" s="160">
        <f>_xlfn.XLOOKUP($L35, LifetimeAssumptions[technology],LifetimeAssumptions[Discrate])</f>
        <v>0.1</v>
      </c>
      <c r="O35" s="160" t="str">
        <f>'2023 Cap Raw Data'!$A$20</f>
        <v>Battery storage</v>
      </c>
      <c r="P35" s="231">
        <f>_xlfn.XLOOKUP($O35,NewCapCosts2023[Technology],NewCapCosts2023[Fixed O&amp;M (2022$/Kw-y)])*_xlfn.XLOOKUP(lookup_deflator_2023,GDP_deflator[Year],GDP_deflator[Multiply By (for $2005)])</f>
        <v>31.622415478114988</v>
      </c>
      <c r="Q35" s="231">
        <f>_xlfn.XLOOKUP($O35,NewCapCosts2023[Technology],NewCapCosts2023[Fixed O&amp;M (2022$/Kw-y)])*_xlfn.XLOOKUP(lookup_deflator_2023,GDP_deflator[Year],GDP_deflator[Multiply By (for $2005)])</f>
        <v>31.622415478114988</v>
      </c>
      <c r="R35" s="160"/>
      <c r="S35" s="231">
        <f>_xlfn.XLOOKUP($O35,NewCapRegionalCosts[Technology],NewCapRegionalCosts[8 (NYCW)])*_xlfn.XLOOKUP(lookup_deflator_2023,GDP_deflator[Year],GDP_deflator[Multiply By (for $2005)])</f>
        <v>901.07894390640331</v>
      </c>
      <c r="T35" s="231">
        <f>S35</f>
        <v>901.07894390640331</v>
      </c>
      <c r="U35" s="231"/>
      <c r="V35" s="231"/>
      <c r="W35" s="231"/>
      <c r="X35" s="234">
        <f ca="1">$T35*SUMIFS(INDIRECT("ATB_CAPEX["&amp;X$29&amp;"]"),ATB_CAPEX[CostCase],"Conservative",ATB_CAPEX[Technology],$U34, ATB_CAPEX[TechDetail],$V34)/$W30</f>
        <v>1999.6538820969736</v>
      </c>
      <c r="Y35" s="234">
        <f ca="1">$T35*SUMIFS(INDIRECT("ATB_CAPEX["&amp;Y$29&amp;"]"),ATB_CAPEX[CostCase],"Conservative",ATB_CAPEX[Technology],$U34, ATB_CAPEX[TechDetail],$V34)/$W30</f>
        <v>1611.1630057126247</v>
      </c>
      <c r="Z35" s="234">
        <f ca="1">$T35*SUMIFS(INDIRECT("ATB_CAPEX["&amp;Z$29&amp;"]"),ATB_CAPEX[CostCase],"Conservative",ATB_CAPEX[Technology],$U34, ATB_CAPEX[TechDetail],$V34)/$W30</f>
        <v>1557.5286303328514</v>
      </c>
      <c r="AA35" s="234">
        <f ca="1">$T35*SUMIFS(INDIRECT("ATB_CAPEX["&amp;AA$29&amp;"]"),ATB_CAPEX[CostCase],"Conservative",ATB_CAPEX[Technology],$U34, ATB_CAPEX[TechDetail],$V34)/$W30</f>
        <v>1503.8942549530777</v>
      </c>
      <c r="AB35" s="234">
        <f ca="1">$T35*SUMIFS(INDIRECT("ATB_CAPEX["&amp;AB$29&amp;"]"),ATB_CAPEX[CostCase],"Conservative",ATB_CAPEX[Technology],$U34, ATB_CAPEX[TechDetail],$V34)/$W30</f>
        <v>1450.2598795733045</v>
      </c>
      <c r="AC35" s="234">
        <f ca="1">$T35*SUMIFS(INDIRECT("ATB_CAPEX["&amp;AC$29&amp;"]"),ATB_CAPEX[CostCase],"Conservative",ATB_CAPEX[Technology],$U34, ATB_CAPEX[TechDetail],$V34)/$W30</f>
        <v>1396.6255041935317</v>
      </c>
      <c r="AD35" s="231"/>
      <c r="AE35" s="234">
        <f ca="1">$P35*SUMIFS(INDIRECT("ATB_FOM["&amp;AE$29&amp;"]"),ATB_FOM[CostCase],"Conservative",ATB_FOM[Technology],$U34, ATB_FOM[TechDetail],$V34)/$AD34</f>
        <v>32.550293159830773</v>
      </c>
      <c r="AF35" s="234">
        <f ca="1">$P35*SUMIFS(INDIRECT("ATB_FOM["&amp;AF$29&amp;"]"),ATB_FOM[CostCase],"Conservative",ATB_FOM[Technology],$U34, ATB_FOM[TechDetail],$V34)/$AD34</f>
        <v>26.082652386755782</v>
      </c>
      <c r="AG35" s="234">
        <f ca="1">$P35*SUMIFS(INDIRECT("ATB_FOM["&amp;AG$29&amp;"]"),ATB_FOM[CostCase],"Conservative",ATB_FOM[Technology],$U34, ATB_FOM[TechDetail],$V34)/$AD34</f>
        <v>25.189741139333226</v>
      </c>
      <c r="AH35" s="234">
        <f ca="1">$P35*SUMIFS(INDIRECT("ATB_FOM["&amp;AH$29&amp;"]"),ATB_FOM[CostCase],"Conservative",ATB_FOM[Technology],$U34, ATB_FOM[TechDetail],$V34)/$AD34</f>
        <v>24.296829891910662</v>
      </c>
      <c r="AI35" s="234">
        <f ca="1">$P35*SUMIFS(INDIRECT("ATB_FOM["&amp;AI$29&amp;"]"),ATB_FOM[CostCase],"Conservative",ATB_FOM[Technology],$U34, ATB_FOM[TechDetail],$V34)/$AD34</f>
        <v>23.403918644488105</v>
      </c>
      <c r="AJ35" s="234">
        <f ca="1">$P35*SUMIFS(INDIRECT("ATB_FOM["&amp;AJ$29&amp;"]"),ATB_FOM[CostCase],"Conservative",ATB_FOM[Technology],$U34, ATB_FOM[TechDetail],$V34)/$AD34</f>
        <v>22.511007397065558</v>
      </c>
      <c r="AK35" s="233">
        <f>AL34</f>
        <v>0.33333333333333331</v>
      </c>
      <c r="AL35" s="160"/>
      <c r="AM35" s="235">
        <f>1/2*1/(1+20%)</f>
        <v>0.41666666666666669</v>
      </c>
      <c r="AN35" s="235">
        <f t="shared" si="36"/>
        <v>0.41666666666666669</v>
      </c>
      <c r="AO35" s="235">
        <f t="shared" si="36"/>
        <v>0.41666666666666669</v>
      </c>
      <c r="AP35" s="235">
        <f>1/2*1/(1+20%)</f>
        <v>0.41666666666666669</v>
      </c>
      <c r="AQ35" s="235">
        <f t="shared" ref="AQ35:AR37" si="37">1/2*1/(1+20%)</f>
        <v>0.41666666666666669</v>
      </c>
      <c r="AR35" s="235">
        <f t="shared" si="37"/>
        <v>0.41666666666666669</v>
      </c>
      <c r="AS35" s="160">
        <v>1</v>
      </c>
      <c r="AT35" s="160">
        <v>1.1000000000000001</v>
      </c>
      <c r="AU35" s="160"/>
      <c r="AV35" s="160">
        <v>1.1000000000000001</v>
      </c>
      <c r="AW35" s="160">
        <v>1.1000000000000001</v>
      </c>
    </row>
    <row r="36" spans="1:49" x14ac:dyDescent="0.35">
      <c r="A36" s="160" t="s">
        <v>583</v>
      </c>
      <c r="B36" s="160" t="s">
        <v>584</v>
      </c>
      <c r="C36" s="160" t="s">
        <v>581</v>
      </c>
      <c r="D36" s="160" t="s">
        <v>76</v>
      </c>
      <c r="E36" s="160" t="s">
        <v>72</v>
      </c>
      <c r="F36" s="160" t="s">
        <v>582</v>
      </c>
      <c r="G36" s="160">
        <v>2030</v>
      </c>
      <c r="H36" s="160">
        <f t="shared" si="35"/>
        <v>31.536000000000001</v>
      </c>
      <c r="I36" s="160"/>
      <c r="J36" s="160">
        <v>1</v>
      </c>
      <c r="K36" s="160"/>
      <c r="L36" s="160" t="str">
        <f>LifetimeAssumptions!$B$12</f>
        <v>Battery Storage</v>
      </c>
      <c r="M36" s="160">
        <f>_xlfn.XLOOKUP($L36, LifetimeAssumptions[technology],LifetimeAssumptions[Lifetime])</f>
        <v>15</v>
      </c>
      <c r="N36" s="160">
        <f>_xlfn.XLOOKUP($L36, LifetimeAssumptions[technology],LifetimeAssumptions[Discrate])</f>
        <v>0.1</v>
      </c>
      <c r="O36" s="160" t="str">
        <f>'2023 Cap Raw Data'!$A$20</f>
        <v>Battery storage</v>
      </c>
      <c r="P36" s="160"/>
      <c r="Q36" s="160"/>
      <c r="R36" s="160"/>
      <c r="S36" s="160"/>
      <c r="T36" s="160"/>
      <c r="U36" s="163" t="str">
        <f>ATB_CAPEX!$E$326</f>
        <v>Utility-Scale Battery Storage</v>
      </c>
      <c r="V36" s="232" t="str">
        <f>ATB_CAPEX!$F$333</f>
        <v>10Hr Battery Storage</v>
      </c>
      <c r="W36" s="163">
        <f>SUMIFS(ATB_CAPEX[2022],ATB_CAPEX[CostCase],"Conservative",ATB_CAPEX[Technology],$U36, ATB_CAPEX[TechDetail],$V36)</f>
        <v>4532.0591827595699</v>
      </c>
      <c r="X36" s="160"/>
      <c r="Y36" s="160"/>
      <c r="Z36" s="160"/>
      <c r="AA36" s="160"/>
      <c r="AB36" s="160"/>
      <c r="AC36" s="160"/>
      <c r="AD36" s="163">
        <f>SUMIFS(ATB_FOM[2022],ATB_FOM[CostCase],"Conservative",ATB_FOM[Technology],$U36, ATB_FOM[TechDetail],$V36)</f>
        <v>106.807289688</v>
      </c>
      <c r="AE36" s="160"/>
      <c r="AF36" s="160"/>
      <c r="AG36" s="160"/>
      <c r="AH36" s="160"/>
      <c r="AI36" s="160"/>
      <c r="AJ36" s="160"/>
      <c r="AK36" s="160"/>
      <c r="AL36" s="233">
        <f>8/24</f>
        <v>0.33333333333333331</v>
      </c>
      <c r="AM36" s="160"/>
      <c r="AN36" s="160"/>
      <c r="AO36" s="160"/>
      <c r="AP36" s="160"/>
      <c r="AQ36" s="160"/>
      <c r="AR36" s="160"/>
      <c r="AS36" s="160">
        <v>1</v>
      </c>
      <c r="AT36" s="160">
        <v>1.1000000000000001</v>
      </c>
      <c r="AU36" s="160"/>
      <c r="AV36" s="160">
        <v>1.1000000000000001</v>
      </c>
      <c r="AW36" s="160">
        <v>1.1000000000000001</v>
      </c>
    </row>
    <row r="37" spans="1:49" x14ac:dyDescent="0.35">
      <c r="A37" s="160" t="s">
        <v>585</v>
      </c>
      <c r="B37" s="160" t="s">
        <v>584</v>
      </c>
      <c r="C37" s="160" t="s">
        <v>581</v>
      </c>
      <c r="D37" s="160" t="s">
        <v>76</v>
      </c>
      <c r="E37" s="160" t="s">
        <v>582</v>
      </c>
      <c r="F37" s="160" t="s">
        <v>72</v>
      </c>
      <c r="G37" s="160">
        <v>2030</v>
      </c>
      <c r="H37" s="160">
        <f t="shared" si="35"/>
        <v>31.536000000000001</v>
      </c>
      <c r="I37" s="160">
        <v>0.85</v>
      </c>
      <c r="J37" s="160"/>
      <c r="K37" s="160">
        <v>0.5</v>
      </c>
      <c r="L37" s="160" t="str">
        <f>LifetimeAssumptions!$B$12</f>
        <v>Battery Storage</v>
      </c>
      <c r="M37" s="160">
        <f>_xlfn.XLOOKUP($L37, LifetimeAssumptions[technology],LifetimeAssumptions[Lifetime])</f>
        <v>15</v>
      </c>
      <c r="N37" s="160">
        <f>_xlfn.XLOOKUP($L37, LifetimeAssumptions[technology],LifetimeAssumptions[Discrate])</f>
        <v>0.1</v>
      </c>
      <c r="O37" s="160" t="str">
        <f>'2023 Cap Raw Data'!$A$20</f>
        <v>Battery storage</v>
      </c>
      <c r="P37" s="231">
        <f>_xlfn.XLOOKUP($O37,NewCapCosts2023[Technology],NewCapCosts2023[Fixed O&amp;M (2022$/Kw-y)])*_xlfn.XLOOKUP(lookup_deflator_2023,GDP_deflator[Year],GDP_deflator[Multiply By (for $2005)])</f>
        <v>31.622415478114988</v>
      </c>
      <c r="Q37" s="231">
        <f>_xlfn.XLOOKUP($O37,NewCapCosts2023[Technology],NewCapCosts2023[Fixed O&amp;M (2022$/Kw-y)])*_xlfn.XLOOKUP(lookup_deflator_2023,GDP_deflator[Year],GDP_deflator[Multiply By (for $2005)])</f>
        <v>31.622415478114988</v>
      </c>
      <c r="R37" s="160"/>
      <c r="S37" s="231">
        <f>_xlfn.XLOOKUP($O37,NewCapRegionalCosts[Technology],NewCapRegionalCosts[9 (NYUP)])*_xlfn.XLOOKUP(lookup_deflator_2023,GDP_deflator[Year],GDP_deflator[Multiply By (for $2005)])</f>
        <v>880.89106941167927</v>
      </c>
      <c r="T37" s="231">
        <f>S37</f>
        <v>880.89106941167927</v>
      </c>
      <c r="U37" s="231"/>
      <c r="V37" s="231"/>
      <c r="W37" s="231"/>
      <c r="X37" s="234">
        <f ca="1">$T37*SUMIFS(INDIRECT("ATB_CAPEX["&amp;X$29&amp;"]"),ATB_CAPEX[CostCase],"Conservative",ATB_CAPEX[Technology],$U36, ATB_CAPEX[TechDetail],$V36)/$W32</f>
        <v>1954.8534105315714</v>
      </c>
      <c r="Y37" s="234">
        <f ca="1">$T37*SUMIFS(INDIRECT("ATB_CAPEX["&amp;Y$29&amp;"]"),ATB_CAPEX[CostCase],"Conservative",ATB_CAPEX[Technology],$U36, ATB_CAPEX[TechDetail],$V36)/$W32</f>
        <v>1575.0663276470375</v>
      </c>
      <c r="Z37" s="234">
        <f ca="1">$T37*SUMIFS(INDIRECT("ATB_CAPEX["&amp;Z$29&amp;"]"),ATB_CAPEX[CostCase],"Conservative",ATB_CAPEX[Technology],$U36, ATB_CAPEX[TechDetail],$V36)/$W32</f>
        <v>1522.6335828747619</v>
      </c>
      <c r="AA37" s="234">
        <f ca="1">$T37*SUMIFS(INDIRECT("ATB_CAPEX["&amp;AA$29&amp;"]"),ATB_CAPEX[CostCase],"Conservative",ATB_CAPEX[Technology],$U36, ATB_CAPEX[TechDetail],$V36)/$W32</f>
        <v>1470.2008381024862</v>
      </c>
      <c r="AB37" s="234">
        <f ca="1">$T37*SUMIFS(INDIRECT("ATB_CAPEX["&amp;AB$29&amp;"]"),ATB_CAPEX[CostCase],"Conservative",ATB_CAPEX[Technology],$U36, ATB_CAPEX[TechDetail],$V36)/$W32</f>
        <v>1417.7680933302108</v>
      </c>
      <c r="AC37" s="234">
        <f ca="1">$T37*SUMIFS(INDIRECT("ATB_CAPEX["&amp;AC$29&amp;"]"),ATB_CAPEX[CostCase],"Conservative",ATB_CAPEX[Technology],$U36, ATB_CAPEX[TechDetail],$V36)/$W32</f>
        <v>1365.3353485579357</v>
      </c>
      <c r="AD37" s="231"/>
      <c r="AE37" s="234">
        <f ca="1">$P37*SUMIFS(INDIRECT("ATB_FOM["&amp;AE$29&amp;"]"),ATB_FOM[CostCase],"Conservative",ATB_FOM[Technology],$U36, ATB_FOM[TechDetail],$V36)/$AD36</f>
        <v>32.550293159830773</v>
      </c>
      <c r="AF37" s="234">
        <f ca="1">$P37*SUMIFS(INDIRECT("ATB_FOM["&amp;AF$29&amp;"]"),ATB_FOM[CostCase],"Conservative",ATB_FOM[Technology],$U36, ATB_FOM[TechDetail],$V36)/$AD36</f>
        <v>26.082652386755782</v>
      </c>
      <c r="AG37" s="234">
        <f ca="1">$P37*SUMIFS(INDIRECT("ATB_FOM["&amp;AG$29&amp;"]"),ATB_FOM[CostCase],"Conservative",ATB_FOM[Technology],$U36, ATB_FOM[TechDetail],$V36)/$AD36</f>
        <v>25.189741139333226</v>
      </c>
      <c r="AH37" s="234">
        <f ca="1">$P37*SUMIFS(INDIRECT("ATB_FOM["&amp;AH$29&amp;"]"),ATB_FOM[CostCase],"Conservative",ATB_FOM[Technology],$U36, ATB_FOM[TechDetail],$V36)/$AD36</f>
        <v>24.296829891910662</v>
      </c>
      <c r="AI37" s="234">
        <f ca="1">$P37*SUMIFS(INDIRECT("ATB_FOM["&amp;AI$29&amp;"]"),ATB_FOM[CostCase],"Conservative",ATB_FOM[Technology],$U36, ATB_FOM[TechDetail],$V36)/$AD36</f>
        <v>23.403918644488105</v>
      </c>
      <c r="AJ37" s="234">
        <f ca="1">$P37*SUMIFS(INDIRECT("ATB_FOM["&amp;AJ$29&amp;"]"),ATB_FOM[CostCase],"Conservative",ATB_FOM[Technology],$U36, ATB_FOM[TechDetail],$V36)/$AD36</f>
        <v>22.511007397065558</v>
      </c>
      <c r="AK37" s="233">
        <f>AL36</f>
        <v>0.33333333333333331</v>
      </c>
      <c r="AL37" s="160"/>
      <c r="AM37" s="235">
        <f>1/2*1/(1+20%)</f>
        <v>0.41666666666666669</v>
      </c>
      <c r="AN37" s="235">
        <f t="shared" si="36"/>
        <v>0.41666666666666669</v>
      </c>
      <c r="AO37" s="235">
        <f t="shared" si="36"/>
        <v>0.41666666666666669</v>
      </c>
      <c r="AP37" s="235">
        <f>1/2*1/(1+20%)</f>
        <v>0.41666666666666669</v>
      </c>
      <c r="AQ37" s="235">
        <f t="shared" si="37"/>
        <v>0.41666666666666669</v>
      </c>
      <c r="AR37" s="235">
        <f t="shared" si="37"/>
        <v>0.41666666666666669</v>
      </c>
      <c r="AS37" s="160">
        <v>1</v>
      </c>
      <c r="AT37" s="160">
        <v>1.1000000000000001</v>
      </c>
      <c r="AU37" s="160"/>
      <c r="AV37" s="160">
        <v>1.1000000000000001</v>
      </c>
      <c r="AW37" s="160">
        <v>1.1000000000000001</v>
      </c>
    </row>
    <row r="42" spans="1:49" x14ac:dyDescent="0.35">
      <c r="A42" s="153"/>
      <c r="B42" s="153"/>
      <c r="C42" s="153"/>
      <c r="D42" s="153"/>
      <c r="E42" s="39" t="s">
        <v>491</v>
      </c>
      <c r="F42" s="153"/>
      <c r="G42" s="153"/>
      <c r="H42" s="153"/>
      <c r="I42" s="153"/>
      <c r="J42" s="153"/>
      <c r="K42" s="236"/>
      <c r="L42" s="237"/>
      <c r="M42" s="237"/>
      <c r="N42" s="153"/>
      <c r="O42" s="153"/>
      <c r="P42" s="153"/>
      <c r="Q42" s="153"/>
    </row>
    <row r="43" spans="1:49" ht="15" thickBot="1" x14ac:dyDescent="0.4">
      <c r="A43" s="40" t="s">
        <v>436</v>
      </c>
      <c r="B43" s="40" t="s">
        <v>492</v>
      </c>
      <c r="C43" s="40" t="s">
        <v>493</v>
      </c>
      <c r="D43" s="40" t="s">
        <v>494</v>
      </c>
      <c r="E43" s="40" t="s">
        <v>495</v>
      </c>
      <c r="F43" s="40" t="s">
        <v>586</v>
      </c>
      <c r="G43" s="40" t="s">
        <v>587</v>
      </c>
      <c r="H43" s="40" t="s">
        <v>588</v>
      </c>
      <c r="I43" s="40" t="s">
        <v>496</v>
      </c>
      <c r="J43" s="40" t="s">
        <v>505</v>
      </c>
      <c r="K43" s="40" t="s">
        <v>497</v>
      </c>
      <c r="L43" s="40" t="s">
        <v>506</v>
      </c>
      <c r="M43" s="40" t="s">
        <v>589</v>
      </c>
      <c r="N43" s="40" t="s">
        <v>590</v>
      </c>
      <c r="O43" s="40" t="s">
        <v>569</v>
      </c>
      <c r="P43" s="40" t="s">
        <v>570</v>
      </c>
      <c r="Q43" s="40" t="s">
        <v>507</v>
      </c>
    </row>
    <row r="44" spans="1:49" x14ac:dyDescent="0.35">
      <c r="A44" s="151" t="s">
        <v>591</v>
      </c>
      <c r="B44" s="152" t="s">
        <v>592</v>
      </c>
      <c r="C44" s="152"/>
      <c r="D44" s="152"/>
      <c r="E44" s="152"/>
      <c r="F44" s="152"/>
      <c r="G44" s="152"/>
      <c r="H44" s="152"/>
      <c r="I44" s="152"/>
      <c r="J44" s="152"/>
      <c r="K44" s="152"/>
      <c r="L44" s="160"/>
      <c r="M44" s="232"/>
      <c r="N44" s="235"/>
      <c r="O44" s="235"/>
      <c r="P44" s="160"/>
      <c r="Q44" s="152"/>
    </row>
    <row r="45" spans="1:49" x14ac:dyDescent="0.35">
      <c r="A45" s="160" t="s">
        <v>468</v>
      </c>
      <c r="B45" s="160" t="s">
        <v>469</v>
      </c>
      <c r="C45" s="160" t="s">
        <v>560</v>
      </c>
      <c r="D45" s="160" t="s">
        <v>279</v>
      </c>
      <c r="E45" s="160"/>
      <c r="F45" s="160"/>
      <c r="G45" s="160"/>
      <c r="H45" s="160">
        <v>0.8</v>
      </c>
      <c r="I45" s="160">
        <v>2011</v>
      </c>
      <c r="J45" s="160">
        <v>45</v>
      </c>
      <c r="K45" s="160">
        <v>31.536000000000001</v>
      </c>
      <c r="L45" s="238">
        <v>0.95</v>
      </c>
      <c r="M45" s="238">
        <f>M49</f>
        <v>2874.2697548618121</v>
      </c>
      <c r="N45" s="238">
        <f>N49</f>
        <v>32.779711395973401</v>
      </c>
      <c r="O45" s="238">
        <f>O49</f>
        <v>1.305371231024171</v>
      </c>
      <c r="P45" s="238">
        <v>0.9</v>
      </c>
      <c r="Q45" s="238">
        <v>0.15</v>
      </c>
    </row>
    <row r="46" spans="1:49" x14ac:dyDescent="0.35">
      <c r="A46" s="160"/>
      <c r="B46" s="160"/>
      <c r="C46" s="160"/>
      <c r="D46" s="160"/>
      <c r="E46" s="160" t="s">
        <v>72</v>
      </c>
      <c r="F46" s="160">
        <v>0.35</v>
      </c>
      <c r="G46" s="160">
        <v>0.35</v>
      </c>
      <c r="H46" s="160"/>
      <c r="I46" s="160"/>
      <c r="J46" s="160"/>
      <c r="K46" s="160"/>
      <c r="L46" s="238"/>
      <c r="M46" s="238"/>
      <c r="N46" s="238"/>
      <c r="O46" s="238"/>
      <c r="P46" s="238"/>
      <c r="Q46" s="238"/>
    </row>
    <row r="47" spans="1:49" x14ac:dyDescent="0.35">
      <c r="A47" s="160"/>
      <c r="B47" s="160"/>
      <c r="C47" s="160"/>
      <c r="D47" s="160"/>
      <c r="E47" s="160" t="s">
        <v>593</v>
      </c>
      <c r="F47" s="160">
        <f>G47*0.75</f>
        <v>0.39</v>
      </c>
      <c r="G47" s="160">
        <f>(1-G46)*80%</f>
        <v>0.52</v>
      </c>
      <c r="H47" s="160"/>
      <c r="I47" s="160"/>
      <c r="J47" s="160"/>
      <c r="K47" s="160"/>
      <c r="L47" s="238"/>
      <c r="M47" s="238"/>
      <c r="N47" s="238"/>
      <c r="O47" s="238"/>
      <c r="P47" s="238"/>
      <c r="Q47" s="238"/>
    </row>
    <row r="48" spans="1:49" x14ac:dyDescent="0.35">
      <c r="A48" s="160"/>
      <c r="B48" s="160"/>
      <c r="C48" s="160"/>
      <c r="D48" s="160"/>
      <c r="E48" s="160" t="s">
        <v>594</v>
      </c>
      <c r="F48" s="160">
        <f>G48*0.75</f>
        <v>9.7499999999999976E-2</v>
      </c>
      <c r="G48" s="160">
        <f>(1-G46)*(1-80%)</f>
        <v>0.12999999999999998</v>
      </c>
      <c r="H48" s="160"/>
      <c r="I48" s="160"/>
      <c r="J48" s="160"/>
      <c r="K48" s="160"/>
      <c r="L48" s="238"/>
      <c r="M48" s="238"/>
      <c r="N48" s="238"/>
      <c r="O48" s="238"/>
      <c r="P48" s="238"/>
      <c r="Q48" s="238"/>
    </row>
    <row r="49" spans="1:17" x14ac:dyDescent="0.35">
      <c r="A49" s="160" t="s">
        <v>471</v>
      </c>
      <c r="B49" s="160" t="s">
        <v>472</v>
      </c>
      <c r="C49" s="160" t="s">
        <v>560</v>
      </c>
      <c r="D49" s="160" t="s">
        <v>193</v>
      </c>
      <c r="E49" s="160"/>
      <c r="F49" s="160"/>
      <c r="G49" s="160"/>
      <c r="H49" s="160">
        <v>0.8</v>
      </c>
      <c r="I49" s="160">
        <v>2011</v>
      </c>
      <c r="J49" s="160">
        <v>45</v>
      </c>
      <c r="K49" s="160">
        <v>31.536000000000001</v>
      </c>
      <c r="L49" s="238">
        <v>0.95</v>
      </c>
      <c r="M49" s="238">
        <v>2874.2697548618121</v>
      </c>
      <c r="N49" s="238">
        <v>32.779711395973401</v>
      </c>
      <c r="O49" s="238">
        <v>1.305371231024171</v>
      </c>
      <c r="P49" s="238">
        <v>1</v>
      </c>
      <c r="Q49" s="238">
        <v>0.15</v>
      </c>
    </row>
    <row r="50" spans="1:17" x14ac:dyDescent="0.35">
      <c r="A50" s="160"/>
      <c r="B50" s="160"/>
      <c r="C50" s="160"/>
      <c r="D50" s="160"/>
      <c r="E50" s="160" t="s">
        <v>72</v>
      </c>
      <c r="F50" s="160">
        <v>0.35</v>
      </c>
      <c r="G50" s="160">
        <v>0.35</v>
      </c>
      <c r="H50" s="160"/>
      <c r="I50" s="160"/>
      <c r="J50" s="160"/>
      <c r="K50" s="160"/>
      <c r="L50" s="238"/>
      <c r="M50" s="238"/>
      <c r="N50" s="238"/>
      <c r="O50" s="238"/>
      <c r="P50" s="238"/>
      <c r="Q50" s="238"/>
    </row>
    <row r="51" spans="1:17" x14ac:dyDescent="0.35">
      <c r="A51" s="160"/>
      <c r="B51" s="160"/>
      <c r="C51" s="160"/>
      <c r="D51" s="160"/>
      <c r="E51" s="160" t="s">
        <v>593</v>
      </c>
      <c r="F51" s="160">
        <f>G51*0.75</f>
        <v>0.39</v>
      </c>
      <c r="G51" s="160">
        <f>(1-G50)*80%</f>
        <v>0.52</v>
      </c>
      <c r="H51" s="160"/>
      <c r="I51" s="160"/>
      <c r="J51" s="160"/>
      <c r="K51" s="160"/>
      <c r="L51" s="238"/>
      <c r="M51" s="238"/>
      <c r="N51" s="238"/>
      <c r="O51" s="238"/>
      <c r="P51" s="238"/>
      <c r="Q51" s="238"/>
    </row>
    <row r="52" spans="1:17" x14ac:dyDescent="0.35">
      <c r="A52" s="160"/>
      <c r="B52" s="160"/>
      <c r="C52" s="160"/>
      <c r="D52" s="160"/>
      <c r="E52" s="160" t="s">
        <v>594</v>
      </c>
      <c r="F52" s="160">
        <f>G52*0.75</f>
        <v>9.7499999999999976E-2</v>
      </c>
      <c r="G52" s="160">
        <f>(1-G50)*(1-80%)</f>
        <v>0.12999999999999998</v>
      </c>
      <c r="H52" s="160"/>
      <c r="I52" s="160"/>
      <c r="J52" s="160"/>
      <c r="K52" s="160"/>
      <c r="L52" s="238"/>
      <c r="M52" s="238"/>
      <c r="N52" s="238"/>
      <c r="O52" s="238"/>
      <c r="P52" s="238"/>
      <c r="Q52" s="238"/>
    </row>
    <row r="53" spans="1:17" x14ac:dyDescent="0.35">
      <c r="A53" s="160" t="s">
        <v>473</v>
      </c>
      <c r="B53" s="160" t="s">
        <v>474</v>
      </c>
      <c r="C53" s="160" t="s">
        <v>560</v>
      </c>
      <c r="D53" s="160" t="s">
        <v>222</v>
      </c>
      <c r="E53" s="160"/>
      <c r="F53" s="160"/>
      <c r="G53" s="160"/>
      <c r="H53" s="160">
        <v>0.8</v>
      </c>
      <c r="I53" s="160">
        <v>2011</v>
      </c>
      <c r="J53" s="160">
        <v>45</v>
      </c>
      <c r="K53" s="160">
        <v>31.536000000000001</v>
      </c>
      <c r="L53" s="238">
        <v>0.95</v>
      </c>
      <c r="M53" s="238">
        <v>971.40645701986614</v>
      </c>
      <c r="N53" s="238">
        <v>7.7165837603093275</v>
      </c>
      <c r="O53" s="238">
        <v>4.5118535837412619</v>
      </c>
      <c r="P53" s="238">
        <v>1</v>
      </c>
      <c r="Q53" s="238">
        <v>0.15</v>
      </c>
    </row>
    <row r="54" spans="1:17" x14ac:dyDescent="0.35">
      <c r="A54" s="160"/>
      <c r="B54" s="160"/>
      <c r="C54" s="160"/>
      <c r="D54" s="160"/>
      <c r="E54" s="160" t="s">
        <v>72</v>
      </c>
      <c r="F54" s="160">
        <v>0.35</v>
      </c>
      <c r="G54" s="160">
        <v>0.35</v>
      </c>
      <c r="H54" s="160"/>
      <c r="I54" s="160"/>
      <c r="J54" s="160"/>
      <c r="K54" s="160"/>
      <c r="L54" s="238"/>
      <c r="M54" s="238"/>
      <c r="N54" s="238"/>
      <c r="O54" s="238"/>
      <c r="P54" s="238"/>
      <c r="Q54" s="238"/>
    </row>
    <row r="55" spans="1:17" x14ac:dyDescent="0.35">
      <c r="A55" s="160"/>
      <c r="B55" s="160"/>
      <c r="C55" s="160"/>
      <c r="D55" s="160"/>
      <c r="E55" s="160" t="s">
        <v>595</v>
      </c>
      <c r="F55" s="160">
        <f>G55*0.75</f>
        <v>0.39</v>
      </c>
      <c r="G55" s="160">
        <f>(1-G54)*80%</f>
        <v>0.52</v>
      </c>
      <c r="H55" s="160"/>
      <c r="I55" s="160"/>
      <c r="J55" s="160"/>
      <c r="K55" s="160"/>
      <c r="L55" s="238"/>
      <c r="M55" s="238"/>
      <c r="N55" s="238"/>
      <c r="O55" s="238"/>
      <c r="P55" s="238"/>
      <c r="Q55" s="238"/>
    </row>
    <row r="56" spans="1:17" x14ac:dyDescent="0.35">
      <c r="A56" s="160"/>
      <c r="B56" s="160"/>
      <c r="C56" s="160"/>
      <c r="D56" s="160"/>
      <c r="E56" s="160" t="s">
        <v>596</v>
      </c>
      <c r="F56" s="160">
        <f>G56*0.75</f>
        <v>9.7499999999999976E-2</v>
      </c>
      <c r="G56" s="160">
        <f>(1-G54)*(1-80%)</f>
        <v>0.12999999999999998</v>
      </c>
      <c r="H56" s="160"/>
      <c r="I56" s="160"/>
      <c r="J56" s="160"/>
      <c r="K56" s="160"/>
      <c r="L56" s="238"/>
      <c r="M56" s="238"/>
      <c r="N56" s="238"/>
      <c r="O56" s="238"/>
      <c r="P56" s="238"/>
      <c r="Q56" s="238"/>
    </row>
    <row r="57" spans="1:17" x14ac:dyDescent="0.35">
      <c r="A57" s="160" t="s">
        <v>475</v>
      </c>
      <c r="B57" s="160" t="s">
        <v>476</v>
      </c>
      <c r="C57" s="160" t="s">
        <v>560</v>
      </c>
      <c r="D57" s="160" t="s">
        <v>200</v>
      </c>
      <c r="E57" s="160"/>
      <c r="F57" s="160"/>
      <c r="G57" s="160"/>
      <c r="H57" s="160">
        <v>0.8</v>
      </c>
      <c r="I57" s="160">
        <v>2011</v>
      </c>
      <c r="J57" s="160">
        <v>45</v>
      </c>
      <c r="K57" s="160">
        <v>31.536000000000001</v>
      </c>
      <c r="L57" s="238">
        <v>0.95</v>
      </c>
      <c r="M57" s="238">
        <v>971.40645701986614</v>
      </c>
      <c r="N57" s="238">
        <v>7.7165837603093275</v>
      </c>
      <c r="O57" s="238">
        <v>4.5118535837412619</v>
      </c>
      <c r="P57" s="238">
        <v>1</v>
      </c>
      <c r="Q57" s="238">
        <v>0.15</v>
      </c>
    </row>
    <row r="58" spans="1:17" x14ac:dyDescent="0.35">
      <c r="A58" s="160"/>
      <c r="B58" s="160"/>
      <c r="C58" s="160"/>
      <c r="D58" s="160"/>
      <c r="E58" s="160" t="s">
        <v>72</v>
      </c>
      <c r="F58" s="160">
        <v>0.35</v>
      </c>
      <c r="G58" s="160">
        <v>0.35</v>
      </c>
      <c r="H58" s="160"/>
      <c r="I58" s="160"/>
      <c r="J58" s="160"/>
      <c r="K58" s="160"/>
      <c r="L58" s="238"/>
      <c r="M58" s="238"/>
      <c r="N58" s="238"/>
      <c r="O58" s="238"/>
      <c r="P58" s="238"/>
      <c r="Q58" s="238"/>
    </row>
    <row r="59" spans="1:17" x14ac:dyDescent="0.35">
      <c r="A59" s="160"/>
      <c r="B59" s="160"/>
      <c r="C59" s="160"/>
      <c r="D59" s="160"/>
      <c r="E59" s="160" t="s">
        <v>595</v>
      </c>
      <c r="F59" s="160">
        <f>G59*0.75</f>
        <v>0.39</v>
      </c>
      <c r="G59" s="160">
        <f>(1-G58)*80%</f>
        <v>0.52</v>
      </c>
      <c r="H59" s="160"/>
      <c r="I59" s="160"/>
      <c r="J59" s="160"/>
      <c r="K59" s="160"/>
      <c r="L59" s="238"/>
      <c r="M59" s="238"/>
      <c r="N59" s="238"/>
      <c r="O59" s="238"/>
      <c r="P59" s="238"/>
      <c r="Q59" s="238"/>
    </row>
    <row r="60" spans="1:17" x14ac:dyDescent="0.35">
      <c r="A60" s="160"/>
      <c r="B60" s="160"/>
      <c r="C60" s="160"/>
      <c r="D60" s="160"/>
      <c r="E60" s="160" t="s">
        <v>596</v>
      </c>
      <c r="F60" s="160">
        <f>G60*0.75</f>
        <v>9.7499999999999976E-2</v>
      </c>
      <c r="G60" s="160">
        <f>(1-G58)*(1-80%)</f>
        <v>0.12999999999999998</v>
      </c>
      <c r="H60" s="160"/>
      <c r="I60" s="160"/>
      <c r="J60" s="160"/>
      <c r="K60" s="160"/>
      <c r="L60" s="238"/>
      <c r="M60" s="238"/>
      <c r="N60" s="238"/>
      <c r="O60" s="238"/>
      <c r="P60" s="238"/>
      <c r="Q60" s="238"/>
    </row>
  </sheetData>
  <phoneticPr fontId="29"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2F00A-1FAD-49FF-8132-1FA9BD29C253}">
  <sheetPr>
    <tabColor rgb="FFFFC000"/>
  </sheetPr>
  <dimension ref="A1:BD13"/>
  <sheetViews>
    <sheetView workbookViewId="0">
      <selection activeCell="A6" sqref="A6:B7"/>
    </sheetView>
  </sheetViews>
  <sheetFormatPr defaultRowHeight="14.5" x14ac:dyDescent="0.35"/>
  <cols>
    <col min="1" max="1" width="18.26953125" customWidth="1"/>
    <col min="2" max="2" width="51.7265625" customWidth="1"/>
    <col min="3" max="3" width="12.81640625" customWidth="1"/>
    <col min="8" max="8" width="13.26953125" customWidth="1"/>
    <col min="9" max="9" width="16.7265625" customWidth="1"/>
    <col min="14" max="20" width="20.26953125" customWidth="1"/>
    <col min="21" max="63" width="16.7265625" customWidth="1"/>
    <col min="66" max="76" width="16.7265625" customWidth="1"/>
    <col min="77" max="77" width="19.7265625" customWidth="1"/>
    <col min="78" max="78" width="20.26953125" customWidth="1"/>
  </cols>
  <sheetData>
    <row r="1" spans="1:56" x14ac:dyDescent="0.35">
      <c r="A1" s="153" t="s">
        <v>58</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53"/>
      <c r="AQ1" s="153"/>
      <c r="AR1" s="153"/>
      <c r="AS1" s="153"/>
      <c r="AT1" s="153"/>
      <c r="AU1" s="153"/>
      <c r="AV1" s="153"/>
      <c r="AW1" s="153"/>
      <c r="AX1" s="153"/>
      <c r="AY1" s="153"/>
      <c r="AZ1" s="153"/>
      <c r="BA1" s="153"/>
      <c r="BB1" s="153"/>
      <c r="BC1" s="153"/>
      <c r="BD1" s="153"/>
    </row>
    <row r="2" spans="1:56" x14ac:dyDescent="0.35">
      <c r="A2" s="153"/>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row>
    <row r="3" spans="1:56" x14ac:dyDescent="0.35">
      <c r="A3" s="153"/>
      <c r="B3" s="153"/>
      <c r="C3" s="153"/>
      <c r="D3" s="153"/>
      <c r="E3" s="153"/>
      <c r="F3" s="39" t="s">
        <v>491</v>
      </c>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row>
    <row r="4" spans="1:56" ht="15" thickBot="1" x14ac:dyDescent="0.4">
      <c r="A4" s="40" t="s">
        <v>436</v>
      </c>
      <c r="B4" s="40" t="s">
        <v>492</v>
      </c>
      <c r="C4" s="40" t="s">
        <v>61</v>
      </c>
      <c r="D4" s="40" t="s">
        <v>493</v>
      </c>
      <c r="E4" s="40" t="s">
        <v>494</v>
      </c>
      <c r="F4" s="40" t="s">
        <v>495</v>
      </c>
      <c r="G4" s="40" t="s">
        <v>496</v>
      </c>
      <c r="H4" s="40" t="s">
        <v>504</v>
      </c>
      <c r="I4" s="40" t="s">
        <v>507</v>
      </c>
      <c r="J4" s="40" t="s">
        <v>505</v>
      </c>
      <c r="K4" s="40" t="s">
        <v>567</v>
      </c>
      <c r="L4" s="40" t="s">
        <v>497</v>
      </c>
      <c r="M4" s="40" t="s">
        <v>506</v>
      </c>
      <c r="N4" s="40" t="s">
        <v>597</v>
      </c>
      <c r="O4" s="40" t="s">
        <v>598</v>
      </c>
      <c r="P4" s="40" t="s">
        <v>599</v>
      </c>
      <c r="Q4" s="40" t="s">
        <v>600</v>
      </c>
      <c r="R4" s="40" t="s">
        <v>601</v>
      </c>
      <c r="S4" s="40" t="s">
        <v>602</v>
      </c>
      <c r="T4" s="40" t="s">
        <v>603</v>
      </c>
      <c r="U4" s="40" t="s">
        <v>520</v>
      </c>
      <c r="V4" s="40" t="s">
        <v>604</v>
      </c>
      <c r="W4" s="40" t="s">
        <v>526</v>
      </c>
      <c r="X4" s="40" t="s">
        <v>527</v>
      </c>
      <c r="Y4" s="40" t="s">
        <v>528</v>
      </c>
      <c r="Z4" s="40" t="s">
        <v>529</v>
      </c>
      <c r="AA4" s="40" t="s">
        <v>605</v>
      </c>
      <c r="AB4" s="40" t="s">
        <v>606</v>
      </c>
      <c r="AC4" s="40" t="s">
        <v>516</v>
      </c>
      <c r="AD4" s="40" t="s">
        <v>607</v>
      </c>
      <c r="AE4" s="40" t="s">
        <v>518</v>
      </c>
      <c r="AF4" s="40" t="s">
        <v>533</v>
      </c>
      <c r="AG4" s="40" t="s">
        <v>534</v>
      </c>
      <c r="AH4" s="40" t="s">
        <v>535</v>
      </c>
      <c r="AI4" s="40" t="s">
        <v>536</v>
      </c>
      <c r="AJ4" s="40" t="s">
        <v>537</v>
      </c>
      <c r="AK4" s="40" t="s">
        <v>538</v>
      </c>
      <c r="AL4" s="40" t="s">
        <v>608</v>
      </c>
      <c r="AM4" s="40" t="s">
        <v>609</v>
      </c>
      <c r="AN4" s="40" t="s">
        <v>610</v>
      </c>
      <c r="AO4" s="40" t="s">
        <v>611</v>
      </c>
      <c r="AP4" s="40" t="s">
        <v>574</v>
      </c>
      <c r="AQ4" s="40" t="s">
        <v>577</v>
      </c>
      <c r="AR4" s="40" t="s">
        <v>612</v>
      </c>
      <c r="AS4" s="40" t="s">
        <v>613</v>
      </c>
      <c r="AT4" s="40" t="s">
        <v>614</v>
      </c>
      <c r="AU4" s="40" t="s">
        <v>573</v>
      </c>
      <c r="AV4" s="40" t="s">
        <v>576</v>
      </c>
      <c r="AW4" s="40" t="s">
        <v>615</v>
      </c>
      <c r="AX4" s="40" t="s">
        <v>616</v>
      </c>
      <c r="AY4" s="40" t="s">
        <v>617</v>
      </c>
      <c r="AZ4" s="40" t="s">
        <v>572</v>
      </c>
      <c r="BA4" s="40" t="s">
        <v>575</v>
      </c>
      <c r="BB4" s="40" t="s">
        <v>618</v>
      </c>
      <c r="BC4" s="154"/>
      <c r="BD4" s="154"/>
    </row>
    <row r="5" spans="1:56" x14ac:dyDescent="0.35">
      <c r="A5" s="155" t="s">
        <v>489</v>
      </c>
      <c r="B5" s="155" t="s">
        <v>619</v>
      </c>
      <c r="C5" s="155"/>
      <c r="D5" s="155"/>
      <c r="E5" s="155"/>
      <c r="F5" s="155"/>
      <c r="G5" s="156"/>
      <c r="H5" s="157" t="s">
        <v>620</v>
      </c>
      <c r="I5" s="157"/>
      <c r="J5" s="156"/>
      <c r="K5" s="156"/>
      <c r="L5" s="156"/>
      <c r="M5" s="156"/>
      <c r="N5" s="157"/>
      <c r="O5" s="157"/>
      <c r="P5" s="157"/>
      <c r="Q5" s="157"/>
      <c r="R5" s="157"/>
      <c r="S5" s="157"/>
      <c r="T5" s="157"/>
      <c r="U5" s="158"/>
      <c r="V5" s="158"/>
      <c r="W5" s="158">
        <v>2025</v>
      </c>
      <c r="X5" s="158">
        <v>2030</v>
      </c>
      <c r="Y5" s="158">
        <v>2035</v>
      </c>
      <c r="Z5" s="158">
        <v>2040</v>
      </c>
      <c r="AA5" s="158"/>
      <c r="AB5" s="157"/>
      <c r="AC5" s="157"/>
      <c r="AD5" s="157"/>
      <c r="AE5" s="157"/>
      <c r="AF5" s="157">
        <v>2025</v>
      </c>
      <c r="AG5" s="157">
        <v>2030</v>
      </c>
      <c r="AH5" s="157">
        <v>2035</v>
      </c>
      <c r="AI5" s="157">
        <v>2040</v>
      </c>
      <c r="AJ5" s="157">
        <v>2045</v>
      </c>
      <c r="AK5" s="157">
        <v>2050</v>
      </c>
      <c r="AL5" s="157"/>
      <c r="AM5" s="159"/>
      <c r="AN5" s="159"/>
      <c r="AO5" s="159"/>
      <c r="AP5" s="159"/>
      <c r="AQ5" s="159"/>
      <c r="AR5" s="159"/>
      <c r="AS5" s="159"/>
      <c r="AT5" s="159"/>
      <c r="AU5" s="159"/>
      <c r="AV5" s="159"/>
      <c r="AW5" s="159"/>
      <c r="AX5" s="159"/>
      <c r="AY5" s="159"/>
      <c r="AZ5" s="159"/>
      <c r="BA5" s="159"/>
      <c r="BB5" s="157"/>
      <c r="BC5" s="153"/>
      <c r="BD5" s="153"/>
    </row>
    <row r="6" spans="1:56" x14ac:dyDescent="0.35">
      <c r="A6" s="160" t="s">
        <v>621</v>
      </c>
      <c r="B6" s="160" t="s">
        <v>622</v>
      </c>
      <c r="C6" s="160" t="s">
        <v>76</v>
      </c>
      <c r="D6" s="160" t="s">
        <v>560</v>
      </c>
      <c r="E6" s="161" t="s">
        <v>237</v>
      </c>
      <c r="F6" s="161" t="s">
        <v>72</v>
      </c>
      <c r="G6" s="161">
        <v>2011</v>
      </c>
      <c r="H6" s="163" t="str">
        <f>LifetimeAssumptions!$B$15</f>
        <v>Solar PV</v>
      </c>
      <c r="I6" s="161">
        <f>_xlfn.XLOOKUP($H6, LifetimeAssumptions[technology],LifetimeAssumptions[Discrate])</f>
        <v>0.1</v>
      </c>
      <c r="J6" s="161">
        <f>_xlfn.XLOOKUP($H6, LifetimeAssumptions[technology],LifetimeAssumptions[Lifetime])</f>
        <v>30</v>
      </c>
      <c r="K6" s="162">
        <f>1/2.8</f>
        <v>0.35714285714285715</v>
      </c>
      <c r="L6" s="161">
        <v>31.536000000000001</v>
      </c>
      <c r="M6" s="161">
        <v>0.1</v>
      </c>
      <c r="N6" s="161" t="str">
        <f>'2013 Cap Raw Data'!$A$25</f>
        <v>Photovoltaic</v>
      </c>
      <c r="O6" s="163">
        <f>_xlfn.XLOOKUP($N6,NewCapCosts2013[Technology],NewCapCosts2013[Total Overnight Cost in 2012 (2012 $/kW)])*_xlfn.XLOOKUP(2012, GDP_deflator[Year],GDP_deflator[Multiply By (for $2005)])</f>
        <v>3119.231464291463</v>
      </c>
      <c r="P6" s="161" t="str">
        <f>'2023_Regional_Cost_Factor'!$A$26</f>
        <v>Solar PV with tracking</v>
      </c>
      <c r="Q6" s="163">
        <f>_xlfn.XLOOKUP($P6,NewCapRegionalCosts[Technology],NewCapRegionalCosts[9 (NYUP)])*_xlfn.XLOOKUP(2022, GDP_deflator[Year],GDP_deflator[Multiply By (for $2005)])</f>
        <v>1022.9701710595292</v>
      </c>
      <c r="R6" s="161" t="str">
        <f>SupplyCurveProcessed!$E$21</f>
        <v>Utility-scale Solar_Rest of State_Low Cost</v>
      </c>
      <c r="S6" s="161" t="str">
        <f>SupplyCurveProcessed!$E$24</f>
        <v>Utility-scale Solar_Rest of State_All</v>
      </c>
      <c r="T6" s="176">
        <f>SUMIFS(NYSERDA_SupplyProcessed[Average Capex ($2024 / kW)],NYSERDA_SupplyProcessed[Label],$R6)/
SUMIFS(NYSERDA_SupplyProcessed[Average Capex ($2024 / kW)],NYSERDA_SupplyProcessed[Label],$S6)</f>
        <v>0.95799329192404692</v>
      </c>
      <c r="U6" s="163">
        <f>$T6*$O6</f>
        <v>2988.2028187496439</v>
      </c>
      <c r="V6" s="163">
        <f>$T6*$Q6</f>
        <v>979.99856171342378</v>
      </c>
      <c r="W6" s="163">
        <f ca="1">SUMIFS(INDIRECT("NYSERDA_SupplyProcessed[CapEx Escalator_"&amp;W$5&amp;"]"),
NYSERDA_SupplyProcessed[Label],$R6)
*$V6</f>
        <v>962.41305298909356</v>
      </c>
      <c r="X6" s="163">
        <f ca="1">SUMIFS(INDIRECT("NYSERDA_SupplyProcessed[CapEx Escalator_"&amp;X$5&amp;"]"),
NYSERDA_SupplyProcessed[Label],$R6)
*$V6</f>
        <v>953.21919012585306</v>
      </c>
      <c r="Y6" s="163">
        <f ca="1">SUMIFS(INDIRECT("NYSERDA_SupplyProcessed[CapEx Escalator_"&amp;Y$5&amp;"]"),
NYSERDA_SupplyProcessed[Label],$R6)
*$V6</f>
        <v>996.59109782501582</v>
      </c>
      <c r="Z6" s="163">
        <f ca="1">SUMIFS(INDIRECT("NYSERDA_SupplyProcessed[CapEx Escalator_"&amp;Z$5&amp;"]"),
NYSERDA_SupplyProcessed[Label],$R6)
*$V6</f>
        <v>1054.1696813226608</v>
      </c>
      <c r="AA6" s="163">
        <f ca="1">Z6</f>
        <v>1054.1696813226608</v>
      </c>
      <c r="AB6" s="166">
        <f>_xlfn.XLOOKUP($N6,NewCapCosts2013[Technology],NewCapCosts2013[Fixed O&amp;M ($2012/kW)])*_xlfn.XLOOKUP(2012, GDP_deflator[Year],GDP_deflator[Multiply By (for $2005)])</f>
        <v>21.608817298921501</v>
      </c>
      <c r="AC6" s="166">
        <f>_xlfn.XLOOKUP($N6,NewCapCosts2013[Technology],NewCapCosts2013[Fixed O&amp;M ($2012/kW)])*_xlfn.XLOOKUP(2012, GDP_deflator[Year],GDP_deflator[Multiply By (for $2005)])</f>
        <v>21.608817298921501</v>
      </c>
      <c r="AD6" s="166">
        <f>_xlfn.XLOOKUP($N6,NewCapCosts2013[Technology],NewCapCosts2013[Fixed O&amp;M ($2012/kW)])*_xlfn.XLOOKUP(2012, GDP_deflator[Year],GDP_deflator[Multiply By (for $2005)])</f>
        <v>21.608817298921501</v>
      </c>
      <c r="AE6" s="166">
        <f>_xlfn.XLOOKUP($N6,NewCapCosts2013[Technology],NewCapCosts2013[Fixed O&amp;M ($2012/kW)])*_xlfn.XLOOKUP(2012, GDP_deflator[Year],GDP_deflator[Multiply By (for $2005)])</f>
        <v>21.608817298921501</v>
      </c>
      <c r="AF6" s="166">
        <f>SUMIFS(NYSERDA_SupplyProcessed[OpEx (thousand $ 2024 / kW - year)],
NYSERDA_SupplyProcessed[Label],$R6)
*_xlfn.XLOOKUP(2023, GDP_deflator[Year],GDP_deflator[Multiply By (for $2005)])</f>
        <v>18.265358049445208</v>
      </c>
      <c r="AG6" s="166">
        <f>SUMIFS(NYSERDA_SupplyProcessed[OpEx (thousand $ 2024 / kW - year)],
NYSERDA_SupplyProcessed[Label],$R6)
*_xlfn.XLOOKUP(2023, GDP_deflator[Year],GDP_deflator[Multiply By (for $2005)])</f>
        <v>18.265358049445208</v>
      </c>
      <c r="AH6" s="166">
        <f>SUMIFS(NYSERDA_SupplyProcessed[OpEx (thousand $ 2024 / kW - year)],
NYSERDA_SupplyProcessed[Label],$R6)
*_xlfn.XLOOKUP(2023, GDP_deflator[Year],GDP_deflator[Multiply By (for $2005)])</f>
        <v>18.265358049445208</v>
      </c>
      <c r="AI6" s="166">
        <f>SUMIFS(NYSERDA_SupplyProcessed[OpEx (thousand $ 2024 / kW - year)],
NYSERDA_SupplyProcessed[Label],$R6)
*_xlfn.XLOOKUP(2023, GDP_deflator[Year],GDP_deflator[Multiply By (for $2005)])</f>
        <v>18.265358049445208</v>
      </c>
      <c r="AJ6" s="166">
        <f>SUMIFS(NYSERDA_SupplyProcessed[OpEx (thousand $ 2024 / kW - year)],
NYSERDA_SupplyProcessed[Label],$R6)
*_xlfn.XLOOKUP(2023, GDP_deflator[Year],GDP_deflator[Multiply By (for $2005)])</f>
        <v>18.265358049445208</v>
      </c>
      <c r="AK6" s="166">
        <f>SUMIFS(NYSERDA_SupplyProcessed[OpEx (thousand $ 2024 / kW - year)],
NYSERDA_SupplyProcessed[Label],$R6)
*_xlfn.XLOOKUP(2023, GDP_deflator[Year],GDP_deflator[Multiply By (for $2005)])</f>
        <v>18.265358049445208</v>
      </c>
      <c r="AL6" s="163"/>
      <c r="AM6" s="164">
        <v>0.33964956112852673</v>
      </c>
      <c r="AN6" s="164">
        <v>0.33964956112852673</v>
      </c>
      <c r="AO6" s="164">
        <v>0.33964956112852673</v>
      </c>
      <c r="AP6" s="164">
        <f>AO6*0.2</f>
        <v>6.7929912225705352E-2</v>
      </c>
      <c r="AQ6" s="164">
        <v>0</v>
      </c>
      <c r="AR6" s="164">
        <v>0.35623894198782968</v>
      </c>
      <c r="AS6" s="164">
        <v>0.35623894198782968</v>
      </c>
      <c r="AT6" s="164">
        <v>0.35623894198782968</v>
      </c>
      <c r="AU6" s="164">
        <f>AT6*0.2</f>
        <v>7.1247788397565945E-2</v>
      </c>
      <c r="AV6" s="164">
        <v>0</v>
      </c>
      <c r="AW6" s="164">
        <v>0.32014566444050713</v>
      </c>
      <c r="AX6" s="164">
        <v>0.32014566444050713</v>
      </c>
      <c r="AY6" s="164">
        <v>0.32014566444050713</v>
      </c>
      <c r="AZ6" s="164">
        <f>AY6*0.2</f>
        <v>6.4029132888101428E-2</v>
      </c>
      <c r="BA6" s="164">
        <v>0</v>
      </c>
      <c r="BB6" s="166">
        <f>SUMIFS(NYSERDA_SupplyProcessed[Total Capacity (MW)],
NYSERDA_SupplyProcessed[Label],$R6)/1000</f>
        <v>50.438525858527747</v>
      </c>
      <c r="BC6" s="153"/>
      <c r="BD6" s="153"/>
    </row>
    <row r="7" spans="1:56" x14ac:dyDescent="0.35">
      <c r="A7" s="160" t="s">
        <v>623</v>
      </c>
      <c r="B7" s="160" t="s">
        <v>624</v>
      </c>
      <c r="C7" s="160" t="s">
        <v>76</v>
      </c>
      <c r="D7" s="160" t="s">
        <v>560</v>
      </c>
      <c r="E7" s="161" t="s">
        <v>237</v>
      </c>
      <c r="F7" s="161" t="s">
        <v>72</v>
      </c>
      <c r="G7" s="161">
        <v>2011</v>
      </c>
      <c r="H7" s="163" t="str">
        <f>LifetimeAssumptions!$B$15</f>
        <v>Solar PV</v>
      </c>
      <c r="I7" s="161">
        <f>_xlfn.XLOOKUP($H7, LifetimeAssumptions[technology],LifetimeAssumptions[Discrate])</f>
        <v>0.1</v>
      </c>
      <c r="J7" s="161">
        <f>_xlfn.XLOOKUP($H7, LifetimeAssumptions[technology],LifetimeAssumptions[Lifetime])</f>
        <v>30</v>
      </c>
      <c r="K7" s="162">
        <f>1/2.8</f>
        <v>0.35714285714285715</v>
      </c>
      <c r="L7" s="161">
        <v>31.536000000000001</v>
      </c>
      <c r="M7" s="161">
        <v>0.1</v>
      </c>
      <c r="N7" s="161" t="str">
        <f>'2013 Cap Raw Data'!$A$25</f>
        <v>Photovoltaic</v>
      </c>
      <c r="O7" s="163">
        <f>_xlfn.XLOOKUP($N7,NewCapCosts2013[Technology],NewCapCosts2013[Total Overnight Cost in 2012 (2012 $/kW)])*_xlfn.XLOOKUP(2012, GDP_deflator[Year],GDP_deflator[Multiply By (for $2005)])</f>
        <v>3119.231464291463</v>
      </c>
      <c r="P7" s="161" t="str">
        <f>'2023_Regional_Cost_Factor'!$A$26</f>
        <v>Solar PV with tracking</v>
      </c>
      <c r="Q7" s="163">
        <f>_xlfn.XLOOKUP($P7,NewCapRegionalCosts[Technology],NewCapRegionalCosts[9 (NYUP)])*_xlfn.XLOOKUP(2022, GDP_deflator[Year],GDP_deflator[Multiply By (for $2005)])</f>
        <v>1022.9701710595292</v>
      </c>
      <c r="R7" s="161" t="str">
        <f>SupplyCurveProcessed!$E$23</f>
        <v>Utility-scale Solar_Rest of State_High Cost</v>
      </c>
      <c r="S7" s="161" t="str">
        <f>SupplyCurveProcessed!$E$24</f>
        <v>Utility-scale Solar_Rest of State_All</v>
      </c>
      <c r="T7" s="176">
        <f>SUMIFS(NYSERDA_SupplyProcessed[Average Capex ($2024 / kW)],NYSERDA_SupplyProcessed[Label],$R7)/
SUMIFS(NYSERDA_SupplyProcessed[Average Capex ($2024 / kW)],NYSERDA_SupplyProcessed[Label],$S7)</f>
        <v>1.09775755173804</v>
      </c>
      <c r="U7" s="163">
        <f>$T7*$O7</f>
        <v>3424.159895544858</v>
      </c>
      <c r="V7" s="163">
        <f>$T7*$Q7</f>
        <v>1122.9732304833528</v>
      </c>
      <c r="W7" s="163">
        <f ca="1">SUMIFS(INDIRECT("NYSERDA_SupplyProcessed[CapEx Escalator_"&amp;W$5&amp;"]"),
NYSERDA_SupplyProcessed[Label],$R7)
*$V7</f>
        <v>1102.8221238252715</v>
      </c>
      <c r="X7" s="163">
        <f ca="1">SUMIFS(INDIRECT("NYSERDA_SupplyProcessed[CapEx Escalator_"&amp;X$5&amp;"]"),
NYSERDA_SupplyProcessed[Label],$R7)
*$V7</f>
        <v>1092.286943179593</v>
      </c>
      <c r="Y7" s="163">
        <f ca="1">SUMIFS(INDIRECT("NYSERDA_SupplyProcessed[CapEx Escalator_"&amp;Y$5&amp;"]"),
NYSERDA_SupplyProcessed[Label],$R7)
*$V7</f>
        <v>1141.9864970401613</v>
      </c>
      <c r="Z7" s="163">
        <f ca="1">SUMIFS(INDIRECT("NYSERDA_SupplyProcessed[CapEx Escalator_"&amp;Z$5&amp;"]"),
NYSERDA_SupplyProcessed[Label],$R7)
*$V7</f>
        <v>1207.9653774621438</v>
      </c>
      <c r="AA7" s="163">
        <f ca="1">Z7</f>
        <v>1207.9653774621438</v>
      </c>
      <c r="AB7" s="166">
        <f>_xlfn.XLOOKUP($N7,NewCapCosts2013[Technology],NewCapCosts2013[Fixed O&amp;M ($2012/kW)])*_xlfn.XLOOKUP(2012, GDP_deflator[Year],GDP_deflator[Multiply By (for $2005)])</f>
        <v>21.608817298921501</v>
      </c>
      <c r="AC7" s="166">
        <f>_xlfn.XLOOKUP($N7,NewCapCosts2013[Technology],NewCapCosts2013[Fixed O&amp;M ($2012/kW)])*_xlfn.XLOOKUP(2012, GDP_deflator[Year],GDP_deflator[Multiply By (for $2005)])</f>
        <v>21.608817298921501</v>
      </c>
      <c r="AD7" s="166">
        <f>_xlfn.XLOOKUP($N7,NewCapCosts2013[Technology],NewCapCosts2013[Fixed O&amp;M ($2012/kW)])*_xlfn.XLOOKUP(2012, GDP_deflator[Year],GDP_deflator[Multiply By (for $2005)])</f>
        <v>21.608817298921501</v>
      </c>
      <c r="AE7" s="166">
        <f>_xlfn.XLOOKUP($N7,NewCapCosts2013[Technology],NewCapCosts2013[Fixed O&amp;M ($2012/kW)])*_xlfn.XLOOKUP(2012, GDP_deflator[Year],GDP_deflator[Multiply By (for $2005)])</f>
        <v>21.608817298921501</v>
      </c>
      <c r="AF7" s="166">
        <f>SUMIFS(NYSERDA_SupplyProcessed[OpEx (thousand $ 2024 / kW - year)],
NYSERDA_SupplyProcessed[Label],$R7)
*_xlfn.XLOOKUP(2023, GDP_deflator[Year],GDP_deflator[Multiply By (for $2005)])</f>
        <v>18.299442339525605</v>
      </c>
      <c r="AG7" s="166">
        <f>SUMIFS(NYSERDA_SupplyProcessed[OpEx (thousand $ 2024 / kW - year)],
NYSERDA_SupplyProcessed[Label],$R7)
*_xlfn.XLOOKUP(2023, GDP_deflator[Year],GDP_deflator[Multiply By (for $2005)])</f>
        <v>18.299442339525605</v>
      </c>
      <c r="AH7" s="166">
        <f>SUMIFS(NYSERDA_SupplyProcessed[OpEx (thousand $ 2024 / kW - year)],
NYSERDA_SupplyProcessed[Label],$R7)
*_xlfn.XLOOKUP(2023, GDP_deflator[Year],GDP_deflator[Multiply By (for $2005)])</f>
        <v>18.299442339525605</v>
      </c>
      <c r="AI7" s="166">
        <f>SUMIFS(NYSERDA_SupplyProcessed[OpEx (thousand $ 2024 / kW - year)],
NYSERDA_SupplyProcessed[Label],$R7)
*_xlfn.XLOOKUP(2023, GDP_deflator[Year],GDP_deflator[Multiply By (for $2005)])</f>
        <v>18.299442339525605</v>
      </c>
      <c r="AJ7" s="166">
        <f>SUMIFS(NYSERDA_SupplyProcessed[OpEx (thousand $ 2024 / kW - year)],
NYSERDA_SupplyProcessed[Label],$R7)
*_xlfn.XLOOKUP(2023, GDP_deflator[Year],GDP_deflator[Multiply By (for $2005)])</f>
        <v>18.299442339525605</v>
      </c>
      <c r="AK7" s="166">
        <f>SUMIFS(NYSERDA_SupplyProcessed[OpEx (thousand $ 2024 / kW - year)],
NYSERDA_SupplyProcessed[Label],$R7)
*_xlfn.XLOOKUP(2023, GDP_deflator[Year],GDP_deflator[Multiply By (for $2005)])</f>
        <v>18.299442339525605</v>
      </c>
      <c r="AL7" s="163"/>
      <c r="AM7" s="164">
        <v>0.33964956112852673</v>
      </c>
      <c r="AN7" s="164">
        <v>0.33964956112852673</v>
      </c>
      <c r="AO7" s="164">
        <v>0.33964956112852673</v>
      </c>
      <c r="AP7" s="164">
        <f>AO7*0.2</f>
        <v>6.7929912225705352E-2</v>
      </c>
      <c r="AQ7" s="164">
        <v>0</v>
      </c>
      <c r="AR7" s="164">
        <v>0.35623894198782968</v>
      </c>
      <c r="AS7" s="164">
        <v>0.35623894198782968</v>
      </c>
      <c r="AT7" s="164">
        <v>0.35623894198782968</v>
      </c>
      <c r="AU7" s="164">
        <f t="shared" ref="AU7" si="0">AT7*0.2</f>
        <v>7.1247788397565945E-2</v>
      </c>
      <c r="AV7" s="164">
        <v>0</v>
      </c>
      <c r="AW7" s="164">
        <v>0.32014566444050713</v>
      </c>
      <c r="AX7" s="164">
        <v>0.32014566444050713</v>
      </c>
      <c r="AY7" s="164">
        <v>0.32014566444050713</v>
      </c>
      <c r="AZ7" s="164">
        <f t="shared" ref="AZ7" si="1">AY7*0.2</f>
        <v>6.4029132888101428E-2</v>
      </c>
      <c r="BA7" s="164">
        <v>0</v>
      </c>
      <c r="BB7" s="166">
        <f>SUMIFS(NYSERDA_SupplyProcessed[Total Capacity (MW)],
NYSERDA_SupplyProcessed[Label],$R7)/1000</f>
        <v>21.673583205092985</v>
      </c>
      <c r="BC7" s="153"/>
      <c r="BD7" s="153"/>
    </row>
    <row r="8" spans="1:56" x14ac:dyDescent="0.35">
      <c r="A8" s="155" t="s">
        <v>490</v>
      </c>
      <c r="B8" s="157" t="s">
        <v>625</v>
      </c>
      <c r="C8" s="157"/>
      <c r="D8" s="157"/>
      <c r="E8" s="157"/>
      <c r="F8" s="157"/>
      <c r="G8" s="157"/>
      <c r="H8" s="157"/>
      <c r="I8" s="157"/>
      <c r="J8" s="157"/>
      <c r="K8" s="157"/>
      <c r="L8" s="157"/>
      <c r="M8" s="157"/>
      <c r="N8" s="157"/>
      <c r="O8" s="286"/>
      <c r="P8" s="157"/>
      <c r="Q8" s="286"/>
      <c r="R8" s="157"/>
      <c r="S8" s="157"/>
      <c r="T8" s="285"/>
      <c r="U8" s="157"/>
      <c r="V8" s="157"/>
      <c r="W8" s="157"/>
      <c r="X8" s="157"/>
      <c r="Y8" s="157"/>
      <c r="Z8" s="157"/>
      <c r="AA8" s="157"/>
      <c r="AB8" s="157"/>
      <c r="AC8" s="157"/>
      <c r="AD8" s="157"/>
      <c r="AE8" s="157"/>
      <c r="AF8" s="219"/>
      <c r="AG8" s="219"/>
      <c r="AH8" s="219"/>
      <c r="AI8" s="219"/>
      <c r="AJ8" s="219"/>
      <c r="AK8" s="219"/>
      <c r="AL8" s="157" t="s">
        <v>626</v>
      </c>
      <c r="AM8" s="153">
        <f>I_D</f>
        <v>1.1925000000000001</v>
      </c>
      <c r="AN8" s="153">
        <f>I_D</f>
        <v>1.1925000000000001</v>
      </c>
      <c r="AO8" s="153">
        <f>I_D</f>
        <v>1.1925000000000001</v>
      </c>
      <c r="AP8" s="153"/>
      <c r="AQ8" s="153">
        <f>I_N</f>
        <v>0.95550000000000024</v>
      </c>
      <c r="AR8" s="153">
        <f>S_D</f>
        <v>0.71861538461538477</v>
      </c>
      <c r="AS8" s="153">
        <f>S_D</f>
        <v>0.71861538461538477</v>
      </c>
      <c r="AT8" s="153">
        <f>S_D</f>
        <v>0.71861538461538477</v>
      </c>
      <c r="AU8" s="153"/>
      <c r="AV8" s="153">
        <f>S_N</f>
        <v>0.52527272727272734</v>
      </c>
      <c r="AW8" s="153">
        <f>W_D</f>
        <v>1.3876363636363638</v>
      </c>
      <c r="AX8" s="153">
        <f>W_D</f>
        <v>1.3876363636363638</v>
      </c>
      <c r="AY8" s="153">
        <f>W_D</f>
        <v>1.3876363636363638</v>
      </c>
      <c r="BA8" s="153">
        <f>W_N</f>
        <v>1.2295384615384617</v>
      </c>
      <c r="BB8" s="157"/>
      <c r="BC8" s="153"/>
      <c r="BD8" s="153"/>
    </row>
    <row r="9" spans="1:56" x14ac:dyDescent="0.35">
      <c r="A9" s="160" t="s">
        <v>627</v>
      </c>
      <c r="B9" s="160" t="s">
        <v>628</v>
      </c>
      <c r="C9" s="160" t="s">
        <v>76</v>
      </c>
      <c r="D9" s="160"/>
      <c r="E9" s="161" t="s">
        <v>232</v>
      </c>
      <c r="F9" s="161" t="s">
        <v>72</v>
      </c>
      <c r="G9" s="161">
        <v>2011</v>
      </c>
      <c r="H9" s="166" t="str">
        <f>LifetimeAssumptions!$B$17</f>
        <v>Wind</v>
      </c>
      <c r="I9" s="161">
        <f>_xlfn.XLOOKUP($H9, LifetimeAssumptions[technology],LifetimeAssumptions[Discrate])</f>
        <v>0.1</v>
      </c>
      <c r="J9" s="161">
        <f>_xlfn.XLOOKUP($H9, LifetimeAssumptions[technology],LifetimeAssumptions[Lifetime])</f>
        <v>30</v>
      </c>
      <c r="K9" s="162">
        <f t="shared" ref="K9:K13" si="2">1/2.8</f>
        <v>0.35714285714285715</v>
      </c>
      <c r="L9" s="161">
        <v>31.536000000000001</v>
      </c>
      <c r="M9" s="165">
        <v>0.1</v>
      </c>
      <c r="N9" s="161" t="s">
        <v>233</v>
      </c>
      <c r="O9" s="163">
        <f>_xlfn.XLOOKUP($N9,NewCapCosts2013[Technology],NewCapCosts2013[Total Overnight Cost in 2012 (2012 $/kW)])*_xlfn.XLOOKUP(2012, GDP_deflator[Year],GDP_deflator[Multiply By (for $2005)])</f>
        <v>1929.8275473520416</v>
      </c>
      <c r="P9" s="161" t="s">
        <v>233</v>
      </c>
      <c r="Q9" s="163">
        <f>_xlfn.XLOOKUP($P9,NewCapRegionalCosts[Technology],NewCapRegionalCosts[9 (NYUP)])*_xlfn.XLOOKUP(2022, GDP_deflator[Year],GDP_deflator[Multiply By (for $2005)])</f>
        <v>1749.1850720843204</v>
      </c>
      <c r="R9" s="161" t="str">
        <f>SupplyCurveProcessed!$E$16</f>
        <v>Land-based Wind_Rest of State_Low Cost</v>
      </c>
      <c r="S9" s="161" t="str">
        <f>SupplyCurveProcessed!$E$17</f>
        <v>Land-based Wind_Rest of State_All</v>
      </c>
      <c r="T9" s="176">
        <f>SUMIFS(NYSERDA_SupplyProcessed[Average Capex ($2024 / kW)],NYSERDA_SupplyProcessed[Label],$R9)/
SUMIFS(NYSERDA_SupplyProcessed[Average Capex ($2024 / kW)],NYSERDA_SupplyProcessed[Label],$S9)</f>
        <v>0.98733994925885615</v>
      </c>
      <c r="U9" s="163">
        <f>$T9*$O9</f>
        <v>1905.3958326809077</v>
      </c>
      <c r="V9" s="163">
        <f>$T9*$Q9</f>
        <v>1727.0403003160816</v>
      </c>
      <c r="W9" s="163">
        <f ca="1">SUMIFS(INDIRECT("NYSERDA_SupplyProcessed[CapEx Escalator_"&amp;W$5&amp;"]"),
NYSERDA_SupplyProcessed[Label],$R9)
*$V9</f>
        <v>1766.7622272233521</v>
      </c>
      <c r="X9" s="163">
        <f ca="1">SUMIFS(INDIRECT("NYSERDA_SupplyProcessed[CapEx Escalator_"&amp;X$5&amp;"]"),
NYSERDA_SupplyProcessed[Label],$R9)
*$V9</f>
        <v>1905.4480716745938</v>
      </c>
      <c r="Y9" s="163">
        <f ca="1">SUMIFS(INDIRECT("NYSERDA_SupplyProcessed[CapEx Escalator_"&amp;Y$5&amp;"]"),
NYSERDA_SupplyProcessed[Label],$R9)
*$V9</f>
        <v>2050.7494168786284</v>
      </c>
      <c r="Z9" s="163">
        <f ca="1">SUMIFS(INDIRECT("NYSERDA_SupplyProcessed[CapEx Escalator_"&amp;Z$5&amp;"]"),
NYSERDA_SupplyProcessed[Label],$R9)
*$V9</f>
        <v>2220.4400593811692</v>
      </c>
      <c r="AA9" s="163">
        <f t="shared" ref="AA9:AA13" ca="1" si="3">Z9</f>
        <v>2220.4400593811692</v>
      </c>
      <c r="AB9" s="166">
        <f>_xlfn.XLOOKUP($N9,NewCapCosts2013[Technology],NewCapCosts2013[Fixed O&amp;M ($2012/kW)])*_xlfn.XLOOKUP(2012, GDP_deflator[Year],GDP_deflator[Multiply By (for $2005)])</f>
        <v>34.61436711917154</v>
      </c>
      <c r="AC9" s="166">
        <f>_xlfn.XLOOKUP($N9,NewCapCosts2013[Technology],NewCapCosts2013[Fixed O&amp;M ($2012/kW)])*_xlfn.XLOOKUP(2012, GDP_deflator[Year],GDP_deflator[Multiply By (for $2005)])</f>
        <v>34.61436711917154</v>
      </c>
      <c r="AD9" s="166">
        <f>_xlfn.XLOOKUP($N9,NewCapCosts2013[Technology],NewCapCosts2013[Fixed O&amp;M ($2012/kW)])*_xlfn.XLOOKUP(2012, GDP_deflator[Year],GDP_deflator[Multiply By (for $2005)])</f>
        <v>34.61436711917154</v>
      </c>
      <c r="AE9" s="166">
        <f>_xlfn.XLOOKUP($N9,NewCapCosts2013[Technology],NewCapCosts2013[Fixed O&amp;M ($2012/kW)])*_xlfn.XLOOKUP(2012, GDP_deflator[Year],GDP_deflator[Multiply By (for $2005)])</f>
        <v>34.61436711917154</v>
      </c>
      <c r="AF9" s="166">
        <f>SUMIFS(NYSERDA_SupplyProcessed[OpEx (thousand $ 2024 / kW - year)],
NYSERDA_SupplyProcessed[Label],$R9)
*_xlfn.XLOOKUP(2023, GDP_deflator[Year],GDP_deflator[Multiply By (for $2005)])</f>
        <v>37.939372469446859</v>
      </c>
      <c r="AG9" s="166">
        <f>SUMIFS(NYSERDA_SupplyProcessed[OpEx (thousand $ 2024 / kW - year)],
NYSERDA_SupplyProcessed[Label],$R9)
*_xlfn.XLOOKUP(2023, GDP_deflator[Year],GDP_deflator[Multiply By (for $2005)])</f>
        <v>37.939372469446859</v>
      </c>
      <c r="AH9" s="166">
        <f>SUMIFS(NYSERDA_SupplyProcessed[OpEx (thousand $ 2024 / kW - year)],
NYSERDA_SupplyProcessed[Label],$R9)
*_xlfn.XLOOKUP(2023, GDP_deflator[Year],GDP_deflator[Multiply By (for $2005)])</f>
        <v>37.939372469446859</v>
      </c>
      <c r="AI9" s="166">
        <f>SUMIFS(NYSERDA_SupplyProcessed[OpEx (thousand $ 2024 / kW - year)],
NYSERDA_SupplyProcessed[Label],$R9)
*_xlfn.XLOOKUP(2023, GDP_deflator[Year],GDP_deflator[Multiply By (for $2005)])</f>
        <v>37.939372469446859</v>
      </c>
      <c r="AJ9" s="166">
        <f>SUMIFS(NYSERDA_SupplyProcessed[OpEx (thousand $ 2024 / kW - year)],
NYSERDA_SupplyProcessed[Label],$R9)
*_xlfn.XLOOKUP(2023, GDP_deflator[Year],GDP_deflator[Multiply By (for $2005)])</f>
        <v>37.939372469446859</v>
      </c>
      <c r="AK9" s="166">
        <f>SUMIFS(NYSERDA_SupplyProcessed[OpEx (thousand $ 2024 / kW - year)],
NYSERDA_SupplyProcessed[Label],$R9)
*_xlfn.XLOOKUP(2023, GDP_deflator[Year],GDP_deflator[Multiply By (for $2005)])</f>
        <v>37.939372469446859</v>
      </c>
      <c r="AL9" s="166">
        <f>SUMIFS(NYSERDA_SupplyProcessed[Average Capacity Factor],
NYSERDA_SupplyProcessed[Label],$R9)</f>
        <v>0.35832433185397178</v>
      </c>
      <c r="AM9" s="176">
        <f>AM$8*$AL9</f>
        <v>0.42730176573586137</v>
      </c>
      <c r="AN9" s="176">
        <f>AN$8*$AL9</f>
        <v>0.42730176573586137</v>
      </c>
      <c r="AO9" s="176">
        <f>AO$8*$AL9</f>
        <v>0.42730176573586137</v>
      </c>
      <c r="AP9" s="176">
        <f>AO9*0.2</f>
        <v>8.5460353147172277E-2</v>
      </c>
      <c r="AQ9" s="176">
        <f t="shared" ref="AQ9:AT13" si="4">AQ$8*$AL9</f>
        <v>0.34237889908647012</v>
      </c>
      <c r="AR9" s="176">
        <f t="shared" si="4"/>
        <v>0.25749737755229268</v>
      </c>
      <c r="AS9" s="176">
        <f t="shared" si="4"/>
        <v>0.25749737755229268</v>
      </c>
      <c r="AT9" s="176">
        <f t="shared" si="4"/>
        <v>0.25749737755229268</v>
      </c>
      <c r="AU9" s="176">
        <f t="shared" ref="AU9:AU13" si="5">AT9*0.2</f>
        <v>5.1499475510458539E-2</v>
      </c>
      <c r="AV9" s="176">
        <f t="shared" ref="AV9:AY13" si="6">AV$8*$AL9</f>
        <v>0.18821799904111355</v>
      </c>
      <c r="AW9" s="176">
        <f t="shared" si="6"/>
        <v>0.49722387285627506</v>
      </c>
      <c r="AX9" s="176">
        <f t="shared" si="6"/>
        <v>0.49722387285627506</v>
      </c>
      <c r="AY9" s="176">
        <f t="shared" si="6"/>
        <v>0.49722387285627506</v>
      </c>
      <c r="AZ9" s="176">
        <f t="shared" ref="AZ9:AZ13" si="7">AY9*0.2</f>
        <v>9.9444774571255015E-2</v>
      </c>
      <c r="BA9" s="176">
        <f t="shared" ref="BA9:BA13" si="8">BA$8*$AL9</f>
        <v>0.44057354771952967</v>
      </c>
      <c r="BB9" s="166">
        <f>SUMIFS(NYSERDA_SupplyProcessed[Total Capacity (MW)],
NYSERDA_SupplyProcessed[Label],$R9)/1000</f>
        <v>11.060267655367154</v>
      </c>
      <c r="BC9" s="153"/>
      <c r="BD9" s="153"/>
    </row>
    <row r="10" spans="1:56" x14ac:dyDescent="0.35">
      <c r="A10" s="160" t="s">
        <v>629</v>
      </c>
      <c r="B10" s="160" t="s">
        <v>630</v>
      </c>
      <c r="C10" s="160" t="s">
        <v>76</v>
      </c>
      <c r="D10" s="160"/>
      <c r="E10" s="161" t="s">
        <v>232</v>
      </c>
      <c r="F10" s="161" t="s">
        <v>72</v>
      </c>
      <c r="G10" s="161">
        <v>2011</v>
      </c>
      <c r="H10" s="166" t="str">
        <f>LifetimeAssumptions!$B$17</f>
        <v>Wind</v>
      </c>
      <c r="I10" s="161">
        <f>_xlfn.XLOOKUP($H10, LifetimeAssumptions[technology],LifetimeAssumptions[Discrate])</f>
        <v>0.1</v>
      </c>
      <c r="J10" s="161">
        <f>_xlfn.XLOOKUP($H10, LifetimeAssumptions[technology],LifetimeAssumptions[Lifetime])</f>
        <v>30</v>
      </c>
      <c r="K10" s="162">
        <f t="shared" si="2"/>
        <v>0.35714285714285715</v>
      </c>
      <c r="L10" s="161">
        <v>31.536000000000001</v>
      </c>
      <c r="M10" s="165">
        <v>0.1</v>
      </c>
      <c r="N10" s="161" t="s">
        <v>233</v>
      </c>
      <c r="O10" s="163">
        <f>_xlfn.XLOOKUP($N10,NewCapCosts2013[Technology],NewCapCosts2013[Total Overnight Cost in 2012 (2012 $/kW)])*_xlfn.XLOOKUP(2012, GDP_deflator[Year],GDP_deflator[Multiply By (for $2005)])</f>
        <v>1929.8275473520416</v>
      </c>
      <c r="P10" s="161" t="s">
        <v>233</v>
      </c>
      <c r="Q10" s="163">
        <f>_xlfn.XLOOKUP($P10,NewCapRegionalCosts[Technology],NewCapRegionalCosts[9 (NYUP)])*_xlfn.XLOOKUP(2022, GDP_deflator[Year],GDP_deflator[Multiply By (for $2005)])</f>
        <v>1749.1850720843204</v>
      </c>
      <c r="R10" s="161" t="str">
        <f>SupplyCurveProcessed!$E$19</f>
        <v>Land-based Wind_Rest of State_High Cost</v>
      </c>
      <c r="S10" s="161" t="str">
        <f>SupplyCurveProcessed!$E$17</f>
        <v>Land-based Wind_Rest of State_All</v>
      </c>
      <c r="T10" s="176">
        <f>SUMIFS(NYSERDA_SupplyProcessed[Average Capex ($2024 / kW)],NYSERDA_SupplyProcessed[Label],$R10)/
SUMIFS(NYSERDA_SupplyProcessed[Average Capex ($2024 / kW)],NYSERDA_SupplyProcessed[Label],$S10)</f>
        <v>1.1592577626553491</v>
      </c>
      <c r="U10" s="163">
        <f>$T10*$O10</f>
        <v>2237.1675648539876</v>
      </c>
      <c r="V10" s="163">
        <f>$T10*$Q10</f>
        <v>2027.7563731346047</v>
      </c>
      <c r="W10" s="163">
        <f ca="1">SUMIFS(INDIRECT("NYSERDA_SupplyProcessed[CapEx Escalator_"&amp;W$5&amp;"]"),
NYSERDA_SupplyProcessed[Label],$R10)
*$V10</f>
        <v>2074.3947697167</v>
      </c>
      <c r="X10" s="163">
        <f ca="1">SUMIFS(INDIRECT("NYSERDA_SupplyProcessed[CapEx Escalator_"&amp;X$5&amp;"]"),
NYSERDA_SupplyProcessed[Label],$R10)
*$V10</f>
        <v>2237.2288998166714</v>
      </c>
      <c r="Y10" s="163">
        <f ca="1">SUMIFS(INDIRECT("NYSERDA_SupplyProcessed[CapEx Escalator_"&amp;Y$5&amp;"]"),
NYSERDA_SupplyProcessed[Label],$R10)
*$V10</f>
        <v>2407.8304362768154</v>
      </c>
      <c r="Z10" s="163">
        <f ca="1">SUMIFS(INDIRECT("NYSERDA_SupplyProcessed[CapEx Escalator_"&amp;Z$5&amp;"]"),
NYSERDA_SupplyProcessed[Label],$R10)
*$V10</f>
        <v>2607.0679883668604</v>
      </c>
      <c r="AA10" s="163">
        <f t="shared" ca="1" si="3"/>
        <v>2607.0679883668604</v>
      </c>
      <c r="AB10" s="166">
        <f>_xlfn.XLOOKUP($N10,NewCapCosts2013[Technology],NewCapCosts2013[Fixed O&amp;M ($2012/kW)])*_xlfn.XLOOKUP(2012, GDP_deflator[Year],GDP_deflator[Multiply By (for $2005)])</f>
        <v>34.61436711917154</v>
      </c>
      <c r="AC10" s="166">
        <f>_xlfn.XLOOKUP($N10,NewCapCosts2013[Technology],NewCapCosts2013[Fixed O&amp;M ($2012/kW)])*_xlfn.XLOOKUP(2012, GDP_deflator[Year],GDP_deflator[Multiply By (for $2005)])</f>
        <v>34.61436711917154</v>
      </c>
      <c r="AD10" s="166">
        <f>_xlfn.XLOOKUP($N10,NewCapCosts2013[Technology],NewCapCosts2013[Fixed O&amp;M ($2012/kW)])*_xlfn.XLOOKUP(2012, GDP_deflator[Year],GDP_deflator[Multiply By (for $2005)])</f>
        <v>34.61436711917154</v>
      </c>
      <c r="AE10" s="166">
        <f>_xlfn.XLOOKUP($N10,NewCapCosts2013[Technology],NewCapCosts2013[Fixed O&amp;M ($2012/kW)])*_xlfn.XLOOKUP(2012, GDP_deflator[Year],GDP_deflator[Multiply By (for $2005)])</f>
        <v>34.61436711917154</v>
      </c>
      <c r="AF10" s="166">
        <f>SUMIFS(NYSERDA_SupplyProcessed[OpEx (thousand $ 2024 / kW - year)],
NYSERDA_SupplyProcessed[Label],$R10)
*_xlfn.XLOOKUP(2023, GDP_deflator[Year],GDP_deflator[Multiply By (for $2005)])</f>
        <v>38.119502480106142</v>
      </c>
      <c r="AG10" s="166">
        <f>SUMIFS(NYSERDA_SupplyProcessed[OpEx (thousand $ 2024 / kW - year)],
NYSERDA_SupplyProcessed[Label],$R10)
*_xlfn.XLOOKUP(2023, GDP_deflator[Year],GDP_deflator[Multiply By (for $2005)])</f>
        <v>38.119502480106142</v>
      </c>
      <c r="AH10" s="166">
        <f>SUMIFS(NYSERDA_SupplyProcessed[OpEx (thousand $ 2024 / kW - year)],
NYSERDA_SupplyProcessed[Label],$R10)
*_xlfn.XLOOKUP(2023, GDP_deflator[Year],GDP_deflator[Multiply By (for $2005)])</f>
        <v>38.119502480106142</v>
      </c>
      <c r="AI10" s="166">
        <f>SUMIFS(NYSERDA_SupplyProcessed[OpEx (thousand $ 2024 / kW - year)],
NYSERDA_SupplyProcessed[Label],$R10)
*_xlfn.XLOOKUP(2023, GDP_deflator[Year],GDP_deflator[Multiply By (for $2005)])</f>
        <v>38.119502480106142</v>
      </c>
      <c r="AJ10" s="166">
        <f>SUMIFS(NYSERDA_SupplyProcessed[OpEx (thousand $ 2024 / kW - year)],
NYSERDA_SupplyProcessed[Label],$R10)
*_xlfn.XLOOKUP(2023, GDP_deflator[Year],GDP_deflator[Multiply By (for $2005)])</f>
        <v>38.119502480106142</v>
      </c>
      <c r="AK10" s="166">
        <f>SUMIFS(NYSERDA_SupplyProcessed[OpEx (thousand $ 2024 / kW - year)],
NYSERDA_SupplyProcessed[Label],$R10)
*_xlfn.XLOOKUP(2023, GDP_deflator[Year],GDP_deflator[Multiply By (for $2005)])</f>
        <v>38.119502480106142</v>
      </c>
      <c r="AL10" s="166">
        <f>SUMIFS(NYSERDA_SupplyProcessed[Average Capacity Factor],
NYSERDA_SupplyProcessed[Label],$R10)</f>
        <v>0.37295162275477728</v>
      </c>
      <c r="AM10" s="176">
        <f t="shared" ref="AM10:AM13" si="9">AM$8*$AL10</f>
        <v>0.44474481013507194</v>
      </c>
      <c r="AN10" s="176">
        <f t="shared" ref="AN10:AO13" si="10">AN$8*$AL10</f>
        <v>0.44474481013507194</v>
      </c>
      <c r="AO10" s="176">
        <f t="shared" si="10"/>
        <v>0.44474481013507194</v>
      </c>
      <c r="AP10" s="176">
        <f t="shared" ref="AP10:AP13" si="11">AO10*0.2</f>
        <v>8.8948962027014397E-2</v>
      </c>
      <c r="AQ10" s="176">
        <f t="shared" si="4"/>
        <v>0.35635527554218976</v>
      </c>
      <c r="AR10" s="176">
        <f t="shared" si="4"/>
        <v>0.26800877382885618</v>
      </c>
      <c r="AS10" s="176">
        <f t="shared" si="4"/>
        <v>0.26800877382885618</v>
      </c>
      <c r="AT10" s="176">
        <f t="shared" si="4"/>
        <v>0.26800877382885618</v>
      </c>
      <c r="AU10" s="176">
        <f t="shared" si="5"/>
        <v>5.360175476577124E-2</v>
      </c>
      <c r="AV10" s="176">
        <f t="shared" si="6"/>
        <v>0.1959013160251912</v>
      </c>
      <c r="AW10" s="176">
        <f t="shared" si="6"/>
        <v>0.51752123361172009</v>
      </c>
      <c r="AX10" s="176">
        <f t="shared" si="6"/>
        <v>0.51752123361172009</v>
      </c>
      <c r="AY10" s="176">
        <f t="shared" si="6"/>
        <v>0.51752123361172009</v>
      </c>
      <c r="AZ10" s="176">
        <f t="shared" si="7"/>
        <v>0.10350424672234403</v>
      </c>
      <c r="BA10" s="176">
        <f t="shared" si="8"/>
        <v>0.45855836447018161</v>
      </c>
      <c r="BB10" s="166">
        <f>SUMIFS(NYSERDA_SupplyProcessed[Total Capacity (MW)],
NYSERDA_SupplyProcessed[Label],$R10)/1000</f>
        <v>0.87922590015661373</v>
      </c>
      <c r="BC10" s="153"/>
      <c r="BD10" s="153"/>
    </row>
    <row r="11" spans="1:56" x14ac:dyDescent="0.35">
      <c r="A11" s="160" t="s">
        <v>631</v>
      </c>
      <c r="B11" s="160" t="s">
        <v>632</v>
      </c>
      <c r="C11" s="160" t="s">
        <v>76</v>
      </c>
      <c r="D11" s="160"/>
      <c r="E11" s="161" t="s">
        <v>232</v>
      </c>
      <c r="F11" s="161" t="s">
        <v>72</v>
      </c>
      <c r="G11" s="161">
        <v>2035</v>
      </c>
      <c r="H11" s="166" t="str">
        <f>LifetimeAssumptions!$B$17</f>
        <v>Wind</v>
      </c>
      <c r="I11" s="161">
        <f>_xlfn.XLOOKUP($H11, LifetimeAssumptions[technology],LifetimeAssumptions[Discrate])</f>
        <v>0.1</v>
      </c>
      <c r="J11" s="161">
        <f>_xlfn.XLOOKUP($H11, LifetimeAssumptions[technology],LifetimeAssumptions[Lifetime])</f>
        <v>30</v>
      </c>
      <c r="K11" s="162">
        <f t="shared" si="2"/>
        <v>0.35714285714285715</v>
      </c>
      <c r="L11" s="161">
        <v>31.536000000000001</v>
      </c>
      <c r="M11" s="165">
        <v>0.1</v>
      </c>
      <c r="N11" s="161"/>
      <c r="O11" s="161"/>
      <c r="P11" s="161" t="str">
        <f>'2023_Regional_Cost_Factor'!$A$24</f>
        <v>Wind offshore</v>
      </c>
      <c r="Q11" s="163">
        <f>_xlfn.XLOOKUP($P11,NewCapRegionalCosts[Technology],NewCapRegionalCosts[8 (NYCW)])*_xlfn.XLOOKUP(2022, GDP_deflator[Year],GDP_deflator[Multiply By (for $2005)])</f>
        <v>4639.0431592360528</v>
      </c>
      <c r="R11" s="161" t="str">
        <f>SupplyCurveProcessed!$E$26</f>
        <v>Offshore Wind - Fixed Bottom_Rest of State_Fixed Bottom</v>
      </c>
      <c r="S11" s="161" t="str">
        <f>SupplyCurveProcessed!$E$29</f>
        <v>Offshore Wind*_All_All</v>
      </c>
      <c r="T11" s="176">
        <f>SUMIFS(NYSERDA_SupplyProcessed[Average Capex ($2024 / kW)],NYSERDA_SupplyProcessed[Label],$R11)/
SUMIFS(NYSERDA_SupplyProcessed[Average Capex ($2024 / kW)],NYSERDA_SupplyProcessed[Label],$S11)</f>
        <v>0.85157869772537464</v>
      </c>
      <c r="U11" s="163"/>
      <c r="V11" s="163"/>
      <c r="W11" s="163"/>
      <c r="X11" s="163"/>
      <c r="Y11" s="163">
        <f ca="1">SUMIFS(INDIRECT("NYSERDA_SupplyProcessed[CapEx Escalator_"&amp;Y$5&amp;"]"),
NYSERDA_SupplyProcessed[Label],$R10)*$Q11*$T11</f>
        <v>4690.9772509183686</v>
      </c>
      <c r="Z11" s="163">
        <f ca="1">SUMIFS(INDIRECT("NYSERDA_SupplyProcessed[CapEx Escalator_"&amp;Z$5&amp;"]"),
NYSERDA_SupplyProcessed[Label],$R10)*$Q11*$T11</f>
        <v>5079.1353248017813</v>
      </c>
      <c r="AA11" s="163">
        <f t="shared" ca="1" si="3"/>
        <v>5079.1353248017813</v>
      </c>
      <c r="AB11" s="166"/>
      <c r="AC11" s="166"/>
      <c r="AD11" s="166"/>
      <c r="AE11" s="166"/>
      <c r="AF11" s="166"/>
      <c r="AG11" s="166"/>
      <c r="AH11" s="166">
        <f>SUMIFS(NYSERDA_SupplyProcessed[OpEx (thousand $ 2024 / kW - year)],
NYSERDA_SupplyProcessed[Label],$R11)
*_xlfn.XLOOKUP(2023, GDP_deflator[Year],GDP_deflator[Multiply By (for $2005)])</f>
        <v>57.515214935669228</v>
      </c>
      <c r="AI11" s="166">
        <f>SUMIFS(NYSERDA_SupplyProcessed[OpEx (thousand $ 2024 / kW - year)],
NYSERDA_SupplyProcessed[Label],$R11)
*_xlfn.XLOOKUP(2023, GDP_deflator[Year],GDP_deflator[Multiply By (for $2005)])</f>
        <v>57.515214935669228</v>
      </c>
      <c r="AJ11" s="166">
        <f>SUMIFS(NYSERDA_SupplyProcessed[OpEx (thousand $ 2024 / kW - year)],
NYSERDA_SupplyProcessed[Label],$R11)
*_xlfn.XLOOKUP(2023, GDP_deflator[Year],GDP_deflator[Multiply By (for $2005)])</f>
        <v>57.515214935669228</v>
      </c>
      <c r="AK11" s="166">
        <f>SUMIFS(NYSERDA_SupplyProcessed[OpEx (thousand $ 2024 / kW - year)],
NYSERDA_SupplyProcessed[Label],$R11)
*_xlfn.XLOOKUP(2023, GDP_deflator[Year],GDP_deflator[Multiply By (for $2005)])</f>
        <v>57.515214935669228</v>
      </c>
      <c r="AL11" s="166">
        <f>SUMIFS(NYSERDA_SupplyProcessed[Average Capacity Factor],
NYSERDA_SupplyProcessed[Label],$R11)</f>
        <v>0.55383249139828772</v>
      </c>
      <c r="AM11" s="176">
        <f t="shared" si="9"/>
        <v>0.66044524599245813</v>
      </c>
      <c r="AN11" s="176">
        <f t="shared" si="10"/>
        <v>0.66044524599245813</v>
      </c>
      <c r="AO11" s="176">
        <f t="shared" si="10"/>
        <v>0.66044524599245813</v>
      </c>
      <c r="AP11" s="176">
        <f t="shared" si="11"/>
        <v>0.13208904919849163</v>
      </c>
      <c r="AQ11" s="176">
        <f t="shared" si="4"/>
        <v>0.52918694553106405</v>
      </c>
      <c r="AR11" s="176">
        <f t="shared" si="4"/>
        <v>0.39799254881867729</v>
      </c>
      <c r="AS11" s="176">
        <f t="shared" si="4"/>
        <v>0.39799254881867729</v>
      </c>
      <c r="AT11" s="176">
        <f t="shared" si="4"/>
        <v>0.39799254881867729</v>
      </c>
      <c r="AU11" s="176">
        <f t="shared" si="5"/>
        <v>7.9598509763735462E-2</v>
      </c>
      <c r="AV11" s="176">
        <f t="shared" si="6"/>
        <v>0.29091310320902791</v>
      </c>
      <c r="AW11" s="176">
        <f t="shared" si="6"/>
        <v>0.76851810442758772</v>
      </c>
      <c r="AX11" s="176">
        <f t="shared" si="6"/>
        <v>0.76851810442758772</v>
      </c>
      <c r="AY11" s="176">
        <f t="shared" si="6"/>
        <v>0.76851810442758772</v>
      </c>
      <c r="AZ11" s="176">
        <f t="shared" si="7"/>
        <v>0.15370362088551756</v>
      </c>
      <c r="BA11" s="176">
        <f t="shared" si="8"/>
        <v>0.68095834942386402</v>
      </c>
      <c r="BB11" s="166">
        <f>SUMIFS(NYSERDA_SupplyProcessed[Total Capacity (MW)],
NYSERDA_SupplyProcessed[Label],$R11)/1000</f>
        <v>10.890374999999999</v>
      </c>
      <c r="BC11" s="153"/>
      <c r="BD11" s="153"/>
    </row>
    <row r="12" spans="1:56" x14ac:dyDescent="0.35">
      <c r="A12" s="160" t="s">
        <v>631</v>
      </c>
      <c r="B12" s="160" t="s">
        <v>632</v>
      </c>
      <c r="C12" s="160" t="s">
        <v>633</v>
      </c>
      <c r="D12" s="160"/>
      <c r="E12" s="161" t="s">
        <v>232</v>
      </c>
      <c r="F12" s="161" t="s">
        <v>72</v>
      </c>
      <c r="G12" s="161">
        <v>2035</v>
      </c>
      <c r="H12" s="166" t="str">
        <f>LifetimeAssumptions!$B$17</f>
        <v>Wind</v>
      </c>
      <c r="I12" s="161">
        <f>_xlfn.XLOOKUP($H12, LifetimeAssumptions[technology],LifetimeAssumptions[Discrate])</f>
        <v>0.1</v>
      </c>
      <c r="J12" s="161">
        <f>_xlfn.XLOOKUP($H12, LifetimeAssumptions[technology],LifetimeAssumptions[Lifetime])</f>
        <v>30</v>
      </c>
      <c r="K12" s="162">
        <f t="shared" si="2"/>
        <v>0.35714285714285715</v>
      </c>
      <c r="L12" s="161">
        <v>31.536000000000001</v>
      </c>
      <c r="M12" s="165">
        <v>0.1</v>
      </c>
      <c r="N12" s="161"/>
      <c r="O12" s="161"/>
      <c r="P12" s="161" t="str">
        <f>'2023_Regional_Cost_Factor'!$A$24</f>
        <v>Wind offshore</v>
      </c>
      <c r="Q12" s="163">
        <f>_xlfn.XLOOKUP($P12,NewCapRegionalCosts[Technology],NewCapRegionalCosts[8 (NYCW)])*_xlfn.XLOOKUP(2022, GDP_deflator[Year],GDP_deflator[Multiply By (for $2005)])</f>
        <v>4639.0431592360528</v>
      </c>
      <c r="R12" s="161" t="str">
        <f>SupplyCurveProcessed!$E$25</f>
        <v>Offshore Wind - Fixed Bottom_NYC_Fixed Bottom</v>
      </c>
      <c r="S12" s="161" t="str">
        <f>SupplyCurveProcessed!$E$29</f>
        <v>Offshore Wind*_All_All</v>
      </c>
      <c r="T12" s="176">
        <f>SUMIFS(NYSERDA_SupplyProcessed[Average Capex ($2024 / kW)],NYSERDA_SupplyProcessed[Label],$R12)/
SUMIFS(NYSERDA_SupplyProcessed[Average Capex ($2024 / kW)],NYSERDA_SupplyProcessed[Label],$S12)</f>
        <v>0.88780500025013764</v>
      </c>
      <c r="U12" s="163"/>
      <c r="V12" s="163"/>
      <c r="W12" s="163"/>
      <c r="X12" s="163"/>
      <c r="Y12" s="163">
        <f ca="1">SUMIFS(INDIRECT("NYSERDA_SupplyProcessed[CapEx Escalator_"&amp;Y$5&amp;"]"),
NYSERDA_SupplyProcessed[Label],$R11)*$Q12*$T12</f>
        <v>4047.0302133810301</v>
      </c>
      <c r="Z12" s="163">
        <f ca="1">SUMIFS(INDIRECT("NYSERDA_SupplyProcessed[CapEx Escalator_"&amp;Z$5&amp;"]"),
NYSERDA_SupplyProcessed[Label],$R11)*$Q12*$T12</f>
        <v>4118.5657131459629</v>
      </c>
      <c r="AA12" s="163">
        <f t="shared" ca="1" si="3"/>
        <v>4118.5657131459629</v>
      </c>
      <c r="AB12" s="166"/>
      <c r="AC12" s="166"/>
      <c r="AD12" s="166"/>
      <c r="AE12" s="166"/>
      <c r="AF12" s="166"/>
      <c r="AG12" s="166"/>
      <c r="AH12" s="166">
        <f>SUMIFS(NYSERDA_SupplyProcessed[OpEx (thousand $ 2024 / kW - year)],
NYSERDA_SupplyProcessed[Label],$R12)
*_xlfn.XLOOKUP(2023, GDP_deflator[Year],GDP_deflator[Multiply By (for $2005)])</f>
        <v>58.377011854162689</v>
      </c>
      <c r="AI12" s="166">
        <f>SUMIFS(NYSERDA_SupplyProcessed[OpEx (thousand $ 2024 / kW - year)],
NYSERDA_SupplyProcessed[Label],$R12)
*_xlfn.XLOOKUP(2023, GDP_deflator[Year],GDP_deflator[Multiply By (for $2005)])</f>
        <v>58.377011854162689</v>
      </c>
      <c r="AJ12" s="166">
        <f>SUMIFS(NYSERDA_SupplyProcessed[OpEx (thousand $ 2024 / kW - year)],
NYSERDA_SupplyProcessed[Label],$R12)
*_xlfn.XLOOKUP(2023, GDP_deflator[Year],GDP_deflator[Multiply By (for $2005)])</f>
        <v>58.377011854162689</v>
      </c>
      <c r="AK12" s="166">
        <f>SUMIFS(NYSERDA_SupplyProcessed[OpEx (thousand $ 2024 / kW - year)],
NYSERDA_SupplyProcessed[Label],$R12)
*_xlfn.XLOOKUP(2023, GDP_deflator[Year],GDP_deflator[Multiply By (for $2005)])</f>
        <v>58.377011854162689</v>
      </c>
      <c r="AL12" s="166">
        <f>SUMIFS(NYSERDA_SupplyProcessed[Average Capacity Factor],
NYSERDA_SupplyProcessed[Label],$R12)</f>
        <v>0.5446427240420032</v>
      </c>
      <c r="AM12" s="176">
        <f t="shared" si="9"/>
        <v>0.64948644842008885</v>
      </c>
      <c r="AN12" s="176">
        <f t="shared" si="10"/>
        <v>0.64948644842008885</v>
      </c>
      <c r="AO12" s="176">
        <f t="shared" si="10"/>
        <v>0.64948644842008885</v>
      </c>
      <c r="AP12" s="176">
        <f t="shared" si="11"/>
        <v>0.12989728968401779</v>
      </c>
      <c r="AQ12" s="176">
        <f t="shared" si="4"/>
        <v>0.52040612282213417</v>
      </c>
      <c r="AR12" s="176">
        <f t="shared" si="4"/>
        <v>0.39138864061541501</v>
      </c>
      <c r="AS12" s="176">
        <f t="shared" si="4"/>
        <v>0.39138864061541501</v>
      </c>
      <c r="AT12" s="176">
        <f t="shared" si="4"/>
        <v>0.39138864061541501</v>
      </c>
      <c r="AU12" s="176">
        <f t="shared" si="5"/>
        <v>7.8277728123083007E-2</v>
      </c>
      <c r="AV12" s="176">
        <f t="shared" si="6"/>
        <v>0.28608596904679046</v>
      </c>
      <c r="AW12" s="176">
        <f t="shared" si="6"/>
        <v>0.75576604907064893</v>
      </c>
      <c r="AX12" s="176">
        <f t="shared" si="6"/>
        <v>0.75576604907064893</v>
      </c>
      <c r="AY12" s="176">
        <f t="shared" si="6"/>
        <v>0.75576604907064893</v>
      </c>
      <c r="AZ12" s="176">
        <f t="shared" si="7"/>
        <v>0.1511532098141298</v>
      </c>
      <c r="BA12" s="176">
        <f t="shared" si="8"/>
        <v>0.66965917700672151</v>
      </c>
      <c r="BB12" s="166">
        <f>SUMIFS(NYSERDA_SupplyProcessed[Total Capacity (MW)],
NYSERDA_SupplyProcessed[Label],$R12)/1000</f>
        <v>4.1375249999999992</v>
      </c>
      <c r="BC12" s="153"/>
      <c r="BD12" s="153"/>
    </row>
    <row r="13" spans="1:56" x14ac:dyDescent="0.35">
      <c r="A13" s="160" t="s">
        <v>634</v>
      </c>
      <c r="B13" s="160" t="s">
        <v>635</v>
      </c>
      <c r="C13" s="160" t="s">
        <v>633</v>
      </c>
      <c r="D13" s="160"/>
      <c r="E13" s="161" t="s">
        <v>232</v>
      </c>
      <c r="F13" s="161" t="s">
        <v>72</v>
      </c>
      <c r="G13" s="161">
        <v>2040</v>
      </c>
      <c r="H13" s="166" t="str">
        <f>LifetimeAssumptions!$B$17</f>
        <v>Wind</v>
      </c>
      <c r="I13" s="161">
        <f>_xlfn.XLOOKUP($H13, LifetimeAssumptions[technology],LifetimeAssumptions[Discrate])</f>
        <v>0.1</v>
      </c>
      <c r="J13" s="161">
        <f>_xlfn.XLOOKUP($H13, LifetimeAssumptions[technology],LifetimeAssumptions[Lifetime])</f>
        <v>30</v>
      </c>
      <c r="K13" s="162">
        <f t="shared" si="2"/>
        <v>0.35714285714285715</v>
      </c>
      <c r="L13" s="161">
        <v>31.536000000000001</v>
      </c>
      <c r="M13" s="165">
        <v>0.1</v>
      </c>
      <c r="N13" s="161"/>
      <c r="O13" s="161"/>
      <c r="P13" s="161" t="str">
        <f>'2023_Regional_Cost_Factor'!$A$24</f>
        <v>Wind offshore</v>
      </c>
      <c r="Q13" s="163">
        <f>_xlfn.XLOOKUP($P13,NewCapRegionalCosts[Technology],NewCapRegionalCosts[8 (NYCW)])*_xlfn.XLOOKUP(2022, GDP_deflator[Year],GDP_deflator[Multiply By (for $2005)])</f>
        <v>4639.0431592360528</v>
      </c>
      <c r="R13" s="161" t="str">
        <f>SupplyCurveProcessed!$E$28</f>
        <v>Offshore Wind - Floating_All_Floating</v>
      </c>
      <c r="S13" s="161" t="str">
        <f>SupplyCurveProcessed!$E$29</f>
        <v>Offshore Wind*_All_All</v>
      </c>
      <c r="T13" s="176">
        <f>SUMIFS(NYSERDA_SupplyProcessed[Average Capex ($2024 / kW)],NYSERDA_SupplyProcessed[Label],$R13)/
SUMIFS(NYSERDA_SupplyProcessed[Average Capex ($2024 / kW)],NYSERDA_SupplyProcessed[Label],$S13)</f>
        <v>1.2056605574731158</v>
      </c>
      <c r="U13" s="163"/>
      <c r="V13" s="163"/>
      <c r="W13" s="163"/>
      <c r="X13" s="163"/>
      <c r="Y13" s="163"/>
      <c r="Z13" s="163">
        <f ca="1">SUMIFS(INDIRECT("NYSERDA_SupplyProcessed[CapEx Escalator_"&amp;Z$5&amp;"]"),
NYSERDA_SupplyProcessed[Label],$R12)*$Q13*$T13</f>
        <v>5593.1113615063841</v>
      </c>
      <c r="AA13" s="163">
        <f t="shared" ca="1" si="3"/>
        <v>5593.1113615063841</v>
      </c>
      <c r="AB13" s="166"/>
      <c r="AC13" s="166"/>
      <c r="AD13" s="166"/>
      <c r="AE13" s="166"/>
      <c r="AF13" s="166"/>
      <c r="AG13" s="166"/>
      <c r="AH13" s="166">
        <f>SUMIFS(NYSERDA_SupplyProcessed[OpEx (thousand $ 2024 / kW - year)],
NYSERDA_SupplyProcessed[Label],$R13)
*_xlfn.XLOOKUP(2023, GDP_deflator[Year],GDP_deflator[Multiply By (for $2005)])</f>
        <v>98.177308626181315</v>
      </c>
      <c r="AI13" s="166">
        <f>SUMIFS(NYSERDA_SupplyProcessed[OpEx (thousand $ 2024 / kW - year)],
NYSERDA_SupplyProcessed[Label],$R13)
*_xlfn.XLOOKUP(2023, GDP_deflator[Year],GDP_deflator[Multiply By (for $2005)])</f>
        <v>98.177308626181315</v>
      </c>
      <c r="AJ13" s="166">
        <f>SUMIFS(NYSERDA_SupplyProcessed[OpEx (thousand $ 2024 / kW - year)],
NYSERDA_SupplyProcessed[Label],$R13)
*_xlfn.XLOOKUP(2023, GDP_deflator[Year],GDP_deflator[Multiply By (for $2005)])</f>
        <v>98.177308626181315</v>
      </c>
      <c r="AK13" s="166">
        <f>SUMIFS(NYSERDA_SupplyProcessed[OpEx (thousand $ 2024 / kW - year)],
NYSERDA_SupplyProcessed[Label],$R13)
*_xlfn.XLOOKUP(2023, GDP_deflator[Year],GDP_deflator[Multiply By (for $2005)])</f>
        <v>98.177308626181315</v>
      </c>
      <c r="AL13" s="166">
        <f>SUMIFS(NYSERDA_SupplyProcessed[Average Capacity Factor],
NYSERDA_SupplyProcessed[Label],$R13)</f>
        <v>0.54586965042713387</v>
      </c>
      <c r="AM13" s="176">
        <f t="shared" si="9"/>
        <v>0.65094955813435718</v>
      </c>
      <c r="AN13" s="176">
        <f t="shared" si="10"/>
        <v>0.65094955813435718</v>
      </c>
      <c r="AO13" s="176">
        <f t="shared" si="10"/>
        <v>0.65094955813435718</v>
      </c>
      <c r="AP13" s="176">
        <f t="shared" si="11"/>
        <v>0.13018991162687144</v>
      </c>
      <c r="AQ13" s="176">
        <f t="shared" si="4"/>
        <v>0.5215784509831265</v>
      </c>
      <c r="AR13" s="176">
        <f t="shared" si="4"/>
        <v>0.39227032879156043</v>
      </c>
      <c r="AS13" s="176">
        <f t="shared" si="4"/>
        <v>0.39227032879156043</v>
      </c>
      <c r="AT13" s="176">
        <f t="shared" si="4"/>
        <v>0.39227032879156043</v>
      </c>
      <c r="AU13" s="176">
        <f t="shared" si="5"/>
        <v>7.8454065758312097E-2</v>
      </c>
      <c r="AV13" s="176">
        <f t="shared" si="6"/>
        <v>0.28673044001527087</v>
      </c>
      <c r="AW13" s="176">
        <f t="shared" si="6"/>
        <v>0.75746857673816115</v>
      </c>
      <c r="AX13" s="176">
        <f t="shared" si="6"/>
        <v>0.75746857673816115</v>
      </c>
      <c r="AY13" s="176">
        <f t="shared" si="6"/>
        <v>0.75746857673816115</v>
      </c>
      <c r="AZ13" s="176">
        <f t="shared" si="7"/>
        <v>0.15149371534763223</v>
      </c>
      <c r="BA13" s="176">
        <f t="shared" si="8"/>
        <v>0.67116773018671605</v>
      </c>
      <c r="BB13" s="166">
        <f>SUMIFS(NYSERDA_SupplyProcessed[Total Capacity (MW)],
NYSERDA_SupplyProcessed[Label],$R13)/1000</f>
        <v>10.116539999999999</v>
      </c>
      <c r="BC13" s="153"/>
      <c r="BD13" s="153"/>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2191-1A79-4586-A343-BA8F5B4B6F30}">
  <sheetPr>
    <tabColor rgb="FFFFC000"/>
  </sheetPr>
  <dimension ref="A1:AF13"/>
  <sheetViews>
    <sheetView workbookViewId="0">
      <selection activeCell="D39" sqref="D39"/>
    </sheetView>
  </sheetViews>
  <sheetFormatPr defaultRowHeight="14.5" x14ac:dyDescent="0.35"/>
  <cols>
    <col min="1" max="1" width="29.26953125" bestFit="1" customWidth="1"/>
    <col min="2" max="2" width="23.54296875" bestFit="1" customWidth="1"/>
    <col min="3" max="3" width="7.54296875" bestFit="1" customWidth="1"/>
    <col min="4" max="4" width="9" bestFit="1" customWidth="1"/>
    <col min="5" max="5" width="10.453125" bestFit="1" customWidth="1"/>
    <col min="6" max="6" width="13.26953125" bestFit="1" customWidth="1"/>
    <col min="7" max="7" width="12.26953125" bestFit="1" customWidth="1"/>
    <col min="8" max="8" width="9.7265625" customWidth="1"/>
    <col min="9" max="9" width="13.453125" bestFit="1" customWidth="1"/>
    <col min="10" max="10" width="11.26953125" bestFit="1" customWidth="1"/>
    <col min="11" max="11" width="10.7265625" bestFit="1" customWidth="1"/>
    <col min="12" max="12" width="12.7265625" bestFit="1" customWidth="1"/>
    <col min="13" max="13" width="9.26953125" customWidth="1"/>
    <col min="14" max="14" width="11" customWidth="1"/>
    <col min="15" max="15" width="14.54296875" customWidth="1"/>
    <col min="16" max="16" width="14.7265625" bestFit="1" customWidth="1"/>
    <col min="17" max="18" width="15.26953125" bestFit="1" customWidth="1"/>
    <col min="19" max="32" width="16.453125" customWidth="1"/>
  </cols>
  <sheetData>
    <row r="1" spans="1:32" x14ac:dyDescent="0.35">
      <c r="A1" s="153" t="s">
        <v>58</v>
      </c>
      <c r="B1" s="153"/>
      <c r="C1" s="153"/>
      <c r="D1" s="177" t="s">
        <v>636</v>
      </c>
      <c r="E1" s="153"/>
      <c r="F1" s="153"/>
      <c r="G1" s="153"/>
      <c r="H1" s="153"/>
      <c r="I1" s="153"/>
      <c r="J1" s="153"/>
      <c r="K1" s="153"/>
      <c r="L1" s="153"/>
      <c r="M1" s="153"/>
      <c r="N1" s="153"/>
      <c r="O1" s="153"/>
      <c r="P1" s="153"/>
      <c r="Q1" s="153"/>
      <c r="R1" s="153"/>
    </row>
    <row r="2" spans="1:32" x14ac:dyDescent="0.35">
      <c r="A2" s="153"/>
      <c r="B2" s="153"/>
      <c r="C2" s="153"/>
      <c r="D2" s="153"/>
      <c r="E2" s="153"/>
      <c r="F2" s="153"/>
      <c r="G2" s="153"/>
      <c r="H2" s="153"/>
      <c r="I2" s="153"/>
      <c r="J2" s="153"/>
      <c r="K2" s="153"/>
      <c r="L2" s="153"/>
      <c r="M2" s="153"/>
      <c r="N2" s="153"/>
      <c r="O2" s="153"/>
      <c r="P2" s="153"/>
      <c r="Q2" s="153"/>
      <c r="R2" s="153"/>
    </row>
    <row r="3" spans="1:32" x14ac:dyDescent="0.35">
      <c r="A3" s="153"/>
      <c r="B3" s="153"/>
      <c r="C3" s="153"/>
      <c r="D3" s="153"/>
      <c r="E3" s="39" t="s">
        <v>491</v>
      </c>
      <c r="F3" s="153"/>
      <c r="G3" s="153"/>
      <c r="H3" s="153"/>
      <c r="I3" s="153"/>
      <c r="J3" s="153"/>
      <c r="K3" s="153"/>
      <c r="L3" s="153"/>
      <c r="M3" s="153"/>
      <c r="N3" s="153"/>
      <c r="O3" s="153"/>
      <c r="P3" s="153"/>
      <c r="Q3" s="153"/>
      <c r="R3" s="178"/>
    </row>
    <row r="4" spans="1:32" ht="15" thickBot="1" x14ac:dyDescent="0.4">
      <c r="A4" s="40" t="s">
        <v>436</v>
      </c>
      <c r="B4" s="40" t="s">
        <v>492</v>
      </c>
      <c r="C4" s="40" t="s">
        <v>493</v>
      </c>
      <c r="D4" s="40" t="s">
        <v>494</v>
      </c>
      <c r="E4" s="40" t="s">
        <v>495</v>
      </c>
      <c r="F4" s="40" t="s">
        <v>496</v>
      </c>
      <c r="G4" s="40" t="s">
        <v>505</v>
      </c>
      <c r="H4" s="40" t="s">
        <v>567</v>
      </c>
      <c r="I4" s="40" t="s">
        <v>497</v>
      </c>
      <c r="J4" s="40" t="s">
        <v>590</v>
      </c>
      <c r="K4" s="40" t="s">
        <v>569</v>
      </c>
      <c r="L4" s="40" t="s">
        <v>589</v>
      </c>
      <c r="M4" s="40" t="s">
        <v>506</v>
      </c>
      <c r="N4" s="40" t="s">
        <v>570</v>
      </c>
      <c r="O4" s="40" t="s">
        <v>507</v>
      </c>
      <c r="P4" s="40" t="s">
        <v>637</v>
      </c>
      <c r="Q4" s="40" t="s">
        <v>571</v>
      </c>
      <c r="R4" s="178"/>
      <c r="S4" s="40" t="s">
        <v>61</v>
      </c>
      <c r="T4" s="40" t="s">
        <v>638</v>
      </c>
      <c r="U4" s="40" t="s">
        <v>639</v>
      </c>
      <c r="V4" s="40" t="s">
        <v>640</v>
      </c>
      <c r="W4" s="40" t="s">
        <v>641</v>
      </c>
      <c r="X4" s="40" t="s">
        <v>642</v>
      </c>
      <c r="Y4" s="40" t="s">
        <v>643</v>
      </c>
      <c r="Z4" s="40" t="s">
        <v>644</v>
      </c>
      <c r="AA4" s="40" t="s">
        <v>645</v>
      </c>
      <c r="AB4" s="40" t="s">
        <v>646</v>
      </c>
      <c r="AC4" s="40" t="s">
        <v>647</v>
      </c>
      <c r="AD4" s="153"/>
      <c r="AE4" s="40" t="s">
        <v>648</v>
      </c>
      <c r="AF4" s="40" t="s">
        <v>649</v>
      </c>
    </row>
    <row r="5" spans="1:32" x14ac:dyDescent="0.35">
      <c r="A5" s="155" t="s">
        <v>650</v>
      </c>
      <c r="B5" s="157" t="s">
        <v>651</v>
      </c>
      <c r="C5" s="157"/>
      <c r="D5" s="157"/>
      <c r="E5" s="157"/>
      <c r="F5" s="157"/>
      <c r="G5" s="157"/>
      <c r="H5" s="157"/>
      <c r="I5" s="157"/>
      <c r="J5" s="157"/>
      <c r="K5" s="157"/>
      <c r="L5" s="157"/>
      <c r="M5" s="157"/>
      <c r="N5" s="157"/>
      <c r="O5" s="157"/>
      <c r="P5" s="157"/>
      <c r="Q5" s="157"/>
      <c r="R5" s="178"/>
      <c r="S5" s="155" t="s">
        <v>650</v>
      </c>
      <c r="T5" s="157"/>
      <c r="U5" s="157"/>
      <c r="V5" s="157"/>
      <c r="W5" s="157"/>
      <c r="X5" s="157"/>
      <c r="Y5" s="157"/>
      <c r="Z5" s="157"/>
      <c r="AA5" s="157"/>
      <c r="AB5" s="157"/>
      <c r="AC5" s="157"/>
      <c r="AD5" s="153"/>
      <c r="AE5" s="153"/>
      <c r="AF5" s="153"/>
    </row>
    <row r="6" spans="1:32" x14ac:dyDescent="0.35">
      <c r="A6" s="160" t="s">
        <v>478</v>
      </c>
      <c r="B6" s="160" t="s">
        <v>479</v>
      </c>
      <c r="C6" s="160" t="s">
        <v>560</v>
      </c>
      <c r="D6" s="160" t="s">
        <v>230</v>
      </c>
      <c r="E6" s="160" t="s">
        <v>72</v>
      </c>
      <c r="F6" s="179">
        <v>2011</v>
      </c>
      <c r="G6" s="179">
        <v>120</v>
      </c>
      <c r="H6" s="180">
        <f>AF6/AE6</f>
        <v>0.35714285714285715</v>
      </c>
      <c r="I6" s="181">
        <v>31.536000000000001</v>
      </c>
      <c r="J6" s="181">
        <v>32.23579580694998</v>
      </c>
      <c r="K6" s="181">
        <v>0</v>
      </c>
      <c r="L6" s="182">
        <v>6518.0571151887616</v>
      </c>
      <c r="M6" s="183">
        <v>0.95</v>
      </c>
      <c r="N6" s="181">
        <v>0.9</v>
      </c>
      <c r="O6" s="181">
        <v>0.11</v>
      </c>
      <c r="P6" s="184"/>
      <c r="Q6" s="184"/>
      <c r="R6" s="178"/>
      <c r="S6" s="160" t="s">
        <v>76</v>
      </c>
      <c r="T6" s="160"/>
      <c r="U6" s="160"/>
      <c r="V6" s="160">
        <v>254</v>
      </c>
      <c r="W6" s="160"/>
      <c r="X6" s="160">
        <v>230</v>
      </c>
      <c r="Y6" s="160"/>
      <c r="Z6" s="160"/>
      <c r="AA6" s="160"/>
      <c r="AB6" s="160"/>
      <c r="AC6" s="160"/>
      <c r="AD6" s="153"/>
      <c r="AE6" s="178">
        <v>2.8</v>
      </c>
      <c r="AF6" s="185">
        <v>1</v>
      </c>
    </row>
    <row r="7" spans="1:32" x14ac:dyDescent="0.35">
      <c r="A7" s="178"/>
      <c r="B7" s="178"/>
      <c r="C7" s="178"/>
      <c r="D7" s="178"/>
      <c r="E7" s="178"/>
      <c r="F7" s="178"/>
      <c r="G7" s="178"/>
      <c r="H7" s="178"/>
      <c r="I7" s="178"/>
      <c r="J7" s="178"/>
      <c r="K7" s="178"/>
      <c r="L7" s="178"/>
      <c r="M7" s="178"/>
      <c r="N7" s="178"/>
      <c r="O7" s="178"/>
      <c r="P7" s="178"/>
      <c r="Q7" s="178"/>
      <c r="R7" s="178"/>
      <c r="S7" s="178"/>
      <c r="T7" s="178"/>
      <c r="U7" s="178"/>
      <c r="V7" s="178"/>
      <c r="W7" s="178"/>
      <c r="X7" s="178"/>
      <c r="Y7" s="178"/>
      <c r="Z7" s="178"/>
      <c r="AA7" s="178"/>
      <c r="AB7" s="178"/>
      <c r="AC7" s="178"/>
      <c r="AD7" s="178"/>
      <c r="AE7" s="178"/>
      <c r="AF7" s="178"/>
    </row>
    <row r="8" spans="1:32" x14ac:dyDescent="0.35">
      <c r="A8" s="178"/>
      <c r="B8" s="178"/>
      <c r="C8" s="178"/>
      <c r="D8" s="178"/>
      <c r="E8" s="178"/>
      <c r="F8" s="178"/>
      <c r="G8" s="178"/>
      <c r="H8" s="178"/>
      <c r="I8" s="178"/>
      <c r="J8" s="178"/>
      <c r="K8" s="178"/>
      <c r="L8" s="178"/>
      <c r="M8" s="178"/>
      <c r="N8" s="178"/>
      <c r="O8" s="178"/>
      <c r="P8" s="178"/>
      <c r="Q8" s="178"/>
      <c r="R8" s="178"/>
      <c r="S8" s="178"/>
      <c r="T8" s="178"/>
      <c r="U8" s="178"/>
      <c r="V8" s="178"/>
      <c r="W8" s="178"/>
      <c r="X8" s="178"/>
      <c r="Y8" s="178"/>
      <c r="Z8" s="178"/>
      <c r="AA8" s="178"/>
      <c r="AB8" s="178"/>
      <c r="AC8" s="178"/>
      <c r="AD8" s="178"/>
      <c r="AE8" s="178"/>
      <c r="AF8" s="178"/>
    </row>
    <row r="9" spans="1:32" x14ac:dyDescent="0.35">
      <c r="A9" s="153"/>
      <c r="B9" s="153"/>
      <c r="C9" s="153"/>
      <c r="D9" s="153"/>
      <c r="E9" s="39" t="s">
        <v>491</v>
      </c>
      <c r="F9" s="153"/>
      <c r="G9" s="153"/>
      <c r="H9" s="153"/>
      <c r="I9" s="153"/>
      <c r="J9" s="153"/>
      <c r="K9" s="153"/>
      <c r="L9" s="153"/>
      <c r="M9" s="153"/>
      <c r="N9" s="153"/>
      <c r="O9" s="153"/>
      <c r="P9" s="153"/>
      <c r="Q9" s="153"/>
      <c r="R9" s="178"/>
      <c r="S9" s="153"/>
      <c r="T9" s="153"/>
      <c r="U9" s="153"/>
      <c r="V9" s="153"/>
      <c r="W9" s="153"/>
      <c r="X9" s="153"/>
      <c r="Y9" s="153"/>
      <c r="Z9" s="153"/>
      <c r="AA9" s="153"/>
      <c r="AB9" s="153"/>
      <c r="AC9" s="153"/>
      <c r="AD9" s="153"/>
      <c r="AE9" s="153"/>
      <c r="AF9" s="153"/>
    </row>
    <row r="10" spans="1:32" ht="15" thickBot="1" x14ac:dyDescent="0.4">
      <c r="A10" s="40" t="s">
        <v>436</v>
      </c>
      <c r="B10" s="40" t="s">
        <v>492</v>
      </c>
      <c r="C10" s="40" t="s">
        <v>493</v>
      </c>
      <c r="D10" s="40" t="s">
        <v>494</v>
      </c>
      <c r="E10" s="40" t="s">
        <v>495</v>
      </c>
      <c r="F10" s="40" t="s">
        <v>496</v>
      </c>
      <c r="G10" s="40" t="s">
        <v>505</v>
      </c>
      <c r="H10" s="40" t="s">
        <v>568</v>
      </c>
      <c r="I10" s="40" t="s">
        <v>567</v>
      </c>
      <c r="J10" s="40" t="s">
        <v>497</v>
      </c>
      <c r="K10" s="40" t="s">
        <v>590</v>
      </c>
      <c r="L10" s="40" t="s">
        <v>569</v>
      </c>
      <c r="M10" s="40" t="s">
        <v>589</v>
      </c>
      <c r="N10" s="40" t="s">
        <v>506</v>
      </c>
      <c r="O10" s="40" t="s">
        <v>507</v>
      </c>
      <c r="P10" s="40" t="s">
        <v>637</v>
      </c>
      <c r="Q10" s="40" t="s">
        <v>570</v>
      </c>
      <c r="R10" s="40" t="s">
        <v>571</v>
      </c>
      <c r="S10" s="40" t="s">
        <v>61</v>
      </c>
      <c r="T10" s="40" t="s">
        <v>638</v>
      </c>
      <c r="U10" s="40" t="s">
        <v>639</v>
      </c>
      <c r="V10" s="40" t="s">
        <v>640</v>
      </c>
      <c r="W10" s="40" t="s">
        <v>641</v>
      </c>
      <c r="X10" s="40" t="s">
        <v>642</v>
      </c>
      <c r="Y10" s="40" t="s">
        <v>643</v>
      </c>
      <c r="Z10" s="40" t="s">
        <v>644</v>
      </c>
      <c r="AA10" s="40" t="s">
        <v>645</v>
      </c>
      <c r="AB10" s="40" t="s">
        <v>646</v>
      </c>
      <c r="AC10" s="40" t="s">
        <v>647</v>
      </c>
      <c r="AD10" s="153"/>
      <c r="AE10" s="40" t="s">
        <v>648</v>
      </c>
      <c r="AF10" s="40" t="s">
        <v>649</v>
      </c>
    </row>
    <row r="11" spans="1:32" x14ac:dyDescent="0.35">
      <c r="A11" s="41" t="s">
        <v>555</v>
      </c>
      <c r="B11" s="41" t="s">
        <v>652</v>
      </c>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153"/>
      <c r="AE11" s="41"/>
      <c r="AF11" s="41"/>
    </row>
    <row r="12" spans="1:32" x14ac:dyDescent="0.35">
      <c r="A12" s="160" t="s">
        <v>480</v>
      </c>
      <c r="B12" s="160" t="s">
        <v>481</v>
      </c>
      <c r="C12" s="160" t="s">
        <v>560</v>
      </c>
      <c r="D12" s="160" t="s">
        <v>72</v>
      </c>
      <c r="E12" s="160" t="s">
        <v>653</v>
      </c>
      <c r="F12" s="179">
        <v>2011</v>
      </c>
      <c r="G12" s="179">
        <v>45</v>
      </c>
      <c r="H12" s="180">
        <v>1</v>
      </c>
      <c r="I12" s="180"/>
      <c r="J12" s="181">
        <v>31.536000000000001</v>
      </c>
      <c r="K12" s="181"/>
      <c r="L12" s="181"/>
      <c r="M12" s="181"/>
      <c r="N12" s="181"/>
      <c r="O12" s="181">
        <v>0.11</v>
      </c>
      <c r="P12" s="184"/>
      <c r="Q12" s="181"/>
      <c r="R12" s="181">
        <f>12/24</f>
        <v>0.5</v>
      </c>
      <c r="S12" s="160" t="s">
        <v>76</v>
      </c>
      <c r="T12" s="160"/>
      <c r="U12" s="160"/>
      <c r="V12" s="160">
        <f>4.01*0.9</f>
        <v>3.609</v>
      </c>
      <c r="W12" s="160"/>
      <c r="X12" s="160">
        <f>20.05*0.9</f>
        <v>18.045000000000002</v>
      </c>
      <c r="Y12" s="160"/>
      <c r="Z12" s="160"/>
      <c r="AA12" s="160"/>
      <c r="AB12" s="160"/>
      <c r="AC12" s="160"/>
      <c r="AD12" s="153"/>
      <c r="AE12" s="178">
        <v>1</v>
      </c>
      <c r="AF12" s="185">
        <v>0.8</v>
      </c>
    </row>
    <row r="13" spans="1:32" x14ac:dyDescent="0.35">
      <c r="A13" s="160" t="s">
        <v>483</v>
      </c>
      <c r="B13" s="160" t="s">
        <v>481</v>
      </c>
      <c r="C13" s="160" t="s">
        <v>560</v>
      </c>
      <c r="D13" s="160" t="s">
        <v>653</v>
      </c>
      <c r="E13" s="160" t="s">
        <v>72</v>
      </c>
      <c r="F13" s="179">
        <v>2011</v>
      </c>
      <c r="G13" s="179">
        <v>45</v>
      </c>
      <c r="H13" s="180"/>
      <c r="I13" s="180">
        <f>AF13/AE13</f>
        <v>0.8</v>
      </c>
      <c r="J13" s="181">
        <v>31.536000000000001</v>
      </c>
      <c r="K13" s="181">
        <v>32.23579580694998</v>
      </c>
      <c r="L13" s="181">
        <v>0</v>
      </c>
      <c r="M13" s="182">
        <f>L6</f>
        <v>6518.0571151887616</v>
      </c>
      <c r="N13" s="181">
        <v>0.9</v>
      </c>
      <c r="O13" s="181">
        <v>0.11</v>
      </c>
      <c r="P13" s="184"/>
      <c r="Q13" s="181">
        <f>R12</f>
        <v>0.5</v>
      </c>
      <c r="R13" s="181"/>
      <c r="S13" s="160" t="s">
        <v>76</v>
      </c>
      <c r="T13" s="160"/>
      <c r="U13" s="160"/>
      <c r="V13" s="160">
        <f>4.01*0.9</f>
        <v>3.609</v>
      </c>
      <c r="W13" s="160"/>
      <c r="X13" s="160">
        <f>20.05*0.9</f>
        <v>18.045000000000002</v>
      </c>
      <c r="Y13" s="160"/>
      <c r="Z13" s="160"/>
      <c r="AA13" s="160"/>
      <c r="AB13" s="160"/>
      <c r="AC13" s="160"/>
      <c r="AD13" s="153"/>
      <c r="AE13" s="178">
        <v>1</v>
      </c>
      <c r="AF13" s="185">
        <v>0.8</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7CA94-24DF-46AE-ABF4-DFC0B60E9A56}">
  <dimension ref="B1:T30"/>
  <sheetViews>
    <sheetView workbookViewId="0"/>
  </sheetViews>
  <sheetFormatPr defaultRowHeight="14.5" x14ac:dyDescent="0.35"/>
  <cols>
    <col min="2" max="2" width="25.1796875" customWidth="1"/>
    <col min="4" max="4" width="12.26953125" customWidth="1"/>
    <col min="5" max="5" width="10" customWidth="1"/>
    <col min="6" max="6" width="10.1796875" customWidth="1"/>
    <col min="7" max="7" width="11.1796875" customWidth="1"/>
  </cols>
  <sheetData>
    <row r="1" spans="2:20" s="42" customFormat="1" x14ac:dyDescent="0.35">
      <c r="B1" s="42" t="s">
        <v>654</v>
      </c>
      <c r="Q1" s="167" t="s">
        <v>655</v>
      </c>
    </row>
    <row r="2" spans="2:20" s="42" customFormat="1" x14ac:dyDescent="0.35">
      <c r="B2" s="167" t="s">
        <v>656</v>
      </c>
      <c r="F2" s="42" t="s">
        <v>657</v>
      </c>
      <c r="G2" s="42" t="s">
        <v>658</v>
      </c>
      <c r="H2" s="167" t="s">
        <v>659</v>
      </c>
      <c r="I2" s="167" t="s">
        <v>660</v>
      </c>
      <c r="K2" s="51" t="s">
        <v>661</v>
      </c>
    </row>
    <row r="3" spans="2:20" s="42" customFormat="1" x14ac:dyDescent="0.35">
      <c r="B3" s="63" t="s">
        <v>662</v>
      </c>
      <c r="C3" s="43" t="s">
        <v>663</v>
      </c>
      <c r="D3" s="43" t="s">
        <v>664</v>
      </c>
      <c r="E3" s="43" t="s">
        <v>665</v>
      </c>
      <c r="F3" s="43" t="s">
        <v>666</v>
      </c>
      <c r="G3" s="43" t="s">
        <v>667</v>
      </c>
      <c r="H3" s="43" t="s">
        <v>668</v>
      </c>
      <c r="K3" s="51" t="s">
        <v>669</v>
      </c>
      <c r="L3" s="52" t="s">
        <v>670</v>
      </c>
      <c r="M3" s="52" t="s">
        <v>671</v>
      </c>
      <c r="N3" s="52" t="s">
        <v>672</v>
      </c>
      <c r="O3" s="52" t="s">
        <v>673</v>
      </c>
      <c r="Q3" s="239" t="s">
        <v>674</v>
      </c>
      <c r="R3" s="53"/>
      <c r="S3" s="54"/>
      <c r="T3" s="45">
        <v>0.1</v>
      </c>
    </row>
    <row r="4" spans="2:20" s="42" customFormat="1" x14ac:dyDescent="0.35">
      <c r="B4" s="44" t="s">
        <v>675</v>
      </c>
      <c r="C4" s="45">
        <v>0.85</v>
      </c>
      <c r="D4" s="45">
        <v>0.95</v>
      </c>
      <c r="E4" s="45">
        <f>$T$3+K4*$T$7+L4*$T$8+M4*$T$9+N4*$T$10+O4*$T$11</f>
        <v>0.2</v>
      </c>
      <c r="F4" s="45">
        <v>40</v>
      </c>
      <c r="G4" s="45">
        <v>50</v>
      </c>
      <c r="H4" s="45"/>
      <c r="K4" s="240">
        <v>1</v>
      </c>
      <c r="L4" s="55"/>
      <c r="M4" s="55"/>
      <c r="N4" s="55"/>
      <c r="O4" s="56"/>
    </row>
    <row r="5" spans="2:20" s="42" customFormat="1" x14ac:dyDescent="0.35">
      <c r="B5" s="46" t="s">
        <v>676</v>
      </c>
      <c r="C5" s="45"/>
      <c r="D5" s="45"/>
      <c r="E5" s="45">
        <f t="shared" ref="E5:E27" si="0">$T$3+K5*$T$7+L5*$T$8+M5*$T$9+N5*$T$10+O5*$T$11</f>
        <v>0.1</v>
      </c>
      <c r="F5" s="45">
        <v>50</v>
      </c>
      <c r="G5" s="45"/>
      <c r="H5" s="45"/>
      <c r="I5" s="42" t="s">
        <v>677</v>
      </c>
      <c r="K5" s="57"/>
      <c r="O5" s="58"/>
      <c r="R5" s="167"/>
      <c r="T5" s="241" t="s">
        <v>678</v>
      </c>
    </row>
    <row r="6" spans="2:20" s="42" customFormat="1" x14ac:dyDescent="0.35">
      <c r="B6" s="46" t="s">
        <v>679</v>
      </c>
      <c r="C6" s="45">
        <v>0.9</v>
      </c>
      <c r="D6" s="45">
        <v>0.95</v>
      </c>
      <c r="E6" s="45">
        <f t="shared" si="0"/>
        <v>0.15000000000000002</v>
      </c>
      <c r="F6" s="45">
        <v>40</v>
      </c>
      <c r="G6" s="45">
        <v>50</v>
      </c>
      <c r="H6" s="45"/>
      <c r="K6" s="57">
        <v>0.5</v>
      </c>
      <c r="O6" s="58"/>
      <c r="Q6" s="239" t="s">
        <v>680</v>
      </c>
      <c r="R6" s="59"/>
      <c r="S6" s="54"/>
      <c r="T6" s="242" t="s">
        <v>681</v>
      </c>
    </row>
    <row r="7" spans="2:20" s="42" customFormat="1" x14ac:dyDescent="0.35">
      <c r="B7" s="46" t="s">
        <v>682</v>
      </c>
      <c r="C7" s="45">
        <v>0.9</v>
      </c>
      <c r="D7" s="45">
        <v>0.95</v>
      </c>
      <c r="E7" s="45">
        <f t="shared" si="0"/>
        <v>0.15000000000000002</v>
      </c>
      <c r="F7" s="45">
        <v>50</v>
      </c>
      <c r="G7" s="45">
        <v>50</v>
      </c>
      <c r="H7" s="45"/>
      <c r="K7" s="57">
        <v>0.5</v>
      </c>
      <c r="O7" s="58"/>
      <c r="Q7" s="240" t="s">
        <v>683</v>
      </c>
      <c r="R7" s="55"/>
      <c r="S7" s="55"/>
      <c r="T7" s="44">
        <v>0.1</v>
      </c>
    </row>
    <row r="8" spans="2:20" s="42" customFormat="1" x14ac:dyDescent="0.35">
      <c r="B8" s="46" t="s">
        <v>684</v>
      </c>
      <c r="C8" s="45">
        <v>0.9</v>
      </c>
      <c r="D8" s="45">
        <v>0.95</v>
      </c>
      <c r="E8" s="45">
        <f t="shared" si="0"/>
        <v>0.15000000000000002</v>
      </c>
      <c r="F8" s="45">
        <v>30</v>
      </c>
      <c r="G8" s="45">
        <v>50</v>
      </c>
      <c r="H8" s="45"/>
      <c r="K8" s="57">
        <v>0.5</v>
      </c>
      <c r="O8" s="58"/>
      <c r="Q8" s="243" t="s">
        <v>685</v>
      </c>
      <c r="T8" s="46">
        <v>0.1</v>
      </c>
    </row>
    <row r="9" spans="2:20" s="42" customFormat="1" x14ac:dyDescent="0.35">
      <c r="B9" s="46" t="s">
        <v>236</v>
      </c>
      <c r="C9" s="45">
        <v>0.9</v>
      </c>
      <c r="D9" s="45">
        <v>0.9</v>
      </c>
      <c r="E9" s="45">
        <f t="shared" si="0"/>
        <v>0.1</v>
      </c>
      <c r="F9" s="45">
        <v>30</v>
      </c>
      <c r="G9" s="45">
        <v>40</v>
      </c>
      <c r="H9" s="45"/>
      <c r="K9" s="57"/>
      <c r="O9" s="58"/>
      <c r="Q9" s="243" t="s">
        <v>686</v>
      </c>
      <c r="T9" s="46">
        <v>0.1</v>
      </c>
    </row>
    <row r="10" spans="2:20" s="42" customFormat="1" x14ac:dyDescent="0.35">
      <c r="B10" s="242" t="s">
        <v>687</v>
      </c>
      <c r="C10" s="244"/>
      <c r="D10" s="45">
        <v>0.95</v>
      </c>
      <c r="E10" s="45">
        <f t="shared" si="0"/>
        <v>0.1</v>
      </c>
      <c r="F10" s="45">
        <v>50</v>
      </c>
      <c r="G10" s="45">
        <v>120</v>
      </c>
      <c r="H10" s="45"/>
      <c r="K10" s="243"/>
      <c r="L10" s="167"/>
      <c r="O10" s="58"/>
      <c r="Q10" s="239" t="s">
        <v>688</v>
      </c>
      <c r="R10" s="53"/>
      <c r="S10" s="54"/>
      <c r="T10" s="46">
        <v>2.5000000000000001E-2</v>
      </c>
    </row>
    <row r="11" spans="2:20" s="42" customFormat="1" x14ac:dyDescent="0.35">
      <c r="B11" s="245" t="s">
        <v>689</v>
      </c>
      <c r="C11" s="45"/>
      <c r="D11" s="45"/>
      <c r="E11" s="45">
        <f t="shared" si="0"/>
        <v>0.1</v>
      </c>
      <c r="F11" s="45">
        <v>40</v>
      </c>
      <c r="G11" s="45">
        <v>40</v>
      </c>
      <c r="H11" s="45"/>
      <c r="K11" s="246"/>
      <c r="O11" s="58"/>
      <c r="Q11" s="247" t="s">
        <v>690</v>
      </c>
      <c r="R11" s="60"/>
      <c r="S11" s="60"/>
      <c r="T11" s="61">
        <v>0.15</v>
      </c>
    </row>
    <row r="12" spans="2:20" s="42" customFormat="1" x14ac:dyDescent="0.35">
      <c r="B12" s="248" t="s">
        <v>691</v>
      </c>
      <c r="C12" s="45"/>
      <c r="D12" s="45">
        <v>0.5</v>
      </c>
      <c r="E12" s="45">
        <f>$T$3+K12*$T$7+L12*$T$8+M12*$T$9+N12*$T$10+O12*$T$11</f>
        <v>0.1</v>
      </c>
      <c r="F12" s="45">
        <v>15</v>
      </c>
      <c r="G12" s="45"/>
      <c r="H12" s="47"/>
      <c r="K12" s="246"/>
      <c r="O12" s="58"/>
      <c r="Q12" s="167"/>
    </row>
    <row r="13" spans="2:20" s="42" customFormat="1" x14ac:dyDescent="0.35">
      <c r="B13" s="245" t="s">
        <v>692</v>
      </c>
      <c r="C13" s="45">
        <v>0.9</v>
      </c>
      <c r="D13" s="45">
        <v>0.95</v>
      </c>
      <c r="E13" s="45">
        <f t="shared" si="0"/>
        <v>0.25</v>
      </c>
      <c r="F13" s="45">
        <v>30</v>
      </c>
      <c r="G13" s="45">
        <v>50</v>
      </c>
      <c r="H13" s="45"/>
      <c r="K13" s="246"/>
      <c r="O13" s="58">
        <v>1</v>
      </c>
    </row>
    <row r="14" spans="2:20" s="42" customFormat="1" x14ac:dyDescent="0.35">
      <c r="B14" s="245" t="s">
        <v>693</v>
      </c>
      <c r="C14" s="45">
        <v>0.9</v>
      </c>
      <c r="D14" s="45">
        <v>0.95</v>
      </c>
      <c r="E14" s="45">
        <f t="shared" si="0"/>
        <v>0.1</v>
      </c>
      <c r="F14" s="45">
        <v>40</v>
      </c>
      <c r="G14" s="45">
        <v>40</v>
      </c>
      <c r="H14" s="45"/>
      <c r="K14" s="246"/>
      <c r="O14" s="58"/>
    </row>
    <row r="15" spans="2:20" s="42" customFormat="1" x14ac:dyDescent="0.35">
      <c r="B15" s="245" t="s">
        <v>694</v>
      </c>
      <c r="C15" s="45"/>
      <c r="D15" s="45">
        <v>0.5</v>
      </c>
      <c r="E15" s="45">
        <f t="shared" si="0"/>
        <v>0.1</v>
      </c>
      <c r="F15" s="45">
        <v>30</v>
      </c>
      <c r="G15" s="45">
        <v>30</v>
      </c>
      <c r="H15" s="45"/>
      <c r="K15" s="246"/>
      <c r="O15" s="58"/>
    </row>
    <row r="16" spans="2:20" s="42" customFormat="1" x14ac:dyDescent="0.35">
      <c r="B16" s="245" t="s">
        <v>695</v>
      </c>
      <c r="C16" s="45">
        <v>0.5</v>
      </c>
      <c r="D16" s="45">
        <v>0.75</v>
      </c>
      <c r="E16" s="45">
        <f t="shared" si="0"/>
        <v>0.1</v>
      </c>
      <c r="F16" s="45">
        <v>30</v>
      </c>
      <c r="G16" s="45">
        <v>30</v>
      </c>
      <c r="H16" s="45"/>
      <c r="K16" s="246"/>
      <c r="O16" s="58"/>
    </row>
    <row r="17" spans="2:15" s="42" customFormat="1" x14ac:dyDescent="0.35">
      <c r="B17" s="245" t="s">
        <v>233</v>
      </c>
      <c r="C17" s="45"/>
      <c r="D17" s="45">
        <v>0.55000000000000004</v>
      </c>
      <c r="E17" s="45">
        <f t="shared" si="0"/>
        <v>0.1</v>
      </c>
      <c r="F17" s="45">
        <v>30</v>
      </c>
      <c r="G17" s="45">
        <v>30</v>
      </c>
      <c r="H17" s="45"/>
      <c r="K17" s="246"/>
      <c r="O17" s="58"/>
    </row>
    <row r="18" spans="2:15" s="42" customFormat="1" x14ac:dyDescent="0.35">
      <c r="B18" s="245" t="s">
        <v>696</v>
      </c>
      <c r="C18" s="45">
        <v>0.9</v>
      </c>
      <c r="D18" s="45">
        <v>0.25</v>
      </c>
      <c r="E18" s="45">
        <f t="shared" si="0"/>
        <v>0.1</v>
      </c>
      <c r="F18" s="45">
        <v>30</v>
      </c>
      <c r="G18" s="45">
        <v>30</v>
      </c>
      <c r="H18" s="45"/>
      <c r="K18" s="246"/>
      <c r="O18" s="58"/>
    </row>
    <row r="19" spans="2:15" s="42" customFormat="1" ht="15" thickBot="1" x14ac:dyDescent="0.4">
      <c r="B19" s="245" t="s">
        <v>697</v>
      </c>
      <c r="C19" s="45">
        <v>0.9</v>
      </c>
      <c r="D19" s="45">
        <v>0.95</v>
      </c>
      <c r="E19" s="45">
        <f t="shared" si="0"/>
        <v>0.125</v>
      </c>
      <c r="F19" s="45">
        <v>30</v>
      </c>
      <c r="G19" s="45">
        <v>40</v>
      </c>
      <c r="H19" s="45"/>
      <c r="K19" s="246"/>
      <c r="N19" s="42">
        <v>1</v>
      </c>
      <c r="O19" s="58"/>
    </row>
    <row r="20" spans="2:15" s="42" customFormat="1" x14ac:dyDescent="0.35">
      <c r="B20" s="245" t="s">
        <v>698</v>
      </c>
      <c r="C20" s="45"/>
      <c r="D20" s="45"/>
      <c r="E20" s="45">
        <f t="shared" si="0"/>
        <v>0.2</v>
      </c>
      <c r="F20" s="45">
        <v>30</v>
      </c>
      <c r="G20" s="45"/>
      <c r="H20" s="47">
        <v>0.9</v>
      </c>
      <c r="I20" s="48">
        <v>2020</v>
      </c>
      <c r="K20" s="246"/>
      <c r="L20" s="42">
        <v>1</v>
      </c>
      <c r="O20" s="58"/>
    </row>
    <row r="21" spans="2:15" s="42" customFormat="1" x14ac:dyDescent="0.35">
      <c r="B21" s="245" t="s">
        <v>699</v>
      </c>
      <c r="C21" s="45"/>
      <c r="D21" s="45"/>
      <c r="E21" s="45">
        <f t="shared" si="0"/>
        <v>0.2</v>
      </c>
      <c r="F21" s="45">
        <v>30</v>
      </c>
      <c r="G21" s="45"/>
      <c r="H21" s="47">
        <v>0.85</v>
      </c>
      <c r="I21" s="49">
        <v>2025</v>
      </c>
      <c r="K21" s="246"/>
      <c r="L21" s="42">
        <v>1</v>
      </c>
      <c r="O21" s="58"/>
    </row>
    <row r="22" spans="2:15" s="42" customFormat="1" x14ac:dyDescent="0.35">
      <c r="B22" s="46" t="s">
        <v>700</v>
      </c>
      <c r="C22" s="45">
        <v>0.9</v>
      </c>
      <c r="D22" s="45">
        <v>0.9</v>
      </c>
      <c r="E22" s="45">
        <f t="shared" si="0"/>
        <v>0.30000000000000004</v>
      </c>
      <c r="F22" s="45">
        <v>30</v>
      </c>
      <c r="G22" s="45"/>
      <c r="H22" s="47">
        <v>0.9</v>
      </c>
      <c r="I22" s="49">
        <v>2025</v>
      </c>
      <c r="K22" s="57"/>
      <c r="L22" s="42">
        <v>1</v>
      </c>
      <c r="M22" s="42">
        <v>1</v>
      </c>
      <c r="O22" s="58"/>
    </row>
    <row r="23" spans="2:15" s="42" customFormat="1" x14ac:dyDescent="0.35">
      <c r="B23" s="248" t="s">
        <v>701</v>
      </c>
      <c r="C23" s="45">
        <v>0.9</v>
      </c>
      <c r="D23" s="45">
        <v>0.9</v>
      </c>
      <c r="E23" s="45">
        <f t="shared" si="0"/>
        <v>0.2</v>
      </c>
      <c r="F23" s="45">
        <v>30</v>
      </c>
      <c r="G23" s="45"/>
      <c r="H23" s="47">
        <v>0.85</v>
      </c>
      <c r="I23" s="49">
        <v>2025</v>
      </c>
      <c r="K23" s="246"/>
      <c r="L23" s="42">
        <v>1</v>
      </c>
      <c r="O23" s="58"/>
    </row>
    <row r="24" spans="2:15" s="42" customFormat="1" x14ac:dyDescent="0.35">
      <c r="B24" s="248" t="s">
        <v>702</v>
      </c>
      <c r="C24" s="45"/>
      <c r="D24" s="45"/>
      <c r="E24" s="45">
        <f t="shared" si="0"/>
        <v>0.2</v>
      </c>
      <c r="F24" s="45">
        <v>30</v>
      </c>
      <c r="G24" s="45"/>
      <c r="H24" s="47"/>
      <c r="I24" s="49">
        <v>2020</v>
      </c>
      <c r="K24" s="246"/>
      <c r="L24" s="42">
        <v>1</v>
      </c>
      <c r="O24" s="58"/>
    </row>
    <row r="25" spans="2:15" s="42" customFormat="1" x14ac:dyDescent="0.35">
      <c r="B25" s="248" t="s">
        <v>703</v>
      </c>
      <c r="C25" s="45"/>
      <c r="D25" s="45"/>
      <c r="E25" s="45">
        <f t="shared" si="0"/>
        <v>0.2</v>
      </c>
      <c r="F25" s="45">
        <v>30</v>
      </c>
      <c r="G25" s="45"/>
      <c r="H25" s="47"/>
      <c r="I25" s="49">
        <v>2025</v>
      </c>
      <c r="K25" s="246"/>
      <c r="L25" s="42">
        <v>1</v>
      </c>
      <c r="O25" s="58"/>
    </row>
    <row r="26" spans="2:15" s="42" customFormat="1" ht="15" thickBot="1" x14ac:dyDescent="0.4">
      <c r="B26" s="248" t="s">
        <v>704</v>
      </c>
      <c r="C26" s="45">
        <v>0.85</v>
      </c>
      <c r="D26" s="45">
        <v>0.85</v>
      </c>
      <c r="E26" s="45">
        <f t="shared" si="0"/>
        <v>0.30000000000000004</v>
      </c>
      <c r="F26" s="45">
        <v>30</v>
      </c>
      <c r="G26" s="45"/>
      <c r="H26" s="47">
        <v>0.85</v>
      </c>
      <c r="I26" s="50">
        <v>2030</v>
      </c>
      <c r="K26" s="246"/>
      <c r="L26" s="42">
        <v>1</v>
      </c>
      <c r="M26" s="42">
        <v>1</v>
      </c>
      <c r="O26" s="58"/>
    </row>
    <row r="27" spans="2:15" s="42" customFormat="1" x14ac:dyDescent="0.35">
      <c r="B27" s="249" t="s">
        <v>705</v>
      </c>
      <c r="C27" s="44"/>
      <c r="D27" s="44"/>
      <c r="E27" s="45">
        <f t="shared" si="0"/>
        <v>0.1</v>
      </c>
      <c r="F27" s="44">
        <v>30</v>
      </c>
      <c r="G27" s="44"/>
      <c r="H27" s="44"/>
      <c r="K27" s="250"/>
      <c r="L27" s="60"/>
      <c r="M27" s="60"/>
      <c r="N27" s="60"/>
      <c r="O27" s="62"/>
    </row>
    <row r="28" spans="2:15" s="42" customFormat="1" x14ac:dyDescent="0.35"/>
    <row r="29" spans="2:15" s="42" customFormat="1" x14ac:dyDescent="0.35">
      <c r="D29" s="43" t="s">
        <v>706</v>
      </c>
      <c r="E29" s="43" t="s">
        <v>707</v>
      </c>
    </row>
    <row r="30" spans="2:15" s="42" customFormat="1" x14ac:dyDescent="0.35">
      <c r="B30" s="251" t="s">
        <v>708</v>
      </c>
      <c r="D30" s="45">
        <v>1.25</v>
      </c>
      <c r="E30" s="45">
        <v>1.1000000000000001</v>
      </c>
    </row>
  </sheetData>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ED1BF-BB13-49E3-82A3-D2C120E220E8}">
  <sheetPr>
    <tabColor theme="8"/>
  </sheetPr>
  <dimension ref="C14:AC29"/>
  <sheetViews>
    <sheetView workbookViewId="0">
      <selection activeCell="F29" sqref="F29"/>
    </sheetView>
  </sheetViews>
  <sheetFormatPr defaultRowHeight="14.5" x14ac:dyDescent="0.35"/>
  <cols>
    <col min="4" max="4" width="30.7265625" customWidth="1"/>
    <col min="5" max="5" width="51.81640625" customWidth="1"/>
    <col min="6" max="6" width="28.54296875" customWidth="1"/>
    <col min="7" max="7" width="20.1796875" customWidth="1"/>
    <col min="8" max="8" width="26.7265625" customWidth="1"/>
    <col min="9" max="9" width="32.7265625" customWidth="1"/>
    <col min="10" max="26" width="21" customWidth="1"/>
  </cols>
  <sheetData>
    <row r="14" spans="3:29" s="204" customFormat="1" ht="43.5" x14ac:dyDescent="0.35">
      <c r="C14" s="204" t="s">
        <v>61</v>
      </c>
      <c r="D14" s="204" t="s">
        <v>709</v>
      </c>
      <c r="E14" s="204" t="s">
        <v>710</v>
      </c>
      <c r="F14" s="204" t="s">
        <v>711</v>
      </c>
      <c r="G14" s="204" t="s">
        <v>712</v>
      </c>
      <c r="H14" s="204" t="s">
        <v>713</v>
      </c>
      <c r="I14" s="204" t="s">
        <v>714</v>
      </c>
      <c r="J14" s="204" t="s">
        <v>715</v>
      </c>
      <c r="K14" s="204" t="s">
        <v>716</v>
      </c>
      <c r="L14" s="204" t="s">
        <v>717</v>
      </c>
      <c r="M14" s="204" t="s">
        <v>718</v>
      </c>
      <c r="N14" s="204" t="s">
        <v>719</v>
      </c>
      <c r="O14" s="204" t="s">
        <v>720</v>
      </c>
      <c r="P14" s="204" t="s">
        <v>721</v>
      </c>
      <c r="Q14" s="204" t="s">
        <v>722</v>
      </c>
      <c r="R14" s="204" t="s">
        <v>723</v>
      </c>
      <c r="S14" s="204" t="s">
        <v>724</v>
      </c>
      <c r="T14" s="204" t="s">
        <v>725</v>
      </c>
      <c r="U14" s="204" t="s">
        <v>726</v>
      </c>
      <c r="V14" s="204" t="s">
        <v>727</v>
      </c>
      <c r="W14" s="204" t="s">
        <v>728</v>
      </c>
      <c r="X14" s="204" t="s">
        <v>729</v>
      </c>
      <c r="Y14" s="204" t="s">
        <v>730</v>
      </c>
      <c r="Z14" s="204" t="s">
        <v>731</v>
      </c>
      <c r="AA14" s="204" t="s">
        <v>732</v>
      </c>
      <c r="AB14" s="204" t="s">
        <v>733</v>
      </c>
      <c r="AC14" s="204" t="s">
        <v>734</v>
      </c>
    </row>
    <row r="15" spans="3:29" x14ac:dyDescent="0.35">
      <c r="C15" t="s">
        <v>735</v>
      </c>
      <c r="D15" t="s">
        <v>736</v>
      </c>
      <c r="E15" t="str">
        <f>NYSERDA_SupplyProcessed[[#This Row],[Technology_Lookup]]&amp;"_"&amp;NYSERDA_SupplyProcessed[[#This Row],[Region]]&amp;"_"&amp;NYSERDA_SupplyProcessed[[#This Row],[CapEx_Lookup]]</f>
        <v>Land-based Wind_NYC_Low Cost</v>
      </c>
      <c r="F15" t="s">
        <v>737</v>
      </c>
      <c r="G15" t="s">
        <v>738</v>
      </c>
      <c r="H15" t="str" cm="1">
        <f t="array" ref="H15">_xlfn.IFS(NYSERDA_SupplyProcessed[[#This Row],[CapEx_Lookup]]="Low Cost","Low Cost",NYSERDA_SupplyProcessed[[#This Row],[CapEx_Lookup]]="High Cost","High Cost",TRUE, "*")</f>
        <v>Low Cost</v>
      </c>
      <c r="I15" s="175">
        <f>SUMIFS(NYSERDA_SupplyCurve_Raw[Available Capacity (MWac)],NYSERDA_SupplyCurve_Raw[Interconnection Zone],$G15,NYSERDA_SupplyCurve_Raw[CapEx Bin],$H15,NYSERDA_SupplyCurve_Raw[Technology Type],$F15)</f>
        <v>0</v>
      </c>
      <c r="J15" s="175" t="str">
        <f>IF($I15&gt;0,SUMIFS(NYSERDA_SupplyCurve_Raw[Total Capex Cost (thousand $)],NYSERDA_SupplyCurve_Raw[Interconnection Zone],$G15,NYSERDA_SupplyCurve_Raw[CapEx Bin],$H15,NYSERDA_SupplyCurve_Raw[Technology Type],$F15)/$I15,"")</f>
        <v/>
      </c>
      <c r="K15" s="175" t="str">
        <f>IF($I15&gt;0,SUMIFS(NYSERDA_SupplyCurve_Raw[Total OpEx Cost (thousand $ / kW- year)],NYSERDA_SupplyCurve_Raw[Interconnection Zone],$G15,NYSERDA_SupplyCurve_Raw[CapEx Bin],$H15,NYSERDA_SupplyCurve_Raw[Technology Type],$F15)/$I15,"")</f>
        <v/>
      </c>
      <c r="L15" s="201" t="str">
        <f>IF($I15&gt;0,SUMIFS(NYSERDA_SupplyCurve_Raw[Avg OpEx x Total Generation],NYSERDA_SupplyCurve_Raw[Interconnection Zone],$G15,NYSERDA_SupplyCurve_Raw[CapEx Bin],$H15,NYSERDA_SupplyCurve_Raw[Technology Type],$F15)/$I15,"")</f>
        <v/>
      </c>
      <c r="M15" s="201" t="str">
        <f ca="1">IFERROR(AVERAGEIFS(INDIRECT("NYSERDA_SupplyCurve_Raw[Resource "&amp;M$14&amp;"]"),
NYSERDA_SupplyCurve_Raw[Interconnection Zone],$G15,NYSERDA_SupplyCurve_Raw[CapEx Bin],$H15,NYSERDA_SupplyCurve_Raw[Technology Type],$F15),"")</f>
        <v/>
      </c>
      <c r="N15" s="201" t="str">
        <f ca="1">IFERROR(AVERAGEIFS(INDIRECT("NYSERDA_SupplyCurve_Raw[Resource "&amp;N$14&amp;"]"),
NYSERDA_SupplyCurve_Raw[Interconnection Zone],$G15,NYSERDA_SupplyCurve_Raw[CapEx Bin],$H15,NYSERDA_SupplyCurve_Raw[Technology Type],$F15),"")</f>
        <v/>
      </c>
      <c r="O15" s="201" t="str">
        <f ca="1">IFERROR(AVERAGEIFS(INDIRECT("NYSERDA_SupplyCurve_Raw[Resource "&amp;O$14&amp;"]"),
NYSERDA_SupplyCurve_Raw[Interconnection Zone],$G15,NYSERDA_SupplyCurve_Raw[CapEx Bin],$H15,NYSERDA_SupplyCurve_Raw[Technology Type],$F15),"")</f>
        <v/>
      </c>
      <c r="P15" s="201" t="str">
        <f ca="1">IFERROR(AVERAGEIFS(INDIRECT("NYSERDA_SupplyCurve_Raw[Resource "&amp;P$14&amp;"]"),
NYSERDA_SupplyCurve_Raw[Interconnection Zone],$G15,NYSERDA_SupplyCurve_Raw[CapEx Bin],$H15,NYSERDA_SupplyCurve_Raw[Technology Type],$F15),"")</f>
        <v/>
      </c>
      <c r="Q15" s="201" t="str">
        <f ca="1">IFERROR(AVERAGEIFS(INDIRECT("NYSERDA_SupplyCurve_Raw[Resource "&amp;Q$14&amp;"]"),
NYSERDA_SupplyCurve_Raw[Interconnection Zone],$G15,NYSERDA_SupplyCurve_Raw[CapEx Bin],$H15,NYSERDA_SupplyCurve_Raw[Technology Type],$F15),"")</f>
        <v/>
      </c>
      <c r="R15" s="201" t="str">
        <f ca="1">IFERROR(AVERAGEIFS(INDIRECT("NYSERDA_SupplyCurve_Raw[Resource "&amp;R$14&amp;"]"),
NYSERDA_SupplyCurve_Raw[Interconnection Zone],$G15,NYSERDA_SupplyCurve_Raw[CapEx Bin],$H15,NYSERDA_SupplyCurve_Raw[Technology Type],$F15),"")</f>
        <v/>
      </c>
      <c r="S15" s="201" t="str">
        <f ca="1">IFERROR(AVERAGEIFS(INDIRECT("NYSERDA_SupplyCurve_Raw[Resource "&amp;S$14&amp;"]"),
NYSERDA_SupplyCurve_Raw[Interconnection Zone],$G15,NYSERDA_SupplyCurve_Raw[CapEx Bin],$H15,NYSERDA_SupplyCurve_Raw[Technology Type],$F15),"")</f>
        <v/>
      </c>
      <c r="T15" s="201" t="str">
        <f ca="1">IFERROR(AVERAGEIFS(INDIRECT("NYSERDA_SupplyCurve_Raw[Resource "&amp;T$14&amp;"]"),
NYSERDA_SupplyCurve_Raw[Interconnection Zone],$G15,NYSERDA_SupplyCurve_Raw[CapEx Bin],$H15,NYSERDA_SupplyCurve_Raw[Technology Type],$F15),"")</f>
        <v/>
      </c>
      <c r="U15" s="201" t="str">
        <f ca="1">IFERROR(AVERAGEIFS(INDIRECT("NYSERDA_SupplyCurve_Raw[Resource "&amp;U$14&amp;"]"),
NYSERDA_SupplyCurve_Raw[Interconnection Zone],$G15,NYSERDA_SupplyCurve_Raw[CapEx Bin],$H15,NYSERDA_SupplyCurve_Raw[Technology Type],$F15),"")</f>
        <v/>
      </c>
      <c r="V15" s="201" t="str">
        <f ca="1">IFERROR(AVERAGEIFS(INDIRECT("NYSERDA_SupplyCurve_Raw[Resource "&amp;V$14&amp;"]"),
NYSERDA_SupplyCurve_Raw[Interconnection Zone],$G15,NYSERDA_SupplyCurve_Raw[CapEx Bin],$H15,NYSERDA_SupplyCurve_Raw[Technology Type],$F15),"")</f>
        <v/>
      </c>
      <c r="W15" s="201" t="str">
        <f ca="1">IFERROR(AVERAGEIFS(INDIRECT("NYSERDA_SupplyCurve_Raw[Resource "&amp;W$14&amp;"]"),
NYSERDA_SupplyCurve_Raw[Interconnection Zone],$G15,NYSERDA_SupplyCurve_Raw[CapEx Bin],$H15,NYSERDA_SupplyCurve_Raw[Technology Type],$F15),"")</f>
        <v/>
      </c>
      <c r="X15" s="201" t="str">
        <f ca="1">IFERROR(AVERAGEIFS(INDIRECT("NYSERDA_SupplyCurve_Raw[Resource "&amp;X$14&amp;"]"),
NYSERDA_SupplyCurve_Raw[Interconnection Zone],$G15,NYSERDA_SupplyCurve_Raw[CapEx Bin],$H15,NYSERDA_SupplyCurve_Raw[Technology Type],$F15),"")</f>
        <v/>
      </c>
      <c r="Y15" s="201" t="str">
        <f ca="1">IFERROR(AVERAGEIFS(INDIRECT("NYSERDA_SupplyCurve_Raw[Resource "&amp;Y$14&amp;"]"),
NYSERDA_SupplyCurve_Raw[Interconnection Zone],$G15,NYSERDA_SupplyCurve_Raw[CapEx Bin],$H15,NYSERDA_SupplyCurve_Raw[Technology Type],$F15),"")</f>
        <v/>
      </c>
      <c r="Z15" s="201" t="str">
        <f ca="1">IFERROR(AVERAGEIFS(INDIRECT("NYSERDA_SupplyCurve_Raw[Resource "&amp;Z$14&amp;"]"),
NYSERDA_SupplyCurve_Raw[Interconnection Zone],$G15,NYSERDA_SupplyCurve_Raw[CapEx Bin],$H15,NYSERDA_SupplyCurve_Raw[Technology Type],$F15),"")</f>
        <v/>
      </c>
      <c r="AA15" s="201" t="str">
        <f ca="1">IFERROR(AVERAGEIFS(INDIRECT("NYSERDA_SupplyCurve_Raw[Resource "&amp;AA$14&amp;"]"),
NYSERDA_SupplyCurve_Raw[Interconnection Zone],$G15,NYSERDA_SupplyCurve_Raw[CapEx Bin],$H15,NYSERDA_SupplyCurve_Raw[Technology Type],$F15),"")</f>
        <v/>
      </c>
      <c r="AB15" s="201" t="str">
        <f ca="1">IFERROR(AVERAGEIFS(INDIRECT("NYSERDA_SupplyCurve_Raw[Resource "&amp;AB$14&amp;"]"),
NYSERDA_SupplyCurve_Raw[Interconnection Zone],$G15,NYSERDA_SupplyCurve_Raw[CapEx Bin],$H15,NYSERDA_SupplyCurve_Raw[Technology Type],$F15),"")</f>
        <v/>
      </c>
      <c r="AC15" s="201" t="str">
        <f ca="1">IFERROR(AVERAGEIFS(INDIRECT("NYSERDA_SupplyCurve_Raw[Resource "&amp;AC$14&amp;"]"),
NYSERDA_SupplyCurve_Raw[Interconnection Zone],$G15,NYSERDA_SupplyCurve_Raw[CapEx Bin],$H15,NYSERDA_SupplyCurve_Raw[Technology Type],$F15),"")</f>
        <v/>
      </c>
    </row>
    <row r="16" spans="3:29" x14ac:dyDescent="0.35">
      <c r="C16" t="s">
        <v>739</v>
      </c>
      <c r="D16" t="s">
        <v>736</v>
      </c>
      <c r="E16" t="str">
        <f>NYSERDA_SupplyProcessed[[#This Row],[Technology_Lookup]]&amp;"_"&amp;NYSERDA_SupplyProcessed[[#This Row],[Region]]&amp;"_"&amp;NYSERDA_SupplyProcessed[[#This Row],[CapEx_Lookup]]</f>
        <v>Land-based Wind_Rest of State_Low Cost</v>
      </c>
      <c r="F16" t="s">
        <v>737</v>
      </c>
      <c r="G16" t="s">
        <v>740</v>
      </c>
      <c r="H16" t="s">
        <v>736</v>
      </c>
      <c r="I16" s="175">
        <f>SUMIFS(NYSERDA_SupplyCurve_Raw[Available Capacity (MWac)],NYSERDA_SupplyCurve_Raw[Interconnection Zone],$G16,NYSERDA_SupplyCurve_Raw[CapEx Bin],$H16,NYSERDA_SupplyCurve_Raw[Technology Type],$F16)</f>
        <v>11060.267655367154</v>
      </c>
      <c r="J16" s="175">
        <f>IF($I16&gt;0,SUMIFS(NYSERDA_SupplyCurve_Raw[Total Capex Cost (thousand $)],NYSERDA_SupplyCurve_Raw[Interconnection Zone],$G16,NYSERDA_SupplyCurve_Raw[CapEx Bin],$H16,NYSERDA_SupplyCurve_Raw[Technology Type],$F16)/$I16,"")</f>
        <v>2554.0769437123236</v>
      </c>
      <c r="K16" s="203">
        <f>IF($I16&gt;0,SUMIFS(NYSERDA_SupplyCurve_Raw[Total OpEx Cost (thousand $ / kW- year)],NYSERDA_SupplyCurve_Raw[Interconnection Zone],$G16,NYSERDA_SupplyCurve_Raw[CapEx Bin],$H16,NYSERDA_SupplyCurve_Raw[Technology Type],$F16)/$I16,"")</f>
        <v>56.880681862237921</v>
      </c>
      <c r="L16" s="201">
        <f>IF($I16&gt;0,SUMIFS(NYSERDA_SupplyCurve_Raw[Avg OpEx x Total Generation],NYSERDA_SupplyCurve_Raw[Interconnection Zone],$G16,NYSERDA_SupplyCurve_Raw[CapEx Bin],$H16,NYSERDA_SupplyCurve_Raw[Technology Type],$F16)/$I16,"")</f>
        <v>0.35832433185397178</v>
      </c>
      <c r="M16" s="201">
        <f ca="1">IFERROR(AVERAGEIFS(INDIRECT("NYSERDA_SupplyCurve_Raw[Resource "&amp;M$14&amp;"]"),
NYSERDA_SupplyCurve_Raw[Interconnection Zone],$G16,NYSERDA_SupplyCurve_Raw[CapEx Bin],$H16,NYSERDA_SupplyCurve_Raw[Technology Type],$F16),"")</f>
        <v>1</v>
      </c>
      <c r="N16" s="201">
        <f ca="1">IFERROR(AVERAGEIFS(INDIRECT("NYSERDA_SupplyCurve_Raw[Resource "&amp;N$14&amp;"]"),
NYSERDA_SupplyCurve_Raw[Interconnection Zone],$G16,NYSERDA_SupplyCurve_Raw[CapEx Bin],$H16,NYSERDA_SupplyCurve_Raw[Technology Type],$F16),"")</f>
        <v>1.0230000000000004</v>
      </c>
      <c r="O16" s="201">
        <f ca="1">IFERROR(AVERAGEIFS(INDIRECT("NYSERDA_SupplyCurve_Raw[Resource "&amp;O$14&amp;"]"),
NYSERDA_SupplyCurve_Raw[Interconnection Zone],$G16,NYSERDA_SupplyCurve_Raw[CapEx Bin],$H16,NYSERDA_SupplyCurve_Raw[Technology Type],$F16),"")</f>
        <v>1.0465289999999996</v>
      </c>
      <c r="P16" s="201">
        <f ca="1">IFERROR(AVERAGEIFS(INDIRECT("NYSERDA_SupplyCurve_Raw[Resource "&amp;P$14&amp;"]"),
NYSERDA_SupplyCurve_Raw[Interconnection Zone],$G16,NYSERDA_SupplyCurve_Raw[CapEx Bin],$H16,NYSERDA_SupplyCurve_Raw[Technology Type],$F16),"")</f>
        <v>1.0598020575021103</v>
      </c>
      <c r="Q16" s="201">
        <f ca="1">IFERROR(AVERAGEIFS(INDIRECT("NYSERDA_SupplyCurve_Raw[Resource "&amp;Q$14&amp;"]"),
NYSERDA_SupplyCurve_Raw[Interconnection Zone],$G16,NYSERDA_SupplyCurve_Raw[CapEx Bin],$H16,NYSERDA_SupplyCurve_Raw[Technology Type],$F16),"")</f>
        <v>1.0736988159192504</v>
      </c>
      <c r="R16" s="201">
        <f ca="1">IFERROR(AVERAGEIFS(INDIRECT("NYSERDA_SupplyCurve_Raw[Resource "&amp;R$14&amp;"]"),
NYSERDA_SupplyCurve_Raw[Interconnection Zone],$G16,NYSERDA_SupplyCurve_Raw[CapEx Bin],$H16,NYSERDA_SupplyCurve_Raw[Technology Type],$F16),"")</f>
        <v>1.0882033073746555</v>
      </c>
      <c r="S16" s="201">
        <f ca="1">IFERROR(AVERAGEIFS(INDIRECT("NYSERDA_SupplyCurve_Raw[Resource "&amp;S$14&amp;"]"),
NYSERDA_SupplyCurve_Raw[Interconnection Zone],$G16,NYSERDA_SupplyCurve_Raw[CapEx Bin],$H16,NYSERDA_SupplyCurve_Raw[Technology Type],$F16),"")</f>
        <v>1.1033026104404513</v>
      </c>
      <c r="T16" s="201">
        <f ca="1">IFERROR(AVERAGEIFS(INDIRECT("NYSERDA_SupplyCurve_Raw[Resource "&amp;T$14&amp;"]"),
NYSERDA_SupplyCurve_Raw[Interconnection Zone],$G16,NYSERDA_SupplyCurve_Raw[CapEx Bin],$H16,NYSERDA_SupplyCurve_Raw[Technology Type],$F16),"")</f>
        <v>1.1189864388040096</v>
      </c>
      <c r="U16" s="201">
        <f ca="1">IFERROR(AVERAGEIFS(INDIRECT("NYSERDA_SupplyCurve_Raw[Resource "&amp;U$14&amp;"]"),
NYSERDA_SupplyCurve_Raw[Interconnection Zone],$G16,NYSERDA_SupplyCurve_Raw[CapEx Bin],$H16,NYSERDA_SupplyCurve_Raw[Technology Type],$F16),"")</f>
        <v>1.1352467977755532</v>
      </c>
      <c r="V16" s="201">
        <f ca="1">IFERROR(AVERAGEIFS(INDIRECT("NYSERDA_SupplyCurve_Raw[Resource "&amp;V$14&amp;"]"),
NYSERDA_SupplyCurve_Raw[Interconnection Zone],$G16,NYSERDA_SupplyCurve_Raw[CapEx Bin],$H16,NYSERDA_SupplyCurve_Raw[Technology Type],$F16),"")</f>
        <v>1.1520776967604647</v>
      </c>
      <c r="W16" s="201">
        <f ca="1">IFERROR(AVERAGEIFS(INDIRECT("NYSERDA_SupplyCurve_Raw[Resource "&amp;W$14&amp;"]"),
NYSERDA_SupplyCurve_Raw[Interconnection Zone],$G16,NYSERDA_SupplyCurve_Raw[CapEx Bin],$H16,NYSERDA_SupplyCurve_Raw[Technology Type],$F16),"")</f>
        <v>1.1694749079306721</v>
      </c>
      <c r="X16" s="201">
        <f ca="1">IFERROR(AVERAGEIFS(INDIRECT("NYSERDA_SupplyCurve_Raw[Resource "&amp;X$14&amp;"]"),
NYSERDA_SupplyCurve_Raw[Interconnection Zone],$G16,NYSERDA_SupplyCurve_Raw[CapEx Bin],$H16,NYSERDA_SupplyCurve_Raw[Technology Type],$F16),"")</f>
        <v>1.1874357630816732</v>
      </c>
      <c r="Y16" s="201">
        <f ca="1">IFERROR(AVERAGEIFS(INDIRECT("NYSERDA_SupplyCurve_Raw[Resource "&amp;Y$14&amp;"]"),
NYSERDA_SupplyCurve_Raw[Interconnection Zone],$G16,NYSERDA_SupplyCurve_Raw[CapEx Bin],$H16,NYSERDA_SupplyCurve_Raw[Technology Type],$F16),"")</f>
        <v>1.2059589821346133</v>
      </c>
      <c r="Z16" s="201">
        <f ca="1">IFERROR(AVERAGEIFS(INDIRECT("NYSERDA_SupplyCurve_Raw[Resource "&amp;Z$14&amp;"]"),
NYSERDA_SupplyCurve_Raw[Interconnection Zone],$G16,NYSERDA_SupplyCurve_Raw[CapEx Bin],$H16,NYSERDA_SupplyCurve_Raw[Technology Type],$F16),"")</f>
        <v>1.2250445279429274</v>
      </c>
      <c r="AA16" s="201">
        <f ca="1">IFERROR(AVERAGEIFS(INDIRECT("NYSERDA_SupplyCurve_Raw[Resource "&amp;AA$14&amp;"]"),
NYSERDA_SupplyCurve_Raw[Interconnection Zone],$G16,NYSERDA_SupplyCurve_Raw[CapEx Bin],$H16,NYSERDA_SupplyCurve_Raw[Technology Type],$F16),"")</f>
        <v>1.244693483032663</v>
      </c>
      <c r="AB16" s="201">
        <f ca="1">IFERROR(AVERAGEIFS(INDIRECT("NYSERDA_SupplyCurve_Raw[Resource "&amp;AB$14&amp;"]"),
NYSERDA_SupplyCurve_Raw[Interconnection Zone],$G16,NYSERDA_SupplyCurve_Raw[CapEx Bin],$H16,NYSERDA_SupplyCurve_Raw[Technology Type],$F16),"")</f>
        <v>1.2649079446978324</v>
      </c>
      <c r="AC16" s="201">
        <f ca="1">IFERROR(AVERAGEIFS(INDIRECT("NYSERDA_SupplyCurve_Raw[Resource "&amp;AC$14&amp;"]"),
NYSERDA_SupplyCurve_Raw[Interconnection Zone],$G16,NYSERDA_SupplyCurve_Raw[CapEx Bin],$H16,NYSERDA_SupplyCurve_Raw[Technology Type],$F16),"")</f>
        <v>1.2856909355124986</v>
      </c>
    </row>
    <row r="17" spans="3:29" x14ac:dyDescent="0.35">
      <c r="C17" t="s">
        <v>739</v>
      </c>
      <c r="D17" t="s">
        <v>741</v>
      </c>
      <c r="E17" t="str">
        <f>NYSERDA_SupplyProcessed[[#This Row],[Technology_Lookup]]&amp;"_"&amp;NYSERDA_SupplyProcessed[[#This Row],[Region]]&amp;"_"&amp;NYSERDA_SupplyProcessed[[#This Row],[CapEx_Lookup]]</f>
        <v>Land-based Wind_Rest of State_All</v>
      </c>
      <c r="F17" t="s">
        <v>737</v>
      </c>
      <c r="G17" t="s">
        <v>740</v>
      </c>
      <c r="H17" t="s">
        <v>555</v>
      </c>
      <c r="I17" s="175">
        <f>SUMIFS(NYSERDA_SupplyCurve_Raw[Available Capacity (MWac)],NYSERDA_SupplyCurve_Raw[Interconnection Zone],$G17,NYSERDA_SupplyCurve_Raw[CapEx Bin],$H17,NYSERDA_SupplyCurve_Raw[Technology Type],$F17)</f>
        <v>11939.493555523764</v>
      </c>
      <c r="J17" s="175">
        <f>IF($I17&gt;0,SUMIFS(NYSERDA_SupplyCurve_Raw[Total Capex Cost (thousand $)],NYSERDA_SupplyCurve_Raw[Interconnection Zone],$G17,NYSERDA_SupplyCurve_Raw[CapEx Bin],$H17,NYSERDA_SupplyCurve_Raw[Technology Type],$F17)/$I17,"")</f>
        <v>2586.8262958766472</v>
      </c>
      <c r="K17" s="203">
        <f>IF($I17&gt;0,SUMIFS(NYSERDA_SupplyCurve_Raw[Total OpEx Cost (thousand $ / kW- year)],NYSERDA_SupplyCurve_Raw[Interconnection Zone],$G17,NYSERDA_SupplyCurve_Raw[CapEx Bin],$H17,NYSERDA_SupplyCurve_Raw[Technology Type],$F17)/$I17,"")</f>
        <v>56.900569137868061</v>
      </c>
      <c r="L17" s="201">
        <f>IF($I17&gt;0,SUMIFS(NYSERDA_SupplyCurve_Raw[Avg OpEx x Total Generation],NYSERDA_SupplyCurve_Raw[Interconnection Zone],$G17,NYSERDA_SupplyCurve_Raw[CapEx Bin],$H17,NYSERDA_SupplyCurve_Raw[Technology Type],$F17)/$I17,"")</f>
        <v>0.35940148750963719</v>
      </c>
      <c r="M17" s="201">
        <f ca="1">IFERROR(AVERAGEIFS(INDIRECT("NYSERDA_SupplyCurve_Raw[Resource "&amp;M$14&amp;"]"),
NYSERDA_SupplyCurve_Raw[Interconnection Zone],$G17,NYSERDA_SupplyCurve_Raw[CapEx Bin],$H17,NYSERDA_SupplyCurve_Raw[Technology Type],$F17),"")</f>
        <v>1</v>
      </c>
      <c r="N17" s="201">
        <f ca="1">IFERROR(AVERAGEIFS(INDIRECT("NYSERDA_SupplyCurve_Raw[Resource "&amp;N$14&amp;"]"),
NYSERDA_SupplyCurve_Raw[Interconnection Zone],$G17,NYSERDA_SupplyCurve_Raw[CapEx Bin],$H17,NYSERDA_SupplyCurve_Raw[Technology Type],$F17),"")</f>
        <v>1.0230000000000006</v>
      </c>
      <c r="O17" s="201">
        <f ca="1">IFERROR(AVERAGEIFS(INDIRECT("NYSERDA_SupplyCurve_Raw[Resource "&amp;O$14&amp;"]"),
NYSERDA_SupplyCurve_Raw[Interconnection Zone],$G17,NYSERDA_SupplyCurve_Raw[CapEx Bin],$H17,NYSERDA_SupplyCurve_Raw[Technology Type],$F17),"")</f>
        <v>1.0465289999999996</v>
      </c>
      <c r="P17" s="201">
        <f ca="1">IFERROR(AVERAGEIFS(INDIRECT("NYSERDA_SupplyCurve_Raw[Resource "&amp;P$14&amp;"]"),
NYSERDA_SupplyCurve_Raw[Interconnection Zone],$G17,NYSERDA_SupplyCurve_Raw[CapEx Bin],$H17,NYSERDA_SupplyCurve_Raw[Technology Type],$F17),"")</f>
        <v>1.0598020575021105</v>
      </c>
      <c r="Q17" s="201">
        <f ca="1">IFERROR(AVERAGEIFS(INDIRECT("NYSERDA_SupplyCurve_Raw[Resource "&amp;Q$14&amp;"]"),
NYSERDA_SupplyCurve_Raw[Interconnection Zone],$G17,NYSERDA_SupplyCurve_Raw[CapEx Bin],$H17,NYSERDA_SupplyCurve_Raw[Technology Type],$F17),"")</f>
        <v>1.0736988159192504</v>
      </c>
      <c r="R17" s="201">
        <f ca="1">IFERROR(AVERAGEIFS(INDIRECT("NYSERDA_SupplyCurve_Raw[Resource "&amp;R$14&amp;"]"),
NYSERDA_SupplyCurve_Raw[Interconnection Zone],$G17,NYSERDA_SupplyCurve_Raw[CapEx Bin],$H17,NYSERDA_SupplyCurve_Raw[Technology Type],$F17),"")</f>
        <v>1.0882033073746555</v>
      </c>
      <c r="S17" s="201">
        <f ca="1">IFERROR(AVERAGEIFS(INDIRECT("NYSERDA_SupplyCurve_Raw[Resource "&amp;S$14&amp;"]"),
NYSERDA_SupplyCurve_Raw[Interconnection Zone],$G17,NYSERDA_SupplyCurve_Raw[CapEx Bin],$H17,NYSERDA_SupplyCurve_Raw[Technology Type],$F17),"")</f>
        <v>1.1033026104404513</v>
      </c>
      <c r="T17" s="201">
        <f ca="1">IFERROR(AVERAGEIFS(INDIRECT("NYSERDA_SupplyCurve_Raw[Resource "&amp;T$14&amp;"]"),
NYSERDA_SupplyCurve_Raw[Interconnection Zone],$G17,NYSERDA_SupplyCurve_Raw[CapEx Bin],$H17,NYSERDA_SupplyCurve_Raw[Technology Type],$F17),"")</f>
        <v>1.1189864388040092</v>
      </c>
      <c r="U17" s="201">
        <f ca="1">IFERROR(AVERAGEIFS(INDIRECT("NYSERDA_SupplyCurve_Raw[Resource "&amp;U$14&amp;"]"),
NYSERDA_SupplyCurve_Raw[Interconnection Zone],$G17,NYSERDA_SupplyCurve_Raw[CapEx Bin],$H17,NYSERDA_SupplyCurve_Raw[Technology Type],$F17),"")</f>
        <v>1.1352467977755527</v>
      </c>
      <c r="V17" s="201">
        <f ca="1">IFERROR(AVERAGEIFS(INDIRECT("NYSERDA_SupplyCurve_Raw[Resource "&amp;V$14&amp;"]"),
NYSERDA_SupplyCurve_Raw[Interconnection Zone],$G17,NYSERDA_SupplyCurve_Raw[CapEx Bin],$H17,NYSERDA_SupplyCurve_Raw[Technology Type],$F17),"")</f>
        <v>1.1520776967604647</v>
      </c>
      <c r="W17" s="201">
        <f ca="1">IFERROR(AVERAGEIFS(INDIRECT("NYSERDA_SupplyCurve_Raw[Resource "&amp;W$14&amp;"]"),
NYSERDA_SupplyCurve_Raw[Interconnection Zone],$G17,NYSERDA_SupplyCurve_Raw[CapEx Bin],$H17,NYSERDA_SupplyCurve_Raw[Technology Type],$F17),"")</f>
        <v>1.1694749079306717</v>
      </c>
      <c r="X17" s="201">
        <f ca="1">IFERROR(AVERAGEIFS(INDIRECT("NYSERDA_SupplyCurve_Raw[Resource "&amp;X$14&amp;"]"),
NYSERDA_SupplyCurve_Raw[Interconnection Zone],$G17,NYSERDA_SupplyCurve_Raw[CapEx Bin],$H17,NYSERDA_SupplyCurve_Raw[Technology Type],$F17),"")</f>
        <v>1.187435763081673</v>
      </c>
      <c r="Y17" s="201">
        <f ca="1">IFERROR(AVERAGEIFS(INDIRECT("NYSERDA_SupplyCurve_Raw[Resource "&amp;Y$14&amp;"]"),
NYSERDA_SupplyCurve_Raw[Interconnection Zone],$G17,NYSERDA_SupplyCurve_Raw[CapEx Bin],$H17,NYSERDA_SupplyCurve_Raw[Technology Type],$F17),"")</f>
        <v>1.2059589821346131</v>
      </c>
      <c r="Z17" s="201">
        <f ca="1">IFERROR(AVERAGEIFS(INDIRECT("NYSERDA_SupplyCurve_Raw[Resource "&amp;Z$14&amp;"]"),
NYSERDA_SupplyCurve_Raw[Interconnection Zone],$G17,NYSERDA_SupplyCurve_Raw[CapEx Bin],$H17,NYSERDA_SupplyCurve_Raw[Technology Type],$F17),"")</f>
        <v>1.2250445279429274</v>
      </c>
      <c r="AA17" s="201">
        <f ca="1">IFERROR(AVERAGEIFS(INDIRECT("NYSERDA_SupplyCurve_Raw[Resource "&amp;AA$14&amp;"]"),
NYSERDA_SupplyCurve_Raw[Interconnection Zone],$G17,NYSERDA_SupplyCurve_Raw[CapEx Bin],$H17,NYSERDA_SupplyCurve_Raw[Technology Type],$F17),"")</f>
        <v>1.244693483032663</v>
      </c>
      <c r="AB17" s="201">
        <f ca="1">IFERROR(AVERAGEIFS(INDIRECT("NYSERDA_SupplyCurve_Raw[Resource "&amp;AB$14&amp;"]"),
NYSERDA_SupplyCurve_Raw[Interconnection Zone],$G17,NYSERDA_SupplyCurve_Raw[CapEx Bin],$H17,NYSERDA_SupplyCurve_Raw[Technology Type],$F17),"")</f>
        <v>1.2649079446978329</v>
      </c>
      <c r="AC17" s="201">
        <f ca="1">IFERROR(AVERAGEIFS(INDIRECT("NYSERDA_SupplyCurve_Raw[Resource "&amp;AC$14&amp;"]"),
NYSERDA_SupplyCurve_Raw[Interconnection Zone],$G17,NYSERDA_SupplyCurve_Raw[CapEx Bin],$H17,NYSERDA_SupplyCurve_Raw[Technology Type],$F17),"")</f>
        <v>1.2856909355124988</v>
      </c>
    </row>
    <row r="18" spans="3:29" x14ac:dyDescent="0.35">
      <c r="C18" t="s">
        <v>735</v>
      </c>
      <c r="D18" t="s">
        <v>742</v>
      </c>
      <c r="E18" t="str">
        <f>NYSERDA_SupplyProcessed[[#This Row],[Technology_Lookup]]&amp;"_"&amp;NYSERDA_SupplyProcessed[[#This Row],[Region]]&amp;"_"&amp;NYSERDA_SupplyProcessed[[#This Row],[CapEx_Lookup]]</f>
        <v>Land-based Wind_NYC_High Cost</v>
      </c>
      <c r="F18" t="s">
        <v>737</v>
      </c>
      <c r="G18" t="s">
        <v>738</v>
      </c>
      <c r="H18" t="s">
        <v>742</v>
      </c>
      <c r="I18" s="175">
        <f>SUMIFS(NYSERDA_SupplyCurve_Raw[Available Capacity (MWac)],NYSERDA_SupplyCurve_Raw[Interconnection Zone],$G18,NYSERDA_SupplyCurve_Raw[CapEx Bin],$H18,NYSERDA_SupplyCurve_Raw[Technology Type],$F18)</f>
        <v>0</v>
      </c>
      <c r="J18" s="175" t="str">
        <f>IF($I18&gt;0,SUMIFS(NYSERDA_SupplyCurve_Raw[Total Capex Cost (thousand $)],NYSERDA_SupplyCurve_Raw[Interconnection Zone],$G18,NYSERDA_SupplyCurve_Raw[CapEx Bin],$H18,NYSERDA_SupplyCurve_Raw[Technology Type],$F18)/$I18,"")</f>
        <v/>
      </c>
      <c r="K18" s="203" t="str">
        <f>IF($I18&gt;0,SUMIFS(NYSERDA_SupplyCurve_Raw[Total OpEx Cost (thousand $ / kW- year)],NYSERDA_SupplyCurve_Raw[Interconnection Zone],$G18,NYSERDA_SupplyCurve_Raw[CapEx Bin],$H18,NYSERDA_SupplyCurve_Raw[Technology Type],$F18)/$I18,"")</f>
        <v/>
      </c>
      <c r="L18" s="201" t="str">
        <f>IF($I18&gt;0,SUMIFS(NYSERDA_SupplyCurve_Raw[Avg OpEx x Total Generation],NYSERDA_SupplyCurve_Raw[Interconnection Zone],$G18,NYSERDA_SupplyCurve_Raw[CapEx Bin],$H18,NYSERDA_SupplyCurve_Raw[Technology Type],$F18)/$I18,"")</f>
        <v/>
      </c>
      <c r="M18" s="201" t="str">
        <f ca="1">IFERROR(AVERAGEIFS(INDIRECT("NYSERDA_SupplyCurve_Raw[Resource "&amp;M$14&amp;"]"),
NYSERDA_SupplyCurve_Raw[Interconnection Zone],$G18,NYSERDA_SupplyCurve_Raw[CapEx Bin],$H18,NYSERDA_SupplyCurve_Raw[Technology Type],$F18),"")</f>
        <v/>
      </c>
      <c r="N18" s="201" t="str">
        <f ca="1">IFERROR(AVERAGEIFS(INDIRECT("NYSERDA_SupplyCurve_Raw[Resource "&amp;N$14&amp;"]"),
NYSERDA_SupplyCurve_Raw[Interconnection Zone],$G18,NYSERDA_SupplyCurve_Raw[CapEx Bin],$H18,NYSERDA_SupplyCurve_Raw[Technology Type],$F18),"")</f>
        <v/>
      </c>
      <c r="O18" s="201" t="str">
        <f ca="1">IFERROR(AVERAGEIFS(INDIRECT("NYSERDA_SupplyCurve_Raw[Resource "&amp;O$14&amp;"]"),
NYSERDA_SupplyCurve_Raw[Interconnection Zone],$G18,NYSERDA_SupplyCurve_Raw[CapEx Bin],$H18,NYSERDA_SupplyCurve_Raw[Technology Type],$F18),"")</f>
        <v/>
      </c>
      <c r="P18" s="201" t="str">
        <f ca="1">IFERROR(AVERAGEIFS(INDIRECT("NYSERDA_SupplyCurve_Raw[Resource "&amp;P$14&amp;"]"),
NYSERDA_SupplyCurve_Raw[Interconnection Zone],$G18,NYSERDA_SupplyCurve_Raw[CapEx Bin],$H18,NYSERDA_SupplyCurve_Raw[Technology Type],$F18),"")</f>
        <v/>
      </c>
      <c r="Q18" s="201" t="str">
        <f ca="1">IFERROR(AVERAGEIFS(INDIRECT("NYSERDA_SupplyCurve_Raw[Resource "&amp;Q$14&amp;"]"),
NYSERDA_SupplyCurve_Raw[Interconnection Zone],$G18,NYSERDA_SupplyCurve_Raw[CapEx Bin],$H18,NYSERDA_SupplyCurve_Raw[Technology Type],$F18),"")</f>
        <v/>
      </c>
      <c r="R18" s="201" t="str">
        <f ca="1">IFERROR(AVERAGEIFS(INDIRECT("NYSERDA_SupplyCurve_Raw[Resource "&amp;R$14&amp;"]"),
NYSERDA_SupplyCurve_Raw[Interconnection Zone],$G18,NYSERDA_SupplyCurve_Raw[CapEx Bin],$H18,NYSERDA_SupplyCurve_Raw[Technology Type],$F18),"")</f>
        <v/>
      </c>
      <c r="S18" s="201" t="str">
        <f ca="1">IFERROR(AVERAGEIFS(INDIRECT("NYSERDA_SupplyCurve_Raw[Resource "&amp;S$14&amp;"]"),
NYSERDA_SupplyCurve_Raw[Interconnection Zone],$G18,NYSERDA_SupplyCurve_Raw[CapEx Bin],$H18,NYSERDA_SupplyCurve_Raw[Technology Type],$F18),"")</f>
        <v/>
      </c>
      <c r="T18" s="201" t="str">
        <f ca="1">IFERROR(AVERAGEIFS(INDIRECT("NYSERDA_SupplyCurve_Raw[Resource "&amp;T$14&amp;"]"),
NYSERDA_SupplyCurve_Raw[Interconnection Zone],$G18,NYSERDA_SupplyCurve_Raw[CapEx Bin],$H18,NYSERDA_SupplyCurve_Raw[Technology Type],$F18),"")</f>
        <v/>
      </c>
      <c r="U18" s="201" t="str">
        <f ca="1">IFERROR(AVERAGEIFS(INDIRECT("NYSERDA_SupplyCurve_Raw[Resource "&amp;U$14&amp;"]"),
NYSERDA_SupplyCurve_Raw[Interconnection Zone],$G18,NYSERDA_SupplyCurve_Raw[CapEx Bin],$H18,NYSERDA_SupplyCurve_Raw[Technology Type],$F18),"")</f>
        <v/>
      </c>
      <c r="V18" s="201" t="str">
        <f ca="1">IFERROR(AVERAGEIFS(INDIRECT("NYSERDA_SupplyCurve_Raw[Resource "&amp;V$14&amp;"]"),
NYSERDA_SupplyCurve_Raw[Interconnection Zone],$G18,NYSERDA_SupplyCurve_Raw[CapEx Bin],$H18,NYSERDA_SupplyCurve_Raw[Technology Type],$F18),"")</f>
        <v/>
      </c>
      <c r="W18" s="201" t="str">
        <f ca="1">IFERROR(AVERAGEIFS(INDIRECT("NYSERDA_SupplyCurve_Raw[Resource "&amp;W$14&amp;"]"),
NYSERDA_SupplyCurve_Raw[Interconnection Zone],$G18,NYSERDA_SupplyCurve_Raw[CapEx Bin],$H18,NYSERDA_SupplyCurve_Raw[Technology Type],$F18),"")</f>
        <v/>
      </c>
      <c r="X18" s="201" t="str">
        <f ca="1">IFERROR(AVERAGEIFS(INDIRECT("NYSERDA_SupplyCurve_Raw[Resource "&amp;X$14&amp;"]"),
NYSERDA_SupplyCurve_Raw[Interconnection Zone],$G18,NYSERDA_SupplyCurve_Raw[CapEx Bin],$H18,NYSERDA_SupplyCurve_Raw[Technology Type],$F18),"")</f>
        <v/>
      </c>
      <c r="Y18" s="201" t="str">
        <f ca="1">IFERROR(AVERAGEIFS(INDIRECT("NYSERDA_SupplyCurve_Raw[Resource "&amp;Y$14&amp;"]"),
NYSERDA_SupplyCurve_Raw[Interconnection Zone],$G18,NYSERDA_SupplyCurve_Raw[CapEx Bin],$H18,NYSERDA_SupplyCurve_Raw[Technology Type],$F18),"")</f>
        <v/>
      </c>
      <c r="Z18" s="201" t="str">
        <f ca="1">IFERROR(AVERAGEIFS(INDIRECT("NYSERDA_SupplyCurve_Raw[Resource "&amp;Z$14&amp;"]"),
NYSERDA_SupplyCurve_Raw[Interconnection Zone],$G18,NYSERDA_SupplyCurve_Raw[CapEx Bin],$H18,NYSERDA_SupplyCurve_Raw[Technology Type],$F18),"")</f>
        <v/>
      </c>
      <c r="AA18" s="201" t="str">
        <f ca="1">IFERROR(AVERAGEIFS(INDIRECT("NYSERDA_SupplyCurve_Raw[Resource "&amp;AA$14&amp;"]"),
NYSERDA_SupplyCurve_Raw[Interconnection Zone],$G18,NYSERDA_SupplyCurve_Raw[CapEx Bin],$H18,NYSERDA_SupplyCurve_Raw[Technology Type],$F18),"")</f>
        <v/>
      </c>
      <c r="AB18" s="201" t="str">
        <f ca="1">IFERROR(AVERAGEIFS(INDIRECT("NYSERDA_SupplyCurve_Raw[Resource "&amp;AB$14&amp;"]"),
NYSERDA_SupplyCurve_Raw[Interconnection Zone],$G18,NYSERDA_SupplyCurve_Raw[CapEx Bin],$H18,NYSERDA_SupplyCurve_Raw[Technology Type],$F18),"")</f>
        <v/>
      </c>
      <c r="AC18" s="201" t="str">
        <f ca="1">IFERROR(AVERAGEIFS(INDIRECT("NYSERDA_SupplyCurve_Raw[Resource "&amp;AC$14&amp;"]"),
NYSERDA_SupplyCurve_Raw[Interconnection Zone],$G18,NYSERDA_SupplyCurve_Raw[CapEx Bin],$H18,NYSERDA_SupplyCurve_Raw[Technology Type],$F18),"")</f>
        <v/>
      </c>
    </row>
    <row r="19" spans="3:29" x14ac:dyDescent="0.35">
      <c r="C19" t="s">
        <v>739</v>
      </c>
      <c r="D19" t="s">
        <v>742</v>
      </c>
      <c r="E19" t="str">
        <f>NYSERDA_SupplyProcessed[[#This Row],[Technology_Lookup]]&amp;"_"&amp;NYSERDA_SupplyProcessed[[#This Row],[Region]]&amp;"_"&amp;NYSERDA_SupplyProcessed[[#This Row],[CapEx_Lookup]]</f>
        <v>Land-based Wind_Rest of State_High Cost</v>
      </c>
      <c r="F19" t="s">
        <v>737</v>
      </c>
      <c r="G19" t="s">
        <v>740</v>
      </c>
      <c r="H19" t="s">
        <v>742</v>
      </c>
      <c r="I19" s="175">
        <f>SUMIFS(NYSERDA_SupplyCurve_Raw[Available Capacity (MWac)],NYSERDA_SupplyCurve_Raw[Interconnection Zone],$G19,NYSERDA_SupplyCurve_Raw[CapEx Bin],$H19,NYSERDA_SupplyCurve_Raw[Technology Type],$F19)</f>
        <v>879.22590015661376</v>
      </c>
      <c r="J19" s="175">
        <f>IF($I19&gt;0,SUMIFS(NYSERDA_SupplyCurve_Raw[Total Capex Cost (thousand $)],NYSERDA_SupplyCurve_Raw[Interconnection Zone],$G19,NYSERDA_SupplyCurve_Raw[CapEx Bin],$H19,NYSERDA_SupplyCurve_Raw[Technology Type],$F19)/$I19,"")</f>
        <v>2998.7984641359863</v>
      </c>
      <c r="K19" s="203">
        <f>IF($I19&gt;0,SUMIFS(NYSERDA_SupplyCurve_Raw[Total OpEx Cost (thousand $ / kW- year)],NYSERDA_SupplyCurve_Raw[Interconnection Zone],$G19,NYSERDA_SupplyCurve_Raw[CapEx Bin],$H19,NYSERDA_SupplyCurve_Raw[Technology Type],$F19)/$I19,"")</f>
        <v>57.15074214956617</v>
      </c>
      <c r="L19" s="201">
        <f>IF($I19&gt;0,SUMIFS(NYSERDA_SupplyCurve_Raw[Avg OpEx x Total Generation],NYSERDA_SupplyCurve_Raw[Interconnection Zone],$G19,NYSERDA_SupplyCurve_Raw[CapEx Bin],$H19,NYSERDA_SupplyCurve_Raw[Technology Type],$F19)/$I19,"")</f>
        <v>0.37295162275477728</v>
      </c>
      <c r="M19" s="201">
        <f ca="1">IFERROR(AVERAGEIFS(INDIRECT("NYSERDA_SupplyCurve_Raw[Resource "&amp;M$14&amp;"]"),
NYSERDA_SupplyCurve_Raw[Interconnection Zone],$G19,NYSERDA_SupplyCurve_Raw[CapEx Bin],$H19,NYSERDA_SupplyCurve_Raw[Technology Type],$F19),"")</f>
        <v>1</v>
      </c>
      <c r="N19" s="201">
        <f ca="1">IFERROR(AVERAGEIFS(INDIRECT("NYSERDA_SupplyCurve_Raw[Resource "&amp;N$14&amp;"]"),
NYSERDA_SupplyCurve_Raw[Interconnection Zone],$G19,NYSERDA_SupplyCurve_Raw[CapEx Bin],$H19,NYSERDA_SupplyCurve_Raw[Technology Type],$F19),"")</f>
        <v>1.0229999999999997</v>
      </c>
      <c r="O19" s="201">
        <f ca="1">IFERROR(AVERAGEIFS(INDIRECT("NYSERDA_SupplyCurve_Raw[Resource "&amp;O$14&amp;"]"),
NYSERDA_SupplyCurve_Raw[Interconnection Zone],$G19,NYSERDA_SupplyCurve_Raw[CapEx Bin],$H19,NYSERDA_SupplyCurve_Raw[Technology Type],$F19),"")</f>
        <v>1.0465289999999996</v>
      </c>
      <c r="P19" s="201">
        <f ca="1">IFERROR(AVERAGEIFS(INDIRECT("NYSERDA_SupplyCurve_Raw[Resource "&amp;P$14&amp;"]"),
NYSERDA_SupplyCurve_Raw[Interconnection Zone],$G19,NYSERDA_SupplyCurve_Raw[CapEx Bin],$H19,NYSERDA_SupplyCurve_Raw[Technology Type],$F19),"")</f>
        <v>1.0598020575021094</v>
      </c>
      <c r="Q19" s="201">
        <f ca="1">IFERROR(AVERAGEIFS(INDIRECT("NYSERDA_SupplyCurve_Raw[Resource "&amp;Q$14&amp;"]"),
NYSERDA_SupplyCurve_Raw[Interconnection Zone],$G19,NYSERDA_SupplyCurve_Raw[CapEx Bin],$H19,NYSERDA_SupplyCurve_Raw[Technology Type],$F19),"")</f>
        <v>1.0736988159192504</v>
      </c>
      <c r="R19" s="201">
        <f ca="1">IFERROR(AVERAGEIFS(INDIRECT("NYSERDA_SupplyCurve_Raw[Resource "&amp;R$14&amp;"]"),
NYSERDA_SupplyCurve_Raw[Interconnection Zone],$G19,NYSERDA_SupplyCurve_Raw[CapEx Bin],$H19,NYSERDA_SupplyCurve_Raw[Technology Type],$F19),"")</f>
        <v>1.0882033073746555</v>
      </c>
      <c r="S19" s="201">
        <f ca="1">IFERROR(AVERAGEIFS(INDIRECT("NYSERDA_SupplyCurve_Raw[Resource "&amp;S$14&amp;"]"),
NYSERDA_SupplyCurve_Raw[Interconnection Zone],$G19,NYSERDA_SupplyCurve_Raw[CapEx Bin],$H19,NYSERDA_SupplyCurve_Raw[Technology Type],$F19),"")</f>
        <v>1.1033026104404513</v>
      </c>
      <c r="T19" s="201">
        <f ca="1">IFERROR(AVERAGEIFS(INDIRECT("NYSERDA_SupplyCurve_Raw[Resource "&amp;T$14&amp;"]"),
NYSERDA_SupplyCurve_Raw[Interconnection Zone],$G19,NYSERDA_SupplyCurve_Raw[CapEx Bin],$H19,NYSERDA_SupplyCurve_Raw[Technology Type],$F19),"")</f>
        <v>1.1189864388040098</v>
      </c>
      <c r="U19" s="201">
        <f ca="1">IFERROR(AVERAGEIFS(INDIRECT("NYSERDA_SupplyCurve_Raw[Resource "&amp;U$14&amp;"]"),
NYSERDA_SupplyCurve_Raw[Interconnection Zone],$G19,NYSERDA_SupplyCurve_Raw[CapEx Bin],$H19,NYSERDA_SupplyCurve_Raw[Technology Type],$F19),"")</f>
        <v>1.1352467977755543</v>
      </c>
      <c r="V19" s="201">
        <f ca="1">IFERROR(AVERAGEIFS(INDIRECT("NYSERDA_SupplyCurve_Raw[Resource "&amp;V$14&amp;"]"),
NYSERDA_SupplyCurve_Raw[Interconnection Zone],$G19,NYSERDA_SupplyCurve_Raw[CapEx Bin],$H19,NYSERDA_SupplyCurve_Raw[Technology Type],$F19),"")</f>
        <v>1.1520776967604647</v>
      </c>
      <c r="W19" s="201">
        <f ca="1">IFERROR(AVERAGEIFS(INDIRECT("NYSERDA_SupplyCurve_Raw[Resource "&amp;W$14&amp;"]"),
NYSERDA_SupplyCurve_Raw[Interconnection Zone],$G19,NYSERDA_SupplyCurve_Raw[CapEx Bin],$H19,NYSERDA_SupplyCurve_Raw[Technology Type],$F19),"")</f>
        <v>1.1694749079306728</v>
      </c>
      <c r="X19" s="201">
        <f ca="1">IFERROR(AVERAGEIFS(INDIRECT("NYSERDA_SupplyCurve_Raw[Resource "&amp;X$14&amp;"]"),
NYSERDA_SupplyCurve_Raw[Interconnection Zone],$G19,NYSERDA_SupplyCurve_Raw[CapEx Bin],$H19,NYSERDA_SupplyCurve_Raw[Technology Type],$F19),"")</f>
        <v>1.1874357630816732</v>
      </c>
      <c r="Y19" s="201">
        <f ca="1">IFERROR(AVERAGEIFS(INDIRECT("NYSERDA_SupplyCurve_Raw[Resource "&amp;Y$14&amp;"]"),
NYSERDA_SupplyCurve_Raw[Interconnection Zone],$G19,NYSERDA_SupplyCurve_Raw[CapEx Bin],$H19,NYSERDA_SupplyCurve_Raw[Technology Type],$F19),"")</f>
        <v>1.2059589821346142</v>
      </c>
      <c r="Z19" s="201">
        <f ca="1">IFERROR(AVERAGEIFS(INDIRECT("NYSERDA_SupplyCurve_Raw[Resource "&amp;Z$14&amp;"]"),
NYSERDA_SupplyCurve_Raw[Interconnection Zone],$G19,NYSERDA_SupplyCurve_Raw[CapEx Bin],$H19,NYSERDA_SupplyCurve_Raw[Technology Type],$F19),"")</f>
        <v>1.2250445279429272</v>
      </c>
      <c r="AA19" s="201">
        <f ca="1">IFERROR(AVERAGEIFS(INDIRECT("NYSERDA_SupplyCurve_Raw[Resource "&amp;AA$14&amp;"]"),
NYSERDA_SupplyCurve_Raw[Interconnection Zone],$G19,NYSERDA_SupplyCurve_Raw[CapEx Bin],$H19,NYSERDA_SupplyCurve_Raw[Technology Type],$F19),"")</f>
        <v>1.2446934830326641</v>
      </c>
      <c r="AB19" s="201">
        <f ca="1">IFERROR(AVERAGEIFS(INDIRECT("NYSERDA_SupplyCurve_Raw[Resource "&amp;AB$14&amp;"]"),
NYSERDA_SupplyCurve_Raw[Interconnection Zone],$G19,NYSERDA_SupplyCurve_Raw[CapEx Bin],$H19,NYSERDA_SupplyCurve_Raw[Technology Type],$F19),"")</f>
        <v>1.2649079446978335</v>
      </c>
      <c r="AC19" s="201">
        <f ca="1">IFERROR(AVERAGEIFS(INDIRECT("NYSERDA_SupplyCurve_Raw[Resource "&amp;AC$14&amp;"]"),
NYSERDA_SupplyCurve_Raw[Interconnection Zone],$G19,NYSERDA_SupplyCurve_Raw[CapEx Bin],$H19,NYSERDA_SupplyCurve_Raw[Technology Type],$F19),"")</f>
        <v>1.2856909355124984</v>
      </c>
    </row>
    <row r="20" spans="3:29" x14ac:dyDescent="0.35">
      <c r="C20" t="s">
        <v>735</v>
      </c>
      <c r="D20" t="s">
        <v>736</v>
      </c>
      <c r="E20" t="str">
        <f>NYSERDA_SupplyProcessed[[#This Row],[Technology_Lookup]]&amp;"_"&amp;NYSERDA_SupplyProcessed[[#This Row],[Region]]&amp;"_"&amp;NYSERDA_SupplyProcessed[[#This Row],[CapEx_Lookup]]</f>
        <v>Utility-scale Solar_NYC_Low Cost</v>
      </c>
      <c r="F20" t="s">
        <v>743</v>
      </c>
      <c r="G20" t="s">
        <v>738</v>
      </c>
      <c r="H20" t="s">
        <v>736</v>
      </c>
      <c r="I20" s="175">
        <f>SUMIFS(NYSERDA_SupplyCurve_Raw[Available Capacity (MWac)],NYSERDA_SupplyCurve_Raw[Interconnection Zone],$G20,NYSERDA_SupplyCurve_Raw[CapEx Bin],$H20,NYSERDA_SupplyCurve_Raw[Technology Type],$F20)</f>
        <v>0</v>
      </c>
      <c r="J20" s="175" t="str">
        <f>IF($I20&gt;0,SUMIFS(NYSERDA_SupplyCurve_Raw[Total Capex Cost (thousand $)],NYSERDA_SupplyCurve_Raw[Interconnection Zone],$G20,NYSERDA_SupplyCurve_Raw[CapEx Bin],$H20,NYSERDA_SupplyCurve_Raw[Technology Type],$F20)/$I20,"")</f>
        <v/>
      </c>
      <c r="K20" s="203" t="str">
        <f>IF($I20&gt;0,SUMIFS(NYSERDA_SupplyCurve_Raw[Total OpEx Cost (thousand $ / kW- year)],NYSERDA_SupplyCurve_Raw[Interconnection Zone],$G20,NYSERDA_SupplyCurve_Raw[CapEx Bin],$H20,NYSERDA_SupplyCurve_Raw[Technology Type],$F20)/$I20,"")</f>
        <v/>
      </c>
      <c r="L20" s="201" t="str">
        <f>IF($I20&gt;0,SUMIFS(NYSERDA_SupplyCurve_Raw[Avg OpEx x Total Generation],NYSERDA_SupplyCurve_Raw[Interconnection Zone],$G20,NYSERDA_SupplyCurve_Raw[CapEx Bin],$H20,NYSERDA_SupplyCurve_Raw[Technology Type],$F20)/$I20,"")</f>
        <v/>
      </c>
      <c r="M20" s="201" t="str">
        <f ca="1">IFERROR(AVERAGEIFS(INDIRECT("NYSERDA_SupplyCurve_Raw[Resource "&amp;M$14&amp;"]"),
NYSERDA_SupplyCurve_Raw[Interconnection Zone],$G20,NYSERDA_SupplyCurve_Raw[CapEx Bin],$H20,NYSERDA_SupplyCurve_Raw[Technology Type],$F20),"")</f>
        <v/>
      </c>
      <c r="N20" s="201" t="str">
        <f ca="1">IFERROR(AVERAGEIFS(INDIRECT("NYSERDA_SupplyCurve_Raw[Resource "&amp;N$14&amp;"]"),
NYSERDA_SupplyCurve_Raw[Interconnection Zone],$G20,NYSERDA_SupplyCurve_Raw[CapEx Bin],$H20,NYSERDA_SupplyCurve_Raw[Technology Type],$F20),"")</f>
        <v/>
      </c>
      <c r="O20" s="201" t="str">
        <f ca="1">IFERROR(AVERAGEIFS(INDIRECT("NYSERDA_SupplyCurve_Raw[Resource "&amp;O$14&amp;"]"),
NYSERDA_SupplyCurve_Raw[Interconnection Zone],$G20,NYSERDA_SupplyCurve_Raw[CapEx Bin],$H20,NYSERDA_SupplyCurve_Raw[Technology Type],$F20),"")</f>
        <v/>
      </c>
      <c r="P20" s="201" t="str">
        <f ca="1">IFERROR(AVERAGEIFS(INDIRECT("NYSERDA_SupplyCurve_Raw[Resource "&amp;P$14&amp;"]"),
NYSERDA_SupplyCurve_Raw[Interconnection Zone],$G20,NYSERDA_SupplyCurve_Raw[CapEx Bin],$H20,NYSERDA_SupplyCurve_Raw[Technology Type],$F20),"")</f>
        <v/>
      </c>
      <c r="Q20" s="201" t="str">
        <f ca="1">IFERROR(AVERAGEIFS(INDIRECT("NYSERDA_SupplyCurve_Raw[Resource "&amp;Q$14&amp;"]"),
NYSERDA_SupplyCurve_Raw[Interconnection Zone],$G20,NYSERDA_SupplyCurve_Raw[CapEx Bin],$H20,NYSERDA_SupplyCurve_Raw[Technology Type],$F20),"")</f>
        <v/>
      </c>
      <c r="R20" s="201" t="str">
        <f ca="1">IFERROR(AVERAGEIFS(INDIRECT("NYSERDA_SupplyCurve_Raw[Resource "&amp;R$14&amp;"]"),
NYSERDA_SupplyCurve_Raw[Interconnection Zone],$G20,NYSERDA_SupplyCurve_Raw[CapEx Bin],$H20,NYSERDA_SupplyCurve_Raw[Technology Type],$F20),"")</f>
        <v/>
      </c>
      <c r="S20" s="201" t="str">
        <f ca="1">IFERROR(AVERAGEIFS(INDIRECT("NYSERDA_SupplyCurve_Raw[Resource "&amp;S$14&amp;"]"),
NYSERDA_SupplyCurve_Raw[Interconnection Zone],$G20,NYSERDA_SupplyCurve_Raw[CapEx Bin],$H20,NYSERDA_SupplyCurve_Raw[Technology Type],$F20),"")</f>
        <v/>
      </c>
      <c r="T20" s="201" t="str">
        <f ca="1">IFERROR(AVERAGEIFS(INDIRECT("NYSERDA_SupplyCurve_Raw[Resource "&amp;T$14&amp;"]"),
NYSERDA_SupplyCurve_Raw[Interconnection Zone],$G20,NYSERDA_SupplyCurve_Raw[CapEx Bin],$H20,NYSERDA_SupplyCurve_Raw[Technology Type],$F20),"")</f>
        <v/>
      </c>
      <c r="U20" s="201" t="str">
        <f ca="1">IFERROR(AVERAGEIFS(INDIRECT("NYSERDA_SupplyCurve_Raw[Resource "&amp;U$14&amp;"]"),
NYSERDA_SupplyCurve_Raw[Interconnection Zone],$G20,NYSERDA_SupplyCurve_Raw[CapEx Bin],$H20,NYSERDA_SupplyCurve_Raw[Technology Type],$F20),"")</f>
        <v/>
      </c>
      <c r="V20" s="201" t="str">
        <f ca="1">IFERROR(AVERAGEIFS(INDIRECT("NYSERDA_SupplyCurve_Raw[Resource "&amp;V$14&amp;"]"),
NYSERDA_SupplyCurve_Raw[Interconnection Zone],$G20,NYSERDA_SupplyCurve_Raw[CapEx Bin],$H20,NYSERDA_SupplyCurve_Raw[Technology Type],$F20),"")</f>
        <v/>
      </c>
      <c r="W20" s="201" t="str">
        <f ca="1">IFERROR(AVERAGEIFS(INDIRECT("NYSERDA_SupplyCurve_Raw[Resource "&amp;W$14&amp;"]"),
NYSERDA_SupplyCurve_Raw[Interconnection Zone],$G20,NYSERDA_SupplyCurve_Raw[CapEx Bin],$H20,NYSERDA_SupplyCurve_Raw[Technology Type],$F20),"")</f>
        <v/>
      </c>
      <c r="X20" s="201" t="str">
        <f ca="1">IFERROR(AVERAGEIFS(INDIRECT("NYSERDA_SupplyCurve_Raw[Resource "&amp;X$14&amp;"]"),
NYSERDA_SupplyCurve_Raw[Interconnection Zone],$G20,NYSERDA_SupplyCurve_Raw[CapEx Bin],$H20,NYSERDA_SupplyCurve_Raw[Technology Type],$F20),"")</f>
        <v/>
      </c>
      <c r="Y20" s="201" t="str">
        <f ca="1">IFERROR(AVERAGEIFS(INDIRECT("NYSERDA_SupplyCurve_Raw[Resource "&amp;Y$14&amp;"]"),
NYSERDA_SupplyCurve_Raw[Interconnection Zone],$G20,NYSERDA_SupplyCurve_Raw[CapEx Bin],$H20,NYSERDA_SupplyCurve_Raw[Technology Type],$F20),"")</f>
        <v/>
      </c>
      <c r="Z20" s="201" t="str">
        <f ca="1">IFERROR(AVERAGEIFS(INDIRECT("NYSERDA_SupplyCurve_Raw[Resource "&amp;Z$14&amp;"]"),
NYSERDA_SupplyCurve_Raw[Interconnection Zone],$G20,NYSERDA_SupplyCurve_Raw[CapEx Bin],$H20,NYSERDA_SupplyCurve_Raw[Technology Type],$F20),"")</f>
        <v/>
      </c>
      <c r="AA20" s="201" t="str">
        <f ca="1">IFERROR(AVERAGEIFS(INDIRECT("NYSERDA_SupplyCurve_Raw[Resource "&amp;AA$14&amp;"]"),
NYSERDA_SupplyCurve_Raw[Interconnection Zone],$G20,NYSERDA_SupplyCurve_Raw[CapEx Bin],$H20,NYSERDA_SupplyCurve_Raw[Technology Type],$F20),"")</f>
        <v/>
      </c>
      <c r="AB20" s="201" t="str">
        <f ca="1">IFERROR(AVERAGEIFS(INDIRECT("NYSERDA_SupplyCurve_Raw[Resource "&amp;AB$14&amp;"]"),
NYSERDA_SupplyCurve_Raw[Interconnection Zone],$G20,NYSERDA_SupplyCurve_Raw[CapEx Bin],$H20,NYSERDA_SupplyCurve_Raw[Technology Type],$F20),"")</f>
        <v/>
      </c>
      <c r="AC20" s="201" t="str">
        <f ca="1">IFERROR(AVERAGEIFS(INDIRECT("NYSERDA_SupplyCurve_Raw[Resource "&amp;AC$14&amp;"]"),
NYSERDA_SupplyCurve_Raw[Interconnection Zone],$G20,NYSERDA_SupplyCurve_Raw[CapEx Bin],$H20,NYSERDA_SupplyCurve_Raw[Technology Type],$F20),"")</f>
        <v/>
      </c>
    </row>
    <row r="21" spans="3:29" x14ac:dyDescent="0.35">
      <c r="C21" t="s">
        <v>739</v>
      </c>
      <c r="D21" t="s">
        <v>736</v>
      </c>
      <c r="E21" t="str">
        <f>NYSERDA_SupplyProcessed[[#This Row],[Technology_Lookup]]&amp;"_"&amp;NYSERDA_SupplyProcessed[[#This Row],[Region]]&amp;"_"&amp;NYSERDA_SupplyProcessed[[#This Row],[CapEx_Lookup]]</f>
        <v>Utility-scale Solar_Rest of State_Low Cost</v>
      </c>
      <c r="F21" t="s">
        <v>743</v>
      </c>
      <c r="G21" t="s">
        <v>740</v>
      </c>
      <c r="H21" t="s">
        <v>736</v>
      </c>
      <c r="I21" s="175">
        <f>SUMIFS(NYSERDA_SupplyCurve_Raw[Available Capacity (MWac)],NYSERDA_SupplyCurve_Raw[Interconnection Zone],$G21,NYSERDA_SupplyCurve_Raw[CapEx Bin],$H21,NYSERDA_SupplyCurve_Raw[Technology Type],$F21)</f>
        <v>50438.525858527748</v>
      </c>
      <c r="J21" s="175">
        <f>IF($I21&gt;0,SUMIFS(NYSERDA_SupplyCurve_Raw[Total Capex Cost (thousand $)],NYSERDA_SupplyCurve_Raw[Interconnection Zone],$G21,NYSERDA_SupplyCurve_Raw[CapEx Bin],$H21,NYSERDA_SupplyCurve_Raw[Technology Type],$F21)/$I21,"")</f>
        <v>1814.9380207719339</v>
      </c>
      <c r="K21" s="203">
        <f>IF($I21&gt;0,SUMIFS(NYSERDA_SupplyCurve_Raw[Total OpEx Cost (thousand $ / kW- year)],NYSERDA_SupplyCurve_Raw[Interconnection Zone],$G21,NYSERDA_SupplyCurve_Raw[CapEx Bin],$H21,NYSERDA_SupplyCurve_Raw[Technology Type],$F21)/$I21,"")</f>
        <v>27.384375457106945</v>
      </c>
      <c r="L21" s="201">
        <f>IF($I21&gt;0,SUMIFS(NYSERDA_SupplyCurve_Raw[Avg OpEx x Total Generation],NYSERDA_SupplyCurve_Raw[Interconnection Zone],$G21,NYSERDA_SupplyCurve_Raw[CapEx Bin],$H21,NYSERDA_SupplyCurve_Raw[Technology Type],$F21)/$I21,"")</f>
        <v>0.20347115179881392</v>
      </c>
      <c r="M21" s="201">
        <f ca="1">IFERROR(AVERAGEIFS(INDIRECT("NYSERDA_SupplyCurve_Raw[Resource "&amp;M$14&amp;"]"),
NYSERDA_SupplyCurve_Raw[Interconnection Zone],$G21,NYSERDA_SupplyCurve_Raw[CapEx Bin],$H21,NYSERDA_SupplyCurve_Raw[Technology Type],$F21),"")</f>
        <v>1</v>
      </c>
      <c r="N21" s="201">
        <f ca="1">IFERROR(AVERAGEIFS(INDIRECT("NYSERDA_SupplyCurve_Raw[Resource "&amp;N$14&amp;"]"),
NYSERDA_SupplyCurve_Raw[Interconnection Zone],$G21,NYSERDA_SupplyCurve_Raw[CapEx Bin],$H21,NYSERDA_SupplyCurve_Raw[Technology Type],$F21),"")</f>
        <v>0.98205557700657864</v>
      </c>
      <c r="O21" s="201">
        <f ca="1">IFERROR(AVERAGEIFS(INDIRECT("NYSERDA_SupplyCurve_Raw[Resource "&amp;O$14&amp;"]"),
NYSERDA_SupplyCurve_Raw[Interconnection Zone],$G21,NYSERDA_SupplyCurve_Raw[CapEx Bin],$H21,NYSERDA_SupplyCurve_Raw[Technology Type],$F21),"")</f>
        <v>0.9750864368776675</v>
      </c>
      <c r="P21" s="201">
        <f ca="1">IFERROR(AVERAGEIFS(INDIRECT("NYSERDA_SupplyCurve_Raw[Resource "&amp;P$14&amp;"]"),
NYSERDA_SupplyCurve_Raw[Interconnection Zone],$G21,NYSERDA_SupplyCurve_Raw[CapEx Bin],$H21,NYSERDA_SupplyCurve_Raw[Technology Type],$F21),"")</f>
        <v>0.97106869788234973</v>
      </c>
      <c r="Q21" s="201">
        <f ca="1">IFERROR(AVERAGEIFS(INDIRECT("NYSERDA_SupplyCurve_Raw[Resource "&amp;Q$14&amp;"]"),
NYSERDA_SupplyCurve_Raw[Interconnection Zone],$G21,NYSERDA_SupplyCurve_Raw[CapEx Bin],$H21,NYSERDA_SupplyCurve_Raw[Technology Type],$F21),"")</f>
        <v>0.96272883825255906</v>
      </c>
      <c r="R21" s="201">
        <f ca="1">IFERROR(AVERAGEIFS(INDIRECT("NYSERDA_SupplyCurve_Raw[Resource "&amp;R$14&amp;"]"),
NYSERDA_SupplyCurve_Raw[Interconnection Zone],$G21,NYSERDA_SupplyCurve_Raw[CapEx Bin],$H21,NYSERDA_SupplyCurve_Raw[Technology Type],$F21),"")</f>
        <v>0.96698974982375119</v>
      </c>
      <c r="S21" s="201">
        <f ca="1">IFERROR(AVERAGEIFS(INDIRECT("NYSERDA_SupplyCurve_Raw[Resource "&amp;S$14&amp;"]"),
NYSERDA_SupplyCurve_Raw[Interconnection Zone],$G21,NYSERDA_SupplyCurve_Raw[CapEx Bin],$H21,NYSERDA_SupplyCurve_Raw[Technology Type],$F21),"")</f>
        <v>0.97267407052031807</v>
      </c>
      <c r="T21" s="201">
        <f ca="1">IFERROR(AVERAGEIFS(INDIRECT("NYSERDA_SupplyCurve_Raw[Resource "&amp;T$14&amp;"]"),
NYSERDA_SupplyCurve_Raw[Interconnection Zone],$G21,NYSERDA_SupplyCurve_Raw[CapEx Bin],$H21,NYSERDA_SupplyCurve_Raw[Technology Type],$F21),"")</f>
        <v>0.97869557679238772</v>
      </c>
      <c r="U21" s="201">
        <f ca="1">IFERROR(AVERAGEIFS(INDIRECT("NYSERDA_SupplyCurve_Raw[Resource "&amp;U$14&amp;"]"),
NYSERDA_SupplyCurve_Raw[Interconnection Zone],$G21,NYSERDA_SupplyCurve_Raw[CapEx Bin],$H21,NYSERDA_SupplyCurve_Raw[Technology Type],$F21),"")</f>
        <v>0.98505703847148196</v>
      </c>
      <c r="V21" s="201">
        <f ca="1">IFERROR(AVERAGEIFS(INDIRECT("NYSERDA_SupplyCurve_Raw[Resource "&amp;V$14&amp;"]"),
NYSERDA_SupplyCurve_Raw[Interconnection Zone],$G21,NYSERDA_SupplyCurve_Raw[CapEx Bin],$H21,NYSERDA_SupplyCurve_Raw[Technology Type],$F21),"")</f>
        <v>0.99541170168847559</v>
      </c>
      <c r="W21" s="201">
        <f ca="1">IFERROR(AVERAGEIFS(INDIRECT("NYSERDA_SupplyCurve_Raw[Resource "&amp;W$14&amp;"]"),
NYSERDA_SupplyCurve_Raw[Interconnection Zone],$G21,NYSERDA_SupplyCurve_Raw[CapEx Bin],$H21,NYSERDA_SupplyCurve_Raw[Technology Type],$F21),"")</f>
        <v>1.006034831713214</v>
      </c>
      <c r="X21" s="201">
        <f ca="1">IFERROR(AVERAGEIFS(INDIRECT("NYSERDA_SupplyCurve_Raw[Resource "&amp;X$14&amp;"]"),
NYSERDA_SupplyCurve_Raw[Interconnection Zone],$G21,NYSERDA_SupplyCurve_Raw[CapEx Bin],$H21,NYSERDA_SupplyCurve_Raw[Technology Type],$F21),"")</f>
        <v>1.0169311841464153</v>
      </c>
      <c r="Y21" s="201">
        <f ca="1">IFERROR(AVERAGEIFS(INDIRECT("NYSERDA_SupplyCurve_Raw[Resource "&amp;Y$14&amp;"]"),
NYSERDA_SupplyCurve_Raw[Interconnection Zone],$G21,NYSERDA_SupplyCurve_Raw[CapEx Bin],$H21,NYSERDA_SupplyCurve_Raw[Technology Type],$F21),"")</f>
        <v>1.0281056158381716</v>
      </c>
      <c r="Z21" s="201">
        <f ca="1">IFERROR(AVERAGEIFS(INDIRECT("NYSERDA_SupplyCurve_Raw[Resource "&amp;Z$14&amp;"]"),
NYSERDA_SupplyCurve_Raw[Interconnection Zone],$G21,NYSERDA_SupplyCurve_Raw[CapEx Bin],$H21,NYSERDA_SupplyCurve_Raw[Technology Type],$F21),"")</f>
        <v>1.0395630868515549</v>
      </c>
      <c r="AA21" s="201">
        <f ca="1">IFERROR(AVERAGEIFS(INDIRECT("NYSERDA_SupplyCurve_Raw[Resource "&amp;AA$14&amp;"]"),
NYSERDA_SupplyCurve_Raw[Interconnection Zone],$G21,NYSERDA_SupplyCurve_Raw[CapEx Bin],$H21,NYSERDA_SupplyCurve_Raw[Technology Type],$F21),"")</f>
        <v>1.0513086624661194</v>
      </c>
      <c r="AB21" s="201">
        <f ca="1">IFERROR(AVERAGEIFS(INDIRECT("NYSERDA_SupplyCurve_Raw[Resource "&amp;AB$14&amp;"]"),
NYSERDA_SupplyCurve_Raw[Interconnection Zone],$G21,NYSERDA_SupplyCurve_Raw[CapEx Bin],$H21,NYSERDA_SupplyCurve_Raw[Technology Type],$F21),"")</f>
        <v>1.0633475152220775</v>
      </c>
      <c r="AC21" s="201">
        <f ca="1">IFERROR(AVERAGEIFS(INDIRECT("NYSERDA_SupplyCurve_Raw[Resource "&amp;AC$14&amp;"]"),
NYSERDA_SupplyCurve_Raw[Interconnection Zone],$G21,NYSERDA_SupplyCurve_Raw[CapEx Bin],$H21,NYSERDA_SupplyCurve_Raw[Technology Type],$F21),"")</f>
        <v>1.075684927005971</v>
      </c>
    </row>
    <row r="22" spans="3:29" x14ac:dyDescent="0.35">
      <c r="C22" t="s">
        <v>735</v>
      </c>
      <c r="D22" t="s">
        <v>742</v>
      </c>
      <c r="E22" t="str">
        <f>NYSERDA_SupplyProcessed[[#This Row],[Technology_Lookup]]&amp;"_"&amp;NYSERDA_SupplyProcessed[[#This Row],[Region]]&amp;"_"&amp;NYSERDA_SupplyProcessed[[#This Row],[CapEx_Lookup]]</f>
        <v>Utility-scale Solar_NYC_High Cost</v>
      </c>
      <c r="F22" t="s">
        <v>743</v>
      </c>
      <c r="G22" t="s">
        <v>738</v>
      </c>
      <c r="H22" t="s">
        <v>742</v>
      </c>
      <c r="I22" s="175">
        <f>SUMIFS(NYSERDA_SupplyCurve_Raw[Available Capacity (MWac)],NYSERDA_SupplyCurve_Raw[Interconnection Zone],$G22,NYSERDA_SupplyCurve_Raw[CapEx Bin],$H22,NYSERDA_SupplyCurve_Raw[Technology Type],$F22)</f>
        <v>0</v>
      </c>
      <c r="J22" s="175" t="str">
        <f>IF($I22&gt;0,SUMIFS(NYSERDA_SupplyCurve_Raw[Total Capex Cost (thousand $)],NYSERDA_SupplyCurve_Raw[Interconnection Zone],$G22,NYSERDA_SupplyCurve_Raw[CapEx Bin],$H22,NYSERDA_SupplyCurve_Raw[Technology Type],$F22)/$I22,"")</f>
        <v/>
      </c>
      <c r="K22" s="203" t="str">
        <f>IF($I22&gt;0,SUMIFS(NYSERDA_SupplyCurve_Raw[Total OpEx Cost (thousand $ / kW- year)],NYSERDA_SupplyCurve_Raw[Interconnection Zone],$G22,NYSERDA_SupplyCurve_Raw[CapEx Bin],$H22,NYSERDA_SupplyCurve_Raw[Technology Type],$F22)/$I22,"")</f>
        <v/>
      </c>
      <c r="L22" s="201" t="str">
        <f>IF($I22&gt;0,SUMIFS(NYSERDA_SupplyCurve_Raw[Avg OpEx x Total Generation],NYSERDA_SupplyCurve_Raw[Interconnection Zone],$G22,NYSERDA_SupplyCurve_Raw[CapEx Bin],$H22,NYSERDA_SupplyCurve_Raw[Technology Type],$F22)/$I22,"")</f>
        <v/>
      </c>
      <c r="M22" s="201" t="str">
        <f ca="1">IFERROR(AVERAGEIFS(INDIRECT("NYSERDA_SupplyCurve_Raw[Resource "&amp;M$14&amp;"]"),
NYSERDA_SupplyCurve_Raw[Interconnection Zone],$G22,NYSERDA_SupplyCurve_Raw[CapEx Bin],$H22,NYSERDA_SupplyCurve_Raw[Technology Type],$F22),"")</f>
        <v/>
      </c>
      <c r="N22" s="201" t="str">
        <f ca="1">IFERROR(AVERAGEIFS(INDIRECT("NYSERDA_SupplyCurve_Raw[Resource "&amp;N$14&amp;"]"),
NYSERDA_SupplyCurve_Raw[Interconnection Zone],$G22,NYSERDA_SupplyCurve_Raw[CapEx Bin],$H22,NYSERDA_SupplyCurve_Raw[Technology Type],$F22),"")</f>
        <v/>
      </c>
      <c r="O22" s="201" t="str">
        <f ca="1">IFERROR(AVERAGEIFS(INDIRECT("NYSERDA_SupplyCurve_Raw[Resource "&amp;O$14&amp;"]"),
NYSERDA_SupplyCurve_Raw[Interconnection Zone],$G22,NYSERDA_SupplyCurve_Raw[CapEx Bin],$H22,NYSERDA_SupplyCurve_Raw[Technology Type],$F22),"")</f>
        <v/>
      </c>
      <c r="P22" s="201" t="str">
        <f ca="1">IFERROR(AVERAGEIFS(INDIRECT("NYSERDA_SupplyCurve_Raw[Resource "&amp;P$14&amp;"]"),
NYSERDA_SupplyCurve_Raw[Interconnection Zone],$G22,NYSERDA_SupplyCurve_Raw[CapEx Bin],$H22,NYSERDA_SupplyCurve_Raw[Technology Type],$F22),"")</f>
        <v/>
      </c>
      <c r="Q22" s="201" t="str">
        <f ca="1">IFERROR(AVERAGEIFS(INDIRECT("NYSERDA_SupplyCurve_Raw[Resource "&amp;Q$14&amp;"]"),
NYSERDA_SupplyCurve_Raw[Interconnection Zone],$G22,NYSERDA_SupplyCurve_Raw[CapEx Bin],$H22,NYSERDA_SupplyCurve_Raw[Technology Type],$F22),"")</f>
        <v/>
      </c>
      <c r="R22" s="201" t="str">
        <f ca="1">IFERROR(AVERAGEIFS(INDIRECT("NYSERDA_SupplyCurve_Raw[Resource "&amp;R$14&amp;"]"),
NYSERDA_SupplyCurve_Raw[Interconnection Zone],$G22,NYSERDA_SupplyCurve_Raw[CapEx Bin],$H22,NYSERDA_SupplyCurve_Raw[Technology Type],$F22),"")</f>
        <v/>
      </c>
      <c r="S22" s="201" t="str">
        <f ca="1">IFERROR(AVERAGEIFS(INDIRECT("NYSERDA_SupplyCurve_Raw[Resource "&amp;S$14&amp;"]"),
NYSERDA_SupplyCurve_Raw[Interconnection Zone],$G22,NYSERDA_SupplyCurve_Raw[CapEx Bin],$H22,NYSERDA_SupplyCurve_Raw[Technology Type],$F22),"")</f>
        <v/>
      </c>
      <c r="T22" s="201" t="str">
        <f ca="1">IFERROR(AVERAGEIFS(INDIRECT("NYSERDA_SupplyCurve_Raw[Resource "&amp;T$14&amp;"]"),
NYSERDA_SupplyCurve_Raw[Interconnection Zone],$G22,NYSERDA_SupplyCurve_Raw[CapEx Bin],$H22,NYSERDA_SupplyCurve_Raw[Technology Type],$F22),"")</f>
        <v/>
      </c>
      <c r="U22" s="201" t="str">
        <f ca="1">IFERROR(AVERAGEIFS(INDIRECT("NYSERDA_SupplyCurve_Raw[Resource "&amp;U$14&amp;"]"),
NYSERDA_SupplyCurve_Raw[Interconnection Zone],$G22,NYSERDA_SupplyCurve_Raw[CapEx Bin],$H22,NYSERDA_SupplyCurve_Raw[Technology Type],$F22),"")</f>
        <v/>
      </c>
      <c r="V22" s="201" t="str">
        <f ca="1">IFERROR(AVERAGEIFS(INDIRECT("NYSERDA_SupplyCurve_Raw[Resource "&amp;V$14&amp;"]"),
NYSERDA_SupplyCurve_Raw[Interconnection Zone],$G22,NYSERDA_SupplyCurve_Raw[CapEx Bin],$H22,NYSERDA_SupplyCurve_Raw[Technology Type],$F22),"")</f>
        <v/>
      </c>
      <c r="W22" s="201" t="str">
        <f ca="1">IFERROR(AVERAGEIFS(INDIRECT("NYSERDA_SupplyCurve_Raw[Resource "&amp;W$14&amp;"]"),
NYSERDA_SupplyCurve_Raw[Interconnection Zone],$G22,NYSERDA_SupplyCurve_Raw[CapEx Bin],$H22,NYSERDA_SupplyCurve_Raw[Technology Type],$F22),"")</f>
        <v/>
      </c>
      <c r="X22" s="201" t="str">
        <f ca="1">IFERROR(AVERAGEIFS(INDIRECT("NYSERDA_SupplyCurve_Raw[Resource "&amp;X$14&amp;"]"),
NYSERDA_SupplyCurve_Raw[Interconnection Zone],$G22,NYSERDA_SupplyCurve_Raw[CapEx Bin],$H22,NYSERDA_SupplyCurve_Raw[Technology Type],$F22),"")</f>
        <v/>
      </c>
      <c r="Y22" s="201" t="str">
        <f ca="1">IFERROR(AVERAGEIFS(INDIRECT("NYSERDA_SupplyCurve_Raw[Resource "&amp;Y$14&amp;"]"),
NYSERDA_SupplyCurve_Raw[Interconnection Zone],$G22,NYSERDA_SupplyCurve_Raw[CapEx Bin],$H22,NYSERDA_SupplyCurve_Raw[Technology Type],$F22),"")</f>
        <v/>
      </c>
      <c r="Z22" s="201" t="str">
        <f ca="1">IFERROR(AVERAGEIFS(INDIRECT("NYSERDA_SupplyCurve_Raw[Resource "&amp;Z$14&amp;"]"),
NYSERDA_SupplyCurve_Raw[Interconnection Zone],$G22,NYSERDA_SupplyCurve_Raw[CapEx Bin],$H22,NYSERDA_SupplyCurve_Raw[Technology Type],$F22),"")</f>
        <v/>
      </c>
      <c r="AA22" s="201" t="str">
        <f ca="1">IFERROR(AVERAGEIFS(INDIRECT("NYSERDA_SupplyCurve_Raw[Resource "&amp;AA$14&amp;"]"),
NYSERDA_SupplyCurve_Raw[Interconnection Zone],$G22,NYSERDA_SupplyCurve_Raw[CapEx Bin],$H22,NYSERDA_SupplyCurve_Raw[Technology Type],$F22),"")</f>
        <v/>
      </c>
      <c r="AB22" s="201" t="str">
        <f ca="1">IFERROR(AVERAGEIFS(INDIRECT("NYSERDA_SupplyCurve_Raw[Resource "&amp;AB$14&amp;"]"),
NYSERDA_SupplyCurve_Raw[Interconnection Zone],$G22,NYSERDA_SupplyCurve_Raw[CapEx Bin],$H22,NYSERDA_SupplyCurve_Raw[Technology Type],$F22),"")</f>
        <v/>
      </c>
      <c r="AC22" s="201" t="str">
        <f ca="1">IFERROR(AVERAGEIFS(INDIRECT("NYSERDA_SupplyCurve_Raw[Resource "&amp;AC$14&amp;"]"),
NYSERDA_SupplyCurve_Raw[Interconnection Zone],$G22,NYSERDA_SupplyCurve_Raw[CapEx Bin],$H22,NYSERDA_SupplyCurve_Raw[Technology Type],$F22),"")</f>
        <v/>
      </c>
    </row>
    <row r="23" spans="3:29" x14ac:dyDescent="0.35">
      <c r="C23" t="s">
        <v>739</v>
      </c>
      <c r="D23" t="s">
        <v>742</v>
      </c>
      <c r="E23" t="str">
        <f>NYSERDA_SupplyProcessed[[#This Row],[Technology_Lookup]]&amp;"_"&amp;NYSERDA_SupplyProcessed[[#This Row],[Region]]&amp;"_"&amp;NYSERDA_SupplyProcessed[[#This Row],[CapEx_Lookup]]</f>
        <v>Utility-scale Solar_Rest of State_High Cost</v>
      </c>
      <c r="F23" t="s">
        <v>743</v>
      </c>
      <c r="G23" t="s">
        <v>740</v>
      </c>
      <c r="H23" t="s">
        <v>742</v>
      </c>
      <c r="I23" s="175">
        <f>SUMIFS(NYSERDA_SupplyCurve_Raw[Available Capacity (MWac)],NYSERDA_SupplyCurve_Raw[Interconnection Zone],$G23,NYSERDA_SupplyCurve_Raw[CapEx Bin],$H23,NYSERDA_SupplyCurve_Raw[Technology Type],$F23)</f>
        <v>21673.583205092986</v>
      </c>
      <c r="J23" s="175">
        <f>IF($I23&gt;0,SUMIFS(NYSERDA_SupplyCurve_Raw[Total Capex Cost (thousand $)],NYSERDA_SupplyCurve_Raw[Interconnection Zone],$G23,NYSERDA_SupplyCurve_Raw[CapEx Bin],$H23,NYSERDA_SupplyCurve_Raw[Technology Type],$F23)/$I23,"")</f>
        <v>2079.7242893396415</v>
      </c>
      <c r="K23" s="203">
        <f>IF($I23&gt;0,SUMIFS(NYSERDA_SupplyCurve_Raw[Total OpEx Cost (thousand $ / kW- year)],NYSERDA_SupplyCurve_Raw[Interconnection Zone],$G23,NYSERDA_SupplyCurve_Raw[CapEx Bin],$H23,NYSERDA_SupplyCurve_Raw[Technology Type],$F23)/$I23,"")</f>
        <v>27.435476398803452</v>
      </c>
      <c r="L23" s="201">
        <f>IF($I23&gt;0,SUMIFS(NYSERDA_SupplyCurve_Raw[Avg OpEx x Total Generation],NYSERDA_SupplyCurve_Raw[Interconnection Zone],$G23,NYSERDA_SupplyCurve_Raw[CapEx Bin],$H23,NYSERDA_SupplyCurve_Raw[Technology Type],$F23)/$I23,"")</f>
        <v>0.20321292229979421</v>
      </c>
      <c r="M23" s="201">
        <f ca="1">IFERROR(AVERAGEIFS(INDIRECT("NYSERDA_SupplyCurve_Raw[Resource "&amp;M$14&amp;"]"),
NYSERDA_SupplyCurve_Raw[Interconnection Zone],$G23,NYSERDA_SupplyCurve_Raw[CapEx Bin],$H23,NYSERDA_SupplyCurve_Raw[Technology Type],$F23),"")</f>
        <v>1</v>
      </c>
      <c r="N23" s="201">
        <f ca="1">IFERROR(AVERAGEIFS(INDIRECT("NYSERDA_SupplyCurve_Raw[Resource "&amp;N$14&amp;"]"),
NYSERDA_SupplyCurve_Raw[Interconnection Zone],$G23,NYSERDA_SupplyCurve_Raw[CapEx Bin],$H23,NYSERDA_SupplyCurve_Raw[Technology Type],$F23),"")</f>
        <v>0.98205557700657942</v>
      </c>
      <c r="O23" s="201">
        <f ca="1">IFERROR(AVERAGEIFS(INDIRECT("NYSERDA_SupplyCurve_Raw[Resource "&amp;O$14&amp;"]"),
NYSERDA_SupplyCurve_Raw[Interconnection Zone],$G23,NYSERDA_SupplyCurve_Raw[CapEx Bin],$H23,NYSERDA_SupplyCurve_Raw[Technology Type],$F23),"")</f>
        <v>0.9750864368776675</v>
      </c>
      <c r="P23" s="201">
        <f ca="1">IFERROR(AVERAGEIFS(INDIRECT("NYSERDA_SupplyCurve_Raw[Resource "&amp;P$14&amp;"]"),
NYSERDA_SupplyCurve_Raw[Interconnection Zone],$G23,NYSERDA_SupplyCurve_Raw[CapEx Bin],$H23,NYSERDA_SupplyCurve_Raw[Technology Type],$F23),"")</f>
        <v>0.97106869788234895</v>
      </c>
      <c r="Q23" s="201">
        <f ca="1">IFERROR(AVERAGEIFS(INDIRECT("NYSERDA_SupplyCurve_Raw[Resource "&amp;Q$14&amp;"]"),
NYSERDA_SupplyCurve_Raw[Interconnection Zone],$G23,NYSERDA_SupplyCurve_Raw[CapEx Bin],$H23,NYSERDA_SupplyCurve_Raw[Technology Type],$F23),"")</f>
        <v>0.96272883825255906</v>
      </c>
      <c r="R23" s="201">
        <f ca="1">IFERROR(AVERAGEIFS(INDIRECT("NYSERDA_SupplyCurve_Raw[Resource "&amp;R$14&amp;"]"),
NYSERDA_SupplyCurve_Raw[Interconnection Zone],$G23,NYSERDA_SupplyCurve_Raw[CapEx Bin],$H23,NYSERDA_SupplyCurve_Raw[Technology Type],$F23),"")</f>
        <v>0.96698974982375041</v>
      </c>
      <c r="S23" s="201">
        <f ca="1">IFERROR(AVERAGEIFS(INDIRECT("NYSERDA_SupplyCurve_Raw[Resource "&amp;S$14&amp;"]"),
NYSERDA_SupplyCurve_Raw[Interconnection Zone],$G23,NYSERDA_SupplyCurve_Raw[CapEx Bin],$H23,NYSERDA_SupplyCurve_Raw[Technology Type],$F23),"")</f>
        <v>0.97267407052031707</v>
      </c>
      <c r="T23" s="201">
        <f ca="1">IFERROR(AVERAGEIFS(INDIRECT("NYSERDA_SupplyCurve_Raw[Resource "&amp;T$14&amp;"]"),
NYSERDA_SupplyCurve_Raw[Interconnection Zone],$G23,NYSERDA_SupplyCurve_Raw[CapEx Bin],$H23,NYSERDA_SupplyCurve_Raw[Technology Type],$F23),"")</f>
        <v>0.97869557679238672</v>
      </c>
      <c r="U23" s="201">
        <f ca="1">IFERROR(AVERAGEIFS(INDIRECT("NYSERDA_SupplyCurve_Raw[Resource "&amp;U$14&amp;"]"),
NYSERDA_SupplyCurve_Raw[Interconnection Zone],$G23,NYSERDA_SupplyCurve_Raw[CapEx Bin],$H23,NYSERDA_SupplyCurve_Raw[Technology Type],$F23),"")</f>
        <v>0.98505703847148252</v>
      </c>
      <c r="V23" s="201">
        <f ca="1">IFERROR(AVERAGEIFS(INDIRECT("NYSERDA_SupplyCurve_Raw[Resource "&amp;V$14&amp;"]"),
NYSERDA_SupplyCurve_Raw[Interconnection Zone],$G23,NYSERDA_SupplyCurve_Raw[CapEx Bin],$H23,NYSERDA_SupplyCurve_Raw[Technology Type],$F23),"")</f>
        <v>0.99541170168847604</v>
      </c>
      <c r="W23" s="201">
        <f ca="1">IFERROR(AVERAGEIFS(INDIRECT("NYSERDA_SupplyCurve_Raw[Resource "&amp;W$14&amp;"]"),
NYSERDA_SupplyCurve_Raw[Interconnection Zone],$G23,NYSERDA_SupplyCurve_Raw[CapEx Bin],$H23,NYSERDA_SupplyCurve_Raw[Technology Type],$F23),"")</f>
        <v>1.0060348317132135</v>
      </c>
      <c r="X23" s="201">
        <f ca="1">IFERROR(AVERAGEIFS(INDIRECT("NYSERDA_SupplyCurve_Raw[Resource "&amp;X$14&amp;"]"),
NYSERDA_SupplyCurve_Raw[Interconnection Zone],$G23,NYSERDA_SupplyCurve_Raw[CapEx Bin],$H23,NYSERDA_SupplyCurve_Raw[Technology Type],$F23),"")</f>
        <v>1.0169311841464153</v>
      </c>
      <c r="Y23" s="201">
        <f ca="1">IFERROR(AVERAGEIFS(INDIRECT("NYSERDA_SupplyCurve_Raw[Resource "&amp;Y$14&amp;"]"),
NYSERDA_SupplyCurve_Raw[Interconnection Zone],$G23,NYSERDA_SupplyCurve_Raw[CapEx Bin],$H23,NYSERDA_SupplyCurve_Raw[Technology Type],$F23),"")</f>
        <v>1.0281056158381716</v>
      </c>
      <c r="Z23" s="201">
        <f ca="1">IFERROR(AVERAGEIFS(INDIRECT("NYSERDA_SupplyCurve_Raw[Resource "&amp;Z$14&amp;"]"),
NYSERDA_SupplyCurve_Raw[Interconnection Zone],$G23,NYSERDA_SupplyCurve_Raw[CapEx Bin],$H23,NYSERDA_SupplyCurve_Raw[Technology Type],$F23),"")</f>
        <v>1.0395630868515546</v>
      </c>
      <c r="AA23" s="201">
        <f ca="1">IFERROR(AVERAGEIFS(INDIRECT("NYSERDA_SupplyCurve_Raw[Resource "&amp;AA$14&amp;"]"),
NYSERDA_SupplyCurve_Raw[Interconnection Zone],$G23,NYSERDA_SupplyCurve_Raw[CapEx Bin],$H23,NYSERDA_SupplyCurve_Raw[Technology Type],$F23),"")</f>
        <v>1.0513086624661192</v>
      </c>
      <c r="AB23" s="201">
        <f ca="1">IFERROR(AVERAGEIFS(INDIRECT("NYSERDA_SupplyCurve_Raw[Resource "&amp;AB$14&amp;"]"),
NYSERDA_SupplyCurve_Raw[Interconnection Zone],$G23,NYSERDA_SupplyCurve_Raw[CapEx Bin],$H23,NYSERDA_SupplyCurve_Raw[Technology Type],$F23),"")</f>
        <v>1.0633475152220779</v>
      </c>
      <c r="AC23" s="201">
        <f ca="1">IFERROR(AVERAGEIFS(INDIRECT("NYSERDA_SupplyCurve_Raw[Resource "&amp;AC$14&amp;"]"),
NYSERDA_SupplyCurve_Raw[Interconnection Zone],$G23,NYSERDA_SupplyCurve_Raw[CapEx Bin],$H23,NYSERDA_SupplyCurve_Raw[Technology Type],$F23),"")</f>
        <v>1.0756849270059701</v>
      </c>
    </row>
    <row r="24" spans="3:29" x14ac:dyDescent="0.35">
      <c r="C24" t="s">
        <v>739</v>
      </c>
      <c r="D24" t="s">
        <v>741</v>
      </c>
      <c r="E24" t="str">
        <f>NYSERDA_SupplyProcessed[[#This Row],[Technology_Lookup]]&amp;"_"&amp;NYSERDA_SupplyProcessed[[#This Row],[Region]]&amp;"_"&amp;NYSERDA_SupplyProcessed[[#This Row],[CapEx_Lookup]]</f>
        <v>Utility-scale Solar_Rest of State_All</v>
      </c>
      <c r="F24" t="s">
        <v>743</v>
      </c>
      <c r="G24" t="s">
        <v>740</v>
      </c>
      <c r="H24" t="s">
        <v>555</v>
      </c>
      <c r="I24" s="175">
        <f>SUMIFS(NYSERDA_SupplyCurve_Raw[Available Capacity (MWac)],NYSERDA_SupplyCurve_Raw[Interconnection Zone],$G24,NYSERDA_SupplyCurve_Raw[CapEx Bin],$H24,NYSERDA_SupplyCurve_Raw[Technology Type],$F24)</f>
        <v>72112.109063620752</v>
      </c>
      <c r="J24" s="175">
        <f>IF($I24&gt;0,SUMIFS(NYSERDA_SupplyCurve_Raw[Total Capex Cost (thousand $)],NYSERDA_SupplyCurve_Raw[Interconnection Zone],$G24,NYSERDA_SupplyCurve_Raw[CapEx Bin],$H24,NYSERDA_SupplyCurve_Raw[Technology Type],$F24)/$I24,"")</f>
        <v>1894.5205943214773</v>
      </c>
      <c r="K24" s="203">
        <f>IF($I24&gt;0,SUMIFS(NYSERDA_SupplyCurve_Raw[Total OpEx Cost (thousand $ / kW- year)],NYSERDA_SupplyCurve_Raw[Interconnection Zone],$G24,NYSERDA_SupplyCurve_Raw[CapEx Bin],$H24,NYSERDA_SupplyCurve_Raw[Technology Type],$F24)/$I24,"")</f>
        <v>27.399734049805161</v>
      </c>
      <c r="L24" s="201">
        <f>IF($I24&gt;0,SUMIFS(NYSERDA_SupplyCurve_Raw[Avg OpEx x Total Generation],NYSERDA_SupplyCurve_Raw[Interconnection Zone],$G24,NYSERDA_SupplyCurve_Raw[CapEx Bin],$H24,NYSERDA_SupplyCurve_Raw[Technology Type],$F24)/$I24,"")</f>
        <v>0.20339353988861344</v>
      </c>
      <c r="M24" s="201">
        <f ca="1">IFERROR(AVERAGEIFS(INDIRECT("NYSERDA_SupplyCurve_Raw[Resource "&amp;M$14&amp;"]"),
NYSERDA_SupplyCurve_Raw[Interconnection Zone],$G24,NYSERDA_SupplyCurve_Raw[CapEx Bin],$H24,NYSERDA_SupplyCurve_Raw[Technology Type],$F24),"")</f>
        <v>1</v>
      </c>
      <c r="N24" s="201">
        <f ca="1">IFERROR(AVERAGEIFS(INDIRECT("NYSERDA_SupplyCurve_Raw[Resource "&amp;N$14&amp;"]"),
NYSERDA_SupplyCurve_Raw[Interconnection Zone],$G24,NYSERDA_SupplyCurve_Raw[CapEx Bin],$H24,NYSERDA_SupplyCurve_Raw[Technology Type],$F24),"")</f>
        <v>0.98205557700657786</v>
      </c>
      <c r="O24" s="201">
        <f ca="1">IFERROR(AVERAGEIFS(INDIRECT("NYSERDA_SupplyCurve_Raw[Resource "&amp;O$14&amp;"]"),
NYSERDA_SupplyCurve_Raw[Interconnection Zone],$G24,NYSERDA_SupplyCurve_Raw[CapEx Bin],$H24,NYSERDA_SupplyCurve_Raw[Technology Type],$F24),"")</f>
        <v>0.9750864368776675</v>
      </c>
      <c r="P24" s="201">
        <f ca="1">IFERROR(AVERAGEIFS(INDIRECT("NYSERDA_SupplyCurve_Raw[Resource "&amp;P$14&amp;"]"),
NYSERDA_SupplyCurve_Raw[Interconnection Zone],$G24,NYSERDA_SupplyCurve_Raw[CapEx Bin],$H24,NYSERDA_SupplyCurve_Raw[Technology Type],$F24),"")</f>
        <v>0.97106869788234929</v>
      </c>
      <c r="Q24" s="201">
        <f ca="1">IFERROR(AVERAGEIFS(INDIRECT("NYSERDA_SupplyCurve_Raw[Resource "&amp;Q$14&amp;"]"),
NYSERDA_SupplyCurve_Raw[Interconnection Zone],$G24,NYSERDA_SupplyCurve_Raw[CapEx Bin],$H24,NYSERDA_SupplyCurve_Raw[Technology Type],$F24),"")</f>
        <v>0.96272883825255917</v>
      </c>
      <c r="R24" s="201">
        <f ca="1">IFERROR(AVERAGEIFS(INDIRECT("NYSERDA_SupplyCurve_Raw[Resource "&amp;R$14&amp;"]"),
NYSERDA_SupplyCurve_Raw[Interconnection Zone],$G24,NYSERDA_SupplyCurve_Raw[CapEx Bin],$H24,NYSERDA_SupplyCurve_Raw[Technology Type],$F24),"")</f>
        <v>0.96698974982375197</v>
      </c>
      <c r="S24" s="201">
        <f ca="1">IFERROR(AVERAGEIFS(INDIRECT("NYSERDA_SupplyCurve_Raw[Resource "&amp;S$14&amp;"]"),
NYSERDA_SupplyCurve_Raw[Interconnection Zone],$G24,NYSERDA_SupplyCurve_Raw[CapEx Bin],$H24,NYSERDA_SupplyCurve_Raw[Technology Type],$F24),"")</f>
        <v>0.97267407052031751</v>
      </c>
      <c r="T24" s="201">
        <f ca="1">IFERROR(AVERAGEIFS(INDIRECT("NYSERDA_SupplyCurve_Raw[Resource "&amp;T$14&amp;"]"),
NYSERDA_SupplyCurve_Raw[Interconnection Zone],$G24,NYSERDA_SupplyCurve_Raw[CapEx Bin],$H24,NYSERDA_SupplyCurve_Raw[Technology Type],$F24),"")</f>
        <v>0.9786955767923885</v>
      </c>
      <c r="U24" s="201">
        <f ca="1">IFERROR(AVERAGEIFS(INDIRECT("NYSERDA_SupplyCurve_Raw[Resource "&amp;U$14&amp;"]"),
NYSERDA_SupplyCurve_Raw[Interconnection Zone],$G24,NYSERDA_SupplyCurve_Raw[CapEx Bin],$H24,NYSERDA_SupplyCurve_Raw[Technology Type],$F24),"")</f>
        <v>0.98505703847148196</v>
      </c>
      <c r="V24" s="201">
        <f ca="1">IFERROR(AVERAGEIFS(INDIRECT("NYSERDA_SupplyCurve_Raw[Resource "&amp;V$14&amp;"]"),
NYSERDA_SupplyCurve_Raw[Interconnection Zone],$G24,NYSERDA_SupplyCurve_Raw[CapEx Bin],$H24,NYSERDA_SupplyCurve_Raw[Technology Type],$F24),"")</f>
        <v>0.9954117016884767</v>
      </c>
      <c r="W24" s="201">
        <f ca="1">IFERROR(AVERAGEIFS(INDIRECT("NYSERDA_SupplyCurve_Raw[Resource "&amp;W$14&amp;"]"),
NYSERDA_SupplyCurve_Raw[Interconnection Zone],$G24,NYSERDA_SupplyCurve_Raw[CapEx Bin],$H24,NYSERDA_SupplyCurve_Raw[Technology Type],$F24),"")</f>
        <v>1.0060348317132131</v>
      </c>
      <c r="X24" s="201">
        <f ca="1">IFERROR(AVERAGEIFS(INDIRECT("NYSERDA_SupplyCurve_Raw[Resource "&amp;X$14&amp;"]"),
NYSERDA_SupplyCurve_Raw[Interconnection Zone],$G24,NYSERDA_SupplyCurve_Raw[CapEx Bin],$H24,NYSERDA_SupplyCurve_Raw[Technology Type],$F24),"")</f>
        <v>1.0169311841464153</v>
      </c>
      <c r="Y24" s="201">
        <f ca="1">IFERROR(AVERAGEIFS(INDIRECT("NYSERDA_SupplyCurve_Raw[Resource "&amp;Y$14&amp;"]"),
NYSERDA_SupplyCurve_Raw[Interconnection Zone],$G24,NYSERDA_SupplyCurve_Raw[CapEx Bin],$H24,NYSERDA_SupplyCurve_Raw[Technology Type],$F24),"")</f>
        <v>1.0281056158381716</v>
      </c>
      <c r="Z24" s="201">
        <f ca="1">IFERROR(AVERAGEIFS(INDIRECT("NYSERDA_SupplyCurve_Raw[Resource "&amp;Z$14&amp;"]"),
NYSERDA_SupplyCurve_Raw[Interconnection Zone],$G24,NYSERDA_SupplyCurve_Raw[CapEx Bin],$H24,NYSERDA_SupplyCurve_Raw[Technology Type],$F24),"")</f>
        <v>1.0395630868515555</v>
      </c>
      <c r="AA24" s="201">
        <f ca="1">IFERROR(AVERAGEIFS(INDIRECT("NYSERDA_SupplyCurve_Raw[Resource "&amp;AA$14&amp;"]"),
NYSERDA_SupplyCurve_Raw[Interconnection Zone],$G24,NYSERDA_SupplyCurve_Raw[CapEx Bin],$H24,NYSERDA_SupplyCurve_Raw[Technology Type],$F24),"")</f>
        <v>1.0513086624661179</v>
      </c>
      <c r="AB24" s="201">
        <f ca="1">IFERROR(AVERAGEIFS(INDIRECT("NYSERDA_SupplyCurve_Raw[Resource "&amp;AB$14&amp;"]"),
NYSERDA_SupplyCurve_Raw[Interconnection Zone],$G24,NYSERDA_SupplyCurve_Raw[CapEx Bin],$H24,NYSERDA_SupplyCurve_Raw[Technology Type],$F24),"")</f>
        <v>1.0633475152220773</v>
      </c>
      <c r="AC24" s="201">
        <f ca="1">IFERROR(AVERAGEIFS(INDIRECT("NYSERDA_SupplyCurve_Raw[Resource "&amp;AC$14&amp;"]"),
NYSERDA_SupplyCurve_Raw[Interconnection Zone],$G24,NYSERDA_SupplyCurve_Raw[CapEx Bin],$H24,NYSERDA_SupplyCurve_Raw[Technology Type],$F24),"")</f>
        <v>1.0756849270059701</v>
      </c>
    </row>
    <row r="25" spans="3:29" x14ac:dyDescent="0.35">
      <c r="C25" t="s">
        <v>735</v>
      </c>
      <c r="D25" t="s">
        <v>744</v>
      </c>
      <c r="E25" t="str">
        <f>NYSERDA_SupplyProcessed[[#This Row],[Technology_Lookup]]&amp;"_"&amp;NYSERDA_SupplyProcessed[[#This Row],[Region]]&amp;"_"&amp;NYSERDA_SupplyProcessed[[#This Row],[CapEx_Lookup]]</f>
        <v>Offshore Wind - Fixed Bottom_NYC_Fixed Bottom</v>
      </c>
      <c r="F25" s="202" t="s">
        <v>745</v>
      </c>
      <c r="G25" t="s">
        <v>738</v>
      </c>
      <c r="H25" t="s">
        <v>555</v>
      </c>
      <c r="I25" s="175">
        <f>SUMIFS(NYSERDA_SupplyCurve_Raw[Available Capacity (MWac)],NYSERDA_SupplyCurve_Raw[Interconnection Zone],$G25,NYSERDA_SupplyCurve_Raw[CapEx Bin],$H25,NYSERDA_SupplyCurve_Raw[Technology Type],$F25)</f>
        <v>4137.5249999999996</v>
      </c>
      <c r="J25" s="175">
        <f>IF($I25&gt;0,SUMIFS(NYSERDA_SupplyCurve_Raw[Total Capex Cost (thousand $)],NYSERDA_SupplyCurve_Raw[Interconnection Zone],$G25,NYSERDA_SupplyCurve_Raw[CapEx Bin],$H25,NYSERDA_SupplyCurve_Raw[Technology Type],$F25)/$I25,"")</f>
        <v>5419.3638584630417</v>
      </c>
      <c r="K25" s="203">
        <f>IF($I25&gt;0,SUMIFS(NYSERDA_SupplyCurve_Raw[Total OpEx Cost (thousand $ / kW- year)],NYSERDA_SupplyCurve_Raw[Interconnection Zone],$G25,NYSERDA_SupplyCurve_Raw[CapEx Bin],$H25,NYSERDA_SupplyCurve_Raw[Technology Type],$F25)/$I25,"")</f>
        <v>87.521854559370681</v>
      </c>
      <c r="L25" s="201">
        <f>IF($I25&gt;0,SUMIFS(NYSERDA_SupplyCurve_Raw[Avg OpEx x Total Generation],NYSERDA_SupplyCurve_Raw[Interconnection Zone],$G25,NYSERDA_SupplyCurve_Raw[CapEx Bin],$H25,NYSERDA_SupplyCurve_Raw[Technology Type],$F25)/$I25,"")</f>
        <v>0.5446427240420032</v>
      </c>
      <c r="M25" s="201">
        <f ca="1">IFERROR(AVERAGEIFS(INDIRECT("NYSERDA_SupplyCurve_Raw[Resource "&amp;M$14&amp;"]"),
NYSERDA_SupplyCurve_Raw[Interconnection Zone],$G25,NYSERDA_SupplyCurve_Raw[CapEx Bin],$H25,NYSERDA_SupplyCurve_Raw[Technology Type],$F25),"")</f>
        <v>0.92827576817647051</v>
      </c>
      <c r="N25" s="201">
        <f ca="1">IFERROR(AVERAGEIFS(INDIRECT("NYSERDA_SupplyCurve_Raw[Resource "&amp;N$14&amp;"]"),
NYSERDA_SupplyCurve_Raw[Interconnection Zone],$G25,NYSERDA_SupplyCurve_Raw[CapEx Bin],$H25,NYSERDA_SupplyCurve_Raw[Technology Type],$F25),"")</f>
        <v>1.0089777427723123</v>
      </c>
      <c r="O25" s="201">
        <f ca="1">IFERROR(AVERAGEIFS(INDIRECT("NYSERDA_SupplyCurve_Raw[Resource "&amp;O$14&amp;"]"),
NYSERDA_SupplyCurve_Raw[Interconnection Zone],$G25,NYSERDA_SupplyCurve_Raw[CapEx Bin],$H25,NYSERDA_SupplyCurve_Raw[Technology Type],$F25),"")</f>
        <v>1.0929009503181972</v>
      </c>
      <c r="P25" s="201">
        <f ca="1">IFERROR(AVERAGEIFS(INDIRECT("NYSERDA_SupplyCurve_Raw[Resource "&amp;P$14&amp;"]"),
NYSERDA_SupplyCurve_Raw[Interconnection Zone],$G25,NYSERDA_SupplyCurve_Raw[CapEx Bin],$H25,NYSERDA_SupplyCurve_Raw[Technology Type],$F25),"")</f>
        <v>1.0714527691682025</v>
      </c>
      <c r="Q25" s="201">
        <f ca="1">IFERROR(AVERAGEIFS(INDIRECT("NYSERDA_SupplyCurve_Raw[Resource "&amp;Q$14&amp;"]"),
NYSERDA_SupplyCurve_Raw[Interconnection Zone],$G25,NYSERDA_SupplyCurve_Raw[CapEx Bin],$H25,NYSERDA_SupplyCurve_Raw[Technology Type],$F25),"")</f>
        <v>1.0484398270825896</v>
      </c>
      <c r="R25" s="201">
        <f ca="1">IFERROR(AVERAGEIFS(INDIRECT("NYSERDA_SupplyCurve_Raw[Resource "&amp;R$14&amp;"]"),
NYSERDA_SupplyCurve_Raw[Interconnection Zone],$G25,NYSERDA_SupplyCurve_Raw[CapEx Bin],$H25,NYSERDA_SupplyCurve_Raw[Technology Type],$F25),"")</f>
        <v>1.023801491146149</v>
      </c>
      <c r="S25" s="201">
        <f ca="1">IFERROR(AVERAGEIFS(INDIRECT("NYSERDA_SupplyCurve_Raw[Resource "&amp;S$14&amp;"]"),
NYSERDA_SupplyCurve_Raw[Interconnection Zone],$G25,NYSERDA_SupplyCurve_Raw[CapEx Bin],$H25,NYSERDA_SupplyCurve_Raw[Technology Type],$F25),"")</f>
        <v>0.9974751670881048</v>
      </c>
      <c r="T25" s="201">
        <f ca="1">IFERROR(AVERAGEIFS(INDIRECT("NYSERDA_SupplyCurve_Raw[Resource "&amp;T$14&amp;"]"),
NYSERDA_SupplyCurve_Raw[Interconnection Zone],$G25,NYSERDA_SupplyCurve_Raw[CapEx Bin],$H25,NYSERDA_SupplyCurve_Raw[Technology Type],$F25),"")</f>
        <v>0.99475266119684524</v>
      </c>
      <c r="U25" s="201">
        <f ca="1">IFERROR(AVERAGEIFS(INDIRECT("NYSERDA_SupplyCurve_Raw[Resource "&amp;U$14&amp;"]"),
NYSERDA_SupplyCurve_Raw[Interconnection Zone],$G25,NYSERDA_SupplyCurve_Raw[CapEx Bin],$H25,NYSERDA_SupplyCurve_Raw[Technology Type],$F25),"")</f>
        <v>0.98662584431917733</v>
      </c>
      <c r="V25" s="201">
        <f ca="1">IFERROR(AVERAGEIFS(INDIRECT("NYSERDA_SupplyCurve_Raw[Resource "&amp;V$14&amp;"]"),
NYSERDA_SupplyCurve_Raw[Interconnection Zone],$G25,NYSERDA_SupplyCurve_Raw[CapEx Bin],$H25,NYSERDA_SupplyCurve_Raw[Technology Type],$F25),"")</f>
        <v>0.98262282519072996</v>
      </c>
      <c r="W25" s="201">
        <f ca="1">IFERROR(AVERAGEIFS(INDIRECT("NYSERDA_SupplyCurve_Raw[Resource "&amp;W$14&amp;"]"),
NYSERDA_SupplyCurve_Raw[Interconnection Zone],$G25,NYSERDA_SupplyCurve_Raw[CapEx Bin],$H25,NYSERDA_SupplyCurve_Raw[Technology Type],$F25),"")</f>
        <v>0.98160628494334323</v>
      </c>
      <c r="X25" s="201">
        <f ca="1">IFERROR(AVERAGEIFS(INDIRECT("NYSERDA_SupplyCurve_Raw[Resource "&amp;X$14&amp;"]"),
NYSERDA_SupplyCurve_Raw[Interconnection Zone],$G25,NYSERDA_SupplyCurve_Raw[CapEx Bin],$H25,NYSERDA_SupplyCurve_Raw[Technology Type],$F25),"")</f>
        <v>0.98263096797591432</v>
      </c>
      <c r="Y25" s="201">
        <f ca="1">IFERROR(AVERAGEIFS(INDIRECT("NYSERDA_SupplyCurve_Raw[Resource "&amp;Y$14&amp;"]"),
NYSERDA_SupplyCurve_Raw[Interconnection Zone],$G25,NYSERDA_SupplyCurve_Raw[CapEx Bin],$H25,NYSERDA_SupplyCurve_Raw[Technology Type],$F25),"")</f>
        <v>0.98368707364521513</v>
      </c>
      <c r="Z25" s="201">
        <f ca="1">IFERROR(AVERAGEIFS(INDIRECT("NYSERDA_SupplyCurve_Raw[Resource "&amp;Z$14&amp;"]"),
NYSERDA_SupplyCurve_Raw[Interconnection Zone],$G25,NYSERDA_SupplyCurve_Raw[CapEx Bin],$H25,NYSERDA_SupplyCurve_Raw[Technology Type],$F25),"")</f>
        <v>0.98604391453480555</v>
      </c>
      <c r="AA25" s="201">
        <f ca="1">IFERROR(AVERAGEIFS(INDIRECT("NYSERDA_SupplyCurve_Raw[Resource "&amp;AA$14&amp;"]"),
NYSERDA_SupplyCurve_Raw[Interconnection Zone],$G25,NYSERDA_SupplyCurve_Raw[CapEx Bin],$H25,NYSERDA_SupplyCurve_Raw[Technology Type],$F25),"")</f>
        <v>0.98960779492998296</v>
      </c>
      <c r="AB25" s="201">
        <f ca="1">IFERROR(AVERAGEIFS(INDIRECT("NYSERDA_SupplyCurve_Raw[Resource "&amp;AB$14&amp;"]"),
NYSERDA_SupplyCurve_Raw[Interconnection Zone],$G25,NYSERDA_SupplyCurve_Raw[CapEx Bin],$H25,NYSERDA_SupplyCurve_Raw[Technology Type],$F25),"")</f>
        <v>0.99428767166828014</v>
      </c>
      <c r="AC25" s="201">
        <f ca="1">IFERROR(AVERAGEIFS(INDIRECT("NYSERDA_SupplyCurve_Raw[Resource "&amp;AC$14&amp;"]"),
NYSERDA_SupplyCurve_Raw[Interconnection Zone],$G25,NYSERDA_SupplyCurve_Raw[CapEx Bin],$H25,NYSERDA_SupplyCurve_Raw[Technology Type],$F25),"")</f>
        <v>1</v>
      </c>
    </row>
    <row r="26" spans="3:29" x14ac:dyDescent="0.35">
      <c r="C26" t="s">
        <v>739</v>
      </c>
      <c r="D26" t="s">
        <v>744</v>
      </c>
      <c r="E26" t="str">
        <f>NYSERDA_SupplyProcessed[[#This Row],[Technology_Lookup]]&amp;"_"&amp;NYSERDA_SupplyProcessed[[#This Row],[Region]]&amp;"_"&amp;NYSERDA_SupplyProcessed[[#This Row],[CapEx_Lookup]]</f>
        <v>Offshore Wind - Fixed Bottom_Rest of State_Fixed Bottom</v>
      </c>
      <c r="F26" s="202" t="s">
        <v>745</v>
      </c>
      <c r="G26" t="s">
        <v>740</v>
      </c>
      <c r="H26" t="s">
        <v>555</v>
      </c>
      <c r="I26" s="175">
        <f>SUMIFS(NYSERDA_SupplyCurve_Raw[Available Capacity (MWac)],NYSERDA_SupplyCurve_Raw[Interconnection Zone],$G26,NYSERDA_SupplyCurve_Raw[CapEx Bin],$H26,NYSERDA_SupplyCurve_Raw[Technology Type],$F26)</f>
        <v>10890.374999999998</v>
      </c>
      <c r="J26" s="175">
        <f>IF($I26&gt;0,SUMIFS(NYSERDA_SupplyCurve_Raw[Total Capex Cost (thousand $)],NYSERDA_SupplyCurve_Raw[Interconnection Zone],$G26,NYSERDA_SupplyCurve_Raw[CapEx Bin],$H26,NYSERDA_SupplyCurve_Raw[Technology Type],$F26)/$I26,"")</f>
        <v>5198.2302597863782</v>
      </c>
      <c r="K26" s="203">
        <f>IF($I26&gt;0,SUMIFS(NYSERDA_SupplyCurve_Raw[Total OpEx Cost (thousand $ / kW- year)],NYSERDA_SupplyCurve_Raw[Interconnection Zone],$G26,NYSERDA_SupplyCurve_Raw[CapEx Bin],$H26,NYSERDA_SupplyCurve_Raw[Technology Type],$F26)/$I26,"")</f>
        <v>86.229803764641275</v>
      </c>
      <c r="L26" s="201">
        <f>IF($I26&gt;0,SUMIFS(NYSERDA_SupplyCurve_Raw[Avg OpEx x Total Generation],NYSERDA_SupplyCurve_Raw[Interconnection Zone],$G26,NYSERDA_SupplyCurve_Raw[CapEx Bin],$H26,NYSERDA_SupplyCurve_Raw[Technology Type],$F26)/$I26,"")</f>
        <v>0.55383249139828772</v>
      </c>
      <c r="M26" s="201">
        <f ca="1">IFERROR(AVERAGEIFS(INDIRECT("NYSERDA_SupplyCurve_Raw[Resource "&amp;M$14&amp;"]"),
NYSERDA_SupplyCurve_Raw[Interconnection Zone],$G26,NYSERDA_SupplyCurve_Raw[CapEx Bin],$H26,NYSERDA_SupplyCurve_Raw[Technology Type],$F26),"")</f>
        <v>0.92827576817647039</v>
      </c>
      <c r="N26" s="201">
        <f ca="1">IFERROR(AVERAGEIFS(INDIRECT("NYSERDA_SupplyCurve_Raw[Resource "&amp;N$14&amp;"]"),
NYSERDA_SupplyCurve_Raw[Interconnection Zone],$G26,NYSERDA_SupplyCurve_Raw[CapEx Bin],$H26,NYSERDA_SupplyCurve_Raw[Technology Type],$F26),"")</f>
        <v>1.0089777427723123</v>
      </c>
      <c r="O26" s="201">
        <f ca="1">IFERROR(AVERAGEIFS(INDIRECT("NYSERDA_SupplyCurve_Raw[Resource "&amp;O$14&amp;"]"),
NYSERDA_SupplyCurve_Raw[Interconnection Zone],$G26,NYSERDA_SupplyCurve_Raw[CapEx Bin],$H26,NYSERDA_SupplyCurve_Raw[Technology Type],$F26),"")</f>
        <v>1.0929009503181972</v>
      </c>
      <c r="P26" s="201">
        <f ca="1">IFERROR(AVERAGEIFS(INDIRECT("NYSERDA_SupplyCurve_Raw[Resource "&amp;P$14&amp;"]"),
NYSERDA_SupplyCurve_Raw[Interconnection Zone],$G26,NYSERDA_SupplyCurve_Raw[CapEx Bin],$H26,NYSERDA_SupplyCurve_Raw[Technology Type],$F26),"")</f>
        <v>1.0714527691682023</v>
      </c>
      <c r="Q26" s="201">
        <f ca="1">IFERROR(AVERAGEIFS(INDIRECT("NYSERDA_SupplyCurve_Raw[Resource "&amp;Q$14&amp;"]"),
NYSERDA_SupplyCurve_Raw[Interconnection Zone],$G26,NYSERDA_SupplyCurve_Raw[CapEx Bin],$H26,NYSERDA_SupplyCurve_Raw[Technology Type],$F26),"")</f>
        <v>1.0484398270825894</v>
      </c>
      <c r="R26" s="201">
        <f ca="1">IFERROR(AVERAGEIFS(INDIRECT("NYSERDA_SupplyCurve_Raw[Resource "&amp;R$14&amp;"]"),
NYSERDA_SupplyCurve_Raw[Interconnection Zone],$G26,NYSERDA_SupplyCurve_Raw[CapEx Bin],$H26,NYSERDA_SupplyCurve_Raw[Technology Type],$F26),"")</f>
        <v>1.0238014911461488</v>
      </c>
      <c r="S26" s="201">
        <f ca="1">IFERROR(AVERAGEIFS(INDIRECT("NYSERDA_SupplyCurve_Raw[Resource "&amp;S$14&amp;"]"),
NYSERDA_SupplyCurve_Raw[Interconnection Zone],$G26,NYSERDA_SupplyCurve_Raw[CapEx Bin],$H26,NYSERDA_SupplyCurve_Raw[Technology Type],$F26),"")</f>
        <v>0.9974751670881048</v>
      </c>
      <c r="T26" s="201">
        <f ca="1">IFERROR(AVERAGEIFS(INDIRECT("NYSERDA_SupplyCurve_Raw[Resource "&amp;T$14&amp;"]"),
NYSERDA_SupplyCurve_Raw[Interconnection Zone],$G26,NYSERDA_SupplyCurve_Raw[CapEx Bin],$H26,NYSERDA_SupplyCurve_Raw[Technology Type],$F26),"")</f>
        <v>0.99475266119684513</v>
      </c>
      <c r="U26" s="201">
        <f ca="1">IFERROR(AVERAGEIFS(INDIRECT("NYSERDA_SupplyCurve_Raw[Resource "&amp;U$14&amp;"]"),
NYSERDA_SupplyCurve_Raw[Interconnection Zone],$G26,NYSERDA_SupplyCurve_Raw[CapEx Bin],$H26,NYSERDA_SupplyCurve_Raw[Technology Type],$F26),"")</f>
        <v>0.9866258443191771</v>
      </c>
      <c r="V26" s="201">
        <f ca="1">IFERROR(AVERAGEIFS(INDIRECT("NYSERDA_SupplyCurve_Raw[Resource "&amp;V$14&amp;"]"),
NYSERDA_SupplyCurve_Raw[Interconnection Zone],$G26,NYSERDA_SupplyCurve_Raw[CapEx Bin],$H26,NYSERDA_SupplyCurve_Raw[Technology Type],$F26),"")</f>
        <v>0.98262282519072985</v>
      </c>
      <c r="W26" s="201">
        <f ca="1">IFERROR(AVERAGEIFS(INDIRECT("NYSERDA_SupplyCurve_Raw[Resource "&amp;W$14&amp;"]"),
NYSERDA_SupplyCurve_Raw[Interconnection Zone],$G26,NYSERDA_SupplyCurve_Raw[CapEx Bin],$H26,NYSERDA_SupplyCurve_Raw[Technology Type],$F26),"")</f>
        <v>0.98160628494334312</v>
      </c>
      <c r="X26" s="201">
        <f ca="1">IFERROR(AVERAGEIFS(INDIRECT("NYSERDA_SupplyCurve_Raw[Resource "&amp;X$14&amp;"]"),
NYSERDA_SupplyCurve_Raw[Interconnection Zone],$G26,NYSERDA_SupplyCurve_Raw[CapEx Bin],$H26,NYSERDA_SupplyCurve_Raw[Technology Type],$F26),"")</f>
        <v>0.98263096797591432</v>
      </c>
      <c r="Y26" s="201">
        <f ca="1">IFERROR(AVERAGEIFS(INDIRECT("NYSERDA_SupplyCurve_Raw[Resource "&amp;Y$14&amp;"]"),
NYSERDA_SupplyCurve_Raw[Interconnection Zone],$G26,NYSERDA_SupplyCurve_Raw[CapEx Bin],$H26,NYSERDA_SupplyCurve_Raw[Technology Type],$F26),"")</f>
        <v>0.98368707364521524</v>
      </c>
      <c r="Z26" s="201">
        <f ca="1">IFERROR(AVERAGEIFS(INDIRECT("NYSERDA_SupplyCurve_Raw[Resource "&amp;Z$14&amp;"]"),
NYSERDA_SupplyCurve_Raw[Interconnection Zone],$G26,NYSERDA_SupplyCurve_Raw[CapEx Bin],$H26,NYSERDA_SupplyCurve_Raw[Technology Type],$F26),"")</f>
        <v>0.98604391453480567</v>
      </c>
      <c r="AA26" s="201">
        <f ca="1">IFERROR(AVERAGEIFS(INDIRECT("NYSERDA_SupplyCurve_Raw[Resource "&amp;AA$14&amp;"]"),
NYSERDA_SupplyCurve_Raw[Interconnection Zone],$G26,NYSERDA_SupplyCurve_Raw[CapEx Bin],$H26,NYSERDA_SupplyCurve_Raw[Technology Type],$F26),"")</f>
        <v>0.98960779492998285</v>
      </c>
      <c r="AB26" s="201">
        <f ca="1">IFERROR(AVERAGEIFS(INDIRECT("NYSERDA_SupplyCurve_Raw[Resource "&amp;AB$14&amp;"]"),
NYSERDA_SupplyCurve_Raw[Interconnection Zone],$G26,NYSERDA_SupplyCurve_Raw[CapEx Bin],$H26,NYSERDA_SupplyCurve_Raw[Technology Type],$F26),"")</f>
        <v>0.99428767166828003</v>
      </c>
      <c r="AC26" s="201">
        <f ca="1">IFERROR(AVERAGEIFS(INDIRECT("NYSERDA_SupplyCurve_Raw[Resource "&amp;AC$14&amp;"]"),
NYSERDA_SupplyCurve_Raw[Interconnection Zone],$G26,NYSERDA_SupplyCurve_Raw[CapEx Bin],$H26,NYSERDA_SupplyCurve_Raw[Technology Type],$F26),"")</f>
        <v>1</v>
      </c>
    </row>
    <row r="27" spans="3:29" x14ac:dyDescent="0.35">
      <c r="C27" t="s">
        <v>741</v>
      </c>
      <c r="D27" t="s">
        <v>744</v>
      </c>
      <c r="E27" t="str">
        <f>NYSERDA_SupplyProcessed[[#This Row],[Technology_Lookup]]&amp;"_"&amp;NYSERDA_SupplyProcessed[[#This Row],[Region]]&amp;"_"&amp;NYSERDA_SupplyProcessed[[#This Row],[CapEx_Lookup]]</f>
        <v>Offshore Wind - Fixed Bottom_All_Fixed Bottom</v>
      </c>
      <c r="F27" s="202" t="s">
        <v>745</v>
      </c>
      <c r="G27" t="s">
        <v>555</v>
      </c>
      <c r="H27" t="s">
        <v>555</v>
      </c>
      <c r="I27" s="175">
        <f>SUMIFS(NYSERDA_SupplyCurve_Raw[Available Capacity (MWac)],NYSERDA_SupplyCurve_Raw[Interconnection Zone],$G27,NYSERDA_SupplyCurve_Raw[CapEx Bin],$H27,NYSERDA_SupplyCurve_Raw[Technology Type],$F27)</f>
        <v>15027.899999999998</v>
      </c>
      <c r="J27" s="175">
        <f>IF($I27&gt;0,SUMIFS(NYSERDA_SupplyCurve_Raw[Total Capex Cost (thousand $)],NYSERDA_SupplyCurve_Raw[Interconnection Zone],$G27,NYSERDA_SupplyCurve_Raw[CapEx Bin],$H27,NYSERDA_SupplyCurve_Raw[Technology Type],$F27)/$I27,"")</f>
        <v>5259.1134033303633</v>
      </c>
      <c r="K27" s="203">
        <f>IF($I27&gt;0,SUMIFS(NYSERDA_SupplyCurve_Raw[Total OpEx Cost (thousand $ / kW- year)],NYSERDA_SupplyCurve_Raw[Interconnection Zone],$G27,NYSERDA_SupplyCurve_Raw[CapEx Bin],$H27,NYSERDA_SupplyCurve_Raw[Technology Type],$F27)/$I27,"")</f>
        <v>86.58553493562745</v>
      </c>
      <c r="L27" s="201">
        <f>IF($I27&gt;0,SUMIFS(NYSERDA_SupplyCurve_Raw[Avg OpEx x Total Generation],NYSERDA_SupplyCurve_Raw[Interconnection Zone],$G27,NYSERDA_SupplyCurve_Raw[CapEx Bin],$H27,NYSERDA_SupplyCurve_Raw[Technology Type],$F27)/$I27,"")</f>
        <v>0.55130233800487882</v>
      </c>
      <c r="M27" s="201">
        <f ca="1">IFERROR(AVERAGEIFS(INDIRECT("NYSERDA_SupplyCurve_Raw[Resource "&amp;M$14&amp;"]"),
NYSERDA_SupplyCurve_Raw[Interconnection Zone],$G27,NYSERDA_SupplyCurve_Raw[CapEx Bin],$H27,NYSERDA_SupplyCurve_Raw[Technology Type],$F27),"")</f>
        <v>0.92827576817647062</v>
      </c>
      <c r="N27" s="201">
        <f ca="1">IFERROR(AVERAGEIFS(INDIRECT("NYSERDA_SupplyCurve_Raw[Resource "&amp;N$14&amp;"]"),
NYSERDA_SupplyCurve_Raw[Interconnection Zone],$G27,NYSERDA_SupplyCurve_Raw[CapEx Bin],$H27,NYSERDA_SupplyCurve_Raw[Technology Type],$F27),"")</f>
        <v>1.0089777427723123</v>
      </c>
      <c r="O27" s="201">
        <f ca="1">IFERROR(AVERAGEIFS(INDIRECT("NYSERDA_SupplyCurve_Raw[Resource "&amp;O$14&amp;"]"),
NYSERDA_SupplyCurve_Raw[Interconnection Zone],$G27,NYSERDA_SupplyCurve_Raw[CapEx Bin],$H27,NYSERDA_SupplyCurve_Raw[Technology Type],$F27),"")</f>
        <v>1.0929009503181975</v>
      </c>
      <c r="P27" s="201">
        <f ca="1">IFERROR(AVERAGEIFS(INDIRECT("NYSERDA_SupplyCurve_Raw[Resource "&amp;P$14&amp;"]"),
NYSERDA_SupplyCurve_Raw[Interconnection Zone],$G27,NYSERDA_SupplyCurve_Raw[CapEx Bin],$H27,NYSERDA_SupplyCurve_Raw[Technology Type],$F27),"")</f>
        <v>1.0714527691682023</v>
      </c>
      <c r="Q27" s="201">
        <f ca="1">IFERROR(AVERAGEIFS(INDIRECT("NYSERDA_SupplyCurve_Raw[Resource "&amp;Q$14&amp;"]"),
NYSERDA_SupplyCurve_Raw[Interconnection Zone],$G27,NYSERDA_SupplyCurve_Raw[CapEx Bin],$H27,NYSERDA_SupplyCurve_Raw[Technology Type],$F27),"")</f>
        <v>1.0484398270825894</v>
      </c>
      <c r="R27" s="201">
        <f ca="1">IFERROR(AVERAGEIFS(INDIRECT("NYSERDA_SupplyCurve_Raw[Resource "&amp;R$14&amp;"]"),
NYSERDA_SupplyCurve_Raw[Interconnection Zone],$G27,NYSERDA_SupplyCurve_Raw[CapEx Bin],$H27,NYSERDA_SupplyCurve_Raw[Technology Type],$F27),"")</f>
        <v>1.0238014911461488</v>
      </c>
      <c r="S27" s="201">
        <f ca="1">IFERROR(AVERAGEIFS(INDIRECT("NYSERDA_SupplyCurve_Raw[Resource "&amp;S$14&amp;"]"),
NYSERDA_SupplyCurve_Raw[Interconnection Zone],$G27,NYSERDA_SupplyCurve_Raw[CapEx Bin],$H27,NYSERDA_SupplyCurve_Raw[Technology Type],$F27),"")</f>
        <v>0.9974751670881048</v>
      </c>
      <c r="T27" s="201">
        <f ca="1">IFERROR(AVERAGEIFS(INDIRECT("NYSERDA_SupplyCurve_Raw[Resource "&amp;T$14&amp;"]"),
NYSERDA_SupplyCurve_Raw[Interconnection Zone],$G27,NYSERDA_SupplyCurve_Raw[CapEx Bin],$H27,NYSERDA_SupplyCurve_Raw[Technology Type],$F27),"")</f>
        <v>0.99475266119684502</v>
      </c>
      <c r="U27" s="201">
        <f ca="1">IFERROR(AVERAGEIFS(INDIRECT("NYSERDA_SupplyCurve_Raw[Resource "&amp;U$14&amp;"]"),
NYSERDA_SupplyCurve_Raw[Interconnection Zone],$G27,NYSERDA_SupplyCurve_Raw[CapEx Bin],$H27,NYSERDA_SupplyCurve_Raw[Technology Type],$F27),"")</f>
        <v>0.98662584431917699</v>
      </c>
      <c r="V27" s="201">
        <f ca="1">IFERROR(AVERAGEIFS(INDIRECT("NYSERDA_SupplyCurve_Raw[Resource "&amp;V$14&amp;"]"),
NYSERDA_SupplyCurve_Raw[Interconnection Zone],$G27,NYSERDA_SupplyCurve_Raw[CapEx Bin],$H27,NYSERDA_SupplyCurve_Raw[Technology Type],$F27),"")</f>
        <v>0.98262282519072974</v>
      </c>
      <c r="W27" s="201">
        <f ca="1">IFERROR(AVERAGEIFS(INDIRECT("NYSERDA_SupplyCurve_Raw[Resource "&amp;W$14&amp;"]"),
NYSERDA_SupplyCurve_Raw[Interconnection Zone],$G27,NYSERDA_SupplyCurve_Raw[CapEx Bin],$H27,NYSERDA_SupplyCurve_Raw[Technology Type],$F27),"")</f>
        <v>0.98160628494334301</v>
      </c>
      <c r="X27" s="201">
        <f ca="1">IFERROR(AVERAGEIFS(INDIRECT("NYSERDA_SupplyCurve_Raw[Resource "&amp;X$14&amp;"]"),
NYSERDA_SupplyCurve_Raw[Interconnection Zone],$G27,NYSERDA_SupplyCurve_Raw[CapEx Bin],$H27,NYSERDA_SupplyCurve_Raw[Technology Type],$F27),"")</f>
        <v>0.98263096797591443</v>
      </c>
      <c r="Y27" s="201">
        <f ca="1">IFERROR(AVERAGEIFS(INDIRECT("NYSERDA_SupplyCurve_Raw[Resource "&amp;Y$14&amp;"]"),
NYSERDA_SupplyCurve_Raw[Interconnection Zone],$G27,NYSERDA_SupplyCurve_Raw[CapEx Bin],$H27,NYSERDA_SupplyCurve_Raw[Technology Type],$F27),"")</f>
        <v>0.98368707364521524</v>
      </c>
      <c r="Z27" s="201">
        <f ca="1">IFERROR(AVERAGEIFS(INDIRECT("NYSERDA_SupplyCurve_Raw[Resource "&amp;Z$14&amp;"]"),
NYSERDA_SupplyCurve_Raw[Interconnection Zone],$G27,NYSERDA_SupplyCurve_Raw[CapEx Bin],$H27,NYSERDA_SupplyCurve_Raw[Technology Type],$F27),"")</f>
        <v>0.98604391453480567</v>
      </c>
      <c r="AA27" s="201">
        <f ca="1">IFERROR(AVERAGEIFS(INDIRECT("NYSERDA_SupplyCurve_Raw[Resource "&amp;AA$14&amp;"]"),
NYSERDA_SupplyCurve_Raw[Interconnection Zone],$G27,NYSERDA_SupplyCurve_Raw[CapEx Bin],$H27,NYSERDA_SupplyCurve_Raw[Technology Type],$F27),"")</f>
        <v>0.98960779492998274</v>
      </c>
      <c r="AB27" s="201">
        <f ca="1">IFERROR(AVERAGEIFS(INDIRECT("NYSERDA_SupplyCurve_Raw[Resource "&amp;AB$14&amp;"]"),
NYSERDA_SupplyCurve_Raw[Interconnection Zone],$G27,NYSERDA_SupplyCurve_Raw[CapEx Bin],$H27,NYSERDA_SupplyCurve_Raw[Technology Type],$F27),"")</f>
        <v>0.99428767166828014</v>
      </c>
      <c r="AC27" s="201">
        <f ca="1">IFERROR(AVERAGEIFS(INDIRECT("NYSERDA_SupplyCurve_Raw[Resource "&amp;AC$14&amp;"]"),
NYSERDA_SupplyCurve_Raw[Interconnection Zone],$G27,NYSERDA_SupplyCurve_Raw[CapEx Bin],$H27,NYSERDA_SupplyCurve_Raw[Technology Type],$F27),"")</f>
        <v>1</v>
      </c>
    </row>
    <row r="28" spans="3:29" x14ac:dyDescent="0.35">
      <c r="C28" t="s">
        <v>741</v>
      </c>
      <c r="D28" t="s">
        <v>746</v>
      </c>
      <c r="E28" t="str">
        <f>NYSERDA_SupplyProcessed[[#This Row],[Technology_Lookup]]&amp;"_"&amp;NYSERDA_SupplyProcessed[[#This Row],[Region]]&amp;"_"&amp;NYSERDA_SupplyProcessed[[#This Row],[CapEx_Lookup]]</f>
        <v>Offshore Wind - Floating_All_Floating</v>
      </c>
      <c r="F28" s="202" t="s">
        <v>747</v>
      </c>
      <c r="G28" t="s">
        <v>555</v>
      </c>
      <c r="H28" t="s">
        <v>555</v>
      </c>
      <c r="I28" s="175">
        <f>SUMIFS(NYSERDA_SupplyCurve_Raw[Available Capacity (MWac)],NYSERDA_SupplyCurve_Raw[Interconnection Zone],$G28,NYSERDA_SupplyCurve_Raw[CapEx Bin],$H28,NYSERDA_SupplyCurve_Raw[Technology Type],$F28)</f>
        <v>10116.539999999999</v>
      </c>
      <c r="J28" s="175">
        <f>IF($I28&gt;0,SUMIFS(NYSERDA_SupplyCurve_Raw[Total Capex Cost (thousand $)],NYSERDA_SupplyCurve_Raw[Interconnection Zone],$G28,NYSERDA_SupplyCurve_Raw[CapEx Bin],$H28,NYSERDA_SupplyCurve_Raw[Technology Type],$F28)/$I28,"")</f>
        <v>7359.6265496401656</v>
      </c>
      <c r="K28" s="203">
        <f>IF($I28&gt;0,SUMIFS(NYSERDA_SupplyCurve_Raw[Total OpEx Cost (thousand $ / kW- year)],NYSERDA_SupplyCurve_Raw[Interconnection Zone],$G28,NYSERDA_SupplyCurve_Raw[CapEx Bin],$H28,NYSERDA_SupplyCurve_Raw[Technology Type],$F28)/$I28,"")</f>
        <v>147.19253099280334</v>
      </c>
      <c r="L28" s="201">
        <f>IF($I28&gt;0,SUMIFS(NYSERDA_SupplyCurve_Raw[Avg OpEx x Total Generation],NYSERDA_SupplyCurve_Raw[Interconnection Zone],$G28,NYSERDA_SupplyCurve_Raw[CapEx Bin],$H28,NYSERDA_SupplyCurve_Raw[Technology Type],$F28)/$I28,"")</f>
        <v>0.54586965042713387</v>
      </c>
      <c r="M28" s="201" t="str">
        <f ca="1">IFERROR(AVERAGEIFS(INDIRECT("NYSERDA_SupplyCurve_Raw[Resource "&amp;M$14&amp;"]"),
NYSERDA_SupplyCurve_Raw[Interconnection Zone],$G28,NYSERDA_SupplyCurve_Raw[CapEx Bin],$H28,NYSERDA_SupplyCurve_Raw[Technology Type],$F28),"")</f>
        <v/>
      </c>
      <c r="N28" s="201" t="str">
        <f ca="1">IFERROR(AVERAGEIFS(INDIRECT("NYSERDA_SupplyCurve_Raw[Resource "&amp;N$14&amp;"]"),
NYSERDA_SupplyCurve_Raw[Interconnection Zone],$G28,NYSERDA_SupplyCurve_Raw[CapEx Bin],$H28,NYSERDA_SupplyCurve_Raw[Technology Type],$F28),"")</f>
        <v/>
      </c>
      <c r="O28" s="201" t="str">
        <f ca="1">IFERROR(AVERAGEIFS(INDIRECT("NYSERDA_SupplyCurve_Raw[Resource "&amp;O$14&amp;"]"),
NYSERDA_SupplyCurve_Raw[Interconnection Zone],$G28,NYSERDA_SupplyCurve_Raw[CapEx Bin],$H28,NYSERDA_SupplyCurve_Raw[Technology Type],$F28),"")</f>
        <v/>
      </c>
      <c r="P28" s="201" t="str">
        <f ca="1">IFERROR(AVERAGEIFS(INDIRECT("NYSERDA_SupplyCurve_Raw[Resource "&amp;P$14&amp;"]"),
NYSERDA_SupplyCurve_Raw[Interconnection Zone],$G28,NYSERDA_SupplyCurve_Raw[CapEx Bin],$H28,NYSERDA_SupplyCurve_Raw[Technology Type],$F28),"")</f>
        <v/>
      </c>
      <c r="Q28" s="201" t="str">
        <f ca="1">IFERROR(AVERAGEIFS(INDIRECT("NYSERDA_SupplyCurve_Raw[Resource "&amp;Q$14&amp;"]"),
NYSERDA_SupplyCurve_Raw[Interconnection Zone],$G28,NYSERDA_SupplyCurve_Raw[CapEx Bin],$H28,NYSERDA_SupplyCurve_Raw[Technology Type],$F28),"")</f>
        <v/>
      </c>
      <c r="R28" s="201" t="str">
        <f ca="1">IFERROR(AVERAGEIFS(INDIRECT("NYSERDA_SupplyCurve_Raw[Resource "&amp;R$14&amp;"]"),
NYSERDA_SupplyCurve_Raw[Interconnection Zone],$G28,NYSERDA_SupplyCurve_Raw[CapEx Bin],$H28,NYSERDA_SupplyCurve_Raw[Technology Type],$F28),"")</f>
        <v/>
      </c>
      <c r="S28" s="201" t="str">
        <f ca="1">IFERROR(AVERAGEIFS(INDIRECT("NYSERDA_SupplyCurve_Raw[Resource "&amp;S$14&amp;"]"),
NYSERDA_SupplyCurve_Raw[Interconnection Zone],$G28,NYSERDA_SupplyCurve_Raw[CapEx Bin],$H28,NYSERDA_SupplyCurve_Raw[Technology Type],$F28),"")</f>
        <v/>
      </c>
      <c r="T28" s="201" t="str">
        <f ca="1">IFERROR(AVERAGEIFS(INDIRECT("NYSERDA_SupplyCurve_Raw[Resource "&amp;T$14&amp;"]"),
NYSERDA_SupplyCurve_Raw[Interconnection Zone],$G28,NYSERDA_SupplyCurve_Raw[CapEx Bin],$H28,NYSERDA_SupplyCurve_Raw[Technology Type],$F28),"")</f>
        <v/>
      </c>
      <c r="U28" s="201" t="str">
        <f ca="1">IFERROR(AVERAGEIFS(INDIRECT("NYSERDA_SupplyCurve_Raw[Resource "&amp;U$14&amp;"]"),
NYSERDA_SupplyCurve_Raw[Interconnection Zone],$G28,NYSERDA_SupplyCurve_Raw[CapEx Bin],$H28,NYSERDA_SupplyCurve_Raw[Technology Type],$F28),"")</f>
        <v/>
      </c>
      <c r="V28" s="201" t="str">
        <f ca="1">IFERROR(AVERAGEIFS(INDIRECT("NYSERDA_SupplyCurve_Raw[Resource "&amp;V$14&amp;"]"),
NYSERDA_SupplyCurve_Raw[Interconnection Zone],$G28,NYSERDA_SupplyCurve_Raw[CapEx Bin],$H28,NYSERDA_SupplyCurve_Raw[Technology Type],$F28),"")</f>
        <v/>
      </c>
      <c r="W28" s="201" t="str">
        <f ca="1">IFERROR(AVERAGEIFS(INDIRECT("NYSERDA_SupplyCurve_Raw[Resource "&amp;W$14&amp;"]"),
NYSERDA_SupplyCurve_Raw[Interconnection Zone],$G28,NYSERDA_SupplyCurve_Raw[CapEx Bin],$H28,NYSERDA_SupplyCurve_Raw[Technology Type],$F28),"")</f>
        <v/>
      </c>
      <c r="X28" s="201" t="str">
        <f ca="1">IFERROR(AVERAGEIFS(INDIRECT("NYSERDA_SupplyCurve_Raw[Resource "&amp;X$14&amp;"]"),
NYSERDA_SupplyCurve_Raw[Interconnection Zone],$G28,NYSERDA_SupplyCurve_Raw[CapEx Bin],$H28,NYSERDA_SupplyCurve_Raw[Technology Type],$F28),"")</f>
        <v/>
      </c>
      <c r="Y28" s="201" t="str">
        <f ca="1">IFERROR(AVERAGEIFS(INDIRECT("NYSERDA_SupplyCurve_Raw[Resource "&amp;Y$14&amp;"]"),
NYSERDA_SupplyCurve_Raw[Interconnection Zone],$G28,NYSERDA_SupplyCurve_Raw[CapEx Bin],$H28,NYSERDA_SupplyCurve_Raw[Technology Type],$F28),"")</f>
        <v/>
      </c>
      <c r="Z28" s="201">
        <f ca="1">IFERROR(AVERAGEIFS(INDIRECT("NYSERDA_SupplyCurve_Raw[Resource "&amp;Z$14&amp;"]"),
NYSERDA_SupplyCurve_Raw[Interconnection Zone],$G28,NYSERDA_SupplyCurve_Raw[CapEx Bin],$H28,NYSERDA_SupplyCurve_Raw[Technology Type],$F28),"")</f>
        <v>0.93405639647765604</v>
      </c>
      <c r="AA28" s="201">
        <f ca="1">IFERROR(AVERAGEIFS(INDIRECT("NYSERDA_SupplyCurve_Raw[Resource "&amp;AA$14&amp;"]"),
NYSERDA_SupplyCurve_Raw[Interconnection Zone],$G28,NYSERDA_SupplyCurve_Raw[CapEx Bin],$H28,NYSERDA_SupplyCurve_Raw[Technology Type],$F28),"")</f>
        <v>0.95553969359664204</v>
      </c>
      <c r="AB28" s="201">
        <f ca="1">IFERROR(AVERAGEIFS(INDIRECT("NYSERDA_SupplyCurve_Raw[Resource "&amp;AB$14&amp;"]"),
NYSERDA_SupplyCurve_Raw[Interconnection Zone],$G28,NYSERDA_SupplyCurve_Raw[CapEx Bin],$H28,NYSERDA_SupplyCurve_Raw[Technology Type],$F28),"")</f>
        <v>0.97751710654936486</v>
      </c>
      <c r="AC28" s="201">
        <f ca="1">IFERROR(AVERAGEIFS(INDIRECT("NYSERDA_SupplyCurve_Raw[Resource "&amp;AC$14&amp;"]"),
NYSERDA_SupplyCurve_Raw[Interconnection Zone],$G28,NYSERDA_SupplyCurve_Raw[CapEx Bin],$H28,NYSERDA_SupplyCurve_Raw[Technology Type],$F28),"")</f>
        <v>1</v>
      </c>
    </row>
    <row r="29" spans="3:29" x14ac:dyDescent="0.35">
      <c r="C29" t="s">
        <v>741</v>
      </c>
      <c r="D29" t="s">
        <v>741</v>
      </c>
      <c r="E29" t="str">
        <f>NYSERDA_SupplyProcessed[[#This Row],[Technology_Lookup]]&amp;"_"&amp;NYSERDA_SupplyProcessed[[#This Row],[Region]]&amp;"_"&amp;NYSERDA_SupplyProcessed[[#This Row],[CapEx_Lookup]]</f>
        <v>Offshore Wind*_All_All</v>
      </c>
      <c r="F29" s="202" t="s">
        <v>748</v>
      </c>
      <c r="G29" t="s">
        <v>555</v>
      </c>
      <c r="H29" t="s">
        <v>555</v>
      </c>
      <c r="I29" s="175">
        <f>SUMIFS(NYSERDA_SupplyCurve_Raw[Available Capacity (MWac)],NYSERDA_SupplyCurve_Raw[Interconnection Zone],$G29,NYSERDA_SupplyCurve_Raw[CapEx Bin],$H29,NYSERDA_SupplyCurve_Raw[Technology Type],$F29)</f>
        <v>25144.44</v>
      </c>
      <c r="J29" s="175">
        <f>IF($I29&gt;0,SUMIFS(NYSERDA_SupplyCurve_Raw[Total Capex Cost (thousand $)],NYSERDA_SupplyCurve_Raw[Interconnection Zone],$G29,NYSERDA_SupplyCurve_Raw[CapEx Bin],$H29,NYSERDA_SupplyCurve_Raw[Technology Type],$F29)/$I29,"")</f>
        <v>6104.2276816825142</v>
      </c>
      <c r="K29" s="203">
        <f>IF($I29&gt;0,SUMIFS(NYSERDA_SupplyCurve_Raw[Total OpEx Cost (thousand $ / kW- year)],NYSERDA_SupplyCurve_Raw[Interconnection Zone],$G29,NYSERDA_SupplyCurve_Raw[CapEx Bin],$H29,NYSERDA_SupplyCurve_Raw[Technology Type],$F29)/$I29,"")</f>
        <v>110.96997538815937</v>
      </c>
      <c r="L29" s="201">
        <f>IF($I29&gt;0,SUMIFS(NYSERDA_SupplyCurve_Raw[Avg OpEx x Total Generation],NYSERDA_SupplyCurve_Raw[Interconnection Zone],$G29,NYSERDA_SupplyCurve_Raw[CapEx Bin],$H29,NYSERDA_SupplyCurve_Raw[Technology Type],$F29)/$I29,"")</f>
        <v>0.54911656647098273</v>
      </c>
      <c r="M29" s="201">
        <f ca="1">IFERROR(AVERAGEIFS(INDIRECT("NYSERDA_SupplyCurve_Raw[Resource "&amp;M$14&amp;"]"),
NYSERDA_SupplyCurve_Raw[Interconnection Zone],$G29,NYSERDA_SupplyCurve_Raw[CapEx Bin],$H29,NYSERDA_SupplyCurve_Raw[Technology Type],$F29),"")</f>
        <v>0.92827576817647062</v>
      </c>
      <c r="N29" s="201">
        <f ca="1">IFERROR(AVERAGEIFS(INDIRECT("NYSERDA_SupplyCurve_Raw[Resource "&amp;N$14&amp;"]"),
NYSERDA_SupplyCurve_Raw[Interconnection Zone],$G29,NYSERDA_SupplyCurve_Raw[CapEx Bin],$H29,NYSERDA_SupplyCurve_Raw[Technology Type],$F29),"")</f>
        <v>1.0089777427723123</v>
      </c>
      <c r="O29" s="201">
        <f ca="1">IFERROR(AVERAGEIFS(INDIRECT("NYSERDA_SupplyCurve_Raw[Resource "&amp;O$14&amp;"]"),
NYSERDA_SupplyCurve_Raw[Interconnection Zone],$G29,NYSERDA_SupplyCurve_Raw[CapEx Bin],$H29,NYSERDA_SupplyCurve_Raw[Technology Type],$F29),"")</f>
        <v>1.0929009503181975</v>
      </c>
      <c r="P29" s="201">
        <f ca="1">IFERROR(AVERAGEIFS(INDIRECT("NYSERDA_SupplyCurve_Raw[Resource "&amp;P$14&amp;"]"),
NYSERDA_SupplyCurve_Raw[Interconnection Zone],$G29,NYSERDA_SupplyCurve_Raw[CapEx Bin],$H29,NYSERDA_SupplyCurve_Raw[Technology Type],$F29),"")</f>
        <v>1.0714527691682023</v>
      </c>
      <c r="Q29" s="201">
        <f ca="1">IFERROR(AVERAGEIFS(INDIRECT("NYSERDA_SupplyCurve_Raw[Resource "&amp;Q$14&amp;"]"),
NYSERDA_SupplyCurve_Raw[Interconnection Zone],$G29,NYSERDA_SupplyCurve_Raw[CapEx Bin],$H29,NYSERDA_SupplyCurve_Raw[Technology Type],$F29),"")</f>
        <v>1.0484398270825894</v>
      </c>
      <c r="R29" s="201">
        <f ca="1">IFERROR(AVERAGEIFS(INDIRECT("NYSERDA_SupplyCurve_Raw[Resource "&amp;R$14&amp;"]"),
NYSERDA_SupplyCurve_Raw[Interconnection Zone],$G29,NYSERDA_SupplyCurve_Raw[CapEx Bin],$H29,NYSERDA_SupplyCurve_Raw[Technology Type],$F29),"")</f>
        <v>1.0238014911461488</v>
      </c>
      <c r="S29" s="201">
        <f ca="1">IFERROR(AVERAGEIFS(INDIRECT("NYSERDA_SupplyCurve_Raw[Resource "&amp;S$14&amp;"]"),
NYSERDA_SupplyCurve_Raw[Interconnection Zone],$G29,NYSERDA_SupplyCurve_Raw[CapEx Bin],$H29,NYSERDA_SupplyCurve_Raw[Technology Type],$F29),"")</f>
        <v>0.9974751670881048</v>
      </c>
      <c r="T29" s="201">
        <f ca="1">IFERROR(AVERAGEIFS(INDIRECT("NYSERDA_SupplyCurve_Raw[Resource "&amp;T$14&amp;"]"),
NYSERDA_SupplyCurve_Raw[Interconnection Zone],$G29,NYSERDA_SupplyCurve_Raw[CapEx Bin],$H29,NYSERDA_SupplyCurve_Raw[Technology Type],$F29),"")</f>
        <v>0.99475266119684502</v>
      </c>
      <c r="U29" s="201">
        <f ca="1">IFERROR(AVERAGEIFS(INDIRECT("NYSERDA_SupplyCurve_Raw[Resource "&amp;U$14&amp;"]"),
NYSERDA_SupplyCurve_Raw[Interconnection Zone],$G29,NYSERDA_SupplyCurve_Raw[CapEx Bin],$H29,NYSERDA_SupplyCurve_Raw[Technology Type],$F29),"")</f>
        <v>0.98662584431917699</v>
      </c>
      <c r="V29" s="201">
        <f ca="1">IFERROR(AVERAGEIFS(INDIRECT("NYSERDA_SupplyCurve_Raw[Resource "&amp;V$14&amp;"]"),
NYSERDA_SupplyCurve_Raw[Interconnection Zone],$G29,NYSERDA_SupplyCurve_Raw[CapEx Bin],$H29,NYSERDA_SupplyCurve_Raw[Technology Type],$F29),"")</f>
        <v>0.98262282519072974</v>
      </c>
      <c r="W29" s="201">
        <f ca="1">IFERROR(AVERAGEIFS(INDIRECT("NYSERDA_SupplyCurve_Raw[Resource "&amp;W$14&amp;"]"),
NYSERDA_SupplyCurve_Raw[Interconnection Zone],$G29,NYSERDA_SupplyCurve_Raw[CapEx Bin],$H29,NYSERDA_SupplyCurve_Raw[Technology Type],$F29),"")</f>
        <v>0.98160628494334301</v>
      </c>
      <c r="X29" s="201">
        <f ca="1">IFERROR(AVERAGEIFS(INDIRECT("NYSERDA_SupplyCurve_Raw[Resource "&amp;X$14&amp;"]"),
NYSERDA_SupplyCurve_Raw[Interconnection Zone],$G29,NYSERDA_SupplyCurve_Raw[CapEx Bin],$H29,NYSERDA_SupplyCurve_Raw[Technology Type],$F29),"")</f>
        <v>0.98263096797591443</v>
      </c>
      <c r="Y29" s="201">
        <f ca="1">IFERROR(AVERAGEIFS(INDIRECT("NYSERDA_SupplyCurve_Raw[Resource "&amp;Y$14&amp;"]"),
NYSERDA_SupplyCurve_Raw[Interconnection Zone],$G29,NYSERDA_SupplyCurve_Raw[CapEx Bin],$H29,NYSERDA_SupplyCurve_Raw[Technology Type],$F29),"")</f>
        <v>0.98368707364521524</v>
      </c>
      <c r="Z29" s="201">
        <f ca="1">IFERROR(AVERAGEIFS(INDIRECT("NYSERDA_SupplyCurve_Raw[Resource "&amp;Z$14&amp;"]"),
NYSERDA_SupplyCurve_Raw[Interconnection Zone],$G29,NYSERDA_SupplyCurve_Raw[CapEx Bin],$H29,NYSERDA_SupplyCurve_Raw[Technology Type],$F29),"")</f>
        <v>0.97160293729670855</v>
      </c>
      <c r="AA29" s="201">
        <f ca="1">IFERROR(AVERAGEIFS(INDIRECT("NYSERDA_SupplyCurve_Raw[Resource "&amp;AA$14&amp;"]"),
NYSERDA_SupplyCurve_Raw[Interconnection Zone],$G29,NYSERDA_SupplyCurve_Raw[CapEx Bin],$H29,NYSERDA_SupplyCurve_Raw[Technology Type],$F29),"")</f>
        <v>0.980144433448499</v>
      </c>
      <c r="AB29" s="201">
        <f ca="1">IFERROR(AVERAGEIFS(INDIRECT("NYSERDA_SupplyCurve_Raw[Resource "&amp;AB$14&amp;"]"),
NYSERDA_SupplyCurve_Raw[Interconnection Zone],$G29,NYSERDA_SupplyCurve_Raw[CapEx Bin],$H29,NYSERDA_SupplyCurve_Raw[Technology Type],$F29),"")</f>
        <v>0.98962918135747047</v>
      </c>
      <c r="AC29" s="201">
        <f ca="1">IFERROR(AVERAGEIFS(INDIRECT("NYSERDA_SupplyCurve_Raw[Resource "&amp;AC$14&amp;"]"),
NYSERDA_SupplyCurve_Raw[Interconnection Zone],$G29,NYSERDA_SupplyCurve_Raw[CapEx Bin],$H29,NYSERDA_SupplyCurve_Raw[Technology Type],$F29),"")</f>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89225-5C6E-4CCB-889E-E2059270517D}">
  <sheetPr>
    <tabColor theme="8"/>
    <pageSetUpPr fitToPage="1"/>
  </sheetPr>
  <dimension ref="A1:CB160"/>
  <sheetViews>
    <sheetView workbookViewId="0">
      <pane xSplit="4" ySplit="6" topLeftCell="G7" activePane="bottomRight" state="frozen"/>
      <selection pane="topRight" activeCell="G23" sqref="G23"/>
      <selection pane="bottomLeft" activeCell="G23" sqref="G23"/>
      <selection pane="bottomRight" activeCell="K9" sqref="K9"/>
    </sheetView>
  </sheetViews>
  <sheetFormatPr defaultRowHeight="14.5" x14ac:dyDescent="0.35"/>
  <cols>
    <col min="1" max="1" width="25.1796875" customWidth="1"/>
    <col min="2" max="2" width="11.54296875" bestFit="1" customWidth="1"/>
    <col min="3" max="3" width="21" customWidth="1"/>
    <col min="4" max="4" width="29.1796875" bestFit="1" customWidth="1"/>
    <col min="5" max="7" width="25.453125" customWidth="1"/>
    <col min="8" max="8" width="41.1796875" customWidth="1"/>
    <col min="9" max="9" width="35.1796875" customWidth="1"/>
    <col min="10" max="11" width="36.54296875" customWidth="1"/>
    <col min="12" max="12" width="32.453125" customWidth="1"/>
    <col min="13" max="29" width="29.1796875" customWidth="1"/>
    <col min="30" max="46" width="23.1796875" customWidth="1"/>
    <col min="47" max="63" width="28.26953125" customWidth="1"/>
    <col min="64" max="64" width="28.7265625" customWidth="1"/>
    <col min="65" max="80" width="7.81640625" customWidth="1"/>
  </cols>
  <sheetData>
    <row r="1" spans="1:80" ht="43.15" customHeight="1" x14ac:dyDescent="0.35">
      <c r="A1" s="265" t="s">
        <v>749</v>
      </c>
      <c r="B1" s="265"/>
      <c r="C1" s="265"/>
      <c r="D1" s="265"/>
      <c r="E1" s="265"/>
    </row>
    <row r="2" spans="1:80" ht="90" customHeight="1" x14ac:dyDescent="0.35">
      <c r="A2" s="264" t="s">
        <v>750</v>
      </c>
      <c r="B2" s="264"/>
      <c r="C2" s="264"/>
      <c r="D2" s="264"/>
      <c r="E2" s="264"/>
    </row>
    <row r="4" spans="1:80" x14ac:dyDescent="0.35">
      <c r="A4" s="218" t="s">
        <v>751</v>
      </c>
    </row>
    <row r="5" spans="1:80" ht="14.5" customHeight="1" x14ac:dyDescent="0.35">
      <c r="A5" s="217" t="s">
        <v>752</v>
      </c>
      <c r="H5" s="216" t="s">
        <v>753</v>
      </c>
      <c r="M5" s="215" t="s">
        <v>754</v>
      </c>
      <c r="N5" s="214" t="str">
        <f t="shared" ref="N5:AC5" si="0">M5</f>
        <v>Resource CapEx Escalator</v>
      </c>
      <c r="O5" s="214" t="str">
        <f t="shared" si="0"/>
        <v>Resource CapEx Escalator</v>
      </c>
      <c r="P5" s="214" t="str">
        <f t="shared" si="0"/>
        <v>Resource CapEx Escalator</v>
      </c>
      <c r="Q5" s="214" t="str">
        <f t="shared" si="0"/>
        <v>Resource CapEx Escalator</v>
      </c>
      <c r="R5" s="214" t="str">
        <f t="shared" si="0"/>
        <v>Resource CapEx Escalator</v>
      </c>
      <c r="S5" s="214" t="str">
        <f t="shared" si="0"/>
        <v>Resource CapEx Escalator</v>
      </c>
      <c r="T5" s="214" t="str">
        <f t="shared" si="0"/>
        <v>Resource CapEx Escalator</v>
      </c>
      <c r="U5" s="214" t="str">
        <f t="shared" si="0"/>
        <v>Resource CapEx Escalator</v>
      </c>
      <c r="V5" s="214" t="str">
        <f t="shared" si="0"/>
        <v>Resource CapEx Escalator</v>
      </c>
      <c r="W5" s="214" t="str">
        <f t="shared" si="0"/>
        <v>Resource CapEx Escalator</v>
      </c>
      <c r="X5" s="214" t="str">
        <f t="shared" si="0"/>
        <v>Resource CapEx Escalator</v>
      </c>
      <c r="Y5" s="214" t="str">
        <f t="shared" si="0"/>
        <v>Resource CapEx Escalator</v>
      </c>
      <c r="Z5" s="214" t="str">
        <f t="shared" si="0"/>
        <v>Resource CapEx Escalator</v>
      </c>
      <c r="AA5" s="214" t="str">
        <f t="shared" si="0"/>
        <v>Resource CapEx Escalator</v>
      </c>
      <c r="AB5" s="214" t="str">
        <f t="shared" si="0"/>
        <v>Resource CapEx Escalator</v>
      </c>
      <c r="AC5" s="213" t="str">
        <f t="shared" si="0"/>
        <v>Resource CapEx Escalator</v>
      </c>
      <c r="AD5" s="215" t="s">
        <v>755</v>
      </c>
      <c r="AE5" s="214" t="str">
        <f t="shared" ref="AE5:AT5" si="1">AD5</f>
        <v>IX CapEx Escalator</v>
      </c>
      <c r="AF5" s="214" t="str">
        <f t="shared" si="1"/>
        <v>IX CapEx Escalator</v>
      </c>
      <c r="AG5" s="214" t="str">
        <f t="shared" si="1"/>
        <v>IX CapEx Escalator</v>
      </c>
      <c r="AH5" s="214" t="str">
        <f t="shared" si="1"/>
        <v>IX CapEx Escalator</v>
      </c>
      <c r="AI5" s="214" t="str">
        <f t="shared" si="1"/>
        <v>IX CapEx Escalator</v>
      </c>
      <c r="AJ5" s="214" t="str">
        <f t="shared" si="1"/>
        <v>IX CapEx Escalator</v>
      </c>
      <c r="AK5" s="214" t="str">
        <f t="shared" si="1"/>
        <v>IX CapEx Escalator</v>
      </c>
      <c r="AL5" s="214" t="str">
        <f t="shared" si="1"/>
        <v>IX CapEx Escalator</v>
      </c>
      <c r="AM5" s="214" t="str">
        <f t="shared" si="1"/>
        <v>IX CapEx Escalator</v>
      </c>
      <c r="AN5" s="214" t="str">
        <f t="shared" si="1"/>
        <v>IX CapEx Escalator</v>
      </c>
      <c r="AO5" s="214" t="str">
        <f t="shared" si="1"/>
        <v>IX CapEx Escalator</v>
      </c>
      <c r="AP5" s="214" t="str">
        <f t="shared" si="1"/>
        <v>IX CapEx Escalator</v>
      </c>
      <c r="AQ5" s="214" t="str">
        <f t="shared" si="1"/>
        <v>IX CapEx Escalator</v>
      </c>
      <c r="AR5" s="214" t="str">
        <f t="shared" si="1"/>
        <v>IX CapEx Escalator</v>
      </c>
      <c r="AS5" s="214" t="str">
        <f t="shared" si="1"/>
        <v>IX CapEx Escalator</v>
      </c>
      <c r="AT5" s="213" t="str">
        <f t="shared" si="1"/>
        <v>IX CapEx Escalator</v>
      </c>
      <c r="AU5" s="215" t="s">
        <v>756</v>
      </c>
      <c r="AV5" s="214" t="str">
        <f t="shared" ref="AV5:BK5" si="2">AU5</f>
        <v>Resource OpEx Escalator</v>
      </c>
      <c r="AW5" s="214" t="str">
        <f t="shared" si="2"/>
        <v>Resource OpEx Escalator</v>
      </c>
      <c r="AX5" s="214" t="str">
        <f t="shared" si="2"/>
        <v>Resource OpEx Escalator</v>
      </c>
      <c r="AY5" s="214" t="str">
        <f t="shared" si="2"/>
        <v>Resource OpEx Escalator</v>
      </c>
      <c r="AZ5" s="214" t="str">
        <f t="shared" si="2"/>
        <v>Resource OpEx Escalator</v>
      </c>
      <c r="BA5" s="214" t="str">
        <f t="shared" si="2"/>
        <v>Resource OpEx Escalator</v>
      </c>
      <c r="BB5" s="214" t="str">
        <f t="shared" si="2"/>
        <v>Resource OpEx Escalator</v>
      </c>
      <c r="BC5" s="214" t="str">
        <f t="shared" si="2"/>
        <v>Resource OpEx Escalator</v>
      </c>
      <c r="BD5" s="214" t="str">
        <f t="shared" si="2"/>
        <v>Resource OpEx Escalator</v>
      </c>
      <c r="BE5" s="214" t="str">
        <f t="shared" si="2"/>
        <v>Resource OpEx Escalator</v>
      </c>
      <c r="BF5" s="214" t="str">
        <f t="shared" si="2"/>
        <v>Resource OpEx Escalator</v>
      </c>
      <c r="BG5" s="214" t="str">
        <f t="shared" si="2"/>
        <v>Resource OpEx Escalator</v>
      </c>
      <c r="BH5" s="214" t="str">
        <f t="shared" si="2"/>
        <v>Resource OpEx Escalator</v>
      </c>
      <c r="BI5" s="214" t="str">
        <f t="shared" si="2"/>
        <v>Resource OpEx Escalator</v>
      </c>
      <c r="BJ5" s="214" t="str">
        <f t="shared" si="2"/>
        <v>Resource OpEx Escalator</v>
      </c>
      <c r="BK5" s="213" t="str">
        <f t="shared" si="2"/>
        <v>Resource OpEx Escalator</v>
      </c>
      <c r="BL5" s="261" t="s">
        <v>757</v>
      </c>
      <c r="BM5" s="262"/>
      <c r="BN5" s="262"/>
      <c r="BO5" s="262"/>
      <c r="BP5" s="262"/>
      <c r="BQ5" s="262"/>
      <c r="BR5" s="262"/>
      <c r="BS5" s="262"/>
      <c r="BT5" s="262"/>
      <c r="BU5" s="262"/>
      <c r="BV5" s="262"/>
      <c r="BW5" s="262"/>
      <c r="BX5" s="262"/>
      <c r="BY5" s="262"/>
      <c r="BZ5" s="262"/>
      <c r="CA5" s="262"/>
      <c r="CB5" s="263"/>
    </row>
    <row r="6" spans="1:80" ht="15" thickBot="1" x14ac:dyDescent="0.4">
      <c r="A6" s="212" t="s">
        <v>758</v>
      </c>
      <c r="B6" s="212" t="s">
        <v>759</v>
      </c>
      <c r="C6" s="211" t="s">
        <v>760</v>
      </c>
      <c r="D6" s="211" t="s">
        <v>713</v>
      </c>
      <c r="E6" s="210" t="s">
        <v>761</v>
      </c>
      <c r="F6" s="210" t="s">
        <v>762</v>
      </c>
      <c r="G6" s="210"/>
      <c r="H6" s="210" t="s">
        <v>763</v>
      </c>
      <c r="I6" s="210" t="s">
        <v>764</v>
      </c>
      <c r="J6" s="210" t="s">
        <v>765</v>
      </c>
      <c r="K6" s="210"/>
      <c r="L6" s="210" t="s">
        <v>766</v>
      </c>
      <c r="M6" s="210">
        <v>2024</v>
      </c>
      <c r="N6" s="210">
        <v>2025</v>
      </c>
      <c r="O6" s="210">
        <v>2026</v>
      </c>
      <c r="P6" s="210">
        <v>2027</v>
      </c>
      <c r="Q6" s="210">
        <v>2028</v>
      </c>
      <c r="R6" s="210">
        <v>2029</v>
      </c>
      <c r="S6" s="210">
        <v>2030</v>
      </c>
      <c r="T6" s="210">
        <v>2031</v>
      </c>
      <c r="U6" s="210">
        <v>2032</v>
      </c>
      <c r="V6" s="210">
        <v>2033</v>
      </c>
      <c r="W6" s="210">
        <v>2034</v>
      </c>
      <c r="X6" s="210">
        <v>2035</v>
      </c>
      <c r="Y6" s="210">
        <v>2036</v>
      </c>
      <c r="Z6" s="210">
        <v>2037</v>
      </c>
      <c r="AA6" s="210">
        <v>2038</v>
      </c>
      <c r="AB6" s="210">
        <v>2039</v>
      </c>
      <c r="AC6" s="210">
        <v>2040</v>
      </c>
      <c r="AD6" s="210">
        <v>2024</v>
      </c>
      <c r="AE6" s="210">
        <v>2025</v>
      </c>
      <c r="AF6" s="210">
        <v>2026</v>
      </c>
      <c r="AG6" s="210">
        <v>2027</v>
      </c>
      <c r="AH6" s="210">
        <v>2028</v>
      </c>
      <c r="AI6" s="210">
        <v>2029</v>
      </c>
      <c r="AJ6" s="210">
        <v>2030</v>
      </c>
      <c r="AK6" s="210">
        <v>2031</v>
      </c>
      <c r="AL6" s="210">
        <v>2032</v>
      </c>
      <c r="AM6" s="210">
        <v>2033</v>
      </c>
      <c r="AN6" s="210">
        <v>2034</v>
      </c>
      <c r="AO6" s="210">
        <v>2035</v>
      </c>
      <c r="AP6" s="210">
        <v>2036</v>
      </c>
      <c r="AQ6" s="210">
        <v>2037</v>
      </c>
      <c r="AR6" s="210">
        <v>2038</v>
      </c>
      <c r="AS6" s="210">
        <v>2039</v>
      </c>
      <c r="AT6" s="210">
        <v>2040</v>
      </c>
      <c r="AU6" s="210">
        <v>2024</v>
      </c>
      <c r="AV6" s="210">
        <v>2025</v>
      </c>
      <c r="AW6" s="210">
        <v>2026</v>
      </c>
      <c r="AX6" s="210">
        <v>2027</v>
      </c>
      <c r="AY6" s="210">
        <v>2028</v>
      </c>
      <c r="AZ6" s="210">
        <v>2029</v>
      </c>
      <c r="BA6" s="210">
        <v>2030</v>
      </c>
      <c r="BB6" s="210">
        <v>2031</v>
      </c>
      <c r="BC6" s="210">
        <v>2032</v>
      </c>
      <c r="BD6" s="210">
        <v>2033</v>
      </c>
      <c r="BE6" s="210">
        <v>2034</v>
      </c>
      <c r="BF6" s="210">
        <v>2035</v>
      </c>
      <c r="BG6" s="210">
        <v>2036</v>
      </c>
      <c r="BH6" s="210">
        <v>2037</v>
      </c>
      <c r="BI6" s="210">
        <v>2038</v>
      </c>
      <c r="BJ6" s="210">
        <v>2039</v>
      </c>
      <c r="BK6" s="210">
        <v>2040</v>
      </c>
      <c r="BL6" s="210">
        <v>2024</v>
      </c>
      <c r="BM6" s="210">
        <v>2025</v>
      </c>
      <c r="BN6" s="210">
        <v>2026</v>
      </c>
      <c r="BO6" s="210">
        <v>2027</v>
      </c>
      <c r="BP6" s="210">
        <v>2028</v>
      </c>
      <c r="BQ6" s="210">
        <v>2029</v>
      </c>
      <c r="BR6" s="210">
        <v>2030</v>
      </c>
      <c r="BS6" s="210">
        <v>2031</v>
      </c>
      <c r="BT6" s="210">
        <v>2032</v>
      </c>
      <c r="BU6" s="210">
        <v>2033</v>
      </c>
      <c r="BV6" s="210">
        <v>2034</v>
      </c>
      <c r="BW6" s="210">
        <v>2035</v>
      </c>
      <c r="BX6" s="210">
        <v>2036</v>
      </c>
      <c r="BY6" s="210">
        <v>2037</v>
      </c>
      <c r="BZ6" s="210">
        <v>2038</v>
      </c>
      <c r="CA6" s="210">
        <v>2039</v>
      </c>
      <c r="CB6" s="210">
        <v>2040</v>
      </c>
    </row>
    <row r="7" spans="1:80" ht="29" x14ac:dyDescent="0.35">
      <c r="A7" s="209" t="s">
        <v>758</v>
      </c>
      <c r="B7" s="209" t="s">
        <v>759</v>
      </c>
      <c r="C7" s="209" t="s">
        <v>760</v>
      </c>
      <c r="D7" s="209" t="s">
        <v>713</v>
      </c>
      <c r="E7" s="209" t="s">
        <v>761</v>
      </c>
      <c r="F7" s="209" t="s">
        <v>767</v>
      </c>
      <c r="G7" s="209" t="s">
        <v>768</v>
      </c>
      <c r="H7" s="209" t="s">
        <v>763</v>
      </c>
      <c r="I7" s="209" t="s">
        <v>764</v>
      </c>
      <c r="J7" s="209" t="s">
        <v>765</v>
      </c>
      <c r="K7" s="209" t="s">
        <v>769</v>
      </c>
      <c r="L7" s="209" t="s">
        <v>766</v>
      </c>
      <c r="M7" s="208" t="s">
        <v>770</v>
      </c>
      <c r="N7" s="208" t="s">
        <v>771</v>
      </c>
      <c r="O7" s="208" t="s">
        <v>772</v>
      </c>
      <c r="P7" s="208" t="s">
        <v>773</v>
      </c>
      <c r="Q7" s="208" t="s">
        <v>774</v>
      </c>
      <c r="R7" s="208" t="s">
        <v>775</v>
      </c>
      <c r="S7" s="208" t="s">
        <v>776</v>
      </c>
      <c r="T7" s="208" t="s">
        <v>777</v>
      </c>
      <c r="U7" s="208" t="s">
        <v>778</v>
      </c>
      <c r="V7" s="208" t="s">
        <v>779</v>
      </c>
      <c r="W7" s="208" t="s">
        <v>780</v>
      </c>
      <c r="X7" s="208" t="s">
        <v>781</v>
      </c>
      <c r="Y7" s="208" t="s">
        <v>782</v>
      </c>
      <c r="Z7" s="208" t="s">
        <v>783</v>
      </c>
      <c r="AA7" s="208" t="s">
        <v>784</v>
      </c>
      <c r="AB7" s="208" t="s">
        <v>785</v>
      </c>
      <c r="AC7" s="208" t="s">
        <v>786</v>
      </c>
      <c r="AD7" s="208" t="s">
        <v>787</v>
      </c>
      <c r="AE7" s="208" t="s">
        <v>788</v>
      </c>
      <c r="AF7" s="208" t="s">
        <v>789</v>
      </c>
      <c r="AG7" s="208" t="s">
        <v>790</v>
      </c>
      <c r="AH7" s="208" t="s">
        <v>791</v>
      </c>
      <c r="AI7" s="208" t="s">
        <v>792</v>
      </c>
      <c r="AJ7" s="208" t="s">
        <v>793</v>
      </c>
      <c r="AK7" s="208" t="s">
        <v>794</v>
      </c>
      <c r="AL7" s="208" t="s">
        <v>795</v>
      </c>
      <c r="AM7" s="208" t="s">
        <v>796</v>
      </c>
      <c r="AN7" s="208" t="s">
        <v>797</v>
      </c>
      <c r="AO7" s="208" t="s">
        <v>798</v>
      </c>
      <c r="AP7" s="208" t="s">
        <v>799</v>
      </c>
      <c r="AQ7" s="208" t="s">
        <v>800</v>
      </c>
      <c r="AR7" s="208" t="s">
        <v>801</v>
      </c>
      <c r="AS7" s="208" t="s">
        <v>802</v>
      </c>
      <c r="AT7" s="208" t="s">
        <v>803</v>
      </c>
      <c r="AU7" s="208" t="s">
        <v>804</v>
      </c>
      <c r="AV7" s="208" t="s">
        <v>805</v>
      </c>
      <c r="AW7" s="208" t="s">
        <v>806</v>
      </c>
      <c r="AX7" s="208" t="s">
        <v>807</v>
      </c>
      <c r="AY7" s="208" t="s">
        <v>808</v>
      </c>
      <c r="AZ7" s="208" t="s">
        <v>809</v>
      </c>
      <c r="BA7" s="208" t="s">
        <v>810</v>
      </c>
      <c r="BB7" s="208" t="s">
        <v>811</v>
      </c>
      <c r="BC7" s="208" t="s">
        <v>812</v>
      </c>
      <c r="BD7" s="208" t="s">
        <v>813</v>
      </c>
      <c r="BE7" s="208" t="s">
        <v>814</v>
      </c>
      <c r="BF7" s="208" t="s">
        <v>815</v>
      </c>
      <c r="BG7" s="208" t="s">
        <v>816</v>
      </c>
      <c r="BH7" s="208" t="s">
        <v>817</v>
      </c>
      <c r="BI7" s="208" t="s">
        <v>818</v>
      </c>
      <c r="BJ7" s="208" t="s">
        <v>819</v>
      </c>
      <c r="BK7" s="208" t="s">
        <v>820</v>
      </c>
      <c r="BL7" s="208" t="s">
        <v>821</v>
      </c>
      <c r="BM7" s="208" t="s">
        <v>822</v>
      </c>
      <c r="BN7" s="208" t="s">
        <v>823</v>
      </c>
      <c r="BO7" s="208" t="s">
        <v>824</v>
      </c>
      <c r="BP7" s="208" t="s">
        <v>825</v>
      </c>
      <c r="BQ7" s="208" t="s">
        <v>826</v>
      </c>
      <c r="BR7" s="208" t="s">
        <v>827</v>
      </c>
      <c r="BS7" s="208" t="s">
        <v>828</v>
      </c>
      <c r="BT7" s="208" t="s">
        <v>829</v>
      </c>
      <c r="BU7" s="208" t="s">
        <v>830</v>
      </c>
      <c r="BV7" s="208" t="s">
        <v>831</v>
      </c>
      <c r="BW7" s="208" t="s">
        <v>832</v>
      </c>
      <c r="BX7" s="208" t="s">
        <v>833</v>
      </c>
      <c r="BY7" s="208" t="s">
        <v>834</v>
      </c>
      <c r="BZ7" s="208" t="s">
        <v>835</v>
      </c>
      <c r="CA7" s="208" t="s">
        <v>836</v>
      </c>
      <c r="CB7" s="208" t="s">
        <v>837</v>
      </c>
    </row>
    <row r="8" spans="1:80" x14ac:dyDescent="0.35">
      <c r="A8" t="s">
        <v>737</v>
      </c>
      <c r="B8" t="s">
        <v>838</v>
      </c>
      <c r="C8" s="206" t="s">
        <v>839</v>
      </c>
      <c r="D8" t="s">
        <v>736</v>
      </c>
      <c r="E8" s="130">
        <v>142.73692595576779</v>
      </c>
      <c r="F8" s="130">
        <f>NYSERDA_SupplyCurve_Raw[[#This Row],[Available Capacity (MWac)]]*NYSERDA_SupplyCurve_Raw[[#This Row],[2024 Weighted Avg Resource CapEx ($/kWac)]]</f>
        <v>355221.29796398396</v>
      </c>
      <c r="G8" s="130">
        <f>NYSERDA_SupplyCurve_Raw[[#This Row],[Available Capacity (MWac)]]*NYSERDA_SupplyCurve_Raw[[#This Row],[2024 Weighted Avg OpEx ($/kWac-year)]]</f>
        <v>8275.0629658988</v>
      </c>
      <c r="H8" s="130">
        <v>2488.6433246717261</v>
      </c>
      <c r="I8" s="130">
        <v>51.692960880577168</v>
      </c>
      <c r="J8" s="130">
        <v>57.974227134912013</v>
      </c>
      <c r="K8" s="130">
        <f>NYSERDA_SupplyCurve_Raw[[#This Row],[2024 Weighted Avg Capacity Factor]]*NYSERDA_SupplyCurve_Raw[[#This Row],[Available Capacity (MWac)]]</f>
        <v>49.041093091439308</v>
      </c>
      <c r="L8" s="205">
        <v>0.34357677778934703</v>
      </c>
      <c r="M8" s="201">
        <v>1</v>
      </c>
      <c r="N8" s="201">
        <v>1.0229999999999999</v>
      </c>
      <c r="O8" s="201">
        <v>1.0465289999999996</v>
      </c>
      <c r="P8" s="201">
        <v>1.0598020575021094</v>
      </c>
      <c r="Q8" s="201">
        <v>1.0736988159192502</v>
      </c>
      <c r="R8" s="201">
        <v>1.0882033073746558</v>
      </c>
      <c r="S8" s="201">
        <v>1.1033026104404513</v>
      </c>
      <c r="T8" s="201">
        <v>1.1189864388040103</v>
      </c>
      <c r="U8" s="201">
        <v>1.135246797775554</v>
      </c>
      <c r="V8" s="201">
        <v>1.1520776967604645</v>
      </c>
      <c r="W8" s="201">
        <v>1.1694749079306728</v>
      </c>
      <c r="X8" s="201">
        <v>1.1874357630816732</v>
      </c>
      <c r="Y8" s="201">
        <v>1.2059589821346142</v>
      </c>
      <c r="Z8" s="201">
        <v>1.2250445279429276</v>
      </c>
      <c r="AA8" s="201">
        <v>1.2446934830326639</v>
      </c>
      <c r="AB8" s="201">
        <v>1.2649079446978333</v>
      </c>
      <c r="AC8" s="201">
        <v>1.2856909355124986</v>
      </c>
      <c r="AD8" s="201">
        <v>1</v>
      </c>
      <c r="AE8" s="201">
        <v>1.0229999999999999</v>
      </c>
      <c r="AF8" s="201">
        <v>1.0465289999999998</v>
      </c>
      <c r="AG8" s="201">
        <v>1.0705991669999997</v>
      </c>
      <c r="AH8" s="201">
        <v>1.0952229478409996</v>
      </c>
      <c r="AI8" s="201">
        <v>1.1204130756413424</v>
      </c>
      <c r="AJ8" s="201">
        <v>1.1461825763810931</v>
      </c>
      <c r="AK8" s="201">
        <v>1.1725447756378582</v>
      </c>
      <c r="AL8" s="201">
        <v>1.1995133054775289</v>
      </c>
      <c r="AM8" s="201">
        <v>1.2271021115035119</v>
      </c>
      <c r="AN8" s="201">
        <v>1.2553254600680925</v>
      </c>
      <c r="AO8" s="201">
        <v>1.2841979456496586</v>
      </c>
      <c r="AP8" s="201">
        <v>1.3137344983996007</v>
      </c>
      <c r="AQ8" s="201">
        <v>1.3439503918627913</v>
      </c>
      <c r="AR8" s="201">
        <v>1.3748612508756353</v>
      </c>
      <c r="AS8" s="201">
        <v>1.4064830596457747</v>
      </c>
      <c r="AT8" s="201">
        <v>1.4388321700176272</v>
      </c>
      <c r="AU8" s="201">
        <v>1</v>
      </c>
      <c r="AV8" s="201">
        <v>1.0229999999999999</v>
      </c>
      <c r="AW8" s="201">
        <v>1.0465289999999998</v>
      </c>
      <c r="AX8" s="201">
        <v>1.0573213826912555</v>
      </c>
      <c r="AY8" s="201">
        <v>1.0687898064113337</v>
      </c>
      <c r="AZ8" s="201">
        <v>1.0809089916969443</v>
      </c>
      <c r="BA8" s="201">
        <v>1.0936577958137252</v>
      </c>
      <c r="BB8" s="201">
        <v>1.1070186286995185</v>
      </c>
      <c r="BC8" s="201">
        <v>1.1209769671951604</v>
      </c>
      <c r="BD8" s="201">
        <v>1.1355209497900498</v>
      </c>
      <c r="BE8" s="201">
        <v>1.1506410374287139</v>
      </c>
      <c r="BF8" s="201">
        <v>1.1663297286293799</v>
      </c>
      <c r="BG8" s="201">
        <v>1.1825813193957089</v>
      </c>
      <c r="BH8" s="201">
        <v>1.1993917001987979</v>
      </c>
      <c r="BI8" s="201">
        <v>1.2167581837451034</v>
      </c>
      <c r="BJ8" s="201">
        <v>1.2346793584097975</v>
      </c>
      <c r="BK8" s="201">
        <v>1.2531549631497372</v>
      </c>
      <c r="BL8" s="201">
        <v>1</v>
      </c>
      <c r="BM8" s="201">
        <v>1.0075087154733169</v>
      </c>
      <c r="BN8" s="201">
        <v>1.0150174309466338</v>
      </c>
      <c r="BO8" s="201">
        <v>1.0225261464199509</v>
      </c>
      <c r="BP8" s="201">
        <v>1.0300348618932678</v>
      </c>
      <c r="BQ8" s="201">
        <v>1.0375435773665846</v>
      </c>
      <c r="BR8" s="201">
        <v>1.0450522928399046</v>
      </c>
      <c r="BS8" s="201">
        <v>1.0458970233306526</v>
      </c>
      <c r="BT8" s="201">
        <v>1.0467417538213979</v>
      </c>
      <c r="BU8" s="201">
        <v>1.0475864843121492</v>
      </c>
      <c r="BV8" s="201">
        <v>1.0484312148028971</v>
      </c>
      <c r="BW8" s="201">
        <v>1.0492759452936424</v>
      </c>
      <c r="BX8" s="201">
        <v>1.0501206757843937</v>
      </c>
      <c r="BY8" s="201">
        <v>1.0509654062751417</v>
      </c>
      <c r="BZ8" s="201">
        <v>1.0518101367658899</v>
      </c>
      <c r="CA8" s="201">
        <v>1.0526548672566383</v>
      </c>
      <c r="CB8" s="201">
        <v>1.0534995977473862</v>
      </c>
    </row>
    <row r="9" spans="1:80" x14ac:dyDescent="0.35">
      <c r="A9" t="s">
        <v>737</v>
      </c>
      <c r="B9" t="s">
        <v>838</v>
      </c>
      <c r="C9" s="206" t="s">
        <v>839</v>
      </c>
      <c r="D9" t="s">
        <v>742</v>
      </c>
      <c r="E9" s="130">
        <v>54.575640830416219</v>
      </c>
      <c r="F9" s="130">
        <f>NYSERDA_SupplyCurve_Raw[[#This Row],[Available Capacity (MWac)]]*NYSERDA_SupplyCurve_Raw[[#This Row],[2024 Weighted Avg Resource CapEx ($/kWac)]]</f>
        <v>187317.64374099515</v>
      </c>
      <c r="G9" s="130">
        <f>NYSERDA_SupplyCurve_Raw[[#This Row],[Available Capacity (MWac)]]*NYSERDA_SupplyCurve_Raw[[#This Row],[2024 Weighted Avg OpEx ($/kWac-year)]]</f>
        <v>3163.9805975359282</v>
      </c>
      <c r="H9" s="130">
        <v>3432.257338453438</v>
      </c>
      <c r="I9" s="130">
        <v>160.66223582994763</v>
      </c>
      <c r="J9" s="130">
        <v>57.974227134912013</v>
      </c>
      <c r="K9" s="130">
        <f>NYSERDA_SupplyCurve_Raw[[#This Row],[2024 Weighted Avg Capacity Factor]]*NYSERDA_SupplyCurve_Raw[[#This Row],[Available Capacity (MWac)]]</f>
        <v>19.683816173673197</v>
      </c>
      <c r="L9" s="205">
        <v>0.36067036271432967</v>
      </c>
      <c r="M9" s="201">
        <v>1</v>
      </c>
      <c r="N9" s="201">
        <v>1.0229999999999997</v>
      </c>
      <c r="O9" s="201">
        <v>1.0465289999999998</v>
      </c>
      <c r="P9" s="201">
        <v>1.0598020575021094</v>
      </c>
      <c r="Q9" s="201">
        <v>1.0736988159192502</v>
      </c>
      <c r="R9" s="201">
        <v>1.0882033073746555</v>
      </c>
      <c r="S9" s="201">
        <v>1.1033026104404513</v>
      </c>
      <c r="T9" s="201">
        <v>1.1189864388040098</v>
      </c>
      <c r="U9" s="201">
        <v>1.1352467977755538</v>
      </c>
      <c r="V9" s="201">
        <v>1.1520776967604647</v>
      </c>
      <c r="W9" s="201">
        <v>1.1694749079306725</v>
      </c>
      <c r="X9" s="201">
        <v>1.1874357630816732</v>
      </c>
      <c r="Y9" s="201">
        <v>1.2059589821346139</v>
      </c>
      <c r="Z9" s="201">
        <v>1.2250445279429274</v>
      </c>
      <c r="AA9" s="201">
        <v>1.2446934830326637</v>
      </c>
      <c r="AB9" s="201">
        <v>1.2649079446978333</v>
      </c>
      <c r="AC9" s="201">
        <v>1.2856909355124984</v>
      </c>
      <c r="AD9" s="201">
        <v>1</v>
      </c>
      <c r="AE9" s="201">
        <v>1.0229999999999995</v>
      </c>
      <c r="AF9" s="201">
        <v>1.0465289999999996</v>
      </c>
      <c r="AG9" s="201">
        <v>1.0705991669999995</v>
      </c>
      <c r="AH9" s="201">
        <v>1.0952229478409992</v>
      </c>
      <c r="AI9" s="201">
        <v>1.1204130756413422</v>
      </c>
      <c r="AJ9" s="201">
        <v>1.1461825763810929</v>
      </c>
      <c r="AK9" s="201">
        <v>1.172544775637858</v>
      </c>
      <c r="AL9" s="201">
        <v>1.1995133054775287</v>
      </c>
      <c r="AM9" s="201">
        <v>1.2271021115035117</v>
      </c>
      <c r="AN9" s="201">
        <v>1.2553254600680921</v>
      </c>
      <c r="AO9" s="201">
        <v>1.2841979456496584</v>
      </c>
      <c r="AP9" s="201">
        <v>1.3137344983996004</v>
      </c>
      <c r="AQ9" s="201">
        <v>1.3439503918627909</v>
      </c>
      <c r="AR9" s="201">
        <v>1.3748612508756348</v>
      </c>
      <c r="AS9" s="201">
        <v>1.4064830596457745</v>
      </c>
      <c r="AT9" s="201">
        <v>1.438832170017627</v>
      </c>
      <c r="AU9" s="201">
        <v>1</v>
      </c>
      <c r="AV9" s="201">
        <v>1.0229999999999999</v>
      </c>
      <c r="AW9" s="201">
        <v>1.0465289999999998</v>
      </c>
      <c r="AX9" s="201">
        <v>1.0573213826912555</v>
      </c>
      <c r="AY9" s="201">
        <v>1.0687898064113339</v>
      </c>
      <c r="AZ9" s="201">
        <v>1.0809089916969443</v>
      </c>
      <c r="BA9" s="201">
        <v>1.0936577958137252</v>
      </c>
      <c r="BB9" s="201">
        <v>1.1070186286995185</v>
      </c>
      <c r="BC9" s="201">
        <v>1.1209769671951604</v>
      </c>
      <c r="BD9" s="201">
        <v>1.1355209497900498</v>
      </c>
      <c r="BE9" s="201">
        <v>1.1506410374287139</v>
      </c>
      <c r="BF9" s="201">
        <v>1.1663297286293799</v>
      </c>
      <c r="BG9" s="201">
        <v>1.1825813193957089</v>
      </c>
      <c r="BH9" s="201">
        <v>1.1993917001987979</v>
      </c>
      <c r="BI9" s="201">
        <v>1.2167581837451034</v>
      </c>
      <c r="BJ9" s="201">
        <v>1.2346793584097975</v>
      </c>
      <c r="BK9" s="201">
        <v>1.2531549631497372</v>
      </c>
      <c r="BL9" s="201">
        <v>1</v>
      </c>
      <c r="BM9" s="201">
        <v>1.0075087154733169</v>
      </c>
      <c r="BN9" s="201">
        <v>1.0150174309466338</v>
      </c>
      <c r="BO9" s="201">
        <v>1.0225261464199509</v>
      </c>
      <c r="BP9" s="201">
        <v>1.0300348618932678</v>
      </c>
      <c r="BQ9" s="201">
        <v>1.0375435773665846</v>
      </c>
      <c r="BR9" s="201">
        <v>1.0450522928399046</v>
      </c>
      <c r="BS9" s="201">
        <v>1.0458970233306526</v>
      </c>
      <c r="BT9" s="201">
        <v>1.0467417538213979</v>
      </c>
      <c r="BU9" s="201">
        <v>1.0475864843121492</v>
      </c>
      <c r="BV9" s="201">
        <v>1.0484312148028971</v>
      </c>
      <c r="BW9" s="201">
        <v>1.0492759452936424</v>
      </c>
      <c r="BX9" s="201">
        <v>1.0501206757843937</v>
      </c>
      <c r="BY9" s="201">
        <v>1.0509654062751417</v>
      </c>
      <c r="BZ9" s="201">
        <v>1.0518101367658899</v>
      </c>
      <c r="CA9" s="201">
        <v>1.0526548672566383</v>
      </c>
      <c r="CB9" s="201">
        <v>1.0534995977473862</v>
      </c>
    </row>
    <row r="10" spans="1:80" x14ac:dyDescent="0.35">
      <c r="A10" t="s">
        <v>737</v>
      </c>
      <c r="B10" t="s">
        <v>840</v>
      </c>
      <c r="C10" s="206" t="s">
        <v>841</v>
      </c>
      <c r="D10" t="s">
        <v>736</v>
      </c>
      <c r="E10" s="130">
        <v>433.2739726646567</v>
      </c>
      <c r="F10" s="130">
        <f>NYSERDA_SupplyCurve_Raw[[#This Row],[Available Capacity (MWac)]]*NYSERDA_SupplyCurve_Raw[[#This Row],[2024 Weighted Avg Resource CapEx ($/kWac)]]</f>
        <v>1070057.0203712019</v>
      </c>
      <c r="G10" s="130">
        <f>NYSERDA_SupplyCurve_Raw[[#This Row],[Available Capacity (MWac)]]*NYSERDA_SupplyCurve_Raw[[#This Row],[2024 Weighted Avg OpEx ($/kWac-year)]]</f>
        <v>24496.383418099391</v>
      </c>
      <c r="H10" s="130">
        <v>2469.7006695100968</v>
      </c>
      <c r="I10" s="130">
        <v>191.00111424886856</v>
      </c>
      <c r="J10" s="130">
        <v>56.53786048454608</v>
      </c>
      <c r="K10" s="130">
        <f>NYSERDA_SupplyCurve_Raw[[#This Row],[2024 Weighted Avg Capacity Factor]]*NYSERDA_SupplyCurve_Raw[[#This Row],[Available Capacity (MWac)]]</f>
        <v>167.23670899236248</v>
      </c>
      <c r="L10" s="205">
        <v>0.38598374133541491</v>
      </c>
      <c r="M10" s="201">
        <v>1</v>
      </c>
      <c r="N10" s="201">
        <v>1.0229999999999999</v>
      </c>
      <c r="O10" s="201">
        <v>1.0465289999999998</v>
      </c>
      <c r="P10" s="201">
        <v>1.0598020575021097</v>
      </c>
      <c r="Q10" s="201">
        <v>1.0736988159192502</v>
      </c>
      <c r="R10" s="201">
        <v>1.0882033073746558</v>
      </c>
      <c r="S10" s="201">
        <v>1.1033026104404513</v>
      </c>
      <c r="T10" s="201">
        <v>1.1189864388040098</v>
      </c>
      <c r="U10" s="201">
        <v>1.135246797775554</v>
      </c>
      <c r="V10" s="201">
        <v>1.1520776967604647</v>
      </c>
      <c r="W10" s="201">
        <v>1.1694749079306728</v>
      </c>
      <c r="X10" s="201">
        <v>1.1874357630816732</v>
      </c>
      <c r="Y10" s="201">
        <v>1.2059589821346142</v>
      </c>
      <c r="Z10" s="201">
        <v>1.2250445279429274</v>
      </c>
      <c r="AA10" s="201">
        <v>1.2446934830326641</v>
      </c>
      <c r="AB10" s="201">
        <v>1.2649079446978335</v>
      </c>
      <c r="AC10" s="201">
        <v>1.2856909355124986</v>
      </c>
      <c r="AD10" s="201">
        <v>1</v>
      </c>
      <c r="AE10" s="201">
        <v>1.0230000000000001</v>
      </c>
      <c r="AF10" s="201">
        <v>1.0465289999999998</v>
      </c>
      <c r="AG10" s="201">
        <v>1.0705991669999999</v>
      </c>
      <c r="AH10" s="201">
        <v>1.0952229478409998</v>
      </c>
      <c r="AI10" s="201">
        <v>1.1204130756413426</v>
      </c>
      <c r="AJ10" s="201">
        <v>1.1461825763810933</v>
      </c>
      <c r="AK10" s="201">
        <v>1.1725447756378584</v>
      </c>
      <c r="AL10" s="201">
        <v>1.1995133054775291</v>
      </c>
      <c r="AM10" s="201">
        <v>1.2271021115035121</v>
      </c>
      <c r="AN10" s="201">
        <v>1.2553254600680928</v>
      </c>
      <c r="AO10" s="201">
        <v>1.2841979456496588</v>
      </c>
      <c r="AP10" s="201">
        <v>1.3137344983996007</v>
      </c>
      <c r="AQ10" s="201">
        <v>1.3439503918627917</v>
      </c>
      <c r="AR10" s="201">
        <v>1.3748612508756355</v>
      </c>
      <c r="AS10" s="201">
        <v>1.4064830596457749</v>
      </c>
      <c r="AT10" s="201">
        <v>1.4388321700176279</v>
      </c>
      <c r="AU10" s="201">
        <v>1</v>
      </c>
      <c r="AV10" s="201">
        <v>1.0229999999999999</v>
      </c>
      <c r="AW10" s="201">
        <v>1.0465289999999996</v>
      </c>
      <c r="AX10" s="201">
        <v>1.0573213826912555</v>
      </c>
      <c r="AY10" s="201">
        <v>1.0687898064113337</v>
      </c>
      <c r="AZ10" s="201">
        <v>1.0809089916969443</v>
      </c>
      <c r="BA10" s="201">
        <v>1.093657795813725</v>
      </c>
      <c r="BB10" s="201">
        <v>1.1070186286995185</v>
      </c>
      <c r="BC10" s="201">
        <v>1.1209769671951606</v>
      </c>
      <c r="BD10" s="201">
        <v>1.1355209497900498</v>
      </c>
      <c r="BE10" s="201">
        <v>1.1506410374287139</v>
      </c>
      <c r="BF10" s="201">
        <v>1.1663297286293799</v>
      </c>
      <c r="BG10" s="201">
        <v>1.1825813193957087</v>
      </c>
      <c r="BH10" s="201">
        <v>1.1993917001987977</v>
      </c>
      <c r="BI10" s="201">
        <v>1.2167581837451034</v>
      </c>
      <c r="BJ10" s="201">
        <v>1.2346793584097975</v>
      </c>
      <c r="BK10" s="201">
        <v>1.2531549631497372</v>
      </c>
      <c r="BL10" s="201">
        <v>1</v>
      </c>
      <c r="BM10" s="201">
        <v>1.0075087154733169</v>
      </c>
      <c r="BN10" s="201">
        <v>1.0150174309466338</v>
      </c>
      <c r="BO10" s="201">
        <v>1.0225261464199509</v>
      </c>
      <c r="BP10" s="201">
        <v>1.0300348618932678</v>
      </c>
      <c r="BQ10" s="201">
        <v>1.0375435773665846</v>
      </c>
      <c r="BR10" s="201">
        <v>1.0450522928399046</v>
      </c>
      <c r="BS10" s="201">
        <v>1.0458970233306526</v>
      </c>
      <c r="BT10" s="201">
        <v>1.0467417538213979</v>
      </c>
      <c r="BU10" s="201">
        <v>1.0475864843121492</v>
      </c>
      <c r="BV10" s="201">
        <v>1.0484312148028971</v>
      </c>
      <c r="BW10" s="201">
        <v>1.0492759452936424</v>
      </c>
      <c r="BX10" s="201">
        <v>1.0501206757843937</v>
      </c>
      <c r="BY10" s="201">
        <v>1.0509654062751417</v>
      </c>
      <c r="BZ10" s="201">
        <v>1.0518101367658899</v>
      </c>
      <c r="CA10" s="201">
        <v>1.0526548672566383</v>
      </c>
      <c r="CB10" s="201">
        <v>1.0534995977473862</v>
      </c>
    </row>
    <row r="11" spans="1:80" x14ac:dyDescent="0.35">
      <c r="A11" t="s">
        <v>737</v>
      </c>
      <c r="B11" t="s">
        <v>842</v>
      </c>
      <c r="C11" s="206" t="s">
        <v>843</v>
      </c>
      <c r="D11" t="s">
        <v>736</v>
      </c>
      <c r="E11" s="130">
        <v>144.82550567086875</v>
      </c>
      <c r="F11" s="130">
        <f>NYSERDA_SupplyCurve_Raw[[#This Row],[Available Capacity (MWac)]]*NYSERDA_SupplyCurve_Raw[[#This Row],[2024 Weighted Avg Resource CapEx ($/kWac)]]</f>
        <v>357083.69149157632</v>
      </c>
      <c r="G11" s="130">
        <f>NYSERDA_SupplyCurve_Raw[[#This Row],[Available Capacity (MWac)]]*NYSERDA_SupplyCurve_Raw[[#This Row],[2024 Weighted Avg OpEx ($/kWac-year)]]</f>
        <v>8128.743258486179</v>
      </c>
      <c r="H11" s="130">
        <v>2465.613289851628</v>
      </c>
      <c r="I11" s="130">
        <v>197.1301115576434</v>
      </c>
      <c r="J11" s="130">
        <v>56.127843095259799</v>
      </c>
      <c r="K11" s="130">
        <f>NYSERDA_SupplyCurve_Raw[[#This Row],[2024 Weighted Avg Capacity Factor]]*NYSERDA_SupplyCurve_Raw[[#This Row],[Available Capacity (MWac)]]</f>
        <v>51.800040149940514</v>
      </c>
      <c r="L11" s="205">
        <v>0.35767208206862106</v>
      </c>
      <c r="M11" s="201">
        <v>1</v>
      </c>
      <c r="N11" s="201">
        <v>1.0229999999999999</v>
      </c>
      <c r="O11" s="201">
        <v>1.0465289999999996</v>
      </c>
      <c r="P11" s="201">
        <v>1.0598020575021097</v>
      </c>
      <c r="Q11" s="201">
        <v>1.0736988159192502</v>
      </c>
      <c r="R11" s="201">
        <v>1.0882033073746558</v>
      </c>
      <c r="S11" s="201">
        <v>1.1033026104404513</v>
      </c>
      <c r="T11" s="201">
        <v>1.1189864388040101</v>
      </c>
      <c r="U11" s="201">
        <v>1.1352467977755538</v>
      </c>
      <c r="V11" s="201">
        <v>1.1520776967604647</v>
      </c>
      <c r="W11" s="201">
        <v>1.1694749079306728</v>
      </c>
      <c r="X11" s="201">
        <v>1.1874357630816732</v>
      </c>
      <c r="Y11" s="201">
        <v>1.2059589821346142</v>
      </c>
      <c r="Z11" s="201">
        <v>1.2250445279429276</v>
      </c>
      <c r="AA11" s="201">
        <v>1.2446934830326639</v>
      </c>
      <c r="AB11" s="201">
        <v>1.2649079446978333</v>
      </c>
      <c r="AC11" s="201">
        <v>1.2856909355124986</v>
      </c>
      <c r="AD11" s="201">
        <v>1</v>
      </c>
      <c r="AE11" s="201">
        <v>1.0229999999999997</v>
      </c>
      <c r="AF11" s="201">
        <v>1.0465289999999996</v>
      </c>
      <c r="AG11" s="201">
        <v>1.0705991669999992</v>
      </c>
      <c r="AH11" s="201">
        <v>1.0952229478409994</v>
      </c>
      <c r="AI11" s="201">
        <v>1.1204130756413424</v>
      </c>
      <c r="AJ11" s="201">
        <v>1.1461825763810931</v>
      </c>
      <c r="AK11" s="201">
        <v>1.172544775637858</v>
      </c>
      <c r="AL11" s="201">
        <v>1.1995133054775287</v>
      </c>
      <c r="AM11" s="201">
        <v>1.2271021115035119</v>
      </c>
      <c r="AN11" s="201">
        <v>1.2553254600680923</v>
      </c>
      <c r="AO11" s="201">
        <v>1.2841979456496584</v>
      </c>
      <c r="AP11" s="201">
        <v>1.3137344983996007</v>
      </c>
      <c r="AQ11" s="201">
        <v>1.3439503918627913</v>
      </c>
      <c r="AR11" s="201">
        <v>1.3748612508756346</v>
      </c>
      <c r="AS11" s="201">
        <v>1.4064830596457742</v>
      </c>
      <c r="AT11" s="201">
        <v>1.438832170017627</v>
      </c>
      <c r="AU11" s="201">
        <v>1</v>
      </c>
      <c r="AV11" s="201">
        <v>1.0230000000000001</v>
      </c>
      <c r="AW11" s="201">
        <v>1.0465289999999998</v>
      </c>
      <c r="AX11" s="201">
        <v>1.0573213826912555</v>
      </c>
      <c r="AY11" s="201">
        <v>1.0687898064113339</v>
      </c>
      <c r="AZ11" s="201">
        <v>1.0809089916969443</v>
      </c>
      <c r="BA11" s="201">
        <v>1.0936577958137252</v>
      </c>
      <c r="BB11" s="201">
        <v>1.1070186286995185</v>
      </c>
      <c r="BC11" s="201">
        <v>1.1209769671951608</v>
      </c>
      <c r="BD11" s="201">
        <v>1.1355209497900498</v>
      </c>
      <c r="BE11" s="201">
        <v>1.1506410374287139</v>
      </c>
      <c r="BF11" s="201">
        <v>1.1663297286293801</v>
      </c>
      <c r="BG11" s="201">
        <v>1.1825813193957089</v>
      </c>
      <c r="BH11" s="201">
        <v>1.1993917001987977</v>
      </c>
      <c r="BI11" s="201">
        <v>1.2167581837451031</v>
      </c>
      <c r="BJ11" s="201">
        <v>1.2346793584097975</v>
      </c>
      <c r="BK11" s="201">
        <v>1.2531549631497372</v>
      </c>
      <c r="BL11" s="201">
        <v>1</v>
      </c>
      <c r="BM11" s="201">
        <v>1.0075087154733169</v>
      </c>
      <c r="BN11" s="201">
        <v>1.0150174309466338</v>
      </c>
      <c r="BO11" s="201">
        <v>1.0225261464199509</v>
      </c>
      <c r="BP11" s="201">
        <v>1.0300348618932678</v>
      </c>
      <c r="BQ11" s="201">
        <v>1.0375435773665846</v>
      </c>
      <c r="BR11" s="201">
        <v>1.0450522928399046</v>
      </c>
      <c r="BS11" s="201">
        <v>1.0458970233306526</v>
      </c>
      <c r="BT11" s="201">
        <v>1.0467417538213979</v>
      </c>
      <c r="BU11" s="201">
        <v>1.0475864843121492</v>
      </c>
      <c r="BV11" s="201">
        <v>1.0484312148028971</v>
      </c>
      <c r="BW11" s="201">
        <v>1.0492759452936424</v>
      </c>
      <c r="BX11" s="201">
        <v>1.0501206757843937</v>
      </c>
      <c r="BY11" s="201">
        <v>1.0509654062751417</v>
      </c>
      <c r="BZ11" s="201">
        <v>1.0518101367658899</v>
      </c>
      <c r="CA11" s="201">
        <v>1.0526548672566383</v>
      </c>
      <c r="CB11" s="201">
        <v>1.0534995977473862</v>
      </c>
    </row>
    <row r="12" spans="1:80" x14ac:dyDescent="0.35">
      <c r="A12" t="s">
        <v>737</v>
      </c>
      <c r="B12" t="s">
        <v>844</v>
      </c>
      <c r="C12" s="206" t="s">
        <v>845</v>
      </c>
      <c r="D12" t="s">
        <v>736</v>
      </c>
      <c r="E12" s="130">
        <v>104.60570343538168</v>
      </c>
      <c r="F12" s="130">
        <f>NYSERDA_SupplyCurve_Raw[[#This Row],[Available Capacity (MWac)]]*NYSERDA_SupplyCurve_Raw[[#This Row],[2024 Weighted Avg Resource CapEx ($/kWac)]]</f>
        <v>305614.67358994693</v>
      </c>
      <c r="G12" s="130">
        <f>NYSERDA_SupplyCurve_Raw[[#This Row],[Available Capacity (MWac)]]*NYSERDA_SupplyCurve_Raw[[#This Row],[2024 Weighted Avg OpEx ($/kWac-year)]]</f>
        <v>5886.5909093917435</v>
      </c>
      <c r="H12" s="130">
        <v>2921.5870985345937</v>
      </c>
      <c r="I12" s="130">
        <v>416.35024889961142</v>
      </c>
      <c r="J12" s="130">
        <v>56.274091336024334</v>
      </c>
      <c r="K12" s="130">
        <f>NYSERDA_SupplyCurve_Raw[[#This Row],[2024 Weighted Avg Capacity Factor]]*NYSERDA_SupplyCurve_Raw[[#This Row],[Available Capacity (MWac)]]</f>
        <v>40.973877637610805</v>
      </c>
      <c r="L12" s="205">
        <v>0.39169831368632485</v>
      </c>
      <c r="M12" s="201">
        <v>1</v>
      </c>
      <c r="N12" s="201">
        <v>1.0229999999999999</v>
      </c>
      <c r="O12" s="201">
        <v>1.0465289999999998</v>
      </c>
      <c r="P12" s="201">
        <v>1.0598020575021094</v>
      </c>
      <c r="Q12" s="201">
        <v>1.0736988159192504</v>
      </c>
      <c r="R12" s="201">
        <v>1.0882033073746558</v>
      </c>
      <c r="S12" s="201">
        <v>1.1033026104404513</v>
      </c>
      <c r="T12" s="201">
        <v>1.1189864388040101</v>
      </c>
      <c r="U12" s="201">
        <v>1.135246797775554</v>
      </c>
      <c r="V12" s="201">
        <v>1.1520776967604645</v>
      </c>
      <c r="W12" s="201">
        <v>1.1694749079306728</v>
      </c>
      <c r="X12" s="201">
        <v>1.1874357630816732</v>
      </c>
      <c r="Y12" s="201">
        <v>1.2059589821346142</v>
      </c>
      <c r="Z12" s="201">
        <v>1.2250445279429274</v>
      </c>
      <c r="AA12" s="201">
        <v>1.2446934830326639</v>
      </c>
      <c r="AB12" s="201">
        <v>1.2649079446978335</v>
      </c>
      <c r="AC12" s="201">
        <v>1.2856909355124986</v>
      </c>
      <c r="AD12" s="201">
        <v>1</v>
      </c>
      <c r="AE12" s="201">
        <v>1.0229999999999999</v>
      </c>
      <c r="AF12" s="201">
        <v>1.0465289999999998</v>
      </c>
      <c r="AG12" s="201">
        <v>1.0705991669999997</v>
      </c>
      <c r="AH12" s="201">
        <v>1.0952229478409996</v>
      </c>
      <c r="AI12" s="201">
        <v>1.1204130756413426</v>
      </c>
      <c r="AJ12" s="201">
        <v>1.1461825763810931</v>
      </c>
      <c r="AK12" s="201">
        <v>1.1725447756378584</v>
      </c>
      <c r="AL12" s="201">
        <v>1.1995133054775289</v>
      </c>
      <c r="AM12" s="201">
        <v>1.2271021115035119</v>
      </c>
      <c r="AN12" s="201">
        <v>1.2553254600680925</v>
      </c>
      <c r="AO12" s="201">
        <v>1.2841979456496586</v>
      </c>
      <c r="AP12" s="201">
        <v>1.3137344983996007</v>
      </c>
      <c r="AQ12" s="201">
        <v>1.3439503918627915</v>
      </c>
      <c r="AR12" s="201">
        <v>1.3748612508756353</v>
      </c>
      <c r="AS12" s="201">
        <v>1.4064830596457749</v>
      </c>
      <c r="AT12" s="201">
        <v>1.4388321700176274</v>
      </c>
      <c r="AU12" s="201">
        <v>1</v>
      </c>
      <c r="AV12" s="201">
        <v>1.0229999999999999</v>
      </c>
      <c r="AW12" s="201">
        <v>1.0465289999999998</v>
      </c>
      <c r="AX12" s="201">
        <v>1.0573213826912555</v>
      </c>
      <c r="AY12" s="201">
        <v>1.0687898064113339</v>
      </c>
      <c r="AZ12" s="201">
        <v>1.0809089916969443</v>
      </c>
      <c r="BA12" s="201">
        <v>1.093657795813725</v>
      </c>
      <c r="BB12" s="201">
        <v>1.1070186286995185</v>
      </c>
      <c r="BC12" s="201">
        <v>1.1209769671951606</v>
      </c>
      <c r="BD12" s="201">
        <v>1.1355209497900498</v>
      </c>
      <c r="BE12" s="201">
        <v>1.1506410374287139</v>
      </c>
      <c r="BF12" s="201">
        <v>1.1663297286293797</v>
      </c>
      <c r="BG12" s="201">
        <v>1.1825813193957089</v>
      </c>
      <c r="BH12" s="201">
        <v>1.1993917001987977</v>
      </c>
      <c r="BI12" s="201">
        <v>1.2167581837451034</v>
      </c>
      <c r="BJ12" s="201">
        <v>1.2346793584097975</v>
      </c>
      <c r="BK12" s="201">
        <v>1.2531549631497372</v>
      </c>
      <c r="BL12" s="201">
        <v>1</v>
      </c>
      <c r="BM12" s="201">
        <v>1.0075087154733169</v>
      </c>
      <c r="BN12" s="201">
        <v>1.0150174309466338</v>
      </c>
      <c r="BO12" s="201">
        <v>1.0225261464199509</v>
      </c>
      <c r="BP12" s="201">
        <v>1.0300348618932678</v>
      </c>
      <c r="BQ12" s="201">
        <v>1.0375435773665846</v>
      </c>
      <c r="BR12" s="201">
        <v>1.0450522928399046</v>
      </c>
      <c r="BS12" s="201">
        <v>1.0458970233306526</v>
      </c>
      <c r="BT12" s="201">
        <v>1.0467417538213979</v>
      </c>
      <c r="BU12" s="201">
        <v>1.0475864843121492</v>
      </c>
      <c r="BV12" s="201">
        <v>1.0484312148028971</v>
      </c>
      <c r="BW12" s="201">
        <v>1.0492759452936424</v>
      </c>
      <c r="BX12" s="201">
        <v>1.0501206757843937</v>
      </c>
      <c r="BY12" s="201">
        <v>1.0509654062751417</v>
      </c>
      <c r="BZ12" s="201">
        <v>1.0518101367658899</v>
      </c>
      <c r="CA12" s="201">
        <v>1.0526548672566383</v>
      </c>
      <c r="CB12" s="201">
        <v>1.0534995977473862</v>
      </c>
    </row>
    <row r="13" spans="1:80" x14ac:dyDescent="0.35">
      <c r="A13" t="s">
        <v>737</v>
      </c>
      <c r="B13" t="s">
        <v>846</v>
      </c>
      <c r="C13" s="206" t="s">
        <v>843</v>
      </c>
      <c r="D13" t="s">
        <v>736</v>
      </c>
      <c r="E13" s="130">
        <v>252.67022820137197</v>
      </c>
      <c r="F13" s="130">
        <f>NYSERDA_SupplyCurve_Raw[[#This Row],[Available Capacity (MWac)]]*NYSERDA_SupplyCurve_Raw[[#This Row],[2024 Weighted Avg Resource CapEx ($/kWac)]]</f>
        <v>625062.96080572135</v>
      </c>
      <c r="G13" s="130">
        <f>NYSERDA_SupplyCurve_Raw[[#This Row],[Available Capacity (MWac)]]*NYSERDA_SupplyCurve_Raw[[#This Row],[2024 Weighted Avg OpEx ($/kWac-year)]]</f>
        <v>14483.394341190571</v>
      </c>
      <c r="H13" s="130">
        <v>2473.8290904125101</v>
      </c>
      <c r="I13" s="130">
        <v>175.92966740577762</v>
      </c>
      <c r="J13" s="130">
        <v>57.321333202927498</v>
      </c>
      <c r="K13" s="130">
        <f>NYSERDA_SupplyCurve_Raw[[#This Row],[2024 Weighted Avg Capacity Factor]]*NYSERDA_SupplyCurve_Raw[[#This Row],[Available Capacity (MWac)]]</f>
        <v>96.344213985173653</v>
      </c>
      <c r="L13" s="205">
        <v>0.38130417924975979</v>
      </c>
      <c r="M13" s="201">
        <v>1</v>
      </c>
      <c r="N13" s="201">
        <v>1.0230000000000001</v>
      </c>
      <c r="O13" s="201">
        <v>1.0465289999999998</v>
      </c>
      <c r="P13" s="201">
        <v>1.0598020575021097</v>
      </c>
      <c r="Q13" s="201">
        <v>1.0736988159192502</v>
      </c>
      <c r="R13" s="201">
        <v>1.0882033073746558</v>
      </c>
      <c r="S13" s="201">
        <v>1.1033026104404513</v>
      </c>
      <c r="T13" s="201">
        <v>1.1189864388040101</v>
      </c>
      <c r="U13" s="201">
        <v>1.135246797775554</v>
      </c>
      <c r="V13" s="201">
        <v>1.1520776967604647</v>
      </c>
      <c r="W13" s="201">
        <v>1.169474907930673</v>
      </c>
      <c r="X13" s="201">
        <v>1.1874357630816734</v>
      </c>
      <c r="Y13" s="201">
        <v>1.2059589821346142</v>
      </c>
      <c r="Z13" s="201">
        <v>1.2250445279429274</v>
      </c>
      <c r="AA13" s="201">
        <v>1.2446934830326639</v>
      </c>
      <c r="AB13" s="201">
        <v>1.2649079446978335</v>
      </c>
      <c r="AC13" s="201">
        <v>1.2856909355124986</v>
      </c>
      <c r="AD13" s="201">
        <v>1</v>
      </c>
      <c r="AE13" s="201">
        <v>1.0229999999999999</v>
      </c>
      <c r="AF13" s="201">
        <v>1.0465289999999996</v>
      </c>
      <c r="AG13" s="201">
        <v>1.0705991669999997</v>
      </c>
      <c r="AH13" s="201">
        <v>1.0952229478409994</v>
      </c>
      <c r="AI13" s="201">
        <v>1.1204130756413424</v>
      </c>
      <c r="AJ13" s="201">
        <v>1.1461825763810929</v>
      </c>
      <c r="AK13" s="201">
        <v>1.1725447756378582</v>
      </c>
      <c r="AL13" s="201">
        <v>1.1995133054775289</v>
      </c>
      <c r="AM13" s="201">
        <v>1.2271021115035119</v>
      </c>
      <c r="AN13" s="201">
        <v>1.2553254600680925</v>
      </c>
      <c r="AO13" s="201">
        <v>1.2841979456496584</v>
      </c>
      <c r="AP13" s="201">
        <v>1.3137344983996007</v>
      </c>
      <c r="AQ13" s="201">
        <v>1.3439503918627913</v>
      </c>
      <c r="AR13" s="201">
        <v>1.374861250875635</v>
      </c>
      <c r="AS13" s="201">
        <v>1.4064830596457745</v>
      </c>
      <c r="AT13" s="201">
        <v>1.4388321700176272</v>
      </c>
      <c r="AU13" s="201">
        <v>1</v>
      </c>
      <c r="AV13" s="201">
        <v>1.0230000000000001</v>
      </c>
      <c r="AW13" s="201">
        <v>1.0465289999999998</v>
      </c>
      <c r="AX13" s="201">
        <v>1.0573213826912555</v>
      </c>
      <c r="AY13" s="201">
        <v>1.0687898064113341</v>
      </c>
      <c r="AZ13" s="201">
        <v>1.0809089916969445</v>
      </c>
      <c r="BA13" s="201">
        <v>1.0936577958137252</v>
      </c>
      <c r="BB13" s="201">
        <v>1.1070186286995185</v>
      </c>
      <c r="BC13" s="201">
        <v>1.1209769671951608</v>
      </c>
      <c r="BD13" s="201">
        <v>1.1355209497900502</v>
      </c>
      <c r="BE13" s="201">
        <v>1.1506410374287137</v>
      </c>
      <c r="BF13" s="201">
        <v>1.1663297286293799</v>
      </c>
      <c r="BG13" s="201">
        <v>1.1825813193957091</v>
      </c>
      <c r="BH13" s="201">
        <v>1.1993917001987979</v>
      </c>
      <c r="BI13" s="201">
        <v>1.2167581837451034</v>
      </c>
      <c r="BJ13" s="201">
        <v>1.2346793584097979</v>
      </c>
      <c r="BK13" s="201">
        <v>1.2531549631497372</v>
      </c>
      <c r="BL13" s="201">
        <v>1</v>
      </c>
      <c r="BM13" s="201">
        <v>1.0075087154733169</v>
      </c>
      <c r="BN13" s="201">
        <v>1.0150174309466338</v>
      </c>
      <c r="BO13" s="201">
        <v>1.0225261464199509</v>
      </c>
      <c r="BP13" s="201">
        <v>1.0300348618932678</v>
      </c>
      <c r="BQ13" s="201">
        <v>1.0375435773665846</v>
      </c>
      <c r="BR13" s="201">
        <v>1.0450522928399046</v>
      </c>
      <c r="BS13" s="201">
        <v>1.0458970233306526</v>
      </c>
      <c r="BT13" s="201">
        <v>1.0467417538213979</v>
      </c>
      <c r="BU13" s="201">
        <v>1.0475864843121492</v>
      </c>
      <c r="BV13" s="201">
        <v>1.0484312148028971</v>
      </c>
      <c r="BW13" s="201">
        <v>1.0492759452936424</v>
      </c>
      <c r="BX13" s="201">
        <v>1.0501206757843937</v>
      </c>
      <c r="BY13" s="201">
        <v>1.0509654062751417</v>
      </c>
      <c r="BZ13" s="201">
        <v>1.0518101367658899</v>
      </c>
      <c r="CA13" s="201">
        <v>1.0526548672566383</v>
      </c>
      <c r="CB13" s="201">
        <v>1.0534995977473862</v>
      </c>
    </row>
    <row r="14" spans="1:80" x14ac:dyDescent="0.35">
      <c r="A14" t="s">
        <v>737</v>
      </c>
      <c r="B14" t="s">
        <v>847</v>
      </c>
      <c r="C14" s="206" t="s">
        <v>845</v>
      </c>
      <c r="D14" t="s">
        <v>736</v>
      </c>
      <c r="E14" s="130">
        <v>530.65741504016523</v>
      </c>
      <c r="F14" s="130">
        <f>NYSERDA_SupplyCurve_Raw[[#This Row],[Available Capacity (MWac)]]*NYSERDA_SupplyCurve_Raw[[#This Row],[2024 Weighted Avg Resource CapEx ($/kWac)]]</f>
        <v>1313338.5624376805</v>
      </c>
      <c r="G14" s="130">
        <f>NYSERDA_SupplyCurve_Raw[[#This Row],[Available Capacity (MWac)]]*NYSERDA_SupplyCurve_Raw[[#This Row],[2024 Weighted Avg OpEx ($/kWac-year)]]</f>
        <v>30035.495345229981</v>
      </c>
      <c r="H14" s="130">
        <v>2474.9273735075849</v>
      </c>
      <c r="I14" s="130">
        <v>186.87487736824272</v>
      </c>
      <c r="J14" s="130">
        <v>56.600538302016581</v>
      </c>
      <c r="K14" s="130">
        <f>NYSERDA_SupplyCurve_Raw[[#This Row],[2024 Weighted Avg Capacity Factor]]*NYSERDA_SupplyCurve_Raw[[#This Row],[Available Capacity (MWac)]]</f>
        <v>199.34321914447497</v>
      </c>
      <c r="L14" s="205">
        <v>0.37565331887313169</v>
      </c>
      <c r="M14" s="201">
        <v>1</v>
      </c>
      <c r="N14" s="201">
        <v>1.0229999999999997</v>
      </c>
      <c r="O14" s="201">
        <v>1.0465289999999996</v>
      </c>
      <c r="P14" s="201">
        <v>1.0598020575021097</v>
      </c>
      <c r="Q14" s="201">
        <v>1.07369881591925</v>
      </c>
      <c r="R14" s="201">
        <v>1.0882033073746555</v>
      </c>
      <c r="S14" s="201">
        <v>1.1033026104404513</v>
      </c>
      <c r="T14" s="201">
        <v>1.1189864388040098</v>
      </c>
      <c r="U14" s="201">
        <v>1.1352467977755538</v>
      </c>
      <c r="V14" s="201">
        <v>1.1520776967604647</v>
      </c>
      <c r="W14" s="201">
        <v>1.1694749079306725</v>
      </c>
      <c r="X14" s="201">
        <v>1.1874357630816732</v>
      </c>
      <c r="Y14" s="201">
        <v>1.2059589821346139</v>
      </c>
      <c r="Z14" s="201">
        <v>1.2250445279429274</v>
      </c>
      <c r="AA14" s="201">
        <v>1.2446934830326637</v>
      </c>
      <c r="AB14" s="201">
        <v>1.2649079446978333</v>
      </c>
      <c r="AC14" s="201">
        <v>1.2856909355124981</v>
      </c>
      <c r="AD14" s="201">
        <v>1</v>
      </c>
      <c r="AE14" s="201">
        <v>1.0230000000000001</v>
      </c>
      <c r="AF14" s="201">
        <v>1.0465289999999998</v>
      </c>
      <c r="AG14" s="201">
        <v>1.0705991669999997</v>
      </c>
      <c r="AH14" s="201">
        <v>1.0952229478409996</v>
      </c>
      <c r="AI14" s="201">
        <v>1.1204130756413426</v>
      </c>
      <c r="AJ14" s="201">
        <v>1.1461825763810933</v>
      </c>
      <c r="AK14" s="201">
        <v>1.1725447756378584</v>
      </c>
      <c r="AL14" s="201">
        <v>1.1995133054775291</v>
      </c>
      <c r="AM14" s="201">
        <v>1.2271021115035119</v>
      </c>
      <c r="AN14" s="201">
        <v>1.2553254600680925</v>
      </c>
      <c r="AO14" s="201">
        <v>1.2841979456496588</v>
      </c>
      <c r="AP14" s="201">
        <v>1.3137344983996007</v>
      </c>
      <c r="AQ14" s="201">
        <v>1.3439503918627913</v>
      </c>
      <c r="AR14" s="201">
        <v>1.3748612508756353</v>
      </c>
      <c r="AS14" s="201">
        <v>1.4064830596457749</v>
      </c>
      <c r="AT14" s="201">
        <v>1.4388321700176272</v>
      </c>
      <c r="AU14" s="201">
        <v>1</v>
      </c>
      <c r="AV14" s="201">
        <v>1.0229999999999999</v>
      </c>
      <c r="AW14" s="201">
        <v>1.0465289999999996</v>
      </c>
      <c r="AX14" s="201">
        <v>1.0573213826912558</v>
      </c>
      <c r="AY14" s="201">
        <v>1.0687898064113339</v>
      </c>
      <c r="AZ14" s="201">
        <v>1.0809089916969445</v>
      </c>
      <c r="BA14" s="201">
        <v>1.0936577958137255</v>
      </c>
      <c r="BB14" s="201">
        <v>1.1070186286995185</v>
      </c>
      <c r="BC14" s="201">
        <v>1.1209769671951608</v>
      </c>
      <c r="BD14" s="201">
        <v>1.13552094979005</v>
      </c>
      <c r="BE14" s="201">
        <v>1.1506410374287137</v>
      </c>
      <c r="BF14" s="201">
        <v>1.1663297286293799</v>
      </c>
      <c r="BG14" s="201">
        <v>1.1825813193957091</v>
      </c>
      <c r="BH14" s="201">
        <v>1.1993917001987977</v>
      </c>
      <c r="BI14" s="201">
        <v>1.2167581837451036</v>
      </c>
      <c r="BJ14" s="201">
        <v>1.2346793584097977</v>
      </c>
      <c r="BK14" s="201">
        <v>1.2531549631497374</v>
      </c>
      <c r="BL14" s="201">
        <v>1</v>
      </c>
      <c r="BM14" s="201">
        <v>1.0075087154733169</v>
      </c>
      <c r="BN14" s="201">
        <v>1.0150174309466338</v>
      </c>
      <c r="BO14" s="201">
        <v>1.0225261464199509</v>
      </c>
      <c r="BP14" s="201">
        <v>1.0300348618932678</v>
      </c>
      <c r="BQ14" s="201">
        <v>1.0375435773665846</v>
      </c>
      <c r="BR14" s="201">
        <v>1.0450522928399046</v>
      </c>
      <c r="BS14" s="201">
        <v>1.0458970233306526</v>
      </c>
      <c r="BT14" s="201">
        <v>1.0467417538213979</v>
      </c>
      <c r="BU14" s="201">
        <v>1.0475864843121492</v>
      </c>
      <c r="BV14" s="201">
        <v>1.0484312148028971</v>
      </c>
      <c r="BW14" s="201">
        <v>1.0492759452936424</v>
      </c>
      <c r="BX14" s="201">
        <v>1.0501206757843937</v>
      </c>
      <c r="BY14" s="201">
        <v>1.0509654062751417</v>
      </c>
      <c r="BZ14" s="201">
        <v>1.0518101367658899</v>
      </c>
      <c r="CA14" s="201">
        <v>1.0526548672566383</v>
      </c>
      <c r="CB14" s="201">
        <v>1.0534995977473862</v>
      </c>
    </row>
    <row r="15" spans="1:80" x14ac:dyDescent="0.35">
      <c r="A15" t="s">
        <v>737</v>
      </c>
      <c r="B15" t="s">
        <v>848</v>
      </c>
      <c r="C15" s="206" t="s">
        <v>843</v>
      </c>
      <c r="D15" t="s">
        <v>736</v>
      </c>
      <c r="E15" s="130">
        <v>172.70217208636004</v>
      </c>
      <c r="F15" s="130">
        <f>NYSERDA_SupplyCurve_Raw[[#This Row],[Available Capacity (MWac)]]*NYSERDA_SupplyCurve_Raw[[#This Row],[2024 Weighted Avg Resource CapEx ($/kWac)]]</f>
        <v>449357.20067910803</v>
      </c>
      <c r="G15" s="130">
        <f>NYSERDA_SupplyCurve_Raw[[#This Row],[Available Capacity (MWac)]]*NYSERDA_SupplyCurve_Raw[[#This Row],[2024 Weighted Avg OpEx ($/kWac-year)]]</f>
        <v>9764.2113107966907</v>
      </c>
      <c r="H15" s="130">
        <v>2601.9197978263187</v>
      </c>
      <c r="I15" s="130">
        <v>127.41820330350437</v>
      </c>
      <c r="J15" s="130">
        <v>56.537860484546073</v>
      </c>
      <c r="K15" s="130">
        <f>NYSERDA_SupplyCurve_Raw[[#This Row],[2024 Weighted Avg Capacity Factor]]*NYSERDA_SupplyCurve_Raw[[#This Row],[Available Capacity (MWac)]]</f>
        <v>62.596332013341716</v>
      </c>
      <c r="L15" s="205">
        <v>0.36245248833373273</v>
      </c>
      <c r="M15" s="201">
        <v>1</v>
      </c>
      <c r="N15" s="201">
        <v>1.0229999999999999</v>
      </c>
      <c r="O15" s="201">
        <v>1.0465289999999996</v>
      </c>
      <c r="P15" s="201">
        <v>1.0598020575021094</v>
      </c>
      <c r="Q15" s="201">
        <v>1.07369881591925</v>
      </c>
      <c r="R15" s="201">
        <v>1.0882033073746555</v>
      </c>
      <c r="S15" s="201">
        <v>1.1033026104404511</v>
      </c>
      <c r="T15" s="201">
        <v>1.1189864388040098</v>
      </c>
      <c r="U15" s="201">
        <v>1.135246797775554</v>
      </c>
      <c r="V15" s="201">
        <v>1.1520776967604645</v>
      </c>
      <c r="W15" s="201">
        <v>1.1694749079306725</v>
      </c>
      <c r="X15" s="201">
        <v>1.187435763081673</v>
      </c>
      <c r="Y15" s="201">
        <v>1.2059589821346142</v>
      </c>
      <c r="Z15" s="201">
        <v>1.2250445279429274</v>
      </c>
      <c r="AA15" s="201">
        <v>1.2446934830326639</v>
      </c>
      <c r="AB15" s="201">
        <v>1.2649079446978335</v>
      </c>
      <c r="AC15" s="201">
        <v>1.2856909355124986</v>
      </c>
      <c r="AD15" s="201">
        <v>1</v>
      </c>
      <c r="AE15" s="201">
        <v>1.0229999999999999</v>
      </c>
      <c r="AF15" s="201">
        <v>1.0465289999999996</v>
      </c>
      <c r="AG15" s="201">
        <v>1.0705991669999997</v>
      </c>
      <c r="AH15" s="201">
        <v>1.0952229478409996</v>
      </c>
      <c r="AI15" s="201">
        <v>1.1204130756413426</v>
      </c>
      <c r="AJ15" s="201">
        <v>1.1461825763810933</v>
      </c>
      <c r="AK15" s="201">
        <v>1.172544775637858</v>
      </c>
      <c r="AL15" s="201">
        <v>1.1995133054775287</v>
      </c>
      <c r="AM15" s="201">
        <v>1.2271021115035117</v>
      </c>
      <c r="AN15" s="201">
        <v>1.2553254600680928</v>
      </c>
      <c r="AO15" s="201">
        <v>1.2841979456496586</v>
      </c>
      <c r="AP15" s="201">
        <v>1.3137344983996004</v>
      </c>
      <c r="AQ15" s="201">
        <v>1.3439503918627913</v>
      </c>
      <c r="AR15" s="201">
        <v>1.3748612508756353</v>
      </c>
      <c r="AS15" s="201">
        <v>1.4064830596457747</v>
      </c>
      <c r="AT15" s="201">
        <v>1.4388321700176272</v>
      </c>
      <c r="AU15" s="201">
        <v>1</v>
      </c>
      <c r="AV15" s="201">
        <v>1.0230000000000001</v>
      </c>
      <c r="AW15" s="201">
        <v>1.046529</v>
      </c>
      <c r="AX15" s="201">
        <v>1.0573213826912558</v>
      </c>
      <c r="AY15" s="201">
        <v>1.0687898064113337</v>
      </c>
      <c r="AZ15" s="201">
        <v>1.0809089916969445</v>
      </c>
      <c r="BA15" s="201">
        <v>1.0936577958137252</v>
      </c>
      <c r="BB15" s="201">
        <v>1.1070186286995187</v>
      </c>
      <c r="BC15" s="201">
        <v>1.1209769671951606</v>
      </c>
      <c r="BD15" s="201">
        <v>1.1355209497900498</v>
      </c>
      <c r="BE15" s="201">
        <v>1.1506410374287139</v>
      </c>
      <c r="BF15" s="201">
        <v>1.1663297286293797</v>
      </c>
      <c r="BG15" s="201">
        <v>1.1825813193957089</v>
      </c>
      <c r="BH15" s="201">
        <v>1.1993917001987979</v>
      </c>
      <c r="BI15" s="201">
        <v>1.2167581837451034</v>
      </c>
      <c r="BJ15" s="201">
        <v>1.2346793584097977</v>
      </c>
      <c r="BK15" s="201">
        <v>1.2531549631497372</v>
      </c>
      <c r="BL15" s="201">
        <v>1</v>
      </c>
      <c r="BM15" s="201">
        <v>1.0075087154733169</v>
      </c>
      <c r="BN15" s="201">
        <v>1.0150174309466338</v>
      </c>
      <c r="BO15" s="201">
        <v>1.0225261464199509</v>
      </c>
      <c r="BP15" s="201">
        <v>1.0300348618932678</v>
      </c>
      <c r="BQ15" s="201">
        <v>1.0375435773665846</v>
      </c>
      <c r="BR15" s="201">
        <v>1.0450522928399046</v>
      </c>
      <c r="BS15" s="201">
        <v>1.0458970233306526</v>
      </c>
      <c r="BT15" s="201">
        <v>1.0467417538213979</v>
      </c>
      <c r="BU15" s="201">
        <v>1.0475864843121492</v>
      </c>
      <c r="BV15" s="201">
        <v>1.0484312148028971</v>
      </c>
      <c r="BW15" s="201">
        <v>1.0492759452936424</v>
      </c>
      <c r="BX15" s="201">
        <v>1.0501206757843937</v>
      </c>
      <c r="BY15" s="201">
        <v>1.0509654062751417</v>
      </c>
      <c r="BZ15" s="201">
        <v>1.0518101367658899</v>
      </c>
      <c r="CA15" s="201">
        <v>1.0526548672566383</v>
      </c>
      <c r="CB15" s="201">
        <v>1.0534995977473862</v>
      </c>
    </row>
    <row r="16" spans="1:80" x14ac:dyDescent="0.35">
      <c r="A16" t="s">
        <v>737</v>
      </c>
      <c r="B16" t="s">
        <v>848</v>
      </c>
      <c r="C16" s="206" t="s">
        <v>843</v>
      </c>
      <c r="D16" t="s">
        <v>742</v>
      </c>
      <c r="E16" s="130">
        <v>32.901796689666327</v>
      </c>
      <c r="F16" s="130">
        <f>NYSERDA_SupplyCurve_Raw[[#This Row],[Available Capacity (MWac)]]*NYSERDA_SupplyCurve_Raw[[#This Row],[2024 Weighted Avg Resource CapEx ($/kWac)]]</f>
        <v>111347.44789290629</v>
      </c>
      <c r="G16" s="130">
        <f>NYSERDA_SupplyCurve_Raw[[#This Row],[Available Capacity (MWac)]]*NYSERDA_SupplyCurve_Raw[[#This Row],[2024 Weighted Avg OpEx ($/kWac-year)]]</f>
        <v>1860.1971909312547</v>
      </c>
      <c r="H16" s="130">
        <v>3384.2360933400905</v>
      </c>
      <c r="I16" s="130">
        <v>178.95153450347769</v>
      </c>
      <c r="J16" s="130">
        <v>56.537860484546073</v>
      </c>
      <c r="K16" s="130">
        <f>NYSERDA_SupplyCurve_Raw[[#This Row],[2024 Weighted Avg Capacity Factor]]*NYSERDA_SupplyCurve_Raw[[#This Row],[Available Capacity (MWac)]]</f>
        <v>10.828605311417682</v>
      </c>
      <c r="L16" s="205">
        <v>0.32911896616328828</v>
      </c>
      <c r="M16" s="201">
        <v>1</v>
      </c>
      <c r="N16" s="201">
        <v>1.0229999999999999</v>
      </c>
      <c r="O16" s="201">
        <v>1.0465289999999996</v>
      </c>
      <c r="P16" s="201">
        <v>1.0598020575021097</v>
      </c>
      <c r="Q16" s="201">
        <v>1.0736988159192502</v>
      </c>
      <c r="R16" s="201">
        <v>1.0882033073746558</v>
      </c>
      <c r="S16" s="201">
        <v>1.1033026104404513</v>
      </c>
      <c r="T16" s="201">
        <v>1.1189864388040101</v>
      </c>
      <c r="U16" s="201">
        <v>1.135246797775554</v>
      </c>
      <c r="V16" s="201">
        <v>1.1520776967604645</v>
      </c>
      <c r="W16" s="201">
        <v>1.1694749079306728</v>
      </c>
      <c r="X16" s="201">
        <v>1.1874357630816732</v>
      </c>
      <c r="Y16" s="201">
        <v>1.2059589821346142</v>
      </c>
      <c r="Z16" s="201">
        <v>1.2250445279429272</v>
      </c>
      <c r="AA16" s="201">
        <v>1.2446934830326641</v>
      </c>
      <c r="AB16" s="201">
        <v>1.2649079446978333</v>
      </c>
      <c r="AC16" s="201">
        <v>1.2856909355124986</v>
      </c>
      <c r="AD16" s="201">
        <v>1</v>
      </c>
      <c r="AE16" s="201">
        <v>1.0229999999999999</v>
      </c>
      <c r="AF16" s="201">
        <v>1.0465289999999998</v>
      </c>
      <c r="AG16" s="201">
        <v>1.0705991669999997</v>
      </c>
      <c r="AH16" s="201">
        <v>1.0952229478409996</v>
      </c>
      <c r="AI16" s="201">
        <v>1.1204130756413424</v>
      </c>
      <c r="AJ16" s="201">
        <v>1.1461825763810933</v>
      </c>
      <c r="AK16" s="201">
        <v>1.1725447756378582</v>
      </c>
      <c r="AL16" s="201">
        <v>1.1995133054775287</v>
      </c>
      <c r="AM16" s="201">
        <v>1.2271021115035121</v>
      </c>
      <c r="AN16" s="201">
        <v>1.2553254600680925</v>
      </c>
      <c r="AO16" s="201">
        <v>1.2841979456496586</v>
      </c>
      <c r="AP16" s="201">
        <v>1.3137344983996007</v>
      </c>
      <c r="AQ16" s="201">
        <v>1.3439503918627915</v>
      </c>
      <c r="AR16" s="201">
        <v>1.3748612508756353</v>
      </c>
      <c r="AS16" s="201">
        <v>1.4064830596457749</v>
      </c>
      <c r="AT16" s="201">
        <v>1.4388321700176276</v>
      </c>
      <c r="AU16" s="201">
        <v>1</v>
      </c>
      <c r="AV16" s="201">
        <v>1.0229999999999999</v>
      </c>
      <c r="AW16" s="201">
        <v>1.0465289999999998</v>
      </c>
      <c r="AX16" s="201">
        <v>1.0573213826912558</v>
      </c>
      <c r="AY16" s="201">
        <v>1.0687898064113339</v>
      </c>
      <c r="AZ16" s="201">
        <v>1.0809089916969443</v>
      </c>
      <c r="BA16" s="201">
        <v>1.0936577958137252</v>
      </c>
      <c r="BB16" s="201">
        <v>1.1070186286995185</v>
      </c>
      <c r="BC16" s="201">
        <v>1.1209769671951606</v>
      </c>
      <c r="BD16" s="201">
        <v>1.1355209497900498</v>
      </c>
      <c r="BE16" s="201">
        <v>1.1506410374287139</v>
      </c>
      <c r="BF16" s="201">
        <v>1.1663297286293799</v>
      </c>
      <c r="BG16" s="201">
        <v>1.1825813193957089</v>
      </c>
      <c r="BH16" s="201">
        <v>1.1993917001987979</v>
      </c>
      <c r="BI16" s="201">
        <v>1.2167581837451034</v>
      </c>
      <c r="BJ16" s="201">
        <v>1.2346793584097977</v>
      </c>
      <c r="BK16" s="201">
        <v>1.2531549631497372</v>
      </c>
      <c r="BL16" s="201">
        <v>1</v>
      </c>
      <c r="BM16" s="201">
        <v>1.0075087154733169</v>
      </c>
      <c r="BN16" s="201">
        <v>1.0150174309466338</v>
      </c>
      <c r="BO16" s="201">
        <v>1.0225261464199509</v>
      </c>
      <c r="BP16" s="201">
        <v>1.0300348618932678</v>
      </c>
      <c r="BQ16" s="201">
        <v>1.0375435773665846</v>
      </c>
      <c r="BR16" s="201">
        <v>1.0450522928399046</v>
      </c>
      <c r="BS16" s="201">
        <v>1.0458970233306526</v>
      </c>
      <c r="BT16" s="201">
        <v>1.0467417538213979</v>
      </c>
      <c r="BU16" s="201">
        <v>1.0475864843121492</v>
      </c>
      <c r="BV16" s="201">
        <v>1.0484312148028971</v>
      </c>
      <c r="BW16" s="201">
        <v>1.0492759452936424</v>
      </c>
      <c r="BX16" s="201">
        <v>1.0501206757843937</v>
      </c>
      <c r="BY16" s="201">
        <v>1.0509654062751417</v>
      </c>
      <c r="BZ16" s="201">
        <v>1.0518101367658899</v>
      </c>
      <c r="CA16" s="201">
        <v>1.0526548672566383</v>
      </c>
      <c r="CB16" s="201">
        <v>1.0534995977473862</v>
      </c>
    </row>
    <row r="17" spans="1:80" x14ac:dyDescent="0.35">
      <c r="A17" t="s">
        <v>737</v>
      </c>
      <c r="B17" t="s">
        <v>849</v>
      </c>
      <c r="C17" s="206" t="s">
        <v>850</v>
      </c>
      <c r="D17" t="s">
        <v>736</v>
      </c>
      <c r="E17" s="130">
        <v>155.24717472612858</v>
      </c>
      <c r="F17" s="130">
        <f>NYSERDA_SupplyCurve_Raw[[#This Row],[Available Capacity (MWac)]]*NYSERDA_SupplyCurve_Raw[[#This Row],[2024 Weighted Avg Resource CapEx ($/kWac)]]</f>
        <v>432301.58593589894</v>
      </c>
      <c r="G17" s="130">
        <f>NYSERDA_SupplyCurve_Raw[[#This Row],[Available Capacity (MWac)]]*NYSERDA_SupplyCurve_Raw[[#This Row],[2024 Weighted Avg OpEx ($/kWac-year)]]</f>
        <v>8757.0711176185196</v>
      </c>
      <c r="H17" s="130">
        <v>2784.601952972876</v>
      </c>
      <c r="I17" s="130">
        <v>86.661958566069316</v>
      </c>
      <c r="J17" s="130">
        <v>56.407281698149177</v>
      </c>
      <c r="K17" s="130">
        <f>NYSERDA_SupplyCurve_Raw[[#This Row],[2024 Weighted Avg Capacity Factor]]*NYSERDA_SupplyCurve_Raw[[#This Row],[Available Capacity (MWac)]]</f>
        <v>47.280823284826937</v>
      </c>
      <c r="L17" s="205">
        <v>0.30455190806682958</v>
      </c>
      <c r="M17" s="201">
        <v>1</v>
      </c>
      <c r="N17" s="201">
        <v>1.0229999999999997</v>
      </c>
      <c r="O17" s="201">
        <v>1.0465289999999996</v>
      </c>
      <c r="P17" s="201">
        <v>1.0598020575021094</v>
      </c>
      <c r="Q17" s="201">
        <v>1.07369881591925</v>
      </c>
      <c r="R17" s="201">
        <v>1.0882033073746555</v>
      </c>
      <c r="S17" s="201">
        <v>1.1033026104404511</v>
      </c>
      <c r="T17" s="201">
        <v>1.1189864388040098</v>
      </c>
      <c r="U17" s="201">
        <v>1.1352467977755538</v>
      </c>
      <c r="V17" s="201">
        <v>1.1520776967604645</v>
      </c>
      <c r="W17" s="201">
        <v>1.1694749079306728</v>
      </c>
      <c r="X17" s="201">
        <v>1.187435763081673</v>
      </c>
      <c r="Y17" s="201">
        <v>1.2059589821346142</v>
      </c>
      <c r="Z17" s="201">
        <v>1.2250445279429272</v>
      </c>
      <c r="AA17" s="201">
        <v>1.2446934830326637</v>
      </c>
      <c r="AB17" s="201">
        <v>1.2649079446978335</v>
      </c>
      <c r="AC17" s="201">
        <v>1.2856909355124984</v>
      </c>
      <c r="AD17" s="201">
        <v>1</v>
      </c>
      <c r="AE17" s="201">
        <v>1.0229999999999999</v>
      </c>
      <c r="AF17" s="201">
        <v>1.0465289999999998</v>
      </c>
      <c r="AG17" s="201">
        <v>1.0705991669999999</v>
      </c>
      <c r="AH17" s="201">
        <v>1.0952229478409996</v>
      </c>
      <c r="AI17" s="201">
        <v>1.1204130756413426</v>
      </c>
      <c r="AJ17" s="201">
        <v>1.1461825763810933</v>
      </c>
      <c r="AK17" s="201">
        <v>1.1725447756378584</v>
      </c>
      <c r="AL17" s="201">
        <v>1.1995133054775289</v>
      </c>
      <c r="AM17" s="201">
        <v>1.2271021115035119</v>
      </c>
      <c r="AN17" s="201">
        <v>1.2553254600680928</v>
      </c>
      <c r="AO17" s="201">
        <v>1.2841979456496584</v>
      </c>
      <c r="AP17" s="201">
        <v>1.3137344983996007</v>
      </c>
      <c r="AQ17" s="201">
        <v>1.3439503918627917</v>
      </c>
      <c r="AR17" s="201">
        <v>1.3748612508756353</v>
      </c>
      <c r="AS17" s="201">
        <v>1.4064830596457751</v>
      </c>
      <c r="AT17" s="201">
        <v>1.4388321700176276</v>
      </c>
      <c r="AU17" s="201">
        <v>1</v>
      </c>
      <c r="AV17" s="201">
        <v>1.0229999999999999</v>
      </c>
      <c r="AW17" s="201">
        <v>1.0465289999999998</v>
      </c>
      <c r="AX17" s="201">
        <v>1.0573213826912558</v>
      </c>
      <c r="AY17" s="201">
        <v>1.0687898064113339</v>
      </c>
      <c r="AZ17" s="201">
        <v>1.0809089916969443</v>
      </c>
      <c r="BA17" s="201">
        <v>1.0936577958137252</v>
      </c>
      <c r="BB17" s="201">
        <v>1.1070186286995183</v>
      </c>
      <c r="BC17" s="201">
        <v>1.1209769671951606</v>
      </c>
      <c r="BD17" s="201">
        <v>1.1355209497900498</v>
      </c>
      <c r="BE17" s="201">
        <v>1.1506410374287137</v>
      </c>
      <c r="BF17" s="201">
        <v>1.1663297286293799</v>
      </c>
      <c r="BG17" s="201">
        <v>1.1825813193957089</v>
      </c>
      <c r="BH17" s="201">
        <v>1.1993917001987977</v>
      </c>
      <c r="BI17" s="201">
        <v>1.2167581837451034</v>
      </c>
      <c r="BJ17" s="201">
        <v>1.2346793584097977</v>
      </c>
      <c r="BK17" s="201">
        <v>1.2531549631497372</v>
      </c>
      <c r="BL17" s="201">
        <v>1</v>
      </c>
      <c r="BM17" s="201">
        <v>1.0075087154733169</v>
      </c>
      <c r="BN17" s="201">
        <v>1.0150174309466338</v>
      </c>
      <c r="BO17" s="201">
        <v>1.0225261464199509</v>
      </c>
      <c r="BP17" s="201">
        <v>1.0300348618932678</v>
      </c>
      <c r="BQ17" s="201">
        <v>1.0375435773665846</v>
      </c>
      <c r="BR17" s="201">
        <v>1.0450522928399046</v>
      </c>
      <c r="BS17" s="201">
        <v>1.0458970233306526</v>
      </c>
      <c r="BT17" s="201">
        <v>1.0467417538213979</v>
      </c>
      <c r="BU17" s="201">
        <v>1.0475864843121492</v>
      </c>
      <c r="BV17" s="201">
        <v>1.0484312148028971</v>
      </c>
      <c r="BW17" s="201">
        <v>1.0492759452936424</v>
      </c>
      <c r="BX17" s="201">
        <v>1.0501206757843937</v>
      </c>
      <c r="BY17" s="201">
        <v>1.0509654062751417</v>
      </c>
      <c r="BZ17" s="201">
        <v>1.0518101367658899</v>
      </c>
      <c r="CA17" s="201">
        <v>1.0526548672566383</v>
      </c>
      <c r="CB17" s="201">
        <v>1.0534995977473862</v>
      </c>
    </row>
    <row r="18" spans="1:80" x14ac:dyDescent="0.35">
      <c r="A18" t="s">
        <v>737</v>
      </c>
      <c r="B18" t="s">
        <v>851</v>
      </c>
      <c r="C18" s="206" t="s">
        <v>839</v>
      </c>
      <c r="D18" t="s">
        <v>736</v>
      </c>
      <c r="E18" s="130">
        <v>373.0426704113637</v>
      </c>
      <c r="F18" s="130">
        <f>NYSERDA_SupplyCurve_Raw[[#This Row],[Available Capacity (MWac)]]*NYSERDA_SupplyCurve_Raw[[#This Row],[2024 Weighted Avg Resource CapEx ($/kWac)]]</f>
        <v>966788.67302402039</v>
      </c>
      <c r="G18" s="130">
        <f>NYSERDA_SupplyCurve_Raw[[#This Row],[Available Capacity (MWac)]]*NYSERDA_SupplyCurve_Raw[[#This Row],[2024 Weighted Avg OpEx ($/kWac-year)]]</f>
        <v>21626.860505442521</v>
      </c>
      <c r="H18" s="130">
        <v>2591.6302603075346</v>
      </c>
      <c r="I18" s="130">
        <v>99.771969492197186</v>
      </c>
      <c r="J18" s="130">
        <v>57.974227134912013</v>
      </c>
      <c r="K18" s="130">
        <f>NYSERDA_SupplyCurve_Raw[[#This Row],[2024 Weighted Avg Capacity Factor]]*NYSERDA_SupplyCurve_Raw[[#This Row],[Available Capacity (MWac)]]</f>
        <v>122.49809318627439</v>
      </c>
      <c r="L18" s="205">
        <v>0.32837555299288579</v>
      </c>
      <c r="M18" s="201">
        <v>1</v>
      </c>
      <c r="N18" s="201">
        <v>1.0229999999999999</v>
      </c>
      <c r="O18" s="201">
        <v>1.0465289999999998</v>
      </c>
      <c r="P18" s="201">
        <v>1.0598020575021097</v>
      </c>
      <c r="Q18" s="201">
        <v>1.0736988159192502</v>
      </c>
      <c r="R18" s="201">
        <v>1.0882033073746555</v>
      </c>
      <c r="S18" s="201">
        <v>1.1033026104404513</v>
      </c>
      <c r="T18" s="201">
        <v>1.1189864388040101</v>
      </c>
      <c r="U18" s="201">
        <v>1.1352467977755538</v>
      </c>
      <c r="V18" s="201">
        <v>1.1520776967604645</v>
      </c>
      <c r="W18" s="201">
        <v>1.1694749079306728</v>
      </c>
      <c r="X18" s="201">
        <v>1.1874357630816734</v>
      </c>
      <c r="Y18" s="201">
        <v>1.2059589821346142</v>
      </c>
      <c r="Z18" s="201">
        <v>1.2250445279429274</v>
      </c>
      <c r="AA18" s="201">
        <v>1.2446934830326639</v>
      </c>
      <c r="AB18" s="201">
        <v>1.2649079446978335</v>
      </c>
      <c r="AC18" s="201">
        <v>1.2856909355124988</v>
      </c>
      <c r="AD18" s="201">
        <v>1</v>
      </c>
      <c r="AE18" s="201">
        <v>1.0229999999999997</v>
      </c>
      <c r="AF18" s="201">
        <v>1.0465289999999996</v>
      </c>
      <c r="AG18" s="201">
        <v>1.0705991669999995</v>
      </c>
      <c r="AH18" s="201">
        <v>1.0952229478409996</v>
      </c>
      <c r="AI18" s="201">
        <v>1.1204130756413426</v>
      </c>
      <c r="AJ18" s="201">
        <v>1.1461825763810931</v>
      </c>
      <c r="AK18" s="201">
        <v>1.1725447756378582</v>
      </c>
      <c r="AL18" s="201">
        <v>1.1995133054775289</v>
      </c>
      <c r="AM18" s="201">
        <v>1.2271021115035119</v>
      </c>
      <c r="AN18" s="201">
        <v>1.2553254600680925</v>
      </c>
      <c r="AO18" s="201">
        <v>1.2841979456496584</v>
      </c>
      <c r="AP18" s="201">
        <v>1.3137344983996007</v>
      </c>
      <c r="AQ18" s="201">
        <v>1.3439503918627913</v>
      </c>
      <c r="AR18" s="201">
        <v>1.3748612508756353</v>
      </c>
      <c r="AS18" s="201">
        <v>1.4064830596457747</v>
      </c>
      <c r="AT18" s="201">
        <v>1.4388321700176274</v>
      </c>
      <c r="AU18" s="201">
        <v>1</v>
      </c>
      <c r="AV18" s="201">
        <v>1.0229999999999999</v>
      </c>
      <c r="AW18" s="201">
        <v>1.0465289999999998</v>
      </c>
      <c r="AX18" s="201">
        <v>1.0573213826912555</v>
      </c>
      <c r="AY18" s="201">
        <v>1.0687898064113339</v>
      </c>
      <c r="AZ18" s="201">
        <v>1.0809089916969443</v>
      </c>
      <c r="BA18" s="201">
        <v>1.0936577958137252</v>
      </c>
      <c r="BB18" s="201">
        <v>1.1070186286995185</v>
      </c>
      <c r="BC18" s="201">
        <v>1.1209769671951604</v>
      </c>
      <c r="BD18" s="201">
        <v>1.1355209497900502</v>
      </c>
      <c r="BE18" s="201">
        <v>1.1506410374287139</v>
      </c>
      <c r="BF18" s="201">
        <v>1.1663297286293799</v>
      </c>
      <c r="BG18" s="201">
        <v>1.1825813193957087</v>
      </c>
      <c r="BH18" s="201">
        <v>1.1993917001987979</v>
      </c>
      <c r="BI18" s="201">
        <v>1.2167581837451034</v>
      </c>
      <c r="BJ18" s="201">
        <v>1.2346793584097975</v>
      </c>
      <c r="BK18" s="201">
        <v>1.2531549631497372</v>
      </c>
      <c r="BL18" s="201">
        <v>1</v>
      </c>
      <c r="BM18" s="201">
        <v>1.0075087154733169</v>
      </c>
      <c r="BN18" s="201">
        <v>1.0150174309466338</v>
      </c>
      <c r="BO18" s="201">
        <v>1.0225261464199509</v>
      </c>
      <c r="BP18" s="201">
        <v>1.0300348618932678</v>
      </c>
      <c r="BQ18" s="201">
        <v>1.0375435773665846</v>
      </c>
      <c r="BR18" s="201">
        <v>1.0450522928399046</v>
      </c>
      <c r="BS18" s="201">
        <v>1.0458970233306526</v>
      </c>
      <c r="BT18" s="201">
        <v>1.0467417538213979</v>
      </c>
      <c r="BU18" s="201">
        <v>1.0475864843121492</v>
      </c>
      <c r="BV18" s="201">
        <v>1.0484312148028971</v>
      </c>
      <c r="BW18" s="201">
        <v>1.0492759452936424</v>
      </c>
      <c r="BX18" s="201">
        <v>1.0501206757843937</v>
      </c>
      <c r="BY18" s="201">
        <v>1.0509654062751417</v>
      </c>
      <c r="BZ18" s="201">
        <v>1.0518101367658899</v>
      </c>
      <c r="CA18" s="201">
        <v>1.0526548672566383</v>
      </c>
      <c r="CB18" s="201">
        <v>1.0534995977473862</v>
      </c>
    </row>
    <row r="19" spans="1:80" x14ac:dyDescent="0.35">
      <c r="A19" t="s">
        <v>737</v>
      </c>
      <c r="B19" t="s">
        <v>852</v>
      </c>
      <c r="C19" s="206" t="s">
        <v>843</v>
      </c>
      <c r="D19" t="s">
        <v>736</v>
      </c>
      <c r="E19" s="130">
        <v>93.637375891625027</v>
      </c>
      <c r="F19" s="130">
        <f>NYSERDA_SupplyCurve_Raw[[#This Row],[Available Capacity (MWac)]]*NYSERDA_SupplyCurve_Raw[[#This Row],[2024 Weighted Avg Resource CapEx ($/kWac)]]</f>
        <v>305109.86187142076</v>
      </c>
      <c r="G19" s="130">
        <f>NYSERDA_SupplyCurve_Raw[[#This Row],[Available Capacity (MWac)]]*NYSERDA_SupplyCurve_Raw[[#This Row],[2024 Weighted Avg OpEx ($/kWac-year)]]</f>
        <v>5367.4192237316092</v>
      </c>
      <c r="H19" s="130">
        <v>3258.4196103973686</v>
      </c>
      <c r="I19" s="130">
        <v>194.98767681533519</v>
      </c>
      <c r="J19" s="130">
        <v>57.321333202927505</v>
      </c>
      <c r="K19" s="130">
        <f>NYSERDA_SupplyCurve_Raw[[#This Row],[2024 Weighted Avg Capacity Factor]]*NYSERDA_SupplyCurve_Raw[[#This Row],[Available Capacity (MWac)]]</f>
        <v>37.888035740851251</v>
      </c>
      <c r="L19" s="205">
        <v>0.40462513371479447</v>
      </c>
      <c r="M19" s="201">
        <v>1</v>
      </c>
      <c r="N19" s="201">
        <v>1.0230000000000001</v>
      </c>
      <c r="O19" s="201">
        <v>1.0465289999999996</v>
      </c>
      <c r="P19" s="201">
        <v>1.0598020575021094</v>
      </c>
      <c r="Q19" s="201">
        <v>1.0736988159192502</v>
      </c>
      <c r="R19" s="201">
        <v>1.0882033073746558</v>
      </c>
      <c r="S19" s="201">
        <v>1.1033026104404513</v>
      </c>
      <c r="T19" s="201">
        <v>1.1189864388040101</v>
      </c>
      <c r="U19" s="201">
        <v>1.135246797775554</v>
      </c>
      <c r="V19" s="201">
        <v>1.1520776967604647</v>
      </c>
      <c r="W19" s="201">
        <v>1.169474907930673</v>
      </c>
      <c r="X19" s="201">
        <v>1.1874357630816734</v>
      </c>
      <c r="Y19" s="201">
        <v>1.2059589821346142</v>
      </c>
      <c r="Z19" s="201">
        <v>1.2250445279429274</v>
      </c>
      <c r="AA19" s="201">
        <v>1.2446934830326641</v>
      </c>
      <c r="AB19" s="201">
        <v>1.2649079446978335</v>
      </c>
      <c r="AC19" s="201">
        <v>1.2856909355124984</v>
      </c>
      <c r="AD19" s="201">
        <v>1</v>
      </c>
      <c r="AE19" s="201">
        <v>1.0229999999999999</v>
      </c>
      <c r="AF19" s="201">
        <v>1.0465289999999998</v>
      </c>
      <c r="AG19" s="201">
        <v>1.0705991669999997</v>
      </c>
      <c r="AH19" s="201">
        <v>1.0952229478409996</v>
      </c>
      <c r="AI19" s="201">
        <v>1.1204130756413426</v>
      </c>
      <c r="AJ19" s="201">
        <v>1.1461825763810931</v>
      </c>
      <c r="AK19" s="201">
        <v>1.1725447756378582</v>
      </c>
      <c r="AL19" s="201">
        <v>1.1995133054775289</v>
      </c>
      <c r="AM19" s="201">
        <v>1.2271021115035117</v>
      </c>
      <c r="AN19" s="201">
        <v>1.2553254600680925</v>
      </c>
      <c r="AO19" s="201">
        <v>1.2841979456496586</v>
      </c>
      <c r="AP19" s="201">
        <v>1.3137344983996007</v>
      </c>
      <c r="AQ19" s="201">
        <v>1.3439503918627915</v>
      </c>
      <c r="AR19" s="201">
        <v>1.3748612508756353</v>
      </c>
      <c r="AS19" s="201">
        <v>1.4064830596457745</v>
      </c>
      <c r="AT19" s="201">
        <v>1.4388321700176274</v>
      </c>
      <c r="AU19" s="201">
        <v>1</v>
      </c>
      <c r="AV19" s="201">
        <v>1.0229999999999999</v>
      </c>
      <c r="AW19" s="201">
        <v>1.0465289999999998</v>
      </c>
      <c r="AX19" s="201">
        <v>1.0573213826912558</v>
      </c>
      <c r="AY19" s="201">
        <v>1.0687898064113339</v>
      </c>
      <c r="AZ19" s="201">
        <v>1.0809089916969443</v>
      </c>
      <c r="BA19" s="201">
        <v>1.0936577958137252</v>
      </c>
      <c r="BB19" s="201">
        <v>1.1070186286995185</v>
      </c>
      <c r="BC19" s="201">
        <v>1.1209769671951606</v>
      </c>
      <c r="BD19" s="201">
        <v>1.1355209497900498</v>
      </c>
      <c r="BE19" s="201">
        <v>1.1506410374287139</v>
      </c>
      <c r="BF19" s="201">
        <v>1.1663297286293799</v>
      </c>
      <c r="BG19" s="201">
        <v>1.1825813193957089</v>
      </c>
      <c r="BH19" s="201">
        <v>1.1993917001987977</v>
      </c>
      <c r="BI19" s="201">
        <v>1.2167581837451036</v>
      </c>
      <c r="BJ19" s="201">
        <v>1.2346793584097975</v>
      </c>
      <c r="BK19" s="201">
        <v>1.2531549631497372</v>
      </c>
      <c r="BL19" s="201">
        <v>1</v>
      </c>
      <c r="BM19" s="201">
        <v>1.0075087154733169</v>
      </c>
      <c r="BN19" s="201">
        <v>1.0150174309466338</v>
      </c>
      <c r="BO19" s="201">
        <v>1.0225261464199509</v>
      </c>
      <c r="BP19" s="201">
        <v>1.0300348618932678</v>
      </c>
      <c r="BQ19" s="201">
        <v>1.0375435773665846</v>
      </c>
      <c r="BR19" s="201">
        <v>1.0450522928399046</v>
      </c>
      <c r="BS19" s="201">
        <v>1.0458970233306526</v>
      </c>
      <c r="BT19" s="201">
        <v>1.0467417538213979</v>
      </c>
      <c r="BU19" s="201">
        <v>1.0475864843121492</v>
      </c>
      <c r="BV19" s="201">
        <v>1.0484312148028971</v>
      </c>
      <c r="BW19" s="201">
        <v>1.0492759452936424</v>
      </c>
      <c r="BX19" s="201">
        <v>1.0501206757843937</v>
      </c>
      <c r="BY19" s="201">
        <v>1.0509654062751417</v>
      </c>
      <c r="BZ19" s="201">
        <v>1.0518101367658899</v>
      </c>
      <c r="CA19" s="201">
        <v>1.0526548672566383</v>
      </c>
      <c r="CB19" s="201">
        <v>1.0534995977473862</v>
      </c>
    </row>
    <row r="20" spans="1:80" x14ac:dyDescent="0.35">
      <c r="A20" t="s">
        <v>737</v>
      </c>
      <c r="B20" t="s">
        <v>853</v>
      </c>
      <c r="C20" s="206" t="s">
        <v>854</v>
      </c>
      <c r="D20" t="s">
        <v>736</v>
      </c>
      <c r="E20" s="130">
        <v>233.76896457255026</v>
      </c>
      <c r="F20" s="130">
        <f>NYSERDA_SupplyCurve_Raw[[#This Row],[Available Capacity (MWac)]]*NYSERDA_SupplyCurve_Raw[[#This Row],[2024 Weighted Avg Resource CapEx ($/kWac)]]</f>
        <v>623765.17940815212</v>
      </c>
      <c r="G20" s="130">
        <f>NYSERDA_SupplyCurve_Raw[[#This Row],[Available Capacity (MWac)]]*NYSERDA_SupplyCurve_Raw[[#This Row],[2024 Weighted Avg OpEx ($/kWac-year)]]</f>
        <v>13120.947764069448</v>
      </c>
      <c r="H20" s="130">
        <v>2668.2976525507365</v>
      </c>
      <c r="I20" s="130">
        <v>143.34990714214703</v>
      </c>
      <c r="J20" s="130">
        <v>56.127843095259799</v>
      </c>
      <c r="K20" s="130">
        <f>NYSERDA_SupplyCurve_Raw[[#This Row],[2024 Weighted Avg Capacity Factor]]*NYSERDA_SupplyCurve_Raw[[#This Row],[Available Capacity (MWac)]]</f>
        <v>90.964657542566798</v>
      </c>
      <c r="L20" s="205">
        <v>0.38912204495963315</v>
      </c>
      <c r="M20" s="201">
        <v>1</v>
      </c>
      <c r="N20" s="201">
        <v>1.0229999999999999</v>
      </c>
      <c r="O20" s="201">
        <v>1.0465289999999998</v>
      </c>
      <c r="P20" s="201">
        <v>1.0598020575021094</v>
      </c>
      <c r="Q20" s="201">
        <v>1.07369881591925</v>
      </c>
      <c r="R20" s="201">
        <v>1.0882033073746558</v>
      </c>
      <c r="S20" s="201">
        <v>1.1033026104404513</v>
      </c>
      <c r="T20" s="201">
        <v>1.1189864388040101</v>
      </c>
      <c r="U20" s="201">
        <v>1.1352467977755538</v>
      </c>
      <c r="V20" s="201">
        <v>1.1520776967604645</v>
      </c>
      <c r="W20" s="201">
        <v>1.1694749079306728</v>
      </c>
      <c r="X20" s="201">
        <v>1.187435763081673</v>
      </c>
      <c r="Y20" s="201">
        <v>1.2059589821346139</v>
      </c>
      <c r="Z20" s="201">
        <v>1.2250445279429274</v>
      </c>
      <c r="AA20" s="201">
        <v>1.2446934830326641</v>
      </c>
      <c r="AB20" s="201">
        <v>1.2649079446978333</v>
      </c>
      <c r="AC20" s="201">
        <v>1.2856909355124984</v>
      </c>
      <c r="AD20" s="201">
        <v>1</v>
      </c>
      <c r="AE20" s="201">
        <v>1.0230000000000001</v>
      </c>
      <c r="AF20" s="201">
        <v>1.0465289999999998</v>
      </c>
      <c r="AG20" s="201">
        <v>1.0705991669999999</v>
      </c>
      <c r="AH20" s="201">
        <v>1.0952229478409998</v>
      </c>
      <c r="AI20" s="201">
        <v>1.1204130756413426</v>
      </c>
      <c r="AJ20" s="201">
        <v>1.1461825763810931</v>
      </c>
      <c r="AK20" s="201">
        <v>1.1725447756378582</v>
      </c>
      <c r="AL20" s="201">
        <v>1.1995133054775291</v>
      </c>
      <c r="AM20" s="201">
        <v>1.2271021115035121</v>
      </c>
      <c r="AN20" s="201">
        <v>1.2553254600680925</v>
      </c>
      <c r="AO20" s="201">
        <v>1.2841979456496588</v>
      </c>
      <c r="AP20" s="201">
        <v>1.3137344983996007</v>
      </c>
      <c r="AQ20" s="201">
        <v>1.3439503918627915</v>
      </c>
      <c r="AR20" s="201">
        <v>1.3748612508756353</v>
      </c>
      <c r="AS20" s="201">
        <v>1.4064830596457749</v>
      </c>
      <c r="AT20" s="201">
        <v>1.4388321700176276</v>
      </c>
      <c r="AU20" s="201">
        <v>1</v>
      </c>
      <c r="AV20" s="201">
        <v>1.0229999999999999</v>
      </c>
      <c r="AW20" s="201">
        <v>1.0465289999999998</v>
      </c>
      <c r="AX20" s="201">
        <v>1.0573213826912555</v>
      </c>
      <c r="AY20" s="201">
        <v>1.0687898064113339</v>
      </c>
      <c r="AZ20" s="201">
        <v>1.0809089916969445</v>
      </c>
      <c r="BA20" s="201">
        <v>1.0936577958137252</v>
      </c>
      <c r="BB20" s="201">
        <v>1.1070186286995185</v>
      </c>
      <c r="BC20" s="201">
        <v>1.1209769671951606</v>
      </c>
      <c r="BD20" s="201">
        <v>1.1355209497900498</v>
      </c>
      <c r="BE20" s="201">
        <v>1.1506410374287139</v>
      </c>
      <c r="BF20" s="201">
        <v>1.1663297286293799</v>
      </c>
      <c r="BG20" s="201">
        <v>1.1825813193957089</v>
      </c>
      <c r="BH20" s="201">
        <v>1.1993917001987977</v>
      </c>
      <c r="BI20" s="201">
        <v>1.2167581837451034</v>
      </c>
      <c r="BJ20" s="201">
        <v>1.2346793584097977</v>
      </c>
      <c r="BK20" s="201">
        <v>1.2531549631497372</v>
      </c>
      <c r="BL20" s="201">
        <v>1</v>
      </c>
      <c r="BM20" s="201">
        <v>1.0075087154733169</v>
      </c>
      <c r="BN20" s="201">
        <v>1.0150174309466338</v>
      </c>
      <c r="BO20" s="201">
        <v>1.0225261464199509</v>
      </c>
      <c r="BP20" s="201">
        <v>1.0300348618932678</v>
      </c>
      <c r="BQ20" s="201">
        <v>1.0375435773665846</v>
      </c>
      <c r="BR20" s="201">
        <v>1.0450522928399046</v>
      </c>
      <c r="BS20" s="201">
        <v>1.0458970233306526</v>
      </c>
      <c r="BT20" s="201">
        <v>1.0467417538213979</v>
      </c>
      <c r="BU20" s="201">
        <v>1.0475864843121492</v>
      </c>
      <c r="BV20" s="201">
        <v>1.0484312148028971</v>
      </c>
      <c r="BW20" s="201">
        <v>1.0492759452936424</v>
      </c>
      <c r="BX20" s="201">
        <v>1.0501206757843937</v>
      </c>
      <c r="BY20" s="201">
        <v>1.0509654062751417</v>
      </c>
      <c r="BZ20" s="201">
        <v>1.0518101367658899</v>
      </c>
      <c r="CA20" s="201">
        <v>1.0526548672566383</v>
      </c>
      <c r="CB20" s="201">
        <v>1.0534995977473862</v>
      </c>
    </row>
    <row r="21" spans="1:80" x14ac:dyDescent="0.35">
      <c r="A21" t="s">
        <v>737</v>
      </c>
      <c r="B21" t="s">
        <v>853</v>
      </c>
      <c r="C21" s="206" t="s">
        <v>854</v>
      </c>
      <c r="D21" t="s">
        <v>742</v>
      </c>
      <c r="E21" s="130">
        <v>137.38581479492524</v>
      </c>
      <c r="F21" s="130">
        <f>NYSERDA_SupplyCurve_Raw[[#This Row],[Available Capacity (MWac)]]*NYSERDA_SupplyCurve_Raw[[#This Row],[2024 Weighted Avg Resource CapEx ($/kWac)]]</f>
        <v>422689.4599357142</v>
      </c>
      <c r="G21" s="130">
        <f>NYSERDA_SupplyCurve_Raw[[#This Row],[Available Capacity (MWac)]]*NYSERDA_SupplyCurve_Raw[[#This Row],[2024 Weighted Avg OpEx ($/kWac-year)]]</f>
        <v>7711.1694563239853</v>
      </c>
      <c r="H21" s="130">
        <v>3076.6601382148478</v>
      </c>
      <c r="I21" s="130">
        <v>258.88639486366276</v>
      </c>
      <c r="J21" s="130">
        <v>56.127843095259792</v>
      </c>
      <c r="K21" s="130">
        <f>NYSERDA_SupplyCurve_Raw[[#This Row],[2024 Weighted Avg Capacity Factor]]*NYSERDA_SupplyCurve_Raw[[#This Row],[Available Capacity (MWac)]]</f>
        <v>54.050573335488544</v>
      </c>
      <c r="L21" s="205">
        <v>0.39342179115194259</v>
      </c>
      <c r="M21" s="201">
        <v>1</v>
      </c>
      <c r="N21" s="201">
        <v>1.0229999999999999</v>
      </c>
      <c r="O21" s="201">
        <v>1.0465289999999998</v>
      </c>
      <c r="P21" s="201">
        <v>1.0598020575021097</v>
      </c>
      <c r="Q21" s="201">
        <v>1.0736988159192502</v>
      </c>
      <c r="R21" s="201">
        <v>1.0882033073746558</v>
      </c>
      <c r="S21" s="201">
        <v>1.1033026104404513</v>
      </c>
      <c r="T21" s="201">
        <v>1.1189864388040101</v>
      </c>
      <c r="U21" s="201">
        <v>1.135246797775554</v>
      </c>
      <c r="V21" s="201">
        <v>1.1520776967604647</v>
      </c>
      <c r="W21" s="201">
        <v>1.1694749079306728</v>
      </c>
      <c r="X21" s="201">
        <v>1.1874357630816732</v>
      </c>
      <c r="Y21" s="201">
        <v>1.2059589821346139</v>
      </c>
      <c r="Z21" s="201">
        <v>1.2250445279429274</v>
      </c>
      <c r="AA21" s="201">
        <v>1.2446934830326641</v>
      </c>
      <c r="AB21" s="201">
        <v>1.2649079446978335</v>
      </c>
      <c r="AC21" s="201">
        <v>1.2856909355124984</v>
      </c>
      <c r="AD21" s="201">
        <v>1</v>
      </c>
      <c r="AE21" s="201">
        <v>1.0229999999999995</v>
      </c>
      <c r="AF21" s="201">
        <v>1.0465289999999998</v>
      </c>
      <c r="AG21" s="201">
        <v>1.0705991669999999</v>
      </c>
      <c r="AH21" s="201">
        <v>1.0952229478409994</v>
      </c>
      <c r="AI21" s="201">
        <v>1.1204130756413426</v>
      </c>
      <c r="AJ21" s="201">
        <v>1.1461825763810931</v>
      </c>
      <c r="AK21" s="201">
        <v>1.172544775637858</v>
      </c>
      <c r="AL21" s="201">
        <v>1.1995133054775287</v>
      </c>
      <c r="AM21" s="201">
        <v>1.2271021115035121</v>
      </c>
      <c r="AN21" s="201">
        <v>1.2553254600680925</v>
      </c>
      <c r="AO21" s="201">
        <v>1.2841979456496584</v>
      </c>
      <c r="AP21" s="201">
        <v>1.3137344983996007</v>
      </c>
      <c r="AQ21" s="201">
        <v>1.3439503918627911</v>
      </c>
      <c r="AR21" s="201">
        <v>1.374861250875635</v>
      </c>
      <c r="AS21" s="201">
        <v>1.4064830596457747</v>
      </c>
      <c r="AT21" s="201">
        <v>1.4388321700176274</v>
      </c>
      <c r="AU21" s="201">
        <v>1</v>
      </c>
      <c r="AV21" s="201">
        <v>1.0229999999999999</v>
      </c>
      <c r="AW21" s="201">
        <v>1.0465289999999998</v>
      </c>
      <c r="AX21" s="201">
        <v>1.0573213826912555</v>
      </c>
      <c r="AY21" s="201">
        <v>1.0687898064113341</v>
      </c>
      <c r="AZ21" s="201">
        <v>1.0809089916969445</v>
      </c>
      <c r="BA21" s="201">
        <v>1.093657795813725</v>
      </c>
      <c r="BB21" s="201">
        <v>1.1070186286995183</v>
      </c>
      <c r="BC21" s="201">
        <v>1.1209769671951608</v>
      </c>
      <c r="BD21" s="201">
        <v>1.13552094979005</v>
      </c>
      <c r="BE21" s="201">
        <v>1.1506410374287142</v>
      </c>
      <c r="BF21" s="201">
        <v>1.1663297286293799</v>
      </c>
      <c r="BG21" s="201">
        <v>1.1825813193957087</v>
      </c>
      <c r="BH21" s="201">
        <v>1.1993917001987977</v>
      </c>
      <c r="BI21" s="201">
        <v>1.2167581837451034</v>
      </c>
      <c r="BJ21" s="201">
        <v>1.2346793584097979</v>
      </c>
      <c r="BK21" s="201">
        <v>1.2531549631497372</v>
      </c>
      <c r="BL21" s="201">
        <v>1</v>
      </c>
      <c r="BM21" s="201">
        <v>1.0075087154733169</v>
      </c>
      <c r="BN21" s="201">
        <v>1.0150174309466338</v>
      </c>
      <c r="BO21" s="201">
        <v>1.0225261464199509</v>
      </c>
      <c r="BP21" s="201">
        <v>1.0300348618932678</v>
      </c>
      <c r="BQ21" s="201">
        <v>1.0375435773665846</v>
      </c>
      <c r="BR21" s="201">
        <v>1.0450522928399046</v>
      </c>
      <c r="BS21" s="201">
        <v>1.0458970233306526</v>
      </c>
      <c r="BT21" s="201">
        <v>1.0467417538213979</v>
      </c>
      <c r="BU21" s="201">
        <v>1.0475864843121492</v>
      </c>
      <c r="BV21" s="201">
        <v>1.0484312148028971</v>
      </c>
      <c r="BW21" s="201">
        <v>1.0492759452936424</v>
      </c>
      <c r="BX21" s="201">
        <v>1.0501206757843937</v>
      </c>
      <c r="BY21" s="201">
        <v>1.0509654062751417</v>
      </c>
      <c r="BZ21" s="201">
        <v>1.0518101367658899</v>
      </c>
      <c r="CA21" s="201">
        <v>1.0526548672566383</v>
      </c>
      <c r="CB21" s="201">
        <v>1.0534995977473862</v>
      </c>
    </row>
    <row r="22" spans="1:80" x14ac:dyDescent="0.35">
      <c r="A22" t="s">
        <v>737</v>
      </c>
      <c r="B22" t="s">
        <v>855</v>
      </c>
      <c r="C22" s="206" t="s">
        <v>856</v>
      </c>
      <c r="D22" t="s">
        <v>736</v>
      </c>
      <c r="E22" s="130">
        <v>107.44954851257565</v>
      </c>
      <c r="F22" s="130">
        <f>NYSERDA_SupplyCurve_Raw[[#This Row],[Available Capacity (MWac)]]*NYSERDA_SupplyCurve_Raw[[#This Row],[2024 Weighted Avg Resource CapEx ($/kWac)]]</f>
        <v>270278.34850714012</v>
      </c>
      <c r="G22" s="130">
        <f>NYSERDA_SupplyCurve_Raw[[#This Row],[Available Capacity (MWac)]]*NYSERDA_SupplyCurve_Raw[[#This Row],[2024 Weighted Avg OpEx ($/kWac-year)]]</f>
        <v>6313.488320873812</v>
      </c>
      <c r="H22" s="130">
        <v>2515.3977122156766</v>
      </c>
      <c r="I22" s="130">
        <v>129.91038013692628</v>
      </c>
      <c r="J22" s="130">
        <v>58.757699853293438</v>
      </c>
      <c r="K22" s="130">
        <f>NYSERDA_SupplyCurve_Raw[[#This Row],[2024 Weighted Avg Capacity Factor]]*NYSERDA_SupplyCurve_Raw[[#This Row],[Available Capacity (MWac)]]</f>
        <v>39.30212780947047</v>
      </c>
      <c r="L22" s="205">
        <v>0.36577285203642007</v>
      </c>
      <c r="M22" s="201">
        <v>1</v>
      </c>
      <c r="N22" s="201">
        <v>1.0229999999999999</v>
      </c>
      <c r="O22" s="201">
        <v>1.0465289999999998</v>
      </c>
      <c r="P22" s="201">
        <v>1.0598020575021094</v>
      </c>
      <c r="Q22" s="201">
        <v>1.0736988159192502</v>
      </c>
      <c r="R22" s="201">
        <v>1.0882033073746555</v>
      </c>
      <c r="S22" s="201">
        <v>1.1033026104404513</v>
      </c>
      <c r="T22" s="201">
        <v>1.1189864388040101</v>
      </c>
      <c r="U22" s="201">
        <v>1.135246797775554</v>
      </c>
      <c r="V22" s="201">
        <v>1.1520776967604645</v>
      </c>
      <c r="W22" s="201">
        <v>1.1694749079306728</v>
      </c>
      <c r="X22" s="201">
        <v>1.1874357630816732</v>
      </c>
      <c r="Y22" s="201">
        <v>1.2059589821346142</v>
      </c>
      <c r="Z22" s="201">
        <v>1.2250445279429276</v>
      </c>
      <c r="AA22" s="201">
        <v>1.2446934830326639</v>
      </c>
      <c r="AB22" s="201">
        <v>1.2649079446978337</v>
      </c>
      <c r="AC22" s="201">
        <v>1.2856909355124986</v>
      </c>
      <c r="AD22" s="201">
        <v>1</v>
      </c>
      <c r="AE22" s="201">
        <v>1.0229999999999999</v>
      </c>
      <c r="AF22" s="201">
        <v>1.0465289999999998</v>
      </c>
      <c r="AG22" s="201">
        <v>1.0705991669999999</v>
      </c>
      <c r="AH22" s="201">
        <v>1.0952229478409996</v>
      </c>
      <c r="AI22" s="201">
        <v>1.1204130756413426</v>
      </c>
      <c r="AJ22" s="201">
        <v>1.1461825763810931</v>
      </c>
      <c r="AK22" s="201">
        <v>1.1725447756378584</v>
      </c>
      <c r="AL22" s="201">
        <v>1.1995133054775291</v>
      </c>
      <c r="AM22" s="201">
        <v>1.2271021115035121</v>
      </c>
      <c r="AN22" s="201">
        <v>1.2553254600680928</v>
      </c>
      <c r="AO22" s="201">
        <v>1.2841979456496588</v>
      </c>
      <c r="AP22" s="201">
        <v>1.3137344983996009</v>
      </c>
      <c r="AQ22" s="201">
        <v>1.3439503918627913</v>
      </c>
      <c r="AR22" s="201">
        <v>1.3748612508756353</v>
      </c>
      <c r="AS22" s="201">
        <v>1.4064830596457749</v>
      </c>
      <c r="AT22" s="201">
        <v>1.4388321700176276</v>
      </c>
      <c r="AU22" s="201">
        <v>1</v>
      </c>
      <c r="AV22" s="201">
        <v>1.0229999999999999</v>
      </c>
      <c r="AW22" s="201">
        <v>1.0465289999999998</v>
      </c>
      <c r="AX22" s="201">
        <v>1.0573213826912558</v>
      </c>
      <c r="AY22" s="201">
        <v>1.0687898064113339</v>
      </c>
      <c r="AZ22" s="201">
        <v>1.0809089916969443</v>
      </c>
      <c r="BA22" s="201">
        <v>1.0936577958137252</v>
      </c>
      <c r="BB22" s="201">
        <v>1.1070186286995185</v>
      </c>
      <c r="BC22" s="201">
        <v>1.1209769671951606</v>
      </c>
      <c r="BD22" s="201">
        <v>1.13552094979005</v>
      </c>
      <c r="BE22" s="201">
        <v>1.1506410374287139</v>
      </c>
      <c r="BF22" s="201">
        <v>1.1663297286293799</v>
      </c>
      <c r="BG22" s="201">
        <v>1.1825813193957089</v>
      </c>
      <c r="BH22" s="201">
        <v>1.1993917001987977</v>
      </c>
      <c r="BI22" s="201">
        <v>1.2167581837451034</v>
      </c>
      <c r="BJ22" s="201">
        <v>1.2346793584097977</v>
      </c>
      <c r="BK22" s="201">
        <v>1.2531549631497372</v>
      </c>
      <c r="BL22" s="201">
        <v>1</v>
      </c>
      <c r="BM22" s="201">
        <v>1.0075087154733169</v>
      </c>
      <c r="BN22" s="201">
        <v>1.0150174309466338</v>
      </c>
      <c r="BO22" s="201">
        <v>1.0225261464199509</v>
      </c>
      <c r="BP22" s="201">
        <v>1.0300348618932678</v>
      </c>
      <c r="BQ22" s="201">
        <v>1.0375435773665846</v>
      </c>
      <c r="BR22" s="201">
        <v>1.0450522928399046</v>
      </c>
      <c r="BS22" s="201">
        <v>1.0458970233306526</v>
      </c>
      <c r="BT22" s="201">
        <v>1.0467417538213979</v>
      </c>
      <c r="BU22" s="201">
        <v>1.0475864843121492</v>
      </c>
      <c r="BV22" s="201">
        <v>1.0484312148028971</v>
      </c>
      <c r="BW22" s="201">
        <v>1.0492759452936424</v>
      </c>
      <c r="BX22" s="201">
        <v>1.0501206757843937</v>
      </c>
      <c r="BY22" s="201">
        <v>1.0509654062751417</v>
      </c>
      <c r="BZ22" s="201">
        <v>1.0518101367658899</v>
      </c>
      <c r="CA22" s="201">
        <v>1.0526548672566383</v>
      </c>
      <c r="CB22" s="201">
        <v>1.0534995977473862</v>
      </c>
    </row>
    <row r="23" spans="1:80" x14ac:dyDescent="0.35">
      <c r="A23" t="s">
        <v>737</v>
      </c>
      <c r="B23" t="s">
        <v>855</v>
      </c>
      <c r="C23" s="206" t="s">
        <v>856</v>
      </c>
      <c r="D23" t="s">
        <v>742</v>
      </c>
      <c r="E23" s="130">
        <v>72.109989090872318</v>
      </c>
      <c r="F23" s="130">
        <f>NYSERDA_SupplyCurve_Raw[[#This Row],[Available Capacity (MWac)]]*NYSERDA_SupplyCurve_Raw[[#This Row],[2024 Weighted Avg Resource CapEx ($/kWac)]]</f>
        <v>196537.4105504826</v>
      </c>
      <c r="G23" s="130">
        <f>NYSERDA_SupplyCurve_Raw[[#This Row],[Available Capacity (MWac)]]*NYSERDA_SupplyCurve_Raw[[#This Row],[2024 Weighted Avg OpEx ($/kWac-year)]]</f>
        <v>4237.0170954257401</v>
      </c>
      <c r="H23" s="130">
        <v>2725.5226776252598</v>
      </c>
      <c r="I23" s="130">
        <v>242.0693267634571</v>
      </c>
      <c r="J23" s="130">
        <v>58.757699853293438</v>
      </c>
      <c r="K23" s="130">
        <f>NYSERDA_SupplyCurve_Raw[[#This Row],[2024 Weighted Avg Capacity Factor]]*NYSERDA_SupplyCurve_Raw[[#This Row],[Available Capacity (MWac)]]</f>
        <v>27.598464250456466</v>
      </c>
      <c r="L23" s="205">
        <v>0.38272733914405599</v>
      </c>
      <c r="M23" s="201">
        <v>1</v>
      </c>
      <c r="N23" s="201">
        <v>1.0229999999999999</v>
      </c>
      <c r="O23" s="201">
        <v>1.0465289999999998</v>
      </c>
      <c r="P23" s="201">
        <v>1.0598020575021097</v>
      </c>
      <c r="Q23" s="201">
        <v>1.0736988159192504</v>
      </c>
      <c r="R23" s="201">
        <v>1.0882033073746558</v>
      </c>
      <c r="S23" s="201">
        <v>1.1033026104404513</v>
      </c>
      <c r="T23" s="201">
        <v>1.1189864388040101</v>
      </c>
      <c r="U23" s="201">
        <v>1.135246797775554</v>
      </c>
      <c r="V23" s="201">
        <v>1.1520776967604647</v>
      </c>
      <c r="W23" s="201">
        <v>1.1694749079306728</v>
      </c>
      <c r="X23" s="201">
        <v>1.1874357630816732</v>
      </c>
      <c r="Y23" s="201">
        <v>1.2059589821346142</v>
      </c>
      <c r="Z23" s="201">
        <v>1.2250445279429276</v>
      </c>
      <c r="AA23" s="201">
        <v>1.2446934830326641</v>
      </c>
      <c r="AB23" s="201">
        <v>1.2649079446978335</v>
      </c>
      <c r="AC23" s="201">
        <v>1.2856909355124986</v>
      </c>
      <c r="AD23" s="201">
        <v>1</v>
      </c>
      <c r="AE23" s="201">
        <v>1.0229999999999999</v>
      </c>
      <c r="AF23" s="201">
        <v>1.046529</v>
      </c>
      <c r="AG23" s="201">
        <v>1.0705991669999997</v>
      </c>
      <c r="AH23" s="201">
        <v>1.0952229478409994</v>
      </c>
      <c r="AI23" s="201">
        <v>1.1204130756413426</v>
      </c>
      <c r="AJ23" s="201">
        <v>1.1461825763810931</v>
      </c>
      <c r="AK23" s="201">
        <v>1.1725447756378582</v>
      </c>
      <c r="AL23" s="201">
        <v>1.1995133054775289</v>
      </c>
      <c r="AM23" s="201">
        <v>1.2271021115035119</v>
      </c>
      <c r="AN23" s="201">
        <v>1.2553254600680925</v>
      </c>
      <c r="AO23" s="201">
        <v>1.2841979456496586</v>
      </c>
      <c r="AP23" s="201">
        <v>1.3137344983996007</v>
      </c>
      <c r="AQ23" s="201">
        <v>1.3439503918627913</v>
      </c>
      <c r="AR23" s="201">
        <v>1.374861250875635</v>
      </c>
      <c r="AS23" s="201">
        <v>1.4064830596457749</v>
      </c>
      <c r="AT23" s="201">
        <v>1.4388321700176276</v>
      </c>
      <c r="AU23" s="201">
        <v>1</v>
      </c>
      <c r="AV23" s="201">
        <v>1.0229999999999999</v>
      </c>
      <c r="AW23" s="201">
        <v>1.0465289999999998</v>
      </c>
      <c r="AX23" s="201">
        <v>1.0573213826912555</v>
      </c>
      <c r="AY23" s="201">
        <v>1.0687898064113339</v>
      </c>
      <c r="AZ23" s="201">
        <v>1.0809089916969443</v>
      </c>
      <c r="BA23" s="201">
        <v>1.0936577958137252</v>
      </c>
      <c r="BB23" s="201">
        <v>1.1070186286995185</v>
      </c>
      <c r="BC23" s="201">
        <v>1.1209769671951606</v>
      </c>
      <c r="BD23" s="201">
        <v>1.13552094979005</v>
      </c>
      <c r="BE23" s="201">
        <v>1.1506410374287139</v>
      </c>
      <c r="BF23" s="201">
        <v>1.1663297286293799</v>
      </c>
      <c r="BG23" s="201">
        <v>1.1825813193957089</v>
      </c>
      <c r="BH23" s="201">
        <v>1.1993917001987977</v>
      </c>
      <c r="BI23" s="201">
        <v>1.2167581837451034</v>
      </c>
      <c r="BJ23" s="201">
        <v>1.2346793584097977</v>
      </c>
      <c r="BK23" s="201">
        <v>1.2531549631497372</v>
      </c>
      <c r="BL23" s="201">
        <v>1</v>
      </c>
      <c r="BM23" s="201">
        <v>1.0075087154733169</v>
      </c>
      <c r="BN23" s="201">
        <v>1.0150174309466338</v>
      </c>
      <c r="BO23" s="201">
        <v>1.0225261464199509</v>
      </c>
      <c r="BP23" s="201">
        <v>1.0300348618932678</v>
      </c>
      <c r="BQ23" s="201">
        <v>1.0375435773665846</v>
      </c>
      <c r="BR23" s="201">
        <v>1.0450522928399046</v>
      </c>
      <c r="BS23" s="201">
        <v>1.0458970233306526</v>
      </c>
      <c r="BT23" s="201">
        <v>1.0467417538213979</v>
      </c>
      <c r="BU23" s="201">
        <v>1.0475864843121492</v>
      </c>
      <c r="BV23" s="201">
        <v>1.0484312148028971</v>
      </c>
      <c r="BW23" s="201">
        <v>1.0492759452936424</v>
      </c>
      <c r="BX23" s="201">
        <v>1.0501206757843937</v>
      </c>
      <c r="BY23" s="201">
        <v>1.0509654062751417</v>
      </c>
      <c r="BZ23" s="201">
        <v>1.0518101367658899</v>
      </c>
      <c r="CA23" s="201">
        <v>1.0526548672566383</v>
      </c>
      <c r="CB23" s="201">
        <v>1.0534995977473862</v>
      </c>
    </row>
    <row r="24" spans="1:80" x14ac:dyDescent="0.35">
      <c r="A24" t="s">
        <v>737</v>
      </c>
      <c r="B24" t="s">
        <v>857</v>
      </c>
      <c r="C24" s="206" t="s">
        <v>845</v>
      </c>
      <c r="D24" t="s">
        <v>736</v>
      </c>
      <c r="E24" s="130">
        <v>550.04895105562412</v>
      </c>
      <c r="F24" s="130">
        <f>NYSERDA_SupplyCurve_Raw[[#This Row],[Available Capacity (MWac)]]*NYSERDA_SupplyCurve_Raw[[#This Row],[2024 Weighted Avg Resource CapEx ($/kWac)]]</f>
        <v>1336397.9263955839</v>
      </c>
      <c r="G24" s="130">
        <f>NYSERDA_SupplyCurve_Raw[[#This Row],[Available Capacity (MWac)]]*NYSERDA_SupplyCurve_Raw[[#This Row],[2024 Weighted Avg OpEx ($/kWac-year)]]</f>
        <v>30953.504910988569</v>
      </c>
      <c r="H24" s="130">
        <v>2429.5981727277936</v>
      </c>
      <c r="I24" s="130">
        <v>127.86720749443523</v>
      </c>
      <c r="J24" s="130">
        <v>56.274091336024334</v>
      </c>
      <c r="K24" s="130">
        <f>NYSERDA_SupplyCurve_Raw[[#This Row],[2024 Weighted Avg Capacity Factor]]*NYSERDA_SupplyCurve_Raw[[#This Row],[Available Capacity (MWac)]]</f>
        <v>197.32500724590284</v>
      </c>
      <c r="L24" s="205">
        <v>0.35874081182630635</v>
      </c>
      <c r="M24" s="201">
        <v>1</v>
      </c>
      <c r="N24" s="201">
        <v>1.0229999999999999</v>
      </c>
      <c r="O24" s="201">
        <v>1.0465289999999996</v>
      </c>
      <c r="P24" s="201">
        <v>1.0598020575021097</v>
      </c>
      <c r="Q24" s="201">
        <v>1.07369881591925</v>
      </c>
      <c r="R24" s="201">
        <v>1.0882033073746555</v>
      </c>
      <c r="S24" s="201">
        <v>1.1033026104404515</v>
      </c>
      <c r="T24" s="201">
        <v>1.1189864388040096</v>
      </c>
      <c r="U24" s="201">
        <v>1.135246797775554</v>
      </c>
      <c r="V24" s="201">
        <v>1.1520776967604645</v>
      </c>
      <c r="W24" s="201">
        <v>1.1694749079306728</v>
      </c>
      <c r="X24" s="201">
        <v>1.1874357630816732</v>
      </c>
      <c r="Y24" s="201">
        <v>1.2059589821346139</v>
      </c>
      <c r="Z24" s="201">
        <v>1.2250445279429274</v>
      </c>
      <c r="AA24" s="201">
        <v>1.2446934830326639</v>
      </c>
      <c r="AB24" s="201">
        <v>1.2649079446978335</v>
      </c>
      <c r="AC24" s="201">
        <v>1.2856909355124986</v>
      </c>
      <c r="AD24" s="201">
        <v>1</v>
      </c>
      <c r="AE24" s="201">
        <v>1.0230000000000001</v>
      </c>
      <c r="AF24" s="201">
        <v>1.0465289999999998</v>
      </c>
      <c r="AG24" s="201">
        <v>1.0705991669999999</v>
      </c>
      <c r="AH24" s="201">
        <v>1.0952229478409996</v>
      </c>
      <c r="AI24" s="201">
        <v>1.1204130756413428</v>
      </c>
      <c r="AJ24" s="201">
        <v>1.1461825763810936</v>
      </c>
      <c r="AK24" s="201">
        <v>1.1725447756378584</v>
      </c>
      <c r="AL24" s="201">
        <v>1.1995133054775289</v>
      </c>
      <c r="AM24" s="201">
        <v>1.2271021115035121</v>
      </c>
      <c r="AN24" s="201">
        <v>1.2553254600680928</v>
      </c>
      <c r="AO24" s="201">
        <v>1.2841979456496588</v>
      </c>
      <c r="AP24" s="201">
        <v>1.3137344983996009</v>
      </c>
      <c r="AQ24" s="201">
        <v>1.3439503918627917</v>
      </c>
      <c r="AR24" s="201">
        <v>1.3748612508756355</v>
      </c>
      <c r="AS24" s="201">
        <v>1.4064830596457751</v>
      </c>
      <c r="AT24" s="201">
        <v>1.4388321700176274</v>
      </c>
      <c r="AU24" s="201">
        <v>1</v>
      </c>
      <c r="AV24" s="201">
        <v>1.0229999999999999</v>
      </c>
      <c r="AW24" s="201">
        <v>1.0465289999999998</v>
      </c>
      <c r="AX24" s="201">
        <v>1.0573213826912555</v>
      </c>
      <c r="AY24" s="201">
        <v>1.0687898064113339</v>
      </c>
      <c r="AZ24" s="201">
        <v>1.0809089916969445</v>
      </c>
      <c r="BA24" s="201">
        <v>1.093657795813725</v>
      </c>
      <c r="BB24" s="201">
        <v>1.1070186286995185</v>
      </c>
      <c r="BC24" s="201">
        <v>1.1209769671951606</v>
      </c>
      <c r="BD24" s="201">
        <v>1.1355209497900496</v>
      </c>
      <c r="BE24" s="201">
        <v>1.1506410374287139</v>
      </c>
      <c r="BF24" s="201">
        <v>1.1663297286293797</v>
      </c>
      <c r="BG24" s="201">
        <v>1.1825813193957089</v>
      </c>
      <c r="BH24" s="201">
        <v>1.1993917001987977</v>
      </c>
      <c r="BI24" s="201">
        <v>1.2167581837451034</v>
      </c>
      <c r="BJ24" s="201">
        <v>1.2346793584097975</v>
      </c>
      <c r="BK24" s="201">
        <v>1.2531549631497372</v>
      </c>
      <c r="BL24" s="201">
        <v>1</v>
      </c>
      <c r="BM24" s="201">
        <v>1.0075087154733169</v>
      </c>
      <c r="BN24" s="201">
        <v>1.0150174309466338</v>
      </c>
      <c r="BO24" s="201">
        <v>1.0225261464199509</v>
      </c>
      <c r="BP24" s="201">
        <v>1.0300348618932678</v>
      </c>
      <c r="BQ24" s="201">
        <v>1.0375435773665846</v>
      </c>
      <c r="BR24" s="201">
        <v>1.0450522928399046</v>
      </c>
      <c r="BS24" s="201">
        <v>1.0458970233306526</v>
      </c>
      <c r="BT24" s="201">
        <v>1.0467417538213979</v>
      </c>
      <c r="BU24" s="201">
        <v>1.0475864843121492</v>
      </c>
      <c r="BV24" s="201">
        <v>1.0484312148028971</v>
      </c>
      <c r="BW24" s="201">
        <v>1.0492759452936424</v>
      </c>
      <c r="BX24" s="201">
        <v>1.0501206757843937</v>
      </c>
      <c r="BY24" s="201">
        <v>1.0509654062751417</v>
      </c>
      <c r="BZ24" s="201">
        <v>1.0518101367658899</v>
      </c>
      <c r="CA24" s="201">
        <v>1.0526548672566383</v>
      </c>
      <c r="CB24" s="201">
        <v>1.0534995977473862</v>
      </c>
    </row>
    <row r="25" spans="1:80" x14ac:dyDescent="0.35">
      <c r="A25" t="s">
        <v>737</v>
      </c>
      <c r="B25" t="s">
        <v>858</v>
      </c>
      <c r="C25" s="206" t="s">
        <v>854</v>
      </c>
      <c r="D25" t="s">
        <v>736</v>
      </c>
      <c r="E25" s="130">
        <v>353.23504654822852</v>
      </c>
      <c r="F25" s="130">
        <f>NYSERDA_SupplyCurve_Raw[[#This Row],[Available Capacity (MWac)]]*NYSERDA_SupplyCurve_Raw[[#This Row],[2024 Weighted Avg Resource CapEx ($/kWac)]]</f>
        <v>855224.27035292902</v>
      </c>
      <c r="G25" s="130">
        <f>NYSERDA_SupplyCurve_Raw[[#This Row],[Available Capacity (MWac)]]*NYSERDA_SupplyCurve_Raw[[#This Row],[2024 Weighted Avg OpEx ($/kWac-year)]]</f>
        <v>19925.02877630476</v>
      </c>
      <c r="H25" s="130">
        <v>2421.1195313434505</v>
      </c>
      <c r="I25" s="130">
        <v>116.1257942907568</v>
      </c>
      <c r="J25" s="130">
        <v>56.40728169814917</v>
      </c>
      <c r="K25" s="130">
        <f>NYSERDA_SupplyCurve_Raw[[#This Row],[2024 Weighted Avg Capacity Factor]]*NYSERDA_SupplyCurve_Raw[[#This Row],[Available Capacity (MWac)]]</f>
        <v>119.6379296809544</v>
      </c>
      <c r="L25" s="205">
        <v>0.33869212823031641</v>
      </c>
      <c r="M25" s="201">
        <v>1</v>
      </c>
      <c r="N25" s="201">
        <v>1.0229999999999997</v>
      </c>
      <c r="O25" s="201">
        <v>1.0465289999999998</v>
      </c>
      <c r="P25" s="201">
        <v>1.0598020575021094</v>
      </c>
      <c r="Q25" s="201">
        <v>1.0736988159192502</v>
      </c>
      <c r="R25" s="201">
        <v>1.0882033073746553</v>
      </c>
      <c r="S25" s="201">
        <v>1.1033026104404513</v>
      </c>
      <c r="T25" s="201">
        <v>1.1189864388040098</v>
      </c>
      <c r="U25" s="201">
        <v>1.1352467977755538</v>
      </c>
      <c r="V25" s="201">
        <v>1.1520776967604647</v>
      </c>
      <c r="W25" s="201">
        <v>1.1694749079306725</v>
      </c>
      <c r="X25" s="201">
        <v>1.187435763081673</v>
      </c>
      <c r="Y25" s="201">
        <v>1.2059589821346139</v>
      </c>
      <c r="Z25" s="201">
        <v>1.2250445279429274</v>
      </c>
      <c r="AA25" s="201">
        <v>1.2446934830326639</v>
      </c>
      <c r="AB25" s="201">
        <v>1.2649079446978333</v>
      </c>
      <c r="AC25" s="201">
        <v>1.2856909355124986</v>
      </c>
      <c r="AD25" s="201">
        <v>1</v>
      </c>
      <c r="AE25" s="201">
        <v>1.0229999999999999</v>
      </c>
      <c r="AF25" s="201">
        <v>1.0465289999999998</v>
      </c>
      <c r="AG25" s="201">
        <v>1.0705991669999997</v>
      </c>
      <c r="AH25" s="201">
        <v>1.0952229478409998</v>
      </c>
      <c r="AI25" s="201">
        <v>1.1204130756413428</v>
      </c>
      <c r="AJ25" s="201">
        <v>1.1461825763810933</v>
      </c>
      <c r="AK25" s="201">
        <v>1.1725447756378584</v>
      </c>
      <c r="AL25" s="201">
        <v>1.1995133054775291</v>
      </c>
      <c r="AM25" s="201">
        <v>1.2271021115035121</v>
      </c>
      <c r="AN25" s="201">
        <v>1.2553254600680928</v>
      </c>
      <c r="AO25" s="201">
        <v>1.2841979456496588</v>
      </c>
      <c r="AP25" s="201">
        <v>1.3137344983996009</v>
      </c>
      <c r="AQ25" s="201">
        <v>1.3439503918627913</v>
      </c>
      <c r="AR25" s="201">
        <v>1.3748612508756355</v>
      </c>
      <c r="AS25" s="201">
        <v>1.4064830596457749</v>
      </c>
      <c r="AT25" s="201">
        <v>1.4388321700176276</v>
      </c>
      <c r="AU25" s="201">
        <v>1</v>
      </c>
      <c r="AV25" s="201">
        <v>1.0229999999999999</v>
      </c>
      <c r="AW25" s="201">
        <v>1.0465289999999998</v>
      </c>
      <c r="AX25" s="201">
        <v>1.0573213826912555</v>
      </c>
      <c r="AY25" s="201">
        <v>1.0687898064113341</v>
      </c>
      <c r="AZ25" s="201">
        <v>1.0809089916969445</v>
      </c>
      <c r="BA25" s="201">
        <v>1.0936577958137252</v>
      </c>
      <c r="BB25" s="201">
        <v>1.1070186286995185</v>
      </c>
      <c r="BC25" s="201">
        <v>1.1209769671951604</v>
      </c>
      <c r="BD25" s="201">
        <v>1.13552094979005</v>
      </c>
      <c r="BE25" s="201">
        <v>1.1506410374287137</v>
      </c>
      <c r="BF25" s="201">
        <v>1.1663297286293799</v>
      </c>
      <c r="BG25" s="201">
        <v>1.1825813193957089</v>
      </c>
      <c r="BH25" s="201">
        <v>1.1993917001987977</v>
      </c>
      <c r="BI25" s="201">
        <v>1.2167581837451031</v>
      </c>
      <c r="BJ25" s="201">
        <v>1.2346793584097977</v>
      </c>
      <c r="BK25" s="201">
        <v>1.253154963149737</v>
      </c>
      <c r="BL25" s="201">
        <v>1</v>
      </c>
      <c r="BM25" s="201">
        <v>1.0075087154733169</v>
      </c>
      <c r="BN25" s="201">
        <v>1.0150174309466338</v>
      </c>
      <c r="BO25" s="201">
        <v>1.0225261464199509</v>
      </c>
      <c r="BP25" s="201">
        <v>1.0300348618932678</v>
      </c>
      <c r="BQ25" s="201">
        <v>1.0375435773665846</v>
      </c>
      <c r="BR25" s="201">
        <v>1.0450522928399046</v>
      </c>
      <c r="BS25" s="201">
        <v>1.0458970233306526</v>
      </c>
      <c r="BT25" s="201">
        <v>1.0467417538213979</v>
      </c>
      <c r="BU25" s="201">
        <v>1.0475864843121492</v>
      </c>
      <c r="BV25" s="201">
        <v>1.0484312148028971</v>
      </c>
      <c r="BW25" s="201">
        <v>1.0492759452936424</v>
      </c>
      <c r="BX25" s="201">
        <v>1.0501206757843937</v>
      </c>
      <c r="BY25" s="201">
        <v>1.0509654062751417</v>
      </c>
      <c r="BZ25" s="201">
        <v>1.0518101367658899</v>
      </c>
      <c r="CA25" s="201">
        <v>1.0526548672566383</v>
      </c>
      <c r="CB25" s="201">
        <v>1.0534995977473862</v>
      </c>
    </row>
    <row r="26" spans="1:80" x14ac:dyDescent="0.35">
      <c r="A26" t="s">
        <v>737</v>
      </c>
      <c r="B26" t="s">
        <v>859</v>
      </c>
      <c r="C26" s="206" t="s">
        <v>854</v>
      </c>
      <c r="D26" t="s">
        <v>736</v>
      </c>
      <c r="E26" s="130">
        <v>95.74547909674024</v>
      </c>
      <c r="F26" s="130">
        <f>NYSERDA_SupplyCurve_Raw[[#This Row],[Available Capacity (MWac)]]*NYSERDA_SupplyCurve_Raw[[#This Row],[2024 Weighted Avg Resource CapEx ($/kWac)]]</f>
        <v>241917.80087168273</v>
      </c>
      <c r="G26" s="130">
        <f>NYSERDA_SupplyCurve_Raw[[#This Row],[Available Capacity (MWac)]]*NYSERDA_SupplyCurve_Raw[[#This Row],[2024 Weighted Avg OpEx ($/kWac-year)]]</f>
        <v>5488.2585099781782</v>
      </c>
      <c r="H26" s="130">
        <v>2526.6759658411806</v>
      </c>
      <c r="I26" s="130">
        <v>245.64785501266917</v>
      </c>
      <c r="J26" s="130">
        <v>57.321333202927512</v>
      </c>
      <c r="K26" s="130">
        <f>NYSERDA_SupplyCurve_Raw[[#This Row],[2024 Weighted Avg Capacity Factor]]*NYSERDA_SupplyCurve_Raw[[#This Row],[Available Capacity (MWac)]]</f>
        <v>33.186385407830755</v>
      </c>
      <c r="L26" s="205">
        <v>0.346610468931902</v>
      </c>
      <c r="M26" s="201">
        <v>1</v>
      </c>
      <c r="N26" s="201">
        <v>1.0229999999999997</v>
      </c>
      <c r="O26" s="201">
        <v>1.0465289999999996</v>
      </c>
      <c r="P26" s="201">
        <v>1.0598020575021094</v>
      </c>
      <c r="Q26" s="201">
        <v>1.07369881591925</v>
      </c>
      <c r="R26" s="201">
        <v>1.0882033073746558</v>
      </c>
      <c r="S26" s="201">
        <v>1.1033026104404513</v>
      </c>
      <c r="T26" s="201">
        <v>1.1189864388040101</v>
      </c>
      <c r="U26" s="201">
        <v>1.1352467977755538</v>
      </c>
      <c r="V26" s="201">
        <v>1.1520776967604645</v>
      </c>
      <c r="W26" s="201">
        <v>1.169474907930673</v>
      </c>
      <c r="X26" s="201">
        <v>1.187435763081673</v>
      </c>
      <c r="Y26" s="201">
        <v>1.2059589821346142</v>
      </c>
      <c r="Z26" s="201">
        <v>1.2250445279429274</v>
      </c>
      <c r="AA26" s="201">
        <v>1.2446934830326637</v>
      </c>
      <c r="AB26" s="201">
        <v>1.2649079446978333</v>
      </c>
      <c r="AC26" s="201">
        <v>1.2856909355124984</v>
      </c>
      <c r="AD26" s="201">
        <v>1</v>
      </c>
      <c r="AE26" s="201">
        <v>1.0229999999999999</v>
      </c>
      <c r="AF26" s="201">
        <v>1.0465289999999996</v>
      </c>
      <c r="AG26" s="201">
        <v>1.0705991669999997</v>
      </c>
      <c r="AH26" s="201">
        <v>1.0952229478409994</v>
      </c>
      <c r="AI26" s="201">
        <v>1.1204130756413424</v>
      </c>
      <c r="AJ26" s="201">
        <v>1.1461825763810929</v>
      </c>
      <c r="AK26" s="201">
        <v>1.172544775637858</v>
      </c>
      <c r="AL26" s="201">
        <v>1.1995133054775289</v>
      </c>
      <c r="AM26" s="201">
        <v>1.2271021115035117</v>
      </c>
      <c r="AN26" s="201">
        <v>1.2553254600680925</v>
      </c>
      <c r="AO26" s="201">
        <v>1.2841979456496584</v>
      </c>
      <c r="AP26" s="201">
        <v>1.3137344983996007</v>
      </c>
      <c r="AQ26" s="201">
        <v>1.3439503918627913</v>
      </c>
      <c r="AR26" s="201">
        <v>1.374861250875635</v>
      </c>
      <c r="AS26" s="201">
        <v>1.4064830596457745</v>
      </c>
      <c r="AT26" s="201">
        <v>1.4388321700176272</v>
      </c>
      <c r="AU26" s="201">
        <v>1</v>
      </c>
      <c r="AV26" s="201">
        <v>1.0229999999999997</v>
      </c>
      <c r="AW26" s="201">
        <v>1.0465289999999996</v>
      </c>
      <c r="AX26" s="201">
        <v>1.0573213826912555</v>
      </c>
      <c r="AY26" s="201">
        <v>1.0687898064113337</v>
      </c>
      <c r="AZ26" s="201">
        <v>1.0809089916969443</v>
      </c>
      <c r="BA26" s="201">
        <v>1.093657795813725</v>
      </c>
      <c r="BB26" s="201">
        <v>1.1070186286995185</v>
      </c>
      <c r="BC26" s="201">
        <v>1.1209769671951606</v>
      </c>
      <c r="BD26" s="201">
        <v>1.1355209497900496</v>
      </c>
      <c r="BE26" s="201">
        <v>1.1506410374287137</v>
      </c>
      <c r="BF26" s="201">
        <v>1.1663297286293797</v>
      </c>
      <c r="BG26" s="201">
        <v>1.1825813193957087</v>
      </c>
      <c r="BH26" s="201">
        <v>1.1993917001987977</v>
      </c>
      <c r="BI26" s="201">
        <v>1.2167581837451034</v>
      </c>
      <c r="BJ26" s="201">
        <v>1.2346793584097977</v>
      </c>
      <c r="BK26" s="201">
        <v>1.253154963149737</v>
      </c>
      <c r="BL26" s="201">
        <v>1</v>
      </c>
      <c r="BM26" s="201">
        <v>1.0075087154733169</v>
      </c>
      <c r="BN26" s="201">
        <v>1.0150174309466338</v>
      </c>
      <c r="BO26" s="201">
        <v>1.0225261464199509</v>
      </c>
      <c r="BP26" s="201">
        <v>1.0300348618932678</v>
      </c>
      <c r="BQ26" s="201">
        <v>1.0375435773665846</v>
      </c>
      <c r="BR26" s="201">
        <v>1.0450522928399046</v>
      </c>
      <c r="BS26" s="201">
        <v>1.0458970233306526</v>
      </c>
      <c r="BT26" s="201">
        <v>1.0467417538213979</v>
      </c>
      <c r="BU26" s="201">
        <v>1.0475864843121492</v>
      </c>
      <c r="BV26" s="201">
        <v>1.0484312148028971</v>
      </c>
      <c r="BW26" s="201">
        <v>1.0492759452936424</v>
      </c>
      <c r="BX26" s="201">
        <v>1.0501206757843937</v>
      </c>
      <c r="BY26" s="201">
        <v>1.0509654062751417</v>
      </c>
      <c r="BZ26" s="201">
        <v>1.0518101367658899</v>
      </c>
      <c r="CA26" s="201">
        <v>1.0526548672566383</v>
      </c>
      <c r="CB26" s="201">
        <v>1.0534995977473862</v>
      </c>
    </row>
    <row r="27" spans="1:80" x14ac:dyDescent="0.35">
      <c r="A27" t="s">
        <v>737</v>
      </c>
      <c r="B27" t="s">
        <v>859</v>
      </c>
      <c r="C27" s="206" t="s">
        <v>854</v>
      </c>
      <c r="D27" t="s">
        <v>742</v>
      </c>
      <c r="E27" s="130">
        <v>134.8951507411829</v>
      </c>
      <c r="F27" s="130">
        <f>NYSERDA_SupplyCurve_Raw[[#This Row],[Available Capacity (MWac)]]*NYSERDA_SupplyCurve_Raw[[#This Row],[2024 Weighted Avg Resource CapEx ($/kWac)]]</f>
        <v>379048.9337872038</v>
      </c>
      <c r="G27" s="130">
        <f>NYSERDA_SupplyCurve_Raw[[#This Row],[Available Capacity (MWac)]]*NYSERDA_SupplyCurve_Raw[[#This Row],[2024 Weighted Avg OpEx ($/kWac-year)]]</f>
        <v>7732.3698830944786</v>
      </c>
      <c r="H27" s="130">
        <v>2809.9522607337271</v>
      </c>
      <c r="I27" s="130">
        <v>148.21879117947151</v>
      </c>
      <c r="J27" s="130">
        <v>57.321333202927505</v>
      </c>
      <c r="K27" s="130">
        <f>NYSERDA_SupplyCurve_Raw[[#This Row],[2024 Weighted Avg Capacity Factor]]*NYSERDA_SupplyCurve_Raw[[#This Row],[Available Capacity (MWac)]]</f>
        <v>53.56962577589487</v>
      </c>
      <c r="L27" s="205">
        <v>0.39712047083646795</v>
      </c>
      <c r="M27" s="201">
        <v>1</v>
      </c>
      <c r="N27" s="201">
        <v>1.0229999999999999</v>
      </c>
      <c r="O27" s="201">
        <v>1.0465289999999996</v>
      </c>
      <c r="P27" s="201">
        <v>1.0598020575021094</v>
      </c>
      <c r="Q27" s="201">
        <v>1.07369881591925</v>
      </c>
      <c r="R27" s="201">
        <v>1.0882033073746555</v>
      </c>
      <c r="S27" s="201">
        <v>1.1033026104404513</v>
      </c>
      <c r="T27" s="201">
        <v>1.1189864388040098</v>
      </c>
      <c r="U27" s="201">
        <v>1.1352467977755538</v>
      </c>
      <c r="V27" s="201">
        <v>1.1520776967604647</v>
      </c>
      <c r="W27" s="201">
        <v>1.1694749079306725</v>
      </c>
      <c r="X27" s="201">
        <v>1.1874357630816732</v>
      </c>
      <c r="Y27" s="201">
        <v>1.2059589821346139</v>
      </c>
      <c r="Z27" s="201">
        <v>1.2250445279429274</v>
      </c>
      <c r="AA27" s="201">
        <v>1.2446934830326639</v>
      </c>
      <c r="AB27" s="201">
        <v>1.2649079446978333</v>
      </c>
      <c r="AC27" s="201">
        <v>1.2856909355124984</v>
      </c>
      <c r="AD27" s="201">
        <v>1</v>
      </c>
      <c r="AE27" s="201">
        <v>1.0229999999999999</v>
      </c>
      <c r="AF27" s="201">
        <v>1.0465289999999996</v>
      </c>
      <c r="AG27" s="201">
        <v>1.0705991669999997</v>
      </c>
      <c r="AH27" s="201">
        <v>1.0952229478409996</v>
      </c>
      <c r="AI27" s="201">
        <v>1.1204130756413424</v>
      </c>
      <c r="AJ27" s="201">
        <v>1.1461825763810931</v>
      </c>
      <c r="AK27" s="201">
        <v>1.1725447756378582</v>
      </c>
      <c r="AL27" s="201">
        <v>1.1995133054775289</v>
      </c>
      <c r="AM27" s="201">
        <v>1.2271021115035117</v>
      </c>
      <c r="AN27" s="201">
        <v>1.2553254600680925</v>
      </c>
      <c r="AO27" s="201">
        <v>1.2841979456496586</v>
      </c>
      <c r="AP27" s="201">
        <v>1.3137344983996007</v>
      </c>
      <c r="AQ27" s="201">
        <v>1.3439503918627913</v>
      </c>
      <c r="AR27" s="201">
        <v>1.374861250875635</v>
      </c>
      <c r="AS27" s="201">
        <v>1.4064830596457747</v>
      </c>
      <c r="AT27" s="201">
        <v>1.4388321700176274</v>
      </c>
      <c r="AU27" s="201">
        <v>1</v>
      </c>
      <c r="AV27" s="201">
        <v>1.0229999999999999</v>
      </c>
      <c r="AW27" s="201">
        <v>1.0465289999999998</v>
      </c>
      <c r="AX27" s="201">
        <v>1.0573213826912555</v>
      </c>
      <c r="AY27" s="201">
        <v>1.0687898064113337</v>
      </c>
      <c r="AZ27" s="201">
        <v>1.0809089916969443</v>
      </c>
      <c r="BA27" s="201">
        <v>1.0936577958137252</v>
      </c>
      <c r="BB27" s="201">
        <v>1.1070186286995185</v>
      </c>
      <c r="BC27" s="201">
        <v>1.1209769671951606</v>
      </c>
      <c r="BD27" s="201">
        <v>1.1355209497900498</v>
      </c>
      <c r="BE27" s="201">
        <v>1.1506410374287139</v>
      </c>
      <c r="BF27" s="201">
        <v>1.1663297286293799</v>
      </c>
      <c r="BG27" s="201">
        <v>1.1825813193957089</v>
      </c>
      <c r="BH27" s="201">
        <v>1.1993917001987977</v>
      </c>
      <c r="BI27" s="201">
        <v>1.2167581837451034</v>
      </c>
      <c r="BJ27" s="201">
        <v>1.2346793584097977</v>
      </c>
      <c r="BK27" s="201">
        <v>1.2531549631497372</v>
      </c>
      <c r="BL27" s="201">
        <v>1</v>
      </c>
      <c r="BM27" s="201">
        <v>1.0075087154733169</v>
      </c>
      <c r="BN27" s="201">
        <v>1.0150174309466338</v>
      </c>
      <c r="BO27" s="201">
        <v>1.0225261464199509</v>
      </c>
      <c r="BP27" s="201">
        <v>1.0300348618932678</v>
      </c>
      <c r="BQ27" s="201">
        <v>1.0375435773665846</v>
      </c>
      <c r="BR27" s="201">
        <v>1.0450522928399046</v>
      </c>
      <c r="BS27" s="201">
        <v>1.0458970233306526</v>
      </c>
      <c r="BT27" s="201">
        <v>1.0467417538213979</v>
      </c>
      <c r="BU27" s="201">
        <v>1.0475864843121492</v>
      </c>
      <c r="BV27" s="201">
        <v>1.0484312148028971</v>
      </c>
      <c r="BW27" s="201">
        <v>1.0492759452936424</v>
      </c>
      <c r="BX27" s="201">
        <v>1.0501206757843937</v>
      </c>
      <c r="BY27" s="201">
        <v>1.0509654062751417</v>
      </c>
      <c r="BZ27" s="201">
        <v>1.0518101367658899</v>
      </c>
      <c r="CA27" s="201">
        <v>1.0526548672566383</v>
      </c>
      <c r="CB27" s="201">
        <v>1.0534995977473862</v>
      </c>
    </row>
    <row r="28" spans="1:80" x14ac:dyDescent="0.35">
      <c r="A28" t="s">
        <v>737</v>
      </c>
      <c r="B28" t="s">
        <v>860</v>
      </c>
      <c r="C28" s="206" t="s">
        <v>854</v>
      </c>
      <c r="D28" t="s">
        <v>736</v>
      </c>
      <c r="E28" s="130">
        <v>738.10332021367424</v>
      </c>
      <c r="F28" s="130">
        <f>NYSERDA_SupplyCurve_Raw[[#This Row],[Available Capacity (MWac)]]*NYSERDA_SupplyCurve_Raw[[#This Row],[2024 Weighted Avg Resource CapEx ($/kWac)]]</f>
        <v>1790958.7979665489</v>
      </c>
      <c r="G28" s="130">
        <f>NYSERDA_SupplyCurve_Raw[[#This Row],[Available Capacity (MWac)]]*NYSERDA_SupplyCurve_Raw[[#This Row],[2024 Weighted Avg OpEx ($/kWac-year)]]</f>
        <v>41634.40190563193</v>
      </c>
      <c r="H28" s="130">
        <v>2426.4337375532773</v>
      </c>
      <c r="I28" s="130">
        <v>213.51680470122517</v>
      </c>
      <c r="J28" s="130">
        <v>56.407281698149177</v>
      </c>
      <c r="K28" s="130">
        <f>NYSERDA_SupplyCurve_Raw[[#This Row],[2024 Weighted Avg Capacity Factor]]*NYSERDA_SupplyCurve_Raw[[#This Row],[Available Capacity (MWac)]]</f>
        <v>271.90231373546555</v>
      </c>
      <c r="L28" s="205">
        <v>0.368379746153631</v>
      </c>
      <c r="M28" s="201">
        <v>1</v>
      </c>
      <c r="N28" s="201">
        <v>1.0229999999999999</v>
      </c>
      <c r="O28" s="201">
        <v>1.0465289999999998</v>
      </c>
      <c r="P28" s="201">
        <v>1.0598020575021094</v>
      </c>
      <c r="Q28" s="201">
        <v>1.0736988159192502</v>
      </c>
      <c r="R28" s="201">
        <v>1.0882033073746558</v>
      </c>
      <c r="S28" s="201">
        <v>1.1033026104404513</v>
      </c>
      <c r="T28" s="201">
        <v>1.1189864388040101</v>
      </c>
      <c r="U28" s="201">
        <v>1.135246797775554</v>
      </c>
      <c r="V28" s="201">
        <v>1.1520776967604647</v>
      </c>
      <c r="W28" s="201">
        <v>1.1694749079306725</v>
      </c>
      <c r="X28" s="201">
        <v>1.1874357630816732</v>
      </c>
      <c r="Y28" s="201">
        <v>1.2059589821346142</v>
      </c>
      <c r="Z28" s="201">
        <v>1.2250445279429274</v>
      </c>
      <c r="AA28" s="201">
        <v>1.2446934830326637</v>
      </c>
      <c r="AB28" s="201">
        <v>1.2649079446978333</v>
      </c>
      <c r="AC28" s="201">
        <v>1.2856909355124986</v>
      </c>
      <c r="AD28" s="201">
        <v>1</v>
      </c>
      <c r="AE28" s="201">
        <v>1.0229999999999999</v>
      </c>
      <c r="AF28" s="201">
        <v>1.046529</v>
      </c>
      <c r="AG28" s="201">
        <v>1.0705991669999999</v>
      </c>
      <c r="AH28" s="201">
        <v>1.0952229478409996</v>
      </c>
      <c r="AI28" s="201">
        <v>1.1204130756413426</v>
      </c>
      <c r="AJ28" s="201">
        <v>1.1461825763810933</v>
      </c>
      <c r="AK28" s="201">
        <v>1.1725447756378582</v>
      </c>
      <c r="AL28" s="201">
        <v>1.1995133054775289</v>
      </c>
      <c r="AM28" s="201">
        <v>1.2271021115035121</v>
      </c>
      <c r="AN28" s="201">
        <v>1.2553254600680928</v>
      </c>
      <c r="AO28" s="201">
        <v>1.2841979456496588</v>
      </c>
      <c r="AP28" s="201">
        <v>1.3137344983996009</v>
      </c>
      <c r="AQ28" s="201">
        <v>1.3439503918627917</v>
      </c>
      <c r="AR28" s="201">
        <v>1.3748612508756355</v>
      </c>
      <c r="AS28" s="201">
        <v>1.4064830596457749</v>
      </c>
      <c r="AT28" s="201">
        <v>1.4388321700176272</v>
      </c>
      <c r="AU28" s="201">
        <v>1</v>
      </c>
      <c r="AV28" s="201">
        <v>1.0229999999999999</v>
      </c>
      <c r="AW28" s="201">
        <v>1.0465289999999998</v>
      </c>
      <c r="AX28" s="201">
        <v>1.0573213826912555</v>
      </c>
      <c r="AY28" s="201">
        <v>1.0687898064113341</v>
      </c>
      <c r="AZ28" s="201">
        <v>1.0809089916969443</v>
      </c>
      <c r="BA28" s="201">
        <v>1.0936577958137252</v>
      </c>
      <c r="BB28" s="201">
        <v>1.1070186286995183</v>
      </c>
      <c r="BC28" s="201">
        <v>1.1209769671951606</v>
      </c>
      <c r="BD28" s="201">
        <v>1.1355209497900498</v>
      </c>
      <c r="BE28" s="201">
        <v>1.1506410374287137</v>
      </c>
      <c r="BF28" s="201">
        <v>1.1663297286293799</v>
      </c>
      <c r="BG28" s="201">
        <v>1.1825813193957089</v>
      </c>
      <c r="BH28" s="201">
        <v>1.1993917001987977</v>
      </c>
      <c r="BI28" s="201">
        <v>1.2167581837451031</v>
      </c>
      <c r="BJ28" s="201">
        <v>1.2346793584097977</v>
      </c>
      <c r="BK28" s="201">
        <v>1.2531549631497372</v>
      </c>
      <c r="BL28" s="201">
        <v>1</v>
      </c>
      <c r="BM28" s="201">
        <v>1.0075087154733169</v>
      </c>
      <c r="BN28" s="201">
        <v>1.0150174309466338</v>
      </c>
      <c r="BO28" s="201">
        <v>1.0225261464199509</v>
      </c>
      <c r="BP28" s="201">
        <v>1.0300348618932678</v>
      </c>
      <c r="BQ28" s="201">
        <v>1.0375435773665846</v>
      </c>
      <c r="BR28" s="201">
        <v>1.0450522928399046</v>
      </c>
      <c r="BS28" s="201">
        <v>1.0458970233306526</v>
      </c>
      <c r="BT28" s="201">
        <v>1.0467417538213979</v>
      </c>
      <c r="BU28" s="201">
        <v>1.0475864843121492</v>
      </c>
      <c r="BV28" s="201">
        <v>1.0484312148028971</v>
      </c>
      <c r="BW28" s="201">
        <v>1.0492759452936424</v>
      </c>
      <c r="BX28" s="201">
        <v>1.0501206757843937</v>
      </c>
      <c r="BY28" s="201">
        <v>1.0509654062751417</v>
      </c>
      <c r="BZ28" s="201">
        <v>1.0518101367658899</v>
      </c>
      <c r="CA28" s="201">
        <v>1.0526548672566383</v>
      </c>
      <c r="CB28" s="201">
        <v>1.0534995977473862</v>
      </c>
    </row>
    <row r="29" spans="1:80" x14ac:dyDescent="0.35">
      <c r="A29" t="s">
        <v>737</v>
      </c>
      <c r="B29" t="s">
        <v>861</v>
      </c>
      <c r="C29" s="206" t="s">
        <v>854</v>
      </c>
      <c r="D29" t="s">
        <v>736</v>
      </c>
      <c r="E29" s="130">
        <v>253.39764410635161</v>
      </c>
      <c r="F29" s="130">
        <f>NYSERDA_SupplyCurve_Raw[[#This Row],[Available Capacity (MWac)]]*NYSERDA_SupplyCurve_Raw[[#This Row],[2024 Weighted Avg Resource CapEx ($/kWac)]]</f>
        <v>618487.56713376474</v>
      </c>
      <c r="G29" s="130">
        <f>NYSERDA_SupplyCurve_Raw[[#This Row],[Available Capacity (MWac)]]*NYSERDA_SupplyCurve_Raw[[#This Row],[2024 Weighted Avg OpEx ($/kWac-year)]]</f>
        <v>14293.472292754326</v>
      </c>
      <c r="H29" s="130">
        <v>2440.7786793557716</v>
      </c>
      <c r="I29" s="130">
        <v>134.4937677205094</v>
      </c>
      <c r="J29" s="130">
        <v>56.407281698149177</v>
      </c>
      <c r="K29" s="130">
        <f>NYSERDA_SupplyCurve_Raw[[#This Row],[2024 Weighted Avg Capacity Factor]]*NYSERDA_SupplyCurve_Raw[[#This Row],[Available Capacity (MWac)]]</f>
        <v>83.653344909564339</v>
      </c>
      <c r="L29" s="205">
        <v>0.330126766586886</v>
      </c>
      <c r="M29" s="201">
        <v>1</v>
      </c>
      <c r="N29" s="201">
        <v>1.0229999999999999</v>
      </c>
      <c r="O29" s="201">
        <v>1.0465289999999998</v>
      </c>
      <c r="P29" s="201">
        <v>1.0598020575021094</v>
      </c>
      <c r="Q29" s="201">
        <v>1.0736988159192502</v>
      </c>
      <c r="R29" s="201">
        <v>1.0882033073746555</v>
      </c>
      <c r="S29" s="201">
        <v>1.1033026104404511</v>
      </c>
      <c r="T29" s="201">
        <v>1.1189864388040098</v>
      </c>
      <c r="U29" s="201">
        <v>1.135246797775554</v>
      </c>
      <c r="V29" s="201">
        <v>1.1520776967604645</v>
      </c>
      <c r="W29" s="201">
        <v>1.1694749079306728</v>
      </c>
      <c r="X29" s="201">
        <v>1.1874357630816732</v>
      </c>
      <c r="Y29" s="201">
        <v>1.2059589821346142</v>
      </c>
      <c r="Z29" s="201">
        <v>1.2250445279429276</v>
      </c>
      <c r="AA29" s="201">
        <v>1.2446934830326639</v>
      </c>
      <c r="AB29" s="201">
        <v>1.2649079446978331</v>
      </c>
      <c r="AC29" s="201">
        <v>1.2856909355124984</v>
      </c>
      <c r="AD29" s="201">
        <v>1</v>
      </c>
      <c r="AE29" s="201">
        <v>1.0229999999999999</v>
      </c>
      <c r="AF29" s="201">
        <v>1.0465289999999996</v>
      </c>
      <c r="AG29" s="201">
        <v>1.0705991669999997</v>
      </c>
      <c r="AH29" s="201">
        <v>1.0952229478409994</v>
      </c>
      <c r="AI29" s="201">
        <v>1.1204130756413424</v>
      </c>
      <c r="AJ29" s="201">
        <v>1.1461825763810931</v>
      </c>
      <c r="AK29" s="201">
        <v>1.1725447756378584</v>
      </c>
      <c r="AL29" s="201">
        <v>1.1995133054775287</v>
      </c>
      <c r="AM29" s="201">
        <v>1.2271021115035121</v>
      </c>
      <c r="AN29" s="201">
        <v>1.2553254600680925</v>
      </c>
      <c r="AO29" s="201">
        <v>1.2841979456496584</v>
      </c>
      <c r="AP29" s="201">
        <v>1.3137344983996004</v>
      </c>
      <c r="AQ29" s="201">
        <v>1.3439503918627913</v>
      </c>
      <c r="AR29" s="201">
        <v>1.374861250875635</v>
      </c>
      <c r="AS29" s="201">
        <v>1.4064830596457747</v>
      </c>
      <c r="AT29" s="201">
        <v>1.4388321700176272</v>
      </c>
      <c r="AU29" s="201">
        <v>1</v>
      </c>
      <c r="AV29" s="201">
        <v>1.0229999999999999</v>
      </c>
      <c r="AW29" s="201">
        <v>1.0465289999999998</v>
      </c>
      <c r="AX29" s="201">
        <v>1.0573213826912558</v>
      </c>
      <c r="AY29" s="201">
        <v>1.0687898064113339</v>
      </c>
      <c r="AZ29" s="201">
        <v>1.0809089916969443</v>
      </c>
      <c r="BA29" s="201">
        <v>1.0936577958137252</v>
      </c>
      <c r="BB29" s="201">
        <v>1.1070186286995185</v>
      </c>
      <c r="BC29" s="201">
        <v>1.1209769671951606</v>
      </c>
      <c r="BD29" s="201">
        <v>1.1355209497900498</v>
      </c>
      <c r="BE29" s="201">
        <v>1.1506410374287139</v>
      </c>
      <c r="BF29" s="201">
        <v>1.1663297286293799</v>
      </c>
      <c r="BG29" s="201">
        <v>1.1825813193957089</v>
      </c>
      <c r="BH29" s="201">
        <v>1.1993917001987977</v>
      </c>
      <c r="BI29" s="201">
        <v>1.2167581837451034</v>
      </c>
      <c r="BJ29" s="201">
        <v>1.2346793584097977</v>
      </c>
      <c r="BK29" s="201">
        <v>1.2531549631497372</v>
      </c>
      <c r="BL29" s="201">
        <v>1</v>
      </c>
      <c r="BM29" s="201">
        <v>1.0075087154733169</v>
      </c>
      <c r="BN29" s="201">
        <v>1.0150174309466338</v>
      </c>
      <c r="BO29" s="201">
        <v>1.0225261464199509</v>
      </c>
      <c r="BP29" s="201">
        <v>1.0300348618932678</v>
      </c>
      <c r="BQ29" s="201">
        <v>1.0375435773665846</v>
      </c>
      <c r="BR29" s="201">
        <v>1.0450522928399046</v>
      </c>
      <c r="BS29" s="201">
        <v>1.0458970233306526</v>
      </c>
      <c r="BT29" s="201">
        <v>1.0467417538213979</v>
      </c>
      <c r="BU29" s="201">
        <v>1.0475864843121492</v>
      </c>
      <c r="BV29" s="201">
        <v>1.0484312148028971</v>
      </c>
      <c r="BW29" s="201">
        <v>1.0492759452936424</v>
      </c>
      <c r="BX29" s="201">
        <v>1.0501206757843937</v>
      </c>
      <c r="BY29" s="201">
        <v>1.0509654062751417</v>
      </c>
      <c r="BZ29" s="201">
        <v>1.0518101367658899</v>
      </c>
      <c r="CA29" s="201">
        <v>1.0526548672566383</v>
      </c>
      <c r="CB29" s="201">
        <v>1.0534995977473862</v>
      </c>
    </row>
    <row r="30" spans="1:80" x14ac:dyDescent="0.35">
      <c r="A30" t="s">
        <v>737</v>
      </c>
      <c r="B30" t="s">
        <v>861</v>
      </c>
      <c r="C30" s="206" t="s">
        <v>854</v>
      </c>
      <c r="D30" t="s">
        <v>742</v>
      </c>
      <c r="E30" s="130">
        <v>95.911955323040772</v>
      </c>
      <c r="F30" s="130">
        <f>NYSERDA_SupplyCurve_Raw[[#This Row],[Available Capacity (MWac)]]*NYSERDA_SupplyCurve_Raw[[#This Row],[2024 Weighted Avg Resource CapEx ($/kWac)]]</f>
        <v>244975.79669495294</v>
      </c>
      <c r="G30" s="130">
        <f>NYSERDA_SupplyCurve_Raw[[#This Row],[Available Capacity (MWac)]]*NYSERDA_SupplyCurve_Raw[[#This Row],[2024 Weighted Avg OpEx ($/kWac-year)]]</f>
        <v>5410.1326821270595</v>
      </c>
      <c r="H30" s="130">
        <v>2554.1737301658659</v>
      </c>
      <c r="I30" s="130">
        <v>413.46432961023174</v>
      </c>
      <c r="J30" s="130">
        <v>56.407281698149177</v>
      </c>
      <c r="K30" s="130">
        <f>NYSERDA_SupplyCurve_Raw[[#This Row],[2024 Weighted Avg Capacity Factor]]*NYSERDA_SupplyCurve_Raw[[#This Row],[Available Capacity (MWac)]]</f>
        <v>31.138681325850278</v>
      </c>
      <c r="L30" s="205">
        <v>0.32465901900312821</v>
      </c>
      <c r="M30" s="201">
        <v>1</v>
      </c>
      <c r="N30" s="201">
        <v>1.0229999999999999</v>
      </c>
      <c r="O30" s="201">
        <v>1.0465289999999996</v>
      </c>
      <c r="P30" s="201">
        <v>1.0598020575021097</v>
      </c>
      <c r="Q30" s="201">
        <v>1.0736988159192502</v>
      </c>
      <c r="R30" s="201">
        <v>1.0882033073746555</v>
      </c>
      <c r="S30" s="201">
        <v>1.1033026104404511</v>
      </c>
      <c r="T30" s="201">
        <v>1.1189864388040103</v>
      </c>
      <c r="U30" s="201">
        <v>1.135246797775554</v>
      </c>
      <c r="V30" s="201">
        <v>1.1520776967604647</v>
      </c>
      <c r="W30" s="201">
        <v>1.1694749079306728</v>
      </c>
      <c r="X30" s="201">
        <v>1.187435763081673</v>
      </c>
      <c r="Y30" s="201">
        <v>1.2059589821346142</v>
      </c>
      <c r="Z30" s="201">
        <v>1.2250445279429274</v>
      </c>
      <c r="AA30" s="201">
        <v>1.2446934830326639</v>
      </c>
      <c r="AB30" s="201">
        <v>1.2649079446978335</v>
      </c>
      <c r="AC30" s="201">
        <v>1.2856909355124984</v>
      </c>
      <c r="AD30" s="201">
        <v>1</v>
      </c>
      <c r="AE30" s="201">
        <v>1.0229999999999999</v>
      </c>
      <c r="AF30" s="201">
        <v>1.0465289999999998</v>
      </c>
      <c r="AG30" s="201">
        <v>1.0705991669999999</v>
      </c>
      <c r="AH30" s="201">
        <v>1.0952229478409994</v>
      </c>
      <c r="AI30" s="201">
        <v>1.1204130756413424</v>
      </c>
      <c r="AJ30" s="201">
        <v>1.1461825763810931</v>
      </c>
      <c r="AK30" s="201">
        <v>1.1725447756378582</v>
      </c>
      <c r="AL30" s="201">
        <v>1.1995133054775291</v>
      </c>
      <c r="AM30" s="201">
        <v>1.2271021115035121</v>
      </c>
      <c r="AN30" s="201">
        <v>1.2553254600680928</v>
      </c>
      <c r="AO30" s="201">
        <v>1.2841979456496588</v>
      </c>
      <c r="AP30" s="201">
        <v>1.3137344983996007</v>
      </c>
      <c r="AQ30" s="201">
        <v>1.3439503918627915</v>
      </c>
      <c r="AR30" s="201">
        <v>1.3748612508756353</v>
      </c>
      <c r="AS30" s="201">
        <v>1.4064830596457749</v>
      </c>
      <c r="AT30" s="201">
        <v>1.4388321700176274</v>
      </c>
      <c r="AU30" s="201">
        <v>1</v>
      </c>
      <c r="AV30" s="201">
        <v>1.0229999999999999</v>
      </c>
      <c r="AW30" s="201">
        <v>1.0465289999999998</v>
      </c>
      <c r="AX30" s="201">
        <v>1.0573213826912555</v>
      </c>
      <c r="AY30" s="201">
        <v>1.0687898064113339</v>
      </c>
      <c r="AZ30" s="201">
        <v>1.0809089916969445</v>
      </c>
      <c r="BA30" s="201">
        <v>1.0936577958137252</v>
      </c>
      <c r="BB30" s="201">
        <v>1.1070186286995187</v>
      </c>
      <c r="BC30" s="201">
        <v>1.1209769671951606</v>
      </c>
      <c r="BD30" s="201">
        <v>1.1355209497900498</v>
      </c>
      <c r="BE30" s="201">
        <v>1.1506410374287137</v>
      </c>
      <c r="BF30" s="201">
        <v>1.1663297286293799</v>
      </c>
      <c r="BG30" s="201">
        <v>1.1825813193957089</v>
      </c>
      <c r="BH30" s="201">
        <v>1.1993917001987977</v>
      </c>
      <c r="BI30" s="201">
        <v>1.2167581837451034</v>
      </c>
      <c r="BJ30" s="201">
        <v>1.2346793584097977</v>
      </c>
      <c r="BK30" s="201">
        <v>1.2531549631497372</v>
      </c>
      <c r="BL30" s="201">
        <v>1</v>
      </c>
      <c r="BM30" s="201">
        <v>1.0075087154733169</v>
      </c>
      <c r="BN30" s="201">
        <v>1.0150174309466338</v>
      </c>
      <c r="BO30" s="201">
        <v>1.0225261464199509</v>
      </c>
      <c r="BP30" s="201">
        <v>1.0300348618932678</v>
      </c>
      <c r="BQ30" s="201">
        <v>1.0375435773665846</v>
      </c>
      <c r="BR30" s="201">
        <v>1.0450522928399046</v>
      </c>
      <c r="BS30" s="201">
        <v>1.0458970233306526</v>
      </c>
      <c r="BT30" s="201">
        <v>1.0467417538213979</v>
      </c>
      <c r="BU30" s="201">
        <v>1.0475864843121492</v>
      </c>
      <c r="BV30" s="201">
        <v>1.0484312148028971</v>
      </c>
      <c r="BW30" s="201">
        <v>1.0492759452936424</v>
      </c>
      <c r="BX30" s="201">
        <v>1.0501206757843937</v>
      </c>
      <c r="BY30" s="201">
        <v>1.0509654062751417</v>
      </c>
      <c r="BZ30" s="201">
        <v>1.0518101367658899</v>
      </c>
      <c r="CA30" s="201">
        <v>1.0526548672566383</v>
      </c>
      <c r="CB30" s="201">
        <v>1.0534995977473862</v>
      </c>
    </row>
    <row r="31" spans="1:80" x14ac:dyDescent="0.35">
      <c r="A31" t="s">
        <v>737</v>
      </c>
      <c r="B31" t="s">
        <v>862</v>
      </c>
      <c r="C31" s="206" t="s">
        <v>845</v>
      </c>
      <c r="D31" t="s">
        <v>736</v>
      </c>
      <c r="E31" s="130">
        <v>197.04832512413753</v>
      </c>
      <c r="F31" s="130">
        <f>NYSERDA_SupplyCurve_Raw[[#This Row],[Available Capacity (MWac)]]*NYSERDA_SupplyCurve_Raw[[#This Row],[2024 Weighted Avg Resource CapEx ($/kWac)]]</f>
        <v>493477.54021827329</v>
      </c>
      <c r="G31" s="130">
        <f>NYSERDA_SupplyCurve_Raw[[#This Row],[Available Capacity (MWac)]]*NYSERDA_SupplyCurve_Raw[[#This Row],[2024 Weighted Avg OpEx ($/kWac-year)]]</f>
        <v>11053.207588650705</v>
      </c>
      <c r="H31" s="130">
        <v>2504.3478035521985</v>
      </c>
      <c r="I31" s="130">
        <v>228.70278877527718</v>
      </c>
      <c r="J31" s="130">
        <v>56.093892610796601</v>
      </c>
      <c r="K31" s="130">
        <f>NYSERDA_SupplyCurve_Raw[[#This Row],[2024 Weighted Avg Capacity Factor]]*NYSERDA_SupplyCurve_Raw[[#This Row],[Available Capacity (MWac)]]</f>
        <v>76.710662627413072</v>
      </c>
      <c r="L31" s="205">
        <v>0.38929872953290257</v>
      </c>
      <c r="M31" s="201">
        <v>1</v>
      </c>
      <c r="N31" s="201">
        <v>1.0230000000000001</v>
      </c>
      <c r="O31" s="201">
        <v>1.0465289999999998</v>
      </c>
      <c r="P31" s="201">
        <v>1.0598020575021094</v>
      </c>
      <c r="Q31" s="201">
        <v>1.0736988159192504</v>
      </c>
      <c r="R31" s="201">
        <v>1.0882033073746558</v>
      </c>
      <c r="S31" s="201">
        <v>1.1033026104404513</v>
      </c>
      <c r="T31" s="201">
        <v>1.1189864388040103</v>
      </c>
      <c r="U31" s="201">
        <v>1.135246797775554</v>
      </c>
      <c r="V31" s="201">
        <v>1.1520776967604647</v>
      </c>
      <c r="W31" s="201">
        <v>1.1694749079306728</v>
      </c>
      <c r="X31" s="201">
        <v>1.1874357630816732</v>
      </c>
      <c r="Y31" s="201">
        <v>1.2059589821346139</v>
      </c>
      <c r="Z31" s="201">
        <v>1.2250445279429274</v>
      </c>
      <c r="AA31" s="201">
        <v>1.2446934830326639</v>
      </c>
      <c r="AB31" s="201">
        <v>1.2649079446978335</v>
      </c>
      <c r="AC31" s="201">
        <v>1.2856909355124988</v>
      </c>
      <c r="AD31" s="201">
        <v>1</v>
      </c>
      <c r="AE31" s="201">
        <v>1.0229999999999997</v>
      </c>
      <c r="AF31" s="201">
        <v>1.0465289999999996</v>
      </c>
      <c r="AG31" s="201">
        <v>1.0705991669999995</v>
      </c>
      <c r="AH31" s="201">
        <v>1.0952229478409994</v>
      </c>
      <c r="AI31" s="201">
        <v>1.1204130756413422</v>
      </c>
      <c r="AJ31" s="201">
        <v>1.1461825763810931</v>
      </c>
      <c r="AK31" s="201">
        <v>1.172544775637858</v>
      </c>
      <c r="AL31" s="201">
        <v>1.1995133054775287</v>
      </c>
      <c r="AM31" s="201">
        <v>1.2271021115035119</v>
      </c>
      <c r="AN31" s="201">
        <v>1.2553254600680923</v>
      </c>
      <c r="AO31" s="201">
        <v>1.2841979456496586</v>
      </c>
      <c r="AP31" s="201">
        <v>1.3137344983996004</v>
      </c>
      <c r="AQ31" s="201">
        <v>1.3439503918627913</v>
      </c>
      <c r="AR31" s="201">
        <v>1.374861250875635</v>
      </c>
      <c r="AS31" s="201">
        <v>1.4064830596457747</v>
      </c>
      <c r="AT31" s="201">
        <v>1.4388321700176272</v>
      </c>
      <c r="AU31" s="201">
        <v>1</v>
      </c>
      <c r="AV31" s="201">
        <v>1.0229999999999999</v>
      </c>
      <c r="AW31" s="201">
        <v>1.0465289999999998</v>
      </c>
      <c r="AX31" s="201">
        <v>1.0573213826912555</v>
      </c>
      <c r="AY31" s="201">
        <v>1.0687898064113339</v>
      </c>
      <c r="AZ31" s="201">
        <v>1.0809089916969445</v>
      </c>
      <c r="BA31" s="201">
        <v>1.0936577958137252</v>
      </c>
      <c r="BB31" s="201">
        <v>1.1070186286995187</v>
      </c>
      <c r="BC31" s="201">
        <v>1.1209769671951606</v>
      </c>
      <c r="BD31" s="201">
        <v>1.1355209497900498</v>
      </c>
      <c r="BE31" s="201">
        <v>1.1506410374287139</v>
      </c>
      <c r="BF31" s="201">
        <v>1.1663297286293799</v>
      </c>
      <c r="BG31" s="201">
        <v>1.1825813193957089</v>
      </c>
      <c r="BH31" s="201">
        <v>1.1993917001987977</v>
      </c>
      <c r="BI31" s="201">
        <v>1.2167581837451034</v>
      </c>
      <c r="BJ31" s="201">
        <v>1.2346793584097977</v>
      </c>
      <c r="BK31" s="201">
        <v>1.2531549631497372</v>
      </c>
      <c r="BL31" s="201">
        <v>1</v>
      </c>
      <c r="BM31" s="201">
        <v>1.0075087154733169</v>
      </c>
      <c r="BN31" s="201">
        <v>1.0150174309466338</v>
      </c>
      <c r="BO31" s="201">
        <v>1.0225261464199509</v>
      </c>
      <c r="BP31" s="201">
        <v>1.0300348618932678</v>
      </c>
      <c r="BQ31" s="201">
        <v>1.0375435773665846</v>
      </c>
      <c r="BR31" s="201">
        <v>1.0450522928399046</v>
      </c>
      <c r="BS31" s="201">
        <v>1.0458970233306526</v>
      </c>
      <c r="BT31" s="201">
        <v>1.0467417538213979</v>
      </c>
      <c r="BU31" s="201">
        <v>1.0475864843121492</v>
      </c>
      <c r="BV31" s="201">
        <v>1.0484312148028971</v>
      </c>
      <c r="BW31" s="201">
        <v>1.0492759452936424</v>
      </c>
      <c r="BX31" s="201">
        <v>1.0501206757843937</v>
      </c>
      <c r="BY31" s="201">
        <v>1.0509654062751417</v>
      </c>
      <c r="BZ31" s="201">
        <v>1.0518101367658899</v>
      </c>
      <c r="CA31" s="201">
        <v>1.0526548672566383</v>
      </c>
      <c r="CB31" s="201">
        <v>1.0534995977473862</v>
      </c>
    </row>
    <row r="32" spans="1:80" x14ac:dyDescent="0.35">
      <c r="A32" t="s">
        <v>737</v>
      </c>
      <c r="B32" t="s">
        <v>863</v>
      </c>
      <c r="C32" s="206" t="s">
        <v>854</v>
      </c>
      <c r="D32" t="s">
        <v>736</v>
      </c>
      <c r="E32" s="130">
        <v>408.78434330385863</v>
      </c>
      <c r="F32" s="130">
        <f>NYSERDA_SupplyCurve_Raw[[#This Row],[Available Capacity (MWac)]]*NYSERDA_SupplyCurve_Raw[[#This Row],[2024 Weighted Avg Resource CapEx ($/kWac)]]</f>
        <v>1037731.4242427485</v>
      </c>
      <c r="G32" s="130">
        <f>NYSERDA_SupplyCurve_Raw[[#This Row],[Available Capacity (MWac)]]*NYSERDA_SupplyCurve_Raw[[#This Row],[2024 Weighted Avg OpEx ($/kWac-year)]]</f>
        <v>23432.06355066039</v>
      </c>
      <c r="H32" s="130">
        <v>2538.5791829883742</v>
      </c>
      <c r="I32" s="130">
        <v>149.62450558380235</v>
      </c>
      <c r="J32" s="130">
        <v>57.321333202927512</v>
      </c>
      <c r="K32" s="130">
        <f>NYSERDA_SupplyCurve_Raw[[#This Row],[2024 Weighted Avg Capacity Factor]]*NYSERDA_SupplyCurve_Raw[[#This Row],[Available Capacity (MWac)]]</f>
        <v>151.7059911634407</v>
      </c>
      <c r="L32" s="205">
        <v>0.37111497455438064</v>
      </c>
      <c r="M32" s="201">
        <v>1</v>
      </c>
      <c r="N32" s="201">
        <v>1.0229999999999997</v>
      </c>
      <c r="O32" s="201">
        <v>1.0465289999999996</v>
      </c>
      <c r="P32" s="201">
        <v>1.0598020575021092</v>
      </c>
      <c r="Q32" s="201">
        <v>1.0736988159192502</v>
      </c>
      <c r="R32" s="201">
        <v>1.0882033073746555</v>
      </c>
      <c r="S32" s="201">
        <v>1.1033026104404511</v>
      </c>
      <c r="T32" s="201">
        <v>1.1189864388040098</v>
      </c>
      <c r="U32" s="201">
        <v>1.1352467977755538</v>
      </c>
      <c r="V32" s="201">
        <v>1.1520776967604642</v>
      </c>
      <c r="W32" s="201">
        <v>1.1694749079306725</v>
      </c>
      <c r="X32" s="201">
        <v>1.187435763081673</v>
      </c>
      <c r="Y32" s="201">
        <v>1.2059589821346139</v>
      </c>
      <c r="Z32" s="201">
        <v>1.2250445279429272</v>
      </c>
      <c r="AA32" s="201">
        <v>1.2446934830326637</v>
      </c>
      <c r="AB32" s="201">
        <v>1.2649079446978335</v>
      </c>
      <c r="AC32" s="201">
        <v>1.2856909355124986</v>
      </c>
      <c r="AD32" s="201">
        <v>1</v>
      </c>
      <c r="AE32" s="201">
        <v>1.0229999999999999</v>
      </c>
      <c r="AF32" s="201">
        <v>1.0465289999999998</v>
      </c>
      <c r="AG32" s="201">
        <v>1.0705991669999997</v>
      </c>
      <c r="AH32" s="201">
        <v>1.0952229478409996</v>
      </c>
      <c r="AI32" s="201">
        <v>1.1204130756413428</v>
      </c>
      <c r="AJ32" s="201">
        <v>1.1461825763810931</v>
      </c>
      <c r="AK32" s="201">
        <v>1.1725447756378582</v>
      </c>
      <c r="AL32" s="201">
        <v>1.1995133054775289</v>
      </c>
      <c r="AM32" s="201">
        <v>1.2271021115035117</v>
      </c>
      <c r="AN32" s="201">
        <v>1.2553254600680928</v>
      </c>
      <c r="AO32" s="201">
        <v>1.2841979456496588</v>
      </c>
      <c r="AP32" s="201">
        <v>1.3137344983996007</v>
      </c>
      <c r="AQ32" s="201">
        <v>1.3439503918627915</v>
      </c>
      <c r="AR32" s="201">
        <v>1.374861250875635</v>
      </c>
      <c r="AS32" s="201">
        <v>1.4064830596457747</v>
      </c>
      <c r="AT32" s="201">
        <v>1.4388321700176274</v>
      </c>
      <c r="AU32" s="201">
        <v>1</v>
      </c>
      <c r="AV32" s="201">
        <v>1.0229999999999999</v>
      </c>
      <c r="AW32" s="201">
        <v>1.0465289999999996</v>
      </c>
      <c r="AX32" s="201">
        <v>1.0573213826912555</v>
      </c>
      <c r="AY32" s="201">
        <v>1.0687898064113337</v>
      </c>
      <c r="AZ32" s="201">
        <v>1.0809089916969443</v>
      </c>
      <c r="BA32" s="201">
        <v>1.0936577958137252</v>
      </c>
      <c r="BB32" s="201">
        <v>1.1070186286995183</v>
      </c>
      <c r="BC32" s="201">
        <v>1.1209769671951606</v>
      </c>
      <c r="BD32" s="201">
        <v>1.1355209497900496</v>
      </c>
      <c r="BE32" s="201">
        <v>1.1506410374287137</v>
      </c>
      <c r="BF32" s="201">
        <v>1.1663297286293797</v>
      </c>
      <c r="BG32" s="201">
        <v>1.1825813193957087</v>
      </c>
      <c r="BH32" s="201">
        <v>1.1993917001987975</v>
      </c>
      <c r="BI32" s="201">
        <v>1.2167581837451036</v>
      </c>
      <c r="BJ32" s="201">
        <v>1.2346793584097975</v>
      </c>
      <c r="BK32" s="201">
        <v>1.253154963149737</v>
      </c>
      <c r="BL32" s="201">
        <v>1</v>
      </c>
      <c r="BM32" s="201">
        <v>1.0075087154733169</v>
      </c>
      <c r="BN32" s="201">
        <v>1.0150174309466338</v>
      </c>
      <c r="BO32" s="201">
        <v>1.0225261464199509</v>
      </c>
      <c r="BP32" s="201">
        <v>1.0300348618932678</v>
      </c>
      <c r="BQ32" s="201">
        <v>1.0375435773665846</v>
      </c>
      <c r="BR32" s="201">
        <v>1.0450522928399046</v>
      </c>
      <c r="BS32" s="201">
        <v>1.0458970233306526</v>
      </c>
      <c r="BT32" s="201">
        <v>1.0467417538213979</v>
      </c>
      <c r="BU32" s="201">
        <v>1.0475864843121492</v>
      </c>
      <c r="BV32" s="201">
        <v>1.0484312148028971</v>
      </c>
      <c r="BW32" s="201">
        <v>1.0492759452936424</v>
      </c>
      <c r="BX32" s="201">
        <v>1.0501206757843937</v>
      </c>
      <c r="BY32" s="201">
        <v>1.0509654062751417</v>
      </c>
      <c r="BZ32" s="201">
        <v>1.0518101367658899</v>
      </c>
      <c r="CA32" s="201">
        <v>1.0526548672566383</v>
      </c>
      <c r="CB32" s="201">
        <v>1.0534995977473862</v>
      </c>
    </row>
    <row r="33" spans="1:80" x14ac:dyDescent="0.35">
      <c r="A33" t="s">
        <v>737</v>
      </c>
      <c r="B33" t="s">
        <v>864</v>
      </c>
      <c r="C33" s="206" t="s">
        <v>841</v>
      </c>
      <c r="D33" t="s">
        <v>736</v>
      </c>
      <c r="E33" s="130">
        <v>49.408861461726794</v>
      </c>
      <c r="F33" s="130">
        <f>NYSERDA_SupplyCurve_Raw[[#This Row],[Available Capacity (MWac)]]*NYSERDA_SupplyCurve_Raw[[#This Row],[2024 Weighted Avg Resource CapEx ($/kWac)]]</f>
        <v>180089.54368236221</v>
      </c>
      <c r="G33" s="130">
        <f>NYSERDA_SupplyCurve_Raw[[#This Row],[Available Capacity (MWac)]]*NYSERDA_SupplyCurve_Raw[[#This Row],[2024 Weighted Avg OpEx ($/kWac-year)]]</f>
        <v>2771.5353688558293</v>
      </c>
      <c r="H33" s="130">
        <v>3644.8834956835344</v>
      </c>
      <c r="I33" s="130">
        <v>121.16308509306525</v>
      </c>
      <c r="J33" s="130">
        <v>56.093892610796594</v>
      </c>
      <c r="K33" s="130">
        <f>NYSERDA_SupplyCurve_Raw[[#This Row],[2024 Weighted Avg Capacity Factor]]*NYSERDA_SupplyCurve_Raw[[#This Row],[Available Capacity (MWac)]]</f>
        <v>18.259412181745557</v>
      </c>
      <c r="L33" s="205">
        <v>0.36955743649121936</v>
      </c>
      <c r="M33" s="201">
        <v>1</v>
      </c>
      <c r="N33" s="201">
        <v>1.0229999999999999</v>
      </c>
      <c r="O33" s="201">
        <v>1.0465289999999996</v>
      </c>
      <c r="P33" s="201">
        <v>1.0598020575021097</v>
      </c>
      <c r="Q33" s="201">
        <v>1.0736988159192502</v>
      </c>
      <c r="R33" s="201">
        <v>1.0882033073746558</v>
      </c>
      <c r="S33" s="201">
        <v>1.1033026104404513</v>
      </c>
      <c r="T33" s="201">
        <v>1.1189864388040101</v>
      </c>
      <c r="U33" s="201">
        <v>1.135246797775554</v>
      </c>
      <c r="V33" s="201">
        <v>1.1520776967604647</v>
      </c>
      <c r="W33" s="201">
        <v>1.1694749079306728</v>
      </c>
      <c r="X33" s="201">
        <v>1.187435763081673</v>
      </c>
      <c r="Y33" s="201">
        <v>1.2059589821346139</v>
      </c>
      <c r="Z33" s="201">
        <v>1.2250445279429276</v>
      </c>
      <c r="AA33" s="201">
        <v>1.2446934830326641</v>
      </c>
      <c r="AB33" s="201">
        <v>1.2649079446978335</v>
      </c>
      <c r="AC33" s="201">
        <v>1.2856909355124986</v>
      </c>
      <c r="AD33" s="201">
        <v>1</v>
      </c>
      <c r="AE33" s="201">
        <v>1.0229999999999999</v>
      </c>
      <c r="AF33" s="201">
        <v>1.0465289999999998</v>
      </c>
      <c r="AG33" s="201">
        <v>1.0705991669999995</v>
      </c>
      <c r="AH33" s="201">
        <v>1.0952229478409994</v>
      </c>
      <c r="AI33" s="201">
        <v>1.1204130756413424</v>
      </c>
      <c r="AJ33" s="201">
        <v>1.1461825763810933</v>
      </c>
      <c r="AK33" s="201">
        <v>1.172544775637858</v>
      </c>
      <c r="AL33" s="201">
        <v>1.1995133054775289</v>
      </c>
      <c r="AM33" s="201">
        <v>1.2271021115035117</v>
      </c>
      <c r="AN33" s="201">
        <v>1.2553254600680925</v>
      </c>
      <c r="AO33" s="201">
        <v>1.2841979456496586</v>
      </c>
      <c r="AP33" s="201">
        <v>1.3137344983996004</v>
      </c>
      <c r="AQ33" s="201">
        <v>1.3439503918627915</v>
      </c>
      <c r="AR33" s="201">
        <v>1.374861250875635</v>
      </c>
      <c r="AS33" s="201">
        <v>1.4064830596457747</v>
      </c>
      <c r="AT33" s="201">
        <v>1.4388321700176276</v>
      </c>
      <c r="AU33" s="201">
        <v>1</v>
      </c>
      <c r="AV33" s="201">
        <v>1.0230000000000001</v>
      </c>
      <c r="AW33" s="201">
        <v>1.046529</v>
      </c>
      <c r="AX33" s="201">
        <v>1.0573213826912558</v>
      </c>
      <c r="AY33" s="201">
        <v>1.0687898064113341</v>
      </c>
      <c r="AZ33" s="201">
        <v>1.0809089916969443</v>
      </c>
      <c r="BA33" s="201">
        <v>1.0936577958137255</v>
      </c>
      <c r="BB33" s="201">
        <v>1.1070186286995187</v>
      </c>
      <c r="BC33" s="201">
        <v>1.1209769671951608</v>
      </c>
      <c r="BD33" s="201">
        <v>1.13552094979005</v>
      </c>
      <c r="BE33" s="201">
        <v>1.1506410374287142</v>
      </c>
      <c r="BF33" s="201">
        <v>1.1663297286293801</v>
      </c>
      <c r="BG33" s="201">
        <v>1.1825813193957091</v>
      </c>
      <c r="BH33" s="201">
        <v>1.1993917001987981</v>
      </c>
      <c r="BI33" s="201">
        <v>1.2167581837451038</v>
      </c>
      <c r="BJ33" s="201">
        <v>1.2346793584097979</v>
      </c>
      <c r="BK33" s="201">
        <v>1.2531549631497374</v>
      </c>
      <c r="BL33" s="201">
        <v>1</v>
      </c>
      <c r="BM33" s="201">
        <v>1.0075087154733169</v>
      </c>
      <c r="BN33" s="201">
        <v>1.0150174309466338</v>
      </c>
      <c r="BO33" s="201">
        <v>1.0225261464199509</v>
      </c>
      <c r="BP33" s="201">
        <v>1.0300348618932678</v>
      </c>
      <c r="BQ33" s="201">
        <v>1.0375435773665846</v>
      </c>
      <c r="BR33" s="201">
        <v>1.0450522928399046</v>
      </c>
      <c r="BS33" s="201">
        <v>1.0458970233306526</v>
      </c>
      <c r="BT33" s="201">
        <v>1.0467417538213979</v>
      </c>
      <c r="BU33" s="201">
        <v>1.0475864843121492</v>
      </c>
      <c r="BV33" s="201">
        <v>1.0484312148028971</v>
      </c>
      <c r="BW33" s="201">
        <v>1.0492759452936424</v>
      </c>
      <c r="BX33" s="201">
        <v>1.0501206757843937</v>
      </c>
      <c r="BY33" s="201">
        <v>1.0509654062751417</v>
      </c>
      <c r="BZ33" s="201">
        <v>1.0518101367658899</v>
      </c>
      <c r="CA33" s="201">
        <v>1.0526548672566383</v>
      </c>
      <c r="CB33" s="201">
        <v>1.0534995977473862</v>
      </c>
    </row>
    <row r="34" spans="1:80" x14ac:dyDescent="0.35">
      <c r="A34" t="s">
        <v>737</v>
      </c>
      <c r="B34" t="s">
        <v>865</v>
      </c>
      <c r="C34" s="206" t="s">
        <v>839</v>
      </c>
      <c r="D34" t="s">
        <v>736</v>
      </c>
      <c r="E34" s="130">
        <v>124.97849960057466</v>
      </c>
      <c r="F34" s="130">
        <f>NYSERDA_SupplyCurve_Raw[[#This Row],[Available Capacity (MWac)]]*NYSERDA_SupplyCurve_Raw[[#This Row],[2024 Weighted Avg Resource CapEx ($/kWac)]]</f>
        <v>339755.45941301936</v>
      </c>
      <c r="G34" s="130">
        <f>NYSERDA_SupplyCurve_Raw[[#This Row],[Available Capacity (MWac)]]*NYSERDA_SupplyCurve_Raw[[#This Row],[2024 Weighted Avg OpEx ($/kWac-year)]]</f>
        <v>7245.5319228242261</v>
      </c>
      <c r="H34" s="130">
        <v>2718.5112679289768</v>
      </c>
      <c r="I34" s="130">
        <v>84.888914958675599</v>
      </c>
      <c r="J34" s="130">
        <v>57.974227134912013</v>
      </c>
      <c r="K34" s="130">
        <f>NYSERDA_SupplyCurve_Raw[[#This Row],[2024 Weighted Avg Capacity Factor]]*NYSERDA_SupplyCurve_Raw[[#This Row],[Available Capacity (MWac)]]</f>
        <v>43.936829298746623</v>
      </c>
      <c r="L34" s="205">
        <v>0.35155510299104759</v>
      </c>
      <c r="M34" s="201">
        <v>1</v>
      </c>
      <c r="N34" s="201">
        <v>1.0229999999999999</v>
      </c>
      <c r="O34" s="201">
        <v>1.0465289999999996</v>
      </c>
      <c r="P34" s="201">
        <v>1.0598020575021097</v>
      </c>
      <c r="Q34" s="201">
        <v>1.0736988159192502</v>
      </c>
      <c r="R34" s="201">
        <v>1.088203307374656</v>
      </c>
      <c r="S34" s="201">
        <v>1.1033026104404513</v>
      </c>
      <c r="T34" s="201">
        <v>1.1189864388040101</v>
      </c>
      <c r="U34" s="201">
        <v>1.135246797775554</v>
      </c>
      <c r="V34" s="201">
        <v>1.1520776967604645</v>
      </c>
      <c r="W34" s="201">
        <v>1.169474907930673</v>
      </c>
      <c r="X34" s="201">
        <v>1.1874357630816732</v>
      </c>
      <c r="Y34" s="201">
        <v>1.2059589821346142</v>
      </c>
      <c r="Z34" s="201">
        <v>1.2250445279429274</v>
      </c>
      <c r="AA34" s="201">
        <v>1.2446934830326641</v>
      </c>
      <c r="AB34" s="201">
        <v>1.2649079446978335</v>
      </c>
      <c r="AC34" s="201">
        <v>1.2856909355124984</v>
      </c>
      <c r="AD34" s="201">
        <v>1</v>
      </c>
      <c r="AE34" s="201">
        <v>1.0229999999999999</v>
      </c>
      <c r="AF34" s="201">
        <v>1.046529</v>
      </c>
      <c r="AG34" s="201">
        <v>1.0705991669999997</v>
      </c>
      <c r="AH34" s="201">
        <v>1.0952229478409996</v>
      </c>
      <c r="AI34" s="201">
        <v>1.1204130756413426</v>
      </c>
      <c r="AJ34" s="201">
        <v>1.1461825763810933</v>
      </c>
      <c r="AK34" s="201">
        <v>1.1725447756378582</v>
      </c>
      <c r="AL34" s="201">
        <v>1.1995133054775289</v>
      </c>
      <c r="AM34" s="201">
        <v>1.2271021115035121</v>
      </c>
      <c r="AN34" s="201">
        <v>1.2553254600680928</v>
      </c>
      <c r="AO34" s="201">
        <v>1.2841979456496588</v>
      </c>
      <c r="AP34" s="201">
        <v>1.3137344983996007</v>
      </c>
      <c r="AQ34" s="201">
        <v>1.3439503918627913</v>
      </c>
      <c r="AR34" s="201">
        <v>1.3748612508756355</v>
      </c>
      <c r="AS34" s="201">
        <v>1.4064830596457747</v>
      </c>
      <c r="AT34" s="201">
        <v>1.4388321700176276</v>
      </c>
      <c r="AU34" s="201">
        <v>1</v>
      </c>
      <c r="AV34" s="201">
        <v>1.0229999999999999</v>
      </c>
      <c r="AW34" s="201">
        <v>1.0465289999999998</v>
      </c>
      <c r="AX34" s="201">
        <v>1.0573213826912555</v>
      </c>
      <c r="AY34" s="201">
        <v>1.0687898064113339</v>
      </c>
      <c r="AZ34" s="201">
        <v>1.0809089916969445</v>
      </c>
      <c r="BA34" s="201">
        <v>1.0936577958137252</v>
      </c>
      <c r="BB34" s="201">
        <v>1.1070186286995185</v>
      </c>
      <c r="BC34" s="201">
        <v>1.1209769671951604</v>
      </c>
      <c r="BD34" s="201">
        <v>1.1355209497900498</v>
      </c>
      <c r="BE34" s="201">
        <v>1.1506410374287139</v>
      </c>
      <c r="BF34" s="201">
        <v>1.1663297286293799</v>
      </c>
      <c r="BG34" s="201">
        <v>1.1825813193957089</v>
      </c>
      <c r="BH34" s="201">
        <v>1.1993917001987979</v>
      </c>
      <c r="BI34" s="201">
        <v>1.2167581837451036</v>
      </c>
      <c r="BJ34" s="201">
        <v>1.2346793584097973</v>
      </c>
      <c r="BK34" s="201">
        <v>1.2531549631497372</v>
      </c>
      <c r="BL34" s="201">
        <v>1</v>
      </c>
      <c r="BM34" s="201">
        <v>1.0075087154733169</v>
      </c>
      <c r="BN34" s="201">
        <v>1.0150174309466338</v>
      </c>
      <c r="BO34" s="201">
        <v>1.0225261464199509</v>
      </c>
      <c r="BP34" s="201">
        <v>1.0300348618932678</v>
      </c>
      <c r="BQ34" s="201">
        <v>1.0375435773665846</v>
      </c>
      <c r="BR34" s="201">
        <v>1.0450522928399046</v>
      </c>
      <c r="BS34" s="201">
        <v>1.0458970233306526</v>
      </c>
      <c r="BT34" s="201">
        <v>1.0467417538213979</v>
      </c>
      <c r="BU34" s="201">
        <v>1.0475864843121492</v>
      </c>
      <c r="BV34" s="201">
        <v>1.0484312148028971</v>
      </c>
      <c r="BW34" s="201">
        <v>1.0492759452936424</v>
      </c>
      <c r="BX34" s="201">
        <v>1.0501206757843937</v>
      </c>
      <c r="BY34" s="201">
        <v>1.0509654062751417</v>
      </c>
      <c r="BZ34" s="201">
        <v>1.0518101367658899</v>
      </c>
      <c r="CA34" s="201">
        <v>1.0526548672566383</v>
      </c>
      <c r="CB34" s="201">
        <v>1.0534995977473862</v>
      </c>
    </row>
    <row r="35" spans="1:80" x14ac:dyDescent="0.35">
      <c r="A35" t="s">
        <v>737</v>
      </c>
      <c r="B35" t="s">
        <v>866</v>
      </c>
      <c r="C35" s="206" t="s">
        <v>845</v>
      </c>
      <c r="D35" t="s">
        <v>736</v>
      </c>
      <c r="E35" s="130">
        <v>179.34664269723405</v>
      </c>
      <c r="F35" s="130">
        <f>NYSERDA_SupplyCurve_Raw[[#This Row],[Available Capacity (MWac)]]*NYSERDA_SupplyCurve_Raw[[#This Row],[2024 Weighted Avg Resource CapEx ($/kWac)]]</f>
        <v>449048.69012320274</v>
      </c>
      <c r="G35" s="130">
        <f>NYSERDA_SupplyCurve_Raw[[#This Row],[Available Capacity (MWac)]]*NYSERDA_SupplyCurve_Raw[[#This Row],[2024 Weighted Avg OpEx ($/kWac-year)]]</f>
        <v>10121.14036962974</v>
      </c>
      <c r="H35" s="130">
        <v>2503.8031566683358</v>
      </c>
      <c r="I35" s="130">
        <v>162.06876188254518</v>
      </c>
      <c r="J35" s="130">
        <v>56.433397455428548</v>
      </c>
      <c r="K35" s="130">
        <f>NYSERDA_SupplyCurve_Raw[[#This Row],[2024 Weighted Avg Capacity Factor]]*NYSERDA_SupplyCurve_Raw[[#This Row],[Available Capacity (MWac)]]</f>
        <v>65.354551541050355</v>
      </c>
      <c r="L35" s="205">
        <v>0.36440354030702066</v>
      </c>
      <c r="M35" s="201">
        <v>1</v>
      </c>
      <c r="N35" s="201">
        <v>1.0229999999999999</v>
      </c>
      <c r="O35" s="201">
        <v>1.0465289999999998</v>
      </c>
      <c r="P35" s="201">
        <v>1.0598020575021094</v>
      </c>
      <c r="Q35" s="201">
        <v>1.0736988159192502</v>
      </c>
      <c r="R35" s="201">
        <v>1.0882033073746558</v>
      </c>
      <c r="S35" s="201">
        <v>1.1033026104404513</v>
      </c>
      <c r="T35" s="201">
        <v>1.1189864388040101</v>
      </c>
      <c r="U35" s="201">
        <v>1.135246797775554</v>
      </c>
      <c r="V35" s="201">
        <v>1.1520776967604647</v>
      </c>
      <c r="W35" s="201">
        <v>1.1694749079306728</v>
      </c>
      <c r="X35" s="201">
        <v>1.187435763081673</v>
      </c>
      <c r="Y35" s="201">
        <v>1.2059589821346139</v>
      </c>
      <c r="Z35" s="201">
        <v>1.2250445279429274</v>
      </c>
      <c r="AA35" s="201">
        <v>1.2446934830326639</v>
      </c>
      <c r="AB35" s="201">
        <v>1.2649079446978335</v>
      </c>
      <c r="AC35" s="201">
        <v>1.2856909355124984</v>
      </c>
      <c r="AD35" s="201">
        <v>1</v>
      </c>
      <c r="AE35" s="201">
        <v>1.0229999999999999</v>
      </c>
      <c r="AF35" s="201">
        <v>1.046529</v>
      </c>
      <c r="AG35" s="201">
        <v>1.0705991669999997</v>
      </c>
      <c r="AH35" s="201">
        <v>1.0952229478409996</v>
      </c>
      <c r="AI35" s="201">
        <v>1.1204130756413426</v>
      </c>
      <c r="AJ35" s="201">
        <v>1.1461825763810933</v>
      </c>
      <c r="AK35" s="201">
        <v>1.1725447756378582</v>
      </c>
      <c r="AL35" s="201">
        <v>1.1995133054775289</v>
      </c>
      <c r="AM35" s="201">
        <v>1.2271021115035119</v>
      </c>
      <c r="AN35" s="201">
        <v>1.2553254600680928</v>
      </c>
      <c r="AO35" s="201">
        <v>1.2841979456496588</v>
      </c>
      <c r="AP35" s="201">
        <v>1.3137344983996007</v>
      </c>
      <c r="AQ35" s="201">
        <v>1.3439503918627915</v>
      </c>
      <c r="AR35" s="201">
        <v>1.3748612508756355</v>
      </c>
      <c r="AS35" s="201">
        <v>1.4064830596457747</v>
      </c>
      <c r="AT35" s="201">
        <v>1.4388321700176274</v>
      </c>
      <c r="AU35" s="201">
        <v>1</v>
      </c>
      <c r="AV35" s="201">
        <v>1.0229999999999999</v>
      </c>
      <c r="AW35" s="201">
        <v>1.0465289999999998</v>
      </c>
      <c r="AX35" s="201">
        <v>1.0573213826912555</v>
      </c>
      <c r="AY35" s="201">
        <v>1.0687898064113339</v>
      </c>
      <c r="AZ35" s="201">
        <v>1.0809089916969445</v>
      </c>
      <c r="BA35" s="201">
        <v>1.0936577958137255</v>
      </c>
      <c r="BB35" s="201">
        <v>1.1070186286995185</v>
      </c>
      <c r="BC35" s="201">
        <v>1.1209769671951608</v>
      </c>
      <c r="BD35" s="201">
        <v>1.1355209497900498</v>
      </c>
      <c r="BE35" s="201">
        <v>1.1506410374287139</v>
      </c>
      <c r="BF35" s="201">
        <v>1.1663297286293799</v>
      </c>
      <c r="BG35" s="201">
        <v>1.1825813193957089</v>
      </c>
      <c r="BH35" s="201">
        <v>1.1993917001987979</v>
      </c>
      <c r="BI35" s="201">
        <v>1.2167581837451034</v>
      </c>
      <c r="BJ35" s="201">
        <v>1.2346793584097979</v>
      </c>
      <c r="BK35" s="201">
        <v>1.253154963149737</v>
      </c>
      <c r="BL35" s="201">
        <v>1</v>
      </c>
      <c r="BM35" s="201">
        <v>1.0075087154733169</v>
      </c>
      <c r="BN35" s="201">
        <v>1.0150174309466338</v>
      </c>
      <c r="BO35" s="201">
        <v>1.0225261464199509</v>
      </c>
      <c r="BP35" s="201">
        <v>1.0300348618932678</v>
      </c>
      <c r="BQ35" s="201">
        <v>1.0375435773665846</v>
      </c>
      <c r="BR35" s="201">
        <v>1.0450522928399046</v>
      </c>
      <c r="BS35" s="201">
        <v>1.0458970233306526</v>
      </c>
      <c r="BT35" s="201">
        <v>1.0467417538213979</v>
      </c>
      <c r="BU35" s="201">
        <v>1.0475864843121492</v>
      </c>
      <c r="BV35" s="201">
        <v>1.0484312148028971</v>
      </c>
      <c r="BW35" s="201">
        <v>1.0492759452936424</v>
      </c>
      <c r="BX35" s="201">
        <v>1.0501206757843937</v>
      </c>
      <c r="BY35" s="201">
        <v>1.0509654062751417</v>
      </c>
      <c r="BZ35" s="201">
        <v>1.0518101367658899</v>
      </c>
      <c r="CA35" s="201">
        <v>1.0526548672566383</v>
      </c>
      <c r="CB35" s="201">
        <v>1.0534995977473862</v>
      </c>
    </row>
    <row r="36" spans="1:80" x14ac:dyDescent="0.35">
      <c r="A36" t="s">
        <v>737</v>
      </c>
      <c r="B36" t="s">
        <v>867</v>
      </c>
      <c r="C36" s="206" t="s">
        <v>854</v>
      </c>
      <c r="D36" t="s">
        <v>736</v>
      </c>
      <c r="E36" s="130">
        <v>386.78308259161088</v>
      </c>
      <c r="F36" s="130">
        <f>NYSERDA_SupplyCurve_Raw[[#This Row],[Available Capacity (MWac)]]*NYSERDA_SupplyCurve_Raw[[#This Row],[2024 Weighted Avg Resource CapEx ($/kWac)]]</f>
        <v>951717.05674192356</v>
      </c>
      <c r="G36" s="130">
        <f>NYSERDA_SupplyCurve_Raw[[#This Row],[Available Capacity (MWac)]]*NYSERDA_SupplyCurve_Raw[[#This Row],[2024 Weighted Avg OpEx ($/kWac-year)]]</f>
        <v>22170.92195448916</v>
      </c>
      <c r="H36" s="130">
        <v>2460.596390010171</v>
      </c>
      <c r="I36" s="130">
        <v>134.24600387548716</v>
      </c>
      <c r="J36" s="130">
        <v>57.321333202927519</v>
      </c>
      <c r="K36" s="130">
        <f>NYSERDA_SupplyCurve_Raw[[#This Row],[2024 Weighted Avg Capacity Factor]]*NYSERDA_SupplyCurve_Raw[[#This Row],[Available Capacity (MWac)]]</f>
        <v>114.6194643933956</v>
      </c>
      <c r="L36" s="205">
        <v>0.29634042840084041</v>
      </c>
      <c r="M36" s="201">
        <v>1</v>
      </c>
      <c r="N36" s="201">
        <v>1.0229999999999999</v>
      </c>
      <c r="O36" s="201">
        <v>1.046529</v>
      </c>
      <c r="P36" s="201">
        <v>1.0598020575021094</v>
      </c>
      <c r="Q36" s="201">
        <v>1.0736988159192502</v>
      </c>
      <c r="R36" s="201">
        <v>1.088203307374656</v>
      </c>
      <c r="S36" s="201">
        <v>1.1033026104404515</v>
      </c>
      <c r="T36" s="201">
        <v>1.1189864388040103</v>
      </c>
      <c r="U36" s="201">
        <v>1.135246797775554</v>
      </c>
      <c r="V36" s="201">
        <v>1.1520776967604647</v>
      </c>
      <c r="W36" s="201">
        <v>1.1694749079306732</v>
      </c>
      <c r="X36" s="201">
        <v>1.1874357630816736</v>
      </c>
      <c r="Y36" s="201">
        <v>1.2059589821346139</v>
      </c>
      <c r="Z36" s="201">
        <v>1.2250445279429276</v>
      </c>
      <c r="AA36" s="201">
        <v>1.2446934830326639</v>
      </c>
      <c r="AB36" s="201">
        <v>1.2649079446978335</v>
      </c>
      <c r="AC36" s="201">
        <v>1.2856909355124986</v>
      </c>
      <c r="AD36" s="201">
        <v>1</v>
      </c>
      <c r="AE36" s="201">
        <v>1.0229999999999997</v>
      </c>
      <c r="AF36" s="201">
        <v>1.0465289999999996</v>
      </c>
      <c r="AG36" s="201">
        <v>1.0705991669999997</v>
      </c>
      <c r="AH36" s="201">
        <v>1.0952229478409994</v>
      </c>
      <c r="AI36" s="201">
        <v>1.1204130756413426</v>
      </c>
      <c r="AJ36" s="201">
        <v>1.1461825763810931</v>
      </c>
      <c r="AK36" s="201">
        <v>1.1725447756378582</v>
      </c>
      <c r="AL36" s="201">
        <v>1.1995133054775287</v>
      </c>
      <c r="AM36" s="201">
        <v>1.2271021115035119</v>
      </c>
      <c r="AN36" s="201">
        <v>1.2553254600680925</v>
      </c>
      <c r="AO36" s="201">
        <v>1.2841979456496586</v>
      </c>
      <c r="AP36" s="201">
        <v>1.3137344983996007</v>
      </c>
      <c r="AQ36" s="201">
        <v>1.3439503918627913</v>
      </c>
      <c r="AR36" s="201">
        <v>1.3748612508756353</v>
      </c>
      <c r="AS36" s="201">
        <v>1.4064830596457747</v>
      </c>
      <c r="AT36" s="201">
        <v>1.4388321700176274</v>
      </c>
      <c r="AU36" s="201">
        <v>1</v>
      </c>
      <c r="AV36" s="201">
        <v>1.0229999999999995</v>
      </c>
      <c r="AW36" s="201">
        <v>1.0465289999999996</v>
      </c>
      <c r="AX36" s="201">
        <v>1.0573213826912555</v>
      </c>
      <c r="AY36" s="201">
        <v>1.0687898064113335</v>
      </c>
      <c r="AZ36" s="201">
        <v>1.0809089916969443</v>
      </c>
      <c r="BA36" s="201">
        <v>1.093657795813725</v>
      </c>
      <c r="BB36" s="201">
        <v>1.1070186286995183</v>
      </c>
      <c r="BC36" s="201">
        <v>1.1209769671951606</v>
      </c>
      <c r="BD36" s="201">
        <v>1.1355209497900496</v>
      </c>
      <c r="BE36" s="201">
        <v>1.1506410374287135</v>
      </c>
      <c r="BF36" s="201">
        <v>1.1663297286293797</v>
      </c>
      <c r="BG36" s="201">
        <v>1.1825813193957089</v>
      </c>
      <c r="BH36" s="201">
        <v>1.1993917001987975</v>
      </c>
      <c r="BI36" s="201">
        <v>1.2167581837451031</v>
      </c>
      <c r="BJ36" s="201">
        <v>1.2346793584097975</v>
      </c>
      <c r="BK36" s="201">
        <v>1.2531549631497367</v>
      </c>
      <c r="BL36" s="201">
        <v>1</v>
      </c>
      <c r="BM36" s="201">
        <v>1.0075087154733169</v>
      </c>
      <c r="BN36" s="201">
        <v>1.0150174309466338</v>
      </c>
      <c r="BO36" s="201">
        <v>1.0225261464199509</v>
      </c>
      <c r="BP36" s="201">
        <v>1.0300348618932678</v>
      </c>
      <c r="BQ36" s="201">
        <v>1.0375435773665846</v>
      </c>
      <c r="BR36" s="201">
        <v>1.0450522928399046</v>
      </c>
      <c r="BS36" s="201">
        <v>1.0458970233306526</v>
      </c>
      <c r="BT36" s="201">
        <v>1.0467417538213979</v>
      </c>
      <c r="BU36" s="201">
        <v>1.0475864843121492</v>
      </c>
      <c r="BV36" s="201">
        <v>1.0484312148028971</v>
      </c>
      <c r="BW36" s="201">
        <v>1.0492759452936424</v>
      </c>
      <c r="BX36" s="201">
        <v>1.0501206757843937</v>
      </c>
      <c r="BY36" s="201">
        <v>1.0509654062751417</v>
      </c>
      <c r="BZ36" s="201">
        <v>1.0518101367658899</v>
      </c>
      <c r="CA36" s="201">
        <v>1.0526548672566383</v>
      </c>
      <c r="CB36" s="201">
        <v>1.0534995977473862</v>
      </c>
    </row>
    <row r="37" spans="1:80" x14ac:dyDescent="0.35">
      <c r="A37" t="s">
        <v>737</v>
      </c>
      <c r="B37" t="s">
        <v>867</v>
      </c>
      <c r="C37" s="206" t="s">
        <v>854</v>
      </c>
      <c r="D37" t="s">
        <v>742</v>
      </c>
      <c r="E37" s="130">
        <v>82.052963443475448</v>
      </c>
      <c r="F37" s="130">
        <f>NYSERDA_SupplyCurve_Raw[[#This Row],[Available Capacity (MWac)]]*NYSERDA_SupplyCurve_Raw[[#This Row],[2024 Weighted Avg Resource CapEx ($/kWac)]]</f>
        <v>234318.94888001241</v>
      </c>
      <c r="G37" s="130">
        <f>NYSERDA_SupplyCurve_Raw[[#This Row],[Available Capacity (MWac)]]*NYSERDA_SupplyCurve_Raw[[#This Row],[2024 Weighted Avg OpEx ($/kWac-year)]]</f>
        <v>4703.3852578310862</v>
      </c>
      <c r="H37" s="130">
        <v>2855.7036704887541</v>
      </c>
      <c r="I37" s="130">
        <v>230.57370115170207</v>
      </c>
      <c r="J37" s="130">
        <v>57.321333202927505</v>
      </c>
      <c r="K37" s="130">
        <f>NYSERDA_SupplyCurve_Raw[[#This Row],[2024 Weighted Avg Capacity Factor]]*NYSERDA_SupplyCurve_Raw[[#This Row],[Available Capacity (MWac)]]</f>
        <v>30.049048377800375</v>
      </c>
      <c r="L37" s="205">
        <v>0.36621527263302961</v>
      </c>
      <c r="M37" s="201">
        <v>1</v>
      </c>
      <c r="N37" s="201">
        <v>1.0230000000000001</v>
      </c>
      <c r="O37" s="201">
        <v>1.0465289999999998</v>
      </c>
      <c r="P37" s="201">
        <v>1.0598020575021094</v>
      </c>
      <c r="Q37" s="201">
        <v>1.0736988159192504</v>
      </c>
      <c r="R37" s="201">
        <v>1.0882033073746558</v>
      </c>
      <c r="S37" s="201">
        <v>1.1033026104404513</v>
      </c>
      <c r="T37" s="201">
        <v>1.1189864388040101</v>
      </c>
      <c r="U37" s="201">
        <v>1.135246797775554</v>
      </c>
      <c r="V37" s="201">
        <v>1.1520776967604649</v>
      </c>
      <c r="W37" s="201">
        <v>1.1694749079306728</v>
      </c>
      <c r="X37" s="201">
        <v>1.1874357630816732</v>
      </c>
      <c r="Y37" s="201">
        <v>1.2059589821346142</v>
      </c>
      <c r="Z37" s="201">
        <v>1.2250445279429272</v>
      </c>
      <c r="AA37" s="201">
        <v>1.2446934830326641</v>
      </c>
      <c r="AB37" s="201">
        <v>1.2649079446978335</v>
      </c>
      <c r="AC37" s="201">
        <v>1.2856909355124986</v>
      </c>
      <c r="AD37" s="201">
        <v>1</v>
      </c>
      <c r="AE37" s="201">
        <v>1.0229999999999997</v>
      </c>
      <c r="AF37" s="201">
        <v>1.0465289999999996</v>
      </c>
      <c r="AG37" s="201">
        <v>1.0705991669999997</v>
      </c>
      <c r="AH37" s="201">
        <v>1.0952229478409994</v>
      </c>
      <c r="AI37" s="201">
        <v>1.1204130756413424</v>
      </c>
      <c r="AJ37" s="201">
        <v>1.1461825763810931</v>
      </c>
      <c r="AK37" s="201">
        <v>1.1725447756378584</v>
      </c>
      <c r="AL37" s="201">
        <v>1.1995133054775287</v>
      </c>
      <c r="AM37" s="201">
        <v>1.2271021115035119</v>
      </c>
      <c r="AN37" s="201">
        <v>1.2553254600680928</v>
      </c>
      <c r="AO37" s="201">
        <v>1.2841979456496588</v>
      </c>
      <c r="AP37" s="201">
        <v>1.3137344983996007</v>
      </c>
      <c r="AQ37" s="201">
        <v>1.3439503918627913</v>
      </c>
      <c r="AR37" s="201">
        <v>1.3748612508756353</v>
      </c>
      <c r="AS37" s="201">
        <v>1.4064830596457747</v>
      </c>
      <c r="AT37" s="201">
        <v>1.4388321700176274</v>
      </c>
      <c r="AU37" s="201">
        <v>1</v>
      </c>
      <c r="AV37" s="201">
        <v>1.0229999999999997</v>
      </c>
      <c r="AW37" s="201">
        <v>1.0465289999999996</v>
      </c>
      <c r="AX37" s="201">
        <v>1.0573213826912555</v>
      </c>
      <c r="AY37" s="201">
        <v>1.0687898064113339</v>
      </c>
      <c r="AZ37" s="201">
        <v>1.0809089916969445</v>
      </c>
      <c r="BA37" s="201">
        <v>1.0936577958137252</v>
      </c>
      <c r="BB37" s="201">
        <v>1.1070186286995183</v>
      </c>
      <c r="BC37" s="201">
        <v>1.1209769671951606</v>
      </c>
      <c r="BD37" s="201">
        <v>1.1355209497900498</v>
      </c>
      <c r="BE37" s="201">
        <v>1.1506410374287139</v>
      </c>
      <c r="BF37" s="201">
        <v>1.1663297286293799</v>
      </c>
      <c r="BG37" s="201">
        <v>1.1825813193957089</v>
      </c>
      <c r="BH37" s="201">
        <v>1.1993917001987977</v>
      </c>
      <c r="BI37" s="201">
        <v>1.2167581837451034</v>
      </c>
      <c r="BJ37" s="201">
        <v>1.2346793584097977</v>
      </c>
      <c r="BK37" s="201">
        <v>1.2531549631497372</v>
      </c>
      <c r="BL37" s="201">
        <v>1</v>
      </c>
      <c r="BM37" s="201">
        <v>1.0075087154733169</v>
      </c>
      <c r="BN37" s="201">
        <v>1.0150174309466338</v>
      </c>
      <c r="BO37" s="201">
        <v>1.0225261464199509</v>
      </c>
      <c r="BP37" s="201">
        <v>1.0300348618932678</v>
      </c>
      <c r="BQ37" s="201">
        <v>1.0375435773665846</v>
      </c>
      <c r="BR37" s="201">
        <v>1.0450522928399046</v>
      </c>
      <c r="BS37" s="201">
        <v>1.0458970233306526</v>
      </c>
      <c r="BT37" s="201">
        <v>1.0467417538213979</v>
      </c>
      <c r="BU37" s="201">
        <v>1.0475864843121492</v>
      </c>
      <c r="BV37" s="201">
        <v>1.0484312148028971</v>
      </c>
      <c r="BW37" s="201">
        <v>1.0492759452936424</v>
      </c>
      <c r="BX37" s="201">
        <v>1.0501206757843937</v>
      </c>
      <c r="BY37" s="201">
        <v>1.0509654062751417</v>
      </c>
      <c r="BZ37" s="201">
        <v>1.0518101367658899</v>
      </c>
      <c r="CA37" s="201">
        <v>1.0526548672566383</v>
      </c>
      <c r="CB37" s="201">
        <v>1.0534995977473862</v>
      </c>
    </row>
    <row r="38" spans="1:80" x14ac:dyDescent="0.35">
      <c r="A38" t="s">
        <v>737</v>
      </c>
      <c r="B38" t="s">
        <v>868</v>
      </c>
      <c r="C38" s="206" t="s">
        <v>843</v>
      </c>
      <c r="D38" t="s">
        <v>736</v>
      </c>
      <c r="E38" s="130">
        <v>302.60224174662585</v>
      </c>
      <c r="F38" s="130">
        <f>NYSERDA_SupplyCurve_Raw[[#This Row],[Available Capacity (MWac)]]*NYSERDA_SupplyCurve_Raw[[#This Row],[2024 Weighted Avg Resource CapEx ($/kWac)]]</f>
        <v>892862.14028353931</v>
      </c>
      <c r="G38" s="130">
        <f>NYSERDA_SupplyCurve_Raw[[#This Row],[Available Capacity (MWac)]]*NYSERDA_SupplyCurve_Raw[[#This Row],[2024 Weighted Avg OpEx ($/kWac-year)]]</f>
        <v>17424.590794087671</v>
      </c>
      <c r="H38" s="130">
        <v>2950.6131056066279</v>
      </c>
      <c r="I38" s="130">
        <v>113.62311413460782</v>
      </c>
      <c r="J38" s="130">
        <v>57.582490775721304</v>
      </c>
      <c r="K38" s="130">
        <f>NYSERDA_SupplyCurve_Raw[[#This Row],[2024 Weighted Avg Capacity Factor]]*NYSERDA_SupplyCurve_Raw[[#This Row],[Available Capacity (MWac)]]</f>
        <v>119.77637806988346</v>
      </c>
      <c r="L38" s="205">
        <v>0.39582118552239387</v>
      </c>
      <c r="M38" s="201">
        <v>1</v>
      </c>
      <c r="N38" s="201">
        <v>1.0229999999999999</v>
      </c>
      <c r="O38" s="201">
        <v>1.0465289999999998</v>
      </c>
      <c r="P38" s="201">
        <v>1.0598020575021094</v>
      </c>
      <c r="Q38" s="201">
        <v>1.0736988159192502</v>
      </c>
      <c r="R38" s="201">
        <v>1.0882033073746558</v>
      </c>
      <c r="S38" s="201">
        <v>1.1033026104404513</v>
      </c>
      <c r="T38" s="201">
        <v>1.1189864388040101</v>
      </c>
      <c r="U38" s="201">
        <v>1.135246797775554</v>
      </c>
      <c r="V38" s="201">
        <v>1.1520776967604647</v>
      </c>
      <c r="W38" s="201">
        <v>1.1694749079306728</v>
      </c>
      <c r="X38" s="201">
        <v>1.1874357630816734</v>
      </c>
      <c r="Y38" s="201">
        <v>1.2059589821346142</v>
      </c>
      <c r="Z38" s="201">
        <v>1.2250445279429274</v>
      </c>
      <c r="AA38" s="201">
        <v>1.2446934830326639</v>
      </c>
      <c r="AB38" s="201">
        <v>1.2649079446978335</v>
      </c>
      <c r="AC38" s="201">
        <v>1.2856909355124986</v>
      </c>
      <c r="AD38" s="201">
        <v>1</v>
      </c>
      <c r="AE38" s="201">
        <v>1.0229999999999999</v>
      </c>
      <c r="AF38" s="201">
        <v>1.0465289999999998</v>
      </c>
      <c r="AG38" s="201">
        <v>1.0705991669999999</v>
      </c>
      <c r="AH38" s="201">
        <v>1.0952229478409996</v>
      </c>
      <c r="AI38" s="201">
        <v>1.1204130756413428</v>
      </c>
      <c r="AJ38" s="201">
        <v>1.1461825763810931</v>
      </c>
      <c r="AK38" s="201">
        <v>1.1725447756378584</v>
      </c>
      <c r="AL38" s="201">
        <v>1.1995133054775289</v>
      </c>
      <c r="AM38" s="201">
        <v>1.2271021115035119</v>
      </c>
      <c r="AN38" s="201">
        <v>1.2553254600680923</v>
      </c>
      <c r="AO38" s="201">
        <v>1.2841979456496586</v>
      </c>
      <c r="AP38" s="201">
        <v>1.3137344983996007</v>
      </c>
      <c r="AQ38" s="201">
        <v>1.3439503918627915</v>
      </c>
      <c r="AR38" s="201">
        <v>1.3748612508756353</v>
      </c>
      <c r="AS38" s="201">
        <v>1.4064830596457747</v>
      </c>
      <c r="AT38" s="201">
        <v>1.4388321700176274</v>
      </c>
      <c r="AU38" s="201">
        <v>1</v>
      </c>
      <c r="AV38" s="201">
        <v>1.0229999999999999</v>
      </c>
      <c r="AW38" s="201">
        <v>1.0465289999999998</v>
      </c>
      <c r="AX38" s="201">
        <v>1.0573213826912558</v>
      </c>
      <c r="AY38" s="201">
        <v>1.0687898064113339</v>
      </c>
      <c r="AZ38" s="201">
        <v>1.0809089916969445</v>
      </c>
      <c r="BA38" s="201">
        <v>1.093657795813725</v>
      </c>
      <c r="BB38" s="201">
        <v>1.1070186286995185</v>
      </c>
      <c r="BC38" s="201">
        <v>1.1209769671951606</v>
      </c>
      <c r="BD38" s="201">
        <v>1.1355209497900498</v>
      </c>
      <c r="BE38" s="201">
        <v>1.1506410374287139</v>
      </c>
      <c r="BF38" s="201">
        <v>1.1663297286293801</v>
      </c>
      <c r="BG38" s="201">
        <v>1.1825813193957089</v>
      </c>
      <c r="BH38" s="201">
        <v>1.1993917001987977</v>
      </c>
      <c r="BI38" s="201">
        <v>1.2167581837451034</v>
      </c>
      <c r="BJ38" s="201">
        <v>1.2346793584097977</v>
      </c>
      <c r="BK38" s="201">
        <v>1.253154963149737</v>
      </c>
      <c r="BL38" s="201">
        <v>1</v>
      </c>
      <c r="BM38" s="201">
        <v>1.0075087154733169</v>
      </c>
      <c r="BN38" s="201">
        <v>1.0150174309466338</v>
      </c>
      <c r="BO38" s="201">
        <v>1.0225261464199509</v>
      </c>
      <c r="BP38" s="201">
        <v>1.0300348618932678</v>
      </c>
      <c r="BQ38" s="201">
        <v>1.0375435773665846</v>
      </c>
      <c r="BR38" s="201">
        <v>1.0450522928399046</v>
      </c>
      <c r="BS38" s="201">
        <v>1.0458970233306526</v>
      </c>
      <c r="BT38" s="201">
        <v>1.0467417538213979</v>
      </c>
      <c r="BU38" s="201">
        <v>1.0475864843121492</v>
      </c>
      <c r="BV38" s="201">
        <v>1.0484312148028971</v>
      </c>
      <c r="BW38" s="201">
        <v>1.0492759452936424</v>
      </c>
      <c r="BX38" s="201">
        <v>1.0501206757843937</v>
      </c>
      <c r="BY38" s="201">
        <v>1.0509654062751417</v>
      </c>
      <c r="BZ38" s="201">
        <v>1.0518101367658899</v>
      </c>
      <c r="CA38" s="201">
        <v>1.0526548672566383</v>
      </c>
      <c r="CB38" s="201">
        <v>1.0534995977473862</v>
      </c>
    </row>
    <row r="39" spans="1:80" x14ac:dyDescent="0.35">
      <c r="A39" t="s">
        <v>737</v>
      </c>
      <c r="B39" t="s">
        <v>869</v>
      </c>
      <c r="C39" s="206" t="s">
        <v>841</v>
      </c>
      <c r="D39" t="s">
        <v>736</v>
      </c>
      <c r="E39" s="130">
        <v>159.64474991845572</v>
      </c>
      <c r="F39" s="130">
        <f>NYSERDA_SupplyCurve_Raw[[#This Row],[Available Capacity (MWac)]]*NYSERDA_SupplyCurve_Raw[[#This Row],[2024 Weighted Avg Resource CapEx ($/kWac)]]</f>
        <v>383139.55234904651</v>
      </c>
      <c r="G39" s="130">
        <f>NYSERDA_SupplyCurve_Raw[[#This Row],[Available Capacity (MWac)]]*NYSERDA_SupplyCurve_Raw[[#This Row],[2024 Weighted Avg OpEx ($/kWac-year)]]</f>
        <v>8955.0954578033343</v>
      </c>
      <c r="H39" s="130">
        <v>2399.9508442635838</v>
      </c>
      <c r="I39" s="130">
        <v>72.574253594740981</v>
      </c>
      <c r="J39" s="130">
        <v>56.093892610796601</v>
      </c>
      <c r="K39" s="130">
        <f>NYSERDA_SupplyCurve_Raw[[#This Row],[2024 Weighted Avg Capacity Factor]]*NYSERDA_SupplyCurve_Raw[[#This Row],[Available Capacity (MWac)]]</f>
        <v>64.344040349403983</v>
      </c>
      <c r="L39" s="205">
        <v>0.40304513854837076</v>
      </c>
      <c r="M39" s="201">
        <v>1</v>
      </c>
      <c r="N39" s="201">
        <v>1.0229999999999999</v>
      </c>
      <c r="O39" s="201">
        <v>1.0465289999999998</v>
      </c>
      <c r="P39" s="201">
        <v>1.0598020575021094</v>
      </c>
      <c r="Q39" s="201">
        <v>1.0736988159192502</v>
      </c>
      <c r="R39" s="201">
        <v>1.0882033073746558</v>
      </c>
      <c r="S39" s="201">
        <v>1.1033026104404513</v>
      </c>
      <c r="T39" s="201">
        <v>1.1189864388040098</v>
      </c>
      <c r="U39" s="201">
        <v>1.135246797775554</v>
      </c>
      <c r="V39" s="201">
        <v>1.1520776967604645</v>
      </c>
      <c r="W39" s="201">
        <v>1.1694749079306725</v>
      </c>
      <c r="X39" s="201">
        <v>1.1874357630816734</v>
      </c>
      <c r="Y39" s="201">
        <v>1.2059589821346142</v>
      </c>
      <c r="Z39" s="201">
        <v>1.2250445279429274</v>
      </c>
      <c r="AA39" s="201">
        <v>1.2446934830326641</v>
      </c>
      <c r="AB39" s="201">
        <v>1.2649079446978333</v>
      </c>
      <c r="AC39" s="201">
        <v>1.2856909355124986</v>
      </c>
      <c r="AD39" s="201">
        <v>1</v>
      </c>
      <c r="AE39" s="201">
        <v>1.0229999999999999</v>
      </c>
      <c r="AF39" s="201">
        <v>1.0465289999999996</v>
      </c>
      <c r="AG39" s="201">
        <v>1.0705991669999997</v>
      </c>
      <c r="AH39" s="201">
        <v>1.0952229478409994</v>
      </c>
      <c r="AI39" s="201">
        <v>1.1204130756413426</v>
      </c>
      <c r="AJ39" s="201">
        <v>1.1461825763810929</v>
      </c>
      <c r="AK39" s="201">
        <v>1.172544775637858</v>
      </c>
      <c r="AL39" s="201">
        <v>1.1995133054775287</v>
      </c>
      <c r="AM39" s="201">
        <v>1.2271021115035117</v>
      </c>
      <c r="AN39" s="201">
        <v>1.2553254600680925</v>
      </c>
      <c r="AO39" s="201">
        <v>1.2841979456496586</v>
      </c>
      <c r="AP39" s="201">
        <v>1.3137344983996007</v>
      </c>
      <c r="AQ39" s="201">
        <v>1.3439503918627913</v>
      </c>
      <c r="AR39" s="201">
        <v>1.374861250875635</v>
      </c>
      <c r="AS39" s="201">
        <v>1.4064830596457747</v>
      </c>
      <c r="AT39" s="201">
        <v>1.4388321700176272</v>
      </c>
      <c r="AU39" s="201">
        <v>1</v>
      </c>
      <c r="AV39" s="201">
        <v>1.0229999999999999</v>
      </c>
      <c r="AW39" s="201">
        <v>1.0465289999999998</v>
      </c>
      <c r="AX39" s="201">
        <v>1.0573213826912555</v>
      </c>
      <c r="AY39" s="201">
        <v>1.0687898064113341</v>
      </c>
      <c r="AZ39" s="201">
        <v>1.0809089916969443</v>
      </c>
      <c r="BA39" s="201">
        <v>1.0936577958137252</v>
      </c>
      <c r="BB39" s="201">
        <v>1.1070186286995185</v>
      </c>
      <c r="BC39" s="201">
        <v>1.1209769671951606</v>
      </c>
      <c r="BD39" s="201">
        <v>1.1355209497900498</v>
      </c>
      <c r="BE39" s="201">
        <v>1.1506410374287139</v>
      </c>
      <c r="BF39" s="201">
        <v>1.1663297286293799</v>
      </c>
      <c r="BG39" s="201">
        <v>1.1825813193957089</v>
      </c>
      <c r="BH39" s="201">
        <v>1.1993917001987977</v>
      </c>
      <c r="BI39" s="201">
        <v>1.2167581837451034</v>
      </c>
      <c r="BJ39" s="201">
        <v>1.2346793584097977</v>
      </c>
      <c r="BK39" s="201">
        <v>1.2531549631497372</v>
      </c>
      <c r="BL39" s="201">
        <v>1</v>
      </c>
      <c r="BM39" s="201">
        <v>1.0075087154733169</v>
      </c>
      <c r="BN39" s="201">
        <v>1.0150174309466338</v>
      </c>
      <c r="BO39" s="201">
        <v>1.0225261464199509</v>
      </c>
      <c r="BP39" s="201">
        <v>1.0300348618932678</v>
      </c>
      <c r="BQ39" s="201">
        <v>1.0375435773665846</v>
      </c>
      <c r="BR39" s="201">
        <v>1.0450522928399046</v>
      </c>
      <c r="BS39" s="201">
        <v>1.0458970233306526</v>
      </c>
      <c r="BT39" s="201">
        <v>1.0467417538213979</v>
      </c>
      <c r="BU39" s="201">
        <v>1.0475864843121492</v>
      </c>
      <c r="BV39" s="201">
        <v>1.0484312148028971</v>
      </c>
      <c r="BW39" s="201">
        <v>1.0492759452936424</v>
      </c>
      <c r="BX39" s="201">
        <v>1.0501206757843937</v>
      </c>
      <c r="BY39" s="201">
        <v>1.0509654062751417</v>
      </c>
      <c r="BZ39" s="201">
        <v>1.0518101367658899</v>
      </c>
      <c r="CA39" s="201">
        <v>1.0526548672566383</v>
      </c>
      <c r="CB39" s="201">
        <v>1.0534995977473862</v>
      </c>
    </row>
    <row r="40" spans="1:80" x14ac:dyDescent="0.35">
      <c r="A40" t="s">
        <v>737</v>
      </c>
      <c r="B40" t="s">
        <v>869</v>
      </c>
      <c r="C40" s="206" t="s">
        <v>841</v>
      </c>
      <c r="D40" t="s">
        <v>742</v>
      </c>
      <c r="E40" s="130">
        <v>46.809484804030674</v>
      </c>
      <c r="F40" s="130">
        <f>NYSERDA_SupplyCurve_Raw[[#This Row],[Available Capacity (MWac)]]*NYSERDA_SupplyCurve_Raw[[#This Row],[2024 Weighted Avg Resource CapEx ($/kWac)]]</f>
        <v>136032.93839751327</v>
      </c>
      <c r="G40" s="130">
        <f>NYSERDA_SupplyCurve_Raw[[#This Row],[Available Capacity (MWac)]]*NYSERDA_SupplyCurve_Raw[[#This Row],[2024 Weighted Avg OpEx ($/kWac-year)]]</f>
        <v>2625.7262137640118</v>
      </c>
      <c r="H40" s="130">
        <v>2906.0977485015969</v>
      </c>
      <c r="I40" s="130">
        <v>424.41094605541963</v>
      </c>
      <c r="J40" s="130">
        <v>56.093892610796594</v>
      </c>
      <c r="K40" s="130">
        <f>NYSERDA_SupplyCurve_Raw[[#This Row],[2024 Weighted Avg Capacity Factor]]*NYSERDA_SupplyCurve_Raw[[#This Row],[Available Capacity (MWac)]]</f>
        <v>20.10928565948802</v>
      </c>
      <c r="L40" s="205">
        <v>0.42959852567649809</v>
      </c>
      <c r="M40" s="201">
        <v>1</v>
      </c>
      <c r="N40" s="201">
        <v>1.0230000000000001</v>
      </c>
      <c r="O40" s="201">
        <v>1.0465289999999998</v>
      </c>
      <c r="P40" s="201">
        <v>1.0598020575021099</v>
      </c>
      <c r="Q40" s="201">
        <v>1.0736988159192504</v>
      </c>
      <c r="R40" s="201">
        <v>1.088203307374656</v>
      </c>
      <c r="S40" s="201">
        <v>1.1033026104404515</v>
      </c>
      <c r="T40" s="201">
        <v>1.1189864388040103</v>
      </c>
      <c r="U40" s="201">
        <v>1.135246797775554</v>
      </c>
      <c r="V40" s="201">
        <v>1.1520776967604649</v>
      </c>
      <c r="W40" s="201">
        <v>1.169474907930673</v>
      </c>
      <c r="X40" s="201">
        <v>1.1874357630816734</v>
      </c>
      <c r="Y40" s="201">
        <v>1.2059589821346144</v>
      </c>
      <c r="Z40" s="201">
        <v>1.2250445279429278</v>
      </c>
      <c r="AA40" s="201">
        <v>1.2446934830326641</v>
      </c>
      <c r="AB40" s="201">
        <v>1.2649079446978337</v>
      </c>
      <c r="AC40" s="201">
        <v>1.2856909355124988</v>
      </c>
      <c r="AD40" s="201">
        <v>1</v>
      </c>
      <c r="AE40" s="201">
        <v>1.0229999999999997</v>
      </c>
      <c r="AF40" s="201">
        <v>1.0465289999999996</v>
      </c>
      <c r="AG40" s="201">
        <v>1.0705991669999997</v>
      </c>
      <c r="AH40" s="201">
        <v>1.0952229478409994</v>
      </c>
      <c r="AI40" s="201">
        <v>1.1204130756413426</v>
      </c>
      <c r="AJ40" s="201">
        <v>1.1461825763810931</v>
      </c>
      <c r="AK40" s="201">
        <v>1.1725447756378582</v>
      </c>
      <c r="AL40" s="201">
        <v>1.1995133054775287</v>
      </c>
      <c r="AM40" s="201">
        <v>1.2271021115035119</v>
      </c>
      <c r="AN40" s="201">
        <v>1.2553254600680928</v>
      </c>
      <c r="AO40" s="201">
        <v>1.2841979456496588</v>
      </c>
      <c r="AP40" s="201">
        <v>1.3137344983996007</v>
      </c>
      <c r="AQ40" s="201">
        <v>1.3439503918627913</v>
      </c>
      <c r="AR40" s="201">
        <v>1.3748612508756353</v>
      </c>
      <c r="AS40" s="201">
        <v>1.4064830596457747</v>
      </c>
      <c r="AT40" s="201">
        <v>1.4388321700176274</v>
      </c>
      <c r="AU40" s="201">
        <v>1</v>
      </c>
      <c r="AV40" s="201">
        <v>1.0230000000000001</v>
      </c>
      <c r="AW40" s="201">
        <v>1.046529</v>
      </c>
      <c r="AX40" s="201">
        <v>1.0573213826912558</v>
      </c>
      <c r="AY40" s="201">
        <v>1.0687898064113341</v>
      </c>
      <c r="AZ40" s="201">
        <v>1.0809089916969445</v>
      </c>
      <c r="BA40" s="201">
        <v>1.0936577958137255</v>
      </c>
      <c r="BB40" s="201">
        <v>1.1070186286995187</v>
      </c>
      <c r="BC40" s="201">
        <v>1.1209769671951608</v>
      </c>
      <c r="BD40" s="201">
        <v>1.13552094979005</v>
      </c>
      <c r="BE40" s="201">
        <v>1.1506410374287142</v>
      </c>
      <c r="BF40" s="201">
        <v>1.1663297286293801</v>
      </c>
      <c r="BG40" s="201">
        <v>1.1825813193957091</v>
      </c>
      <c r="BH40" s="201">
        <v>1.1993917001987979</v>
      </c>
      <c r="BI40" s="201">
        <v>1.2167581837451036</v>
      </c>
      <c r="BJ40" s="201">
        <v>1.2346793584097979</v>
      </c>
      <c r="BK40" s="201">
        <v>1.2531549631497374</v>
      </c>
      <c r="BL40" s="201">
        <v>1</v>
      </c>
      <c r="BM40" s="201">
        <v>1.0075087154733169</v>
      </c>
      <c r="BN40" s="201">
        <v>1.0150174309466338</v>
      </c>
      <c r="BO40" s="201">
        <v>1.0225261464199509</v>
      </c>
      <c r="BP40" s="201">
        <v>1.0300348618932678</v>
      </c>
      <c r="BQ40" s="201">
        <v>1.0375435773665846</v>
      </c>
      <c r="BR40" s="201">
        <v>1.0450522928399046</v>
      </c>
      <c r="BS40" s="201">
        <v>1.0458970233306526</v>
      </c>
      <c r="BT40" s="201">
        <v>1.0467417538213979</v>
      </c>
      <c r="BU40" s="201">
        <v>1.0475864843121492</v>
      </c>
      <c r="BV40" s="201">
        <v>1.0484312148028971</v>
      </c>
      <c r="BW40" s="201">
        <v>1.0492759452936424</v>
      </c>
      <c r="BX40" s="201">
        <v>1.0501206757843937</v>
      </c>
      <c r="BY40" s="201">
        <v>1.0509654062751417</v>
      </c>
      <c r="BZ40" s="201">
        <v>1.0518101367658899</v>
      </c>
      <c r="CA40" s="201">
        <v>1.0526548672566383</v>
      </c>
      <c r="CB40" s="201">
        <v>1.0534995977473862</v>
      </c>
    </row>
    <row r="41" spans="1:80" x14ac:dyDescent="0.35">
      <c r="A41" t="s">
        <v>737</v>
      </c>
      <c r="B41" t="s">
        <v>870</v>
      </c>
      <c r="C41" s="206" t="s">
        <v>856</v>
      </c>
      <c r="D41" t="s">
        <v>736</v>
      </c>
      <c r="E41" s="130">
        <v>88.216549888104225</v>
      </c>
      <c r="F41" s="130">
        <f>NYSERDA_SupplyCurve_Raw[[#This Row],[Available Capacity (MWac)]]*NYSERDA_SupplyCurve_Raw[[#This Row],[2024 Weighted Avg Resource CapEx ($/kWac)]]</f>
        <v>314024.52730698173</v>
      </c>
      <c r="G41" s="130">
        <f>NYSERDA_SupplyCurve_Raw[[#This Row],[Available Capacity (MWac)]]*NYSERDA_SupplyCurve_Raw[[#This Row],[2024 Weighted Avg OpEx ($/kWac-year)]]</f>
        <v>5183.4015604183141</v>
      </c>
      <c r="H41" s="130">
        <v>3559.700846443181</v>
      </c>
      <c r="I41" s="130">
        <v>237.92573481182606</v>
      </c>
      <c r="J41" s="130">
        <v>58.757699853293431</v>
      </c>
      <c r="K41" s="130">
        <f>NYSERDA_SupplyCurve_Raw[[#This Row],[2024 Weighted Avg Capacity Factor]]*NYSERDA_SupplyCurve_Raw[[#This Row],[Available Capacity (MWac)]]</f>
        <v>26.01455906454024</v>
      </c>
      <c r="L41" s="205">
        <v>0.29489431515444287</v>
      </c>
      <c r="M41" s="201">
        <v>1</v>
      </c>
      <c r="N41" s="201">
        <v>1.0230000000000001</v>
      </c>
      <c r="O41" s="201">
        <v>1.046529</v>
      </c>
      <c r="P41" s="201">
        <v>1.0598020575021094</v>
      </c>
      <c r="Q41" s="201">
        <v>1.0736988159192504</v>
      </c>
      <c r="R41" s="201">
        <v>1.088203307374656</v>
      </c>
      <c r="S41" s="201">
        <v>1.1033026104404515</v>
      </c>
      <c r="T41" s="201">
        <v>1.1189864388040101</v>
      </c>
      <c r="U41" s="201">
        <v>1.1352467977755543</v>
      </c>
      <c r="V41" s="201">
        <v>1.1520776967604647</v>
      </c>
      <c r="W41" s="201">
        <v>1.1694749079306725</v>
      </c>
      <c r="X41" s="201">
        <v>1.1874357630816734</v>
      </c>
      <c r="Y41" s="201">
        <v>1.2059589821346139</v>
      </c>
      <c r="Z41" s="201">
        <v>1.2250445279429274</v>
      </c>
      <c r="AA41" s="201">
        <v>1.2446934830326644</v>
      </c>
      <c r="AB41" s="201">
        <v>1.2649079446978337</v>
      </c>
      <c r="AC41" s="201">
        <v>1.2856909355124988</v>
      </c>
      <c r="AD41" s="201">
        <v>1</v>
      </c>
      <c r="AE41" s="201">
        <v>1.0229999999999997</v>
      </c>
      <c r="AF41" s="201">
        <v>1.0465289999999998</v>
      </c>
      <c r="AG41" s="201">
        <v>1.0705991669999995</v>
      </c>
      <c r="AH41" s="201">
        <v>1.0952229478409996</v>
      </c>
      <c r="AI41" s="201">
        <v>1.1204130756413424</v>
      </c>
      <c r="AJ41" s="201">
        <v>1.1461825763810933</v>
      </c>
      <c r="AK41" s="201">
        <v>1.1725447756378584</v>
      </c>
      <c r="AL41" s="201">
        <v>1.1995133054775287</v>
      </c>
      <c r="AM41" s="201">
        <v>1.2271021115035117</v>
      </c>
      <c r="AN41" s="201">
        <v>1.2553254600680923</v>
      </c>
      <c r="AO41" s="201">
        <v>1.2841979456496584</v>
      </c>
      <c r="AP41" s="201">
        <v>1.3137344983996007</v>
      </c>
      <c r="AQ41" s="201">
        <v>1.3439503918627913</v>
      </c>
      <c r="AR41" s="201">
        <v>1.374861250875635</v>
      </c>
      <c r="AS41" s="201">
        <v>1.4064830596457745</v>
      </c>
      <c r="AT41" s="201">
        <v>1.4388321700176272</v>
      </c>
      <c r="AU41" s="201">
        <v>1</v>
      </c>
      <c r="AV41" s="201">
        <v>1.0229999999999999</v>
      </c>
      <c r="AW41" s="201">
        <v>1.0465289999999998</v>
      </c>
      <c r="AX41" s="201">
        <v>1.0573213826912555</v>
      </c>
      <c r="AY41" s="201">
        <v>1.0687898064113339</v>
      </c>
      <c r="AZ41" s="201">
        <v>1.0809089916969443</v>
      </c>
      <c r="BA41" s="201">
        <v>1.0936577958137255</v>
      </c>
      <c r="BB41" s="201">
        <v>1.1070186286995183</v>
      </c>
      <c r="BC41" s="201">
        <v>1.1209769671951608</v>
      </c>
      <c r="BD41" s="201">
        <v>1.13552094979005</v>
      </c>
      <c r="BE41" s="201">
        <v>1.1506410374287137</v>
      </c>
      <c r="BF41" s="201">
        <v>1.1663297286293799</v>
      </c>
      <c r="BG41" s="201">
        <v>1.1825813193957087</v>
      </c>
      <c r="BH41" s="201">
        <v>1.1993917001987977</v>
      </c>
      <c r="BI41" s="201">
        <v>1.2167581837451031</v>
      </c>
      <c r="BJ41" s="201">
        <v>1.2346793584097975</v>
      </c>
      <c r="BK41" s="201">
        <v>1.253154963149737</v>
      </c>
      <c r="BL41" s="201">
        <v>1</v>
      </c>
      <c r="BM41" s="201">
        <v>1.0075087154733169</v>
      </c>
      <c r="BN41" s="201">
        <v>1.0150174309466338</v>
      </c>
      <c r="BO41" s="201">
        <v>1.0225261464199509</v>
      </c>
      <c r="BP41" s="201">
        <v>1.0300348618932678</v>
      </c>
      <c r="BQ41" s="201">
        <v>1.0375435773665846</v>
      </c>
      <c r="BR41" s="201">
        <v>1.0450522928399046</v>
      </c>
      <c r="BS41" s="201">
        <v>1.0458970233306526</v>
      </c>
      <c r="BT41" s="201">
        <v>1.0467417538213979</v>
      </c>
      <c r="BU41" s="201">
        <v>1.0475864843121492</v>
      </c>
      <c r="BV41" s="201">
        <v>1.0484312148028971</v>
      </c>
      <c r="BW41" s="201">
        <v>1.0492759452936424</v>
      </c>
      <c r="BX41" s="201">
        <v>1.0501206757843937</v>
      </c>
      <c r="BY41" s="201">
        <v>1.0509654062751417</v>
      </c>
      <c r="BZ41" s="201">
        <v>1.0518101367658899</v>
      </c>
      <c r="CA41" s="201">
        <v>1.0526548672566383</v>
      </c>
      <c r="CB41" s="201">
        <v>1.0534995977473862</v>
      </c>
    </row>
    <row r="42" spans="1:80" x14ac:dyDescent="0.35">
      <c r="A42" t="s">
        <v>737</v>
      </c>
      <c r="B42" t="s">
        <v>871</v>
      </c>
      <c r="C42" s="206" t="s">
        <v>845</v>
      </c>
      <c r="D42" t="s">
        <v>736</v>
      </c>
      <c r="E42" s="130">
        <v>167.83852053742339</v>
      </c>
      <c r="F42" s="130">
        <f>NYSERDA_SupplyCurve_Raw[[#This Row],[Available Capacity (MWac)]]*NYSERDA_SupplyCurve_Raw[[#This Row],[2024 Weighted Avg Resource CapEx ($/kWac)]]</f>
        <v>411169.51890233019</v>
      </c>
      <c r="G42" s="130">
        <f>NYSERDA_SupplyCurve_Raw[[#This Row],[Available Capacity (MWac)]]*NYSERDA_SupplyCurve_Raw[[#This Row],[2024 Weighted Avg OpEx ($/kWac-year)]]</f>
        <v>9414.7159469812068</v>
      </c>
      <c r="H42" s="130">
        <v>2449.792321725397</v>
      </c>
      <c r="I42" s="130">
        <v>291.59366782910922</v>
      </c>
      <c r="J42" s="130">
        <v>56.093892610796594</v>
      </c>
      <c r="K42" s="130">
        <f>NYSERDA_SupplyCurve_Raw[[#This Row],[2024 Weighted Avg Capacity Factor]]*NYSERDA_SupplyCurve_Raw[[#This Row],[Available Capacity (MWac)]]</f>
        <v>63.185248289453824</v>
      </c>
      <c r="L42" s="205">
        <v>0.37646452129781044</v>
      </c>
      <c r="M42" s="201">
        <v>1</v>
      </c>
      <c r="N42" s="201">
        <v>1.0230000000000001</v>
      </c>
      <c r="O42" s="201">
        <v>1.0465289999999998</v>
      </c>
      <c r="P42" s="201">
        <v>1.0598020575021097</v>
      </c>
      <c r="Q42" s="201">
        <v>1.0736988159192502</v>
      </c>
      <c r="R42" s="201">
        <v>1.0882033073746558</v>
      </c>
      <c r="S42" s="201">
        <v>1.1033026104404515</v>
      </c>
      <c r="T42" s="201">
        <v>1.1189864388040103</v>
      </c>
      <c r="U42" s="201">
        <v>1.1352467977755543</v>
      </c>
      <c r="V42" s="201">
        <v>1.1520776967604647</v>
      </c>
      <c r="W42" s="201">
        <v>1.169474907930673</v>
      </c>
      <c r="X42" s="201">
        <v>1.1874357630816734</v>
      </c>
      <c r="Y42" s="201">
        <v>1.2059589821346142</v>
      </c>
      <c r="Z42" s="201">
        <v>1.2250445279429278</v>
      </c>
      <c r="AA42" s="201">
        <v>1.2446934830326641</v>
      </c>
      <c r="AB42" s="201">
        <v>1.2649079446978337</v>
      </c>
      <c r="AC42" s="201">
        <v>1.2856909355124984</v>
      </c>
      <c r="AD42" s="201">
        <v>1</v>
      </c>
      <c r="AE42" s="201">
        <v>1.0229999999999999</v>
      </c>
      <c r="AF42" s="201">
        <v>1.0465289999999996</v>
      </c>
      <c r="AG42" s="201">
        <v>1.0705991669999995</v>
      </c>
      <c r="AH42" s="201">
        <v>1.0952229478409994</v>
      </c>
      <c r="AI42" s="201">
        <v>1.1204130756413422</v>
      </c>
      <c r="AJ42" s="201">
        <v>1.1461825763810929</v>
      </c>
      <c r="AK42" s="201">
        <v>1.172544775637858</v>
      </c>
      <c r="AL42" s="201">
        <v>1.1995133054775287</v>
      </c>
      <c r="AM42" s="201">
        <v>1.2271021115035117</v>
      </c>
      <c r="AN42" s="201">
        <v>1.2553254600680925</v>
      </c>
      <c r="AO42" s="201">
        <v>1.2841979456496586</v>
      </c>
      <c r="AP42" s="201">
        <v>1.3137344983996002</v>
      </c>
      <c r="AQ42" s="201">
        <v>1.3439503918627913</v>
      </c>
      <c r="AR42" s="201">
        <v>1.3748612508756353</v>
      </c>
      <c r="AS42" s="201">
        <v>1.4064830596457745</v>
      </c>
      <c r="AT42" s="201">
        <v>1.4388321700176274</v>
      </c>
      <c r="AU42" s="201">
        <v>1</v>
      </c>
      <c r="AV42" s="201">
        <v>1.0230000000000001</v>
      </c>
      <c r="AW42" s="201">
        <v>1.046529</v>
      </c>
      <c r="AX42" s="201">
        <v>1.0573213826912555</v>
      </c>
      <c r="AY42" s="201">
        <v>1.0687898064113339</v>
      </c>
      <c r="AZ42" s="201">
        <v>1.0809089916969445</v>
      </c>
      <c r="BA42" s="201">
        <v>1.0936577958137252</v>
      </c>
      <c r="BB42" s="201">
        <v>1.1070186286995185</v>
      </c>
      <c r="BC42" s="201">
        <v>1.1209769671951606</v>
      </c>
      <c r="BD42" s="201">
        <v>1.1355209497900498</v>
      </c>
      <c r="BE42" s="201">
        <v>1.1506410374287142</v>
      </c>
      <c r="BF42" s="201">
        <v>1.1663297286293801</v>
      </c>
      <c r="BG42" s="201">
        <v>1.1825813193957091</v>
      </c>
      <c r="BH42" s="201">
        <v>1.1993917001987979</v>
      </c>
      <c r="BI42" s="201">
        <v>1.2167581837451034</v>
      </c>
      <c r="BJ42" s="201">
        <v>1.2346793584097975</v>
      </c>
      <c r="BK42" s="201">
        <v>1.2531549631497374</v>
      </c>
      <c r="BL42" s="201">
        <v>1</v>
      </c>
      <c r="BM42" s="201">
        <v>1.0075087154733169</v>
      </c>
      <c r="BN42" s="201">
        <v>1.0150174309466338</v>
      </c>
      <c r="BO42" s="201">
        <v>1.0225261464199509</v>
      </c>
      <c r="BP42" s="201">
        <v>1.0300348618932678</v>
      </c>
      <c r="BQ42" s="201">
        <v>1.0375435773665846</v>
      </c>
      <c r="BR42" s="201">
        <v>1.0450522928399046</v>
      </c>
      <c r="BS42" s="201">
        <v>1.0458970233306526</v>
      </c>
      <c r="BT42" s="201">
        <v>1.0467417538213979</v>
      </c>
      <c r="BU42" s="201">
        <v>1.0475864843121492</v>
      </c>
      <c r="BV42" s="201">
        <v>1.0484312148028971</v>
      </c>
      <c r="BW42" s="201">
        <v>1.0492759452936424</v>
      </c>
      <c r="BX42" s="201">
        <v>1.0501206757843937</v>
      </c>
      <c r="BY42" s="201">
        <v>1.0509654062751417</v>
      </c>
      <c r="BZ42" s="201">
        <v>1.0518101367658899</v>
      </c>
      <c r="CA42" s="201">
        <v>1.0526548672566383</v>
      </c>
      <c r="CB42" s="201">
        <v>1.0534995977473862</v>
      </c>
    </row>
    <row r="43" spans="1:80" x14ac:dyDescent="0.35">
      <c r="A43" t="s">
        <v>737</v>
      </c>
      <c r="B43" t="s">
        <v>872</v>
      </c>
      <c r="C43" s="206" t="s">
        <v>843</v>
      </c>
      <c r="D43" t="s">
        <v>736</v>
      </c>
      <c r="E43" s="130">
        <v>254.65607618057103</v>
      </c>
      <c r="F43" s="130">
        <f>NYSERDA_SupplyCurve_Raw[[#This Row],[Available Capacity (MWac)]]*NYSERDA_SupplyCurve_Raw[[#This Row],[2024 Weighted Avg Resource CapEx ($/kWac)]]</f>
        <v>624822.86192249367</v>
      </c>
      <c r="G43" s="130">
        <f>NYSERDA_SupplyCurve_Raw[[#This Row],[Available Capacity (MWac)]]*NYSERDA_SupplyCurve_Raw[[#This Row],[2024 Weighted Avg OpEx ($/kWac-year)]]</f>
        <v>14597.225794896603</v>
      </c>
      <c r="H43" s="130">
        <v>2453.5949477186064</v>
      </c>
      <c r="I43" s="130">
        <v>157.10100994515022</v>
      </c>
      <c r="J43" s="130">
        <v>57.321333202927505</v>
      </c>
      <c r="K43" s="130">
        <f>NYSERDA_SupplyCurve_Raw[[#This Row],[2024 Weighted Avg Capacity Factor]]*NYSERDA_SupplyCurve_Raw[[#This Row],[Available Capacity (MWac)]]</f>
        <v>76.011049954151758</v>
      </c>
      <c r="L43" s="205">
        <v>0.29848512195033583</v>
      </c>
      <c r="M43" s="201">
        <v>1</v>
      </c>
      <c r="N43" s="201">
        <v>1.0229999999999997</v>
      </c>
      <c r="O43" s="201">
        <v>1.0465289999999998</v>
      </c>
      <c r="P43" s="201">
        <v>1.0598020575021099</v>
      </c>
      <c r="Q43" s="201">
        <v>1.0736988159192504</v>
      </c>
      <c r="R43" s="201">
        <v>1.0882033073746558</v>
      </c>
      <c r="S43" s="201">
        <v>1.1033026104404513</v>
      </c>
      <c r="T43" s="201">
        <v>1.1189864388040098</v>
      </c>
      <c r="U43" s="201">
        <v>1.135246797775554</v>
      </c>
      <c r="V43" s="201">
        <v>1.1520776967604647</v>
      </c>
      <c r="W43" s="201">
        <v>1.1694749079306725</v>
      </c>
      <c r="X43" s="201">
        <v>1.1874357630816732</v>
      </c>
      <c r="Y43" s="201">
        <v>1.2059589821346142</v>
      </c>
      <c r="Z43" s="201">
        <v>1.2250445279429274</v>
      </c>
      <c r="AA43" s="201">
        <v>1.2446934830326639</v>
      </c>
      <c r="AB43" s="201">
        <v>1.2649079446978333</v>
      </c>
      <c r="AC43" s="201">
        <v>1.2856909355124988</v>
      </c>
      <c r="AD43" s="201">
        <v>1</v>
      </c>
      <c r="AE43" s="201">
        <v>1.0229999999999997</v>
      </c>
      <c r="AF43" s="201">
        <v>1.0465289999999996</v>
      </c>
      <c r="AG43" s="201">
        <v>1.0705991669999997</v>
      </c>
      <c r="AH43" s="201">
        <v>1.0952229478409994</v>
      </c>
      <c r="AI43" s="201">
        <v>1.1204130756413426</v>
      </c>
      <c r="AJ43" s="201">
        <v>1.1461825763810931</v>
      </c>
      <c r="AK43" s="201">
        <v>1.1725447756378582</v>
      </c>
      <c r="AL43" s="201">
        <v>1.1995133054775289</v>
      </c>
      <c r="AM43" s="201">
        <v>1.2271021115035119</v>
      </c>
      <c r="AN43" s="201">
        <v>1.2553254600680925</v>
      </c>
      <c r="AO43" s="201">
        <v>1.2841979456496584</v>
      </c>
      <c r="AP43" s="201">
        <v>1.3137344983996009</v>
      </c>
      <c r="AQ43" s="201">
        <v>1.3439503918627913</v>
      </c>
      <c r="AR43" s="201">
        <v>1.374861250875635</v>
      </c>
      <c r="AS43" s="201">
        <v>1.4064830596457747</v>
      </c>
      <c r="AT43" s="201">
        <v>1.4388321700176274</v>
      </c>
      <c r="AU43" s="201">
        <v>1</v>
      </c>
      <c r="AV43" s="201">
        <v>1.0229999999999999</v>
      </c>
      <c r="AW43" s="201">
        <v>1.0465289999999998</v>
      </c>
      <c r="AX43" s="201">
        <v>1.0573213826912555</v>
      </c>
      <c r="AY43" s="201">
        <v>1.0687898064113337</v>
      </c>
      <c r="AZ43" s="201">
        <v>1.0809089916969443</v>
      </c>
      <c r="BA43" s="201">
        <v>1.0936577958137252</v>
      </c>
      <c r="BB43" s="201">
        <v>1.1070186286995185</v>
      </c>
      <c r="BC43" s="201">
        <v>1.1209769671951606</v>
      </c>
      <c r="BD43" s="201">
        <v>1.1355209497900498</v>
      </c>
      <c r="BE43" s="201">
        <v>1.1506410374287139</v>
      </c>
      <c r="BF43" s="201">
        <v>1.1663297286293799</v>
      </c>
      <c r="BG43" s="201">
        <v>1.1825813193957089</v>
      </c>
      <c r="BH43" s="201">
        <v>1.1993917001987977</v>
      </c>
      <c r="BI43" s="201">
        <v>1.2167581837451034</v>
      </c>
      <c r="BJ43" s="201">
        <v>1.2346793584097977</v>
      </c>
      <c r="BK43" s="201">
        <v>1.2531549631497374</v>
      </c>
      <c r="BL43" s="201">
        <v>1</v>
      </c>
      <c r="BM43" s="201">
        <v>1.0075087154733169</v>
      </c>
      <c r="BN43" s="201">
        <v>1.0150174309466338</v>
      </c>
      <c r="BO43" s="201">
        <v>1.0225261464199509</v>
      </c>
      <c r="BP43" s="201">
        <v>1.0300348618932678</v>
      </c>
      <c r="BQ43" s="201">
        <v>1.0375435773665846</v>
      </c>
      <c r="BR43" s="201">
        <v>1.0450522928399046</v>
      </c>
      <c r="BS43" s="201">
        <v>1.0458970233306526</v>
      </c>
      <c r="BT43" s="201">
        <v>1.0467417538213979</v>
      </c>
      <c r="BU43" s="201">
        <v>1.0475864843121492</v>
      </c>
      <c r="BV43" s="201">
        <v>1.0484312148028971</v>
      </c>
      <c r="BW43" s="201">
        <v>1.0492759452936424</v>
      </c>
      <c r="BX43" s="201">
        <v>1.0501206757843937</v>
      </c>
      <c r="BY43" s="201">
        <v>1.0509654062751417</v>
      </c>
      <c r="BZ43" s="201">
        <v>1.0518101367658899</v>
      </c>
      <c r="CA43" s="201">
        <v>1.0526548672566383</v>
      </c>
      <c r="CB43" s="201">
        <v>1.0534995977473862</v>
      </c>
    </row>
    <row r="44" spans="1:80" x14ac:dyDescent="0.35">
      <c r="A44" t="s">
        <v>737</v>
      </c>
      <c r="B44" t="s">
        <v>873</v>
      </c>
      <c r="C44" s="206" t="s">
        <v>854</v>
      </c>
      <c r="D44" t="s">
        <v>736</v>
      </c>
      <c r="E44" s="130">
        <v>395.48039230043918</v>
      </c>
      <c r="F44" s="130">
        <f>NYSERDA_SupplyCurve_Raw[[#This Row],[Available Capacity (MWac)]]*NYSERDA_SupplyCurve_Raw[[#This Row],[2024 Weighted Avg Resource CapEx ($/kWac)]]</f>
        <v>1030765.3908804153</v>
      </c>
      <c r="G44" s="130">
        <f>NYSERDA_SupplyCurve_Raw[[#This Row],[Available Capacity (MWac)]]*NYSERDA_SupplyCurve_Raw[[#This Row],[2024 Weighted Avg OpEx ($/kWac-year)]]</f>
        <v>22669.463342277959</v>
      </c>
      <c r="H44" s="130">
        <v>2606.3628208838272</v>
      </c>
      <c r="I44" s="130">
        <v>193.48779801325014</v>
      </c>
      <c r="J44" s="130">
        <v>57.321333202927505</v>
      </c>
      <c r="K44" s="130">
        <f>NYSERDA_SupplyCurve_Raw[[#This Row],[2024 Weighted Avg Capacity Factor]]*NYSERDA_SupplyCurve_Raw[[#This Row],[Available Capacity (MWac)]]</f>
        <v>151.75290891825412</v>
      </c>
      <c r="L44" s="205">
        <v>0.38371790832798158</v>
      </c>
      <c r="M44" s="201">
        <v>1</v>
      </c>
      <c r="N44" s="201">
        <v>1.0229999999999999</v>
      </c>
      <c r="O44" s="201">
        <v>1.0465289999999996</v>
      </c>
      <c r="P44" s="201">
        <v>1.0598020575021094</v>
      </c>
      <c r="Q44" s="201">
        <v>1.0736988159192502</v>
      </c>
      <c r="R44" s="201">
        <v>1.0882033073746558</v>
      </c>
      <c r="S44" s="201">
        <v>1.1033026104404513</v>
      </c>
      <c r="T44" s="201">
        <v>1.1189864388040101</v>
      </c>
      <c r="U44" s="201">
        <v>1.135246797775554</v>
      </c>
      <c r="V44" s="201">
        <v>1.1520776967604647</v>
      </c>
      <c r="W44" s="201">
        <v>1.1694749079306728</v>
      </c>
      <c r="X44" s="201">
        <v>1.1874357630816732</v>
      </c>
      <c r="Y44" s="201">
        <v>1.2059589821346142</v>
      </c>
      <c r="Z44" s="201">
        <v>1.2250445279429274</v>
      </c>
      <c r="AA44" s="201">
        <v>1.2446934830326639</v>
      </c>
      <c r="AB44" s="201">
        <v>1.2649079446978333</v>
      </c>
      <c r="AC44" s="201">
        <v>1.2856909355124986</v>
      </c>
      <c r="AD44" s="201">
        <v>1</v>
      </c>
      <c r="AE44" s="201">
        <v>1.0229999999999999</v>
      </c>
      <c r="AF44" s="201">
        <v>1.0465289999999998</v>
      </c>
      <c r="AG44" s="201">
        <v>1.0705991669999999</v>
      </c>
      <c r="AH44" s="201">
        <v>1.0952229478409996</v>
      </c>
      <c r="AI44" s="201">
        <v>1.1204130756413426</v>
      </c>
      <c r="AJ44" s="201">
        <v>1.1461825763810931</v>
      </c>
      <c r="AK44" s="201">
        <v>1.1725447756378586</v>
      </c>
      <c r="AL44" s="201">
        <v>1.1995133054775289</v>
      </c>
      <c r="AM44" s="201">
        <v>1.2271021115035119</v>
      </c>
      <c r="AN44" s="201">
        <v>1.2553254600680925</v>
      </c>
      <c r="AO44" s="201">
        <v>1.2841979456496588</v>
      </c>
      <c r="AP44" s="201">
        <v>1.3137344983996009</v>
      </c>
      <c r="AQ44" s="201">
        <v>1.3439503918627915</v>
      </c>
      <c r="AR44" s="201">
        <v>1.3748612508756355</v>
      </c>
      <c r="AS44" s="201">
        <v>1.4064830596457747</v>
      </c>
      <c r="AT44" s="201">
        <v>1.4388321700176274</v>
      </c>
      <c r="AU44" s="201">
        <v>1</v>
      </c>
      <c r="AV44" s="201">
        <v>1.0229999999999999</v>
      </c>
      <c r="AW44" s="201">
        <v>1.0465289999999998</v>
      </c>
      <c r="AX44" s="201">
        <v>1.0573213826912555</v>
      </c>
      <c r="AY44" s="201">
        <v>1.0687898064113339</v>
      </c>
      <c r="AZ44" s="201">
        <v>1.0809089916969443</v>
      </c>
      <c r="BA44" s="201">
        <v>1.0936577958137252</v>
      </c>
      <c r="BB44" s="201">
        <v>1.1070186286995183</v>
      </c>
      <c r="BC44" s="201">
        <v>1.1209769671951608</v>
      </c>
      <c r="BD44" s="201">
        <v>1.1355209497900498</v>
      </c>
      <c r="BE44" s="201">
        <v>1.1506410374287139</v>
      </c>
      <c r="BF44" s="201">
        <v>1.1663297286293799</v>
      </c>
      <c r="BG44" s="201">
        <v>1.1825813193957089</v>
      </c>
      <c r="BH44" s="201">
        <v>1.1993917001987977</v>
      </c>
      <c r="BI44" s="201">
        <v>1.2167581837451034</v>
      </c>
      <c r="BJ44" s="201">
        <v>1.2346793584097977</v>
      </c>
      <c r="BK44" s="201">
        <v>1.2531549631497374</v>
      </c>
      <c r="BL44" s="201">
        <v>1</v>
      </c>
      <c r="BM44" s="201">
        <v>1.0075087154733169</v>
      </c>
      <c r="BN44" s="201">
        <v>1.0150174309466338</v>
      </c>
      <c r="BO44" s="201">
        <v>1.0225261464199509</v>
      </c>
      <c r="BP44" s="201">
        <v>1.0300348618932678</v>
      </c>
      <c r="BQ44" s="201">
        <v>1.0375435773665846</v>
      </c>
      <c r="BR44" s="201">
        <v>1.0450522928399046</v>
      </c>
      <c r="BS44" s="201">
        <v>1.0458970233306526</v>
      </c>
      <c r="BT44" s="201">
        <v>1.0467417538213979</v>
      </c>
      <c r="BU44" s="201">
        <v>1.0475864843121492</v>
      </c>
      <c r="BV44" s="201">
        <v>1.0484312148028971</v>
      </c>
      <c r="BW44" s="201">
        <v>1.0492759452936424</v>
      </c>
      <c r="BX44" s="201">
        <v>1.0501206757843937</v>
      </c>
      <c r="BY44" s="201">
        <v>1.0509654062751417</v>
      </c>
      <c r="BZ44" s="201">
        <v>1.0518101367658899</v>
      </c>
      <c r="CA44" s="201">
        <v>1.0526548672566383</v>
      </c>
      <c r="CB44" s="201">
        <v>1.0534995977473862</v>
      </c>
    </row>
    <row r="45" spans="1:80" x14ac:dyDescent="0.35">
      <c r="A45" t="s">
        <v>737</v>
      </c>
      <c r="B45" t="s">
        <v>874</v>
      </c>
      <c r="C45" s="206" t="s">
        <v>839</v>
      </c>
      <c r="D45" t="s">
        <v>736</v>
      </c>
      <c r="E45" s="130">
        <v>101.75087485360474</v>
      </c>
      <c r="F45" s="130">
        <f>NYSERDA_SupplyCurve_Raw[[#This Row],[Available Capacity (MWac)]]*NYSERDA_SupplyCurve_Raw[[#This Row],[2024 Weighted Avg Resource CapEx ($/kWac)]]</f>
        <v>254376.50665990839</v>
      </c>
      <c r="G45" s="130">
        <f>NYSERDA_SupplyCurve_Raw[[#This Row],[Available Capacity (MWac)]]*NYSERDA_SupplyCurve_Raw[[#This Row],[2024 Weighted Avg OpEx ($/kWac-year)]]</f>
        <v>5898.9283299388881</v>
      </c>
      <c r="H45" s="130">
        <v>2499.9933123513242</v>
      </c>
      <c r="I45" s="130">
        <v>115.97796719867905</v>
      </c>
      <c r="J45" s="130">
        <v>57.974227134912006</v>
      </c>
      <c r="K45" s="130">
        <f>NYSERDA_SupplyCurve_Raw[[#This Row],[2024 Weighted Avg Capacity Factor]]*NYSERDA_SupplyCurve_Raw[[#This Row],[Available Capacity (MWac)]]</f>
        <v>36.386931129469659</v>
      </c>
      <c r="L45" s="205">
        <v>0.35760804201262919</v>
      </c>
      <c r="M45" s="201">
        <v>1</v>
      </c>
      <c r="N45" s="201">
        <v>1.0229999999999999</v>
      </c>
      <c r="O45" s="201">
        <v>1.0465289999999996</v>
      </c>
      <c r="P45" s="201">
        <v>1.0598020575021094</v>
      </c>
      <c r="Q45" s="201">
        <v>1.0736988159192502</v>
      </c>
      <c r="R45" s="201">
        <v>1.0882033073746555</v>
      </c>
      <c r="S45" s="201">
        <v>1.1033026104404513</v>
      </c>
      <c r="T45" s="201">
        <v>1.1189864388040098</v>
      </c>
      <c r="U45" s="201">
        <v>1.1352467977755538</v>
      </c>
      <c r="V45" s="201">
        <v>1.1520776967604647</v>
      </c>
      <c r="W45" s="201">
        <v>1.1694749079306725</v>
      </c>
      <c r="X45" s="201">
        <v>1.1874357630816732</v>
      </c>
      <c r="Y45" s="201">
        <v>1.2059589821346139</v>
      </c>
      <c r="Z45" s="201">
        <v>1.2250445279429274</v>
      </c>
      <c r="AA45" s="201">
        <v>1.2446934830326639</v>
      </c>
      <c r="AB45" s="201">
        <v>1.2649079446978333</v>
      </c>
      <c r="AC45" s="201">
        <v>1.2856909355124986</v>
      </c>
      <c r="AD45" s="201">
        <v>1</v>
      </c>
      <c r="AE45" s="201">
        <v>1.0230000000000001</v>
      </c>
      <c r="AF45" s="201">
        <v>1.0465289999999998</v>
      </c>
      <c r="AG45" s="201">
        <v>1.0705991669999999</v>
      </c>
      <c r="AH45" s="201">
        <v>1.0952229478409996</v>
      </c>
      <c r="AI45" s="201">
        <v>1.1204130756413426</v>
      </c>
      <c r="AJ45" s="201">
        <v>1.1461825763810933</v>
      </c>
      <c r="AK45" s="201">
        <v>1.1725447756378582</v>
      </c>
      <c r="AL45" s="201">
        <v>1.1995133054775289</v>
      </c>
      <c r="AM45" s="201">
        <v>1.2271021115035119</v>
      </c>
      <c r="AN45" s="201">
        <v>1.2553254600680928</v>
      </c>
      <c r="AO45" s="201">
        <v>1.2841979456496586</v>
      </c>
      <c r="AP45" s="201">
        <v>1.3137344983996007</v>
      </c>
      <c r="AQ45" s="201">
        <v>1.3439503918627915</v>
      </c>
      <c r="AR45" s="201">
        <v>1.374861250875635</v>
      </c>
      <c r="AS45" s="201">
        <v>1.4064830596457745</v>
      </c>
      <c r="AT45" s="201">
        <v>1.4388321700176274</v>
      </c>
      <c r="AU45" s="201">
        <v>1</v>
      </c>
      <c r="AV45" s="201">
        <v>1.0229999999999999</v>
      </c>
      <c r="AW45" s="201">
        <v>1.0465289999999998</v>
      </c>
      <c r="AX45" s="201">
        <v>1.0573213826912558</v>
      </c>
      <c r="AY45" s="201">
        <v>1.0687898064113341</v>
      </c>
      <c r="AZ45" s="201">
        <v>1.0809089916969445</v>
      </c>
      <c r="BA45" s="201">
        <v>1.0936577958137252</v>
      </c>
      <c r="BB45" s="201">
        <v>1.1070186286995185</v>
      </c>
      <c r="BC45" s="201">
        <v>1.1209769671951606</v>
      </c>
      <c r="BD45" s="201">
        <v>1.13552094979005</v>
      </c>
      <c r="BE45" s="201">
        <v>1.1506410374287139</v>
      </c>
      <c r="BF45" s="201">
        <v>1.1663297286293801</v>
      </c>
      <c r="BG45" s="201">
        <v>1.1825813193957091</v>
      </c>
      <c r="BH45" s="201">
        <v>1.1993917001987979</v>
      </c>
      <c r="BI45" s="201">
        <v>1.2167581837451036</v>
      </c>
      <c r="BJ45" s="201">
        <v>1.2346793584097977</v>
      </c>
      <c r="BK45" s="201">
        <v>1.2531549631497374</v>
      </c>
      <c r="BL45" s="201">
        <v>1</v>
      </c>
      <c r="BM45" s="201">
        <v>1.0075087154733169</v>
      </c>
      <c r="BN45" s="201">
        <v>1.0150174309466338</v>
      </c>
      <c r="BO45" s="201">
        <v>1.0225261464199509</v>
      </c>
      <c r="BP45" s="201">
        <v>1.0300348618932678</v>
      </c>
      <c r="BQ45" s="201">
        <v>1.0375435773665846</v>
      </c>
      <c r="BR45" s="201">
        <v>1.0450522928399046</v>
      </c>
      <c r="BS45" s="201">
        <v>1.0458970233306526</v>
      </c>
      <c r="BT45" s="201">
        <v>1.0467417538213979</v>
      </c>
      <c r="BU45" s="201">
        <v>1.0475864843121492</v>
      </c>
      <c r="BV45" s="201">
        <v>1.0484312148028971</v>
      </c>
      <c r="BW45" s="201">
        <v>1.0492759452936424</v>
      </c>
      <c r="BX45" s="201">
        <v>1.0501206757843937</v>
      </c>
      <c r="BY45" s="201">
        <v>1.0509654062751417</v>
      </c>
      <c r="BZ45" s="201">
        <v>1.0518101367658899</v>
      </c>
      <c r="CA45" s="201">
        <v>1.0526548672566383</v>
      </c>
      <c r="CB45" s="201">
        <v>1.0534995977473862</v>
      </c>
    </row>
    <row r="46" spans="1:80" x14ac:dyDescent="0.35">
      <c r="A46" t="s">
        <v>737</v>
      </c>
      <c r="B46" t="s">
        <v>874</v>
      </c>
      <c r="C46" s="206" t="s">
        <v>839</v>
      </c>
      <c r="D46" t="s">
        <v>742</v>
      </c>
      <c r="E46" s="130">
        <v>108.43222675461851</v>
      </c>
      <c r="F46" s="130">
        <f>NYSERDA_SupplyCurve_Raw[[#This Row],[Available Capacity (MWac)]]*NYSERDA_SupplyCurve_Raw[[#This Row],[2024 Weighted Avg Resource CapEx ($/kWac)]]</f>
        <v>359402.09967142268</v>
      </c>
      <c r="G46" s="130">
        <f>NYSERDA_SupplyCurve_Raw[[#This Row],[Available Capacity (MWac)]]*NYSERDA_SupplyCurve_Raw[[#This Row],[2024 Weighted Avg OpEx ($/kWac-year)]]</f>
        <v>6286.2745426165366</v>
      </c>
      <c r="H46" s="130">
        <v>3314.5321315290103</v>
      </c>
      <c r="I46" s="130">
        <v>105.29407693555977</v>
      </c>
      <c r="J46" s="130">
        <v>57.974227134912013</v>
      </c>
      <c r="K46" s="130">
        <f>NYSERDA_SupplyCurve_Raw[[#This Row],[2024 Weighted Avg Capacity Factor]]*NYSERDA_SupplyCurve_Raw[[#This Row],[Available Capacity (MWac)]]</f>
        <v>36.190730951926589</v>
      </c>
      <c r="L46" s="205">
        <v>0.33376360548073958</v>
      </c>
      <c r="M46" s="201">
        <v>1</v>
      </c>
      <c r="N46" s="201">
        <v>1.0229999999999997</v>
      </c>
      <c r="O46" s="201">
        <v>1.0465289999999996</v>
      </c>
      <c r="P46" s="201">
        <v>1.0598020575021097</v>
      </c>
      <c r="Q46" s="201">
        <v>1.0736988159192504</v>
      </c>
      <c r="R46" s="201">
        <v>1.0882033073746558</v>
      </c>
      <c r="S46" s="201">
        <v>1.1033026104404511</v>
      </c>
      <c r="T46" s="201">
        <v>1.1189864388040101</v>
      </c>
      <c r="U46" s="201">
        <v>1.1352467977755538</v>
      </c>
      <c r="V46" s="201">
        <v>1.1520776967604647</v>
      </c>
      <c r="W46" s="201">
        <v>1.1694749079306728</v>
      </c>
      <c r="X46" s="201">
        <v>1.1874357630816732</v>
      </c>
      <c r="Y46" s="201">
        <v>1.2059589821346139</v>
      </c>
      <c r="Z46" s="201">
        <v>1.2250445279429276</v>
      </c>
      <c r="AA46" s="201">
        <v>1.2446934830326639</v>
      </c>
      <c r="AB46" s="201">
        <v>1.2649079446978335</v>
      </c>
      <c r="AC46" s="201">
        <v>1.2856909355124986</v>
      </c>
      <c r="AD46" s="201">
        <v>1</v>
      </c>
      <c r="AE46" s="201">
        <v>1.0229999999999999</v>
      </c>
      <c r="AF46" s="201">
        <v>1.0465289999999996</v>
      </c>
      <c r="AG46" s="201">
        <v>1.0705991669999997</v>
      </c>
      <c r="AH46" s="201">
        <v>1.0952229478409994</v>
      </c>
      <c r="AI46" s="201">
        <v>1.1204130756413424</v>
      </c>
      <c r="AJ46" s="201">
        <v>1.1461825763810931</v>
      </c>
      <c r="AK46" s="201">
        <v>1.1725447756378582</v>
      </c>
      <c r="AL46" s="201">
        <v>1.1995133054775289</v>
      </c>
      <c r="AM46" s="201">
        <v>1.2271021115035119</v>
      </c>
      <c r="AN46" s="201">
        <v>1.2553254600680925</v>
      </c>
      <c r="AO46" s="201">
        <v>1.2841979456496586</v>
      </c>
      <c r="AP46" s="201">
        <v>1.3137344983996004</v>
      </c>
      <c r="AQ46" s="201">
        <v>1.3439503918627913</v>
      </c>
      <c r="AR46" s="201">
        <v>1.374861250875635</v>
      </c>
      <c r="AS46" s="201">
        <v>1.4064830596457745</v>
      </c>
      <c r="AT46" s="201">
        <v>1.4388321700176272</v>
      </c>
      <c r="AU46" s="201">
        <v>1</v>
      </c>
      <c r="AV46" s="201">
        <v>1.0229999999999997</v>
      </c>
      <c r="AW46" s="201">
        <v>1.0465289999999998</v>
      </c>
      <c r="AX46" s="201">
        <v>1.0573213826912555</v>
      </c>
      <c r="AY46" s="201">
        <v>1.0687898064113337</v>
      </c>
      <c r="AZ46" s="201">
        <v>1.0809089916969445</v>
      </c>
      <c r="BA46" s="201">
        <v>1.0936577958137252</v>
      </c>
      <c r="BB46" s="201">
        <v>1.1070186286995185</v>
      </c>
      <c r="BC46" s="201">
        <v>1.1209769671951604</v>
      </c>
      <c r="BD46" s="201">
        <v>1.1355209497900498</v>
      </c>
      <c r="BE46" s="201">
        <v>1.1506410374287139</v>
      </c>
      <c r="BF46" s="201">
        <v>1.1663297286293799</v>
      </c>
      <c r="BG46" s="201">
        <v>1.1825813193957089</v>
      </c>
      <c r="BH46" s="201">
        <v>1.1993917001987979</v>
      </c>
      <c r="BI46" s="201">
        <v>1.2167581837451034</v>
      </c>
      <c r="BJ46" s="201">
        <v>1.2346793584097975</v>
      </c>
      <c r="BK46" s="201">
        <v>1.2531549631497372</v>
      </c>
      <c r="BL46" s="201">
        <v>1</v>
      </c>
      <c r="BM46" s="201">
        <v>1.0075087154733169</v>
      </c>
      <c r="BN46" s="201">
        <v>1.0150174309466338</v>
      </c>
      <c r="BO46" s="201">
        <v>1.0225261464199509</v>
      </c>
      <c r="BP46" s="201">
        <v>1.0300348618932678</v>
      </c>
      <c r="BQ46" s="201">
        <v>1.0375435773665846</v>
      </c>
      <c r="BR46" s="201">
        <v>1.0450522928399046</v>
      </c>
      <c r="BS46" s="201">
        <v>1.0458970233306526</v>
      </c>
      <c r="BT46" s="201">
        <v>1.0467417538213979</v>
      </c>
      <c r="BU46" s="201">
        <v>1.0475864843121492</v>
      </c>
      <c r="BV46" s="201">
        <v>1.0484312148028971</v>
      </c>
      <c r="BW46" s="201">
        <v>1.0492759452936424</v>
      </c>
      <c r="BX46" s="201">
        <v>1.0501206757843937</v>
      </c>
      <c r="BY46" s="201">
        <v>1.0509654062751417</v>
      </c>
      <c r="BZ46" s="201">
        <v>1.0518101367658899</v>
      </c>
      <c r="CA46" s="201">
        <v>1.0526548672566383</v>
      </c>
      <c r="CB46" s="201">
        <v>1.0534995977473862</v>
      </c>
    </row>
    <row r="47" spans="1:80" x14ac:dyDescent="0.35">
      <c r="A47" t="s">
        <v>737</v>
      </c>
      <c r="B47" t="s">
        <v>875</v>
      </c>
      <c r="C47" s="206" t="s">
        <v>854</v>
      </c>
      <c r="D47" t="s">
        <v>736</v>
      </c>
      <c r="E47" s="130">
        <v>1113.6612409514173</v>
      </c>
      <c r="F47" s="130">
        <f>NYSERDA_SupplyCurve_Raw[[#This Row],[Available Capacity (MWac)]]*NYSERDA_SupplyCurve_Raw[[#This Row],[2024 Weighted Avg Resource CapEx ($/kWac)]]</f>
        <v>2695483.8339525824</v>
      </c>
      <c r="G47" s="130">
        <f>NYSERDA_SupplyCurve_Raw[[#This Row],[Available Capacity (MWac)]]*NYSERDA_SupplyCurve_Raw[[#This Row],[2024 Weighted Avg OpEx ($/kWac-year)]]</f>
        <v>62673.18280135627</v>
      </c>
      <c r="H47" s="130">
        <v>2420.3803947148153</v>
      </c>
      <c r="I47" s="130">
        <v>138.33145826694235</v>
      </c>
      <c r="J47" s="130">
        <v>56.276702911752267</v>
      </c>
      <c r="K47" s="130">
        <f>NYSERDA_SupplyCurve_Raw[[#This Row],[2024 Weighted Avg Capacity Factor]]*NYSERDA_SupplyCurve_Raw[[#This Row],[Available Capacity (MWac)]]</f>
        <v>361.81957016001098</v>
      </c>
      <c r="L47" s="205">
        <v>0.32489194815732581</v>
      </c>
      <c r="M47" s="201">
        <v>1</v>
      </c>
      <c r="N47" s="201">
        <v>1.0229999999999997</v>
      </c>
      <c r="O47" s="201">
        <v>1.0465289999999994</v>
      </c>
      <c r="P47" s="201">
        <v>1.0598020575021092</v>
      </c>
      <c r="Q47" s="201">
        <v>1.0736988159192504</v>
      </c>
      <c r="R47" s="201">
        <v>1.0882033073746555</v>
      </c>
      <c r="S47" s="201">
        <v>1.1033026104404511</v>
      </c>
      <c r="T47" s="201">
        <v>1.1189864388040101</v>
      </c>
      <c r="U47" s="201">
        <v>1.1352467977755538</v>
      </c>
      <c r="V47" s="201">
        <v>1.1520776967604647</v>
      </c>
      <c r="W47" s="201">
        <v>1.1694749079306728</v>
      </c>
      <c r="X47" s="201">
        <v>1.187435763081673</v>
      </c>
      <c r="Y47" s="201">
        <v>1.2059589821346139</v>
      </c>
      <c r="Z47" s="201">
        <v>1.2250445279429276</v>
      </c>
      <c r="AA47" s="201">
        <v>1.2446934830326639</v>
      </c>
      <c r="AB47" s="201">
        <v>1.2649079446978335</v>
      </c>
      <c r="AC47" s="201">
        <v>1.2856909355124984</v>
      </c>
      <c r="AD47" s="201">
        <v>1</v>
      </c>
      <c r="AE47" s="201">
        <v>1.0229999999999999</v>
      </c>
      <c r="AF47" s="201">
        <v>1.0465289999999998</v>
      </c>
      <c r="AG47" s="201">
        <v>1.0705991669999997</v>
      </c>
      <c r="AH47" s="201">
        <v>1.0952229478409996</v>
      </c>
      <c r="AI47" s="201">
        <v>1.1204130756413426</v>
      </c>
      <c r="AJ47" s="201">
        <v>1.1461825763810933</v>
      </c>
      <c r="AK47" s="201">
        <v>1.1725447756378582</v>
      </c>
      <c r="AL47" s="201">
        <v>1.1995133054775287</v>
      </c>
      <c r="AM47" s="201">
        <v>1.2271021115035119</v>
      </c>
      <c r="AN47" s="201">
        <v>1.2553254600680928</v>
      </c>
      <c r="AO47" s="201">
        <v>1.2841979456496588</v>
      </c>
      <c r="AP47" s="201">
        <v>1.3137344983996004</v>
      </c>
      <c r="AQ47" s="201">
        <v>1.3439503918627913</v>
      </c>
      <c r="AR47" s="201">
        <v>1.3748612508756353</v>
      </c>
      <c r="AS47" s="201">
        <v>1.4064830596457745</v>
      </c>
      <c r="AT47" s="201">
        <v>1.4388321700176272</v>
      </c>
      <c r="AU47" s="201">
        <v>1</v>
      </c>
      <c r="AV47" s="201">
        <v>1.0229999999999999</v>
      </c>
      <c r="AW47" s="201">
        <v>1.0465289999999998</v>
      </c>
      <c r="AX47" s="201">
        <v>1.0573213826912558</v>
      </c>
      <c r="AY47" s="201">
        <v>1.0687898064113339</v>
      </c>
      <c r="AZ47" s="201">
        <v>1.0809089916969445</v>
      </c>
      <c r="BA47" s="201">
        <v>1.0936577958137252</v>
      </c>
      <c r="BB47" s="201">
        <v>1.1070186286995185</v>
      </c>
      <c r="BC47" s="201">
        <v>1.1209769671951608</v>
      </c>
      <c r="BD47" s="201">
        <v>1.13552094979005</v>
      </c>
      <c r="BE47" s="201">
        <v>1.1506410374287139</v>
      </c>
      <c r="BF47" s="201">
        <v>1.1663297286293803</v>
      </c>
      <c r="BG47" s="201">
        <v>1.1825813193957089</v>
      </c>
      <c r="BH47" s="201">
        <v>1.1993917001987979</v>
      </c>
      <c r="BI47" s="201">
        <v>1.2167581837451036</v>
      </c>
      <c r="BJ47" s="201">
        <v>1.2346793584097977</v>
      </c>
      <c r="BK47" s="201">
        <v>1.2531549631497372</v>
      </c>
      <c r="BL47" s="201">
        <v>1</v>
      </c>
      <c r="BM47" s="201">
        <v>1.0075087154733169</v>
      </c>
      <c r="BN47" s="201">
        <v>1.0150174309466338</v>
      </c>
      <c r="BO47" s="201">
        <v>1.0225261464199509</v>
      </c>
      <c r="BP47" s="201">
        <v>1.0300348618932678</v>
      </c>
      <c r="BQ47" s="201">
        <v>1.0375435773665846</v>
      </c>
      <c r="BR47" s="201">
        <v>1.0450522928399046</v>
      </c>
      <c r="BS47" s="201">
        <v>1.0458970233306526</v>
      </c>
      <c r="BT47" s="201">
        <v>1.0467417538213979</v>
      </c>
      <c r="BU47" s="201">
        <v>1.0475864843121492</v>
      </c>
      <c r="BV47" s="201">
        <v>1.0484312148028971</v>
      </c>
      <c r="BW47" s="201">
        <v>1.0492759452936424</v>
      </c>
      <c r="BX47" s="201">
        <v>1.0501206757843937</v>
      </c>
      <c r="BY47" s="201">
        <v>1.0509654062751417</v>
      </c>
      <c r="BZ47" s="201">
        <v>1.0518101367658899</v>
      </c>
      <c r="CA47" s="201">
        <v>1.0526548672566383</v>
      </c>
      <c r="CB47" s="201">
        <v>1.0534995977473862</v>
      </c>
    </row>
    <row r="48" spans="1:80" x14ac:dyDescent="0.35">
      <c r="A48" t="s">
        <v>737</v>
      </c>
      <c r="B48" t="s">
        <v>876</v>
      </c>
      <c r="C48" s="206" t="s">
        <v>839</v>
      </c>
      <c r="D48" t="s">
        <v>736</v>
      </c>
      <c r="E48" s="130">
        <v>96.785233712794167</v>
      </c>
      <c r="F48" s="130">
        <f>NYSERDA_SupplyCurve_Raw[[#This Row],[Available Capacity (MWac)]]*NYSERDA_SupplyCurve_Raw[[#This Row],[2024 Weighted Avg Resource CapEx ($/kWac)]]</f>
        <v>272376.21468619438</v>
      </c>
      <c r="G48" s="130">
        <f>NYSERDA_SupplyCurve_Raw[[#This Row],[Available Capacity (MWac)]]*NYSERDA_SupplyCurve_Raw[[#This Row],[2024 Weighted Avg OpEx ($/kWac-year)]]</f>
        <v>5459.3919422587851</v>
      </c>
      <c r="H48" s="130">
        <v>2814.2331659234151</v>
      </c>
      <c r="I48" s="130">
        <v>143.42611359538</v>
      </c>
      <c r="J48" s="130">
        <v>56.407281698149177</v>
      </c>
      <c r="K48" s="130">
        <f>NYSERDA_SupplyCurve_Raw[[#This Row],[2024 Weighted Avg Capacity Factor]]*NYSERDA_SupplyCurve_Raw[[#This Row],[Available Capacity (MWac)]]</f>
        <v>28.795867802954572</v>
      </c>
      <c r="L48" s="205">
        <v>0.2975233586603202</v>
      </c>
      <c r="M48" s="201">
        <v>1</v>
      </c>
      <c r="N48" s="201">
        <v>1.0229999999999997</v>
      </c>
      <c r="O48" s="201">
        <v>1.0465289999999998</v>
      </c>
      <c r="P48" s="201">
        <v>1.0598020575021097</v>
      </c>
      <c r="Q48" s="201">
        <v>1.0736988159192502</v>
      </c>
      <c r="R48" s="201">
        <v>1.0882033073746558</v>
      </c>
      <c r="S48" s="201">
        <v>1.1033026104404511</v>
      </c>
      <c r="T48" s="201">
        <v>1.1189864388040101</v>
      </c>
      <c r="U48" s="201">
        <v>1.135246797775554</v>
      </c>
      <c r="V48" s="201">
        <v>1.1520776967604645</v>
      </c>
      <c r="W48" s="201">
        <v>1.1694749079306728</v>
      </c>
      <c r="X48" s="201">
        <v>1.1874357630816732</v>
      </c>
      <c r="Y48" s="201">
        <v>1.2059589821346142</v>
      </c>
      <c r="Z48" s="201">
        <v>1.2250445279429276</v>
      </c>
      <c r="AA48" s="201">
        <v>1.2446934830326639</v>
      </c>
      <c r="AB48" s="201">
        <v>1.2649079446978335</v>
      </c>
      <c r="AC48" s="201">
        <v>1.2856909355124988</v>
      </c>
      <c r="AD48" s="201">
        <v>1</v>
      </c>
      <c r="AE48" s="201">
        <v>1.0229999999999997</v>
      </c>
      <c r="AF48" s="201">
        <v>1.0465289999999998</v>
      </c>
      <c r="AG48" s="201">
        <v>1.0705991669999995</v>
      </c>
      <c r="AH48" s="201">
        <v>1.0952229478409994</v>
      </c>
      <c r="AI48" s="201">
        <v>1.1204130756413424</v>
      </c>
      <c r="AJ48" s="201">
        <v>1.1461825763810931</v>
      </c>
      <c r="AK48" s="201">
        <v>1.172544775637858</v>
      </c>
      <c r="AL48" s="201">
        <v>1.1995133054775289</v>
      </c>
      <c r="AM48" s="201">
        <v>1.2271021115035117</v>
      </c>
      <c r="AN48" s="201">
        <v>1.2553254600680928</v>
      </c>
      <c r="AO48" s="201">
        <v>1.2841979456496586</v>
      </c>
      <c r="AP48" s="201">
        <v>1.3137344983996004</v>
      </c>
      <c r="AQ48" s="201">
        <v>1.3439503918627915</v>
      </c>
      <c r="AR48" s="201">
        <v>1.3748612508756353</v>
      </c>
      <c r="AS48" s="201">
        <v>1.4064830596457749</v>
      </c>
      <c r="AT48" s="201">
        <v>1.4388321700176274</v>
      </c>
      <c r="AU48" s="201">
        <v>1</v>
      </c>
      <c r="AV48" s="201">
        <v>1.0229999999999999</v>
      </c>
      <c r="AW48" s="201">
        <v>1.0465289999999998</v>
      </c>
      <c r="AX48" s="201">
        <v>1.0573213826912558</v>
      </c>
      <c r="AY48" s="201">
        <v>1.0687898064113339</v>
      </c>
      <c r="AZ48" s="201">
        <v>1.0809089916969443</v>
      </c>
      <c r="BA48" s="201">
        <v>1.0936577958137252</v>
      </c>
      <c r="BB48" s="201">
        <v>1.1070186286995183</v>
      </c>
      <c r="BC48" s="201">
        <v>1.1209769671951604</v>
      </c>
      <c r="BD48" s="201">
        <v>1.1355209497900498</v>
      </c>
      <c r="BE48" s="201">
        <v>1.1506410374287137</v>
      </c>
      <c r="BF48" s="201">
        <v>1.1663297286293797</v>
      </c>
      <c r="BG48" s="201">
        <v>1.1825813193957089</v>
      </c>
      <c r="BH48" s="201">
        <v>1.1993917001987977</v>
      </c>
      <c r="BI48" s="201">
        <v>1.2167581837451034</v>
      </c>
      <c r="BJ48" s="201">
        <v>1.2346793584097977</v>
      </c>
      <c r="BK48" s="201">
        <v>1.2531549631497372</v>
      </c>
      <c r="BL48" s="201">
        <v>1</v>
      </c>
      <c r="BM48" s="201">
        <v>1.0075087154733169</v>
      </c>
      <c r="BN48" s="201">
        <v>1.0150174309466338</v>
      </c>
      <c r="BO48" s="201">
        <v>1.0225261464199509</v>
      </c>
      <c r="BP48" s="201">
        <v>1.0300348618932678</v>
      </c>
      <c r="BQ48" s="201">
        <v>1.0375435773665846</v>
      </c>
      <c r="BR48" s="201">
        <v>1.0450522928399046</v>
      </c>
      <c r="BS48" s="201">
        <v>1.0458970233306526</v>
      </c>
      <c r="BT48" s="201">
        <v>1.0467417538213979</v>
      </c>
      <c r="BU48" s="201">
        <v>1.0475864843121492</v>
      </c>
      <c r="BV48" s="201">
        <v>1.0484312148028971</v>
      </c>
      <c r="BW48" s="201">
        <v>1.0492759452936424</v>
      </c>
      <c r="BX48" s="201">
        <v>1.0501206757843937</v>
      </c>
      <c r="BY48" s="201">
        <v>1.0509654062751417</v>
      </c>
      <c r="BZ48" s="201">
        <v>1.0518101367658899</v>
      </c>
      <c r="CA48" s="201">
        <v>1.0526548672566383</v>
      </c>
      <c r="CB48" s="201">
        <v>1.0534995977473862</v>
      </c>
    </row>
    <row r="49" spans="1:80" x14ac:dyDescent="0.35">
      <c r="A49" t="s">
        <v>737</v>
      </c>
      <c r="B49" t="s">
        <v>877</v>
      </c>
      <c r="C49" s="206" t="s">
        <v>839</v>
      </c>
      <c r="D49" t="s">
        <v>736</v>
      </c>
      <c r="E49" s="130">
        <v>99.254355883531261</v>
      </c>
      <c r="F49" s="130">
        <f>NYSERDA_SupplyCurve_Raw[[#This Row],[Available Capacity (MWac)]]*NYSERDA_SupplyCurve_Raw[[#This Row],[2024 Weighted Avg Resource CapEx ($/kWac)]]</f>
        <v>249578.05791733001</v>
      </c>
      <c r="G49" s="130">
        <f>NYSERDA_SupplyCurve_Raw[[#This Row],[Available Capacity (MWac)]]*NYSERDA_SupplyCurve_Raw[[#This Row],[2024 Weighted Avg OpEx ($/kWac-year)]]</f>
        <v>5754.1945721212323</v>
      </c>
      <c r="H49" s="130">
        <v>2514.5300243567563</v>
      </c>
      <c r="I49" s="130">
        <v>78.04130994337163</v>
      </c>
      <c r="J49" s="130">
        <v>57.97422713491202</v>
      </c>
      <c r="K49" s="130">
        <f>NYSERDA_SupplyCurve_Raw[[#This Row],[2024 Weighted Avg Capacity Factor]]*NYSERDA_SupplyCurve_Raw[[#This Row],[Available Capacity (MWac)]]</f>
        <v>36.728618936526964</v>
      </c>
      <c r="L49" s="205">
        <v>0.37004541120216111</v>
      </c>
      <c r="M49" s="201">
        <v>1</v>
      </c>
      <c r="N49" s="201">
        <v>1.0230000000000001</v>
      </c>
      <c r="O49" s="201">
        <v>1.0465289999999998</v>
      </c>
      <c r="P49" s="201">
        <v>1.0598020575021094</v>
      </c>
      <c r="Q49" s="201">
        <v>1.0736988159192502</v>
      </c>
      <c r="R49" s="201">
        <v>1.088203307374656</v>
      </c>
      <c r="S49" s="201">
        <v>1.1033026104404515</v>
      </c>
      <c r="T49" s="201">
        <v>1.1189864388040101</v>
      </c>
      <c r="U49" s="201">
        <v>1.135246797775554</v>
      </c>
      <c r="V49" s="201">
        <v>1.1520776967604645</v>
      </c>
      <c r="W49" s="201">
        <v>1.1694749079306728</v>
      </c>
      <c r="X49" s="201">
        <v>1.1874357630816734</v>
      </c>
      <c r="Y49" s="201">
        <v>1.2059589821346142</v>
      </c>
      <c r="Z49" s="201">
        <v>1.2250445279429276</v>
      </c>
      <c r="AA49" s="201">
        <v>1.2446934830326639</v>
      </c>
      <c r="AB49" s="201">
        <v>1.2649079446978335</v>
      </c>
      <c r="AC49" s="201">
        <v>1.2856909355124986</v>
      </c>
      <c r="AD49" s="201">
        <v>1</v>
      </c>
      <c r="AE49" s="201">
        <v>1.0230000000000001</v>
      </c>
      <c r="AF49" s="201">
        <v>1.046529</v>
      </c>
      <c r="AG49" s="201">
        <v>1.0705991669999997</v>
      </c>
      <c r="AH49" s="201">
        <v>1.0952229478409994</v>
      </c>
      <c r="AI49" s="201">
        <v>1.1204130756413428</v>
      </c>
      <c r="AJ49" s="201">
        <v>1.1461825763810933</v>
      </c>
      <c r="AK49" s="201">
        <v>1.1725447756378584</v>
      </c>
      <c r="AL49" s="201">
        <v>1.1995133054775291</v>
      </c>
      <c r="AM49" s="201">
        <v>1.2271021115035119</v>
      </c>
      <c r="AN49" s="201">
        <v>1.2553254600680928</v>
      </c>
      <c r="AO49" s="201">
        <v>1.2841979456496586</v>
      </c>
      <c r="AP49" s="201">
        <v>1.3137344983996011</v>
      </c>
      <c r="AQ49" s="201">
        <v>1.3439503918627915</v>
      </c>
      <c r="AR49" s="201">
        <v>1.3748612508756353</v>
      </c>
      <c r="AS49" s="201">
        <v>1.4064830596457751</v>
      </c>
      <c r="AT49" s="201">
        <v>1.4388321700176276</v>
      </c>
      <c r="AU49" s="201">
        <v>1</v>
      </c>
      <c r="AV49" s="201">
        <v>1.0229999999999997</v>
      </c>
      <c r="AW49" s="201">
        <v>1.0465289999999996</v>
      </c>
      <c r="AX49" s="201">
        <v>1.0573213826912553</v>
      </c>
      <c r="AY49" s="201">
        <v>1.0687898064113339</v>
      </c>
      <c r="AZ49" s="201">
        <v>1.0809089916969443</v>
      </c>
      <c r="BA49" s="201">
        <v>1.093657795813725</v>
      </c>
      <c r="BB49" s="201">
        <v>1.1070186286995183</v>
      </c>
      <c r="BC49" s="201">
        <v>1.1209769671951604</v>
      </c>
      <c r="BD49" s="201">
        <v>1.1355209497900498</v>
      </c>
      <c r="BE49" s="201">
        <v>1.1506410374287137</v>
      </c>
      <c r="BF49" s="201">
        <v>1.1663297286293799</v>
      </c>
      <c r="BG49" s="201">
        <v>1.1825813193957089</v>
      </c>
      <c r="BH49" s="201">
        <v>1.1993917001987977</v>
      </c>
      <c r="BI49" s="201">
        <v>1.2167581837451034</v>
      </c>
      <c r="BJ49" s="201">
        <v>1.2346793584097975</v>
      </c>
      <c r="BK49" s="201">
        <v>1.253154963149737</v>
      </c>
      <c r="BL49" s="201">
        <v>1</v>
      </c>
      <c r="BM49" s="201">
        <v>1.0075087154733169</v>
      </c>
      <c r="BN49" s="201">
        <v>1.0150174309466338</v>
      </c>
      <c r="BO49" s="201">
        <v>1.0225261464199509</v>
      </c>
      <c r="BP49" s="201">
        <v>1.0300348618932678</v>
      </c>
      <c r="BQ49" s="201">
        <v>1.0375435773665846</v>
      </c>
      <c r="BR49" s="201">
        <v>1.0450522928399046</v>
      </c>
      <c r="BS49" s="201">
        <v>1.0458970233306526</v>
      </c>
      <c r="BT49" s="201">
        <v>1.0467417538213979</v>
      </c>
      <c r="BU49" s="201">
        <v>1.0475864843121492</v>
      </c>
      <c r="BV49" s="201">
        <v>1.0484312148028971</v>
      </c>
      <c r="BW49" s="201">
        <v>1.0492759452936424</v>
      </c>
      <c r="BX49" s="201">
        <v>1.0501206757843937</v>
      </c>
      <c r="BY49" s="201">
        <v>1.0509654062751417</v>
      </c>
      <c r="BZ49" s="201">
        <v>1.0518101367658899</v>
      </c>
      <c r="CA49" s="201">
        <v>1.0526548672566383</v>
      </c>
      <c r="CB49" s="201">
        <v>1.0534995977473862</v>
      </c>
    </row>
    <row r="50" spans="1:80" x14ac:dyDescent="0.35">
      <c r="A50" t="s">
        <v>737</v>
      </c>
      <c r="B50" t="s">
        <v>878</v>
      </c>
      <c r="C50" s="206" t="s">
        <v>839</v>
      </c>
      <c r="D50" t="s">
        <v>736</v>
      </c>
      <c r="E50" s="130">
        <v>95.134043584306269</v>
      </c>
      <c r="F50" s="130">
        <f>NYSERDA_SupplyCurve_Raw[[#This Row],[Available Capacity (MWac)]]*NYSERDA_SupplyCurve_Raw[[#This Row],[2024 Weighted Avg Resource CapEx ($/kWac)]]</f>
        <v>247846.78339482078</v>
      </c>
      <c r="G50" s="130">
        <f>NYSERDA_SupplyCurve_Raw[[#This Row],[Available Capacity (MWac)]]*NYSERDA_SupplyCurve_Raw[[#This Row],[2024 Weighted Avg OpEx ($/kWac-year)]]</f>
        <v>5515.3226510191907</v>
      </c>
      <c r="H50" s="130">
        <v>2605.2375580481125</v>
      </c>
      <c r="I50" s="130">
        <v>76.380645819865421</v>
      </c>
      <c r="J50" s="130">
        <v>57.974227134912013</v>
      </c>
      <c r="K50" s="130">
        <f>NYSERDA_SupplyCurve_Raw[[#This Row],[2024 Weighted Avg Capacity Factor]]*NYSERDA_SupplyCurve_Raw[[#This Row],[Available Capacity (MWac)]]</f>
        <v>36.89437616576113</v>
      </c>
      <c r="L50" s="205">
        <v>0.38781465367932061</v>
      </c>
      <c r="M50" s="201">
        <v>1</v>
      </c>
      <c r="N50" s="201">
        <v>1.0229999999999999</v>
      </c>
      <c r="O50" s="201">
        <v>1.0465289999999996</v>
      </c>
      <c r="P50" s="201">
        <v>1.0598020575021094</v>
      </c>
      <c r="Q50" s="201">
        <v>1.0736988159192502</v>
      </c>
      <c r="R50" s="201">
        <v>1.0882033073746555</v>
      </c>
      <c r="S50" s="201">
        <v>1.1033026104404511</v>
      </c>
      <c r="T50" s="201">
        <v>1.1189864388040098</v>
      </c>
      <c r="U50" s="201">
        <v>1.1352467977755538</v>
      </c>
      <c r="V50" s="201">
        <v>1.1520776967604645</v>
      </c>
      <c r="W50" s="201">
        <v>1.1694749079306725</v>
      </c>
      <c r="X50" s="201">
        <v>1.187435763081673</v>
      </c>
      <c r="Y50" s="201">
        <v>1.2059589821346139</v>
      </c>
      <c r="Z50" s="201">
        <v>1.2250445279429274</v>
      </c>
      <c r="AA50" s="201">
        <v>1.2446934830326637</v>
      </c>
      <c r="AB50" s="201">
        <v>1.2649079446978331</v>
      </c>
      <c r="AC50" s="201">
        <v>1.2856909355124986</v>
      </c>
      <c r="AD50" s="201">
        <v>1</v>
      </c>
      <c r="AE50" s="201">
        <v>1.0229999999999999</v>
      </c>
      <c r="AF50" s="201">
        <v>1.0465289999999998</v>
      </c>
      <c r="AG50" s="201">
        <v>1.0705991669999997</v>
      </c>
      <c r="AH50" s="201">
        <v>1.0952229478409994</v>
      </c>
      <c r="AI50" s="201">
        <v>1.1204130756413424</v>
      </c>
      <c r="AJ50" s="201">
        <v>1.1461825763810931</v>
      </c>
      <c r="AK50" s="201">
        <v>1.1725447756378582</v>
      </c>
      <c r="AL50" s="201">
        <v>1.1995133054775289</v>
      </c>
      <c r="AM50" s="201">
        <v>1.2271021115035119</v>
      </c>
      <c r="AN50" s="201">
        <v>1.2553254600680925</v>
      </c>
      <c r="AO50" s="201">
        <v>1.2841979456496586</v>
      </c>
      <c r="AP50" s="201">
        <v>1.3137344983996004</v>
      </c>
      <c r="AQ50" s="201">
        <v>1.3439503918627911</v>
      </c>
      <c r="AR50" s="201">
        <v>1.3748612508756353</v>
      </c>
      <c r="AS50" s="201">
        <v>1.4064830596457747</v>
      </c>
      <c r="AT50" s="201">
        <v>1.4388321700176274</v>
      </c>
      <c r="AU50" s="201">
        <v>1</v>
      </c>
      <c r="AV50" s="201">
        <v>1.0229999999999999</v>
      </c>
      <c r="AW50" s="201">
        <v>1.0465289999999996</v>
      </c>
      <c r="AX50" s="201">
        <v>1.0573213826912555</v>
      </c>
      <c r="AY50" s="201">
        <v>1.0687898064113339</v>
      </c>
      <c r="AZ50" s="201">
        <v>1.0809089916969443</v>
      </c>
      <c r="BA50" s="201">
        <v>1.0936577958137252</v>
      </c>
      <c r="BB50" s="201">
        <v>1.1070186286995185</v>
      </c>
      <c r="BC50" s="201">
        <v>1.1209769671951604</v>
      </c>
      <c r="BD50" s="201">
        <v>1.1355209497900498</v>
      </c>
      <c r="BE50" s="201">
        <v>1.1506410374287139</v>
      </c>
      <c r="BF50" s="201">
        <v>1.1663297286293799</v>
      </c>
      <c r="BG50" s="201">
        <v>1.1825813193957089</v>
      </c>
      <c r="BH50" s="201">
        <v>1.1993917001987979</v>
      </c>
      <c r="BI50" s="201">
        <v>1.2167581837451034</v>
      </c>
      <c r="BJ50" s="201">
        <v>1.2346793584097975</v>
      </c>
      <c r="BK50" s="201">
        <v>1.2531549631497372</v>
      </c>
      <c r="BL50" s="201">
        <v>1</v>
      </c>
      <c r="BM50" s="201">
        <v>1.0075087154733169</v>
      </c>
      <c r="BN50" s="201">
        <v>1.0150174309466338</v>
      </c>
      <c r="BO50" s="201">
        <v>1.0225261464199509</v>
      </c>
      <c r="BP50" s="201">
        <v>1.0300348618932678</v>
      </c>
      <c r="BQ50" s="201">
        <v>1.0375435773665846</v>
      </c>
      <c r="BR50" s="201">
        <v>1.0450522928399046</v>
      </c>
      <c r="BS50" s="201">
        <v>1.0458970233306526</v>
      </c>
      <c r="BT50" s="201">
        <v>1.0467417538213979</v>
      </c>
      <c r="BU50" s="201">
        <v>1.0475864843121492</v>
      </c>
      <c r="BV50" s="201">
        <v>1.0484312148028971</v>
      </c>
      <c r="BW50" s="201">
        <v>1.0492759452936424</v>
      </c>
      <c r="BX50" s="201">
        <v>1.0501206757843937</v>
      </c>
      <c r="BY50" s="201">
        <v>1.0509654062751417</v>
      </c>
      <c r="BZ50" s="201">
        <v>1.0518101367658899</v>
      </c>
      <c r="CA50" s="201">
        <v>1.0526548672566383</v>
      </c>
      <c r="CB50" s="201">
        <v>1.0534995977473862</v>
      </c>
    </row>
    <row r="51" spans="1:80" x14ac:dyDescent="0.35">
      <c r="A51" t="s">
        <v>737</v>
      </c>
      <c r="B51" t="s">
        <v>878</v>
      </c>
      <c r="C51" s="206" t="s">
        <v>839</v>
      </c>
      <c r="D51" t="s">
        <v>742</v>
      </c>
      <c r="E51" s="130">
        <v>44.775054263572166</v>
      </c>
      <c r="F51" s="130">
        <f>NYSERDA_SupplyCurve_Raw[[#This Row],[Available Capacity (MWac)]]*NYSERDA_SupplyCurve_Raw[[#This Row],[2024 Weighted Avg Resource CapEx ($/kWac)]]</f>
        <v>151600.56173714914</v>
      </c>
      <c r="G51" s="130">
        <f>NYSERDA_SupplyCurve_Raw[[#This Row],[Available Capacity (MWac)]]*NYSERDA_SupplyCurve_Raw[[#This Row],[2024 Weighted Avg OpEx ($/kWac-year)]]</f>
        <v>2595.7991658543433</v>
      </c>
      <c r="H51" s="130">
        <v>3385.8264212197159</v>
      </c>
      <c r="I51" s="130">
        <v>197.32997989704512</v>
      </c>
      <c r="J51" s="130">
        <v>57.974227134912013</v>
      </c>
      <c r="K51" s="130">
        <f>NYSERDA_SupplyCurve_Raw[[#This Row],[2024 Weighted Avg Capacity Factor]]*NYSERDA_SupplyCurve_Raw[[#This Row],[Available Capacity (MWac)]]</f>
        <v>17.397607375610995</v>
      </c>
      <c r="L51" s="205">
        <v>0.38855580773165566</v>
      </c>
      <c r="M51" s="201">
        <v>1</v>
      </c>
      <c r="N51" s="201">
        <v>1.0230000000000001</v>
      </c>
      <c r="O51" s="201">
        <v>1.0465289999999998</v>
      </c>
      <c r="P51" s="201">
        <v>1.0598020575021097</v>
      </c>
      <c r="Q51" s="201">
        <v>1.0736988159192502</v>
      </c>
      <c r="R51" s="201">
        <v>1.0882033073746558</v>
      </c>
      <c r="S51" s="201">
        <v>1.1033026104404511</v>
      </c>
      <c r="T51" s="201">
        <v>1.1189864388040101</v>
      </c>
      <c r="U51" s="201">
        <v>1.1352467977755538</v>
      </c>
      <c r="V51" s="201">
        <v>1.1520776967604647</v>
      </c>
      <c r="W51" s="201">
        <v>1.169474907930673</v>
      </c>
      <c r="X51" s="201">
        <v>1.1874357630816732</v>
      </c>
      <c r="Y51" s="201">
        <v>1.2059589821346144</v>
      </c>
      <c r="Z51" s="201">
        <v>1.2250445279429274</v>
      </c>
      <c r="AA51" s="201">
        <v>1.2446934830326641</v>
      </c>
      <c r="AB51" s="201">
        <v>1.2649079446978335</v>
      </c>
      <c r="AC51" s="201">
        <v>1.2856909355124981</v>
      </c>
      <c r="AD51" s="201">
        <v>1</v>
      </c>
      <c r="AE51" s="201">
        <v>1.0229999999999997</v>
      </c>
      <c r="AF51" s="201">
        <v>1.0465289999999998</v>
      </c>
      <c r="AG51" s="201">
        <v>1.0705991669999997</v>
      </c>
      <c r="AH51" s="201">
        <v>1.0952229478409994</v>
      </c>
      <c r="AI51" s="201">
        <v>1.1204130756413426</v>
      </c>
      <c r="AJ51" s="201">
        <v>1.1461825763810931</v>
      </c>
      <c r="AK51" s="201">
        <v>1.1725447756378582</v>
      </c>
      <c r="AL51" s="201">
        <v>1.1995133054775289</v>
      </c>
      <c r="AM51" s="201">
        <v>1.2271021115035117</v>
      </c>
      <c r="AN51" s="201">
        <v>1.2553254600680928</v>
      </c>
      <c r="AO51" s="201">
        <v>1.2841979456496586</v>
      </c>
      <c r="AP51" s="201">
        <v>1.3137344983996007</v>
      </c>
      <c r="AQ51" s="201">
        <v>1.3439503918627913</v>
      </c>
      <c r="AR51" s="201">
        <v>1.3748612508756353</v>
      </c>
      <c r="AS51" s="201">
        <v>1.4064830596457745</v>
      </c>
      <c r="AT51" s="201">
        <v>1.4388321700176272</v>
      </c>
      <c r="AU51" s="201">
        <v>1</v>
      </c>
      <c r="AV51" s="201">
        <v>1.0229999999999999</v>
      </c>
      <c r="AW51" s="201">
        <v>1.0465289999999998</v>
      </c>
      <c r="AX51" s="201">
        <v>1.0573213826912555</v>
      </c>
      <c r="AY51" s="201">
        <v>1.0687898064113339</v>
      </c>
      <c r="AZ51" s="201">
        <v>1.0809089916969443</v>
      </c>
      <c r="BA51" s="201">
        <v>1.0936577958137252</v>
      </c>
      <c r="BB51" s="201">
        <v>1.1070186286995185</v>
      </c>
      <c r="BC51" s="201">
        <v>1.1209769671951602</v>
      </c>
      <c r="BD51" s="201">
        <v>1.1355209497900498</v>
      </c>
      <c r="BE51" s="201">
        <v>1.1506410374287139</v>
      </c>
      <c r="BF51" s="201">
        <v>1.1663297286293797</v>
      </c>
      <c r="BG51" s="201">
        <v>1.1825813193957089</v>
      </c>
      <c r="BH51" s="201">
        <v>1.1993917001987979</v>
      </c>
      <c r="BI51" s="201">
        <v>1.2167581837451034</v>
      </c>
      <c r="BJ51" s="201">
        <v>1.2346793584097975</v>
      </c>
      <c r="BK51" s="201">
        <v>1.2531549631497372</v>
      </c>
      <c r="BL51" s="201">
        <v>1</v>
      </c>
      <c r="BM51" s="201">
        <v>1.0075087154733169</v>
      </c>
      <c r="BN51" s="201">
        <v>1.0150174309466338</v>
      </c>
      <c r="BO51" s="201">
        <v>1.0225261464199509</v>
      </c>
      <c r="BP51" s="201">
        <v>1.0300348618932678</v>
      </c>
      <c r="BQ51" s="201">
        <v>1.0375435773665846</v>
      </c>
      <c r="BR51" s="201">
        <v>1.0450522928399046</v>
      </c>
      <c r="BS51" s="201">
        <v>1.0458970233306526</v>
      </c>
      <c r="BT51" s="201">
        <v>1.0467417538213979</v>
      </c>
      <c r="BU51" s="201">
        <v>1.0475864843121492</v>
      </c>
      <c r="BV51" s="201">
        <v>1.0484312148028971</v>
      </c>
      <c r="BW51" s="201">
        <v>1.0492759452936424</v>
      </c>
      <c r="BX51" s="201">
        <v>1.0501206757843937</v>
      </c>
      <c r="BY51" s="201">
        <v>1.0509654062751417</v>
      </c>
      <c r="BZ51" s="201">
        <v>1.0518101367658899</v>
      </c>
      <c r="CA51" s="201">
        <v>1.0526548672566383</v>
      </c>
      <c r="CB51" s="201">
        <v>1.0534995977473862</v>
      </c>
    </row>
    <row r="52" spans="1:80" x14ac:dyDescent="0.35">
      <c r="A52" t="s">
        <v>737</v>
      </c>
      <c r="B52" t="s">
        <v>879</v>
      </c>
      <c r="C52" s="206" t="s">
        <v>843</v>
      </c>
      <c r="D52" t="s">
        <v>736</v>
      </c>
      <c r="E52" s="130">
        <v>93.847135182614693</v>
      </c>
      <c r="F52" s="130">
        <f>NYSERDA_SupplyCurve_Raw[[#This Row],[Available Capacity (MWac)]]*NYSERDA_SupplyCurve_Raw[[#This Row],[2024 Weighted Avg Resource CapEx ($/kWac)]]</f>
        <v>312800.2094989972</v>
      </c>
      <c r="G52" s="130">
        <f>NYSERDA_SupplyCurve_Raw[[#This Row],[Available Capacity (MWac)]]*NYSERDA_SupplyCurve_Raw[[#This Row],[2024 Weighted Avg OpEx ($/kWac-year)]]</f>
        <v>5440.7151310376958</v>
      </c>
      <c r="H52" s="130">
        <v>3333.0821328784032</v>
      </c>
      <c r="I52" s="130">
        <v>206.59329851038868</v>
      </c>
      <c r="J52" s="130">
        <v>57.974227134912006</v>
      </c>
      <c r="K52" s="130">
        <f>NYSERDA_SupplyCurve_Raw[[#This Row],[2024 Weighted Avg Capacity Factor]]*NYSERDA_SupplyCurve_Raw[[#This Row],[Available Capacity (MWac)]]</f>
        <v>36.773952534948045</v>
      </c>
      <c r="L52" s="205">
        <v>0.39184949506866212</v>
      </c>
      <c r="M52" s="201">
        <v>1</v>
      </c>
      <c r="N52" s="201">
        <v>1.0229999999999997</v>
      </c>
      <c r="O52" s="201">
        <v>1.0465289999999996</v>
      </c>
      <c r="P52" s="201">
        <v>1.0598020575021094</v>
      </c>
      <c r="Q52" s="201">
        <v>1.0736988159192502</v>
      </c>
      <c r="R52" s="201">
        <v>1.0882033073746555</v>
      </c>
      <c r="S52" s="201">
        <v>1.1033026104404513</v>
      </c>
      <c r="T52" s="201">
        <v>1.1189864388040101</v>
      </c>
      <c r="U52" s="201">
        <v>1.1352467977755538</v>
      </c>
      <c r="V52" s="201">
        <v>1.1520776967604645</v>
      </c>
      <c r="W52" s="201">
        <v>1.1694749079306728</v>
      </c>
      <c r="X52" s="201">
        <v>1.187435763081673</v>
      </c>
      <c r="Y52" s="201">
        <v>1.2059589821346139</v>
      </c>
      <c r="Z52" s="201">
        <v>1.2250445279429274</v>
      </c>
      <c r="AA52" s="201">
        <v>1.2446934830326641</v>
      </c>
      <c r="AB52" s="201">
        <v>1.2649079446978331</v>
      </c>
      <c r="AC52" s="201">
        <v>1.2856909355124984</v>
      </c>
      <c r="AD52" s="201">
        <v>1</v>
      </c>
      <c r="AE52" s="201">
        <v>1.0229999999999999</v>
      </c>
      <c r="AF52" s="201">
        <v>1.0465289999999994</v>
      </c>
      <c r="AG52" s="201">
        <v>1.0705991669999997</v>
      </c>
      <c r="AH52" s="201">
        <v>1.0952229478409992</v>
      </c>
      <c r="AI52" s="201">
        <v>1.1204130756413424</v>
      </c>
      <c r="AJ52" s="201">
        <v>1.1461825763810929</v>
      </c>
      <c r="AK52" s="201">
        <v>1.1725447756378582</v>
      </c>
      <c r="AL52" s="201">
        <v>1.1995133054775284</v>
      </c>
      <c r="AM52" s="201">
        <v>1.2271021115035117</v>
      </c>
      <c r="AN52" s="201">
        <v>1.2553254600680925</v>
      </c>
      <c r="AO52" s="201">
        <v>1.2841979456496582</v>
      </c>
      <c r="AP52" s="201">
        <v>1.3137344983996002</v>
      </c>
      <c r="AQ52" s="201">
        <v>1.3439503918627911</v>
      </c>
      <c r="AR52" s="201">
        <v>1.374861250875635</v>
      </c>
      <c r="AS52" s="201">
        <v>1.4064830596457745</v>
      </c>
      <c r="AT52" s="201">
        <v>1.4388321700176274</v>
      </c>
      <c r="AU52" s="201">
        <v>1</v>
      </c>
      <c r="AV52" s="201">
        <v>1.0229999999999999</v>
      </c>
      <c r="AW52" s="201">
        <v>1.0465289999999998</v>
      </c>
      <c r="AX52" s="201">
        <v>1.0573213826912558</v>
      </c>
      <c r="AY52" s="201">
        <v>1.0687898064113339</v>
      </c>
      <c r="AZ52" s="201">
        <v>1.0809089916969443</v>
      </c>
      <c r="BA52" s="201">
        <v>1.0936577958137252</v>
      </c>
      <c r="BB52" s="201">
        <v>1.1070186286995185</v>
      </c>
      <c r="BC52" s="201">
        <v>1.1209769671951606</v>
      </c>
      <c r="BD52" s="201">
        <v>1.1355209497900498</v>
      </c>
      <c r="BE52" s="201">
        <v>1.1506410374287139</v>
      </c>
      <c r="BF52" s="201">
        <v>1.1663297286293801</v>
      </c>
      <c r="BG52" s="201">
        <v>1.1825813193957091</v>
      </c>
      <c r="BH52" s="201">
        <v>1.1993917001987977</v>
      </c>
      <c r="BI52" s="201">
        <v>1.2167581837451034</v>
      </c>
      <c r="BJ52" s="201">
        <v>1.2346793584097977</v>
      </c>
      <c r="BK52" s="201">
        <v>1.2531549631497372</v>
      </c>
      <c r="BL52" s="201">
        <v>1</v>
      </c>
      <c r="BM52" s="201">
        <v>1.0075087154733169</v>
      </c>
      <c r="BN52" s="201">
        <v>1.0150174309466338</v>
      </c>
      <c r="BO52" s="201">
        <v>1.0225261464199509</v>
      </c>
      <c r="BP52" s="201">
        <v>1.0300348618932678</v>
      </c>
      <c r="BQ52" s="201">
        <v>1.0375435773665846</v>
      </c>
      <c r="BR52" s="201">
        <v>1.0450522928399046</v>
      </c>
      <c r="BS52" s="201">
        <v>1.0458970233306526</v>
      </c>
      <c r="BT52" s="201">
        <v>1.0467417538213979</v>
      </c>
      <c r="BU52" s="201">
        <v>1.0475864843121492</v>
      </c>
      <c r="BV52" s="201">
        <v>1.0484312148028971</v>
      </c>
      <c r="BW52" s="201">
        <v>1.0492759452936424</v>
      </c>
      <c r="BX52" s="201">
        <v>1.0501206757843937</v>
      </c>
      <c r="BY52" s="201">
        <v>1.0509654062751417</v>
      </c>
      <c r="BZ52" s="201">
        <v>1.0518101367658899</v>
      </c>
      <c r="CA52" s="201">
        <v>1.0526548672566383</v>
      </c>
      <c r="CB52" s="201">
        <v>1.0534995977473862</v>
      </c>
    </row>
    <row r="53" spans="1:80" x14ac:dyDescent="0.35">
      <c r="A53" t="s">
        <v>737</v>
      </c>
      <c r="B53" t="s">
        <v>880</v>
      </c>
      <c r="C53" s="206" t="s">
        <v>843</v>
      </c>
      <c r="D53" t="s">
        <v>736</v>
      </c>
      <c r="E53" s="130">
        <v>120.57124308816087</v>
      </c>
      <c r="F53" s="130">
        <f>NYSERDA_SupplyCurve_Raw[[#This Row],[Available Capacity (MWac)]]*NYSERDA_SupplyCurve_Raw[[#This Row],[2024 Weighted Avg Resource CapEx ($/kWac)]]</f>
        <v>294514.64399566164</v>
      </c>
      <c r="G53" s="130">
        <f>NYSERDA_SupplyCurve_Raw[[#This Row],[Available Capacity (MWac)]]*NYSERDA_SupplyCurve_Raw[[#This Row],[2024 Weighted Avg OpEx ($/kWac-year)]]</f>
        <v>6785.3520269730925</v>
      </c>
      <c r="H53" s="130">
        <v>2442.6607576759789</v>
      </c>
      <c r="I53" s="130">
        <v>191.18051641740539</v>
      </c>
      <c r="J53" s="130">
        <v>56.27670291175226</v>
      </c>
      <c r="K53" s="130">
        <f>NYSERDA_SupplyCurve_Raw[[#This Row],[2024 Weighted Avg Capacity Factor]]*NYSERDA_SupplyCurve_Raw[[#This Row],[Available Capacity (MWac)]]</f>
        <v>47.075251052192939</v>
      </c>
      <c r="L53" s="205">
        <v>0.3904351472744777</v>
      </c>
      <c r="M53" s="201">
        <v>1</v>
      </c>
      <c r="N53" s="201">
        <v>1.0229999999999999</v>
      </c>
      <c r="O53" s="201">
        <v>1.046529</v>
      </c>
      <c r="P53" s="201">
        <v>1.0598020575021097</v>
      </c>
      <c r="Q53" s="201">
        <v>1.0736988159192504</v>
      </c>
      <c r="R53" s="201">
        <v>1.0882033073746558</v>
      </c>
      <c r="S53" s="201">
        <v>1.1033026104404517</v>
      </c>
      <c r="T53" s="201">
        <v>1.1189864388040103</v>
      </c>
      <c r="U53" s="201">
        <v>1.135246797775554</v>
      </c>
      <c r="V53" s="201">
        <v>1.1520776967604649</v>
      </c>
      <c r="W53" s="201">
        <v>1.1694749079306728</v>
      </c>
      <c r="X53" s="201">
        <v>1.1874357630816732</v>
      </c>
      <c r="Y53" s="201">
        <v>1.2059589821346142</v>
      </c>
      <c r="Z53" s="201">
        <v>1.2250445279429278</v>
      </c>
      <c r="AA53" s="201">
        <v>1.2446934830326644</v>
      </c>
      <c r="AB53" s="201">
        <v>1.2649079446978335</v>
      </c>
      <c r="AC53" s="201">
        <v>1.2856909355124986</v>
      </c>
      <c r="AD53" s="201">
        <v>1</v>
      </c>
      <c r="AE53" s="201">
        <v>1.0229999999999999</v>
      </c>
      <c r="AF53" s="201">
        <v>1.0465289999999998</v>
      </c>
      <c r="AG53" s="201">
        <v>1.0705991669999999</v>
      </c>
      <c r="AH53" s="201">
        <v>1.0952229478409994</v>
      </c>
      <c r="AI53" s="201">
        <v>1.1204130756413428</v>
      </c>
      <c r="AJ53" s="201">
        <v>1.1461825763810931</v>
      </c>
      <c r="AK53" s="201">
        <v>1.1725447756378584</v>
      </c>
      <c r="AL53" s="201">
        <v>1.1995133054775289</v>
      </c>
      <c r="AM53" s="201">
        <v>1.2271021115035119</v>
      </c>
      <c r="AN53" s="201">
        <v>1.2553254600680928</v>
      </c>
      <c r="AO53" s="201">
        <v>1.2841979456496584</v>
      </c>
      <c r="AP53" s="201">
        <v>1.3137344983996007</v>
      </c>
      <c r="AQ53" s="201">
        <v>1.3439503918627917</v>
      </c>
      <c r="AR53" s="201">
        <v>1.3748612508756353</v>
      </c>
      <c r="AS53" s="201">
        <v>1.4064830596457749</v>
      </c>
      <c r="AT53" s="201">
        <v>1.4388321700176272</v>
      </c>
      <c r="AU53" s="201">
        <v>1</v>
      </c>
      <c r="AV53" s="201">
        <v>1.0229999999999999</v>
      </c>
      <c r="AW53" s="201">
        <v>1.046529</v>
      </c>
      <c r="AX53" s="201">
        <v>1.0573213826912558</v>
      </c>
      <c r="AY53" s="201">
        <v>1.0687898064113341</v>
      </c>
      <c r="AZ53" s="201">
        <v>1.0809089916969445</v>
      </c>
      <c r="BA53" s="201">
        <v>1.0936577958137252</v>
      </c>
      <c r="BB53" s="201">
        <v>1.1070186286995187</v>
      </c>
      <c r="BC53" s="201">
        <v>1.1209769671951608</v>
      </c>
      <c r="BD53" s="201">
        <v>1.1355209497900498</v>
      </c>
      <c r="BE53" s="201">
        <v>1.1506410374287139</v>
      </c>
      <c r="BF53" s="201">
        <v>1.1663297286293801</v>
      </c>
      <c r="BG53" s="201">
        <v>1.1825813193957089</v>
      </c>
      <c r="BH53" s="201">
        <v>1.1993917001987981</v>
      </c>
      <c r="BI53" s="201">
        <v>1.2167581837451031</v>
      </c>
      <c r="BJ53" s="201">
        <v>1.2346793584097977</v>
      </c>
      <c r="BK53" s="201">
        <v>1.253154963149737</v>
      </c>
      <c r="BL53" s="201">
        <v>1</v>
      </c>
      <c r="BM53" s="201">
        <v>1.0075087154733169</v>
      </c>
      <c r="BN53" s="201">
        <v>1.0150174309466338</v>
      </c>
      <c r="BO53" s="201">
        <v>1.0225261464199509</v>
      </c>
      <c r="BP53" s="201">
        <v>1.0300348618932678</v>
      </c>
      <c r="BQ53" s="201">
        <v>1.0375435773665846</v>
      </c>
      <c r="BR53" s="201">
        <v>1.0450522928399046</v>
      </c>
      <c r="BS53" s="201">
        <v>1.0458970233306526</v>
      </c>
      <c r="BT53" s="201">
        <v>1.0467417538213979</v>
      </c>
      <c r="BU53" s="201">
        <v>1.0475864843121492</v>
      </c>
      <c r="BV53" s="201">
        <v>1.0484312148028971</v>
      </c>
      <c r="BW53" s="201">
        <v>1.0492759452936424</v>
      </c>
      <c r="BX53" s="201">
        <v>1.0501206757843937</v>
      </c>
      <c r="BY53" s="201">
        <v>1.0509654062751417</v>
      </c>
      <c r="BZ53" s="201">
        <v>1.0518101367658899</v>
      </c>
      <c r="CA53" s="201">
        <v>1.0526548672566383</v>
      </c>
      <c r="CB53" s="201">
        <v>1.0534995977473862</v>
      </c>
    </row>
    <row r="54" spans="1:80" x14ac:dyDescent="0.35">
      <c r="A54" t="s">
        <v>737</v>
      </c>
      <c r="B54" t="s">
        <v>881</v>
      </c>
      <c r="C54" s="206" t="s">
        <v>843</v>
      </c>
      <c r="D54" t="s">
        <v>736</v>
      </c>
      <c r="E54" s="130">
        <v>387.78236042289723</v>
      </c>
      <c r="F54" s="130">
        <f>NYSERDA_SupplyCurve_Raw[[#This Row],[Available Capacity (MWac)]]*NYSERDA_SupplyCurve_Raw[[#This Row],[2024 Weighted Avg Resource CapEx ($/kWac)]]</f>
        <v>966610.37586937612</v>
      </c>
      <c r="G54" s="130">
        <f>NYSERDA_SupplyCurve_Raw[[#This Row],[Available Capacity (MWac)]]*NYSERDA_SupplyCurve_Raw[[#This Row],[2024 Weighted Avg OpEx ($/kWac-year)]]</f>
        <v>21924.384991957722</v>
      </c>
      <c r="H54" s="130">
        <v>2492.6620561472582</v>
      </c>
      <c r="I54" s="130">
        <v>162.04041394155556</v>
      </c>
      <c r="J54" s="130">
        <v>56.537860484546066</v>
      </c>
      <c r="K54" s="130">
        <f>NYSERDA_SupplyCurve_Raw[[#This Row],[2024 Weighted Avg Capacity Factor]]*NYSERDA_SupplyCurve_Raw[[#This Row],[Available Capacity (MWac)]]</f>
        <v>145.59369334803728</v>
      </c>
      <c r="L54" s="205">
        <v>0.37545207881364079</v>
      </c>
      <c r="M54" s="201">
        <v>1</v>
      </c>
      <c r="N54" s="201">
        <v>1.0229999999999997</v>
      </c>
      <c r="O54" s="201">
        <v>1.0465289999999996</v>
      </c>
      <c r="P54" s="201">
        <v>1.0598020575021094</v>
      </c>
      <c r="Q54" s="201">
        <v>1.0736988159192502</v>
      </c>
      <c r="R54" s="201">
        <v>1.0882033073746558</v>
      </c>
      <c r="S54" s="201">
        <v>1.1033026104404513</v>
      </c>
      <c r="T54" s="201">
        <v>1.1189864388040098</v>
      </c>
      <c r="U54" s="201">
        <v>1.1352467977755536</v>
      </c>
      <c r="V54" s="201">
        <v>1.1520776967604645</v>
      </c>
      <c r="W54" s="201">
        <v>1.1694749079306728</v>
      </c>
      <c r="X54" s="201">
        <v>1.1874357630816732</v>
      </c>
      <c r="Y54" s="201">
        <v>1.2059589821346142</v>
      </c>
      <c r="Z54" s="201">
        <v>1.2250445279429274</v>
      </c>
      <c r="AA54" s="201">
        <v>1.2446934830326637</v>
      </c>
      <c r="AB54" s="201">
        <v>1.2649079446978333</v>
      </c>
      <c r="AC54" s="201">
        <v>1.2856909355124986</v>
      </c>
      <c r="AD54" s="201">
        <v>1</v>
      </c>
      <c r="AE54" s="201">
        <v>1.0229999999999999</v>
      </c>
      <c r="AF54" s="201">
        <v>1.0465289999999998</v>
      </c>
      <c r="AG54" s="201">
        <v>1.0705991669999997</v>
      </c>
      <c r="AH54" s="201">
        <v>1.0952229478409996</v>
      </c>
      <c r="AI54" s="201">
        <v>1.1204130756413424</v>
      </c>
      <c r="AJ54" s="201">
        <v>1.1461825763810931</v>
      </c>
      <c r="AK54" s="201">
        <v>1.1725447756378582</v>
      </c>
      <c r="AL54" s="201">
        <v>1.1995133054775289</v>
      </c>
      <c r="AM54" s="201">
        <v>1.2271021115035117</v>
      </c>
      <c r="AN54" s="201">
        <v>1.2553254600680925</v>
      </c>
      <c r="AO54" s="201">
        <v>1.2841979456496584</v>
      </c>
      <c r="AP54" s="201">
        <v>1.3137344983996004</v>
      </c>
      <c r="AQ54" s="201">
        <v>1.3439503918627915</v>
      </c>
      <c r="AR54" s="201">
        <v>1.3748612508756353</v>
      </c>
      <c r="AS54" s="201">
        <v>1.4064830596457747</v>
      </c>
      <c r="AT54" s="201">
        <v>1.4388321700176274</v>
      </c>
      <c r="AU54" s="201">
        <v>1</v>
      </c>
      <c r="AV54" s="201">
        <v>1.0229999999999999</v>
      </c>
      <c r="AW54" s="201">
        <v>1.0465289999999998</v>
      </c>
      <c r="AX54" s="201">
        <v>1.0573213826912558</v>
      </c>
      <c r="AY54" s="201">
        <v>1.0687898064113341</v>
      </c>
      <c r="AZ54" s="201">
        <v>1.0809089916969443</v>
      </c>
      <c r="BA54" s="201">
        <v>1.0936577958137255</v>
      </c>
      <c r="BB54" s="201">
        <v>1.1070186286995185</v>
      </c>
      <c r="BC54" s="201">
        <v>1.1209769671951606</v>
      </c>
      <c r="BD54" s="201">
        <v>1.13552094979005</v>
      </c>
      <c r="BE54" s="201">
        <v>1.1506410374287142</v>
      </c>
      <c r="BF54" s="201">
        <v>1.1663297286293801</v>
      </c>
      <c r="BG54" s="201">
        <v>1.1825813193957091</v>
      </c>
      <c r="BH54" s="201">
        <v>1.1993917001987979</v>
      </c>
      <c r="BI54" s="201">
        <v>1.2167581837451034</v>
      </c>
      <c r="BJ54" s="201">
        <v>1.2346793584097975</v>
      </c>
      <c r="BK54" s="201">
        <v>1.253154963149737</v>
      </c>
      <c r="BL54" s="201">
        <v>1</v>
      </c>
      <c r="BM54" s="201">
        <v>1.0075087154733169</v>
      </c>
      <c r="BN54" s="201">
        <v>1.0150174309466338</v>
      </c>
      <c r="BO54" s="201">
        <v>1.0225261464199509</v>
      </c>
      <c r="BP54" s="201">
        <v>1.0300348618932678</v>
      </c>
      <c r="BQ54" s="201">
        <v>1.0375435773665846</v>
      </c>
      <c r="BR54" s="201">
        <v>1.0450522928399046</v>
      </c>
      <c r="BS54" s="201">
        <v>1.0458970233306526</v>
      </c>
      <c r="BT54" s="201">
        <v>1.0467417538213979</v>
      </c>
      <c r="BU54" s="201">
        <v>1.0475864843121492</v>
      </c>
      <c r="BV54" s="201">
        <v>1.0484312148028971</v>
      </c>
      <c r="BW54" s="201">
        <v>1.0492759452936424</v>
      </c>
      <c r="BX54" s="201">
        <v>1.0501206757843937</v>
      </c>
      <c r="BY54" s="201">
        <v>1.0509654062751417</v>
      </c>
      <c r="BZ54" s="201">
        <v>1.0518101367658899</v>
      </c>
      <c r="CA54" s="201">
        <v>1.0526548672566383</v>
      </c>
      <c r="CB54" s="201">
        <v>1.0534995977473862</v>
      </c>
    </row>
    <row r="55" spans="1:80" x14ac:dyDescent="0.35">
      <c r="A55" t="s">
        <v>737</v>
      </c>
      <c r="B55" t="s">
        <v>882</v>
      </c>
      <c r="C55" s="206" t="s">
        <v>854</v>
      </c>
      <c r="D55" t="s">
        <v>736</v>
      </c>
      <c r="E55" s="130">
        <v>332.35036878938109</v>
      </c>
      <c r="F55" s="130">
        <f>NYSERDA_SupplyCurve_Raw[[#This Row],[Available Capacity (MWac)]]*NYSERDA_SupplyCurve_Raw[[#This Row],[2024 Weighted Avg Resource CapEx ($/kWac)]]</f>
        <v>855896.59378825838</v>
      </c>
      <c r="G55" s="130">
        <f>NYSERDA_SupplyCurve_Raw[[#This Row],[Available Capacity (MWac)]]*NYSERDA_SupplyCurve_Raw[[#This Row],[2024 Weighted Avg OpEx ($/kWac-year)]]</f>
        <v>19528.143215457836</v>
      </c>
      <c r="H55" s="130">
        <v>2575.2840200116098</v>
      </c>
      <c r="I55" s="130">
        <v>170.07004905075235</v>
      </c>
      <c r="J55" s="130">
        <v>58.757699853293431</v>
      </c>
      <c r="K55" s="130">
        <f>NYSERDA_SupplyCurve_Raw[[#This Row],[2024 Weighted Avg Capacity Factor]]*NYSERDA_SupplyCurve_Raw[[#This Row],[Available Capacity (MWac)]]</f>
        <v>109.70630542702622</v>
      </c>
      <c r="L55" s="205">
        <v>0.3300923234315708</v>
      </c>
      <c r="M55" s="201">
        <v>1</v>
      </c>
      <c r="N55" s="201">
        <v>1.0229999999999999</v>
      </c>
      <c r="O55" s="201">
        <v>1.0465289999999996</v>
      </c>
      <c r="P55" s="201">
        <v>1.0598020575021094</v>
      </c>
      <c r="Q55" s="201">
        <v>1.0736988159192502</v>
      </c>
      <c r="R55" s="201">
        <v>1.0882033073746558</v>
      </c>
      <c r="S55" s="201">
        <v>1.1033026104404515</v>
      </c>
      <c r="T55" s="201">
        <v>1.1189864388040101</v>
      </c>
      <c r="U55" s="201">
        <v>1.135246797775554</v>
      </c>
      <c r="V55" s="201">
        <v>1.1520776967604647</v>
      </c>
      <c r="W55" s="201">
        <v>1.169474907930673</v>
      </c>
      <c r="X55" s="201">
        <v>1.1874357630816734</v>
      </c>
      <c r="Y55" s="201">
        <v>1.2059589821346144</v>
      </c>
      <c r="Z55" s="201">
        <v>1.2250445279429274</v>
      </c>
      <c r="AA55" s="201">
        <v>1.2446934830326644</v>
      </c>
      <c r="AB55" s="201">
        <v>1.2649079446978335</v>
      </c>
      <c r="AC55" s="201">
        <v>1.2856909355124986</v>
      </c>
      <c r="AD55" s="201">
        <v>1</v>
      </c>
      <c r="AE55" s="201">
        <v>1.0230000000000001</v>
      </c>
      <c r="AF55" s="201">
        <v>1.0465289999999998</v>
      </c>
      <c r="AG55" s="201">
        <v>1.0705991669999997</v>
      </c>
      <c r="AH55" s="201">
        <v>1.0952229478409994</v>
      </c>
      <c r="AI55" s="201">
        <v>1.1204130756413424</v>
      </c>
      <c r="AJ55" s="201">
        <v>1.1461825763810931</v>
      </c>
      <c r="AK55" s="201">
        <v>1.1725447756378582</v>
      </c>
      <c r="AL55" s="201">
        <v>1.1995133054775289</v>
      </c>
      <c r="AM55" s="201">
        <v>1.2271021115035121</v>
      </c>
      <c r="AN55" s="201">
        <v>1.2553254600680925</v>
      </c>
      <c r="AO55" s="201">
        <v>1.2841979456496586</v>
      </c>
      <c r="AP55" s="201">
        <v>1.3137344983996004</v>
      </c>
      <c r="AQ55" s="201">
        <v>1.3439503918627911</v>
      </c>
      <c r="AR55" s="201">
        <v>1.3748612508756353</v>
      </c>
      <c r="AS55" s="201">
        <v>1.4064830596457747</v>
      </c>
      <c r="AT55" s="201">
        <v>1.4388321700176274</v>
      </c>
      <c r="AU55" s="201">
        <v>1</v>
      </c>
      <c r="AV55" s="201">
        <v>1.0230000000000001</v>
      </c>
      <c r="AW55" s="201">
        <v>1.046529</v>
      </c>
      <c r="AX55" s="201">
        <v>1.057321382691256</v>
      </c>
      <c r="AY55" s="201">
        <v>1.0687898064113341</v>
      </c>
      <c r="AZ55" s="201">
        <v>1.0809089916969445</v>
      </c>
      <c r="BA55" s="201">
        <v>1.0936577958137255</v>
      </c>
      <c r="BB55" s="201">
        <v>1.1070186286995185</v>
      </c>
      <c r="BC55" s="201">
        <v>1.1209769671951608</v>
      </c>
      <c r="BD55" s="201">
        <v>1.13552094979005</v>
      </c>
      <c r="BE55" s="201">
        <v>1.1506410374287139</v>
      </c>
      <c r="BF55" s="201">
        <v>1.1663297286293801</v>
      </c>
      <c r="BG55" s="201">
        <v>1.1825813193957091</v>
      </c>
      <c r="BH55" s="201">
        <v>1.1993917001987979</v>
      </c>
      <c r="BI55" s="201">
        <v>1.2167581837451036</v>
      </c>
      <c r="BJ55" s="201">
        <v>1.2346793584097981</v>
      </c>
      <c r="BK55" s="201">
        <v>1.2531549631497376</v>
      </c>
      <c r="BL55" s="201">
        <v>1</v>
      </c>
      <c r="BM55" s="201">
        <v>1.0075087154733169</v>
      </c>
      <c r="BN55" s="201">
        <v>1.0150174309466338</v>
      </c>
      <c r="BO55" s="201">
        <v>1.0225261464199509</v>
      </c>
      <c r="BP55" s="201">
        <v>1.0300348618932678</v>
      </c>
      <c r="BQ55" s="201">
        <v>1.0375435773665846</v>
      </c>
      <c r="BR55" s="201">
        <v>1.0450522928399046</v>
      </c>
      <c r="BS55" s="201">
        <v>1.0458970233306526</v>
      </c>
      <c r="BT55" s="201">
        <v>1.0467417538213979</v>
      </c>
      <c r="BU55" s="201">
        <v>1.0475864843121492</v>
      </c>
      <c r="BV55" s="201">
        <v>1.0484312148028971</v>
      </c>
      <c r="BW55" s="201">
        <v>1.0492759452936424</v>
      </c>
      <c r="BX55" s="201">
        <v>1.0501206757843937</v>
      </c>
      <c r="BY55" s="201">
        <v>1.0509654062751417</v>
      </c>
      <c r="BZ55" s="201">
        <v>1.0518101367658899</v>
      </c>
      <c r="CA55" s="201">
        <v>1.0526548672566383</v>
      </c>
      <c r="CB55" s="201">
        <v>1.0534995977473862</v>
      </c>
    </row>
    <row r="56" spans="1:80" x14ac:dyDescent="0.35">
      <c r="A56" t="s">
        <v>737</v>
      </c>
      <c r="B56" t="s">
        <v>883</v>
      </c>
      <c r="C56" s="206" t="s">
        <v>843</v>
      </c>
      <c r="D56" t="s">
        <v>736</v>
      </c>
      <c r="E56" s="130">
        <v>184.479883956213</v>
      </c>
      <c r="F56" s="130">
        <f>NYSERDA_SupplyCurve_Raw[[#This Row],[Available Capacity (MWac)]]*NYSERDA_SupplyCurve_Raw[[#This Row],[2024 Weighted Avg Resource CapEx ($/kWac)]]</f>
        <v>473541.24286189879</v>
      </c>
      <c r="G56" s="130">
        <f>NYSERDA_SupplyCurve_Raw[[#This Row],[Available Capacity (MWac)]]*NYSERDA_SupplyCurve_Raw[[#This Row],[2024 Weighted Avg OpEx ($/kWac-year)]]</f>
        <v>10381.919622598332</v>
      </c>
      <c r="H56" s="130">
        <v>2566.8990716315475</v>
      </c>
      <c r="I56" s="130">
        <v>113.85016699824556</v>
      </c>
      <c r="J56" s="130">
        <v>56.276702911752267</v>
      </c>
      <c r="K56" s="130">
        <f>NYSERDA_SupplyCurve_Raw[[#This Row],[2024 Weighted Avg Capacity Factor]]*NYSERDA_SupplyCurve_Raw[[#This Row],[Available Capacity (MWac)]]</f>
        <v>65.43380009853891</v>
      </c>
      <c r="L56" s="205">
        <v>0.35469341532147686</v>
      </c>
      <c r="M56" s="201">
        <v>1</v>
      </c>
      <c r="N56" s="201">
        <v>1.0230000000000001</v>
      </c>
      <c r="O56" s="201">
        <v>1.0465289999999998</v>
      </c>
      <c r="P56" s="201">
        <v>1.0598020575021099</v>
      </c>
      <c r="Q56" s="201">
        <v>1.0736988159192506</v>
      </c>
      <c r="R56" s="201">
        <v>1.088203307374656</v>
      </c>
      <c r="S56" s="201">
        <v>1.1033026104404515</v>
      </c>
      <c r="T56" s="201">
        <v>1.1189864388040103</v>
      </c>
      <c r="U56" s="201">
        <v>1.1352467977755543</v>
      </c>
      <c r="V56" s="201">
        <v>1.1520776967604649</v>
      </c>
      <c r="W56" s="201">
        <v>1.169474907930673</v>
      </c>
      <c r="X56" s="201">
        <v>1.1874357630816734</v>
      </c>
      <c r="Y56" s="201">
        <v>1.2059589821346144</v>
      </c>
      <c r="Z56" s="201">
        <v>1.2250445279429274</v>
      </c>
      <c r="AA56" s="201">
        <v>1.2446934830326641</v>
      </c>
      <c r="AB56" s="201">
        <v>1.2649079446978337</v>
      </c>
      <c r="AC56" s="201">
        <v>1.2856909355124986</v>
      </c>
      <c r="AD56" s="201">
        <v>1</v>
      </c>
      <c r="AE56" s="201">
        <v>1.0230000000000001</v>
      </c>
      <c r="AF56" s="201">
        <v>1.0465289999999998</v>
      </c>
      <c r="AG56" s="201">
        <v>1.0705991669999995</v>
      </c>
      <c r="AH56" s="201">
        <v>1.0952229478409994</v>
      </c>
      <c r="AI56" s="201">
        <v>1.1204130756413426</v>
      </c>
      <c r="AJ56" s="201">
        <v>1.1461825763810931</v>
      </c>
      <c r="AK56" s="201">
        <v>1.1725447756378582</v>
      </c>
      <c r="AL56" s="201">
        <v>1.1995133054775291</v>
      </c>
      <c r="AM56" s="201">
        <v>1.2271021115035121</v>
      </c>
      <c r="AN56" s="201">
        <v>1.2553254600680928</v>
      </c>
      <c r="AO56" s="201">
        <v>1.2841979456496586</v>
      </c>
      <c r="AP56" s="201">
        <v>1.3137344983996004</v>
      </c>
      <c r="AQ56" s="201">
        <v>1.3439503918627913</v>
      </c>
      <c r="AR56" s="201">
        <v>1.374861250875635</v>
      </c>
      <c r="AS56" s="201">
        <v>1.4064830596457745</v>
      </c>
      <c r="AT56" s="201">
        <v>1.4388321700176274</v>
      </c>
      <c r="AU56" s="201">
        <v>1</v>
      </c>
      <c r="AV56" s="201">
        <v>1.0230000000000001</v>
      </c>
      <c r="AW56" s="201">
        <v>1.0465289999999998</v>
      </c>
      <c r="AX56" s="201">
        <v>1.0573213826912555</v>
      </c>
      <c r="AY56" s="201">
        <v>1.0687898064113341</v>
      </c>
      <c r="AZ56" s="201">
        <v>1.0809089916969445</v>
      </c>
      <c r="BA56" s="201">
        <v>1.0936577958137252</v>
      </c>
      <c r="BB56" s="201">
        <v>1.1070186286995187</v>
      </c>
      <c r="BC56" s="201">
        <v>1.1209769671951606</v>
      </c>
      <c r="BD56" s="201">
        <v>1.13552094979005</v>
      </c>
      <c r="BE56" s="201">
        <v>1.1506410374287139</v>
      </c>
      <c r="BF56" s="201">
        <v>1.1663297286293801</v>
      </c>
      <c r="BG56" s="201">
        <v>1.1825813193957089</v>
      </c>
      <c r="BH56" s="201">
        <v>1.1993917001987979</v>
      </c>
      <c r="BI56" s="201">
        <v>1.2167581837451034</v>
      </c>
      <c r="BJ56" s="201">
        <v>1.2346793584097977</v>
      </c>
      <c r="BK56" s="201">
        <v>1.2531549631497372</v>
      </c>
      <c r="BL56" s="201">
        <v>1</v>
      </c>
      <c r="BM56" s="201">
        <v>1.0075087154733169</v>
      </c>
      <c r="BN56" s="201">
        <v>1.0150174309466338</v>
      </c>
      <c r="BO56" s="201">
        <v>1.0225261464199509</v>
      </c>
      <c r="BP56" s="201">
        <v>1.0300348618932678</v>
      </c>
      <c r="BQ56" s="201">
        <v>1.0375435773665846</v>
      </c>
      <c r="BR56" s="201">
        <v>1.0450522928399046</v>
      </c>
      <c r="BS56" s="201">
        <v>1.0458970233306526</v>
      </c>
      <c r="BT56" s="201">
        <v>1.0467417538213979</v>
      </c>
      <c r="BU56" s="201">
        <v>1.0475864843121492</v>
      </c>
      <c r="BV56" s="201">
        <v>1.0484312148028971</v>
      </c>
      <c r="BW56" s="201">
        <v>1.0492759452936424</v>
      </c>
      <c r="BX56" s="201">
        <v>1.0501206757843937</v>
      </c>
      <c r="BY56" s="201">
        <v>1.0509654062751417</v>
      </c>
      <c r="BZ56" s="201">
        <v>1.0518101367658899</v>
      </c>
      <c r="CA56" s="201">
        <v>1.0526548672566383</v>
      </c>
      <c r="CB56" s="201">
        <v>1.0534995977473862</v>
      </c>
    </row>
    <row r="57" spans="1:80" x14ac:dyDescent="0.35">
      <c r="A57" t="s">
        <v>737</v>
      </c>
      <c r="B57" t="s">
        <v>884</v>
      </c>
      <c r="C57" s="206" t="s">
        <v>843</v>
      </c>
      <c r="D57" t="s">
        <v>736</v>
      </c>
      <c r="E57" s="130">
        <v>252.46584054268433</v>
      </c>
      <c r="F57" s="130">
        <f>NYSERDA_SupplyCurve_Raw[[#This Row],[Available Capacity (MWac)]]*NYSERDA_SupplyCurve_Raw[[#This Row],[2024 Weighted Avg Resource CapEx ($/kWac)]]</f>
        <v>627640.88857150171</v>
      </c>
      <c r="G57" s="130">
        <f>NYSERDA_SupplyCurve_Raw[[#This Row],[Available Capacity (MWac)]]*NYSERDA_SupplyCurve_Raw[[#This Row],[2024 Weighted Avg OpEx ($/kWac-year)]]</f>
        <v>14471.678568104373</v>
      </c>
      <c r="H57" s="130">
        <v>2486.0428136430864</v>
      </c>
      <c r="I57" s="130">
        <v>107.04270399658363</v>
      </c>
      <c r="J57" s="130">
        <v>57.321333202927505</v>
      </c>
      <c r="K57" s="130">
        <f>NYSERDA_SupplyCurve_Raw[[#This Row],[2024 Weighted Avg Capacity Factor]]*NYSERDA_SupplyCurve_Raw[[#This Row],[Available Capacity (MWac)]]</f>
        <v>96.934461958057298</v>
      </c>
      <c r="L57" s="205">
        <v>0.38395080201619836</v>
      </c>
      <c r="M57" s="201">
        <v>1</v>
      </c>
      <c r="N57" s="201">
        <v>1.0229999999999999</v>
      </c>
      <c r="O57" s="201">
        <v>1.0465289999999998</v>
      </c>
      <c r="P57" s="201">
        <v>1.0598020575021097</v>
      </c>
      <c r="Q57" s="201">
        <v>1.0736988159192502</v>
      </c>
      <c r="R57" s="201">
        <v>1.0882033073746558</v>
      </c>
      <c r="S57" s="201">
        <v>1.1033026104404513</v>
      </c>
      <c r="T57" s="201">
        <v>1.1189864388040101</v>
      </c>
      <c r="U57" s="201">
        <v>1.1352467977755538</v>
      </c>
      <c r="V57" s="201">
        <v>1.1520776967604647</v>
      </c>
      <c r="W57" s="201">
        <v>1.1694749079306728</v>
      </c>
      <c r="X57" s="201">
        <v>1.1874357630816732</v>
      </c>
      <c r="Y57" s="201">
        <v>1.2059589821346139</v>
      </c>
      <c r="Z57" s="201">
        <v>1.2250445279429276</v>
      </c>
      <c r="AA57" s="201">
        <v>1.2446934830326639</v>
      </c>
      <c r="AB57" s="201">
        <v>1.2649079446978335</v>
      </c>
      <c r="AC57" s="201">
        <v>1.2856909355124986</v>
      </c>
      <c r="AD57" s="201">
        <v>1</v>
      </c>
      <c r="AE57" s="201">
        <v>1.0229999999999999</v>
      </c>
      <c r="AF57" s="201">
        <v>1.0465289999999998</v>
      </c>
      <c r="AG57" s="201">
        <v>1.0705991669999999</v>
      </c>
      <c r="AH57" s="201">
        <v>1.0952229478409996</v>
      </c>
      <c r="AI57" s="201">
        <v>1.1204130756413426</v>
      </c>
      <c r="AJ57" s="201">
        <v>1.1461825763810931</v>
      </c>
      <c r="AK57" s="201">
        <v>1.1725447756378584</v>
      </c>
      <c r="AL57" s="201">
        <v>1.1995133054775289</v>
      </c>
      <c r="AM57" s="201">
        <v>1.2271021115035119</v>
      </c>
      <c r="AN57" s="201">
        <v>1.2553254600680928</v>
      </c>
      <c r="AO57" s="201">
        <v>1.2841979456496586</v>
      </c>
      <c r="AP57" s="201">
        <v>1.3137344983996004</v>
      </c>
      <c r="AQ57" s="201">
        <v>1.3439503918627915</v>
      </c>
      <c r="AR57" s="201">
        <v>1.3748612508756353</v>
      </c>
      <c r="AS57" s="201">
        <v>1.4064830596457749</v>
      </c>
      <c r="AT57" s="201">
        <v>1.4388321700176272</v>
      </c>
      <c r="AU57" s="201">
        <v>1</v>
      </c>
      <c r="AV57" s="201">
        <v>1.0229999999999999</v>
      </c>
      <c r="AW57" s="201">
        <v>1.0465289999999998</v>
      </c>
      <c r="AX57" s="201">
        <v>1.0573213826912555</v>
      </c>
      <c r="AY57" s="201">
        <v>1.0687898064113339</v>
      </c>
      <c r="AZ57" s="201">
        <v>1.0809089916969443</v>
      </c>
      <c r="BA57" s="201">
        <v>1.0936577958137252</v>
      </c>
      <c r="BB57" s="201">
        <v>1.1070186286995185</v>
      </c>
      <c r="BC57" s="201">
        <v>1.1209769671951606</v>
      </c>
      <c r="BD57" s="201">
        <v>1.1355209497900498</v>
      </c>
      <c r="BE57" s="201">
        <v>1.1506410374287139</v>
      </c>
      <c r="BF57" s="201">
        <v>1.1663297286293799</v>
      </c>
      <c r="BG57" s="201">
        <v>1.1825813193957089</v>
      </c>
      <c r="BH57" s="201">
        <v>1.1993917001987977</v>
      </c>
      <c r="BI57" s="201">
        <v>1.2167581837451034</v>
      </c>
      <c r="BJ57" s="201">
        <v>1.2346793584097977</v>
      </c>
      <c r="BK57" s="201">
        <v>1.2531549631497372</v>
      </c>
      <c r="BL57" s="201">
        <v>1</v>
      </c>
      <c r="BM57" s="201">
        <v>1.0075087154733169</v>
      </c>
      <c r="BN57" s="201">
        <v>1.0150174309466338</v>
      </c>
      <c r="BO57" s="201">
        <v>1.0225261464199509</v>
      </c>
      <c r="BP57" s="201">
        <v>1.0300348618932678</v>
      </c>
      <c r="BQ57" s="201">
        <v>1.0375435773665846</v>
      </c>
      <c r="BR57" s="201">
        <v>1.0450522928399046</v>
      </c>
      <c r="BS57" s="201">
        <v>1.0458970233306526</v>
      </c>
      <c r="BT57" s="201">
        <v>1.0467417538213979</v>
      </c>
      <c r="BU57" s="201">
        <v>1.0475864843121492</v>
      </c>
      <c r="BV57" s="201">
        <v>1.0484312148028971</v>
      </c>
      <c r="BW57" s="201">
        <v>1.0492759452936424</v>
      </c>
      <c r="BX57" s="201">
        <v>1.0501206757843937</v>
      </c>
      <c r="BY57" s="201">
        <v>1.0509654062751417</v>
      </c>
      <c r="BZ57" s="201">
        <v>1.0518101367658899</v>
      </c>
      <c r="CA57" s="201">
        <v>1.0526548672566383</v>
      </c>
      <c r="CB57" s="201">
        <v>1.0534995977473862</v>
      </c>
    </row>
    <row r="58" spans="1:80" x14ac:dyDescent="0.35">
      <c r="A58" t="s">
        <v>737</v>
      </c>
      <c r="B58" t="s">
        <v>885</v>
      </c>
      <c r="C58" s="206" t="s">
        <v>839</v>
      </c>
      <c r="D58" t="s">
        <v>736</v>
      </c>
      <c r="E58" s="130">
        <v>148.37896443090995</v>
      </c>
      <c r="F58" s="130">
        <f>NYSERDA_SupplyCurve_Raw[[#This Row],[Available Capacity (MWac)]]*NYSERDA_SupplyCurve_Raw[[#This Row],[2024 Weighted Avg Resource CapEx ($/kWac)]]</f>
        <v>533107.96269574738</v>
      </c>
      <c r="G58" s="130">
        <f>NYSERDA_SupplyCurve_Raw[[#This Row],[Available Capacity (MWac)]]*NYSERDA_SupplyCurve_Raw[[#This Row],[2024 Weighted Avg OpEx ($/kWac-year)]]</f>
        <v>8602.1557859606019</v>
      </c>
      <c r="H58" s="130">
        <v>3592.8810039915038</v>
      </c>
      <c r="I58" s="130">
        <v>181.4555377167602</v>
      </c>
      <c r="J58" s="130">
        <v>57.974227134911999</v>
      </c>
      <c r="K58" s="130">
        <f>NYSERDA_SupplyCurve_Raw[[#This Row],[2024 Weighted Avg Capacity Factor]]*NYSERDA_SupplyCurve_Raw[[#This Row],[Available Capacity (MWac)]]</f>
        <v>47.479273398484899</v>
      </c>
      <c r="L58" s="205">
        <v>0.31998655321922526</v>
      </c>
      <c r="M58" s="201">
        <v>1</v>
      </c>
      <c r="N58" s="201">
        <v>1.0229999999999997</v>
      </c>
      <c r="O58" s="201">
        <v>1.0465289999999998</v>
      </c>
      <c r="P58" s="201">
        <v>1.0598020575021094</v>
      </c>
      <c r="Q58" s="201">
        <v>1.0736988159192502</v>
      </c>
      <c r="R58" s="201">
        <v>1.0882033073746555</v>
      </c>
      <c r="S58" s="201">
        <v>1.1033026104404513</v>
      </c>
      <c r="T58" s="201">
        <v>1.1189864388040101</v>
      </c>
      <c r="U58" s="201">
        <v>1.135246797775554</v>
      </c>
      <c r="V58" s="201">
        <v>1.1520776967604645</v>
      </c>
      <c r="W58" s="201">
        <v>1.1694749079306723</v>
      </c>
      <c r="X58" s="201">
        <v>1.1874357630816734</v>
      </c>
      <c r="Y58" s="201">
        <v>1.2059589821346139</v>
      </c>
      <c r="Z58" s="201">
        <v>1.2250445279429276</v>
      </c>
      <c r="AA58" s="201">
        <v>1.2446934830326639</v>
      </c>
      <c r="AB58" s="201">
        <v>1.2649079446978333</v>
      </c>
      <c r="AC58" s="201">
        <v>1.2856909355124986</v>
      </c>
      <c r="AD58" s="201">
        <v>1</v>
      </c>
      <c r="AE58" s="201">
        <v>1.0229999999999997</v>
      </c>
      <c r="AF58" s="201">
        <v>1.0465289999999996</v>
      </c>
      <c r="AG58" s="201">
        <v>1.0705991669999997</v>
      </c>
      <c r="AH58" s="201">
        <v>1.0952229478409994</v>
      </c>
      <c r="AI58" s="201">
        <v>1.1204130756413424</v>
      </c>
      <c r="AJ58" s="201">
        <v>1.1461825763810929</v>
      </c>
      <c r="AK58" s="201">
        <v>1.172544775637858</v>
      </c>
      <c r="AL58" s="201">
        <v>1.1995133054775287</v>
      </c>
      <c r="AM58" s="201">
        <v>1.2271021115035117</v>
      </c>
      <c r="AN58" s="201">
        <v>1.2553254600680925</v>
      </c>
      <c r="AO58" s="201">
        <v>1.2841979456496584</v>
      </c>
      <c r="AP58" s="201">
        <v>1.3137344983996004</v>
      </c>
      <c r="AQ58" s="201">
        <v>1.3439503918627913</v>
      </c>
      <c r="AR58" s="201">
        <v>1.3748612508756348</v>
      </c>
      <c r="AS58" s="201">
        <v>1.4064830596457747</v>
      </c>
      <c r="AT58" s="201">
        <v>1.4388321700176272</v>
      </c>
      <c r="AU58" s="201">
        <v>1</v>
      </c>
      <c r="AV58" s="201">
        <v>1.0230000000000001</v>
      </c>
      <c r="AW58" s="201">
        <v>1.046529</v>
      </c>
      <c r="AX58" s="201">
        <v>1.0573213826912558</v>
      </c>
      <c r="AY58" s="201">
        <v>1.0687898064113341</v>
      </c>
      <c r="AZ58" s="201">
        <v>1.0809089916969445</v>
      </c>
      <c r="BA58" s="201">
        <v>1.0936577958137252</v>
      </c>
      <c r="BB58" s="201">
        <v>1.1070186286995187</v>
      </c>
      <c r="BC58" s="201">
        <v>1.1209769671951604</v>
      </c>
      <c r="BD58" s="201">
        <v>1.13552094979005</v>
      </c>
      <c r="BE58" s="201">
        <v>1.1506410374287139</v>
      </c>
      <c r="BF58" s="201">
        <v>1.1663297286293803</v>
      </c>
      <c r="BG58" s="201">
        <v>1.1825813193957091</v>
      </c>
      <c r="BH58" s="201">
        <v>1.1993917001987981</v>
      </c>
      <c r="BI58" s="201">
        <v>1.2167581837451038</v>
      </c>
      <c r="BJ58" s="201">
        <v>1.2346793584097979</v>
      </c>
      <c r="BK58" s="201">
        <v>1.2531549631497372</v>
      </c>
      <c r="BL58" s="201">
        <v>1</v>
      </c>
      <c r="BM58" s="201">
        <v>1.0075087154733169</v>
      </c>
      <c r="BN58" s="201">
        <v>1.0150174309466338</v>
      </c>
      <c r="BO58" s="201">
        <v>1.0225261464199509</v>
      </c>
      <c r="BP58" s="201">
        <v>1.0300348618932678</v>
      </c>
      <c r="BQ58" s="201">
        <v>1.0375435773665846</v>
      </c>
      <c r="BR58" s="201">
        <v>1.0450522928399046</v>
      </c>
      <c r="BS58" s="201">
        <v>1.0458970233306526</v>
      </c>
      <c r="BT58" s="201">
        <v>1.0467417538213979</v>
      </c>
      <c r="BU58" s="201">
        <v>1.0475864843121492</v>
      </c>
      <c r="BV58" s="201">
        <v>1.0484312148028971</v>
      </c>
      <c r="BW58" s="201">
        <v>1.0492759452936424</v>
      </c>
      <c r="BX58" s="201">
        <v>1.0501206757843937</v>
      </c>
      <c r="BY58" s="201">
        <v>1.0509654062751417</v>
      </c>
      <c r="BZ58" s="201">
        <v>1.0518101367658899</v>
      </c>
      <c r="CA58" s="201">
        <v>1.0526548672566383</v>
      </c>
      <c r="CB58" s="201">
        <v>1.0534995977473862</v>
      </c>
    </row>
    <row r="59" spans="1:80" x14ac:dyDescent="0.35">
      <c r="A59" t="s">
        <v>737</v>
      </c>
      <c r="B59" t="s">
        <v>886</v>
      </c>
      <c r="C59" s="206" t="s">
        <v>841</v>
      </c>
      <c r="D59" t="s">
        <v>736</v>
      </c>
      <c r="E59" s="130">
        <v>232.44852863802848</v>
      </c>
      <c r="F59" s="130">
        <f>NYSERDA_SupplyCurve_Raw[[#This Row],[Available Capacity (MWac)]]*NYSERDA_SupplyCurve_Raw[[#This Row],[2024 Weighted Avg Resource CapEx ($/kWac)]]</f>
        <v>569073.3192875369</v>
      </c>
      <c r="G59" s="130">
        <f>NYSERDA_SupplyCurve_Raw[[#This Row],[Available Capacity (MWac)]]*NYSERDA_SupplyCurve_Raw[[#This Row],[2024 Weighted Avg OpEx ($/kWac-year)]]</f>
        <v>13324.259562590667</v>
      </c>
      <c r="H59" s="130">
        <v>2448.1691608110991</v>
      </c>
      <c r="I59" s="130">
        <v>83.549282095237288</v>
      </c>
      <c r="J59" s="130">
        <v>57.321333202927505</v>
      </c>
      <c r="K59" s="130">
        <f>NYSERDA_SupplyCurve_Raw[[#This Row],[2024 Weighted Avg Capacity Factor]]*NYSERDA_SupplyCurve_Raw[[#This Row],[Available Capacity (MWac)]]</f>
        <v>87.952768506527093</v>
      </c>
      <c r="L59" s="205">
        <v>0.37837524299191483</v>
      </c>
      <c r="M59" s="201">
        <v>1</v>
      </c>
      <c r="N59" s="201">
        <v>1.0229999999999999</v>
      </c>
      <c r="O59" s="201">
        <v>1.0465289999999998</v>
      </c>
      <c r="P59" s="201">
        <v>1.0598020575021094</v>
      </c>
      <c r="Q59" s="201">
        <v>1.0736988159192502</v>
      </c>
      <c r="R59" s="201">
        <v>1.0882033073746558</v>
      </c>
      <c r="S59" s="201">
        <v>1.1033026104404511</v>
      </c>
      <c r="T59" s="201">
        <v>1.1189864388040101</v>
      </c>
      <c r="U59" s="201">
        <v>1.1352467977755538</v>
      </c>
      <c r="V59" s="201">
        <v>1.1520776967604645</v>
      </c>
      <c r="W59" s="201">
        <v>1.1694749079306728</v>
      </c>
      <c r="X59" s="201">
        <v>1.1874357630816732</v>
      </c>
      <c r="Y59" s="201">
        <v>1.2059589821346139</v>
      </c>
      <c r="Z59" s="201">
        <v>1.2250445279429276</v>
      </c>
      <c r="AA59" s="201">
        <v>1.2446934830326639</v>
      </c>
      <c r="AB59" s="201">
        <v>1.2649079446978333</v>
      </c>
      <c r="AC59" s="201">
        <v>1.2856909355124986</v>
      </c>
      <c r="AD59" s="201">
        <v>1</v>
      </c>
      <c r="AE59" s="201">
        <v>1.0230000000000001</v>
      </c>
      <c r="AF59" s="201">
        <v>1.0465289999999998</v>
      </c>
      <c r="AG59" s="201">
        <v>1.0705991669999995</v>
      </c>
      <c r="AH59" s="201">
        <v>1.0952229478409996</v>
      </c>
      <c r="AI59" s="201">
        <v>1.1204130756413428</v>
      </c>
      <c r="AJ59" s="201">
        <v>1.1461825763810931</v>
      </c>
      <c r="AK59" s="201">
        <v>1.1725447756378582</v>
      </c>
      <c r="AL59" s="201">
        <v>1.1995133054775289</v>
      </c>
      <c r="AM59" s="201">
        <v>1.2271021115035119</v>
      </c>
      <c r="AN59" s="201">
        <v>1.2553254600680928</v>
      </c>
      <c r="AO59" s="201">
        <v>1.2841979456496586</v>
      </c>
      <c r="AP59" s="201">
        <v>1.3137344983996007</v>
      </c>
      <c r="AQ59" s="201">
        <v>1.3439503918627915</v>
      </c>
      <c r="AR59" s="201">
        <v>1.3748612508756353</v>
      </c>
      <c r="AS59" s="201">
        <v>1.4064830596457747</v>
      </c>
      <c r="AT59" s="201">
        <v>1.4388321700176274</v>
      </c>
      <c r="AU59" s="201">
        <v>1</v>
      </c>
      <c r="AV59" s="201">
        <v>1.0229999999999999</v>
      </c>
      <c r="AW59" s="201">
        <v>1.0465289999999998</v>
      </c>
      <c r="AX59" s="201">
        <v>1.0573213826912558</v>
      </c>
      <c r="AY59" s="201">
        <v>1.0687898064113337</v>
      </c>
      <c r="AZ59" s="201">
        <v>1.0809089916969443</v>
      </c>
      <c r="BA59" s="201">
        <v>1.093657795813725</v>
      </c>
      <c r="BB59" s="201">
        <v>1.1070186286995185</v>
      </c>
      <c r="BC59" s="201">
        <v>1.1209769671951608</v>
      </c>
      <c r="BD59" s="201">
        <v>1.1355209497900498</v>
      </c>
      <c r="BE59" s="201">
        <v>1.1506410374287139</v>
      </c>
      <c r="BF59" s="201">
        <v>1.1663297286293799</v>
      </c>
      <c r="BG59" s="201">
        <v>1.1825813193957089</v>
      </c>
      <c r="BH59" s="201">
        <v>1.1993917001987977</v>
      </c>
      <c r="BI59" s="201">
        <v>1.2167581837451034</v>
      </c>
      <c r="BJ59" s="201">
        <v>1.2346793584097977</v>
      </c>
      <c r="BK59" s="201">
        <v>1.2531549631497374</v>
      </c>
      <c r="BL59" s="201">
        <v>1</v>
      </c>
      <c r="BM59" s="201">
        <v>1.0075087154733169</v>
      </c>
      <c r="BN59" s="201">
        <v>1.0150174309466338</v>
      </c>
      <c r="BO59" s="201">
        <v>1.0225261464199509</v>
      </c>
      <c r="BP59" s="201">
        <v>1.0300348618932678</v>
      </c>
      <c r="BQ59" s="201">
        <v>1.0375435773665846</v>
      </c>
      <c r="BR59" s="201">
        <v>1.0450522928399046</v>
      </c>
      <c r="BS59" s="201">
        <v>1.0458970233306526</v>
      </c>
      <c r="BT59" s="201">
        <v>1.0467417538213979</v>
      </c>
      <c r="BU59" s="201">
        <v>1.0475864843121492</v>
      </c>
      <c r="BV59" s="201">
        <v>1.0484312148028971</v>
      </c>
      <c r="BW59" s="201">
        <v>1.0492759452936424</v>
      </c>
      <c r="BX59" s="201">
        <v>1.0501206757843937</v>
      </c>
      <c r="BY59" s="201">
        <v>1.0509654062751417</v>
      </c>
      <c r="BZ59" s="201">
        <v>1.0518101367658899</v>
      </c>
      <c r="CA59" s="201">
        <v>1.0526548672566383</v>
      </c>
      <c r="CB59" s="201">
        <v>1.0534995977473862</v>
      </c>
    </row>
    <row r="60" spans="1:80" x14ac:dyDescent="0.35">
      <c r="A60" t="s">
        <v>737</v>
      </c>
      <c r="B60" t="s">
        <v>887</v>
      </c>
      <c r="C60" s="206" t="s">
        <v>845</v>
      </c>
      <c r="D60" t="s">
        <v>736</v>
      </c>
      <c r="E60" s="130">
        <v>229.50887059347244</v>
      </c>
      <c r="F60" s="130">
        <f>NYSERDA_SupplyCurve_Raw[[#This Row],[Available Capacity (MWac)]]*NYSERDA_SupplyCurve_Raw[[#This Row],[2024 Weighted Avg Resource CapEx ($/kWac)]]</f>
        <v>570049.11045867729</v>
      </c>
      <c r="G60" s="130">
        <f>NYSERDA_SupplyCurve_Raw[[#This Row],[Available Capacity (MWac)]]*NYSERDA_SupplyCurve_Raw[[#This Row],[2024 Weighted Avg OpEx ($/kWac-year)]]</f>
        <v>12874.045940295457</v>
      </c>
      <c r="H60" s="130">
        <v>2483.7781170924827</v>
      </c>
      <c r="I60" s="130">
        <v>202.39554447902904</v>
      </c>
      <c r="J60" s="130">
        <v>56.093892610796601</v>
      </c>
      <c r="K60" s="130">
        <f>NYSERDA_SupplyCurve_Raw[[#This Row],[2024 Weighted Avg Capacity Factor]]*NYSERDA_SupplyCurve_Raw[[#This Row],[Available Capacity (MWac)]]</f>
        <v>92.846280088596288</v>
      </c>
      <c r="L60" s="205">
        <v>0.40454331829750623</v>
      </c>
      <c r="M60" s="201">
        <v>1</v>
      </c>
      <c r="N60" s="201">
        <v>1.0229999999999999</v>
      </c>
      <c r="O60" s="201">
        <v>1.0465289999999998</v>
      </c>
      <c r="P60" s="201">
        <v>1.0598020575021097</v>
      </c>
      <c r="Q60" s="201">
        <v>1.0736988159192504</v>
      </c>
      <c r="R60" s="201">
        <v>1.0882033073746558</v>
      </c>
      <c r="S60" s="201">
        <v>1.1033026104404513</v>
      </c>
      <c r="T60" s="201">
        <v>1.1189864388040101</v>
      </c>
      <c r="U60" s="201">
        <v>1.135246797775554</v>
      </c>
      <c r="V60" s="201">
        <v>1.1520776967604647</v>
      </c>
      <c r="W60" s="201">
        <v>1.1694749079306728</v>
      </c>
      <c r="X60" s="201">
        <v>1.1874357630816734</v>
      </c>
      <c r="Y60" s="201">
        <v>1.2059589821346139</v>
      </c>
      <c r="Z60" s="201">
        <v>1.2250445279429276</v>
      </c>
      <c r="AA60" s="201">
        <v>1.2446934830326644</v>
      </c>
      <c r="AB60" s="201">
        <v>1.2649079446978335</v>
      </c>
      <c r="AC60" s="201">
        <v>1.2856909355124986</v>
      </c>
      <c r="AD60" s="201">
        <v>1</v>
      </c>
      <c r="AE60" s="201">
        <v>1.0229999999999997</v>
      </c>
      <c r="AF60" s="201">
        <v>1.0465289999999996</v>
      </c>
      <c r="AG60" s="201">
        <v>1.0705991669999997</v>
      </c>
      <c r="AH60" s="201">
        <v>1.0952229478409996</v>
      </c>
      <c r="AI60" s="201">
        <v>1.1204130756413424</v>
      </c>
      <c r="AJ60" s="201">
        <v>1.1461825763810931</v>
      </c>
      <c r="AK60" s="201">
        <v>1.1725447756378582</v>
      </c>
      <c r="AL60" s="201">
        <v>1.1995133054775289</v>
      </c>
      <c r="AM60" s="201">
        <v>1.2271021115035119</v>
      </c>
      <c r="AN60" s="201">
        <v>1.2553254600680923</v>
      </c>
      <c r="AO60" s="201">
        <v>1.2841979456496586</v>
      </c>
      <c r="AP60" s="201">
        <v>1.3137344983996004</v>
      </c>
      <c r="AQ60" s="201">
        <v>1.3439503918627915</v>
      </c>
      <c r="AR60" s="201">
        <v>1.374861250875635</v>
      </c>
      <c r="AS60" s="201">
        <v>1.4064830596457742</v>
      </c>
      <c r="AT60" s="201">
        <v>1.4388321700176272</v>
      </c>
      <c r="AU60" s="201">
        <v>1</v>
      </c>
      <c r="AV60" s="201">
        <v>1.0229999999999999</v>
      </c>
      <c r="AW60" s="201">
        <v>1.0465289999999998</v>
      </c>
      <c r="AX60" s="201">
        <v>1.0573213826912555</v>
      </c>
      <c r="AY60" s="201">
        <v>1.0687898064113339</v>
      </c>
      <c r="AZ60" s="201">
        <v>1.0809089916969443</v>
      </c>
      <c r="BA60" s="201">
        <v>1.0936577958137252</v>
      </c>
      <c r="BB60" s="201">
        <v>1.1070186286995185</v>
      </c>
      <c r="BC60" s="201">
        <v>1.1209769671951604</v>
      </c>
      <c r="BD60" s="201">
        <v>1.1355209497900498</v>
      </c>
      <c r="BE60" s="201">
        <v>1.1506410374287139</v>
      </c>
      <c r="BF60" s="201">
        <v>1.1663297286293799</v>
      </c>
      <c r="BG60" s="201">
        <v>1.1825813193957089</v>
      </c>
      <c r="BH60" s="201">
        <v>1.1993917001987977</v>
      </c>
      <c r="BI60" s="201">
        <v>1.2167581837451034</v>
      </c>
      <c r="BJ60" s="201">
        <v>1.2346793584097975</v>
      </c>
      <c r="BK60" s="201">
        <v>1.253154963149737</v>
      </c>
      <c r="BL60" s="201">
        <v>1</v>
      </c>
      <c r="BM60" s="201">
        <v>1.0075087154733169</v>
      </c>
      <c r="BN60" s="201">
        <v>1.0150174309466338</v>
      </c>
      <c r="BO60" s="201">
        <v>1.0225261464199509</v>
      </c>
      <c r="BP60" s="201">
        <v>1.0300348618932678</v>
      </c>
      <c r="BQ60" s="201">
        <v>1.0375435773665846</v>
      </c>
      <c r="BR60" s="201">
        <v>1.0450522928399046</v>
      </c>
      <c r="BS60" s="201">
        <v>1.0458970233306526</v>
      </c>
      <c r="BT60" s="201">
        <v>1.0467417538213979</v>
      </c>
      <c r="BU60" s="201">
        <v>1.0475864843121492</v>
      </c>
      <c r="BV60" s="201">
        <v>1.0484312148028971</v>
      </c>
      <c r="BW60" s="201">
        <v>1.0492759452936424</v>
      </c>
      <c r="BX60" s="201">
        <v>1.0501206757843937</v>
      </c>
      <c r="BY60" s="201">
        <v>1.0509654062751417</v>
      </c>
      <c r="BZ60" s="201">
        <v>1.0518101367658899</v>
      </c>
      <c r="CA60" s="201">
        <v>1.0526548672566383</v>
      </c>
      <c r="CB60" s="201">
        <v>1.0534995977473862</v>
      </c>
    </row>
    <row r="61" spans="1:80" x14ac:dyDescent="0.35">
      <c r="A61" t="s">
        <v>737</v>
      </c>
      <c r="B61" t="s">
        <v>888</v>
      </c>
      <c r="C61" s="206" t="s">
        <v>843</v>
      </c>
      <c r="D61" t="s">
        <v>736</v>
      </c>
      <c r="E61" s="130">
        <v>121.91232719694055</v>
      </c>
      <c r="F61" s="130">
        <f>NYSERDA_SupplyCurve_Raw[[#This Row],[Available Capacity (MWac)]]*NYSERDA_SupplyCurve_Raw[[#This Row],[2024 Weighted Avg Resource CapEx ($/kWac)]]</f>
        <v>300309.74134920898</v>
      </c>
      <c r="G61" s="130">
        <f>NYSERDA_SupplyCurve_Raw[[#This Row],[Available Capacity (MWac)]]*NYSERDA_SupplyCurve_Raw[[#This Row],[2024 Weighted Avg OpEx ($/kWac-year)]]</f>
        <v>6892.6621464069567</v>
      </c>
      <c r="H61" s="130">
        <v>2463.3254753974165</v>
      </c>
      <c r="I61" s="130">
        <v>92.94408218351569</v>
      </c>
      <c r="J61" s="130">
        <v>56.537860484546073</v>
      </c>
      <c r="K61" s="130">
        <f>NYSERDA_SupplyCurve_Raw[[#This Row],[2024 Weighted Avg Capacity Factor]]*NYSERDA_SupplyCurve_Raw[[#This Row],[Available Capacity (MWac)]]</f>
        <v>50.096567718867306</v>
      </c>
      <c r="L61" s="205">
        <v>0.41092290558886568</v>
      </c>
      <c r="M61" s="201">
        <v>1</v>
      </c>
      <c r="N61" s="201">
        <v>1.0229999999999997</v>
      </c>
      <c r="O61" s="201">
        <v>1.0465289999999996</v>
      </c>
      <c r="P61" s="201">
        <v>1.0598020575021094</v>
      </c>
      <c r="Q61" s="201">
        <v>1.07369881591925</v>
      </c>
      <c r="R61" s="201">
        <v>1.0882033073746558</v>
      </c>
      <c r="S61" s="201">
        <v>1.1033026104404511</v>
      </c>
      <c r="T61" s="201">
        <v>1.1189864388040101</v>
      </c>
      <c r="U61" s="201">
        <v>1.1352467977755538</v>
      </c>
      <c r="V61" s="201">
        <v>1.1520776967604642</v>
      </c>
      <c r="W61" s="201">
        <v>1.1694749079306725</v>
      </c>
      <c r="X61" s="201">
        <v>1.1874357630816732</v>
      </c>
      <c r="Y61" s="201">
        <v>1.2059589821346139</v>
      </c>
      <c r="Z61" s="201">
        <v>1.2250445279429272</v>
      </c>
      <c r="AA61" s="201">
        <v>1.2446934830326639</v>
      </c>
      <c r="AB61" s="201">
        <v>1.2649079446978331</v>
      </c>
      <c r="AC61" s="201">
        <v>1.2856909355124984</v>
      </c>
      <c r="AD61" s="201">
        <v>1</v>
      </c>
      <c r="AE61" s="201">
        <v>1.0229999999999999</v>
      </c>
      <c r="AF61" s="201">
        <v>1.0465289999999998</v>
      </c>
      <c r="AG61" s="201">
        <v>1.0705991669999997</v>
      </c>
      <c r="AH61" s="201">
        <v>1.0952229478409994</v>
      </c>
      <c r="AI61" s="201">
        <v>1.1204130756413426</v>
      </c>
      <c r="AJ61" s="201">
        <v>1.1461825763810929</v>
      </c>
      <c r="AK61" s="201">
        <v>1.172544775637858</v>
      </c>
      <c r="AL61" s="201">
        <v>1.1995133054775287</v>
      </c>
      <c r="AM61" s="201">
        <v>1.2271021115035117</v>
      </c>
      <c r="AN61" s="201">
        <v>1.2553254600680925</v>
      </c>
      <c r="AO61" s="201">
        <v>1.2841979456496586</v>
      </c>
      <c r="AP61" s="201">
        <v>1.3137344983996007</v>
      </c>
      <c r="AQ61" s="201">
        <v>1.3439503918627913</v>
      </c>
      <c r="AR61" s="201">
        <v>1.3748612508756353</v>
      </c>
      <c r="AS61" s="201">
        <v>1.4064830596457745</v>
      </c>
      <c r="AT61" s="201">
        <v>1.4388321700176274</v>
      </c>
      <c r="AU61" s="201">
        <v>1</v>
      </c>
      <c r="AV61" s="201">
        <v>1.0229999999999999</v>
      </c>
      <c r="AW61" s="201">
        <v>1.0465289999999998</v>
      </c>
      <c r="AX61" s="201">
        <v>1.0573213826912558</v>
      </c>
      <c r="AY61" s="201">
        <v>1.0687898064113339</v>
      </c>
      <c r="AZ61" s="201">
        <v>1.0809089916969443</v>
      </c>
      <c r="BA61" s="201">
        <v>1.0936577958137255</v>
      </c>
      <c r="BB61" s="201">
        <v>1.1070186286995185</v>
      </c>
      <c r="BC61" s="201">
        <v>1.1209769671951606</v>
      </c>
      <c r="BD61" s="201">
        <v>1.1355209497900498</v>
      </c>
      <c r="BE61" s="201">
        <v>1.1506410374287139</v>
      </c>
      <c r="BF61" s="201">
        <v>1.1663297286293799</v>
      </c>
      <c r="BG61" s="201">
        <v>1.1825813193957089</v>
      </c>
      <c r="BH61" s="201">
        <v>1.1993917001987979</v>
      </c>
      <c r="BI61" s="201">
        <v>1.2167581837451034</v>
      </c>
      <c r="BJ61" s="201">
        <v>1.2346793584097977</v>
      </c>
      <c r="BK61" s="201">
        <v>1.2531549631497372</v>
      </c>
      <c r="BL61" s="201">
        <v>1</v>
      </c>
      <c r="BM61" s="201">
        <v>1.0075087154733169</v>
      </c>
      <c r="BN61" s="201">
        <v>1.0150174309466338</v>
      </c>
      <c r="BO61" s="201">
        <v>1.0225261464199509</v>
      </c>
      <c r="BP61" s="201">
        <v>1.0300348618932678</v>
      </c>
      <c r="BQ61" s="201">
        <v>1.0375435773665846</v>
      </c>
      <c r="BR61" s="201">
        <v>1.0450522928399046</v>
      </c>
      <c r="BS61" s="201">
        <v>1.0458970233306526</v>
      </c>
      <c r="BT61" s="201">
        <v>1.0467417538213979</v>
      </c>
      <c r="BU61" s="201">
        <v>1.0475864843121492</v>
      </c>
      <c r="BV61" s="201">
        <v>1.0484312148028971</v>
      </c>
      <c r="BW61" s="201">
        <v>1.0492759452936424</v>
      </c>
      <c r="BX61" s="201">
        <v>1.0501206757843937</v>
      </c>
      <c r="BY61" s="201">
        <v>1.0509654062751417</v>
      </c>
      <c r="BZ61" s="201">
        <v>1.0518101367658899</v>
      </c>
      <c r="CA61" s="201">
        <v>1.0526548672566383</v>
      </c>
      <c r="CB61" s="201">
        <v>1.0534995977473862</v>
      </c>
    </row>
    <row r="62" spans="1:80" x14ac:dyDescent="0.35">
      <c r="A62" t="s">
        <v>737</v>
      </c>
      <c r="B62" t="s">
        <v>888</v>
      </c>
      <c r="C62" s="206" t="s">
        <v>843</v>
      </c>
      <c r="D62" t="s">
        <v>742</v>
      </c>
      <c r="E62" s="130">
        <v>69.375823420813006</v>
      </c>
      <c r="F62" s="130">
        <f>NYSERDA_SupplyCurve_Raw[[#This Row],[Available Capacity (MWac)]]*NYSERDA_SupplyCurve_Raw[[#This Row],[2024 Weighted Avg Resource CapEx ($/kWac)]]</f>
        <v>213350.03772988124</v>
      </c>
      <c r="G62" s="130">
        <f>NYSERDA_SupplyCurve_Raw[[#This Row],[Available Capacity (MWac)]]*NYSERDA_SupplyCurve_Raw[[#This Row],[2024 Weighted Avg OpEx ($/kWac-year)]]</f>
        <v>3922.3606255664295</v>
      </c>
      <c r="H62" s="130">
        <v>3075.2793582825489</v>
      </c>
      <c r="I62" s="130">
        <v>197.99458762356358</v>
      </c>
      <c r="J62" s="130">
        <v>56.537860484546073</v>
      </c>
      <c r="K62" s="130">
        <f>NYSERDA_SupplyCurve_Raw[[#This Row],[2024 Weighted Avg Capacity Factor]]*NYSERDA_SupplyCurve_Raw[[#This Row],[Available Capacity (MWac)]]</f>
        <v>27.292287693831863</v>
      </c>
      <c r="L62" s="205">
        <v>0.39339767584861668</v>
      </c>
      <c r="M62" s="201">
        <v>1</v>
      </c>
      <c r="N62" s="201">
        <v>1.0229999999999999</v>
      </c>
      <c r="O62" s="201">
        <v>1.0465289999999998</v>
      </c>
      <c r="P62" s="201">
        <v>1.0598020575021097</v>
      </c>
      <c r="Q62" s="201">
        <v>1.0736988159192504</v>
      </c>
      <c r="R62" s="201">
        <v>1.0882033073746558</v>
      </c>
      <c r="S62" s="201">
        <v>1.1033026104404513</v>
      </c>
      <c r="T62" s="201">
        <v>1.1189864388040103</v>
      </c>
      <c r="U62" s="201">
        <v>1.135246797775554</v>
      </c>
      <c r="V62" s="201">
        <v>1.1520776967604645</v>
      </c>
      <c r="W62" s="201">
        <v>1.1694749079306728</v>
      </c>
      <c r="X62" s="201">
        <v>1.1874357630816732</v>
      </c>
      <c r="Y62" s="201">
        <v>1.2059589821346139</v>
      </c>
      <c r="Z62" s="201">
        <v>1.2250445279429274</v>
      </c>
      <c r="AA62" s="201">
        <v>1.2446934830326641</v>
      </c>
      <c r="AB62" s="201">
        <v>1.2649079446978335</v>
      </c>
      <c r="AC62" s="201">
        <v>1.2856909355124988</v>
      </c>
      <c r="AD62" s="201">
        <v>1</v>
      </c>
      <c r="AE62" s="201">
        <v>1.0229999999999999</v>
      </c>
      <c r="AF62" s="201">
        <v>1.0465289999999998</v>
      </c>
      <c r="AG62" s="201">
        <v>1.0705991669999997</v>
      </c>
      <c r="AH62" s="201">
        <v>1.0952229478409996</v>
      </c>
      <c r="AI62" s="201">
        <v>1.1204130756413426</v>
      </c>
      <c r="AJ62" s="201">
        <v>1.1461825763810931</v>
      </c>
      <c r="AK62" s="201">
        <v>1.1725447756378584</v>
      </c>
      <c r="AL62" s="201">
        <v>1.1995133054775289</v>
      </c>
      <c r="AM62" s="201">
        <v>1.2271021115035119</v>
      </c>
      <c r="AN62" s="201">
        <v>1.2553254600680923</v>
      </c>
      <c r="AO62" s="201">
        <v>1.2841979456496586</v>
      </c>
      <c r="AP62" s="201">
        <v>1.3137344983996004</v>
      </c>
      <c r="AQ62" s="201">
        <v>1.3439503918627911</v>
      </c>
      <c r="AR62" s="201">
        <v>1.3748612508756353</v>
      </c>
      <c r="AS62" s="201">
        <v>1.4064830596457747</v>
      </c>
      <c r="AT62" s="201">
        <v>1.4388321700176274</v>
      </c>
      <c r="AU62" s="201">
        <v>1</v>
      </c>
      <c r="AV62" s="201">
        <v>1.0229999999999999</v>
      </c>
      <c r="AW62" s="201">
        <v>1.0465289999999998</v>
      </c>
      <c r="AX62" s="201">
        <v>1.0573213826912555</v>
      </c>
      <c r="AY62" s="201">
        <v>1.0687898064113339</v>
      </c>
      <c r="AZ62" s="201">
        <v>1.0809089916969443</v>
      </c>
      <c r="BA62" s="201">
        <v>1.0936577958137252</v>
      </c>
      <c r="BB62" s="201">
        <v>1.1070186286995185</v>
      </c>
      <c r="BC62" s="201">
        <v>1.1209769671951606</v>
      </c>
      <c r="BD62" s="201">
        <v>1.1355209497900498</v>
      </c>
      <c r="BE62" s="201">
        <v>1.1506410374287139</v>
      </c>
      <c r="BF62" s="201">
        <v>1.1663297286293799</v>
      </c>
      <c r="BG62" s="201">
        <v>1.1825813193957089</v>
      </c>
      <c r="BH62" s="201">
        <v>1.1993917001987977</v>
      </c>
      <c r="BI62" s="201">
        <v>1.2167581837451031</v>
      </c>
      <c r="BJ62" s="201">
        <v>1.2346793584097977</v>
      </c>
      <c r="BK62" s="201">
        <v>1.2531549631497372</v>
      </c>
      <c r="BL62" s="201">
        <v>1</v>
      </c>
      <c r="BM62" s="201">
        <v>1.0075087154733169</v>
      </c>
      <c r="BN62" s="201">
        <v>1.0150174309466338</v>
      </c>
      <c r="BO62" s="201">
        <v>1.0225261464199509</v>
      </c>
      <c r="BP62" s="201">
        <v>1.0300348618932678</v>
      </c>
      <c r="BQ62" s="201">
        <v>1.0375435773665846</v>
      </c>
      <c r="BR62" s="201">
        <v>1.0450522928399046</v>
      </c>
      <c r="BS62" s="201">
        <v>1.0458970233306526</v>
      </c>
      <c r="BT62" s="201">
        <v>1.0467417538213979</v>
      </c>
      <c r="BU62" s="201">
        <v>1.0475864843121492</v>
      </c>
      <c r="BV62" s="201">
        <v>1.0484312148028971</v>
      </c>
      <c r="BW62" s="201">
        <v>1.0492759452936424</v>
      </c>
      <c r="BX62" s="201">
        <v>1.0501206757843937</v>
      </c>
      <c r="BY62" s="201">
        <v>1.0509654062751417</v>
      </c>
      <c r="BZ62" s="201">
        <v>1.0518101367658899</v>
      </c>
      <c r="CA62" s="201">
        <v>1.0526548672566383</v>
      </c>
      <c r="CB62" s="201">
        <v>1.0534995977473862</v>
      </c>
    </row>
    <row r="63" spans="1:80" x14ac:dyDescent="0.35">
      <c r="A63" t="s">
        <v>743</v>
      </c>
      <c r="B63" t="s">
        <v>838</v>
      </c>
      <c r="C63" s="206" t="s">
        <v>839</v>
      </c>
      <c r="D63" t="s">
        <v>736</v>
      </c>
      <c r="E63" s="130">
        <v>517.75463221707378</v>
      </c>
      <c r="F63" s="130">
        <f>NYSERDA_SupplyCurve_Raw[[#This Row],[Available Capacity (MWac)]]*NYSERDA_SupplyCurve_Raw[[#This Row],[2024 Weighted Avg Resource CapEx ($/kWac)]]</f>
        <v>1079360.5752746477</v>
      </c>
      <c r="G63" s="130">
        <f>NYSERDA_SupplyCurve_Raw[[#This Row],[Available Capacity (MWac)]]*NYSERDA_SupplyCurve_Raw[[#This Row],[2024 Weighted Avg OpEx ($/kWac-year)]]</f>
        <v>14506.253470497501</v>
      </c>
      <c r="H63" s="130">
        <v>2084.6951588877628</v>
      </c>
      <c r="I63" s="130">
        <v>110.96202920785524</v>
      </c>
      <c r="J63" s="130">
        <v>28.017621799693739</v>
      </c>
      <c r="K63" s="130">
        <f>NYSERDA_SupplyCurve_Raw[[#This Row],[2024 Weighted Avg Capacity Factor]]*NYSERDA_SupplyCurve_Raw[[#This Row],[Available Capacity (MWac)]]</f>
        <v>108.36604452303355</v>
      </c>
      <c r="L63" s="205">
        <v>0.20930000000000001</v>
      </c>
      <c r="M63" s="201">
        <v>1</v>
      </c>
      <c r="N63" s="201">
        <v>0.98205557700657942</v>
      </c>
      <c r="O63" s="201">
        <v>0.97508643687766761</v>
      </c>
      <c r="P63" s="201">
        <v>0.97106869788234973</v>
      </c>
      <c r="Q63" s="201">
        <v>0.96272883825255917</v>
      </c>
      <c r="R63" s="201">
        <v>0.9669897498237513</v>
      </c>
      <c r="S63" s="201">
        <v>0.97267407052031796</v>
      </c>
      <c r="T63" s="201">
        <v>0.97869557679238739</v>
      </c>
      <c r="U63" s="201">
        <v>0.98505703847148318</v>
      </c>
      <c r="V63" s="201">
        <v>0.99541170168847648</v>
      </c>
      <c r="W63" s="201">
        <v>1.0060348317132137</v>
      </c>
      <c r="X63" s="201">
        <v>1.0169311841464157</v>
      </c>
      <c r="Y63" s="201">
        <v>1.0281056158381718</v>
      </c>
      <c r="Z63" s="201">
        <v>1.0395630868515549</v>
      </c>
      <c r="AA63" s="201">
        <v>1.0513086624661188</v>
      </c>
      <c r="AB63" s="201">
        <v>1.0633475152220786</v>
      </c>
      <c r="AC63" s="201">
        <v>1.0756849270059707</v>
      </c>
      <c r="AD63" s="201">
        <v>1</v>
      </c>
      <c r="AE63" s="201">
        <v>1.0229999999999999</v>
      </c>
      <c r="AF63" s="201">
        <v>1.0465289999999998</v>
      </c>
      <c r="AG63" s="201">
        <v>1.0705991669999997</v>
      </c>
      <c r="AH63" s="201">
        <v>1.0952229478409994</v>
      </c>
      <c r="AI63" s="201">
        <v>1.1204130756413426</v>
      </c>
      <c r="AJ63" s="201">
        <v>1.1461825763810933</v>
      </c>
      <c r="AK63" s="201">
        <v>1.1725447756378582</v>
      </c>
      <c r="AL63" s="201">
        <v>1.1995133054775289</v>
      </c>
      <c r="AM63" s="201">
        <v>1.2271021115035121</v>
      </c>
      <c r="AN63" s="201">
        <v>1.2553254600680928</v>
      </c>
      <c r="AO63" s="201">
        <v>1.2841979456496588</v>
      </c>
      <c r="AP63" s="201">
        <v>1.3137344983996009</v>
      </c>
      <c r="AQ63" s="201">
        <v>1.3439503918627915</v>
      </c>
      <c r="AR63" s="201">
        <v>1.374861250875635</v>
      </c>
      <c r="AS63" s="201">
        <v>1.4064830596457747</v>
      </c>
      <c r="AT63" s="201">
        <v>1.4388321700176272</v>
      </c>
      <c r="AU63" s="201">
        <v>1</v>
      </c>
      <c r="AV63" s="201">
        <v>1.0224300740672716</v>
      </c>
      <c r="AW63" s="201">
        <v>1.0453695014675706</v>
      </c>
      <c r="AX63" s="201">
        <v>1.0688299880638492</v>
      </c>
      <c r="AY63" s="201">
        <v>1.0928235118062262</v>
      </c>
      <c r="AZ63" s="201">
        <v>1.1092158644833194</v>
      </c>
      <c r="BA63" s="201">
        <v>1.1258541024505693</v>
      </c>
      <c r="BB63" s="201">
        <v>1.1427419139873276</v>
      </c>
      <c r="BC63" s="201">
        <v>1.1598830426971376</v>
      </c>
      <c r="BD63" s="201">
        <v>1.1772812883375943</v>
      </c>
      <c r="BE63" s="201">
        <v>1.1949405076626585</v>
      </c>
      <c r="BF63" s="201">
        <v>1.2128646152775979</v>
      </c>
      <c r="BG63" s="201">
        <v>1.2310575845067617</v>
      </c>
      <c r="BH63" s="201">
        <v>1.2495234482743631</v>
      </c>
      <c r="BI63" s="201">
        <v>1.268266299998478</v>
      </c>
      <c r="BJ63" s="201">
        <v>1.2872902944984557</v>
      </c>
      <c r="BK63" s="201">
        <v>1.3065996489159319</v>
      </c>
      <c r="BL63" s="201">
        <v>1</v>
      </c>
      <c r="BM63" s="201">
        <v>1.0075087154733169</v>
      </c>
      <c r="BN63" s="201">
        <v>1.0150174309466338</v>
      </c>
      <c r="BO63" s="201">
        <v>1.0225261464199509</v>
      </c>
      <c r="BP63" s="201">
        <v>1.0300348618932678</v>
      </c>
      <c r="BQ63" s="201">
        <v>1.0375435773665846</v>
      </c>
      <c r="BR63" s="201">
        <v>1.0450522928399046</v>
      </c>
      <c r="BS63" s="201">
        <v>1.0458970233306526</v>
      </c>
      <c r="BT63" s="201">
        <v>1.0467417538213979</v>
      </c>
      <c r="BU63" s="201">
        <v>1.0475864843121492</v>
      </c>
      <c r="BV63" s="201">
        <v>1.0484312148028971</v>
      </c>
      <c r="BW63" s="201">
        <v>1.0492759452936424</v>
      </c>
      <c r="BX63" s="201">
        <v>1.0501206757843937</v>
      </c>
      <c r="BY63" s="201">
        <v>1.0509654062751417</v>
      </c>
      <c r="BZ63" s="201">
        <v>1.0518101367658899</v>
      </c>
      <c r="CA63" s="201">
        <v>1.0526548672566383</v>
      </c>
      <c r="CB63" s="201">
        <v>1.0534995977473862</v>
      </c>
    </row>
    <row r="64" spans="1:80" x14ac:dyDescent="0.35">
      <c r="A64" t="s">
        <v>743</v>
      </c>
      <c r="B64" t="s">
        <v>840</v>
      </c>
      <c r="C64" s="206" t="s">
        <v>841</v>
      </c>
      <c r="D64" t="s">
        <v>736</v>
      </c>
      <c r="E64" s="130">
        <v>383.16807553873861</v>
      </c>
      <c r="F64" s="130">
        <f>NYSERDA_SupplyCurve_Raw[[#This Row],[Available Capacity (MWac)]]*NYSERDA_SupplyCurve_Raw[[#This Row],[2024 Weighted Avg Resource CapEx ($/kWac)]]</f>
        <v>723618.80852797627</v>
      </c>
      <c r="G64" s="130">
        <f>NYSERDA_SupplyCurve_Raw[[#This Row],[Available Capacity (MWac)]]*NYSERDA_SupplyCurve_Raw[[#This Row],[2024 Weighted Avg OpEx ($/kWac-year)]]</f>
        <v>10403.962691720426</v>
      </c>
      <c r="H64" s="130">
        <v>1888.515392391603</v>
      </c>
      <c r="I64" s="130">
        <v>144.96716761554782</v>
      </c>
      <c r="J64" s="130">
        <v>27.152477870428893</v>
      </c>
      <c r="K64" s="130">
        <f>NYSERDA_SupplyCurve_Raw[[#This Row],[2024 Weighted Avg Capacity Factor]]*NYSERDA_SupplyCurve_Raw[[#This Row],[Available Capacity (MWac)]]</f>
        <v>77.208367221055838</v>
      </c>
      <c r="L64" s="205">
        <v>0.20150000000000001</v>
      </c>
      <c r="M64" s="201">
        <v>1</v>
      </c>
      <c r="N64" s="201">
        <v>0.98205557700657897</v>
      </c>
      <c r="O64" s="201">
        <v>0.97508643687766727</v>
      </c>
      <c r="P64" s="201">
        <v>0.9710686978823494</v>
      </c>
      <c r="Q64" s="201">
        <v>0.96272883825255895</v>
      </c>
      <c r="R64" s="201">
        <v>0.96698974982375097</v>
      </c>
      <c r="S64" s="201">
        <v>0.97267407052031774</v>
      </c>
      <c r="T64" s="201">
        <v>0.97869557679238695</v>
      </c>
      <c r="U64" s="201">
        <v>0.98505703847148296</v>
      </c>
      <c r="V64" s="201">
        <v>0.99541170168847615</v>
      </c>
      <c r="W64" s="201">
        <v>1.0060348317132133</v>
      </c>
      <c r="X64" s="201">
        <v>1.0169311841464153</v>
      </c>
      <c r="Y64" s="201">
        <v>1.0281056158381716</v>
      </c>
      <c r="Z64" s="201">
        <v>1.0395630868515546</v>
      </c>
      <c r="AA64" s="201">
        <v>1.0513086624661185</v>
      </c>
      <c r="AB64" s="201">
        <v>1.0633475152220784</v>
      </c>
      <c r="AC64" s="201">
        <v>1.0756849270059703</v>
      </c>
      <c r="AD64" s="201">
        <v>1</v>
      </c>
      <c r="AE64" s="201">
        <v>1.0229999999999997</v>
      </c>
      <c r="AF64" s="201">
        <v>1.0465289999999996</v>
      </c>
      <c r="AG64" s="201">
        <v>1.0705991669999997</v>
      </c>
      <c r="AH64" s="201">
        <v>1.0952229478409994</v>
      </c>
      <c r="AI64" s="201">
        <v>1.1204130756413424</v>
      </c>
      <c r="AJ64" s="201">
        <v>1.1461825763810933</v>
      </c>
      <c r="AK64" s="201">
        <v>1.1725447756378582</v>
      </c>
      <c r="AL64" s="201">
        <v>1.1995133054775289</v>
      </c>
      <c r="AM64" s="201">
        <v>1.2271021115035117</v>
      </c>
      <c r="AN64" s="201">
        <v>1.2553254600680928</v>
      </c>
      <c r="AO64" s="201">
        <v>1.2841979456496586</v>
      </c>
      <c r="AP64" s="201">
        <v>1.3137344983996007</v>
      </c>
      <c r="AQ64" s="201">
        <v>1.3439503918627917</v>
      </c>
      <c r="AR64" s="201">
        <v>1.374861250875635</v>
      </c>
      <c r="AS64" s="201">
        <v>1.4064830596457749</v>
      </c>
      <c r="AT64" s="201">
        <v>1.4388321700176274</v>
      </c>
      <c r="AU64" s="201">
        <v>1</v>
      </c>
      <c r="AV64" s="201">
        <v>1.0224300740672716</v>
      </c>
      <c r="AW64" s="201">
        <v>1.0453695014675706</v>
      </c>
      <c r="AX64" s="201">
        <v>1.068829988063849</v>
      </c>
      <c r="AY64" s="201">
        <v>1.0928235118062264</v>
      </c>
      <c r="AZ64" s="201">
        <v>1.1092158644833192</v>
      </c>
      <c r="BA64" s="201">
        <v>1.1258541024505693</v>
      </c>
      <c r="BB64" s="201">
        <v>1.1427419139873276</v>
      </c>
      <c r="BC64" s="201">
        <v>1.1598830426971372</v>
      </c>
      <c r="BD64" s="201">
        <v>1.1772812883375945</v>
      </c>
      <c r="BE64" s="201">
        <v>1.1949405076626582</v>
      </c>
      <c r="BF64" s="201">
        <v>1.2128646152775981</v>
      </c>
      <c r="BG64" s="201">
        <v>1.2310575845067617</v>
      </c>
      <c r="BH64" s="201">
        <v>1.2495234482743629</v>
      </c>
      <c r="BI64" s="201">
        <v>1.2682662999984782</v>
      </c>
      <c r="BJ64" s="201">
        <v>1.287290294498455</v>
      </c>
      <c r="BK64" s="201">
        <v>1.3065996489159319</v>
      </c>
      <c r="BL64" s="201">
        <v>1</v>
      </c>
      <c r="BM64" s="201">
        <v>1.0075087154733169</v>
      </c>
      <c r="BN64" s="201">
        <v>1.0150174309466338</v>
      </c>
      <c r="BO64" s="201">
        <v>1.0225261464199509</v>
      </c>
      <c r="BP64" s="201">
        <v>1.0300348618932678</v>
      </c>
      <c r="BQ64" s="201">
        <v>1.0375435773665846</v>
      </c>
      <c r="BR64" s="201">
        <v>1.0450522928399046</v>
      </c>
      <c r="BS64" s="201">
        <v>1.0458970233306526</v>
      </c>
      <c r="BT64" s="201">
        <v>1.0467417538213979</v>
      </c>
      <c r="BU64" s="201">
        <v>1.0475864843121492</v>
      </c>
      <c r="BV64" s="201">
        <v>1.0484312148028971</v>
      </c>
      <c r="BW64" s="201">
        <v>1.0492759452936424</v>
      </c>
      <c r="BX64" s="201">
        <v>1.0501206757843937</v>
      </c>
      <c r="BY64" s="201">
        <v>1.0509654062751417</v>
      </c>
      <c r="BZ64" s="201">
        <v>1.0518101367658899</v>
      </c>
      <c r="CA64" s="201">
        <v>1.0526548672566383</v>
      </c>
      <c r="CB64" s="201">
        <v>1.0534995977473862</v>
      </c>
    </row>
    <row r="65" spans="1:80" x14ac:dyDescent="0.35">
      <c r="A65" t="s">
        <v>743</v>
      </c>
      <c r="B65" t="s">
        <v>840</v>
      </c>
      <c r="C65" s="206" t="s">
        <v>841</v>
      </c>
      <c r="D65" t="s">
        <v>742</v>
      </c>
      <c r="E65" s="130">
        <v>698.84824518322182</v>
      </c>
      <c r="F65" s="130">
        <f>NYSERDA_SupplyCurve_Raw[[#This Row],[Available Capacity (MWac)]]*NYSERDA_SupplyCurve_Raw[[#This Row],[2024 Weighted Avg Resource CapEx ($/kWac)]]</f>
        <v>1443930.728713077</v>
      </c>
      <c r="G65" s="130">
        <f>NYSERDA_SupplyCurve_Raw[[#This Row],[Available Capacity (MWac)]]*NYSERDA_SupplyCurve_Raw[[#This Row],[2024 Weighted Avg OpEx ($/kWac-year)]]</f>
        <v>18975.461512125494</v>
      </c>
      <c r="H65" s="130">
        <v>2066.157765531073</v>
      </c>
      <c r="I65" s="130">
        <v>232.36267988998895</v>
      </c>
      <c r="J65" s="130">
        <v>27.152477870428889</v>
      </c>
      <c r="K65" s="130">
        <f>NYSERDA_SupplyCurve_Raw[[#This Row],[2024 Weighted Avg Capacity Factor]]*NYSERDA_SupplyCurve_Raw[[#This Row],[Available Capacity (MWac)]]</f>
        <v>140.8179214044192</v>
      </c>
      <c r="L65" s="205">
        <v>0.20149999999999998</v>
      </c>
      <c r="M65" s="201">
        <v>1</v>
      </c>
      <c r="N65" s="201">
        <v>0.98205557700657908</v>
      </c>
      <c r="O65" s="201">
        <v>0.97508643687766738</v>
      </c>
      <c r="P65" s="201">
        <v>0.97106869788234929</v>
      </c>
      <c r="Q65" s="201">
        <v>0.96272883825255884</v>
      </c>
      <c r="R65" s="201">
        <v>0.96698974982375097</v>
      </c>
      <c r="S65" s="201">
        <v>0.97267407052031762</v>
      </c>
      <c r="T65" s="201">
        <v>0.97869557679238706</v>
      </c>
      <c r="U65" s="201">
        <v>0.98505703847148285</v>
      </c>
      <c r="V65" s="201">
        <v>0.99541170168847615</v>
      </c>
      <c r="W65" s="201">
        <v>1.0060348317132133</v>
      </c>
      <c r="X65" s="201">
        <v>1.0169311841464153</v>
      </c>
      <c r="Y65" s="201">
        <v>1.0281056158381716</v>
      </c>
      <c r="Z65" s="201">
        <v>1.0395630868515546</v>
      </c>
      <c r="AA65" s="201">
        <v>1.0513086624661185</v>
      </c>
      <c r="AB65" s="201">
        <v>1.0633475152220782</v>
      </c>
      <c r="AC65" s="201">
        <v>1.0756849270059703</v>
      </c>
      <c r="AD65" s="201">
        <v>1</v>
      </c>
      <c r="AE65" s="201">
        <v>1.0229999999999999</v>
      </c>
      <c r="AF65" s="201">
        <v>1.0465289999999996</v>
      </c>
      <c r="AG65" s="201">
        <v>1.0705991669999997</v>
      </c>
      <c r="AH65" s="201">
        <v>1.0952229478409994</v>
      </c>
      <c r="AI65" s="201">
        <v>1.1204130756413428</v>
      </c>
      <c r="AJ65" s="201">
        <v>1.1461825763810931</v>
      </c>
      <c r="AK65" s="201">
        <v>1.1725447756378582</v>
      </c>
      <c r="AL65" s="201">
        <v>1.1995133054775289</v>
      </c>
      <c r="AM65" s="201">
        <v>1.2271021115035121</v>
      </c>
      <c r="AN65" s="201">
        <v>1.2553254600680928</v>
      </c>
      <c r="AO65" s="201">
        <v>1.2841979456496586</v>
      </c>
      <c r="AP65" s="201">
        <v>1.3137344983996004</v>
      </c>
      <c r="AQ65" s="201">
        <v>1.3439503918627913</v>
      </c>
      <c r="AR65" s="201">
        <v>1.374861250875635</v>
      </c>
      <c r="AS65" s="201">
        <v>1.4064830596457747</v>
      </c>
      <c r="AT65" s="201">
        <v>1.4388321700176276</v>
      </c>
      <c r="AU65" s="201">
        <v>1</v>
      </c>
      <c r="AV65" s="201">
        <v>1.0224300740672716</v>
      </c>
      <c r="AW65" s="201">
        <v>1.0453695014675704</v>
      </c>
      <c r="AX65" s="201">
        <v>1.068829988063849</v>
      </c>
      <c r="AY65" s="201">
        <v>1.0928235118062264</v>
      </c>
      <c r="AZ65" s="201">
        <v>1.1092158644833194</v>
      </c>
      <c r="BA65" s="201">
        <v>1.1258541024505693</v>
      </c>
      <c r="BB65" s="201">
        <v>1.1427419139873276</v>
      </c>
      <c r="BC65" s="201">
        <v>1.1598830426971374</v>
      </c>
      <c r="BD65" s="201">
        <v>1.1772812883375947</v>
      </c>
      <c r="BE65" s="201">
        <v>1.1949405076626582</v>
      </c>
      <c r="BF65" s="201">
        <v>1.2128646152775979</v>
      </c>
      <c r="BG65" s="201">
        <v>1.2310575845067619</v>
      </c>
      <c r="BH65" s="201">
        <v>1.2495234482743631</v>
      </c>
      <c r="BI65" s="201">
        <v>1.2682662999984784</v>
      </c>
      <c r="BJ65" s="201">
        <v>1.287290294498455</v>
      </c>
      <c r="BK65" s="201">
        <v>1.3065996489159319</v>
      </c>
      <c r="BL65" s="201">
        <v>1</v>
      </c>
      <c r="BM65" s="201">
        <v>1.0075087154733169</v>
      </c>
      <c r="BN65" s="201">
        <v>1.0150174309466338</v>
      </c>
      <c r="BO65" s="201">
        <v>1.0225261464199509</v>
      </c>
      <c r="BP65" s="201">
        <v>1.0300348618932678</v>
      </c>
      <c r="BQ65" s="201">
        <v>1.0375435773665846</v>
      </c>
      <c r="BR65" s="201">
        <v>1.0450522928399046</v>
      </c>
      <c r="BS65" s="201">
        <v>1.0458970233306526</v>
      </c>
      <c r="BT65" s="201">
        <v>1.0467417538213979</v>
      </c>
      <c r="BU65" s="201">
        <v>1.0475864843121492</v>
      </c>
      <c r="BV65" s="201">
        <v>1.0484312148028971</v>
      </c>
      <c r="BW65" s="201">
        <v>1.0492759452936424</v>
      </c>
      <c r="BX65" s="201">
        <v>1.0501206757843937</v>
      </c>
      <c r="BY65" s="201">
        <v>1.0509654062751417</v>
      </c>
      <c r="BZ65" s="201">
        <v>1.0518101367658899</v>
      </c>
      <c r="CA65" s="201">
        <v>1.0526548672566383</v>
      </c>
      <c r="CB65" s="201">
        <v>1.0534995977473862</v>
      </c>
    </row>
    <row r="66" spans="1:80" x14ac:dyDescent="0.35">
      <c r="A66" t="s">
        <v>743</v>
      </c>
      <c r="B66" t="s">
        <v>842</v>
      </c>
      <c r="C66" s="206" t="s">
        <v>843</v>
      </c>
      <c r="D66" t="s">
        <v>736</v>
      </c>
      <c r="E66" s="130">
        <v>221.13085345298558</v>
      </c>
      <c r="F66" s="130">
        <f>NYSERDA_SupplyCurve_Raw[[#This Row],[Available Capacity (MWac)]]*NYSERDA_SupplyCurve_Raw[[#This Row],[2024 Weighted Avg Resource CapEx ($/kWac)]]</f>
        <v>454696.73195583298</v>
      </c>
      <c r="G66" s="130">
        <f>NYSERDA_SupplyCurve_Raw[[#This Row],[Available Capacity (MWac)]]*NYSERDA_SupplyCurve_Raw[[#This Row],[2024 Weighted Avg OpEx ($/kWac-year)]]</f>
        <v>5949.6402913534866</v>
      </c>
      <c r="H66" s="130">
        <v>2056.2337858136366</v>
      </c>
      <c r="I66" s="130">
        <v>165.72425281335302</v>
      </c>
      <c r="J66" s="130">
        <v>26.905518603347833</v>
      </c>
      <c r="K66" s="130">
        <f>NYSERDA_SupplyCurve_Raw[[#This Row],[2024 Weighted Avg Capacity Factor]]*NYSERDA_SupplyCurve_Raw[[#This Row],[Available Capacity (MWac)]]</f>
        <v>44.270396861287722</v>
      </c>
      <c r="L66" s="205">
        <v>0.20020000000000004</v>
      </c>
      <c r="M66" s="201">
        <v>1</v>
      </c>
      <c r="N66" s="201">
        <v>0.98205557700657919</v>
      </c>
      <c r="O66" s="201">
        <v>0.97508643687766738</v>
      </c>
      <c r="P66" s="201">
        <v>0.97106869788234929</v>
      </c>
      <c r="Q66" s="201">
        <v>0.96272883825255895</v>
      </c>
      <c r="R66" s="201">
        <v>0.96698974982375097</v>
      </c>
      <c r="S66" s="201">
        <v>0.97267407052031762</v>
      </c>
      <c r="T66" s="201">
        <v>0.97869557679238695</v>
      </c>
      <c r="U66" s="201">
        <v>0.98505703847148296</v>
      </c>
      <c r="V66" s="201">
        <v>0.99541170168847637</v>
      </c>
      <c r="W66" s="201">
        <v>1.0060348317132131</v>
      </c>
      <c r="X66" s="201">
        <v>1.0169311841464155</v>
      </c>
      <c r="Y66" s="201">
        <v>1.0281056158381718</v>
      </c>
      <c r="Z66" s="201">
        <v>1.0395630868515546</v>
      </c>
      <c r="AA66" s="201">
        <v>1.0513086624661185</v>
      </c>
      <c r="AB66" s="201">
        <v>1.0633475152220784</v>
      </c>
      <c r="AC66" s="201">
        <v>1.0756849270059703</v>
      </c>
      <c r="AD66" s="201">
        <v>1</v>
      </c>
      <c r="AE66" s="201">
        <v>1.0229999999999997</v>
      </c>
      <c r="AF66" s="201">
        <v>1.0465289999999996</v>
      </c>
      <c r="AG66" s="201">
        <v>1.0705991669999997</v>
      </c>
      <c r="AH66" s="201">
        <v>1.0952229478409996</v>
      </c>
      <c r="AI66" s="201">
        <v>1.1204130756413426</v>
      </c>
      <c r="AJ66" s="201">
        <v>1.1461825763810931</v>
      </c>
      <c r="AK66" s="201">
        <v>1.1725447756378582</v>
      </c>
      <c r="AL66" s="201">
        <v>1.1995133054775289</v>
      </c>
      <c r="AM66" s="201">
        <v>1.2271021115035119</v>
      </c>
      <c r="AN66" s="201">
        <v>1.2553254600680928</v>
      </c>
      <c r="AO66" s="201">
        <v>1.2841979456496584</v>
      </c>
      <c r="AP66" s="201">
        <v>1.3137344983996007</v>
      </c>
      <c r="AQ66" s="201">
        <v>1.3439503918627915</v>
      </c>
      <c r="AR66" s="201">
        <v>1.3748612508756353</v>
      </c>
      <c r="AS66" s="201">
        <v>1.4064830596457747</v>
      </c>
      <c r="AT66" s="201">
        <v>1.4388321700176274</v>
      </c>
      <c r="AU66" s="201">
        <v>1</v>
      </c>
      <c r="AV66" s="201">
        <v>1.0224300740672714</v>
      </c>
      <c r="AW66" s="201">
        <v>1.0453695014675704</v>
      </c>
      <c r="AX66" s="201">
        <v>1.068829988063849</v>
      </c>
      <c r="AY66" s="201">
        <v>1.0928235118062262</v>
      </c>
      <c r="AZ66" s="201">
        <v>1.1092158644833192</v>
      </c>
      <c r="BA66" s="201">
        <v>1.1258541024505693</v>
      </c>
      <c r="BB66" s="201">
        <v>1.1427419139873276</v>
      </c>
      <c r="BC66" s="201">
        <v>1.1598830426971376</v>
      </c>
      <c r="BD66" s="201">
        <v>1.1772812883375945</v>
      </c>
      <c r="BE66" s="201">
        <v>1.1949405076626582</v>
      </c>
      <c r="BF66" s="201">
        <v>1.2128646152775979</v>
      </c>
      <c r="BG66" s="201">
        <v>1.2310575845067619</v>
      </c>
      <c r="BH66" s="201">
        <v>1.2495234482743631</v>
      </c>
      <c r="BI66" s="201">
        <v>1.2682662999984782</v>
      </c>
      <c r="BJ66" s="201">
        <v>1.2872902944984552</v>
      </c>
      <c r="BK66" s="201">
        <v>1.3065996489159319</v>
      </c>
      <c r="BL66" s="201">
        <v>1</v>
      </c>
      <c r="BM66" s="201">
        <v>1.0075087154733169</v>
      </c>
      <c r="BN66" s="201">
        <v>1.0150174309466338</v>
      </c>
      <c r="BO66" s="201">
        <v>1.0225261464199509</v>
      </c>
      <c r="BP66" s="201">
        <v>1.0300348618932678</v>
      </c>
      <c r="BQ66" s="201">
        <v>1.0375435773665846</v>
      </c>
      <c r="BR66" s="201">
        <v>1.0450522928399046</v>
      </c>
      <c r="BS66" s="201">
        <v>1.0458970233306526</v>
      </c>
      <c r="BT66" s="201">
        <v>1.0467417538213979</v>
      </c>
      <c r="BU66" s="201">
        <v>1.0475864843121492</v>
      </c>
      <c r="BV66" s="201">
        <v>1.0484312148028971</v>
      </c>
      <c r="BW66" s="201">
        <v>1.0492759452936424</v>
      </c>
      <c r="BX66" s="201">
        <v>1.0501206757843937</v>
      </c>
      <c r="BY66" s="201">
        <v>1.0509654062751417</v>
      </c>
      <c r="BZ66" s="201">
        <v>1.0518101367658899</v>
      </c>
      <c r="CA66" s="201">
        <v>1.0526548672566383</v>
      </c>
      <c r="CB66" s="201">
        <v>1.0534995977473862</v>
      </c>
    </row>
    <row r="67" spans="1:80" x14ac:dyDescent="0.35">
      <c r="A67" t="s">
        <v>743</v>
      </c>
      <c r="B67" t="s">
        <v>844</v>
      </c>
      <c r="C67" s="206" t="s">
        <v>845</v>
      </c>
      <c r="D67" t="s">
        <v>736</v>
      </c>
      <c r="E67" s="130">
        <v>152.2822302927905</v>
      </c>
      <c r="F67" s="130">
        <f>NYSERDA_SupplyCurve_Raw[[#This Row],[Available Capacity (MWac)]]*NYSERDA_SupplyCurve_Raw[[#This Row],[2024 Weighted Avg Resource CapEx ($/kWac)]]</f>
        <v>282185.86944843922</v>
      </c>
      <c r="G67" s="130">
        <f>NYSERDA_SupplyCurve_Raw[[#This Row],[Available Capacity (MWac)]]*NYSERDA_SupplyCurve_Raw[[#This Row],[2024 Weighted Avg OpEx ($/kWac-year)]]</f>
        <v>4110.6465230766507</v>
      </c>
      <c r="H67" s="130">
        <v>1853.045289039208</v>
      </c>
      <c r="I67" s="130">
        <v>64.060545639831773</v>
      </c>
      <c r="J67" s="130">
        <v>26.99360598523662</v>
      </c>
      <c r="K67" s="130">
        <f>NYSERDA_SupplyCurve_Raw[[#This Row],[2024 Weighted Avg Capacity Factor]]*NYSERDA_SupplyCurve_Raw[[#This Row],[Available Capacity (MWac)]]</f>
        <v>30.288935605236031</v>
      </c>
      <c r="L67" s="205">
        <v>0.19889999999999999</v>
      </c>
      <c r="M67" s="201">
        <v>1</v>
      </c>
      <c r="N67" s="201">
        <v>0.98205557700657919</v>
      </c>
      <c r="O67" s="201">
        <v>0.9750864368776675</v>
      </c>
      <c r="P67" s="201">
        <v>0.97106869788234962</v>
      </c>
      <c r="Q67" s="201">
        <v>0.96272883825255895</v>
      </c>
      <c r="R67" s="201">
        <v>0.96698974982375108</v>
      </c>
      <c r="S67" s="201">
        <v>0.97267407052031774</v>
      </c>
      <c r="T67" s="201">
        <v>0.97869557679238706</v>
      </c>
      <c r="U67" s="201">
        <v>0.98505703847148296</v>
      </c>
      <c r="V67" s="201">
        <v>0.99541170168847626</v>
      </c>
      <c r="W67" s="201">
        <v>1.0060348317132135</v>
      </c>
      <c r="X67" s="201">
        <v>1.0169311841464155</v>
      </c>
      <c r="Y67" s="201">
        <v>1.0281056158381721</v>
      </c>
      <c r="Z67" s="201">
        <v>1.0395630868515546</v>
      </c>
      <c r="AA67" s="201">
        <v>1.0513086624661188</v>
      </c>
      <c r="AB67" s="201">
        <v>1.0633475152220786</v>
      </c>
      <c r="AC67" s="201">
        <v>1.0756849270059705</v>
      </c>
      <c r="AD67" s="201">
        <v>1</v>
      </c>
      <c r="AE67" s="201">
        <v>1.0230000000000001</v>
      </c>
      <c r="AF67" s="201">
        <v>1.0465289999999998</v>
      </c>
      <c r="AG67" s="201">
        <v>1.0705991669999999</v>
      </c>
      <c r="AH67" s="201">
        <v>1.0952229478409996</v>
      </c>
      <c r="AI67" s="201">
        <v>1.1204130756413426</v>
      </c>
      <c r="AJ67" s="201">
        <v>1.1461825763810933</v>
      </c>
      <c r="AK67" s="201">
        <v>1.1725447756378584</v>
      </c>
      <c r="AL67" s="201">
        <v>1.1995133054775291</v>
      </c>
      <c r="AM67" s="201">
        <v>1.2271021115035121</v>
      </c>
      <c r="AN67" s="201">
        <v>1.2553254600680928</v>
      </c>
      <c r="AO67" s="201">
        <v>1.2841979456496588</v>
      </c>
      <c r="AP67" s="201">
        <v>1.3137344983996009</v>
      </c>
      <c r="AQ67" s="201">
        <v>1.3439503918627915</v>
      </c>
      <c r="AR67" s="201">
        <v>1.3748612508756355</v>
      </c>
      <c r="AS67" s="201">
        <v>1.4064830596457747</v>
      </c>
      <c r="AT67" s="201">
        <v>1.4388321700176276</v>
      </c>
      <c r="AU67" s="201">
        <v>1</v>
      </c>
      <c r="AV67" s="201">
        <v>1.0224300740672716</v>
      </c>
      <c r="AW67" s="201">
        <v>1.0453695014675704</v>
      </c>
      <c r="AX67" s="201">
        <v>1.0688299880638488</v>
      </c>
      <c r="AY67" s="201">
        <v>1.0928235118062262</v>
      </c>
      <c r="AZ67" s="201">
        <v>1.1092158644833192</v>
      </c>
      <c r="BA67" s="201">
        <v>1.1258541024505693</v>
      </c>
      <c r="BB67" s="201">
        <v>1.1427419139873274</v>
      </c>
      <c r="BC67" s="201">
        <v>1.1598830426971374</v>
      </c>
      <c r="BD67" s="201">
        <v>1.1772812883375945</v>
      </c>
      <c r="BE67" s="201">
        <v>1.1949405076626585</v>
      </c>
      <c r="BF67" s="201">
        <v>1.2128646152775979</v>
      </c>
      <c r="BG67" s="201">
        <v>1.2310575845067617</v>
      </c>
      <c r="BH67" s="201">
        <v>1.2495234482743631</v>
      </c>
      <c r="BI67" s="201">
        <v>1.2682662999984782</v>
      </c>
      <c r="BJ67" s="201">
        <v>1.2872902944984552</v>
      </c>
      <c r="BK67" s="201">
        <v>1.3065996489159319</v>
      </c>
      <c r="BL67" s="201">
        <v>1</v>
      </c>
      <c r="BM67" s="201">
        <v>1.0075087154733169</v>
      </c>
      <c r="BN67" s="201">
        <v>1.0150174309466338</v>
      </c>
      <c r="BO67" s="201">
        <v>1.0225261464199509</v>
      </c>
      <c r="BP67" s="201">
        <v>1.0300348618932678</v>
      </c>
      <c r="BQ67" s="201">
        <v>1.0375435773665846</v>
      </c>
      <c r="BR67" s="201">
        <v>1.0450522928399046</v>
      </c>
      <c r="BS67" s="201">
        <v>1.0458970233306526</v>
      </c>
      <c r="BT67" s="201">
        <v>1.0467417538213979</v>
      </c>
      <c r="BU67" s="201">
        <v>1.0475864843121492</v>
      </c>
      <c r="BV67" s="201">
        <v>1.0484312148028971</v>
      </c>
      <c r="BW67" s="201">
        <v>1.0492759452936424</v>
      </c>
      <c r="BX67" s="201">
        <v>1.0501206757843937</v>
      </c>
      <c r="BY67" s="201">
        <v>1.0509654062751417</v>
      </c>
      <c r="BZ67" s="201">
        <v>1.0518101367658899</v>
      </c>
      <c r="CA67" s="201">
        <v>1.0526548672566383</v>
      </c>
      <c r="CB67" s="201">
        <v>1.0534995977473862</v>
      </c>
    </row>
    <row r="68" spans="1:80" x14ac:dyDescent="0.35">
      <c r="A68" t="s">
        <v>743</v>
      </c>
      <c r="B68" t="s">
        <v>844</v>
      </c>
      <c r="C68" s="206" t="s">
        <v>845</v>
      </c>
      <c r="D68" t="s">
        <v>742</v>
      </c>
      <c r="E68" s="130">
        <v>582.95605856619659</v>
      </c>
      <c r="F68" s="130">
        <f>NYSERDA_SupplyCurve_Raw[[#This Row],[Available Capacity (MWac)]]*NYSERDA_SupplyCurve_Raw[[#This Row],[2024 Weighted Avg Resource CapEx ($/kWac)]]</f>
        <v>1212270.2469992777</v>
      </c>
      <c r="G68" s="130">
        <f>NYSERDA_SupplyCurve_Raw[[#This Row],[Available Capacity (MWac)]]*NYSERDA_SupplyCurve_Raw[[#This Row],[2024 Weighted Avg OpEx ($/kWac-year)]]</f>
        <v>15736.086151642436</v>
      </c>
      <c r="H68" s="130">
        <v>2079.5225114923828</v>
      </c>
      <c r="I68" s="130">
        <v>172.16364799559909</v>
      </c>
      <c r="J68" s="130">
        <v>26.993605985236623</v>
      </c>
      <c r="K68" s="130">
        <f>NYSERDA_SupplyCurve_Raw[[#This Row],[2024 Weighted Avg Capacity Factor]]*NYSERDA_SupplyCurve_Raw[[#This Row],[Available Capacity (MWac)]]</f>
        <v>115.94996004881651</v>
      </c>
      <c r="L68" s="205">
        <v>0.19890000000000002</v>
      </c>
      <c r="M68" s="201">
        <v>1</v>
      </c>
      <c r="N68" s="201">
        <v>0.98205557700657931</v>
      </c>
      <c r="O68" s="201">
        <v>0.9750864368776675</v>
      </c>
      <c r="P68" s="201">
        <v>0.97106869788234973</v>
      </c>
      <c r="Q68" s="201">
        <v>0.96272883825255906</v>
      </c>
      <c r="R68" s="201">
        <v>0.9669897498237513</v>
      </c>
      <c r="S68" s="201">
        <v>0.97267407052031796</v>
      </c>
      <c r="T68" s="201">
        <v>0.97869557679238728</v>
      </c>
      <c r="U68" s="201">
        <v>0.98505703847148329</v>
      </c>
      <c r="V68" s="201">
        <v>0.99541170168847659</v>
      </c>
      <c r="W68" s="201">
        <v>1.0060348317132137</v>
      </c>
      <c r="X68" s="201">
        <v>1.0169311841464155</v>
      </c>
      <c r="Y68" s="201">
        <v>1.0281056158381718</v>
      </c>
      <c r="Z68" s="201">
        <v>1.0395630868515546</v>
      </c>
      <c r="AA68" s="201">
        <v>1.0513086624661188</v>
      </c>
      <c r="AB68" s="201">
        <v>1.0633475152220786</v>
      </c>
      <c r="AC68" s="201">
        <v>1.0756849270059703</v>
      </c>
      <c r="AD68" s="201">
        <v>1</v>
      </c>
      <c r="AE68" s="201">
        <v>1.0229999999999999</v>
      </c>
      <c r="AF68" s="201">
        <v>1.0465289999999998</v>
      </c>
      <c r="AG68" s="201">
        <v>1.0705991669999997</v>
      </c>
      <c r="AH68" s="201">
        <v>1.0952229478409996</v>
      </c>
      <c r="AI68" s="201">
        <v>1.1204130756413426</v>
      </c>
      <c r="AJ68" s="201">
        <v>1.1461825763810933</v>
      </c>
      <c r="AK68" s="201">
        <v>1.1725447756378582</v>
      </c>
      <c r="AL68" s="201">
        <v>1.1995133054775289</v>
      </c>
      <c r="AM68" s="201">
        <v>1.2271021115035119</v>
      </c>
      <c r="AN68" s="201">
        <v>1.2553254600680925</v>
      </c>
      <c r="AO68" s="201">
        <v>1.2841979456496586</v>
      </c>
      <c r="AP68" s="201">
        <v>1.3137344983996004</v>
      </c>
      <c r="AQ68" s="201">
        <v>1.3439503918627913</v>
      </c>
      <c r="AR68" s="201">
        <v>1.374861250875635</v>
      </c>
      <c r="AS68" s="201">
        <v>1.4064830596457747</v>
      </c>
      <c r="AT68" s="201">
        <v>1.4388321700176274</v>
      </c>
      <c r="AU68" s="201">
        <v>1</v>
      </c>
      <c r="AV68" s="201">
        <v>1.0224300740672716</v>
      </c>
      <c r="AW68" s="201">
        <v>1.0453695014675706</v>
      </c>
      <c r="AX68" s="201">
        <v>1.0688299880638488</v>
      </c>
      <c r="AY68" s="201">
        <v>1.0928235118062262</v>
      </c>
      <c r="AZ68" s="201">
        <v>1.1092158644833197</v>
      </c>
      <c r="BA68" s="201">
        <v>1.125854102450569</v>
      </c>
      <c r="BB68" s="201">
        <v>1.1427419139873276</v>
      </c>
      <c r="BC68" s="201">
        <v>1.1598830426971376</v>
      </c>
      <c r="BD68" s="201">
        <v>1.1772812883375945</v>
      </c>
      <c r="BE68" s="201">
        <v>1.1949405076626585</v>
      </c>
      <c r="BF68" s="201">
        <v>1.2128646152775979</v>
      </c>
      <c r="BG68" s="201">
        <v>1.2310575845067617</v>
      </c>
      <c r="BH68" s="201">
        <v>1.2495234482743631</v>
      </c>
      <c r="BI68" s="201">
        <v>1.2682662999984784</v>
      </c>
      <c r="BJ68" s="201">
        <v>1.2872902944984552</v>
      </c>
      <c r="BK68" s="201">
        <v>1.3065996489159317</v>
      </c>
      <c r="BL68" s="201">
        <v>1</v>
      </c>
      <c r="BM68" s="201">
        <v>1.0075087154733169</v>
      </c>
      <c r="BN68" s="201">
        <v>1.0150174309466338</v>
      </c>
      <c r="BO68" s="201">
        <v>1.0225261464199509</v>
      </c>
      <c r="BP68" s="201">
        <v>1.0300348618932678</v>
      </c>
      <c r="BQ68" s="201">
        <v>1.0375435773665846</v>
      </c>
      <c r="BR68" s="201">
        <v>1.0450522928399046</v>
      </c>
      <c r="BS68" s="201">
        <v>1.0458970233306526</v>
      </c>
      <c r="BT68" s="201">
        <v>1.0467417538213979</v>
      </c>
      <c r="BU68" s="201">
        <v>1.0475864843121492</v>
      </c>
      <c r="BV68" s="201">
        <v>1.0484312148028971</v>
      </c>
      <c r="BW68" s="201">
        <v>1.0492759452936424</v>
      </c>
      <c r="BX68" s="201">
        <v>1.0501206757843937</v>
      </c>
      <c r="BY68" s="201">
        <v>1.0509654062751417</v>
      </c>
      <c r="BZ68" s="201">
        <v>1.0518101367658899</v>
      </c>
      <c r="CA68" s="201">
        <v>1.0526548672566383</v>
      </c>
      <c r="CB68" s="201">
        <v>1.0534995977473862</v>
      </c>
    </row>
    <row r="69" spans="1:80" x14ac:dyDescent="0.35">
      <c r="A69" t="s">
        <v>743</v>
      </c>
      <c r="B69" t="s">
        <v>846</v>
      </c>
      <c r="C69" s="206" t="s">
        <v>843</v>
      </c>
      <c r="D69" t="s">
        <v>736</v>
      </c>
      <c r="E69" s="130">
        <v>247.44776174500734</v>
      </c>
      <c r="F69" s="130">
        <f>NYSERDA_SupplyCurve_Raw[[#This Row],[Available Capacity (MWac)]]*NYSERDA_SupplyCurve_Raw[[#This Row],[2024 Weighted Avg Resource CapEx ($/kWac)]]</f>
        <v>531249.39557086537</v>
      </c>
      <c r="G69" s="130">
        <f>NYSERDA_SupplyCurve_Raw[[#This Row],[Available Capacity (MWac)]]*NYSERDA_SupplyCurve_Raw[[#This Row],[2024 Weighted Avg OpEx ($/kWac-year)]]</f>
        <v>6835.5896542596729</v>
      </c>
      <c r="H69" s="130">
        <v>2146.9153401286894</v>
      </c>
      <c r="I69" s="130">
        <v>243.50156726986714</v>
      </c>
      <c r="J69" s="130">
        <v>27.624374559118806</v>
      </c>
      <c r="K69" s="130">
        <f>NYSERDA_SupplyCurve_Raw[[#This Row],[2024 Weighted Avg Capacity Factor]]*NYSERDA_SupplyCurve_Raw[[#This Row],[Available Capacity (MWac)]]</f>
        <v>49.539041901350473</v>
      </c>
      <c r="L69" s="205">
        <v>0.20020000000000002</v>
      </c>
      <c r="M69" s="201">
        <v>1</v>
      </c>
      <c r="N69" s="201">
        <v>0.98205557700657908</v>
      </c>
      <c r="O69" s="201">
        <v>0.97508643687766738</v>
      </c>
      <c r="P69" s="201">
        <v>0.9710686978823494</v>
      </c>
      <c r="Q69" s="201">
        <v>0.96272883825255884</v>
      </c>
      <c r="R69" s="201">
        <v>0.9669897498237513</v>
      </c>
      <c r="S69" s="201">
        <v>0.97267407052031785</v>
      </c>
      <c r="T69" s="201">
        <v>0.97869557679238717</v>
      </c>
      <c r="U69" s="201">
        <v>0.98505703847148296</v>
      </c>
      <c r="V69" s="201">
        <v>0.99541170168847626</v>
      </c>
      <c r="W69" s="201">
        <v>1.0060348317132133</v>
      </c>
      <c r="X69" s="201">
        <v>1.0169311841464155</v>
      </c>
      <c r="Y69" s="201">
        <v>1.0281056158381718</v>
      </c>
      <c r="Z69" s="201">
        <v>1.0395630868515549</v>
      </c>
      <c r="AA69" s="201">
        <v>1.0513086624661188</v>
      </c>
      <c r="AB69" s="201">
        <v>1.0633475152220786</v>
      </c>
      <c r="AC69" s="201">
        <v>1.0756849270059705</v>
      </c>
      <c r="AD69" s="201">
        <v>1</v>
      </c>
      <c r="AE69" s="201">
        <v>1.0229999999999999</v>
      </c>
      <c r="AF69" s="201">
        <v>1.0465289999999996</v>
      </c>
      <c r="AG69" s="201">
        <v>1.0705991669999995</v>
      </c>
      <c r="AH69" s="201">
        <v>1.0952229478409992</v>
      </c>
      <c r="AI69" s="201">
        <v>1.1204130756413424</v>
      </c>
      <c r="AJ69" s="201">
        <v>1.1461825763810929</v>
      </c>
      <c r="AK69" s="201">
        <v>1.172544775637858</v>
      </c>
      <c r="AL69" s="201">
        <v>1.1995133054775284</v>
      </c>
      <c r="AM69" s="201">
        <v>1.2271021115035119</v>
      </c>
      <c r="AN69" s="201">
        <v>1.2553254600680921</v>
      </c>
      <c r="AO69" s="201">
        <v>1.2841979456496582</v>
      </c>
      <c r="AP69" s="201">
        <v>1.3137344983996004</v>
      </c>
      <c r="AQ69" s="201">
        <v>1.3439503918627909</v>
      </c>
      <c r="AR69" s="201">
        <v>1.3748612508756348</v>
      </c>
      <c r="AS69" s="201">
        <v>1.4064830596457745</v>
      </c>
      <c r="AT69" s="201">
        <v>1.4388321700176272</v>
      </c>
      <c r="AU69" s="201">
        <v>1</v>
      </c>
      <c r="AV69" s="201">
        <v>1.0224300740672718</v>
      </c>
      <c r="AW69" s="201">
        <v>1.0453695014675706</v>
      </c>
      <c r="AX69" s="201">
        <v>1.068829988063849</v>
      </c>
      <c r="AY69" s="201">
        <v>1.0928235118062264</v>
      </c>
      <c r="AZ69" s="201">
        <v>1.1092158644833194</v>
      </c>
      <c r="BA69" s="201">
        <v>1.1258541024505693</v>
      </c>
      <c r="BB69" s="201">
        <v>1.1427419139873276</v>
      </c>
      <c r="BC69" s="201">
        <v>1.1598830426971378</v>
      </c>
      <c r="BD69" s="201">
        <v>1.1772812883375947</v>
      </c>
      <c r="BE69" s="201">
        <v>1.1949405076626585</v>
      </c>
      <c r="BF69" s="201">
        <v>1.2128646152775984</v>
      </c>
      <c r="BG69" s="201">
        <v>1.2310575845067619</v>
      </c>
      <c r="BH69" s="201">
        <v>1.2495234482743631</v>
      </c>
      <c r="BI69" s="201">
        <v>1.2682662999984784</v>
      </c>
      <c r="BJ69" s="201">
        <v>1.2872902944984554</v>
      </c>
      <c r="BK69" s="201">
        <v>1.3065996489159322</v>
      </c>
      <c r="BL69" s="201">
        <v>1</v>
      </c>
      <c r="BM69" s="201">
        <v>1.0075087154733169</v>
      </c>
      <c r="BN69" s="201">
        <v>1.0150174309466338</v>
      </c>
      <c r="BO69" s="201">
        <v>1.0225261464199509</v>
      </c>
      <c r="BP69" s="201">
        <v>1.0300348618932678</v>
      </c>
      <c r="BQ69" s="201">
        <v>1.0375435773665846</v>
      </c>
      <c r="BR69" s="201">
        <v>1.0450522928399046</v>
      </c>
      <c r="BS69" s="201">
        <v>1.0458970233306526</v>
      </c>
      <c r="BT69" s="201">
        <v>1.0467417538213979</v>
      </c>
      <c r="BU69" s="201">
        <v>1.0475864843121492</v>
      </c>
      <c r="BV69" s="201">
        <v>1.0484312148028971</v>
      </c>
      <c r="BW69" s="201">
        <v>1.0492759452936424</v>
      </c>
      <c r="BX69" s="201">
        <v>1.0501206757843937</v>
      </c>
      <c r="BY69" s="201">
        <v>1.0509654062751417</v>
      </c>
      <c r="BZ69" s="201">
        <v>1.0518101367658899</v>
      </c>
      <c r="CA69" s="201">
        <v>1.0526548672566383</v>
      </c>
      <c r="CB69" s="201">
        <v>1.0534995977473862</v>
      </c>
    </row>
    <row r="70" spans="1:80" x14ac:dyDescent="0.35">
      <c r="A70" t="s">
        <v>743</v>
      </c>
      <c r="B70" t="s">
        <v>847</v>
      </c>
      <c r="C70" s="206" t="s">
        <v>845</v>
      </c>
      <c r="D70" t="s">
        <v>736</v>
      </c>
      <c r="E70" s="130">
        <v>850.33402815807051</v>
      </c>
      <c r="F70" s="130">
        <f>NYSERDA_SupplyCurve_Raw[[#This Row],[Available Capacity (MWac)]]*NYSERDA_SupplyCurve_Raw[[#This Row],[2024 Weighted Avg Resource CapEx ($/kWac)]]</f>
        <v>1558024.915573322</v>
      </c>
      <c r="G70" s="130">
        <f>NYSERDA_SupplyCurve_Raw[[#This Row],[Available Capacity (MWac)]]*NYSERDA_SupplyCurve_Raw[[#This Row],[2024 Weighted Avg OpEx ($/kWac-year)]]</f>
        <v>23120.77746700812</v>
      </c>
      <c r="H70" s="130">
        <v>1832.2504615606153</v>
      </c>
      <c r="I70" s="130">
        <v>92.242200504249666</v>
      </c>
      <c r="J70" s="130">
        <v>27.190229605524085</v>
      </c>
      <c r="K70" s="130">
        <f>NYSERDA_SupplyCurve_Raw[[#This Row],[2024 Weighted Avg Capacity Factor]]*NYSERDA_SupplyCurve_Raw[[#This Row],[Available Capacity (MWac)]]</f>
        <v>172.4477409104567</v>
      </c>
      <c r="L70" s="205">
        <v>0.20280000000000001</v>
      </c>
      <c r="M70" s="201">
        <v>1</v>
      </c>
      <c r="N70" s="201">
        <v>0.98205557700657908</v>
      </c>
      <c r="O70" s="201">
        <v>0.97508643687766716</v>
      </c>
      <c r="P70" s="201">
        <v>0.9710686978823494</v>
      </c>
      <c r="Q70" s="201">
        <v>0.96272883825255895</v>
      </c>
      <c r="R70" s="201">
        <v>0.96698974982375097</v>
      </c>
      <c r="S70" s="201">
        <v>0.97267407052031762</v>
      </c>
      <c r="T70" s="201">
        <v>0.97869557679238695</v>
      </c>
      <c r="U70" s="201">
        <v>0.98505703847148296</v>
      </c>
      <c r="V70" s="201">
        <v>0.99541170168847626</v>
      </c>
      <c r="W70" s="201">
        <v>1.0060348317132133</v>
      </c>
      <c r="X70" s="201">
        <v>1.016931184146415</v>
      </c>
      <c r="Y70" s="201">
        <v>1.0281056158381716</v>
      </c>
      <c r="Z70" s="201">
        <v>1.0395630868515544</v>
      </c>
      <c r="AA70" s="201">
        <v>1.0513086624661185</v>
      </c>
      <c r="AB70" s="201">
        <v>1.0633475152220784</v>
      </c>
      <c r="AC70" s="201">
        <v>1.0756849270059703</v>
      </c>
      <c r="AD70" s="201">
        <v>1</v>
      </c>
      <c r="AE70" s="201">
        <v>1.0229999999999997</v>
      </c>
      <c r="AF70" s="201">
        <v>1.0465289999999998</v>
      </c>
      <c r="AG70" s="201">
        <v>1.0705991669999995</v>
      </c>
      <c r="AH70" s="201">
        <v>1.0952229478409996</v>
      </c>
      <c r="AI70" s="201">
        <v>1.1204130756413426</v>
      </c>
      <c r="AJ70" s="201">
        <v>1.1461825763810931</v>
      </c>
      <c r="AK70" s="201">
        <v>1.1725447756378582</v>
      </c>
      <c r="AL70" s="201">
        <v>1.1995133054775289</v>
      </c>
      <c r="AM70" s="201">
        <v>1.2271021115035119</v>
      </c>
      <c r="AN70" s="201">
        <v>1.2553254600680925</v>
      </c>
      <c r="AO70" s="201">
        <v>1.2841979456496588</v>
      </c>
      <c r="AP70" s="201">
        <v>1.3137344983996007</v>
      </c>
      <c r="AQ70" s="201">
        <v>1.3439503918627915</v>
      </c>
      <c r="AR70" s="201">
        <v>1.3748612508756353</v>
      </c>
      <c r="AS70" s="201">
        <v>1.4064830596457745</v>
      </c>
      <c r="AT70" s="201">
        <v>1.4388321700176276</v>
      </c>
      <c r="AU70" s="201">
        <v>1</v>
      </c>
      <c r="AV70" s="201">
        <v>1.0224300740672716</v>
      </c>
      <c r="AW70" s="201">
        <v>1.0453695014675706</v>
      </c>
      <c r="AX70" s="201">
        <v>1.068829988063849</v>
      </c>
      <c r="AY70" s="201">
        <v>1.0928235118062262</v>
      </c>
      <c r="AZ70" s="201">
        <v>1.1092158644833194</v>
      </c>
      <c r="BA70" s="201">
        <v>1.1258541024505693</v>
      </c>
      <c r="BB70" s="201">
        <v>1.1427419139873276</v>
      </c>
      <c r="BC70" s="201">
        <v>1.1598830426971376</v>
      </c>
      <c r="BD70" s="201">
        <v>1.1772812883375945</v>
      </c>
      <c r="BE70" s="201">
        <v>1.1949405076626585</v>
      </c>
      <c r="BF70" s="201">
        <v>1.2128646152775979</v>
      </c>
      <c r="BG70" s="201">
        <v>1.2310575845067619</v>
      </c>
      <c r="BH70" s="201">
        <v>1.2495234482743629</v>
      </c>
      <c r="BI70" s="201">
        <v>1.2682662999984782</v>
      </c>
      <c r="BJ70" s="201">
        <v>1.2872902944984552</v>
      </c>
      <c r="BK70" s="201">
        <v>1.3065996489159319</v>
      </c>
      <c r="BL70" s="201">
        <v>1</v>
      </c>
      <c r="BM70" s="201">
        <v>1.0075087154733169</v>
      </c>
      <c r="BN70" s="201">
        <v>1.0150174309466338</v>
      </c>
      <c r="BO70" s="201">
        <v>1.0225261464199509</v>
      </c>
      <c r="BP70" s="201">
        <v>1.0300348618932678</v>
      </c>
      <c r="BQ70" s="201">
        <v>1.0375435773665846</v>
      </c>
      <c r="BR70" s="201">
        <v>1.0450522928399046</v>
      </c>
      <c r="BS70" s="201">
        <v>1.0458970233306526</v>
      </c>
      <c r="BT70" s="201">
        <v>1.0467417538213979</v>
      </c>
      <c r="BU70" s="201">
        <v>1.0475864843121492</v>
      </c>
      <c r="BV70" s="201">
        <v>1.0484312148028971</v>
      </c>
      <c r="BW70" s="201">
        <v>1.0492759452936424</v>
      </c>
      <c r="BX70" s="201">
        <v>1.0501206757843937</v>
      </c>
      <c r="BY70" s="201">
        <v>1.0509654062751417</v>
      </c>
      <c r="BZ70" s="201">
        <v>1.0518101367658899</v>
      </c>
      <c r="CA70" s="201">
        <v>1.0526548672566383</v>
      </c>
      <c r="CB70" s="201">
        <v>1.0534995977473862</v>
      </c>
    </row>
    <row r="71" spans="1:80" x14ac:dyDescent="0.35">
      <c r="A71" t="s">
        <v>743</v>
      </c>
      <c r="B71" t="s">
        <v>847</v>
      </c>
      <c r="C71" s="206" t="s">
        <v>845</v>
      </c>
      <c r="D71" t="s">
        <v>742</v>
      </c>
      <c r="E71" s="130">
        <v>1155.3878002954209</v>
      </c>
      <c r="F71" s="130">
        <f>NYSERDA_SupplyCurve_Raw[[#This Row],[Available Capacity (MWac)]]*NYSERDA_SupplyCurve_Raw[[#This Row],[2024 Weighted Avg Resource CapEx ($/kWac)]]</f>
        <v>2406115.0897785518</v>
      </c>
      <c r="G71" s="130">
        <f>NYSERDA_SupplyCurve_Raw[[#This Row],[Available Capacity (MWac)]]*NYSERDA_SupplyCurve_Raw[[#This Row],[2024 Weighted Avg OpEx ($/kWac-year)]]</f>
        <v>31415.259573453899</v>
      </c>
      <c r="H71" s="130">
        <v>2082.5173064518535</v>
      </c>
      <c r="I71" s="130">
        <v>155.80165330620309</v>
      </c>
      <c r="J71" s="130">
        <v>27.190229605524081</v>
      </c>
      <c r="K71" s="130">
        <f>NYSERDA_SupplyCurve_Raw[[#This Row],[2024 Weighted Avg Capacity Factor]]*NYSERDA_SupplyCurve_Raw[[#This Row],[Available Capacity (MWac)]]</f>
        <v>234.31264589991136</v>
      </c>
      <c r="L71" s="205">
        <v>0.20280000000000001</v>
      </c>
      <c r="M71" s="201">
        <v>1</v>
      </c>
      <c r="N71" s="201">
        <v>0.98205557700657875</v>
      </c>
      <c r="O71" s="201">
        <v>0.97508643687766705</v>
      </c>
      <c r="P71" s="201">
        <v>0.97106869788234906</v>
      </c>
      <c r="Q71" s="201">
        <v>0.96272883825255851</v>
      </c>
      <c r="R71" s="201">
        <v>0.96698974982375063</v>
      </c>
      <c r="S71" s="201">
        <v>0.97267407052031729</v>
      </c>
      <c r="T71" s="201">
        <v>0.97869557679238683</v>
      </c>
      <c r="U71" s="201">
        <v>0.98505703847148274</v>
      </c>
      <c r="V71" s="201">
        <v>0.99541170168847593</v>
      </c>
      <c r="W71" s="201">
        <v>1.0060348317132133</v>
      </c>
      <c r="X71" s="201">
        <v>1.016931184146415</v>
      </c>
      <c r="Y71" s="201">
        <v>1.0281056158381716</v>
      </c>
      <c r="Z71" s="201">
        <v>1.0395630868515544</v>
      </c>
      <c r="AA71" s="201">
        <v>1.0513086624661183</v>
      </c>
      <c r="AB71" s="201">
        <v>1.0633475152220779</v>
      </c>
      <c r="AC71" s="201">
        <v>1.0756849270059698</v>
      </c>
      <c r="AD71" s="201">
        <v>1</v>
      </c>
      <c r="AE71" s="201">
        <v>1.0229999999999999</v>
      </c>
      <c r="AF71" s="201">
        <v>1.0465289999999996</v>
      </c>
      <c r="AG71" s="201">
        <v>1.0705991669999997</v>
      </c>
      <c r="AH71" s="201">
        <v>1.0952229478409996</v>
      </c>
      <c r="AI71" s="201">
        <v>1.1204130756413424</v>
      </c>
      <c r="AJ71" s="201">
        <v>1.1461825763810931</v>
      </c>
      <c r="AK71" s="201">
        <v>1.1725447756378584</v>
      </c>
      <c r="AL71" s="201">
        <v>1.1995133054775293</v>
      </c>
      <c r="AM71" s="201">
        <v>1.2271021115035123</v>
      </c>
      <c r="AN71" s="201">
        <v>1.2553254600680928</v>
      </c>
      <c r="AO71" s="201">
        <v>1.2841979456496588</v>
      </c>
      <c r="AP71" s="201">
        <v>1.3137344983996007</v>
      </c>
      <c r="AQ71" s="201">
        <v>1.3439503918627915</v>
      </c>
      <c r="AR71" s="201">
        <v>1.3748612508756353</v>
      </c>
      <c r="AS71" s="201">
        <v>1.4064830596457749</v>
      </c>
      <c r="AT71" s="201">
        <v>1.4388321700176276</v>
      </c>
      <c r="AU71" s="201">
        <v>1</v>
      </c>
      <c r="AV71" s="201">
        <v>1.0224300740672718</v>
      </c>
      <c r="AW71" s="201">
        <v>1.0453695014675706</v>
      </c>
      <c r="AX71" s="201">
        <v>1.0688299880638492</v>
      </c>
      <c r="AY71" s="201">
        <v>1.0928235118062264</v>
      </c>
      <c r="AZ71" s="201">
        <v>1.1092158644833194</v>
      </c>
      <c r="BA71" s="201">
        <v>1.1258541024505695</v>
      </c>
      <c r="BB71" s="201">
        <v>1.1427419139873276</v>
      </c>
      <c r="BC71" s="201">
        <v>1.1598830426971378</v>
      </c>
      <c r="BD71" s="201">
        <v>1.1772812883375945</v>
      </c>
      <c r="BE71" s="201">
        <v>1.1949405076626585</v>
      </c>
      <c r="BF71" s="201">
        <v>1.2128646152775981</v>
      </c>
      <c r="BG71" s="201">
        <v>1.2310575845067617</v>
      </c>
      <c r="BH71" s="201">
        <v>1.2495234482743631</v>
      </c>
      <c r="BI71" s="201">
        <v>1.2682662999984784</v>
      </c>
      <c r="BJ71" s="201">
        <v>1.2872902944984554</v>
      </c>
      <c r="BK71" s="201">
        <v>1.3065996489159324</v>
      </c>
      <c r="BL71" s="201">
        <v>1</v>
      </c>
      <c r="BM71" s="201">
        <v>1.0075087154733169</v>
      </c>
      <c r="BN71" s="201">
        <v>1.0150174309466338</v>
      </c>
      <c r="BO71" s="201">
        <v>1.0225261464199509</v>
      </c>
      <c r="BP71" s="201">
        <v>1.0300348618932678</v>
      </c>
      <c r="BQ71" s="201">
        <v>1.0375435773665846</v>
      </c>
      <c r="BR71" s="201">
        <v>1.0450522928399046</v>
      </c>
      <c r="BS71" s="201">
        <v>1.0458970233306526</v>
      </c>
      <c r="BT71" s="201">
        <v>1.0467417538213979</v>
      </c>
      <c r="BU71" s="201">
        <v>1.0475864843121492</v>
      </c>
      <c r="BV71" s="201">
        <v>1.0484312148028971</v>
      </c>
      <c r="BW71" s="201">
        <v>1.0492759452936424</v>
      </c>
      <c r="BX71" s="201">
        <v>1.0501206757843937</v>
      </c>
      <c r="BY71" s="201">
        <v>1.0509654062751417</v>
      </c>
      <c r="BZ71" s="201">
        <v>1.0518101367658899</v>
      </c>
      <c r="CA71" s="201">
        <v>1.0526548672566383</v>
      </c>
      <c r="CB71" s="201">
        <v>1.0534995977473862</v>
      </c>
    </row>
    <row r="72" spans="1:80" x14ac:dyDescent="0.35">
      <c r="A72" t="s">
        <v>743</v>
      </c>
      <c r="B72" t="s">
        <v>848</v>
      </c>
      <c r="C72" s="206" t="s">
        <v>843</v>
      </c>
      <c r="D72" t="s">
        <v>736</v>
      </c>
      <c r="E72" s="130">
        <v>233.16794912688943</v>
      </c>
      <c r="F72" s="130">
        <f>NYSERDA_SupplyCurve_Raw[[#This Row],[Available Capacity (MWac)]]*NYSERDA_SupplyCurve_Raw[[#This Row],[2024 Weighted Avg Resource CapEx ($/kWac)]]</f>
        <v>449217.05961156922</v>
      </c>
      <c r="G72" s="130">
        <f>NYSERDA_SupplyCurve_Raw[[#This Row],[Available Capacity (MWac)]]*NYSERDA_SupplyCurve_Raw[[#This Row],[2024 Weighted Avg OpEx ($/kWac-year)]]</f>
        <v>6331.087578761154</v>
      </c>
      <c r="H72" s="130">
        <v>1926.5815104249443</v>
      </c>
      <c r="I72" s="130">
        <v>124.78530245201624</v>
      </c>
      <c r="J72" s="130">
        <v>27.152477870428889</v>
      </c>
      <c r="K72" s="130">
        <f>NYSERDA_SupplyCurve_Raw[[#This Row],[2024 Weighted Avg Capacity Factor]]*NYSERDA_SupplyCurve_Raw[[#This Row],[Available Capacity (MWac)]]</f>
        <v>46.983341749068224</v>
      </c>
      <c r="L72" s="205">
        <v>0.20150000000000001</v>
      </c>
      <c r="M72" s="201">
        <v>1</v>
      </c>
      <c r="N72" s="201">
        <v>0.98205557700657908</v>
      </c>
      <c r="O72" s="201">
        <v>0.9750864368776675</v>
      </c>
      <c r="P72" s="201">
        <v>0.97106869788234929</v>
      </c>
      <c r="Q72" s="201">
        <v>0.96272883825255884</v>
      </c>
      <c r="R72" s="201">
        <v>0.96698974982375119</v>
      </c>
      <c r="S72" s="201">
        <v>0.97267407052031774</v>
      </c>
      <c r="T72" s="201">
        <v>0.97869557679238717</v>
      </c>
      <c r="U72" s="201">
        <v>0.98505703847148296</v>
      </c>
      <c r="V72" s="201">
        <v>0.99541170168847637</v>
      </c>
      <c r="W72" s="201">
        <v>1.0060348317132133</v>
      </c>
      <c r="X72" s="201">
        <v>1.0169311841464153</v>
      </c>
      <c r="Y72" s="201">
        <v>1.0281056158381718</v>
      </c>
      <c r="Z72" s="201">
        <v>1.0395630868515546</v>
      </c>
      <c r="AA72" s="201">
        <v>1.0513086624661188</v>
      </c>
      <c r="AB72" s="201">
        <v>1.0633475152220784</v>
      </c>
      <c r="AC72" s="201">
        <v>1.0756849270059703</v>
      </c>
      <c r="AD72" s="201">
        <v>1</v>
      </c>
      <c r="AE72" s="201">
        <v>1.0229999999999999</v>
      </c>
      <c r="AF72" s="201">
        <v>1.0465289999999996</v>
      </c>
      <c r="AG72" s="201">
        <v>1.0705991669999997</v>
      </c>
      <c r="AH72" s="201">
        <v>1.0952229478409994</v>
      </c>
      <c r="AI72" s="201">
        <v>1.1204130756413426</v>
      </c>
      <c r="AJ72" s="201">
        <v>1.1461825763810931</v>
      </c>
      <c r="AK72" s="201">
        <v>1.1725447756378582</v>
      </c>
      <c r="AL72" s="201">
        <v>1.1995133054775289</v>
      </c>
      <c r="AM72" s="201">
        <v>1.2271021115035119</v>
      </c>
      <c r="AN72" s="201">
        <v>1.2553254600680925</v>
      </c>
      <c r="AO72" s="201">
        <v>1.2841979456496586</v>
      </c>
      <c r="AP72" s="201">
        <v>1.3137344983996004</v>
      </c>
      <c r="AQ72" s="201">
        <v>1.3439503918627913</v>
      </c>
      <c r="AR72" s="201">
        <v>1.3748612508756353</v>
      </c>
      <c r="AS72" s="201">
        <v>1.4064830596457751</v>
      </c>
      <c r="AT72" s="201">
        <v>1.4388321700176274</v>
      </c>
      <c r="AU72" s="201">
        <v>1</v>
      </c>
      <c r="AV72" s="201">
        <v>1.0224300740672716</v>
      </c>
      <c r="AW72" s="201">
        <v>1.0453695014675706</v>
      </c>
      <c r="AX72" s="201">
        <v>1.068829988063849</v>
      </c>
      <c r="AY72" s="201">
        <v>1.0928235118062264</v>
      </c>
      <c r="AZ72" s="201">
        <v>1.1092158644833194</v>
      </c>
      <c r="BA72" s="201">
        <v>1.1258541024505693</v>
      </c>
      <c r="BB72" s="201">
        <v>1.1427419139873276</v>
      </c>
      <c r="BC72" s="201">
        <v>1.1598830426971376</v>
      </c>
      <c r="BD72" s="201">
        <v>1.1772812883375943</v>
      </c>
      <c r="BE72" s="201">
        <v>1.1949405076626585</v>
      </c>
      <c r="BF72" s="201">
        <v>1.2128646152775984</v>
      </c>
      <c r="BG72" s="201">
        <v>1.2310575845067619</v>
      </c>
      <c r="BH72" s="201">
        <v>1.2495234482743631</v>
      </c>
      <c r="BI72" s="201">
        <v>1.2682662999984784</v>
      </c>
      <c r="BJ72" s="201">
        <v>1.2872902944984552</v>
      </c>
      <c r="BK72" s="201">
        <v>1.3065996489159322</v>
      </c>
      <c r="BL72" s="201">
        <v>1</v>
      </c>
      <c r="BM72" s="201">
        <v>1.0075087154733169</v>
      </c>
      <c r="BN72" s="201">
        <v>1.0150174309466338</v>
      </c>
      <c r="BO72" s="201">
        <v>1.0225261464199509</v>
      </c>
      <c r="BP72" s="201">
        <v>1.0300348618932678</v>
      </c>
      <c r="BQ72" s="201">
        <v>1.0375435773665846</v>
      </c>
      <c r="BR72" s="201">
        <v>1.0450522928399046</v>
      </c>
      <c r="BS72" s="201">
        <v>1.0458970233306526</v>
      </c>
      <c r="BT72" s="201">
        <v>1.0467417538213979</v>
      </c>
      <c r="BU72" s="201">
        <v>1.0475864843121492</v>
      </c>
      <c r="BV72" s="201">
        <v>1.0484312148028971</v>
      </c>
      <c r="BW72" s="201">
        <v>1.0492759452936424</v>
      </c>
      <c r="BX72" s="201">
        <v>1.0501206757843937</v>
      </c>
      <c r="BY72" s="201">
        <v>1.0509654062751417</v>
      </c>
      <c r="BZ72" s="201">
        <v>1.0518101367658899</v>
      </c>
      <c r="CA72" s="201">
        <v>1.0526548672566383</v>
      </c>
      <c r="CB72" s="201">
        <v>1.0534995977473862</v>
      </c>
    </row>
    <row r="73" spans="1:80" x14ac:dyDescent="0.35">
      <c r="A73" t="s">
        <v>743</v>
      </c>
      <c r="B73" t="s">
        <v>848</v>
      </c>
      <c r="C73" s="206" t="s">
        <v>843</v>
      </c>
      <c r="D73" t="s">
        <v>742</v>
      </c>
      <c r="E73" s="130">
        <v>192.81032662228608</v>
      </c>
      <c r="F73" s="130">
        <f>NYSERDA_SupplyCurve_Raw[[#This Row],[Available Capacity (MWac)]]*NYSERDA_SupplyCurve_Raw[[#This Row],[2024 Weighted Avg Resource CapEx ($/kWac)]]</f>
        <v>402170.91253121017</v>
      </c>
      <c r="G73" s="130">
        <f>NYSERDA_SupplyCurve_Raw[[#This Row],[Available Capacity (MWac)]]*NYSERDA_SupplyCurve_Raw[[#This Row],[2024 Weighted Avg OpEx ($/kWac-year)]]</f>
        <v>5235.2781268017898</v>
      </c>
      <c r="H73" s="130">
        <v>2085.8369962676315</v>
      </c>
      <c r="I73" s="130">
        <v>191.23780382688616</v>
      </c>
      <c r="J73" s="130">
        <v>27.152477870428893</v>
      </c>
      <c r="K73" s="130">
        <f>NYSERDA_SupplyCurve_Raw[[#This Row],[2024 Weighted Avg Capacity Factor]]*NYSERDA_SupplyCurve_Raw[[#This Row],[Available Capacity (MWac)]]</f>
        <v>38.851280814390648</v>
      </c>
      <c r="L73" s="205">
        <v>0.20150000000000001</v>
      </c>
      <c r="M73" s="201">
        <v>1</v>
      </c>
      <c r="N73" s="201">
        <v>0.98205557700657886</v>
      </c>
      <c r="O73" s="201">
        <v>0.97508643687766738</v>
      </c>
      <c r="P73" s="201">
        <v>0.9710686978823494</v>
      </c>
      <c r="Q73" s="201">
        <v>0.96272883825255884</v>
      </c>
      <c r="R73" s="201">
        <v>0.96698974982375097</v>
      </c>
      <c r="S73" s="201">
        <v>0.97267407052031774</v>
      </c>
      <c r="T73" s="201">
        <v>0.97869557679238717</v>
      </c>
      <c r="U73" s="201">
        <v>0.98505703847148285</v>
      </c>
      <c r="V73" s="201">
        <v>0.99541170168847626</v>
      </c>
      <c r="W73" s="201">
        <v>1.0060348317132131</v>
      </c>
      <c r="X73" s="201">
        <v>1.0169311841464153</v>
      </c>
      <c r="Y73" s="201">
        <v>1.0281056158381716</v>
      </c>
      <c r="Z73" s="201">
        <v>1.0395630868515546</v>
      </c>
      <c r="AA73" s="201">
        <v>1.0513086624661188</v>
      </c>
      <c r="AB73" s="201">
        <v>1.0633475152220779</v>
      </c>
      <c r="AC73" s="201">
        <v>1.0756849270059703</v>
      </c>
      <c r="AD73" s="201">
        <v>1</v>
      </c>
      <c r="AE73" s="201">
        <v>1.0229999999999999</v>
      </c>
      <c r="AF73" s="201">
        <v>1.046529</v>
      </c>
      <c r="AG73" s="201">
        <v>1.0705991669999999</v>
      </c>
      <c r="AH73" s="201">
        <v>1.0952229478409998</v>
      </c>
      <c r="AI73" s="201">
        <v>1.1204130756413428</v>
      </c>
      <c r="AJ73" s="201">
        <v>1.1461825763810933</v>
      </c>
      <c r="AK73" s="201">
        <v>1.1725447756378582</v>
      </c>
      <c r="AL73" s="201">
        <v>1.1995133054775291</v>
      </c>
      <c r="AM73" s="201">
        <v>1.2271021115035119</v>
      </c>
      <c r="AN73" s="201">
        <v>1.2553254600680928</v>
      </c>
      <c r="AO73" s="201">
        <v>1.2841979456496588</v>
      </c>
      <c r="AP73" s="201">
        <v>1.3137344983996011</v>
      </c>
      <c r="AQ73" s="201">
        <v>1.3439503918627917</v>
      </c>
      <c r="AR73" s="201">
        <v>1.3748612508756353</v>
      </c>
      <c r="AS73" s="201">
        <v>1.4064830596457749</v>
      </c>
      <c r="AT73" s="201">
        <v>1.4388321700176274</v>
      </c>
      <c r="AU73" s="201">
        <v>1</v>
      </c>
      <c r="AV73" s="201">
        <v>1.0224300740672716</v>
      </c>
      <c r="AW73" s="201">
        <v>1.0453695014675704</v>
      </c>
      <c r="AX73" s="201">
        <v>1.068829988063849</v>
      </c>
      <c r="AY73" s="201">
        <v>1.0928235118062264</v>
      </c>
      <c r="AZ73" s="201">
        <v>1.1092158644833192</v>
      </c>
      <c r="BA73" s="201">
        <v>1.125854102450569</v>
      </c>
      <c r="BB73" s="201">
        <v>1.1427419139873274</v>
      </c>
      <c r="BC73" s="201">
        <v>1.1598830426971372</v>
      </c>
      <c r="BD73" s="201">
        <v>1.1772812883375943</v>
      </c>
      <c r="BE73" s="201">
        <v>1.1949405076626582</v>
      </c>
      <c r="BF73" s="201">
        <v>1.2128646152775981</v>
      </c>
      <c r="BG73" s="201">
        <v>1.2310575845067617</v>
      </c>
      <c r="BH73" s="201">
        <v>1.2495234482743629</v>
      </c>
      <c r="BI73" s="201">
        <v>1.2682662999984782</v>
      </c>
      <c r="BJ73" s="201">
        <v>1.287290294498455</v>
      </c>
      <c r="BK73" s="201">
        <v>1.3065996489159319</v>
      </c>
      <c r="BL73" s="201">
        <v>1</v>
      </c>
      <c r="BM73" s="201">
        <v>1.0075087154733169</v>
      </c>
      <c r="BN73" s="201">
        <v>1.0150174309466338</v>
      </c>
      <c r="BO73" s="201">
        <v>1.0225261464199509</v>
      </c>
      <c r="BP73" s="201">
        <v>1.0300348618932678</v>
      </c>
      <c r="BQ73" s="201">
        <v>1.0375435773665846</v>
      </c>
      <c r="BR73" s="201">
        <v>1.0450522928399046</v>
      </c>
      <c r="BS73" s="201">
        <v>1.0458970233306526</v>
      </c>
      <c r="BT73" s="201">
        <v>1.0467417538213979</v>
      </c>
      <c r="BU73" s="201">
        <v>1.0475864843121492</v>
      </c>
      <c r="BV73" s="201">
        <v>1.0484312148028971</v>
      </c>
      <c r="BW73" s="201">
        <v>1.0492759452936424</v>
      </c>
      <c r="BX73" s="201">
        <v>1.0501206757843937</v>
      </c>
      <c r="BY73" s="201">
        <v>1.0509654062751417</v>
      </c>
      <c r="BZ73" s="201">
        <v>1.0518101367658899</v>
      </c>
      <c r="CA73" s="201">
        <v>1.0526548672566383</v>
      </c>
      <c r="CB73" s="201">
        <v>1.0534995977473862</v>
      </c>
    </row>
    <row r="74" spans="1:80" x14ac:dyDescent="0.35">
      <c r="A74" t="s">
        <v>743</v>
      </c>
      <c r="B74" t="s">
        <v>889</v>
      </c>
      <c r="C74" s="206" t="s">
        <v>854</v>
      </c>
      <c r="D74" t="s">
        <v>736</v>
      </c>
      <c r="E74" s="130">
        <v>56.512406060176851</v>
      </c>
      <c r="F74" s="130">
        <f>NYSERDA_SupplyCurve_Raw[[#This Row],[Available Capacity (MWac)]]*NYSERDA_SupplyCurve_Raw[[#This Row],[2024 Weighted Avg Resource CapEx ($/kWac)]]</f>
        <v>110395.09619691561</v>
      </c>
      <c r="G74" s="130">
        <f>NYSERDA_SupplyCurve_Raw[[#This Row],[Available Capacity (MWac)]]*NYSERDA_SupplyCurve_Raw[[#This Row],[2024 Weighted Avg OpEx ($/kWac-year)]]</f>
        <v>1561.119872243341</v>
      </c>
      <c r="H74" s="130">
        <v>1953.4665729744747</v>
      </c>
      <c r="I74" s="130">
        <v>48.941054011854938</v>
      </c>
      <c r="J74" s="130">
        <v>27.624374559118809</v>
      </c>
      <c r="K74" s="130">
        <f>NYSERDA_SupplyCurve_Raw[[#This Row],[2024 Weighted Avg Capacity Factor]]*NYSERDA_SupplyCurve_Raw[[#This Row],[Available Capacity (MWac)]]</f>
        <v>11.387249821125636</v>
      </c>
      <c r="L74" s="205">
        <v>0.20150000000000001</v>
      </c>
      <c r="M74" s="201">
        <v>1</v>
      </c>
      <c r="N74" s="201">
        <v>0.98205557700657908</v>
      </c>
      <c r="O74" s="201">
        <v>0.97508643687766738</v>
      </c>
      <c r="P74" s="201">
        <v>0.9710686978823494</v>
      </c>
      <c r="Q74" s="201">
        <v>0.96272883825255884</v>
      </c>
      <c r="R74" s="201">
        <v>0.96698974982375108</v>
      </c>
      <c r="S74" s="201">
        <v>0.97267407052031762</v>
      </c>
      <c r="T74" s="201">
        <v>0.97869557679238706</v>
      </c>
      <c r="U74" s="201">
        <v>0.98505703847148307</v>
      </c>
      <c r="V74" s="201">
        <v>0.99541170168847637</v>
      </c>
      <c r="W74" s="201">
        <v>1.0060348317132135</v>
      </c>
      <c r="X74" s="201">
        <v>1.0169311841464153</v>
      </c>
      <c r="Y74" s="201">
        <v>1.0281056158381718</v>
      </c>
      <c r="Z74" s="201">
        <v>1.0395630868515546</v>
      </c>
      <c r="AA74" s="201">
        <v>1.0513086624661185</v>
      </c>
      <c r="AB74" s="201">
        <v>1.0633475152220784</v>
      </c>
      <c r="AC74" s="201">
        <v>1.0756849270059701</v>
      </c>
      <c r="AD74" s="201">
        <v>1</v>
      </c>
      <c r="AE74" s="201">
        <v>1.0229999999999999</v>
      </c>
      <c r="AF74" s="201">
        <v>1.0465289999999998</v>
      </c>
      <c r="AG74" s="201">
        <v>1.0705991669999997</v>
      </c>
      <c r="AH74" s="201">
        <v>1.0952229478409996</v>
      </c>
      <c r="AI74" s="201">
        <v>1.1204130756413426</v>
      </c>
      <c r="AJ74" s="201">
        <v>1.1461825763810931</v>
      </c>
      <c r="AK74" s="201">
        <v>1.1725447756378584</v>
      </c>
      <c r="AL74" s="201">
        <v>1.1995133054775287</v>
      </c>
      <c r="AM74" s="201">
        <v>1.2271021115035119</v>
      </c>
      <c r="AN74" s="201">
        <v>1.2553254600680925</v>
      </c>
      <c r="AO74" s="201">
        <v>1.2841979456496586</v>
      </c>
      <c r="AP74" s="201">
        <v>1.3137344983996004</v>
      </c>
      <c r="AQ74" s="201">
        <v>1.3439503918627915</v>
      </c>
      <c r="AR74" s="201">
        <v>1.374861250875635</v>
      </c>
      <c r="AS74" s="201">
        <v>1.4064830596457747</v>
      </c>
      <c r="AT74" s="201">
        <v>1.4388321700176274</v>
      </c>
      <c r="AU74" s="201">
        <v>1</v>
      </c>
      <c r="AV74" s="201">
        <v>1.0224300740672716</v>
      </c>
      <c r="AW74" s="201">
        <v>1.0453695014675704</v>
      </c>
      <c r="AX74" s="201">
        <v>1.068829988063849</v>
      </c>
      <c r="AY74" s="201">
        <v>1.0928235118062262</v>
      </c>
      <c r="AZ74" s="201">
        <v>1.1092158644833194</v>
      </c>
      <c r="BA74" s="201">
        <v>1.1258541024505693</v>
      </c>
      <c r="BB74" s="201">
        <v>1.1427419139873274</v>
      </c>
      <c r="BC74" s="201">
        <v>1.1598830426971376</v>
      </c>
      <c r="BD74" s="201">
        <v>1.1772812883375945</v>
      </c>
      <c r="BE74" s="201">
        <v>1.1949405076626582</v>
      </c>
      <c r="BF74" s="201">
        <v>1.2128646152775981</v>
      </c>
      <c r="BG74" s="201">
        <v>1.2310575845067617</v>
      </c>
      <c r="BH74" s="201">
        <v>1.2495234482743631</v>
      </c>
      <c r="BI74" s="201">
        <v>1.2682662999984782</v>
      </c>
      <c r="BJ74" s="201">
        <v>1.2872902944984554</v>
      </c>
      <c r="BK74" s="201">
        <v>1.3065996489159319</v>
      </c>
      <c r="BL74" s="201">
        <v>1</v>
      </c>
      <c r="BM74" s="201">
        <v>1.0075087154733169</v>
      </c>
      <c r="BN74" s="201">
        <v>1.0150174309466338</v>
      </c>
      <c r="BO74" s="201">
        <v>1.0225261464199509</v>
      </c>
      <c r="BP74" s="201">
        <v>1.0300348618932678</v>
      </c>
      <c r="BQ74" s="201">
        <v>1.0375435773665846</v>
      </c>
      <c r="BR74" s="201">
        <v>1.0450522928399046</v>
      </c>
      <c r="BS74" s="201">
        <v>1.0458970233306526</v>
      </c>
      <c r="BT74" s="201">
        <v>1.0467417538213979</v>
      </c>
      <c r="BU74" s="201">
        <v>1.0475864843121492</v>
      </c>
      <c r="BV74" s="201">
        <v>1.0484312148028971</v>
      </c>
      <c r="BW74" s="201">
        <v>1.0492759452936424</v>
      </c>
      <c r="BX74" s="201">
        <v>1.0501206757843937</v>
      </c>
      <c r="BY74" s="201">
        <v>1.0509654062751417</v>
      </c>
      <c r="BZ74" s="201">
        <v>1.0518101367658899</v>
      </c>
      <c r="CA74" s="201">
        <v>1.0526548672566383</v>
      </c>
      <c r="CB74" s="201">
        <v>1.0534995977473862</v>
      </c>
    </row>
    <row r="75" spans="1:80" x14ac:dyDescent="0.35">
      <c r="A75" t="s">
        <v>743</v>
      </c>
      <c r="B75" t="s">
        <v>889</v>
      </c>
      <c r="C75" s="206" t="s">
        <v>854</v>
      </c>
      <c r="D75" t="s">
        <v>742</v>
      </c>
      <c r="E75" s="130">
        <v>353.48227604459646</v>
      </c>
      <c r="F75" s="130">
        <f>NYSERDA_SupplyCurve_Raw[[#This Row],[Available Capacity (MWac)]]*NYSERDA_SupplyCurve_Raw[[#This Row],[2024 Weighted Avg Resource CapEx ($/kWac)]]</f>
        <v>739397.09221429005</v>
      </c>
      <c r="G75" s="130">
        <f>NYSERDA_SupplyCurve_Raw[[#This Row],[Available Capacity (MWac)]]*NYSERDA_SupplyCurve_Raw[[#This Row],[2024 Weighted Avg OpEx ($/kWac-year)]]</f>
        <v>9764.726793465763</v>
      </c>
      <c r="H75" s="130">
        <v>2091.7515313299764</v>
      </c>
      <c r="I75" s="130">
        <v>86.818410454920212</v>
      </c>
      <c r="J75" s="130">
        <v>27.624374559118809</v>
      </c>
      <c r="K75" s="130">
        <f>NYSERDA_SupplyCurve_Raw[[#This Row],[2024 Weighted Avg Capacity Factor]]*NYSERDA_SupplyCurve_Raw[[#This Row],[Available Capacity (MWac)]]</f>
        <v>71.226678622986185</v>
      </c>
      <c r="L75" s="205">
        <v>0.20149999999999998</v>
      </c>
      <c r="M75" s="201">
        <v>1</v>
      </c>
      <c r="N75" s="201">
        <v>0.98205557700657919</v>
      </c>
      <c r="O75" s="201">
        <v>0.97508643687766727</v>
      </c>
      <c r="P75" s="201">
        <v>0.97106869788234917</v>
      </c>
      <c r="Q75" s="201">
        <v>0.96272883825255884</v>
      </c>
      <c r="R75" s="201">
        <v>0.96698974982375074</v>
      </c>
      <c r="S75" s="201">
        <v>0.9726740705203174</v>
      </c>
      <c r="T75" s="201">
        <v>0.97869557679238706</v>
      </c>
      <c r="U75" s="201">
        <v>0.98505703847148285</v>
      </c>
      <c r="V75" s="201">
        <v>0.99541170168847593</v>
      </c>
      <c r="W75" s="201">
        <v>1.0060348317132131</v>
      </c>
      <c r="X75" s="201">
        <v>1.0169311841464153</v>
      </c>
      <c r="Y75" s="201">
        <v>1.0281056158381716</v>
      </c>
      <c r="Z75" s="201">
        <v>1.0395630868515544</v>
      </c>
      <c r="AA75" s="201">
        <v>1.0513086624661188</v>
      </c>
      <c r="AB75" s="201">
        <v>1.0633475152220782</v>
      </c>
      <c r="AC75" s="201">
        <v>1.0756849270059703</v>
      </c>
      <c r="AD75" s="201">
        <v>1</v>
      </c>
      <c r="AE75" s="201">
        <v>1.0229999999999997</v>
      </c>
      <c r="AF75" s="201">
        <v>1.0465289999999998</v>
      </c>
      <c r="AG75" s="201">
        <v>1.0705991669999997</v>
      </c>
      <c r="AH75" s="201">
        <v>1.0952229478409996</v>
      </c>
      <c r="AI75" s="201">
        <v>1.1204130756413424</v>
      </c>
      <c r="AJ75" s="201">
        <v>1.1461825763810931</v>
      </c>
      <c r="AK75" s="201">
        <v>1.172544775637858</v>
      </c>
      <c r="AL75" s="201">
        <v>1.1995133054775287</v>
      </c>
      <c r="AM75" s="201">
        <v>1.2271021115035117</v>
      </c>
      <c r="AN75" s="201">
        <v>1.2553254600680923</v>
      </c>
      <c r="AO75" s="201">
        <v>1.2841979456496584</v>
      </c>
      <c r="AP75" s="201">
        <v>1.3137344983996004</v>
      </c>
      <c r="AQ75" s="201">
        <v>1.3439503918627909</v>
      </c>
      <c r="AR75" s="201">
        <v>1.374861250875635</v>
      </c>
      <c r="AS75" s="201">
        <v>1.4064830596457745</v>
      </c>
      <c r="AT75" s="201">
        <v>1.4388321700176274</v>
      </c>
      <c r="AU75" s="201">
        <v>1</v>
      </c>
      <c r="AV75" s="201">
        <v>1.0224300740672716</v>
      </c>
      <c r="AW75" s="201">
        <v>1.0453695014675704</v>
      </c>
      <c r="AX75" s="201">
        <v>1.068829988063849</v>
      </c>
      <c r="AY75" s="201">
        <v>1.0928235118062262</v>
      </c>
      <c r="AZ75" s="201">
        <v>1.1092158644833192</v>
      </c>
      <c r="BA75" s="201">
        <v>1.1258541024505693</v>
      </c>
      <c r="BB75" s="201">
        <v>1.1427419139873274</v>
      </c>
      <c r="BC75" s="201">
        <v>1.1598830426971376</v>
      </c>
      <c r="BD75" s="201">
        <v>1.1772812883375945</v>
      </c>
      <c r="BE75" s="201">
        <v>1.1949405076626582</v>
      </c>
      <c r="BF75" s="201">
        <v>1.2128646152775981</v>
      </c>
      <c r="BG75" s="201">
        <v>1.2310575845067615</v>
      </c>
      <c r="BH75" s="201">
        <v>1.2495234482743631</v>
      </c>
      <c r="BI75" s="201">
        <v>1.2682662999984782</v>
      </c>
      <c r="BJ75" s="201">
        <v>1.2872902944984554</v>
      </c>
      <c r="BK75" s="201">
        <v>1.3065996489159319</v>
      </c>
      <c r="BL75" s="201">
        <v>1</v>
      </c>
      <c r="BM75" s="201">
        <v>1.0075087154733169</v>
      </c>
      <c r="BN75" s="201">
        <v>1.0150174309466338</v>
      </c>
      <c r="BO75" s="201">
        <v>1.0225261464199509</v>
      </c>
      <c r="BP75" s="201">
        <v>1.0300348618932678</v>
      </c>
      <c r="BQ75" s="201">
        <v>1.0375435773665846</v>
      </c>
      <c r="BR75" s="201">
        <v>1.0450522928399046</v>
      </c>
      <c r="BS75" s="201">
        <v>1.0458970233306526</v>
      </c>
      <c r="BT75" s="201">
        <v>1.0467417538213979</v>
      </c>
      <c r="BU75" s="201">
        <v>1.0475864843121492</v>
      </c>
      <c r="BV75" s="201">
        <v>1.0484312148028971</v>
      </c>
      <c r="BW75" s="201">
        <v>1.0492759452936424</v>
      </c>
      <c r="BX75" s="201">
        <v>1.0501206757843937</v>
      </c>
      <c r="BY75" s="201">
        <v>1.0509654062751417</v>
      </c>
      <c r="BZ75" s="201">
        <v>1.0518101367658899</v>
      </c>
      <c r="CA75" s="201">
        <v>1.0526548672566383</v>
      </c>
      <c r="CB75" s="201">
        <v>1.0534995977473862</v>
      </c>
    </row>
    <row r="76" spans="1:80" x14ac:dyDescent="0.35">
      <c r="A76" t="s">
        <v>743</v>
      </c>
      <c r="B76" t="s">
        <v>849</v>
      </c>
      <c r="C76" s="206" t="s">
        <v>850</v>
      </c>
      <c r="D76" t="s">
        <v>736</v>
      </c>
      <c r="E76" s="130">
        <v>875.66622935391865</v>
      </c>
      <c r="F76" s="130">
        <f>NYSERDA_SupplyCurve_Raw[[#This Row],[Available Capacity (MWac)]]*NYSERDA_SupplyCurve_Raw[[#This Row],[2024 Weighted Avg Resource CapEx ($/kWac)]]</f>
        <v>1622579.1384999454</v>
      </c>
      <c r="G76" s="130">
        <f>NYSERDA_SupplyCurve_Raw[[#This Row],[Available Capacity (MWac)]]*NYSERDA_SupplyCurve_Raw[[#This Row],[2024 Weighted Avg OpEx ($/kWac-year)]]</f>
        <v>23707.637248742565</v>
      </c>
      <c r="H76" s="130">
        <v>1852.9653012850704</v>
      </c>
      <c r="I76" s="130">
        <v>119.36004940667324</v>
      </c>
      <c r="J76" s="130">
        <v>27.073828422313898</v>
      </c>
      <c r="K76" s="130">
        <f>NYSERDA_SupplyCurve_Raw[[#This Row],[2024 Weighted Avg Capacity Factor]]*NYSERDA_SupplyCurve_Raw[[#This Row],[Available Capacity (MWac)]]</f>
        <v>178.72347741113478</v>
      </c>
      <c r="L76" s="205">
        <v>0.20409999999999998</v>
      </c>
      <c r="M76" s="201">
        <v>1</v>
      </c>
      <c r="N76" s="201">
        <v>0.98205557700657919</v>
      </c>
      <c r="O76" s="201">
        <v>0.9750864368776675</v>
      </c>
      <c r="P76" s="201">
        <v>0.9710686978823494</v>
      </c>
      <c r="Q76" s="201">
        <v>0.96272883825255884</v>
      </c>
      <c r="R76" s="201">
        <v>0.96698974982375108</v>
      </c>
      <c r="S76" s="201">
        <v>0.97267407052031762</v>
      </c>
      <c r="T76" s="201">
        <v>0.97869557679238706</v>
      </c>
      <c r="U76" s="201">
        <v>0.98505703847148296</v>
      </c>
      <c r="V76" s="201">
        <v>0.99541170168847637</v>
      </c>
      <c r="W76" s="201">
        <v>1.0060348317132133</v>
      </c>
      <c r="X76" s="201">
        <v>1.0169311841464153</v>
      </c>
      <c r="Y76" s="201">
        <v>1.0281056158381718</v>
      </c>
      <c r="Z76" s="201">
        <v>1.0395630868515546</v>
      </c>
      <c r="AA76" s="201">
        <v>1.0513086624661188</v>
      </c>
      <c r="AB76" s="201">
        <v>1.0633475152220784</v>
      </c>
      <c r="AC76" s="201">
        <v>1.0756849270059703</v>
      </c>
      <c r="AD76" s="201">
        <v>1</v>
      </c>
      <c r="AE76" s="201">
        <v>1.0229999999999999</v>
      </c>
      <c r="AF76" s="201">
        <v>1.0465289999999998</v>
      </c>
      <c r="AG76" s="201">
        <v>1.0705991669999997</v>
      </c>
      <c r="AH76" s="201">
        <v>1.0952229478409996</v>
      </c>
      <c r="AI76" s="201">
        <v>1.1204130756413424</v>
      </c>
      <c r="AJ76" s="201">
        <v>1.1461825763810933</v>
      </c>
      <c r="AK76" s="201">
        <v>1.1725447756378584</v>
      </c>
      <c r="AL76" s="201">
        <v>1.1995133054775289</v>
      </c>
      <c r="AM76" s="201">
        <v>1.2271021115035119</v>
      </c>
      <c r="AN76" s="201">
        <v>1.2553254600680925</v>
      </c>
      <c r="AO76" s="201">
        <v>1.2841979456496586</v>
      </c>
      <c r="AP76" s="201">
        <v>1.3137344983996004</v>
      </c>
      <c r="AQ76" s="201">
        <v>1.3439503918627915</v>
      </c>
      <c r="AR76" s="201">
        <v>1.374861250875635</v>
      </c>
      <c r="AS76" s="201">
        <v>1.4064830596457747</v>
      </c>
      <c r="AT76" s="201">
        <v>1.4388321700176276</v>
      </c>
      <c r="AU76" s="201">
        <v>1</v>
      </c>
      <c r="AV76" s="201">
        <v>1.0224300740672718</v>
      </c>
      <c r="AW76" s="201">
        <v>1.0453695014675706</v>
      </c>
      <c r="AX76" s="201">
        <v>1.0688299880638492</v>
      </c>
      <c r="AY76" s="201">
        <v>1.0928235118062262</v>
      </c>
      <c r="AZ76" s="201">
        <v>1.1092158644833194</v>
      </c>
      <c r="BA76" s="201">
        <v>1.1258541024505693</v>
      </c>
      <c r="BB76" s="201">
        <v>1.1427419139873276</v>
      </c>
      <c r="BC76" s="201">
        <v>1.1598830426971376</v>
      </c>
      <c r="BD76" s="201">
        <v>1.1772812883375945</v>
      </c>
      <c r="BE76" s="201">
        <v>1.194940507662658</v>
      </c>
      <c r="BF76" s="201">
        <v>1.2128646152775979</v>
      </c>
      <c r="BG76" s="201">
        <v>1.2310575845067619</v>
      </c>
      <c r="BH76" s="201">
        <v>1.2495234482743633</v>
      </c>
      <c r="BI76" s="201">
        <v>1.2682662999984784</v>
      </c>
      <c r="BJ76" s="201">
        <v>1.2872902944984554</v>
      </c>
      <c r="BK76" s="201">
        <v>1.3065996489159322</v>
      </c>
      <c r="BL76" s="201">
        <v>1</v>
      </c>
      <c r="BM76" s="201">
        <v>1.0075087154733169</v>
      </c>
      <c r="BN76" s="201">
        <v>1.0150174309466338</v>
      </c>
      <c r="BO76" s="201">
        <v>1.0225261464199509</v>
      </c>
      <c r="BP76" s="201">
        <v>1.0300348618932678</v>
      </c>
      <c r="BQ76" s="201">
        <v>1.0375435773665846</v>
      </c>
      <c r="BR76" s="201">
        <v>1.0450522928399046</v>
      </c>
      <c r="BS76" s="201">
        <v>1.0458970233306526</v>
      </c>
      <c r="BT76" s="201">
        <v>1.0467417538213979</v>
      </c>
      <c r="BU76" s="201">
        <v>1.0475864843121492</v>
      </c>
      <c r="BV76" s="201">
        <v>1.0484312148028971</v>
      </c>
      <c r="BW76" s="201">
        <v>1.0492759452936424</v>
      </c>
      <c r="BX76" s="201">
        <v>1.0501206757843937</v>
      </c>
      <c r="BY76" s="201">
        <v>1.0509654062751417</v>
      </c>
      <c r="BZ76" s="201">
        <v>1.0518101367658899</v>
      </c>
      <c r="CA76" s="201">
        <v>1.0526548672566383</v>
      </c>
      <c r="CB76" s="201">
        <v>1.0534995977473862</v>
      </c>
    </row>
    <row r="77" spans="1:80" x14ac:dyDescent="0.35">
      <c r="A77" t="s">
        <v>743</v>
      </c>
      <c r="B77" t="s">
        <v>849</v>
      </c>
      <c r="C77" s="206" t="s">
        <v>850</v>
      </c>
      <c r="D77" t="s">
        <v>742</v>
      </c>
      <c r="E77" s="130">
        <v>976.36152492462702</v>
      </c>
      <c r="F77" s="130">
        <f>NYSERDA_SupplyCurve_Raw[[#This Row],[Available Capacity (MWac)]]*NYSERDA_SupplyCurve_Raw[[#This Row],[2024 Weighted Avg Resource CapEx ($/kWac)]]</f>
        <v>2025077.1482350526</v>
      </c>
      <c r="G77" s="130">
        <f>NYSERDA_SupplyCurve_Raw[[#This Row],[Available Capacity (MWac)]]*NYSERDA_SupplyCurve_Raw[[#This Row],[2024 Weighted Avg OpEx ($/kWac-year)]]</f>
        <v>26433.844403958112</v>
      </c>
      <c r="H77" s="130">
        <v>2074.1058476176477</v>
      </c>
      <c r="I77" s="130">
        <v>188.63065014848837</v>
      </c>
      <c r="J77" s="130">
        <v>27.073828422313902</v>
      </c>
      <c r="K77" s="130">
        <f>NYSERDA_SupplyCurve_Raw[[#This Row],[2024 Weighted Avg Capacity Factor]]*NYSERDA_SupplyCurve_Raw[[#This Row],[Available Capacity (MWac)]]</f>
        <v>199.27538723711638</v>
      </c>
      <c r="L77" s="205">
        <v>0.2041</v>
      </c>
      <c r="M77" s="201">
        <v>1</v>
      </c>
      <c r="N77" s="201">
        <v>0.98205557700657908</v>
      </c>
      <c r="O77" s="201">
        <v>0.97508643687766738</v>
      </c>
      <c r="P77" s="201">
        <v>0.9710686978823494</v>
      </c>
      <c r="Q77" s="201">
        <v>0.96272883825255895</v>
      </c>
      <c r="R77" s="201">
        <v>0.96698974982375108</v>
      </c>
      <c r="S77" s="201">
        <v>0.97267407052031762</v>
      </c>
      <c r="T77" s="201">
        <v>0.97869557679238706</v>
      </c>
      <c r="U77" s="201">
        <v>0.98505703847148296</v>
      </c>
      <c r="V77" s="201">
        <v>0.99541170168847637</v>
      </c>
      <c r="W77" s="201">
        <v>1.0060348317132135</v>
      </c>
      <c r="X77" s="201">
        <v>1.0169311841464153</v>
      </c>
      <c r="Y77" s="201">
        <v>1.0281056158381716</v>
      </c>
      <c r="Z77" s="201">
        <v>1.0395630868515544</v>
      </c>
      <c r="AA77" s="201">
        <v>1.0513086624661185</v>
      </c>
      <c r="AB77" s="201">
        <v>1.0633475152220784</v>
      </c>
      <c r="AC77" s="201">
        <v>1.0756849270059703</v>
      </c>
      <c r="AD77" s="201">
        <v>1</v>
      </c>
      <c r="AE77" s="201">
        <v>1.0229999999999999</v>
      </c>
      <c r="AF77" s="201">
        <v>1.0465289999999996</v>
      </c>
      <c r="AG77" s="201">
        <v>1.0705991669999997</v>
      </c>
      <c r="AH77" s="201">
        <v>1.0952229478409994</v>
      </c>
      <c r="AI77" s="201">
        <v>1.1204130756413424</v>
      </c>
      <c r="AJ77" s="201">
        <v>1.1461825763810931</v>
      </c>
      <c r="AK77" s="201">
        <v>1.1725447756378584</v>
      </c>
      <c r="AL77" s="201">
        <v>1.1995133054775289</v>
      </c>
      <c r="AM77" s="201">
        <v>1.2271021115035117</v>
      </c>
      <c r="AN77" s="201">
        <v>1.2553254600680925</v>
      </c>
      <c r="AO77" s="201">
        <v>1.2841979456496586</v>
      </c>
      <c r="AP77" s="201">
        <v>1.3137344983996004</v>
      </c>
      <c r="AQ77" s="201">
        <v>1.3439503918627913</v>
      </c>
      <c r="AR77" s="201">
        <v>1.3748612508756353</v>
      </c>
      <c r="AS77" s="201">
        <v>1.4064830596457747</v>
      </c>
      <c r="AT77" s="201">
        <v>1.4388321700176272</v>
      </c>
      <c r="AU77" s="201">
        <v>1</v>
      </c>
      <c r="AV77" s="201">
        <v>1.0224300740672718</v>
      </c>
      <c r="AW77" s="201">
        <v>1.0453695014675706</v>
      </c>
      <c r="AX77" s="201">
        <v>1.068829988063849</v>
      </c>
      <c r="AY77" s="201">
        <v>1.0928235118062262</v>
      </c>
      <c r="AZ77" s="201">
        <v>1.1092158644833194</v>
      </c>
      <c r="BA77" s="201">
        <v>1.125854102450569</v>
      </c>
      <c r="BB77" s="201">
        <v>1.1427419139873274</v>
      </c>
      <c r="BC77" s="201">
        <v>1.1598830426971374</v>
      </c>
      <c r="BD77" s="201">
        <v>1.1772812883375945</v>
      </c>
      <c r="BE77" s="201">
        <v>1.1949405076626582</v>
      </c>
      <c r="BF77" s="201">
        <v>1.2128646152775981</v>
      </c>
      <c r="BG77" s="201">
        <v>1.2310575845067617</v>
      </c>
      <c r="BH77" s="201">
        <v>1.2495234482743629</v>
      </c>
      <c r="BI77" s="201">
        <v>1.2682662999984782</v>
      </c>
      <c r="BJ77" s="201">
        <v>1.2872902944984552</v>
      </c>
      <c r="BK77" s="201">
        <v>1.3065996489159319</v>
      </c>
      <c r="BL77" s="201">
        <v>1</v>
      </c>
      <c r="BM77" s="201">
        <v>1.0075087154733169</v>
      </c>
      <c r="BN77" s="201">
        <v>1.0150174309466338</v>
      </c>
      <c r="BO77" s="201">
        <v>1.0225261464199509</v>
      </c>
      <c r="BP77" s="201">
        <v>1.0300348618932678</v>
      </c>
      <c r="BQ77" s="201">
        <v>1.0375435773665846</v>
      </c>
      <c r="BR77" s="201">
        <v>1.0450522928399046</v>
      </c>
      <c r="BS77" s="201">
        <v>1.0458970233306526</v>
      </c>
      <c r="BT77" s="201">
        <v>1.0467417538213979</v>
      </c>
      <c r="BU77" s="201">
        <v>1.0475864843121492</v>
      </c>
      <c r="BV77" s="201">
        <v>1.0484312148028971</v>
      </c>
      <c r="BW77" s="201">
        <v>1.0492759452936424</v>
      </c>
      <c r="BX77" s="201">
        <v>1.0501206757843937</v>
      </c>
      <c r="BY77" s="201">
        <v>1.0509654062751417</v>
      </c>
      <c r="BZ77" s="201">
        <v>1.0518101367658899</v>
      </c>
      <c r="CA77" s="201">
        <v>1.0526548672566383</v>
      </c>
      <c r="CB77" s="201">
        <v>1.0534995977473862</v>
      </c>
    </row>
    <row r="78" spans="1:80" x14ac:dyDescent="0.35">
      <c r="A78" t="s">
        <v>743</v>
      </c>
      <c r="B78" t="s">
        <v>851</v>
      </c>
      <c r="C78" s="206" t="s">
        <v>839</v>
      </c>
      <c r="D78" t="s">
        <v>736</v>
      </c>
      <c r="E78" s="130">
        <v>530.63709354525406</v>
      </c>
      <c r="F78" s="130">
        <f>NYSERDA_SupplyCurve_Raw[[#This Row],[Available Capacity (MWac)]]*NYSERDA_SupplyCurve_Raw[[#This Row],[2024 Weighted Avg Resource CapEx ($/kWac)]]</f>
        <v>1015468.7593450735</v>
      </c>
      <c r="G78" s="130">
        <f>NYSERDA_SupplyCurve_Raw[[#This Row],[Available Capacity (MWac)]]*NYSERDA_SupplyCurve_Raw[[#This Row],[2024 Weighted Avg OpEx ($/kWac-year)]]</f>
        <v>14867.189399839634</v>
      </c>
      <c r="H78" s="130">
        <v>1913.6784286235952</v>
      </c>
      <c r="I78" s="130">
        <v>77.912020679403227</v>
      </c>
      <c r="J78" s="130">
        <v>28.017621799693735</v>
      </c>
      <c r="K78" s="130">
        <f>NYSERDA_SupplyCurve_Raw[[#This Row],[2024 Weighted Avg Capacity Factor]]*NYSERDA_SupplyCurve_Raw[[#This Row],[Available Capacity (MWac)]]</f>
        <v>110.37251545741285</v>
      </c>
      <c r="L78" s="205">
        <v>0.20799999999999999</v>
      </c>
      <c r="M78" s="201">
        <v>1</v>
      </c>
      <c r="N78" s="201">
        <v>0.98205557700657908</v>
      </c>
      <c r="O78" s="201">
        <v>0.9750864368776675</v>
      </c>
      <c r="P78" s="201">
        <v>0.97106869788234951</v>
      </c>
      <c r="Q78" s="201">
        <v>0.96272883825255895</v>
      </c>
      <c r="R78" s="201">
        <v>0.96698974982375108</v>
      </c>
      <c r="S78" s="201">
        <v>0.97267407052031762</v>
      </c>
      <c r="T78" s="201">
        <v>0.97869557679238706</v>
      </c>
      <c r="U78" s="201">
        <v>0.98505703847148307</v>
      </c>
      <c r="V78" s="201">
        <v>0.99541170168847648</v>
      </c>
      <c r="W78" s="201">
        <v>1.0060348317132135</v>
      </c>
      <c r="X78" s="201">
        <v>1.0169311841464153</v>
      </c>
      <c r="Y78" s="201">
        <v>1.0281056158381718</v>
      </c>
      <c r="Z78" s="201">
        <v>1.0395630868515546</v>
      </c>
      <c r="AA78" s="201">
        <v>1.0513086624661188</v>
      </c>
      <c r="AB78" s="201">
        <v>1.0633475152220786</v>
      </c>
      <c r="AC78" s="201">
        <v>1.0756849270059705</v>
      </c>
      <c r="AD78" s="201">
        <v>1</v>
      </c>
      <c r="AE78" s="201">
        <v>1.0230000000000001</v>
      </c>
      <c r="AF78" s="201">
        <v>1.0465289999999998</v>
      </c>
      <c r="AG78" s="201">
        <v>1.0705991670000001</v>
      </c>
      <c r="AH78" s="201">
        <v>1.0952229478409998</v>
      </c>
      <c r="AI78" s="201">
        <v>1.1204130756413428</v>
      </c>
      <c r="AJ78" s="201">
        <v>1.1461825763810933</v>
      </c>
      <c r="AK78" s="201">
        <v>1.1725447756378584</v>
      </c>
      <c r="AL78" s="201">
        <v>1.1995133054775289</v>
      </c>
      <c r="AM78" s="201">
        <v>1.2271021115035121</v>
      </c>
      <c r="AN78" s="201">
        <v>1.2553254600680928</v>
      </c>
      <c r="AO78" s="201">
        <v>1.2841979456496591</v>
      </c>
      <c r="AP78" s="201">
        <v>1.3137344983996009</v>
      </c>
      <c r="AQ78" s="201">
        <v>1.3439503918627917</v>
      </c>
      <c r="AR78" s="201">
        <v>1.3748612508756355</v>
      </c>
      <c r="AS78" s="201">
        <v>1.4064830596457751</v>
      </c>
      <c r="AT78" s="201">
        <v>1.4388321700176276</v>
      </c>
      <c r="AU78" s="201">
        <v>1</v>
      </c>
      <c r="AV78" s="201">
        <v>1.0224300740672718</v>
      </c>
      <c r="AW78" s="201">
        <v>1.0453695014675706</v>
      </c>
      <c r="AX78" s="201">
        <v>1.0688299880638492</v>
      </c>
      <c r="AY78" s="201">
        <v>1.0928235118062264</v>
      </c>
      <c r="AZ78" s="201">
        <v>1.1092158644833194</v>
      </c>
      <c r="BA78" s="201">
        <v>1.1258541024505693</v>
      </c>
      <c r="BB78" s="201">
        <v>1.1427419139873276</v>
      </c>
      <c r="BC78" s="201">
        <v>1.1598830426971378</v>
      </c>
      <c r="BD78" s="201">
        <v>1.1772812883375945</v>
      </c>
      <c r="BE78" s="201">
        <v>1.1949405076626585</v>
      </c>
      <c r="BF78" s="201">
        <v>1.2128646152775979</v>
      </c>
      <c r="BG78" s="201">
        <v>1.2310575845067617</v>
      </c>
      <c r="BH78" s="201">
        <v>1.2495234482743631</v>
      </c>
      <c r="BI78" s="201">
        <v>1.2682662999984784</v>
      </c>
      <c r="BJ78" s="201">
        <v>1.2872902944984554</v>
      </c>
      <c r="BK78" s="201">
        <v>1.3065996489159322</v>
      </c>
      <c r="BL78" s="201">
        <v>1</v>
      </c>
      <c r="BM78" s="201">
        <v>1.0075087154733169</v>
      </c>
      <c r="BN78" s="201">
        <v>1.0150174309466338</v>
      </c>
      <c r="BO78" s="201">
        <v>1.0225261464199509</v>
      </c>
      <c r="BP78" s="201">
        <v>1.0300348618932678</v>
      </c>
      <c r="BQ78" s="201">
        <v>1.0375435773665846</v>
      </c>
      <c r="BR78" s="201">
        <v>1.0450522928399046</v>
      </c>
      <c r="BS78" s="201">
        <v>1.0458970233306526</v>
      </c>
      <c r="BT78" s="201">
        <v>1.0467417538213979</v>
      </c>
      <c r="BU78" s="201">
        <v>1.0475864843121492</v>
      </c>
      <c r="BV78" s="201">
        <v>1.0484312148028971</v>
      </c>
      <c r="BW78" s="201">
        <v>1.0492759452936424</v>
      </c>
      <c r="BX78" s="201">
        <v>1.0501206757843937</v>
      </c>
      <c r="BY78" s="201">
        <v>1.0509654062751417</v>
      </c>
      <c r="BZ78" s="201">
        <v>1.0518101367658899</v>
      </c>
      <c r="CA78" s="201">
        <v>1.0526548672566383</v>
      </c>
      <c r="CB78" s="201">
        <v>1.0534995977473862</v>
      </c>
    </row>
    <row r="79" spans="1:80" x14ac:dyDescent="0.35">
      <c r="A79" t="s">
        <v>743</v>
      </c>
      <c r="B79" t="s">
        <v>851</v>
      </c>
      <c r="C79" s="206" t="s">
        <v>839</v>
      </c>
      <c r="D79" t="s">
        <v>742</v>
      </c>
      <c r="E79" s="130">
        <v>731.58451363995073</v>
      </c>
      <c r="F79" s="130">
        <f>NYSERDA_SupplyCurve_Raw[[#This Row],[Available Capacity (MWac)]]*NYSERDA_SupplyCurve_Raw[[#This Row],[2024 Weighted Avg Resource CapEx ($/kWac)]]</f>
        <v>1544581.8483775873</v>
      </c>
      <c r="G79" s="130">
        <f>NYSERDA_SupplyCurve_Raw[[#This Row],[Available Capacity (MWac)]]*NYSERDA_SupplyCurve_Raw[[#This Row],[2024 Weighted Avg OpEx ($/kWac-year)]]</f>
        <v>20497.258217677023</v>
      </c>
      <c r="H79" s="130">
        <v>2111.2828655880394</v>
      </c>
      <c r="I79" s="130">
        <v>124.47070087069933</v>
      </c>
      <c r="J79" s="130">
        <v>28.017621799693735</v>
      </c>
      <c r="K79" s="130">
        <f>NYSERDA_SupplyCurve_Raw[[#This Row],[2024 Weighted Avg Capacity Factor]]*NYSERDA_SupplyCurve_Raw[[#This Row],[Available Capacity (MWac)]]</f>
        <v>152.16957883710975</v>
      </c>
      <c r="L79" s="205">
        <v>0.20799999999999999</v>
      </c>
      <c r="M79" s="201">
        <v>1</v>
      </c>
      <c r="N79" s="201">
        <v>0.98205557700657919</v>
      </c>
      <c r="O79" s="201">
        <v>0.9750864368776675</v>
      </c>
      <c r="P79" s="201">
        <v>0.97106869788234951</v>
      </c>
      <c r="Q79" s="201">
        <v>0.96272883825255906</v>
      </c>
      <c r="R79" s="201">
        <v>0.96698974982375108</v>
      </c>
      <c r="S79" s="201">
        <v>0.97267407052031774</v>
      </c>
      <c r="T79" s="201">
        <v>0.97869557679238728</v>
      </c>
      <c r="U79" s="201">
        <v>0.98505703847148307</v>
      </c>
      <c r="V79" s="201">
        <v>0.99541170168847659</v>
      </c>
      <c r="W79" s="201">
        <v>1.0060348317132135</v>
      </c>
      <c r="X79" s="201">
        <v>1.0169311841464155</v>
      </c>
      <c r="Y79" s="201">
        <v>1.0281056158381718</v>
      </c>
      <c r="Z79" s="201">
        <v>1.0395630868515546</v>
      </c>
      <c r="AA79" s="201">
        <v>1.0513086624661188</v>
      </c>
      <c r="AB79" s="201">
        <v>1.0633475152220786</v>
      </c>
      <c r="AC79" s="201">
        <v>1.0756849270059703</v>
      </c>
      <c r="AD79" s="201">
        <v>1</v>
      </c>
      <c r="AE79" s="201">
        <v>1.0229999999999999</v>
      </c>
      <c r="AF79" s="201">
        <v>1.0465289999999998</v>
      </c>
      <c r="AG79" s="201">
        <v>1.0705991669999997</v>
      </c>
      <c r="AH79" s="201">
        <v>1.0952229478409996</v>
      </c>
      <c r="AI79" s="201">
        <v>1.1204130756413426</v>
      </c>
      <c r="AJ79" s="201">
        <v>1.1461825763810931</v>
      </c>
      <c r="AK79" s="201">
        <v>1.172544775637858</v>
      </c>
      <c r="AL79" s="201">
        <v>1.1995133054775287</v>
      </c>
      <c r="AM79" s="201">
        <v>1.2271021115035117</v>
      </c>
      <c r="AN79" s="201">
        <v>1.2553254600680925</v>
      </c>
      <c r="AO79" s="201">
        <v>1.2841979456496586</v>
      </c>
      <c r="AP79" s="201">
        <v>1.3137344983996007</v>
      </c>
      <c r="AQ79" s="201">
        <v>1.3439503918627913</v>
      </c>
      <c r="AR79" s="201">
        <v>1.374861250875635</v>
      </c>
      <c r="AS79" s="201">
        <v>1.4064830596457747</v>
      </c>
      <c r="AT79" s="201">
        <v>1.4388321700176274</v>
      </c>
      <c r="AU79" s="201">
        <v>1</v>
      </c>
      <c r="AV79" s="201">
        <v>1.0224300740672718</v>
      </c>
      <c r="AW79" s="201">
        <v>1.0453695014675706</v>
      </c>
      <c r="AX79" s="201">
        <v>1.0688299880638492</v>
      </c>
      <c r="AY79" s="201">
        <v>1.0928235118062264</v>
      </c>
      <c r="AZ79" s="201">
        <v>1.1092158644833194</v>
      </c>
      <c r="BA79" s="201">
        <v>1.1258541024505693</v>
      </c>
      <c r="BB79" s="201">
        <v>1.1427419139873276</v>
      </c>
      <c r="BC79" s="201">
        <v>1.1598830426971378</v>
      </c>
      <c r="BD79" s="201">
        <v>1.1772812883375945</v>
      </c>
      <c r="BE79" s="201">
        <v>1.1949405076626585</v>
      </c>
      <c r="BF79" s="201">
        <v>1.2128646152775981</v>
      </c>
      <c r="BG79" s="201">
        <v>1.2310575845067619</v>
      </c>
      <c r="BH79" s="201">
        <v>1.2495234482743629</v>
      </c>
      <c r="BI79" s="201">
        <v>1.2682662999984784</v>
      </c>
      <c r="BJ79" s="201">
        <v>1.2872902944984557</v>
      </c>
      <c r="BK79" s="201">
        <v>1.3065996489159322</v>
      </c>
      <c r="BL79" s="201">
        <v>1</v>
      </c>
      <c r="BM79" s="201">
        <v>1.0075087154733169</v>
      </c>
      <c r="BN79" s="201">
        <v>1.0150174309466338</v>
      </c>
      <c r="BO79" s="201">
        <v>1.0225261464199509</v>
      </c>
      <c r="BP79" s="201">
        <v>1.0300348618932678</v>
      </c>
      <c r="BQ79" s="201">
        <v>1.0375435773665846</v>
      </c>
      <c r="BR79" s="201">
        <v>1.0450522928399046</v>
      </c>
      <c r="BS79" s="201">
        <v>1.0458970233306526</v>
      </c>
      <c r="BT79" s="201">
        <v>1.0467417538213979</v>
      </c>
      <c r="BU79" s="201">
        <v>1.0475864843121492</v>
      </c>
      <c r="BV79" s="201">
        <v>1.0484312148028971</v>
      </c>
      <c r="BW79" s="201">
        <v>1.0492759452936424</v>
      </c>
      <c r="BX79" s="201">
        <v>1.0501206757843937</v>
      </c>
      <c r="BY79" s="201">
        <v>1.0509654062751417</v>
      </c>
      <c r="BZ79" s="201">
        <v>1.0518101367658899</v>
      </c>
      <c r="CA79" s="201">
        <v>1.0526548672566383</v>
      </c>
      <c r="CB79" s="201">
        <v>1.0534995977473862</v>
      </c>
    </row>
    <row r="80" spans="1:80" x14ac:dyDescent="0.35">
      <c r="A80" t="s">
        <v>743</v>
      </c>
      <c r="B80" t="s">
        <v>852</v>
      </c>
      <c r="C80" s="206" t="s">
        <v>843</v>
      </c>
      <c r="D80" t="s">
        <v>736</v>
      </c>
      <c r="E80" s="130">
        <v>87.428611442504206</v>
      </c>
      <c r="F80" s="130">
        <f>NYSERDA_SupplyCurve_Raw[[#This Row],[Available Capacity (MWac)]]*NYSERDA_SupplyCurve_Raw[[#This Row],[2024 Weighted Avg Resource CapEx ($/kWac)]]</f>
        <v>165707.57965365553</v>
      </c>
      <c r="G80" s="130">
        <f>NYSERDA_SupplyCurve_Raw[[#This Row],[Available Capacity (MWac)]]*NYSERDA_SupplyCurve_Raw[[#This Row],[2024 Weighted Avg OpEx ($/kWac-year)]]</f>
        <v>2415.1607096713969</v>
      </c>
      <c r="H80" s="130">
        <v>1895.3472658390558</v>
      </c>
      <c r="I80" s="130">
        <v>116.01236931826207</v>
      </c>
      <c r="J80" s="130">
        <v>27.624374559118809</v>
      </c>
      <c r="K80" s="130">
        <f>NYSERDA_SupplyCurve_Raw[[#This Row],[2024 Weighted Avg Capacity Factor]]*NYSERDA_SupplyCurve_Raw[[#This Row],[Available Capacity (MWac)]]</f>
        <v>17.389550815914085</v>
      </c>
      <c r="L80" s="205">
        <v>0.19889999999999997</v>
      </c>
      <c r="M80" s="201">
        <v>1</v>
      </c>
      <c r="N80" s="201">
        <v>0.98205557700657886</v>
      </c>
      <c r="O80" s="201">
        <v>0.97508643687766727</v>
      </c>
      <c r="P80" s="201">
        <v>0.97106869788234917</v>
      </c>
      <c r="Q80" s="201">
        <v>0.96272883825255862</v>
      </c>
      <c r="R80" s="201">
        <v>0.96698974982375085</v>
      </c>
      <c r="S80" s="201">
        <v>0.9726740705203174</v>
      </c>
      <c r="T80" s="201">
        <v>0.97869557679238683</v>
      </c>
      <c r="U80" s="201">
        <v>0.98505703847148285</v>
      </c>
      <c r="V80" s="201">
        <v>0.99541170168847593</v>
      </c>
      <c r="W80" s="201">
        <v>1.0060348317132131</v>
      </c>
      <c r="X80" s="201">
        <v>1.016931184146415</v>
      </c>
      <c r="Y80" s="201">
        <v>1.0281056158381716</v>
      </c>
      <c r="Z80" s="201">
        <v>1.0395630868515544</v>
      </c>
      <c r="AA80" s="201">
        <v>1.0513086624661185</v>
      </c>
      <c r="AB80" s="201">
        <v>1.0633475152220779</v>
      </c>
      <c r="AC80" s="201">
        <v>1.0756849270059701</v>
      </c>
      <c r="AD80" s="201">
        <v>1</v>
      </c>
      <c r="AE80" s="201">
        <v>1.0229999999999999</v>
      </c>
      <c r="AF80" s="201">
        <v>1.046529</v>
      </c>
      <c r="AG80" s="201">
        <v>1.0705991669999997</v>
      </c>
      <c r="AH80" s="201">
        <v>1.0952229478409996</v>
      </c>
      <c r="AI80" s="201">
        <v>1.1204130756413426</v>
      </c>
      <c r="AJ80" s="201">
        <v>1.1461825763810931</v>
      </c>
      <c r="AK80" s="201">
        <v>1.1725447756378582</v>
      </c>
      <c r="AL80" s="201">
        <v>1.1995133054775289</v>
      </c>
      <c r="AM80" s="201">
        <v>1.2271021115035119</v>
      </c>
      <c r="AN80" s="201">
        <v>1.2553254600680925</v>
      </c>
      <c r="AO80" s="201">
        <v>1.2841979456496586</v>
      </c>
      <c r="AP80" s="201">
        <v>1.3137344983996007</v>
      </c>
      <c r="AQ80" s="201">
        <v>1.3439503918627913</v>
      </c>
      <c r="AR80" s="201">
        <v>1.3748612508756355</v>
      </c>
      <c r="AS80" s="201">
        <v>1.4064830596457747</v>
      </c>
      <c r="AT80" s="201">
        <v>1.4388321700176274</v>
      </c>
      <c r="AU80" s="201">
        <v>1</v>
      </c>
      <c r="AV80" s="201">
        <v>1.0224300740672716</v>
      </c>
      <c r="AW80" s="201">
        <v>1.0453695014675704</v>
      </c>
      <c r="AX80" s="201">
        <v>1.068829988063849</v>
      </c>
      <c r="AY80" s="201">
        <v>1.0928235118062262</v>
      </c>
      <c r="AZ80" s="201">
        <v>1.1092158644833194</v>
      </c>
      <c r="BA80" s="201">
        <v>1.1258541024505693</v>
      </c>
      <c r="BB80" s="201">
        <v>1.1427419139873274</v>
      </c>
      <c r="BC80" s="201">
        <v>1.1598830426971376</v>
      </c>
      <c r="BD80" s="201">
        <v>1.1772812883375945</v>
      </c>
      <c r="BE80" s="201">
        <v>1.1949405076626582</v>
      </c>
      <c r="BF80" s="201">
        <v>1.2128646152775981</v>
      </c>
      <c r="BG80" s="201">
        <v>1.2310575845067617</v>
      </c>
      <c r="BH80" s="201">
        <v>1.2495234482743631</v>
      </c>
      <c r="BI80" s="201">
        <v>1.2682662999984782</v>
      </c>
      <c r="BJ80" s="201">
        <v>1.2872902944984554</v>
      </c>
      <c r="BK80" s="201">
        <v>1.3065996489159319</v>
      </c>
      <c r="BL80" s="201">
        <v>1</v>
      </c>
      <c r="BM80" s="201">
        <v>1.0075087154733169</v>
      </c>
      <c r="BN80" s="201">
        <v>1.0150174309466338</v>
      </c>
      <c r="BO80" s="201">
        <v>1.0225261464199509</v>
      </c>
      <c r="BP80" s="201">
        <v>1.0300348618932678</v>
      </c>
      <c r="BQ80" s="201">
        <v>1.0375435773665846</v>
      </c>
      <c r="BR80" s="201">
        <v>1.0450522928399046</v>
      </c>
      <c r="BS80" s="201">
        <v>1.0458970233306526</v>
      </c>
      <c r="BT80" s="201">
        <v>1.0467417538213979</v>
      </c>
      <c r="BU80" s="201">
        <v>1.0475864843121492</v>
      </c>
      <c r="BV80" s="201">
        <v>1.0484312148028971</v>
      </c>
      <c r="BW80" s="201">
        <v>1.0492759452936424</v>
      </c>
      <c r="BX80" s="201">
        <v>1.0501206757843937</v>
      </c>
      <c r="BY80" s="201">
        <v>1.0509654062751417</v>
      </c>
      <c r="BZ80" s="201">
        <v>1.0518101367658899</v>
      </c>
      <c r="CA80" s="201">
        <v>1.0526548672566383</v>
      </c>
      <c r="CB80" s="201">
        <v>1.0534995977473862</v>
      </c>
    </row>
    <row r="81" spans="1:80" x14ac:dyDescent="0.35">
      <c r="A81" t="s">
        <v>743</v>
      </c>
      <c r="B81" t="s">
        <v>852</v>
      </c>
      <c r="C81" s="206" t="s">
        <v>843</v>
      </c>
      <c r="D81" t="s">
        <v>742</v>
      </c>
      <c r="E81" s="130">
        <v>382.18448235972568</v>
      </c>
      <c r="F81" s="130">
        <f>NYSERDA_SupplyCurve_Raw[[#This Row],[Available Capacity (MWac)]]*NYSERDA_SupplyCurve_Raw[[#This Row],[2024 Weighted Avg Resource CapEx ($/kWac)]]</f>
        <v>807226.71420138481</v>
      </c>
      <c r="G81" s="130">
        <f>NYSERDA_SupplyCurve_Raw[[#This Row],[Available Capacity (MWac)]]*NYSERDA_SupplyCurve_Raw[[#This Row],[2024 Weighted Avg OpEx ($/kWac-year)]]</f>
        <v>10557.607291387998</v>
      </c>
      <c r="H81" s="130">
        <v>2112.1389053195367</v>
      </c>
      <c r="I81" s="130">
        <v>196.65357600800348</v>
      </c>
      <c r="J81" s="130">
        <v>27.624374559118809</v>
      </c>
      <c r="K81" s="130">
        <f>NYSERDA_SupplyCurve_Raw[[#This Row],[2024 Weighted Avg Capacity Factor]]*NYSERDA_SupplyCurve_Raw[[#This Row],[Available Capacity (MWac)]]</f>
        <v>76.016493541349433</v>
      </c>
      <c r="L81" s="205">
        <v>0.19889999999999999</v>
      </c>
      <c r="M81" s="201">
        <v>1</v>
      </c>
      <c r="N81" s="201">
        <v>0.98205557700657919</v>
      </c>
      <c r="O81" s="201">
        <v>0.97508643687766727</v>
      </c>
      <c r="P81" s="201">
        <v>0.97106869788234962</v>
      </c>
      <c r="Q81" s="201">
        <v>0.96272883825255906</v>
      </c>
      <c r="R81" s="201">
        <v>0.9669897498237513</v>
      </c>
      <c r="S81" s="201">
        <v>0.97267407052031785</v>
      </c>
      <c r="T81" s="201">
        <v>0.9786955767923875</v>
      </c>
      <c r="U81" s="201">
        <v>0.98505703847148307</v>
      </c>
      <c r="V81" s="201">
        <v>0.99541170168847637</v>
      </c>
      <c r="W81" s="201">
        <v>1.0060348317132135</v>
      </c>
      <c r="X81" s="201">
        <v>1.0169311841464153</v>
      </c>
      <c r="Y81" s="201">
        <v>1.0281056158381718</v>
      </c>
      <c r="Z81" s="201">
        <v>1.0395630868515549</v>
      </c>
      <c r="AA81" s="201">
        <v>1.0513086624661188</v>
      </c>
      <c r="AB81" s="201">
        <v>1.0633475152220786</v>
      </c>
      <c r="AC81" s="201">
        <v>1.0756849270059703</v>
      </c>
      <c r="AD81" s="201">
        <v>1</v>
      </c>
      <c r="AE81" s="201">
        <v>1.0229999999999999</v>
      </c>
      <c r="AF81" s="201">
        <v>1.0465289999999996</v>
      </c>
      <c r="AG81" s="201">
        <v>1.0705991669999995</v>
      </c>
      <c r="AH81" s="201">
        <v>1.0952229478409994</v>
      </c>
      <c r="AI81" s="201">
        <v>1.1204130756413426</v>
      </c>
      <c r="AJ81" s="201">
        <v>1.1461825763810931</v>
      </c>
      <c r="AK81" s="201">
        <v>1.172544775637858</v>
      </c>
      <c r="AL81" s="201">
        <v>1.1995133054775289</v>
      </c>
      <c r="AM81" s="201">
        <v>1.2271021115035119</v>
      </c>
      <c r="AN81" s="201">
        <v>1.2553254600680923</v>
      </c>
      <c r="AO81" s="201">
        <v>1.2841979456496584</v>
      </c>
      <c r="AP81" s="201">
        <v>1.3137344983996007</v>
      </c>
      <c r="AQ81" s="201">
        <v>1.3439503918627915</v>
      </c>
      <c r="AR81" s="201">
        <v>1.374861250875635</v>
      </c>
      <c r="AS81" s="201">
        <v>1.4064830596457745</v>
      </c>
      <c r="AT81" s="201">
        <v>1.4388321700176274</v>
      </c>
      <c r="AU81" s="201">
        <v>1</v>
      </c>
      <c r="AV81" s="201">
        <v>1.0224300740672716</v>
      </c>
      <c r="AW81" s="201">
        <v>1.0453695014675704</v>
      </c>
      <c r="AX81" s="201">
        <v>1.0688299880638488</v>
      </c>
      <c r="AY81" s="201">
        <v>1.0928235118062262</v>
      </c>
      <c r="AZ81" s="201">
        <v>1.1092158644833192</v>
      </c>
      <c r="BA81" s="201">
        <v>1.125854102450569</v>
      </c>
      <c r="BB81" s="201">
        <v>1.1427419139873274</v>
      </c>
      <c r="BC81" s="201">
        <v>1.1598830426971376</v>
      </c>
      <c r="BD81" s="201">
        <v>1.1772812883375943</v>
      </c>
      <c r="BE81" s="201">
        <v>1.1949405076626582</v>
      </c>
      <c r="BF81" s="201">
        <v>1.2128646152775981</v>
      </c>
      <c r="BG81" s="201">
        <v>1.2310575845067617</v>
      </c>
      <c r="BH81" s="201">
        <v>1.2495234482743631</v>
      </c>
      <c r="BI81" s="201">
        <v>1.2682662999984782</v>
      </c>
      <c r="BJ81" s="201">
        <v>1.2872902944984554</v>
      </c>
      <c r="BK81" s="201">
        <v>1.3065996489159319</v>
      </c>
      <c r="BL81" s="201">
        <v>1</v>
      </c>
      <c r="BM81" s="201">
        <v>1.0075087154733169</v>
      </c>
      <c r="BN81" s="201">
        <v>1.0150174309466338</v>
      </c>
      <c r="BO81" s="201">
        <v>1.0225261464199509</v>
      </c>
      <c r="BP81" s="201">
        <v>1.0300348618932678</v>
      </c>
      <c r="BQ81" s="201">
        <v>1.0375435773665846</v>
      </c>
      <c r="BR81" s="201">
        <v>1.0450522928399046</v>
      </c>
      <c r="BS81" s="201">
        <v>1.0458970233306526</v>
      </c>
      <c r="BT81" s="201">
        <v>1.0467417538213979</v>
      </c>
      <c r="BU81" s="201">
        <v>1.0475864843121492</v>
      </c>
      <c r="BV81" s="201">
        <v>1.0484312148028971</v>
      </c>
      <c r="BW81" s="201">
        <v>1.0492759452936424</v>
      </c>
      <c r="BX81" s="201">
        <v>1.0501206757843937</v>
      </c>
      <c r="BY81" s="201">
        <v>1.0509654062751417</v>
      </c>
      <c r="BZ81" s="201">
        <v>1.0518101367658899</v>
      </c>
      <c r="CA81" s="201">
        <v>1.0526548672566383</v>
      </c>
      <c r="CB81" s="201">
        <v>1.0534995977473862</v>
      </c>
    </row>
    <row r="82" spans="1:80" x14ac:dyDescent="0.35">
      <c r="A82" t="s">
        <v>743</v>
      </c>
      <c r="B82" t="s">
        <v>853</v>
      </c>
      <c r="C82" s="206" t="s">
        <v>854</v>
      </c>
      <c r="D82" t="s">
        <v>736</v>
      </c>
      <c r="E82" s="130">
        <v>149.96779874344915</v>
      </c>
      <c r="F82" s="130">
        <f>NYSERDA_SupplyCurve_Raw[[#This Row],[Available Capacity (MWac)]]*NYSERDA_SupplyCurve_Raw[[#This Row],[2024 Weighted Avg Resource CapEx ($/kWac)]]</f>
        <v>316385.12743577256</v>
      </c>
      <c r="G82" s="130">
        <f>NYSERDA_SupplyCurve_Raw[[#This Row],[Available Capacity (MWac)]]*NYSERDA_SupplyCurve_Raw[[#This Row],[2024 Weighted Avg OpEx ($/kWac-year)]]</f>
        <v>4034.9613989949953</v>
      </c>
      <c r="H82" s="130">
        <v>2109.6870800711995</v>
      </c>
      <c r="I82" s="130">
        <v>87.599737500144798</v>
      </c>
      <c r="J82" s="130">
        <v>26.905518603347836</v>
      </c>
      <c r="K82" s="130">
        <f>NYSERDA_SupplyCurve_Raw[[#This Row],[2024 Weighted Avg Capacity Factor]]*NYSERDA_SupplyCurve_Raw[[#This Row],[Available Capacity (MWac)]]</f>
        <v>30.413469585171487</v>
      </c>
      <c r="L82" s="205">
        <v>0.20280000000000001</v>
      </c>
      <c r="M82" s="201">
        <v>1</v>
      </c>
      <c r="N82" s="201">
        <v>0.98205557700657919</v>
      </c>
      <c r="O82" s="201">
        <v>0.97508643687766761</v>
      </c>
      <c r="P82" s="201">
        <v>0.97106869788234951</v>
      </c>
      <c r="Q82" s="201">
        <v>0.96272883825255917</v>
      </c>
      <c r="R82" s="201">
        <v>0.96698974982375108</v>
      </c>
      <c r="S82" s="201">
        <v>0.97267407052031796</v>
      </c>
      <c r="T82" s="201">
        <v>0.97869557679238717</v>
      </c>
      <c r="U82" s="201">
        <v>0.98505703847148285</v>
      </c>
      <c r="V82" s="201">
        <v>0.99541170168847648</v>
      </c>
      <c r="W82" s="201">
        <v>1.0060348317132135</v>
      </c>
      <c r="X82" s="201">
        <v>1.0169311841464153</v>
      </c>
      <c r="Y82" s="201">
        <v>1.0281056158381723</v>
      </c>
      <c r="Z82" s="201">
        <v>1.0395630868515546</v>
      </c>
      <c r="AA82" s="201">
        <v>1.0513086624661185</v>
      </c>
      <c r="AB82" s="201">
        <v>1.0633475152220786</v>
      </c>
      <c r="AC82" s="201">
        <v>1.0756849270059705</v>
      </c>
      <c r="AD82" s="201">
        <v>1</v>
      </c>
      <c r="AE82" s="201">
        <v>1.0229999999999999</v>
      </c>
      <c r="AF82" s="201">
        <v>1.0465289999999998</v>
      </c>
      <c r="AG82" s="201">
        <v>1.0705991669999995</v>
      </c>
      <c r="AH82" s="201">
        <v>1.0952229478409996</v>
      </c>
      <c r="AI82" s="201">
        <v>1.1204130756413426</v>
      </c>
      <c r="AJ82" s="201">
        <v>1.1461825763810931</v>
      </c>
      <c r="AK82" s="201">
        <v>1.1725447756378582</v>
      </c>
      <c r="AL82" s="201">
        <v>1.1995133054775289</v>
      </c>
      <c r="AM82" s="201">
        <v>1.2271021115035117</v>
      </c>
      <c r="AN82" s="201">
        <v>1.2553254600680925</v>
      </c>
      <c r="AO82" s="201">
        <v>1.2841979456496586</v>
      </c>
      <c r="AP82" s="201">
        <v>1.3137344983996004</v>
      </c>
      <c r="AQ82" s="201">
        <v>1.3439503918627915</v>
      </c>
      <c r="AR82" s="201">
        <v>1.3748612508756353</v>
      </c>
      <c r="AS82" s="201">
        <v>1.4064830596457749</v>
      </c>
      <c r="AT82" s="201">
        <v>1.4388321700176274</v>
      </c>
      <c r="AU82" s="201">
        <v>1</v>
      </c>
      <c r="AV82" s="201">
        <v>1.0224300740672716</v>
      </c>
      <c r="AW82" s="201">
        <v>1.0453695014675704</v>
      </c>
      <c r="AX82" s="201">
        <v>1.0688299880638488</v>
      </c>
      <c r="AY82" s="201">
        <v>1.0928235118062259</v>
      </c>
      <c r="AZ82" s="201">
        <v>1.1092158644833192</v>
      </c>
      <c r="BA82" s="201">
        <v>1.125854102450569</v>
      </c>
      <c r="BB82" s="201">
        <v>1.1427419139873276</v>
      </c>
      <c r="BC82" s="201">
        <v>1.1598830426971376</v>
      </c>
      <c r="BD82" s="201">
        <v>1.1772812883375943</v>
      </c>
      <c r="BE82" s="201">
        <v>1.194940507662658</v>
      </c>
      <c r="BF82" s="201">
        <v>1.2128646152775977</v>
      </c>
      <c r="BG82" s="201">
        <v>1.2310575845067617</v>
      </c>
      <c r="BH82" s="201">
        <v>1.2495234482743629</v>
      </c>
      <c r="BI82" s="201">
        <v>1.268266299998478</v>
      </c>
      <c r="BJ82" s="201">
        <v>1.287290294498455</v>
      </c>
      <c r="BK82" s="201">
        <v>1.3065996489159319</v>
      </c>
      <c r="BL82" s="201">
        <v>1</v>
      </c>
      <c r="BM82" s="201">
        <v>1.0075087154733169</v>
      </c>
      <c r="BN82" s="201">
        <v>1.0150174309466338</v>
      </c>
      <c r="BO82" s="201">
        <v>1.0225261464199509</v>
      </c>
      <c r="BP82" s="201">
        <v>1.0300348618932678</v>
      </c>
      <c r="BQ82" s="201">
        <v>1.0375435773665846</v>
      </c>
      <c r="BR82" s="201">
        <v>1.0450522928399046</v>
      </c>
      <c r="BS82" s="201">
        <v>1.0458970233306526</v>
      </c>
      <c r="BT82" s="201">
        <v>1.0467417538213979</v>
      </c>
      <c r="BU82" s="201">
        <v>1.0475864843121492</v>
      </c>
      <c r="BV82" s="201">
        <v>1.0484312148028971</v>
      </c>
      <c r="BW82" s="201">
        <v>1.0492759452936424</v>
      </c>
      <c r="BX82" s="201">
        <v>1.0501206757843937</v>
      </c>
      <c r="BY82" s="201">
        <v>1.0509654062751417</v>
      </c>
      <c r="BZ82" s="201">
        <v>1.0518101367658899</v>
      </c>
      <c r="CA82" s="201">
        <v>1.0526548672566383</v>
      </c>
      <c r="CB82" s="201">
        <v>1.0534995977473862</v>
      </c>
    </row>
    <row r="83" spans="1:80" x14ac:dyDescent="0.35">
      <c r="A83" t="s">
        <v>743</v>
      </c>
      <c r="B83" t="s">
        <v>855</v>
      </c>
      <c r="C83" s="206" t="s">
        <v>856</v>
      </c>
      <c r="D83" t="s">
        <v>736</v>
      </c>
      <c r="E83" s="130">
        <v>460.62484055765765</v>
      </c>
      <c r="F83" s="130">
        <f>NYSERDA_SupplyCurve_Raw[[#This Row],[Available Capacity (MWac)]]*NYSERDA_SupplyCurve_Raw[[#This Row],[2024 Weighted Avg Resource CapEx ($/kWac)]]</f>
        <v>899236.89180874871</v>
      </c>
      <c r="G83" s="130">
        <f>NYSERDA_SupplyCurve_Raw[[#This Row],[Available Capacity (MWac)]]*NYSERDA_SupplyCurve_Raw[[#This Row],[2024 Weighted Avg OpEx ($/kWac-year)]]</f>
        <v>13122.979911276161</v>
      </c>
      <c r="H83" s="130">
        <v>1952.211024312287</v>
      </c>
      <c r="I83" s="130">
        <v>161.6691095426186</v>
      </c>
      <c r="J83" s="130">
        <v>28.489518488383656</v>
      </c>
      <c r="K83" s="130">
        <f>NYSERDA_SupplyCurve_Raw[[#This Row],[2024 Weighted Avg Capacity Factor]]*NYSERDA_SupplyCurve_Raw[[#This Row],[Available Capacity (MWac)]]</f>
        <v>98.205216006892613</v>
      </c>
      <c r="L83" s="205">
        <v>0.2132</v>
      </c>
      <c r="M83" s="201">
        <v>1</v>
      </c>
      <c r="N83" s="201">
        <v>0.98205557700657897</v>
      </c>
      <c r="O83" s="201">
        <v>0.97508643687766738</v>
      </c>
      <c r="P83" s="201">
        <v>0.9710686978823494</v>
      </c>
      <c r="Q83" s="201">
        <v>0.96272883825255873</v>
      </c>
      <c r="R83" s="201">
        <v>0.96698974982375097</v>
      </c>
      <c r="S83" s="201">
        <v>0.97267407052031774</v>
      </c>
      <c r="T83" s="201">
        <v>0.97869557679238695</v>
      </c>
      <c r="U83" s="201">
        <v>0.98505703847148285</v>
      </c>
      <c r="V83" s="201">
        <v>0.99541170168847615</v>
      </c>
      <c r="W83" s="201">
        <v>1.0060348317132133</v>
      </c>
      <c r="X83" s="201">
        <v>1.0169311841464153</v>
      </c>
      <c r="Y83" s="201">
        <v>1.0281056158381716</v>
      </c>
      <c r="Z83" s="201">
        <v>1.0395630868515546</v>
      </c>
      <c r="AA83" s="201">
        <v>1.0513086624661185</v>
      </c>
      <c r="AB83" s="201">
        <v>1.0633475152220782</v>
      </c>
      <c r="AC83" s="201">
        <v>1.0756849270059705</v>
      </c>
      <c r="AD83" s="201">
        <v>1</v>
      </c>
      <c r="AE83" s="201">
        <v>1.0229999999999999</v>
      </c>
      <c r="AF83" s="201">
        <v>1.0465289999999998</v>
      </c>
      <c r="AG83" s="201">
        <v>1.0705991669999999</v>
      </c>
      <c r="AH83" s="201">
        <v>1.0952229478409996</v>
      </c>
      <c r="AI83" s="201">
        <v>1.1204130756413424</v>
      </c>
      <c r="AJ83" s="201">
        <v>1.1461825763810931</v>
      </c>
      <c r="AK83" s="201">
        <v>1.1725447756378582</v>
      </c>
      <c r="AL83" s="201">
        <v>1.1995133054775289</v>
      </c>
      <c r="AM83" s="201">
        <v>1.2271021115035119</v>
      </c>
      <c r="AN83" s="201">
        <v>1.2553254600680925</v>
      </c>
      <c r="AO83" s="201">
        <v>1.2841979456496586</v>
      </c>
      <c r="AP83" s="201">
        <v>1.3137344983996007</v>
      </c>
      <c r="AQ83" s="201">
        <v>1.3439503918627915</v>
      </c>
      <c r="AR83" s="201">
        <v>1.3748612508756355</v>
      </c>
      <c r="AS83" s="201">
        <v>1.4064830596457749</v>
      </c>
      <c r="AT83" s="201">
        <v>1.4388321700176274</v>
      </c>
      <c r="AU83" s="201">
        <v>1</v>
      </c>
      <c r="AV83" s="201">
        <v>1.0224300740672716</v>
      </c>
      <c r="AW83" s="201">
        <v>1.0453695014675704</v>
      </c>
      <c r="AX83" s="201">
        <v>1.068829988063849</v>
      </c>
      <c r="AY83" s="201">
        <v>1.0928235118062264</v>
      </c>
      <c r="AZ83" s="201">
        <v>1.1092158644833194</v>
      </c>
      <c r="BA83" s="201">
        <v>1.1258541024505693</v>
      </c>
      <c r="BB83" s="201">
        <v>1.1427419139873274</v>
      </c>
      <c r="BC83" s="201">
        <v>1.1598830426971378</v>
      </c>
      <c r="BD83" s="201">
        <v>1.1772812883375947</v>
      </c>
      <c r="BE83" s="201">
        <v>1.1949405076626585</v>
      </c>
      <c r="BF83" s="201">
        <v>1.2128646152775981</v>
      </c>
      <c r="BG83" s="201">
        <v>1.2310575845067617</v>
      </c>
      <c r="BH83" s="201">
        <v>1.2495234482743629</v>
      </c>
      <c r="BI83" s="201">
        <v>1.268266299998478</v>
      </c>
      <c r="BJ83" s="201">
        <v>1.2872902944984554</v>
      </c>
      <c r="BK83" s="201">
        <v>1.3065996489159322</v>
      </c>
      <c r="BL83" s="201">
        <v>1</v>
      </c>
      <c r="BM83" s="201">
        <v>1.0075087154733169</v>
      </c>
      <c r="BN83" s="201">
        <v>1.0150174309466338</v>
      </c>
      <c r="BO83" s="201">
        <v>1.0225261464199509</v>
      </c>
      <c r="BP83" s="201">
        <v>1.0300348618932678</v>
      </c>
      <c r="BQ83" s="201">
        <v>1.0375435773665846</v>
      </c>
      <c r="BR83" s="201">
        <v>1.0450522928399046</v>
      </c>
      <c r="BS83" s="201">
        <v>1.0458970233306526</v>
      </c>
      <c r="BT83" s="201">
        <v>1.0467417538213979</v>
      </c>
      <c r="BU83" s="201">
        <v>1.0475864843121492</v>
      </c>
      <c r="BV83" s="201">
        <v>1.0484312148028971</v>
      </c>
      <c r="BW83" s="201">
        <v>1.0492759452936424</v>
      </c>
      <c r="BX83" s="201">
        <v>1.0501206757843937</v>
      </c>
      <c r="BY83" s="201">
        <v>1.0509654062751417</v>
      </c>
      <c r="BZ83" s="201">
        <v>1.0518101367658899</v>
      </c>
      <c r="CA83" s="201">
        <v>1.0526548672566383</v>
      </c>
      <c r="CB83" s="201">
        <v>1.0534995977473862</v>
      </c>
    </row>
    <row r="84" spans="1:80" x14ac:dyDescent="0.35">
      <c r="A84" t="s">
        <v>743</v>
      </c>
      <c r="B84" t="s">
        <v>855</v>
      </c>
      <c r="C84" s="206" t="s">
        <v>856</v>
      </c>
      <c r="D84" t="s">
        <v>742</v>
      </c>
      <c r="E84" s="130">
        <v>725.73060851055197</v>
      </c>
      <c r="F84" s="130">
        <f>NYSERDA_SupplyCurve_Raw[[#This Row],[Available Capacity (MWac)]]*NYSERDA_SupplyCurve_Raw[[#This Row],[2024 Weighted Avg Resource CapEx ($/kWac)]]</f>
        <v>1551733.4616031954</v>
      </c>
      <c r="G84" s="130">
        <f>NYSERDA_SupplyCurve_Raw[[#This Row],[Available Capacity (MWac)]]*NYSERDA_SupplyCurve_Raw[[#This Row],[2024 Weighted Avg OpEx ($/kWac-year)]]</f>
        <v>20675.715588747295</v>
      </c>
      <c r="H84" s="130">
        <v>2138.1673080978139</v>
      </c>
      <c r="I84" s="130">
        <v>211.25904503191657</v>
      </c>
      <c r="J84" s="130">
        <v>28.489518488383659</v>
      </c>
      <c r="K84" s="130">
        <f>NYSERDA_SupplyCurve_Raw[[#This Row],[2024 Weighted Avg Capacity Factor]]*NYSERDA_SupplyCurve_Raw[[#This Row],[Available Capacity (MWac)]]</f>
        <v>154.72576573444968</v>
      </c>
      <c r="L84" s="205">
        <v>0.2132</v>
      </c>
      <c r="M84" s="201">
        <v>1</v>
      </c>
      <c r="N84" s="201">
        <v>0.98205557700657919</v>
      </c>
      <c r="O84" s="201">
        <v>0.9750864368776675</v>
      </c>
      <c r="P84" s="201">
        <v>0.9710686978823494</v>
      </c>
      <c r="Q84" s="201">
        <v>0.96272883825255906</v>
      </c>
      <c r="R84" s="201">
        <v>0.9669897498237513</v>
      </c>
      <c r="S84" s="201">
        <v>0.97267407052031762</v>
      </c>
      <c r="T84" s="201">
        <v>0.97869557679238717</v>
      </c>
      <c r="U84" s="201">
        <v>0.98505703847148307</v>
      </c>
      <c r="V84" s="201">
        <v>0.99541170168847659</v>
      </c>
      <c r="W84" s="201">
        <v>1.0060348317132135</v>
      </c>
      <c r="X84" s="201">
        <v>1.0169311841464153</v>
      </c>
      <c r="Y84" s="201">
        <v>1.0281056158381718</v>
      </c>
      <c r="Z84" s="201">
        <v>1.0395630868515546</v>
      </c>
      <c r="AA84" s="201">
        <v>1.0513086624661188</v>
      </c>
      <c r="AB84" s="201">
        <v>1.0633475152220786</v>
      </c>
      <c r="AC84" s="201">
        <v>1.0756849270059705</v>
      </c>
      <c r="AD84" s="201">
        <v>1</v>
      </c>
      <c r="AE84" s="201">
        <v>1.0229999999999999</v>
      </c>
      <c r="AF84" s="201">
        <v>1.046529</v>
      </c>
      <c r="AG84" s="201">
        <v>1.0705991669999999</v>
      </c>
      <c r="AH84" s="201">
        <v>1.0952229478409996</v>
      </c>
      <c r="AI84" s="201">
        <v>1.1204130756413426</v>
      </c>
      <c r="AJ84" s="201">
        <v>1.1461825763810933</v>
      </c>
      <c r="AK84" s="201">
        <v>1.1725447756378586</v>
      </c>
      <c r="AL84" s="201">
        <v>1.1995133054775289</v>
      </c>
      <c r="AM84" s="201">
        <v>1.2271021115035121</v>
      </c>
      <c r="AN84" s="201">
        <v>1.2553254600680925</v>
      </c>
      <c r="AO84" s="201">
        <v>1.2841979456496588</v>
      </c>
      <c r="AP84" s="201">
        <v>1.3137344983996009</v>
      </c>
      <c r="AQ84" s="201">
        <v>1.3439503918627917</v>
      </c>
      <c r="AR84" s="201">
        <v>1.3748612508756355</v>
      </c>
      <c r="AS84" s="201">
        <v>1.4064830596457751</v>
      </c>
      <c r="AT84" s="201">
        <v>1.4388321700176276</v>
      </c>
      <c r="AU84" s="201">
        <v>1</v>
      </c>
      <c r="AV84" s="201">
        <v>1.0224300740672718</v>
      </c>
      <c r="AW84" s="201">
        <v>1.0453695014675704</v>
      </c>
      <c r="AX84" s="201">
        <v>1.0688299880638488</v>
      </c>
      <c r="AY84" s="201">
        <v>1.0928235118062262</v>
      </c>
      <c r="AZ84" s="201">
        <v>1.1092158644833194</v>
      </c>
      <c r="BA84" s="201">
        <v>1.125854102450569</v>
      </c>
      <c r="BB84" s="201">
        <v>1.1427419139873274</v>
      </c>
      <c r="BC84" s="201">
        <v>1.1598830426971376</v>
      </c>
      <c r="BD84" s="201">
        <v>1.1772812883375943</v>
      </c>
      <c r="BE84" s="201">
        <v>1.1949405076626582</v>
      </c>
      <c r="BF84" s="201">
        <v>1.2128646152775984</v>
      </c>
      <c r="BG84" s="201">
        <v>1.2310575845067617</v>
      </c>
      <c r="BH84" s="201">
        <v>1.2495234482743629</v>
      </c>
      <c r="BI84" s="201">
        <v>1.268266299998478</v>
      </c>
      <c r="BJ84" s="201">
        <v>1.2872902944984552</v>
      </c>
      <c r="BK84" s="201">
        <v>1.3065996489159319</v>
      </c>
      <c r="BL84" s="201">
        <v>1</v>
      </c>
      <c r="BM84" s="201">
        <v>1.0075087154733169</v>
      </c>
      <c r="BN84" s="201">
        <v>1.0150174309466338</v>
      </c>
      <c r="BO84" s="201">
        <v>1.0225261464199509</v>
      </c>
      <c r="BP84" s="201">
        <v>1.0300348618932678</v>
      </c>
      <c r="BQ84" s="201">
        <v>1.0375435773665846</v>
      </c>
      <c r="BR84" s="201">
        <v>1.0450522928399046</v>
      </c>
      <c r="BS84" s="201">
        <v>1.0458970233306526</v>
      </c>
      <c r="BT84" s="201">
        <v>1.0467417538213979</v>
      </c>
      <c r="BU84" s="201">
        <v>1.0475864843121492</v>
      </c>
      <c r="BV84" s="201">
        <v>1.0484312148028971</v>
      </c>
      <c r="BW84" s="201">
        <v>1.0492759452936424</v>
      </c>
      <c r="BX84" s="201">
        <v>1.0501206757843937</v>
      </c>
      <c r="BY84" s="201">
        <v>1.0509654062751417</v>
      </c>
      <c r="BZ84" s="201">
        <v>1.0518101367658899</v>
      </c>
      <c r="CA84" s="201">
        <v>1.0526548672566383</v>
      </c>
      <c r="CB84" s="201">
        <v>1.0534995977473862</v>
      </c>
    </row>
    <row r="85" spans="1:80" x14ac:dyDescent="0.35">
      <c r="A85" t="s">
        <v>743</v>
      </c>
      <c r="B85" t="s">
        <v>857</v>
      </c>
      <c r="C85" s="206" t="s">
        <v>845</v>
      </c>
      <c r="D85" t="s">
        <v>736</v>
      </c>
      <c r="E85" s="130">
        <v>1797.3086066388796</v>
      </c>
      <c r="F85" s="130">
        <f>NYSERDA_SupplyCurve_Raw[[#This Row],[Available Capacity (MWac)]]*NYSERDA_SupplyCurve_Raw[[#This Row],[2024 Weighted Avg Resource CapEx ($/kWac)]]</f>
        <v>3286889.3088379409</v>
      </c>
      <c r="G85" s="130">
        <f>NYSERDA_SupplyCurve_Raw[[#This Row],[Available Capacity (MWac)]]*NYSERDA_SupplyCurve_Raw[[#This Row],[2024 Weighted Avg OpEx ($/kWac-year)]]</f>
        <v>48515.840361484559</v>
      </c>
      <c r="H85" s="130">
        <v>1828.7840478239873</v>
      </c>
      <c r="I85" s="130">
        <v>79.987769999500514</v>
      </c>
      <c r="J85" s="130">
        <v>26.993605985236623</v>
      </c>
      <c r="K85" s="130">
        <f>NYSERDA_SupplyCurve_Raw[[#This Row],[2024 Weighted Avg Capacity Factor]]*NYSERDA_SupplyCurve_Raw[[#This Row],[Available Capacity (MWac)]]</f>
        <v>362.15768423773432</v>
      </c>
      <c r="L85" s="205">
        <v>0.20150000000000004</v>
      </c>
      <c r="M85" s="201">
        <v>1</v>
      </c>
      <c r="N85" s="201">
        <v>0.98205557700657919</v>
      </c>
      <c r="O85" s="201">
        <v>0.97508643687766727</v>
      </c>
      <c r="P85" s="201">
        <v>0.97106869788234929</v>
      </c>
      <c r="Q85" s="201">
        <v>0.96272883825255895</v>
      </c>
      <c r="R85" s="201">
        <v>0.96698974982375108</v>
      </c>
      <c r="S85" s="201">
        <v>0.97267407052031762</v>
      </c>
      <c r="T85" s="201">
        <v>0.97869557679238717</v>
      </c>
      <c r="U85" s="201">
        <v>0.98505703847148296</v>
      </c>
      <c r="V85" s="201">
        <v>0.99541170168847626</v>
      </c>
      <c r="W85" s="201">
        <v>1.0060348317132135</v>
      </c>
      <c r="X85" s="201">
        <v>1.0169311841464153</v>
      </c>
      <c r="Y85" s="201">
        <v>1.0281056158381716</v>
      </c>
      <c r="Z85" s="201">
        <v>1.0395630868515546</v>
      </c>
      <c r="AA85" s="201">
        <v>1.0513086624661188</v>
      </c>
      <c r="AB85" s="201">
        <v>1.0633475152220786</v>
      </c>
      <c r="AC85" s="201">
        <v>1.0756849270059701</v>
      </c>
      <c r="AD85" s="201">
        <v>1</v>
      </c>
      <c r="AE85" s="201">
        <v>1.0229999999999997</v>
      </c>
      <c r="AF85" s="201">
        <v>1.0465289999999996</v>
      </c>
      <c r="AG85" s="201">
        <v>1.0705991669999995</v>
      </c>
      <c r="AH85" s="201">
        <v>1.0952229478409994</v>
      </c>
      <c r="AI85" s="201">
        <v>1.1204130756413424</v>
      </c>
      <c r="AJ85" s="201">
        <v>1.1461825763810929</v>
      </c>
      <c r="AK85" s="201">
        <v>1.172544775637858</v>
      </c>
      <c r="AL85" s="201">
        <v>1.1995133054775287</v>
      </c>
      <c r="AM85" s="201">
        <v>1.2271021115035117</v>
      </c>
      <c r="AN85" s="201">
        <v>1.2553254600680923</v>
      </c>
      <c r="AO85" s="201">
        <v>1.2841979456496586</v>
      </c>
      <c r="AP85" s="201">
        <v>1.3137344983996002</v>
      </c>
      <c r="AQ85" s="201">
        <v>1.3439503918627909</v>
      </c>
      <c r="AR85" s="201">
        <v>1.374861250875635</v>
      </c>
      <c r="AS85" s="201">
        <v>1.4064830596457745</v>
      </c>
      <c r="AT85" s="201">
        <v>1.4388321700176272</v>
      </c>
      <c r="AU85" s="201">
        <v>1</v>
      </c>
      <c r="AV85" s="201">
        <v>1.0224300740672716</v>
      </c>
      <c r="AW85" s="201">
        <v>1.0453695014675704</v>
      </c>
      <c r="AX85" s="201">
        <v>1.0688299880638488</v>
      </c>
      <c r="AY85" s="201">
        <v>1.0928235118062262</v>
      </c>
      <c r="AZ85" s="201">
        <v>1.1092158644833194</v>
      </c>
      <c r="BA85" s="201">
        <v>1.1258541024505693</v>
      </c>
      <c r="BB85" s="201">
        <v>1.1427419139873276</v>
      </c>
      <c r="BC85" s="201">
        <v>1.1598830426971374</v>
      </c>
      <c r="BD85" s="201">
        <v>1.1772812883375945</v>
      </c>
      <c r="BE85" s="201">
        <v>1.1949405076626582</v>
      </c>
      <c r="BF85" s="201">
        <v>1.2128646152775981</v>
      </c>
      <c r="BG85" s="201">
        <v>1.2310575845067615</v>
      </c>
      <c r="BH85" s="201">
        <v>1.2495234482743629</v>
      </c>
      <c r="BI85" s="201">
        <v>1.2682662999984782</v>
      </c>
      <c r="BJ85" s="201">
        <v>1.2872902944984552</v>
      </c>
      <c r="BK85" s="201">
        <v>1.3065996489159317</v>
      </c>
      <c r="BL85" s="201">
        <v>1</v>
      </c>
      <c r="BM85" s="201">
        <v>1.0075087154733169</v>
      </c>
      <c r="BN85" s="201">
        <v>1.0150174309466338</v>
      </c>
      <c r="BO85" s="201">
        <v>1.0225261464199509</v>
      </c>
      <c r="BP85" s="201">
        <v>1.0300348618932678</v>
      </c>
      <c r="BQ85" s="201">
        <v>1.0375435773665846</v>
      </c>
      <c r="BR85" s="201">
        <v>1.0450522928399046</v>
      </c>
      <c r="BS85" s="201">
        <v>1.0458970233306526</v>
      </c>
      <c r="BT85" s="201">
        <v>1.0467417538213979</v>
      </c>
      <c r="BU85" s="201">
        <v>1.0475864843121492</v>
      </c>
      <c r="BV85" s="201">
        <v>1.0484312148028971</v>
      </c>
      <c r="BW85" s="201">
        <v>1.0492759452936424</v>
      </c>
      <c r="BX85" s="201">
        <v>1.0501206757843937</v>
      </c>
      <c r="BY85" s="201">
        <v>1.0509654062751417</v>
      </c>
      <c r="BZ85" s="201">
        <v>1.0518101367658899</v>
      </c>
      <c r="CA85" s="201">
        <v>1.0526548672566383</v>
      </c>
      <c r="CB85" s="201">
        <v>1.0534995977473862</v>
      </c>
    </row>
    <row r="86" spans="1:80" x14ac:dyDescent="0.35">
      <c r="A86" t="s">
        <v>743</v>
      </c>
      <c r="B86" t="s">
        <v>857</v>
      </c>
      <c r="C86" s="206" t="s">
        <v>845</v>
      </c>
      <c r="D86" t="s">
        <v>742</v>
      </c>
      <c r="E86" s="130">
        <v>1395.2010581513928</v>
      </c>
      <c r="F86" s="130">
        <f>NYSERDA_SupplyCurve_Raw[[#This Row],[Available Capacity (MWac)]]*NYSERDA_SupplyCurve_Raw[[#This Row],[2024 Weighted Avg Resource CapEx ($/kWac)]]</f>
        <v>2898754.0699148951</v>
      </c>
      <c r="G86" s="130">
        <f>NYSERDA_SupplyCurve_Raw[[#This Row],[Available Capacity (MWac)]]*NYSERDA_SupplyCurve_Raw[[#This Row],[2024 Weighted Avg OpEx ($/kWac-year)]]</f>
        <v>37661.507633923902</v>
      </c>
      <c r="H86" s="130">
        <v>2077.6604583110575</v>
      </c>
      <c r="I86" s="130">
        <v>125.26032105169202</v>
      </c>
      <c r="J86" s="130">
        <v>26.99360598523662</v>
      </c>
      <c r="K86" s="130">
        <f>NYSERDA_SupplyCurve_Raw[[#This Row],[2024 Weighted Avg Capacity Factor]]*NYSERDA_SupplyCurve_Raw[[#This Row],[Available Capacity (MWac)]]</f>
        <v>281.13301321750566</v>
      </c>
      <c r="L86" s="205">
        <v>0.20150000000000001</v>
      </c>
      <c r="M86" s="201">
        <v>1</v>
      </c>
      <c r="N86" s="201">
        <v>0.98205557700657908</v>
      </c>
      <c r="O86" s="201">
        <v>0.9750864368776675</v>
      </c>
      <c r="P86" s="201">
        <v>0.97106869788234962</v>
      </c>
      <c r="Q86" s="201">
        <v>0.96272883825255895</v>
      </c>
      <c r="R86" s="201">
        <v>0.9669897498237513</v>
      </c>
      <c r="S86" s="201">
        <v>0.97267407052031785</v>
      </c>
      <c r="T86" s="201">
        <v>0.97869557679238728</v>
      </c>
      <c r="U86" s="201">
        <v>0.98505703847148307</v>
      </c>
      <c r="V86" s="201">
        <v>0.99541170168847648</v>
      </c>
      <c r="W86" s="201">
        <v>1.0060348317132135</v>
      </c>
      <c r="X86" s="201">
        <v>1.0169311841464155</v>
      </c>
      <c r="Y86" s="201">
        <v>1.0281056158381718</v>
      </c>
      <c r="Z86" s="201">
        <v>1.0395630868515546</v>
      </c>
      <c r="AA86" s="201">
        <v>1.051308662466119</v>
      </c>
      <c r="AB86" s="201">
        <v>1.0633475152220786</v>
      </c>
      <c r="AC86" s="201">
        <v>1.0756849270059705</v>
      </c>
      <c r="AD86" s="201">
        <v>1</v>
      </c>
      <c r="AE86" s="201">
        <v>1.0229999999999999</v>
      </c>
      <c r="AF86" s="201">
        <v>1.0465289999999996</v>
      </c>
      <c r="AG86" s="201">
        <v>1.0705991669999997</v>
      </c>
      <c r="AH86" s="201">
        <v>1.0952229478409994</v>
      </c>
      <c r="AI86" s="201">
        <v>1.1204130756413426</v>
      </c>
      <c r="AJ86" s="201">
        <v>1.1461825763810931</v>
      </c>
      <c r="AK86" s="201">
        <v>1.1725447756378584</v>
      </c>
      <c r="AL86" s="201">
        <v>1.1995133054775287</v>
      </c>
      <c r="AM86" s="201">
        <v>1.2271021115035119</v>
      </c>
      <c r="AN86" s="201">
        <v>1.255325460068093</v>
      </c>
      <c r="AO86" s="201">
        <v>1.2841979456496586</v>
      </c>
      <c r="AP86" s="201">
        <v>1.3137344983996007</v>
      </c>
      <c r="AQ86" s="201">
        <v>1.3439503918627913</v>
      </c>
      <c r="AR86" s="201">
        <v>1.374861250875635</v>
      </c>
      <c r="AS86" s="201">
        <v>1.4064830596457747</v>
      </c>
      <c r="AT86" s="201">
        <v>1.4388321700176276</v>
      </c>
      <c r="AU86" s="201">
        <v>1</v>
      </c>
      <c r="AV86" s="201">
        <v>1.0224300740672718</v>
      </c>
      <c r="AW86" s="201">
        <v>1.0453695014675706</v>
      </c>
      <c r="AX86" s="201">
        <v>1.068829988063849</v>
      </c>
      <c r="AY86" s="201">
        <v>1.0928235118062264</v>
      </c>
      <c r="AZ86" s="201">
        <v>1.1092158644833197</v>
      </c>
      <c r="BA86" s="201">
        <v>1.125854102450569</v>
      </c>
      <c r="BB86" s="201">
        <v>1.1427419139873276</v>
      </c>
      <c r="BC86" s="201">
        <v>1.1598830426971378</v>
      </c>
      <c r="BD86" s="201">
        <v>1.1772812883375945</v>
      </c>
      <c r="BE86" s="201">
        <v>1.1949405076626587</v>
      </c>
      <c r="BF86" s="201">
        <v>1.2128646152775979</v>
      </c>
      <c r="BG86" s="201">
        <v>1.2310575845067619</v>
      </c>
      <c r="BH86" s="201">
        <v>1.2495234482743631</v>
      </c>
      <c r="BI86" s="201">
        <v>1.2682662999984782</v>
      </c>
      <c r="BJ86" s="201">
        <v>1.2872902944984557</v>
      </c>
      <c r="BK86" s="201">
        <v>1.3065996489159319</v>
      </c>
      <c r="BL86" s="201">
        <v>1</v>
      </c>
      <c r="BM86" s="201">
        <v>1.0075087154733169</v>
      </c>
      <c r="BN86" s="201">
        <v>1.0150174309466338</v>
      </c>
      <c r="BO86" s="201">
        <v>1.0225261464199509</v>
      </c>
      <c r="BP86" s="201">
        <v>1.0300348618932678</v>
      </c>
      <c r="BQ86" s="201">
        <v>1.0375435773665846</v>
      </c>
      <c r="BR86" s="201">
        <v>1.0450522928399046</v>
      </c>
      <c r="BS86" s="201">
        <v>1.0458970233306526</v>
      </c>
      <c r="BT86" s="201">
        <v>1.0467417538213979</v>
      </c>
      <c r="BU86" s="201">
        <v>1.0475864843121492</v>
      </c>
      <c r="BV86" s="201">
        <v>1.0484312148028971</v>
      </c>
      <c r="BW86" s="201">
        <v>1.0492759452936424</v>
      </c>
      <c r="BX86" s="201">
        <v>1.0501206757843937</v>
      </c>
      <c r="BY86" s="201">
        <v>1.0509654062751417</v>
      </c>
      <c r="BZ86" s="201">
        <v>1.0518101367658899</v>
      </c>
      <c r="CA86" s="201">
        <v>1.0526548672566383</v>
      </c>
      <c r="CB86" s="201">
        <v>1.0534995977473862</v>
      </c>
    </row>
    <row r="87" spans="1:80" x14ac:dyDescent="0.35">
      <c r="A87" t="s">
        <v>743</v>
      </c>
      <c r="B87" t="s">
        <v>858</v>
      </c>
      <c r="C87" s="206" t="s">
        <v>854</v>
      </c>
      <c r="D87" t="s">
        <v>736</v>
      </c>
      <c r="E87" s="130">
        <v>2582.3177844823044</v>
      </c>
      <c r="F87" s="130">
        <f>NYSERDA_SupplyCurve_Raw[[#This Row],[Available Capacity (MWac)]]*NYSERDA_SupplyCurve_Raw[[#This Row],[2024 Weighted Avg Resource CapEx ($/kWac)]]</f>
        <v>4553841.3302156273</v>
      </c>
      <c r="G87" s="130">
        <f>NYSERDA_SupplyCurve_Raw[[#This Row],[Available Capacity (MWac)]]*NYSERDA_SupplyCurve_Raw[[#This Row],[2024 Weighted Avg OpEx ($/kWac-year)]]</f>
        <v>69913.228628963683</v>
      </c>
      <c r="H87" s="130">
        <v>1763.470537042585</v>
      </c>
      <c r="I87" s="130">
        <v>67.94946506668154</v>
      </c>
      <c r="J87" s="130">
        <v>27.073828422313902</v>
      </c>
      <c r="K87" s="130">
        <f>NYSERDA_SupplyCurve_Raw[[#This Row],[2024 Weighted Avg Capacity Factor]]*NYSERDA_SupplyCurve_Raw[[#This Row],[Available Capacity (MWac)]]</f>
        <v>520.33703357318439</v>
      </c>
      <c r="L87" s="205">
        <v>0.20150000000000001</v>
      </c>
      <c r="M87" s="201">
        <v>1</v>
      </c>
      <c r="N87" s="201">
        <v>0.98205557700657919</v>
      </c>
      <c r="O87" s="201">
        <v>0.97508643687766761</v>
      </c>
      <c r="P87" s="201">
        <v>0.9710686978823494</v>
      </c>
      <c r="Q87" s="201">
        <v>0.96272883825255917</v>
      </c>
      <c r="R87" s="201">
        <v>0.96698974982375119</v>
      </c>
      <c r="S87" s="201">
        <v>0.97267407052031796</v>
      </c>
      <c r="T87" s="201">
        <v>0.97869557679238728</v>
      </c>
      <c r="U87" s="201">
        <v>0.98505703847148329</v>
      </c>
      <c r="V87" s="201">
        <v>0.99541170168847648</v>
      </c>
      <c r="W87" s="201">
        <v>1.0060348317132135</v>
      </c>
      <c r="X87" s="201">
        <v>1.0169311841464157</v>
      </c>
      <c r="Y87" s="201">
        <v>1.0281056158381718</v>
      </c>
      <c r="Z87" s="201">
        <v>1.0395630868515549</v>
      </c>
      <c r="AA87" s="201">
        <v>1.051308662466119</v>
      </c>
      <c r="AB87" s="201">
        <v>1.0633475152220786</v>
      </c>
      <c r="AC87" s="201">
        <v>1.0756849270059705</v>
      </c>
      <c r="AD87" s="201">
        <v>1</v>
      </c>
      <c r="AE87" s="201">
        <v>1.0229999999999999</v>
      </c>
      <c r="AF87" s="201">
        <v>1.0465289999999998</v>
      </c>
      <c r="AG87" s="201">
        <v>1.0705991669999995</v>
      </c>
      <c r="AH87" s="201">
        <v>1.0952229478409992</v>
      </c>
      <c r="AI87" s="201">
        <v>1.1204130756413422</v>
      </c>
      <c r="AJ87" s="201">
        <v>1.1461825763810929</v>
      </c>
      <c r="AK87" s="201">
        <v>1.172544775637858</v>
      </c>
      <c r="AL87" s="201">
        <v>1.1995133054775287</v>
      </c>
      <c r="AM87" s="201">
        <v>1.2271021115035119</v>
      </c>
      <c r="AN87" s="201">
        <v>1.2553254600680923</v>
      </c>
      <c r="AO87" s="201">
        <v>1.2841979456496584</v>
      </c>
      <c r="AP87" s="201">
        <v>1.3137344983996002</v>
      </c>
      <c r="AQ87" s="201">
        <v>1.3439503918627913</v>
      </c>
      <c r="AR87" s="201">
        <v>1.3748612508756346</v>
      </c>
      <c r="AS87" s="201">
        <v>1.4064830596457745</v>
      </c>
      <c r="AT87" s="201">
        <v>1.438832170017627</v>
      </c>
      <c r="AU87" s="201">
        <v>1</v>
      </c>
      <c r="AV87" s="201">
        <v>1.0224300740672718</v>
      </c>
      <c r="AW87" s="201">
        <v>1.0453695014675706</v>
      </c>
      <c r="AX87" s="201">
        <v>1.0688299880638492</v>
      </c>
      <c r="AY87" s="201">
        <v>1.0928235118062264</v>
      </c>
      <c r="AZ87" s="201">
        <v>1.1092158644833194</v>
      </c>
      <c r="BA87" s="201">
        <v>1.125854102450569</v>
      </c>
      <c r="BB87" s="201">
        <v>1.1427419139873276</v>
      </c>
      <c r="BC87" s="201">
        <v>1.1598830426971376</v>
      </c>
      <c r="BD87" s="201">
        <v>1.1772812883375945</v>
      </c>
      <c r="BE87" s="201">
        <v>1.1949405076626582</v>
      </c>
      <c r="BF87" s="201">
        <v>1.2128646152775981</v>
      </c>
      <c r="BG87" s="201">
        <v>1.2310575845067622</v>
      </c>
      <c r="BH87" s="201">
        <v>1.2495234482743633</v>
      </c>
      <c r="BI87" s="201">
        <v>1.2682662999984782</v>
      </c>
      <c r="BJ87" s="201">
        <v>1.2872902944984552</v>
      </c>
      <c r="BK87" s="201">
        <v>1.3065996489159319</v>
      </c>
      <c r="BL87" s="201">
        <v>1</v>
      </c>
      <c r="BM87" s="201">
        <v>1.0075087154733169</v>
      </c>
      <c r="BN87" s="201">
        <v>1.0150174309466338</v>
      </c>
      <c r="BO87" s="201">
        <v>1.0225261464199509</v>
      </c>
      <c r="BP87" s="201">
        <v>1.0300348618932678</v>
      </c>
      <c r="BQ87" s="201">
        <v>1.0375435773665846</v>
      </c>
      <c r="BR87" s="201">
        <v>1.0450522928399046</v>
      </c>
      <c r="BS87" s="201">
        <v>1.0458970233306526</v>
      </c>
      <c r="BT87" s="201">
        <v>1.0467417538213979</v>
      </c>
      <c r="BU87" s="201">
        <v>1.0475864843121492</v>
      </c>
      <c r="BV87" s="201">
        <v>1.0484312148028971</v>
      </c>
      <c r="BW87" s="201">
        <v>1.0492759452936424</v>
      </c>
      <c r="BX87" s="201">
        <v>1.0501206757843937</v>
      </c>
      <c r="BY87" s="201">
        <v>1.0509654062751417</v>
      </c>
      <c r="BZ87" s="201">
        <v>1.0518101367658899</v>
      </c>
      <c r="CA87" s="201">
        <v>1.0526548672566383</v>
      </c>
      <c r="CB87" s="201">
        <v>1.0534995977473862</v>
      </c>
    </row>
    <row r="88" spans="1:80" x14ac:dyDescent="0.35">
      <c r="A88" t="s">
        <v>743</v>
      </c>
      <c r="B88" t="s">
        <v>858</v>
      </c>
      <c r="C88" s="206" t="s">
        <v>854</v>
      </c>
      <c r="D88" t="s">
        <v>742</v>
      </c>
      <c r="E88" s="130">
        <v>767.54768254790463</v>
      </c>
      <c r="F88" s="130">
        <f>NYSERDA_SupplyCurve_Raw[[#This Row],[Available Capacity (MWac)]]*NYSERDA_SupplyCurve_Raw[[#This Row],[2024 Weighted Avg Resource CapEx ($/kWac)]]</f>
        <v>1582644.832304969</v>
      </c>
      <c r="G88" s="130">
        <f>NYSERDA_SupplyCurve_Raw[[#This Row],[Available Capacity (MWac)]]*NYSERDA_SupplyCurve_Raw[[#This Row],[2024 Weighted Avg OpEx ($/kWac-year)]]</f>
        <v>20780.454263246625</v>
      </c>
      <c r="H88" s="130">
        <v>2061.9498544394237</v>
      </c>
      <c r="I88" s="130">
        <v>117.85136495967008</v>
      </c>
      <c r="J88" s="130">
        <v>27.073828422313898</v>
      </c>
      <c r="K88" s="130">
        <f>NYSERDA_SupplyCurve_Raw[[#This Row],[2024 Weighted Avg Capacity Factor]]*NYSERDA_SupplyCurve_Raw[[#This Row],[Available Capacity (MWac)]]</f>
        <v>154.6608580334028</v>
      </c>
      <c r="L88" s="205">
        <v>0.20150000000000004</v>
      </c>
      <c r="M88" s="201">
        <v>1</v>
      </c>
      <c r="N88" s="201">
        <v>0.98205557700657897</v>
      </c>
      <c r="O88" s="201">
        <v>0.9750864368776675</v>
      </c>
      <c r="P88" s="201">
        <v>0.97106869788234951</v>
      </c>
      <c r="Q88" s="201">
        <v>0.96272883825255895</v>
      </c>
      <c r="R88" s="201">
        <v>0.96698974982375108</v>
      </c>
      <c r="S88" s="201">
        <v>0.97267407052031774</v>
      </c>
      <c r="T88" s="201">
        <v>0.97869557679238706</v>
      </c>
      <c r="U88" s="201">
        <v>0.98505703847148296</v>
      </c>
      <c r="V88" s="201">
        <v>0.99541170168847637</v>
      </c>
      <c r="W88" s="201">
        <v>1.0060348317132135</v>
      </c>
      <c r="X88" s="201">
        <v>1.0169311841464155</v>
      </c>
      <c r="Y88" s="201">
        <v>1.0281056158381718</v>
      </c>
      <c r="Z88" s="201">
        <v>1.0395630868515546</v>
      </c>
      <c r="AA88" s="201">
        <v>1.0513086624661188</v>
      </c>
      <c r="AB88" s="201">
        <v>1.0633475152220786</v>
      </c>
      <c r="AC88" s="201">
        <v>1.0756849270059705</v>
      </c>
      <c r="AD88" s="201">
        <v>1</v>
      </c>
      <c r="AE88" s="201">
        <v>1.0229999999999999</v>
      </c>
      <c r="AF88" s="201">
        <v>1.0465289999999996</v>
      </c>
      <c r="AG88" s="201">
        <v>1.0705991669999997</v>
      </c>
      <c r="AH88" s="201">
        <v>1.0952229478409994</v>
      </c>
      <c r="AI88" s="201">
        <v>1.1204130756413426</v>
      </c>
      <c r="AJ88" s="201">
        <v>1.1461825763810933</v>
      </c>
      <c r="AK88" s="201">
        <v>1.1725447756378582</v>
      </c>
      <c r="AL88" s="201">
        <v>1.1995133054775284</v>
      </c>
      <c r="AM88" s="201">
        <v>1.2271021115035117</v>
      </c>
      <c r="AN88" s="201">
        <v>1.2553254600680925</v>
      </c>
      <c r="AO88" s="201">
        <v>1.2841979456496586</v>
      </c>
      <c r="AP88" s="201">
        <v>1.3137344983996007</v>
      </c>
      <c r="AQ88" s="201">
        <v>1.3439503918627913</v>
      </c>
      <c r="AR88" s="201">
        <v>1.374861250875635</v>
      </c>
      <c r="AS88" s="201">
        <v>1.4064830596457747</v>
      </c>
      <c r="AT88" s="201">
        <v>1.4388321700176274</v>
      </c>
      <c r="AU88" s="201">
        <v>1</v>
      </c>
      <c r="AV88" s="201">
        <v>1.0224300740672718</v>
      </c>
      <c r="AW88" s="201">
        <v>1.0453695014675706</v>
      </c>
      <c r="AX88" s="201">
        <v>1.0688299880638492</v>
      </c>
      <c r="AY88" s="201">
        <v>1.0928235118062264</v>
      </c>
      <c r="AZ88" s="201">
        <v>1.1092158644833197</v>
      </c>
      <c r="BA88" s="201">
        <v>1.125854102450569</v>
      </c>
      <c r="BB88" s="201">
        <v>1.1427419139873278</v>
      </c>
      <c r="BC88" s="201">
        <v>1.1598830426971378</v>
      </c>
      <c r="BD88" s="201">
        <v>1.1772812883375947</v>
      </c>
      <c r="BE88" s="201">
        <v>1.1949405076626585</v>
      </c>
      <c r="BF88" s="201">
        <v>1.2128646152775981</v>
      </c>
      <c r="BG88" s="201">
        <v>1.2310575845067619</v>
      </c>
      <c r="BH88" s="201">
        <v>1.2495234482743633</v>
      </c>
      <c r="BI88" s="201">
        <v>1.2682662999984784</v>
      </c>
      <c r="BJ88" s="201">
        <v>1.2872902944984554</v>
      </c>
      <c r="BK88" s="201">
        <v>1.3065996489159319</v>
      </c>
      <c r="BL88" s="201">
        <v>1</v>
      </c>
      <c r="BM88" s="201">
        <v>1.0075087154733169</v>
      </c>
      <c r="BN88" s="201">
        <v>1.0150174309466338</v>
      </c>
      <c r="BO88" s="201">
        <v>1.0225261464199509</v>
      </c>
      <c r="BP88" s="201">
        <v>1.0300348618932678</v>
      </c>
      <c r="BQ88" s="201">
        <v>1.0375435773665846</v>
      </c>
      <c r="BR88" s="201">
        <v>1.0450522928399046</v>
      </c>
      <c r="BS88" s="201">
        <v>1.0458970233306526</v>
      </c>
      <c r="BT88" s="201">
        <v>1.0467417538213979</v>
      </c>
      <c r="BU88" s="201">
        <v>1.0475864843121492</v>
      </c>
      <c r="BV88" s="201">
        <v>1.0484312148028971</v>
      </c>
      <c r="BW88" s="201">
        <v>1.0492759452936424</v>
      </c>
      <c r="BX88" s="201">
        <v>1.0501206757843937</v>
      </c>
      <c r="BY88" s="201">
        <v>1.0509654062751417</v>
      </c>
      <c r="BZ88" s="201">
        <v>1.0518101367658899</v>
      </c>
      <c r="CA88" s="201">
        <v>1.0526548672566383</v>
      </c>
      <c r="CB88" s="201">
        <v>1.0534995977473862</v>
      </c>
    </row>
    <row r="89" spans="1:80" x14ac:dyDescent="0.35">
      <c r="A89" t="s">
        <v>743</v>
      </c>
      <c r="B89" t="s">
        <v>890</v>
      </c>
      <c r="C89" s="206" t="s">
        <v>839</v>
      </c>
      <c r="D89" t="s">
        <v>736</v>
      </c>
      <c r="E89" s="130">
        <v>740.66394887598381</v>
      </c>
      <c r="F89" s="130">
        <f>NYSERDA_SupplyCurve_Raw[[#This Row],[Available Capacity (MWac)]]*NYSERDA_SupplyCurve_Raw[[#This Row],[2024 Weighted Avg Resource CapEx ($/kWac)]]</f>
        <v>1402869.9805970856</v>
      </c>
      <c r="G89" s="130">
        <f>NYSERDA_SupplyCurve_Raw[[#This Row],[Available Capacity (MWac)]]*NYSERDA_SupplyCurve_Raw[[#This Row],[2024 Weighted Avg OpEx ($/kWac-year)]]</f>
        <v>20751.642400275014</v>
      </c>
      <c r="H89" s="130">
        <v>1894.0708302679668</v>
      </c>
      <c r="I89" s="130">
        <v>77.759123994384055</v>
      </c>
      <c r="J89" s="130">
        <v>28.017621799693739</v>
      </c>
      <c r="K89" s="130">
        <f>NYSERDA_SupplyCurve_Raw[[#This Row],[2024 Weighted Avg Capacity Factor]]*NYSERDA_SupplyCurve_Raw[[#This Row],[Available Capacity (MWac)]]</f>
        <v>152.13237509912707</v>
      </c>
      <c r="L89" s="205">
        <v>0.2054</v>
      </c>
      <c r="M89" s="201">
        <v>1</v>
      </c>
      <c r="N89" s="201">
        <v>0.98205557700657886</v>
      </c>
      <c r="O89" s="201">
        <v>0.97508643687766727</v>
      </c>
      <c r="P89" s="201">
        <v>0.97106869788234929</v>
      </c>
      <c r="Q89" s="201">
        <v>0.96272883825255873</v>
      </c>
      <c r="R89" s="201">
        <v>0.96698974982375085</v>
      </c>
      <c r="S89" s="201">
        <v>0.97267407052031751</v>
      </c>
      <c r="T89" s="201">
        <v>0.97869557679238706</v>
      </c>
      <c r="U89" s="201">
        <v>0.98505703847148285</v>
      </c>
      <c r="V89" s="201">
        <v>0.99541170168847615</v>
      </c>
      <c r="W89" s="201">
        <v>1.0060348317132133</v>
      </c>
      <c r="X89" s="201">
        <v>1.0169311841464153</v>
      </c>
      <c r="Y89" s="201">
        <v>1.0281056158381716</v>
      </c>
      <c r="Z89" s="201">
        <v>1.0395630868515544</v>
      </c>
      <c r="AA89" s="201">
        <v>1.0513086624661183</v>
      </c>
      <c r="AB89" s="201">
        <v>1.0633475152220784</v>
      </c>
      <c r="AC89" s="201">
        <v>1.0756849270059701</v>
      </c>
      <c r="AD89" s="201">
        <v>1</v>
      </c>
      <c r="AE89" s="201">
        <v>1.0230000000000001</v>
      </c>
      <c r="AF89" s="201">
        <v>1.0465289999999998</v>
      </c>
      <c r="AG89" s="201">
        <v>1.0705991669999997</v>
      </c>
      <c r="AH89" s="201">
        <v>1.0952229478409996</v>
      </c>
      <c r="AI89" s="201">
        <v>1.1204130756413426</v>
      </c>
      <c r="AJ89" s="201">
        <v>1.1461825763810931</v>
      </c>
      <c r="AK89" s="201">
        <v>1.1725447756378584</v>
      </c>
      <c r="AL89" s="201">
        <v>1.1995133054775289</v>
      </c>
      <c r="AM89" s="201">
        <v>1.2271021115035119</v>
      </c>
      <c r="AN89" s="201">
        <v>1.2553254600680928</v>
      </c>
      <c r="AO89" s="201">
        <v>1.2841979456496588</v>
      </c>
      <c r="AP89" s="201">
        <v>1.3137344983996004</v>
      </c>
      <c r="AQ89" s="201">
        <v>1.3439503918627913</v>
      </c>
      <c r="AR89" s="201">
        <v>1.3748612508756353</v>
      </c>
      <c r="AS89" s="201">
        <v>1.4064830596457747</v>
      </c>
      <c r="AT89" s="201">
        <v>1.4388321700176274</v>
      </c>
      <c r="AU89" s="201">
        <v>1</v>
      </c>
      <c r="AV89" s="201">
        <v>1.0224300740672716</v>
      </c>
      <c r="AW89" s="201">
        <v>1.0453695014675706</v>
      </c>
      <c r="AX89" s="201">
        <v>1.068829988063849</v>
      </c>
      <c r="AY89" s="201">
        <v>1.0928235118062264</v>
      </c>
      <c r="AZ89" s="201">
        <v>1.1092158644833194</v>
      </c>
      <c r="BA89" s="201">
        <v>1.1258541024505693</v>
      </c>
      <c r="BB89" s="201">
        <v>1.1427419139873278</v>
      </c>
      <c r="BC89" s="201">
        <v>1.1598830426971376</v>
      </c>
      <c r="BD89" s="201">
        <v>1.1772812883375943</v>
      </c>
      <c r="BE89" s="201">
        <v>1.1949405076626585</v>
      </c>
      <c r="BF89" s="201">
        <v>1.2128646152775981</v>
      </c>
      <c r="BG89" s="201">
        <v>1.2310575845067617</v>
      </c>
      <c r="BH89" s="201">
        <v>1.2495234482743633</v>
      </c>
      <c r="BI89" s="201">
        <v>1.2682662999984782</v>
      </c>
      <c r="BJ89" s="201">
        <v>1.2872902944984554</v>
      </c>
      <c r="BK89" s="201">
        <v>1.3065996489159319</v>
      </c>
      <c r="BL89" s="201">
        <v>1</v>
      </c>
      <c r="BM89" s="201">
        <v>1.0075087154733169</v>
      </c>
      <c r="BN89" s="201">
        <v>1.0150174309466338</v>
      </c>
      <c r="BO89" s="201">
        <v>1.0225261464199509</v>
      </c>
      <c r="BP89" s="201">
        <v>1.0300348618932678</v>
      </c>
      <c r="BQ89" s="201">
        <v>1.0375435773665846</v>
      </c>
      <c r="BR89" s="201">
        <v>1.0450522928399046</v>
      </c>
      <c r="BS89" s="201">
        <v>1.0458970233306526</v>
      </c>
      <c r="BT89" s="201">
        <v>1.0467417538213979</v>
      </c>
      <c r="BU89" s="201">
        <v>1.0475864843121492</v>
      </c>
      <c r="BV89" s="201">
        <v>1.0484312148028971</v>
      </c>
      <c r="BW89" s="201">
        <v>1.0492759452936424</v>
      </c>
      <c r="BX89" s="201">
        <v>1.0501206757843937</v>
      </c>
      <c r="BY89" s="201">
        <v>1.0509654062751417</v>
      </c>
      <c r="BZ89" s="201">
        <v>1.0518101367658899</v>
      </c>
      <c r="CA89" s="201">
        <v>1.0526548672566383</v>
      </c>
      <c r="CB89" s="201">
        <v>1.0534995977473862</v>
      </c>
    </row>
    <row r="90" spans="1:80" x14ac:dyDescent="0.35">
      <c r="A90" t="s">
        <v>743</v>
      </c>
      <c r="B90" t="s">
        <v>890</v>
      </c>
      <c r="C90" s="206" t="s">
        <v>839</v>
      </c>
      <c r="D90" t="s">
        <v>742</v>
      </c>
      <c r="E90" s="130">
        <v>281.59296206875621</v>
      </c>
      <c r="F90" s="130">
        <f>NYSERDA_SupplyCurve_Raw[[#This Row],[Available Capacity (MWac)]]*NYSERDA_SupplyCurve_Raw[[#This Row],[2024 Weighted Avg Resource CapEx ($/kWac)]]</f>
        <v>592450.25003008905</v>
      </c>
      <c r="G90" s="130">
        <f>NYSERDA_SupplyCurve_Raw[[#This Row],[Available Capacity (MWac)]]*NYSERDA_SupplyCurve_Raw[[#This Row],[2024 Weighted Avg OpEx ($/kWac-year)]]</f>
        <v>7889.5651126979164</v>
      </c>
      <c r="H90" s="130">
        <v>2103.9242091761912</v>
      </c>
      <c r="I90" s="130">
        <v>117.46470536272324</v>
      </c>
      <c r="J90" s="130">
        <v>28.017621799693739</v>
      </c>
      <c r="K90" s="130">
        <f>NYSERDA_SupplyCurve_Raw[[#This Row],[2024 Weighted Avg Capacity Factor]]*NYSERDA_SupplyCurve_Raw[[#This Row],[Available Capacity (MWac)]]</f>
        <v>57.839194408922523</v>
      </c>
      <c r="L90" s="205">
        <v>0.2054</v>
      </c>
      <c r="M90" s="201">
        <v>1</v>
      </c>
      <c r="N90" s="201">
        <v>0.98205557700657908</v>
      </c>
      <c r="O90" s="201">
        <v>0.9750864368776675</v>
      </c>
      <c r="P90" s="201">
        <v>0.97106869788234929</v>
      </c>
      <c r="Q90" s="201">
        <v>0.96272883825255873</v>
      </c>
      <c r="R90" s="201">
        <v>0.96698974982375085</v>
      </c>
      <c r="S90" s="201">
        <v>0.97267407052031774</v>
      </c>
      <c r="T90" s="201">
        <v>0.97869557679238706</v>
      </c>
      <c r="U90" s="201">
        <v>0.98505703847148307</v>
      </c>
      <c r="V90" s="201">
        <v>0.99541170168847637</v>
      </c>
      <c r="W90" s="201">
        <v>1.0060348317132133</v>
      </c>
      <c r="X90" s="201">
        <v>1.0169311841464153</v>
      </c>
      <c r="Y90" s="201">
        <v>1.0281056158381718</v>
      </c>
      <c r="Z90" s="201">
        <v>1.0395630868515544</v>
      </c>
      <c r="AA90" s="201">
        <v>1.0513086624661188</v>
      </c>
      <c r="AB90" s="201">
        <v>1.0633475152220782</v>
      </c>
      <c r="AC90" s="201">
        <v>1.0756849270059701</v>
      </c>
      <c r="AD90" s="201">
        <v>1</v>
      </c>
      <c r="AE90" s="201">
        <v>1.0229999999999999</v>
      </c>
      <c r="AF90" s="201">
        <v>1.0465289999999996</v>
      </c>
      <c r="AG90" s="201">
        <v>1.0705991669999997</v>
      </c>
      <c r="AH90" s="201">
        <v>1.0952229478409994</v>
      </c>
      <c r="AI90" s="201">
        <v>1.1204130756413424</v>
      </c>
      <c r="AJ90" s="201">
        <v>1.1461825763810931</v>
      </c>
      <c r="AK90" s="201">
        <v>1.1725447756378582</v>
      </c>
      <c r="AL90" s="201">
        <v>1.1995133054775287</v>
      </c>
      <c r="AM90" s="201">
        <v>1.2271021115035121</v>
      </c>
      <c r="AN90" s="201">
        <v>1.2553254600680923</v>
      </c>
      <c r="AO90" s="201">
        <v>1.2841979456496584</v>
      </c>
      <c r="AP90" s="201">
        <v>1.3137344983996004</v>
      </c>
      <c r="AQ90" s="201">
        <v>1.3439503918627913</v>
      </c>
      <c r="AR90" s="201">
        <v>1.374861250875635</v>
      </c>
      <c r="AS90" s="201">
        <v>1.4064830596457745</v>
      </c>
      <c r="AT90" s="201">
        <v>1.4388321700176274</v>
      </c>
      <c r="AU90" s="201">
        <v>1</v>
      </c>
      <c r="AV90" s="201">
        <v>1.0224300740672716</v>
      </c>
      <c r="AW90" s="201">
        <v>1.0453695014675704</v>
      </c>
      <c r="AX90" s="201">
        <v>1.068829988063849</v>
      </c>
      <c r="AY90" s="201">
        <v>1.0928235118062264</v>
      </c>
      <c r="AZ90" s="201">
        <v>1.1092158644833194</v>
      </c>
      <c r="BA90" s="201">
        <v>1.125854102450569</v>
      </c>
      <c r="BB90" s="201">
        <v>1.1427419139873276</v>
      </c>
      <c r="BC90" s="201">
        <v>1.1598830426971376</v>
      </c>
      <c r="BD90" s="201">
        <v>1.1772812883375943</v>
      </c>
      <c r="BE90" s="201">
        <v>1.1949405076626585</v>
      </c>
      <c r="BF90" s="201">
        <v>1.2128646152775981</v>
      </c>
      <c r="BG90" s="201">
        <v>1.2310575845067617</v>
      </c>
      <c r="BH90" s="201">
        <v>1.2495234482743631</v>
      </c>
      <c r="BI90" s="201">
        <v>1.2682662999984782</v>
      </c>
      <c r="BJ90" s="201">
        <v>1.2872902944984554</v>
      </c>
      <c r="BK90" s="201">
        <v>1.3065996489159319</v>
      </c>
      <c r="BL90" s="201">
        <v>1</v>
      </c>
      <c r="BM90" s="201">
        <v>1.0075087154733169</v>
      </c>
      <c r="BN90" s="201">
        <v>1.0150174309466338</v>
      </c>
      <c r="BO90" s="201">
        <v>1.0225261464199509</v>
      </c>
      <c r="BP90" s="201">
        <v>1.0300348618932678</v>
      </c>
      <c r="BQ90" s="201">
        <v>1.0375435773665846</v>
      </c>
      <c r="BR90" s="201">
        <v>1.0450522928399046</v>
      </c>
      <c r="BS90" s="201">
        <v>1.0458970233306526</v>
      </c>
      <c r="BT90" s="201">
        <v>1.0467417538213979</v>
      </c>
      <c r="BU90" s="201">
        <v>1.0475864843121492</v>
      </c>
      <c r="BV90" s="201">
        <v>1.0484312148028971</v>
      </c>
      <c r="BW90" s="201">
        <v>1.0492759452936424</v>
      </c>
      <c r="BX90" s="201">
        <v>1.0501206757843937</v>
      </c>
      <c r="BY90" s="201">
        <v>1.0509654062751417</v>
      </c>
      <c r="BZ90" s="201">
        <v>1.0518101367658899</v>
      </c>
      <c r="CA90" s="201">
        <v>1.0526548672566383</v>
      </c>
      <c r="CB90" s="201">
        <v>1.0534995977473862</v>
      </c>
    </row>
    <row r="91" spans="1:80" x14ac:dyDescent="0.35">
      <c r="A91" t="s">
        <v>743</v>
      </c>
      <c r="B91" t="s">
        <v>891</v>
      </c>
      <c r="C91" s="206" t="s">
        <v>856</v>
      </c>
      <c r="D91" t="s">
        <v>736</v>
      </c>
      <c r="E91" s="130">
        <v>95.319758242447548</v>
      </c>
      <c r="F91" s="130">
        <f>NYSERDA_SupplyCurve_Raw[[#This Row],[Available Capacity (MWac)]]*NYSERDA_SupplyCurve_Raw[[#This Row],[2024 Weighted Avg Resource CapEx ($/kWac)]]</f>
        <v>202349.02755526404</v>
      </c>
      <c r="G91" s="130">
        <f>NYSERDA_SupplyCurve_Raw[[#This Row],[Available Capacity (MWac)]]*NYSERDA_SupplyCurve_Raw[[#This Row],[2024 Weighted Avg OpEx ($/kWac-year)]]</f>
        <v>2670.6329364751355</v>
      </c>
      <c r="H91" s="130">
        <v>2122.844531776776</v>
      </c>
      <c r="I91" s="130">
        <v>201.78392940801467</v>
      </c>
      <c r="J91" s="130">
        <v>28.017621799693739</v>
      </c>
      <c r="K91" s="130">
        <f>NYSERDA_SupplyCurve_Raw[[#This Row],[2024 Weighted Avg Capacity Factor]]*NYSERDA_SupplyCurve_Raw[[#This Row],[Available Capacity (MWac)]]</f>
        <v>19.950425400144272</v>
      </c>
      <c r="L91" s="205">
        <v>0.20930000000000001</v>
      </c>
      <c r="M91" s="201">
        <v>1</v>
      </c>
      <c r="N91" s="201">
        <v>0.98205557700657908</v>
      </c>
      <c r="O91" s="201">
        <v>0.97508643687766738</v>
      </c>
      <c r="P91" s="201">
        <v>0.97106869788234929</v>
      </c>
      <c r="Q91" s="201">
        <v>0.96272883825255884</v>
      </c>
      <c r="R91" s="201">
        <v>0.96698974982375108</v>
      </c>
      <c r="S91" s="201">
        <v>0.97267407052031774</v>
      </c>
      <c r="T91" s="201">
        <v>0.97869557679238706</v>
      </c>
      <c r="U91" s="201">
        <v>0.98505703847148307</v>
      </c>
      <c r="V91" s="201">
        <v>0.99541170168847648</v>
      </c>
      <c r="W91" s="201">
        <v>1.0060348317132133</v>
      </c>
      <c r="X91" s="201">
        <v>1.0169311841464153</v>
      </c>
      <c r="Y91" s="201">
        <v>1.0281056158381716</v>
      </c>
      <c r="Z91" s="201">
        <v>1.0395630868515546</v>
      </c>
      <c r="AA91" s="201">
        <v>1.0513086624661185</v>
      </c>
      <c r="AB91" s="201">
        <v>1.0633475152220784</v>
      </c>
      <c r="AC91" s="201">
        <v>1.0756849270059705</v>
      </c>
      <c r="AD91" s="201">
        <v>1</v>
      </c>
      <c r="AE91" s="201">
        <v>1.0230000000000001</v>
      </c>
      <c r="AF91" s="201">
        <v>1.0465289999999998</v>
      </c>
      <c r="AG91" s="201">
        <v>1.0705991670000001</v>
      </c>
      <c r="AH91" s="201">
        <v>1.0952229478409996</v>
      </c>
      <c r="AI91" s="201">
        <v>1.1204130756413428</v>
      </c>
      <c r="AJ91" s="201">
        <v>1.1461825763810933</v>
      </c>
      <c r="AK91" s="201">
        <v>1.1725447756378584</v>
      </c>
      <c r="AL91" s="201">
        <v>1.1995133054775289</v>
      </c>
      <c r="AM91" s="201">
        <v>1.2271021115035119</v>
      </c>
      <c r="AN91" s="201">
        <v>1.2553254600680925</v>
      </c>
      <c r="AO91" s="201">
        <v>1.2841979456496588</v>
      </c>
      <c r="AP91" s="201">
        <v>1.3137344983996007</v>
      </c>
      <c r="AQ91" s="201">
        <v>1.3439503918627915</v>
      </c>
      <c r="AR91" s="201">
        <v>1.3748612508756355</v>
      </c>
      <c r="AS91" s="201">
        <v>1.4064830596457751</v>
      </c>
      <c r="AT91" s="201">
        <v>1.4388321700176279</v>
      </c>
      <c r="AU91" s="201">
        <v>1</v>
      </c>
      <c r="AV91" s="201">
        <v>1.0224300740672716</v>
      </c>
      <c r="AW91" s="201">
        <v>1.0453695014675706</v>
      </c>
      <c r="AX91" s="201">
        <v>1.068829988063849</v>
      </c>
      <c r="AY91" s="201">
        <v>1.0928235118062264</v>
      </c>
      <c r="AZ91" s="201">
        <v>1.1092158644833192</v>
      </c>
      <c r="BA91" s="201">
        <v>1.1258541024505693</v>
      </c>
      <c r="BB91" s="201">
        <v>1.1427419139873276</v>
      </c>
      <c r="BC91" s="201">
        <v>1.1598830426971376</v>
      </c>
      <c r="BD91" s="201">
        <v>1.1772812883375943</v>
      </c>
      <c r="BE91" s="201">
        <v>1.194940507662658</v>
      </c>
      <c r="BF91" s="201">
        <v>1.2128646152775981</v>
      </c>
      <c r="BG91" s="201">
        <v>1.2310575845067617</v>
      </c>
      <c r="BH91" s="201">
        <v>1.2495234482743631</v>
      </c>
      <c r="BI91" s="201">
        <v>1.2682662999984782</v>
      </c>
      <c r="BJ91" s="201">
        <v>1.2872902944984554</v>
      </c>
      <c r="BK91" s="201">
        <v>1.3065996489159319</v>
      </c>
      <c r="BL91" s="201">
        <v>1</v>
      </c>
      <c r="BM91" s="201">
        <v>1.0075087154733169</v>
      </c>
      <c r="BN91" s="201">
        <v>1.0150174309466338</v>
      </c>
      <c r="BO91" s="201">
        <v>1.0225261464199509</v>
      </c>
      <c r="BP91" s="201">
        <v>1.0300348618932678</v>
      </c>
      <c r="BQ91" s="201">
        <v>1.0375435773665846</v>
      </c>
      <c r="BR91" s="201">
        <v>1.0450522928399046</v>
      </c>
      <c r="BS91" s="201">
        <v>1.0458970233306526</v>
      </c>
      <c r="BT91" s="201">
        <v>1.0467417538213979</v>
      </c>
      <c r="BU91" s="201">
        <v>1.0475864843121492</v>
      </c>
      <c r="BV91" s="201">
        <v>1.0484312148028971</v>
      </c>
      <c r="BW91" s="201">
        <v>1.0492759452936424</v>
      </c>
      <c r="BX91" s="201">
        <v>1.0501206757843937</v>
      </c>
      <c r="BY91" s="201">
        <v>1.0509654062751417</v>
      </c>
      <c r="BZ91" s="201">
        <v>1.0518101367658899</v>
      </c>
      <c r="CA91" s="201">
        <v>1.0526548672566383</v>
      </c>
      <c r="CB91" s="201">
        <v>1.0534995977473862</v>
      </c>
    </row>
    <row r="92" spans="1:80" x14ac:dyDescent="0.35">
      <c r="A92" t="s">
        <v>743</v>
      </c>
      <c r="B92" t="s">
        <v>859</v>
      </c>
      <c r="C92" s="206" t="s">
        <v>854</v>
      </c>
      <c r="D92" t="s">
        <v>736</v>
      </c>
      <c r="E92" s="130">
        <v>1054.6817811213859</v>
      </c>
      <c r="F92" s="130">
        <f>NYSERDA_SupplyCurve_Raw[[#This Row],[Available Capacity (MWac)]]*NYSERDA_SupplyCurve_Raw[[#This Row],[2024 Weighted Avg Resource CapEx ($/kWac)]]</f>
        <v>1881130.3730337298</v>
      </c>
      <c r="G92" s="130">
        <f>NYSERDA_SupplyCurve_Raw[[#This Row],[Available Capacity (MWac)]]*NYSERDA_SupplyCurve_Raw[[#This Row],[2024 Weighted Avg OpEx ($/kWac-year)]]</f>
        <v>29134.924562375727</v>
      </c>
      <c r="H92" s="130">
        <v>1783.599950909957</v>
      </c>
      <c r="I92" s="130">
        <v>55.262677553115246</v>
      </c>
      <c r="J92" s="130">
        <v>27.624374559118809</v>
      </c>
      <c r="K92" s="130">
        <f>NYSERDA_SupplyCurve_Raw[[#This Row],[2024 Weighted Avg Capacity Factor]]*NYSERDA_SupplyCurve_Raw[[#This Row],[Available Capacity (MWac)]]</f>
        <v>211.14729258050147</v>
      </c>
      <c r="L92" s="205">
        <v>0.20020000000000002</v>
      </c>
      <c r="M92" s="201">
        <v>1</v>
      </c>
      <c r="N92" s="201">
        <v>0.98205557700657908</v>
      </c>
      <c r="O92" s="201">
        <v>0.97508643687766738</v>
      </c>
      <c r="P92" s="201">
        <v>0.97106869788234929</v>
      </c>
      <c r="Q92" s="201">
        <v>0.96272883825255895</v>
      </c>
      <c r="R92" s="201">
        <v>0.96698974982375108</v>
      </c>
      <c r="S92" s="201">
        <v>0.97267407052031774</v>
      </c>
      <c r="T92" s="201">
        <v>0.97869557679238695</v>
      </c>
      <c r="U92" s="201">
        <v>0.98505703847148285</v>
      </c>
      <c r="V92" s="201">
        <v>0.99541170168847637</v>
      </c>
      <c r="W92" s="201">
        <v>1.0060348317132133</v>
      </c>
      <c r="X92" s="201">
        <v>1.0169311841464153</v>
      </c>
      <c r="Y92" s="201">
        <v>1.0281056158381716</v>
      </c>
      <c r="Z92" s="201">
        <v>1.0395630868515546</v>
      </c>
      <c r="AA92" s="201">
        <v>1.0513086624661185</v>
      </c>
      <c r="AB92" s="201">
        <v>1.0633475152220784</v>
      </c>
      <c r="AC92" s="201">
        <v>1.0756849270059703</v>
      </c>
      <c r="AD92" s="201">
        <v>1</v>
      </c>
      <c r="AE92" s="201">
        <v>1.0229999999999999</v>
      </c>
      <c r="AF92" s="201">
        <v>1.0465289999999998</v>
      </c>
      <c r="AG92" s="201">
        <v>1.0705991669999997</v>
      </c>
      <c r="AH92" s="201">
        <v>1.0952229478409994</v>
      </c>
      <c r="AI92" s="201">
        <v>1.1204130756413424</v>
      </c>
      <c r="AJ92" s="201">
        <v>1.1461825763810931</v>
      </c>
      <c r="AK92" s="201">
        <v>1.1725447756378582</v>
      </c>
      <c r="AL92" s="201">
        <v>1.1995133054775287</v>
      </c>
      <c r="AM92" s="201">
        <v>1.2271021115035119</v>
      </c>
      <c r="AN92" s="201">
        <v>1.2553254600680925</v>
      </c>
      <c r="AO92" s="201">
        <v>1.2841979456496586</v>
      </c>
      <c r="AP92" s="201">
        <v>1.3137344983996007</v>
      </c>
      <c r="AQ92" s="201">
        <v>1.3439503918627913</v>
      </c>
      <c r="AR92" s="201">
        <v>1.3748612508756355</v>
      </c>
      <c r="AS92" s="201">
        <v>1.4064830596457749</v>
      </c>
      <c r="AT92" s="201">
        <v>1.4388321700176272</v>
      </c>
      <c r="AU92" s="201">
        <v>1</v>
      </c>
      <c r="AV92" s="201">
        <v>1.0224300740672716</v>
      </c>
      <c r="AW92" s="201">
        <v>1.0453695014675704</v>
      </c>
      <c r="AX92" s="201">
        <v>1.068829988063849</v>
      </c>
      <c r="AY92" s="201">
        <v>1.0928235118062262</v>
      </c>
      <c r="AZ92" s="201">
        <v>1.1092158644833192</v>
      </c>
      <c r="BA92" s="201">
        <v>1.1258541024505693</v>
      </c>
      <c r="BB92" s="201">
        <v>1.1427419139873274</v>
      </c>
      <c r="BC92" s="201">
        <v>1.1598830426971376</v>
      </c>
      <c r="BD92" s="201">
        <v>1.1772812883375945</v>
      </c>
      <c r="BE92" s="201">
        <v>1.1949405076626582</v>
      </c>
      <c r="BF92" s="201">
        <v>1.2128646152775981</v>
      </c>
      <c r="BG92" s="201">
        <v>1.2310575845067617</v>
      </c>
      <c r="BH92" s="201">
        <v>1.2495234482743631</v>
      </c>
      <c r="BI92" s="201">
        <v>1.2682662999984782</v>
      </c>
      <c r="BJ92" s="201">
        <v>1.2872902944984554</v>
      </c>
      <c r="BK92" s="201">
        <v>1.3065996489159319</v>
      </c>
      <c r="BL92" s="201">
        <v>1</v>
      </c>
      <c r="BM92" s="201">
        <v>1.0075087154733169</v>
      </c>
      <c r="BN92" s="201">
        <v>1.0150174309466338</v>
      </c>
      <c r="BO92" s="201">
        <v>1.0225261464199509</v>
      </c>
      <c r="BP92" s="201">
        <v>1.0300348618932678</v>
      </c>
      <c r="BQ92" s="201">
        <v>1.0375435773665846</v>
      </c>
      <c r="BR92" s="201">
        <v>1.0450522928399046</v>
      </c>
      <c r="BS92" s="201">
        <v>1.0458970233306526</v>
      </c>
      <c r="BT92" s="201">
        <v>1.0467417538213979</v>
      </c>
      <c r="BU92" s="201">
        <v>1.0475864843121492</v>
      </c>
      <c r="BV92" s="201">
        <v>1.0484312148028971</v>
      </c>
      <c r="BW92" s="201">
        <v>1.0492759452936424</v>
      </c>
      <c r="BX92" s="201">
        <v>1.0501206757843937</v>
      </c>
      <c r="BY92" s="201">
        <v>1.0509654062751417</v>
      </c>
      <c r="BZ92" s="201">
        <v>1.0518101367658899</v>
      </c>
      <c r="CA92" s="201">
        <v>1.0526548672566383</v>
      </c>
      <c r="CB92" s="201">
        <v>1.0534995977473862</v>
      </c>
    </row>
    <row r="93" spans="1:80" x14ac:dyDescent="0.35">
      <c r="A93" t="s">
        <v>743</v>
      </c>
      <c r="B93" t="s">
        <v>859</v>
      </c>
      <c r="C93" s="206" t="s">
        <v>854</v>
      </c>
      <c r="D93" t="s">
        <v>742</v>
      </c>
      <c r="E93" s="130">
        <v>591.98634251836256</v>
      </c>
      <c r="F93" s="130">
        <f>NYSERDA_SupplyCurve_Raw[[#This Row],[Available Capacity (MWac)]]*NYSERDA_SupplyCurve_Raw[[#This Row],[2024 Weighted Avg Resource CapEx ($/kWac)]]</f>
        <v>1239243.2480070326</v>
      </c>
      <c r="G93" s="130">
        <f>NYSERDA_SupplyCurve_Raw[[#This Row],[Available Capacity (MWac)]]*NYSERDA_SupplyCurve_Raw[[#This Row],[2024 Weighted Avg OpEx ($/kWac-year)]]</f>
        <v>16353.252459610052</v>
      </c>
      <c r="H93" s="130">
        <v>2093.3645913775335</v>
      </c>
      <c r="I93" s="130">
        <v>119.3284025441892</v>
      </c>
      <c r="J93" s="130">
        <v>27.624374559118817</v>
      </c>
      <c r="K93" s="130">
        <f>NYSERDA_SupplyCurve_Raw[[#This Row],[2024 Weighted Avg Capacity Factor]]*NYSERDA_SupplyCurve_Raw[[#This Row],[Available Capacity (MWac)]]</f>
        <v>118.51566577217621</v>
      </c>
      <c r="L93" s="205">
        <v>0.20020000000000004</v>
      </c>
      <c r="M93" s="201">
        <v>1</v>
      </c>
      <c r="N93" s="201">
        <v>0.98205557700657897</v>
      </c>
      <c r="O93" s="201">
        <v>0.97508643687766761</v>
      </c>
      <c r="P93" s="201">
        <v>0.9710686978823494</v>
      </c>
      <c r="Q93" s="201">
        <v>0.96272883825255873</v>
      </c>
      <c r="R93" s="201">
        <v>0.96698974982375108</v>
      </c>
      <c r="S93" s="201">
        <v>0.97267407052031774</v>
      </c>
      <c r="T93" s="201">
        <v>0.97869557679238728</v>
      </c>
      <c r="U93" s="201">
        <v>0.98505703847148296</v>
      </c>
      <c r="V93" s="201">
        <v>0.99541170168847659</v>
      </c>
      <c r="W93" s="201">
        <v>1.0060348317132135</v>
      </c>
      <c r="X93" s="201">
        <v>1.0169311841464153</v>
      </c>
      <c r="Y93" s="201">
        <v>1.0281056158381721</v>
      </c>
      <c r="Z93" s="201">
        <v>1.0395630868515549</v>
      </c>
      <c r="AA93" s="201">
        <v>1.0513086624661188</v>
      </c>
      <c r="AB93" s="201">
        <v>1.0633475152220784</v>
      </c>
      <c r="AC93" s="201">
        <v>1.0756849270059703</v>
      </c>
      <c r="AD93" s="201">
        <v>1</v>
      </c>
      <c r="AE93" s="201">
        <v>1.0229999999999999</v>
      </c>
      <c r="AF93" s="201">
        <v>1.0465289999999998</v>
      </c>
      <c r="AG93" s="201">
        <v>1.0705991669999995</v>
      </c>
      <c r="AH93" s="201">
        <v>1.0952229478409994</v>
      </c>
      <c r="AI93" s="201">
        <v>1.1204130756413426</v>
      </c>
      <c r="AJ93" s="201">
        <v>1.1461825763810931</v>
      </c>
      <c r="AK93" s="201">
        <v>1.1725447756378584</v>
      </c>
      <c r="AL93" s="201">
        <v>1.1995133054775287</v>
      </c>
      <c r="AM93" s="201">
        <v>1.2271021115035117</v>
      </c>
      <c r="AN93" s="201">
        <v>1.2553254600680928</v>
      </c>
      <c r="AO93" s="201">
        <v>1.2841979456496588</v>
      </c>
      <c r="AP93" s="201">
        <v>1.3137344983996007</v>
      </c>
      <c r="AQ93" s="201">
        <v>1.3439503918627913</v>
      </c>
      <c r="AR93" s="201">
        <v>1.3748612508756353</v>
      </c>
      <c r="AS93" s="201">
        <v>1.4064830596457747</v>
      </c>
      <c r="AT93" s="201">
        <v>1.4388321700176276</v>
      </c>
      <c r="AU93" s="201">
        <v>1</v>
      </c>
      <c r="AV93" s="201">
        <v>1.0224300740672716</v>
      </c>
      <c r="AW93" s="201">
        <v>1.0453695014675704</v>
      </c>
      <c r="AX93" s="201">
        <v>1.0688299880638488</v>
      </c>
      <c r="AY93" s="201">
        <v>1.0928235118062259</v>
      </c>
      <c r="AZ93" s="201">
        <v>1.1092158644833192</v>
      </c>
      <c r="BA93" s="201">
        <v>1.125854102450569</v>
      </c>
      <c r="BB93" s="201">
        <v>1.1427419139873276</v>
      </c>
      <c r="BC93" s="201">
        <v>1.1598830426971376</v>
      </c>
      <c r="BD93" s="201">
        <v>1.1772812883375945</v>
      </c>
      <c r="BE93" s="201">
        <v>1.1949405076626582</v>
      </c>
      <c r="BF93" s="201">
        <v>1.2128646152775981</v>
      </c>
      <c r="BG93" s="201">
        <v>1.2310575845067617</v>
      </c>
      <c r="BH93" s="201">
        <v>1.2495234482743629</v>
      </c>
      <c r="BI93" s="201">
        <v>1.2682662999984782</v>
      </c>
      <c r="BJ93" s="201">
        <v>1.2872902944984552</v>
      </c>
      <c r="BK93" s="201">
        <v>1.3065996489159317</v>
      </c>
      <c r="BL93" s="201">
        <v>1</v>
      </c>
      <c r="BM93" s="201">
        <v>1.0075087154733169</v>
      </c>
      <c r="BN93" s="201">
        <v>1.0150174309466338</v>
      </c>
      <c r="BO93" s="201">
        <v>1.0225261464199509</v>
      </c>
      <c r="BP93" s="201">
        <v>1.0300348618932678</v>
      </c>
      <c r="BQ93" s="201">
        <v>1.0375435773665846</v>
      </c>
      <c r="BR93" s="201">
        <v>1.0450522928399046</v>
      </c>
      <c r="BS93" s="201">
        <v>1.0458970233306526</v>
      </c>
      <c r="BT93" s="201">
        <v>1.0467417538213979</v>
      </c>
      <c r="BU93" s="201">
        <v>1.0475864843121492</v>
      </c>
      <c r="BV93" s="201">
        <v>1.0484312148028971</v>
      </c>
      <c r="BW93" s="201">
        <v>1.0492759452936424</v>
      </c>
      <c r="BX93" s="201">
        <v>1.0501206757843937</v>
      </c>
      <c r="BY93" s="201">
        <v>1.0509654062751417</v>
      </c>
      <c r="BZ93" s="201">
        <v>1.0518101367658899</v>
      </c>
      <c r="CA93" s="201">
        <v>1.0526548672566383</v>
      </c>
      <c r="CB93" s="201">
        <v>1.0534995977473862</v>
      </c>
    </row>
    <row r="94" spans="1:80" x14ac:dyDescent="0.35">
      <c r="A94" t="s">
        <v>743</v>
      </c>
      <c r="B94" t="s">
        <v>860</v>
      </c>
      <c r="C94" s="206" t="s">
        <v>854</v>
      </c>
      <c r="D94" t="s">
        <v>736</v>
      </c>
      <c r="E94" s="130">
        <v>11457.654908113949</v>
      </c>
      <c r="F94" s="130">
        <f>NYSERDA_SupplyCurve_Raw[[#This Row],[Available Capacity (MWac)]]*NYSERDA_SupplyCurve_Raw[[#This Row],[2024 Weighted Avg Resource CapEx ($/kWac)]]</f>
        <v>20060675.136916924</v>
      </c>
      <c r="G94" s="130">
        <f>NYSERDA_SupplyCurve_Raw[[#This Row],[Available Capacity (MWac)]]*NYSERDA_SupplyCurve_Raw[[#This Row],[2024 Weighted Avg OpEx ($/kWac-year)]]</f>
        <v>310202.5831043598</v>
      </c>
      <c r="H94" s="130">
        <v>1750.8534946981679</v>
      </c>
      <c r="I94" s="130">
        <v>74.232080661510196</v>
      </c>
      <c r="J94" s="130">
        <v>27.073828422313902</v>
      </c>
      <c r="K94" s="130">
        <f>NYSERDA_SupplyCurve_Raw[[#This Row],[2024 Weighted Avg Capacity Factor]]*NYSERDA_SupplyCurve_Raw[[#This Row],[Available Capacity (MWac)]]</f>
        <v>2353.4023181266052</v>
      </c>
      <c r="L94" s="205">
        <v>0.2054</v>
      </c>
      <c r="M94" s="201">
        <v>1</v>
      </c>
      <c r="N94" s="201">
        <v>0.98205557700657919</v>
      </c>
      <c r="O94" s="201">
        <v>0.9750864368776675</v>
      </c>
      <c r="P94" s="201">
        <v>0.9710686978823494</v>
      </c>
      <c r="Q94" s="201">
        <v>0.96272883825255884</v>
      </c>
      <c r="R94" s="201">
        <v>0.96698974982375108</v>
      </c>
      <c r="S94" s="201">
        <v>0.97267407052031762</v>
      </c>
      <c r="T94" s="201">
        <v>0.97869557679238717</v>
      </c>
      <c r="U94" s="201">
        <v>0.98505703847148307</v>
      </c>
      <c r="V94" s="201">
        <v>0.99541170168847648</v>
      </c>
      <c r="W94" s="201">
        <v>1.0060348317132135</v>
      </c>
      <c r="X94" s="201">
        <v>1.0169311841464155</v>
      </c>
      <c r="Y94" s="201">
        <v>1.0281056158381721</v>
      </c>
      <c r="Z94" s="201">
        <v>1.0395630868515546</v>
      </c>
      <c r="AA94" s="201">
        <v>1.051308662466119</v>
      </c>
      <c r="AB94" s="201">
        <v>1.0633475152220786</v>
      </c>
      <c r="AC94" s="201">
        <v>1.0756849270059703</v>
      </c>
      <c r="AD94" s="201">
        <v>1</v>
      </c>
      <c r="AE94" s="201">
        <v>1.0229999999999999</v>
      </c>
      <c r="AF94" s="201">
        <v>1.0465289999999998</v>
      </c>
      <c r="AG94" s="201">
        <v>1.0705991669999997</v>
      </c>
      <c r="AH94" s="201">
        <v>1.0952229478409996</v>
      </c>
      <c r="AI94" s="201">
        <v>1.1204130756413426</v>
      </c>
      <c r="AJ94" s="201">
        <v>1.1461825763810931</v>
      </c>
      <c r="AK94" s="201">
        <v>1.1725447756378582</v>
      </c>
      <c r="AL94" s="201">
        <v>1.1995133054775289</v>
      </c>
      <c r="AM94" s="201">
        <v>1.2271021115035119</v>
      </c>
      <c r="AN94" s="201">
        <v>1.2553254600680925</v>
      </c>
      <c r="AO94" s="201">
        <v>1.2841979456496588</v>
      </c>
      <c r="AP94" s="201">
        <v>1.3137344983996004</v>
      </c>
      <c r="AQ94" s="201">
        <v>1.3439503918627915</v>
      </c>
      <c r="AR94" s="201">
        <v>1.3748612508756357</v>
      </c>
      <c r="AS94" s="201">
        <v>1.4064830596457749</v>
      </c>
      <c r="AT94" s="201">
        <v>1.4388321700176274</v>
      </c>
      <c r="AU94" s="201">
        <v>1</v>
      </c>
      <c r="AV94" s="201">
        <v>1.0224300740672718</v>
      </c>
      <c r="AW94" s="201">
        <v>1.0453695014675706</v>
      </c>
      <c r="AX94" s="201">
        <v>1.068829988063849</v>
      </c>
      <c r="AY94" s="201">
        <v>1.0928235118062262</v>
      </c>
      <c r="AZ94" s="201">
        <v>1.1092158644833194</v>
      </c>
      <c r="BA94" s="201">
        <v>1.1258541024505693</v>
      </c>
      <c r="BB94" s="201">
        <v>1.1427419139873276</v>
      </c>
      <c r="BC94" s="201">
        <v>1.1598830426971376</v>
      </c>
      <c r="BD94" s="201">
        <v>1.1772812883375947</v>
      </c>
      <c r="BE94" s="201">
        <v>1.1949405076626582</v>
      </c>
      <c r="BF94" s="201">
        <v>1.2128646152775981</v>
      </c>
      <c r="BG94" s="201">
        <v>1.2310575845067617</v>
      </c>
      <c r="BH94" s="201">
        <v>1.2495234482743631</v>
      </c>
      <c r="BI94" s="201">
        <v>1.2682662999984782</v>
      </c>
      <c r="BJ94" s="201">
        <v>1.2872902944984552</v>
      </c>
      <c r="BK94" s="201">
        <v>1.3065996489159319</v>
      </c>
      <c r="BL94" s="201">
        <v>1</v>
      </c>
      <c r="BM94" s="201">
        <v>1.0075087154733169</v>
      </c>
      <c r="BN94" s="201">
        <v>1.0150174309466338</v>
      </c>
      <c r="BO94" s="201">
        <v>1.0225261464199509</v>
      </c>
      <c r="BP94" s="201">
        <v>1.0300348618932678</v>
      </c>
      <c r="BQ94" s="201">
        <v>1.0375435773665846</v>
      </c>
      <c r="BR94" s="201">
        <v>1.0450522928399046</v>
      </c>
      <c r="BS94" s="201">
        <v>1.0458970233306526</v>
      </c>
      <c r="BT94" s="201">
        <v>1.0467417538213979</v>
      </c>
      <c r="BU94" s="201">
        <v>1.0475864843121492</v>
      </c>
      <c r="BV94" s="201">
        <v>1.0484312148028971</v>
      </c>
      <c r="BW94" s="201">
        <v>1.0492759452936424</v>
      </c>
      <c r="BX94" s="201">
        <v>1.0501206757843937</v>
      </c>
      <c r="BY94" s="201">
        <v>1.0509654062751417</v>
      </c>
      <c r="BZ94" s="201">
        <v>1.0518101367658899</v>
      </c>
      <c r="CA94" s="201">
        <v>1.0526548672566383</v>
      </c>
      <c r="CB94" s="201">
        <v>1.0534995977473862</v>
      </c>
    </row>
    <row r="95" spans="1:80" x14ac:dyDescent="0.35">
      <c r="A95" t="s">
        <v>743</v>
      </c>
      <c r="B95" t="s">
        <v>860</v>
      </c>
      <c r="C95" s="206" t="s">
        <v>854</v>
      </c>
      <c r="D95" t="s">
        <v>742</v>
      </c>
      <c r="E95" s="130">
        <v>744.66178542927128</v>
      </c>
      <c r="F95" s="130">
        <f>NYSERDA_SupplyCurve_Raw[[#This Row],[Available Capacity (MWac)]]*NYSERDA_SupplyCurve_Raw[[#This Row],[2024 Weighted Avg Resource CapEx ($/kWac)]]</f>
        <v>1489230.0873389062</v>
      </c>
      <c r="G95" s="130">
        <f>NYSERDA_SupplyCurve_Raw[[#This Row],[Available Capacity (MWac)]]*NYSERDA_SupplyCurve_Raw[[#This Row],[2024 Weighted Avg OpEx ($/kWac-year)]]</f>
        <v>20160.845411366019</v>
      </c>
      <c r="H95" s="130">
        <v>1999.8744617738341</v>
      </c>
      <c r="I95" s="130">
        <v>113.66190126643265</v>
      </c>
      <c r="J95" s="130">
        <v>27.073828422313898</v>
      </c>
      <c r="K95" s="130">
        <f>NYSERDA_SupplyCurve_Raw[[#This Row],[2024 Weighted Avg Capacity Factor]]*NYSERDA_SupplyCurve_Raw[[#This Row],[Available Capacity (MWac)]]</f>
        <v>152.95353072717228</v>
      </c>
      <c r="L95" s="205">
        <v>0.20539999999999994</v>
      </c>
      <c r="M95" s="201">
        <v>1</v>
      </c>
      <c r="N95" s="201">
        <v>0.98205557700657908</v>
      </c>
      <c r="O95" s="201">
        <v>0.97508643687766761</v>
      </c>
      <c r="P95" s="201">
        <v>0.9710686978823494</v>
      </c>
      <c r="Q95" s="201">
        <v>0.96272883825255906</v>
      </c>
      <c r="R95" s="201">
        <v>0.9669897498237513</v>
      </c>
      <c r="S95" s="201">
        <v>0.97267407052031785</v>
      </c>
      <c r="T95" s="201">
        <v>0.97869557679238706</v>
      </c>
      <c r="U95" s="201">
        <v>0.98505703847148318</v>
      </c>
      <c r="V95" s="201">
        <v>0.99541170168847648</v>
      </c>
      <c r="W95" s="201">
        <v>1.0060348317132135</v>
      </c>
      <c r="X95" s="201">
        <v>1.0169311841464155</v>
      </c>
      <c r="Y95" s="201">
        <v>1.0281056158381721</v>
      </c>
      <c r="Z95" s="201">
        <v>1.0395630868515546</v>
      </c>
      <c r="AA95" s="201">
        <v>1.051308662466119</v>
      </c>
      <c r="AB95" s="201">
        <v>1.0633475152220786</v>
      </c>
      <c r="AC95" s="201">
        <v>1.0756849270059705</v>
      </c>
      <c r="AD95" s="201">
        <v>1</v>
      </c>
      <c r="AE95" s="201">
        <v>1.0230000000000001</v>
      </c>
      <c r="AF95" s="201">
        <v>1.0465289999999996</v>
      </c>
      <c r="AG95" s="201">
        <v>1.0705991669999997</v>
      </c>
      <c r="AH95" s="201">
        <v>1.0952229478409994</v>
      </c>
      <c r="AI95" s="201">
        <v>1.1204130756413426</v>
      </c>
      <c r="AJ95" s="201">
        <v>1.1461825763810931</v>
      </c>
      <c r="AK95" s="201">
        <v>1.1725447756378582</v>
      </c>
      <c r="AL95" s="201">
        <v>1.1995133054775287</v>
      </c>
      <c r="AM95" s="201">
        <v>1.2271021115035119</v>
      </c>
      <c r="AN95" s="201">
        <v>1.2553254600680925</v>
      </c>
      <c r="AO95" s="201">
        <v>1.2841979456496586</v>
      </c>
      <c r="AP95" s="201">
        <v>1.3137344983996007</v>
      </c>
      <c r="AQ95" s="201">
        <v>1.3439503918627913</v>
      </c>
      <c r="AR95" s="201">
        <v>1.3748612508756353</v>
      </c>
      <c r="AS95" s="201">
        <v>1.4064830596457747</v>
      </c>
      <c r="AT95" s="201">
        <v>1.4388321700176272</v>
      </c>
      <c r="AU95" s="201">
        <v>1</v>
      </c>
      <c r="AV95" s="201">
        <v>1.0224300740672718</v>
      </c>
      <c r="AW95" s="201">
        <v>1.0453695014675706</v>
      </c>
      <c r="AX95" s="201">
        <v>1.068829988063849</v>
      </c>
      <c r="AY95" s="201">
        <v>1.0928235118062262</v>
      </c>
      <c r="AZ95" s="201">
        <v>1.1092158644833194</v>
      </c>
      <c r="BA95" s="201">
        <v>1.125854102450569</v>
      </c>
      <c r="BB95" s="201">
        <v>1.1427419139873274</v>
      </c>
      <c r="BC95" s="201">
        <v>1.1598830426971376</v>
      </c>
      <c r="BD95" s="201">
        <v>1.1772812883375945</v>
      </c>
      <c r="BE95" s="201">
        <v>1.194940507662658</v>
      </c>
      <c r="BF95" s="201">
        <v>1.2128646152775979</v>
      </c>
      <c r="BG95" s="201">
        <v>1.2310575845067617</v>
      </c>
      <c r="BH95" s="201">
        <v>1.2495234482743633</v>
      </c>
      <c r="BI95" s="201">
        <v>1.2682662999984784</v>
      </c>
      <c r="BJ95" s="201">
        <v>1.287290294498455</v>
      </c>
      <c r="BK95" s="201">
        <v>1.3065996489159319</v>
      </c>
      <c r="BL95" s="201">
        <v>1</v>
      </c>
      <c r="BM95" s="201">
        <v>1.0075087154733169</v>
      </c>
      <c r="BN95" s="201">
        <v>1.0150174309466338</v>
      </c>
      <c r="BO95" s="201">
        <v>1.0225261464199509</v>
      </c>
      <c r="BP95" s="201">
        <v>1.0300348618932678</v>
      </c>
      <c r="BQ95" s="201">
        <v>1.0375435773665846</v>
      </c>
      <c r="BR95" s="201">
        <v>1.0450522928399046</v>
      </c>
      <c r="BS95" s="201">
        <v>1.0458970233306526</v>
      </c>
      <c r="BT95" s="201">
        <v>1.0467417538213979</v>
      </c>
      <c r="BU95" s="201">
        <v>1.0475864843121492</v>
      </c>
      <c r="BV95" s="201">
        <v>1.0484312148028971</v>
      </c>
      <c r="BW95" s="201">
        <v>1.0492759452936424</v>
      </c>
      <c r="BX95" s="201">
        <v>1.0501206757843937</v>
      </c>
      <c r="BY95" s="201">
        <v>1.0509654062751417</v>
      </c>
      <c r="BZ95" s="201">
        <v>1.0518101367658899</v>
      </c>
      <c r="CA95" s="201">
        <v>1.0526548672566383</v>
      </c>
      <c r="CB95" s="201">
        <v>1.0534995977473862</v>
      </c>
    </row>
    <row r="96" spans="1:80" x14ac:dyDescent="0.35">
      <c r="A96" t="s">
        <v>743</v>
      </c>
      <c r="B96" t="s">
        <v>861</v>
      </c>
      <c r="C96" s="206" t="s">
        <v>854</v>
      </c>
      <c r="D96" t="s">
        <v>736</v>
      </c>
      <c r="E96" s="130">
        <v>2295.8644617288196</v>
      </c>
      <c r="F96" s="130">
        <f>NYSERDA_SupplyCurve_Raw[[#This Row],[Available Capacity (MWac)]]*NYSERDA_SupplyCurve_Raw[[#This Row],[2024 Weighted Avg Resource CapEx ($/kWac)]]</f>
        <v>4019722.3161712317</v>
      </c>
      <c r="G96" s="130">
        <f>NYSERDA_SupplyCurve_Raw[[#This Row],[Available Capacity (MWac)]]*NYSERDA_SupplyCurve_Raw[[#This Row],[2024 Weighted Avg OpEx ($/kWac-year)]]</f>
        <v>62157.840517734126</v>
      </c>
      <c r="H96" s="130">
        <v>1750.8534946981679</v>
      </c>
      <c r="I96" s="130">
        <v>55.192188154030319</v>
      </c>
      <c r="J96" s="130">
        <v>27.073828422313902</v>
      </c>
      <c r="K96" s="130">
        <f>NYSERDA_SupplyCurve_Raw[[#This Row],[2024 Weighted Avg Capacity Factor]]*NYSERDA_SupplyCurve_Raw[[#This Row],[Available Capacity (MWac)]]</f>
        <v>459.6320652381097</v>
      </c>
      <c r="L96" s="205">
        <v>0.20020000000000002</v>
      </c>
      <c r="M96" s="201">
        <v>1</v>
      </c>
      <c r="N96" s="201">
        <v>0.98205557700657931</v>
      </c>
      <c r="O96" s="201">
        <v>0.9750864368776675</v>
      </c>
      <c r="P96" s="201">
        <v>0.9710686978823494</v>
      </c>
      <c r="Q96" s="201">
        <v>0.96272883825255906</v>
      </c>
      <c r="R96" s="201">
        <v>0.96698974982375108</v>
      </c>
      <c r="S96" s="201">
        <v>0.97267407052031785</v>
      </c>
      <c r="T96" s="201">
        <v>0.97869557679238706</v>
      </c>
      <c r="U96" s="201">
        <v>0.98505703847148307</v>
      </c>
      <c r="V96" s="201">
        <v>0.99541170168847648</v>
      </c>
      <c r="W96" s="201">
        <v>1.0060348317132133</v>
      </c>
      <c r="X96" s="201">
        <v>1.0169311841464155</v>
      </c>
      <c r="Y96" s="201">
        <v>1.0281056158381721</v>
      </c>
      <c r="Z96" s="201">
        <v>1.0395630868515546</v>
      </c>
      <c r="AA96" s="201">
        <v>1.051308662466119</v>
      </c>
      <c r="AB96" s="201">
        <v>1.0633475152220786</v>
      </c>
      <c r="AC96" s="201">
        <v>1.0756849270059705</v>
      </c>
      <c r="AD96" s="201">
        <v>1</v>
      </c>
      <c r="AE96" s="201">
        <v>1.0229999999999999</v>
      </c>
      <c r="AF96" s="201">
        <v>1.0465289999999998</v>
      </c>
      <c r="AG96" s="201">
        <v>1.0705991669999995</v>
      </c>
      <c r="AH96" s="201">
        <v>1.0952229478409994</v>
      </c>
      <c r="AI96" s="201">
        <v>1.1204130756413426</v>
      </c>
      <c r="AJ96" s="201">
        <v>1.1461825763810931</v>
      </c>
      <c r="AK96" s="201">
        <v>1.1725447756378582</v>
      </c>
      <c r="AL96" s="201">
        <v>1.1995133054775289</v>
      </c>
      <c r="AM96" s="201">
        <v>1.2271021115035117</v>
      </c>
      <c r="AN96" s="201">
        <v>1.2553254600680923</v>
      </c>
      <c r="AO96" s="201">
        <v>1.2841979456496584</v>
      </c>
      <c r="AP96" s="201">
        <v>1.3137344983996004</v>
      </c>
      <c r="AQ96" s="201">
        <v>1.3439503918627913</v>
      </c>
      <c r="AR96" s="201">
        <v>1.374861250875635</v>
      </c>
      <c r="AS96" s="201">
        <v>1.4064830596457745</v>
      </c>
      <c r="AT96" s="201">
        <v>1.4388321700176272</v>
      </c>
      <c r="AU96" s="201">
        <v>1</v>
      </c>
      <c r="AV96" s="201">
        <v>1.0224300740672718</v>
      </c>
      <c r="AW96" s="201">
        <v>1.0453695014675706</v>
      </c>
      <c r="AX96" s="201">
        <v>1.0688299880638492</v>
      </c>
      <c r="AY96" s="201">
        <v>1.0928235118062262</v>
      </c>
      <c r="AZ96" s="201">
        <v>1.1092158644833192</v>
      </c>
      <c r="BA96" s="201">
        <v>1.125854102450569</v>
      </c>
      <c r="BB96" s="201">
        <v>1.1427419139873274</v>
      </c>
      <c r="BC96" s="201">
        <v>1.1598830426971376</v>
      </c>
      <c r="BD96" s="201">
        <v>1.1772812883375947</v>
      </c>
      <c r="BE96" s="201">
        <v>1.194940507662658</v>
      </c>
      <c r="BF96" s="201">
        <v>1.2128646152775981</v>
      </c>
      <c r="BG96" s="201">
        <v>1.2310575845067617</v>
      </c>
      <c r="BH96" s="201">
        <v>1.2495234482743631</v>
      </c>
      <c r="BI96" s="201">
        <v>1.2682662999984782</v>
      </c>
      <c r="BJ96" s="201">
        <v>1.2872902944984552</v>
      </c>
      <c r="BK96" s="201">
        <v>1.3065996489159319</v>
      </c>
      <c r="BL96" s="201">
        <v>1</v>
      </c>
      <c r="BM96" s="201">
        <v>1.0075087154733169</v>
      </c>
      <c r="BN96" s="201">
        <v>1.0150174309466338</v>
      </c>
      <c r="BO96" s="201">
        <v>1.0225261464199509</v>
      </c>
      <c r="BP96" s="201">
        <v>1.0300348618932678</v>
      </c>
      <c r="BQ96" s="201">
        <v>1.0375435773665846</v>
      </c>
      <c r="BR96" s="201">
        <v>1.0450522928399046</v>
      </c>
      <c r="BS96" s="201">
        <v>1.0458970233306526</v>
      </c>
      <c r="BT96" s="201">
        <v>1.0467417538213979</v>
      </c>
      <c r="BU96" s="201">
        <v>1.0475864843121492</v>
      </c>
      <c r="BV96" s="201">
        <v>1.0484312148028971</v>
      </c>
      <c r="BW96" s="201">
        <v>1.0492759452936424</v>
      </c>
      <c r="BX96" s="201">
        <v>1.0501206757843937</v>
      </c>
      <c r="BY96" s="201">
        <v>1.0509654062751417</v>
      </c>
      <c r="BZ96" s="201">
        <v>1.0518101367658899</v>
      </c>
      <c r="CA96" s="201">
        <v>1.0526548672566383</v>
      </c>
      <c r="CB96" s="201">
        <v>1.0534995977473862</v>
      </c>
    </row>
    <row r="97" spans="1:80" x14ac:dyDescent="0.35">
      <c r="A97" t="s">
        <v>743</v>
      </c>
      <c r="B97" t="s">
        <v>861</v>
      </c>
      <c r="C97" s="206" t="s">
        <v>854</v>
      </c>
      <c r="D97" t="s">
        <v>742</v>
      </c>
      <c r="E97" s="130">
        <v>678.64909255174939</v>
      </c>
      <c r="F97" s="130">
        <f>NYSERDA_SupplyCurve_Raw[[#This Row],[Available Capacity (MWac)]]*NYSERDA_SupplyCurve_Raw[[#This Row],[2024 Weighted Avg Resource CapEx ($/kWac)]]</f>
        <v>1408595.1530491109</v>
      </c>
      <c r="G97" s="130">
        <f>NYSERDA_SupplyCurve_Raw[[#This Row],[Available Capacity (MWac)]]*NYSERDA_SupplyCurve_Raw[[#This Row],[2024 Weighted Avg OpEx ($/kWac-year)]]</f>
        <v>18373.62909070509</v>
      </c>
      <c r="H97" s="130">
        <v>2075.5868806259409</v>
      </c>
      <c r="I97" s="130">
        <v>127.54858747512898</v>
      </c>
      <c r="J97" s="130">
        <v>27.073828422313902</v>
      </c>
      <c r="K97" s="130">
        <f>NYSERDA_SupplyCurve_Raw[[#This Row],[2024 Weighted Avg Capacity Factor]]*NYSERDA_SupplyCurve_Raw[[#This Row],[Available Capacity (MWac)]]</f>
        <v>135.86554832886023</v>
      </c>
      <c r="L97" s="205">
        <v>0.20019999999999999</v>
      </c>
      <c r="M97" s="201">
        <v>1</v>
      </c>
      <c r="N97" s="201">
        <v>0.98205557700657908</v>
      </c>
      <c r="O97" s="201">
        <v>0.9750864368776675</v>
      </c>
      <c r="P97" s="201">
        <v>0.9710686978823494</v>
      </c>
      <c r="Q97" s="201">
        <v>0.96272883825255884</v>
      </c>
      <c r="R97" s="201">
        <v>0.96698974982375119</v>
      </c>
      <c r="S97" s="201">
        <v>0.97267407052031774</v>
      </c>
      <c r="T97" s="201">
        <v>0.97869557679238695</v>
      </c>
      <c r="U97" s="201">
        <v>0.98505703847148296</v>
      </c>
      <c r="V97" s="201">
        <v>0.99541170168847626</v>
      </c>
      <c r="W97" s="201">
        <v>1.0060348317132133</v>
      </c>
      <c r="X97" s="201">
        <v>1.0169311841464153</v>
      </c>
      <c r="Y97" s="201">
        <v>1.0281056158381716</v>
      </c>
      <c r="Z97" s="201">
        <v>1.0395630868515546</v>
      </c>
      <c r="AA97" s="201">
        <v>1.051308662466119</v>
      </c>
      <c r="AB97" s="201">
        <v>1.0633475152220784</v>
      </c>
      <c r="AC97" s="201">
        <v>1.0756849270059705</v>
      </c>
      <c r="AD97" s="201">
        <v>1</v>
      </c>
      <c r="AE97" s="201">
        <v>1.0229999999999997</v>
      </c>
      <c r="AF97" s="201">
        <v>1.0465289999999998</v>
      </c>
      <c r="AG97" s="201">
        <v>1.0705991669999997</v>
      </c>
      <c r="AH97" s="201">
        <v>1.0952229478409996</v>
      </c>
      <c r="AI97" s="201">
        <v>1.1204130756413426</v>
      </c>
      <c r="AJ97" s="201">
        <v>1.1461825763810933</v>
      </c>
      <c r="AK97" s="201">
        <v>1.1725447756378582</v>
      </c>
      <c r="AL97" s="201">
        <v>1.1995133054775289</v>
      </c>
      <c r="AM97" s="201">
        <v>1.2271021115035121</v>
      </c>
      <c r="AN97" s="201">
        <v>1.255325460068093</v>
      </c>
      <c r="AO97" s="201">
        <v>1.2841979456496588</v>
      </c>
      <c r="AP97" s="201">
        <v>1.3137344983996009</v>
      </c>
      <c r="AQ97" s="201">
        <v>1.3439503918627915</v>
      </c>
      <c r="AR97" s="201">
        <v>1.3748612508756353</v>
      </c>
      <c r="AS97" s="201">
        <v>1.4064830596457749</v>
      </c>
      <c r="AT97" s="201">
        <v>1.4388321700176276</v>
      </c>
      <c r="AU97" s="201">
        <v>1</v>
      </c>
      <c r="AV97" s="201">
        <v>1.0224300740672716</v>
      </c>
      <c r="AW97" s="201">
        <v>1.0453695014675706</v>
      </c>
      <c r="AX97" s="201">
        <v>1.068829988063849</v>
      </c>
      <c r="AY97" s="201">
        <v>1.0928235118062262</v>
      </c>
      <c r="AZ97" s="201">
        <v>1.1092158644833192</v>
      </c>
      <c r="BA97" s="201">
        <v>1.125854102450569</v>
      </c>
      <c r="BB97" s="201">
        <v>1.1427419139873276</v>
      </c>
      <c r="BC97" s="201">
        <v>1.1598830426971376</v>
      </c>
      <c r="BD97" s="201">
        <v>1.1772812883375945</v>
      </c>
      <c r="BE97" s="201">
        <v>1.194940507662658</v>
      </c>
      <c r="BF97" s="201">
        <v>1.2128646152775981</v>
      </c>
      <c r="BG97" s="201">
        <v>1.2310575845067615</v>
      </c>
      <c r="BH97" s="201">
        <v>1.2495234482743631</v>
      </c>
      <c r="BI97" s="201">
        <v>1.268266299998478</v>
      </c>
      <c r="BJ97" s="201">
        <v>1.287290294498455</v>
      </c>
      <c r="BK97" s="201">
        <v>1.3065996489159319</v>
      </c>
      <c r="BL97" s="201">
        <v>1</v>
      </c>
      <c r="BM97" s="201">
        <v>1.0075087154733169</v>
      </c>
      <c r="BN97" s="201">
        <v>1.0150174309466338</v>
      </c>
      <c r="BO97" s="201">
        <v>1.0225261464199509</v>
      </c>
      <c r="BP97" s="201">
        <v>1.0300348618932678</v>
      </c>
      <c r="BQ97" s="201">
        <v>1.0375435773665846</v>
      </c>
      <c r="BR97" s="201">
        <v>1.0450522928399046</v>
      </c>
      <c r="BS97" s="201">
        <v>1.0458970233306526</v>
      </c>
      <c r="BT97" s="201">
        <v>1.0467417538213979</v>
      </c>
      <c r="BU97" s="201">
        <v>1.0475864843121492</v>
      </c>
      <c r="BV97" s="201">
        <v>1.0484312148028971</v>
      </c>
      <c r="BW97" s="201">
        <v>1.0492759452936424</v>
      </c>
      <c r="BX97" s="201">
        <v>1.0501206757843937</v>
      </c>
      <c r="BY97" s="201">
        <v>1.0509654062751417</v>
      </c>
      <c r="BZ97" s="201">
        <v>1.0518101367658899</v>
      </c>
      <c r="CA97" s="201">
        <v>1.0526548672566383</v>
      </c>
      <c r="CB97" s="201">
        <v>1.0534995977473862</v>
      </c>
    </row>
    <row r="98" spans="1:80" x14ac:dyDescent="0.35">
      <c r="A98" t="s">
        <v>743</v>
      </c>
      <c r="B98" t="s">
        <v>862</v>
      </c>
      <c r="C98" s="206" t="s">
        <v>845</v>
      </c>
      <c r="D98" t="s">
        <v>736</v>
      </c>
      <c r="E98" s="130">
        <v>76.104804550696997</v>
      </c>
      <c r="F98" s="130">
        <f>NYSERDA_SupplyCurve_Raw[[#This Row],[Available Capacity (MWac)]]*NYSERDA_SupplyCurve_Raw[[#This Row],[2024 Weighted Avg Resource CapEx ($/kWac)]]</f>
        <v>144296.14285586073</v>
      </c>
      <c r="G98" s="130">
        <f>NYSERDA_SupplyCurve_Raw[[#This Row],[Available Capacity (MWac)]]*NYSERDA_SupplyCurve_Raw[[#This Row],[2024 Weighted Avg OpEx ($/kWac-year)]]</f>
        <v>2046.0829784149578</v>
      </c>
      <c r="H98" s="130">
        <v>1896.0188349178175</v>
      </c>
      <c r="I98" s="130">
        <v>113.64092364513404</v>
      </c>
      <c r="J98" s="130">
        <v>26.885069746837935</v>
      </c>
      <c r="K98" s="130">
        <f>NYSERDA_SupplyCurve_Raw[[#This Row],[2024 Weighted Avg Capacity Factor]]*NYSERDA_SupplyCurve_Raw[[#This Row],[Available Capacity (MWac)]]</f>
        <v>15.335118116965447</v>
      </c>
      <c r="L98" s="205">
        <v>0.20150000000000001</v>
      </c>
      <c r="M98" s="201">
        <v>1</v>
      </c>
      <c r="N98" s="201">
        <v>0.98205557700657886</v>
      </c>
      <c r="O98" s="201">
        <v>0.97508643687766716</v>
      </c>
      <c r="P98" s="201">
        <v>0.97106869788234929</v>
      </c>
      <c r="Q98" s="201">
        <v>0.96272883825255873</v>
      </c>
      <c r="R98" s="201">
        <v>0.96698974982375097</v>
      </c>
      <c r="S98" s="201">
        <v>0.9726740705203174</v>
      </c>
      <c r="T98" s="201">
        <v>0.97869557679238695</v>
      </c>
      <c r="U98" s="201">
        <v>0.98505703847148274</v>
      </c>
      <c r="V98" s="201">
        <v>0.99541170168847615</v>
      </c>
      <c r="W98" s="201">
        <v>1.0060348317132131</v>
      </c>
      <c r="X98" s="201">
        <v>1.0169311841464153</v>
      </c>
      <c r="Y98" s="201">
        <v>1.0281056158381714</v>
      </c>
      <c r="Z98" s="201">
        <v>1.0395630868515544</v>
      </c>
      <c r="AA98" s="201">
        <v>1.0513086624661185</v>
      </c>
      <c r="AB98" s="201">
        <v>1.0633475152220784</v>
      </c>
      <c r="AC98" s="201">
        <v>1.0756849270059703</v>
      </c>
      <c r="AD98" s="201">
        <v>1</v>
      </c>
      <c r="AE98" s="201">
        <v>1.0230000000000001</v>
      </c>
      <c r="AF98" s="201">
        <v>1.0465289999999996</v>
      </c>
      <c r="AG98" s="201">
        <v>1.0705991669999999</v>
      </c>
      <c r="AH98" s="201">
        <v>1.0952229478409996</v>
      </c>
      <c r="AI98" s="201">
        <v>1.1204130756413426</v>
      </c>
      <c r="AJ98" s="201">
        <v>1.1461825763810931</v>
      </c>
      <c r="AK98" s="201">
        <v>1.1725447756378582</v>
      </c>
      <c r="AL98" s="201">
        <v>1.1995133054775289</v>
      </c>
      <c r="AM98" s="201">
        <v>1.2271021115035119</v>
      </c>
      <c r="AN98" s="201">
        <v>1.2553254600680928</v>
      </c>
      <c r="AO98" s="201">
        <v>1.2841979456496586</v>
      </c>
      <c r="AP98" s="201">
        <v>1.3137344983996004</v>
      </c>
      <c r="AQ98" s="201">
        <v>1.3439503918627913</v>
      </c>
      <c r="AR98" s="201">
        <v>1.3748612508756353</v>
      </c>
      <c r="AS98" s="201">
        <v>1.4064830596457747</v>
      </c>
      <c r="AT98" s="201">
        <v>1.4388321700176274</v>
      </c>
      <c r="AU98" s="201">
        <v>1</v>
      </c>
      <c r="AV98" s="201">
        <v>1.0224300740672716</v>
      </c>
      <c r="AW98" s="201">
        <v>1.0453695014675706</v>
      </c>
      <c r="AX98" s="201">
        <v>1.0688299880638492</v>
      </c>
      <c r="AY98" s="201">
        <v>1.0928235118062262</v>
      </c>
      <c r="AZ98" s="201">
        <v>1.1092158644833197</v>
      </c>
      <c r="BA98" s="201">
        <v>1.1258541024505693</v>
      </c>
      <c r="BB98" s="201">
        <v>1.1427419139873276</v>
      </c>
      <c r="BC98" s="201">
        <v>1.1598830426971376</v>
      </c>
      <c r="BD98" s="201">
        <v>1.1772812883375947</v>
      </c>
      <c r="BE98" s="201">
        <v>1.1949405076626582</v>
      </c>
      <c r="BF98" s="201">
        <v>1.2128646152775979</v>
      </c>
      <c r="BG98" s="201">
        <v>1.2310575845067619</v>
      </c>
      <c r="BH98" s="201">
        <v>1.2495234482743629</v>
      </c>
      <c r="BI98" s="201">
        <v>1.2682662999984782</v>
      </c>
      <c r="BJ98" s="201">
        <v>1.2872902944984552</v>
      </c>
      <c r="BK98" s="201">
        <v>1.3065996489159319</v>
      </c>
      <c r="BL98" s="201">
        <v>1</v>
      </c>
      <c r="BM98" s="201">
        <v>1.0075087154733169</v>
      </c>
      <c r="BN98" s="201">
        <v>1.0150174309466338</v>
      </c>
      <c r="BO98" s="201">
        <v>1.0225261464199509</v>
      </c>
      <c r="BP98" s="201">
        <v>1.0300348618932678</v>
      </c>
      <c r="BQ98" s="201">
        <v>1.0375435773665846</v>
      </c>
      <c r="BR98" s="201">
        <v>1.0450522928399046</v>
      </c>
      <c r="BS98" s="201">
        <v>1.0458970233306526</v>
      </c>
      <c r="BT98" s="201">
        <v>1.0467417538213979</v>
      </c>
      <c r="BU98" s="201">
        <v>1.0475864843121492</v>
      </c>
      <c r="BV98" s="201">
        <v>1.0484312148028971</v>
      </c>
      <c r="BW98" s="201">
        <v>1.0492759452936424</v>
      </c>
      <c r="BX98" s="201">
        <v>1.0501206757843937</v>
      </c>
      <c r="BY98" s="201">
        <v>1.0509654062751417</v>
      </c>
      <c r="BZ98" s="201">
        <v>1.0518101367658899</v>
      </c>
      <c r="CA98" s="201">
        <v>1.0526548672566383</v>
      </c>
      <c r="CB98" s="201">
        <v>1.0534995977473862</v>
      </c>
    </row>
    <row r="99" spans="1:80" x14ac:dyDescent="0.35">
      <c r="A99" t="s">
        <v>743</v>
      </c>
      <c r="B99" t="s">
        <v>862</v>
      </c>
      <c r="C99" s="206" t="s">
        <v>845</v>
      </c>
      <c r="D99" t="s">
        <v>742</v>
      </c>
      <c r="E99" s="130">
        <v>347.43994735638694</v>
      </c>
      <c r="F99" s="130">
        <f>NYSERDA_SupplyCurve_Raw[[#This Row],[Available Capacity (MWac)]]*NYSERDA_SupplyCurve_Raw[[#This Row],[2024 Weighted Avg Resource CapEx ($/kWac)]]</f>
        <v>720592.0533942756</v>
      </c>
      <c r="G99" s="130">
        <f>NYSERDA_SupplyCurve_Raw[[#This Row],[Available Capacity (MWac)]]*NYSERDA_SupplyCurve_Raw[[#This Row],[2024 Weighted Avg OpEx ($/kWac-year)]]</f>
        <v>9340.9472175141636</v>
      </c>
      <c r="H99" s="130">
        <v>2074.0046125298522</v>
      </c>
      <c r="I99" s="130">
        <v>137.04896389359405</v>
      </c>
      <c r="J99" s="130">
        <v>26.885069746837935</v>
      </c>
      <c r="K99" s="130">
        <f>NYSERDA_SupplyCurve_Raw[[#This Row],[2024 Weighted Avg Capacity Factor]]*NYSERDA_SupplyCurve_Raw[[#This Row],[Available Capacity (MWac)]]</f>
        <v>70.009149392311969</v>
      </c>
      <c r="L99" s="205">
        <v>0.20150000000000001</v>
      </c>
      <c r="M99" s="201">
        <v>1</v>
      </c>
      <c r="N99" s="201">
        <v>0.98205557700657897</v>
      </c>
      <c r="O99" s="201">
        <v>0.97508643687766727</v>
      </c>
      <c r="P99" s="201">
        <v>0.97106869788234917</v>
      </c>
      <c r="Q99" s="201">
        <v>0.96272883825255873</v>
      </c>
      <c r="R99" s="201">
        <v>0.96698974982375097</v>
      </c>
      <c r="S99" s="201">
        <v>0.97267407052031762</v>
      </c>
      <c r="T99" s="201">
        <v>0.97869557679238683</v>
      </c>
      <c r="U99" s="201">
        <v>0.98505703847148296</v>
      </c>
      <c r="V99" s="201">
        <v>0.99541170168847615</v>
      </c>
      <c r="W99" s="201">
        <v>1.0060348317132133</v>
      </c>
      <c r="X99" s="201">
        <v>1.0169311841464153</v>
      </c>
      <c r="Y99" s="201">
        <v>1.0281056158381718</v>
      </c>
      <c r="Z99" s="201">
        <v>1.0395630868515544</v>
      </c>
      <c r="AA99" s="201">
        <v>1.0513086624661185</v>
      </c>
      <c r="AB99" s="201">
        <v>1.0633475152220784</v>
      </c>
      <c r="AC99" s="201">
        <v>1.0756849270059701</v>
      </c>
      <c r="AD99" s="201">
        <v>1</v>
      </c>
      <c r="AE99" s="201">
        <v>1.0229999999999999</v>
      </c>
      <c r="AF99" s="201">
        <v>1.0465289999999998</v>
      </c>
      <c r="AG99" s="201">
        <v>1.0705991669999995</v>
      </c>
      <c r="AH99" s="201">
        <v>1.0952229478409994</v>
      </c>
      <c r="AI99" s="201">
        <v>1.1204130756413426</v>
      </c>
      <c r="AJ99" s="201">
        <v>1.1461825763810931</v>
      </c>
      <c r="AK99" s="201">
        <v>1.1725447756378584</v>
      </c>
      <c r="AL99" s="201">
        <v>1.1995133054775287</v>
      </c>
      <c r="AM99" s="201">
        <v>1.2271021115035117</v>
      </c>
      <c r="AN99" s="201">
        <v>1.2553254600680925</v>
      </c>
      <c r="AO99" s="201">
        <v>1.2841979456496586</v>
      </c>
      <c r="AP99" s="201">
        <v>1.3137344983996007</v>
      </c>
      <c r="AQ99" s="201">
        <v>1.3439503918627915</v>
      </c>
      <c r="AR99" s="201">
        <v>1.374861250875635</v>
      </c>
      <c r="AS99" s="201">
        <v>1.4064830596457745</v>
      </c>
      <c r="AT99" s="201">
        <v>1.4388321700176272</v>
      </c>
      <c r="AU99" s="201">
        <v>1</v>
      </c>
      <c r="AV99" s="201">
        <v>1.0224300740672718</v>
      </c>
      <c r="AW99" s="201">
        <v>1.0453695014675706</v>
      </c>
      <c r="AX99" s="201">
        <v>1.068829988063849</v>
      </c>
      <c r="AY99" s="201">
        <v>1.0928235118062262</v>
      </c>
      <c r="AZ99" s="201">
        <v>1.1092158644833194</v>
      </c>
      <c r="BA99" s="201">
        <v>1.1258541024505693</v>
      </c>
      <c r="BB99" s="201">
        <v>1.1427419139873278</v>
      </c>
      <c r="BC99" s="201">
        <v>1.1598830426971376</v>
      </c>
      <c r="BD99" s="201">
        <v>1.1772812883375945</v>
      </c>
      <c r="BE99" s="201">
        <v>1.1949405076626582</v>
      </c>
      <c r="BF99" s="201">
        <v>1.2128646152775979</v>
      </c>
      <c r="BG99" s="201">
        <v>1.2310575845067619</v>
      </c>
      <c r="BH99" s="201">
        <v>1.2495234482743629</v>
      </c>
      <c r="BI99" s="201">
        <v>1.2682662999984782</v>
      </c>
      <c r="BJ99" s="201">
        <v>1.2872902944984552</v>
      </c>
      <c r="BK99" s="201">
        <v>1.3065996489159319</v>
      </c>
      <c r="BL99" s="201">
        <v>1</v>
      </c>
      <c r="BM99" s="201">
        <v>1.0075087154733169</v>
      </c>
      <c r="BN99" s="201">
        <v>1.0150174309466338</v>
      </c>
      <c r="BO99" s="201">
        <v>1.0225261464199509</v>
      </c>
      <c r="BP99" s="201">
        <v>1.0300348618932678</v>
      </c>
      <c r="BQ99" s="201">
        <v>1.0375435773665846</v>
      </c>
      <c r="BR99" s="201">
        <v>1.0450522928399046</v>
      </c>
      <c r="BS99" s="201">
        <v>1.0458970233306526</v>
      </c>
      <c r="BT99" s="201">
        <v>1.0467417538213979</v>
      </c>
      <c r="BU99" s="201">
        <v>1.0475864843121492</v>
      </c>
      <c r="BV99" s="201">
        <v>1.0484312148028971</v>
      </c>
      <c r="BW99" s="201">
        <v>1.0492759452936424</v>
      </c>
      <c r="BX99" s="201">
        <v>1.0501206757843937</v>
      </c>
      <c r="BY99" s="201">
        <v>1.0509654062751417</v>
      </c>
      <c r="BZ99" s="201">
        <v>1.0518101367658899</v>
      </c>
      <c r="CA99" s="201">
        <v>1.0526548672566383</v>
      </c>
      <c r="CB99" s="201">
        <v>1.0534995977473862</v>
      </c>
    </row>
    <row r="100" spans="1:80" x14ac:dyDescent="0.35">
      <c r="A100" t="s">
        <v>743</v>
      </c>
      <c r="B100" t="s">
        <v>863</v>
      </c>
      <c r="C100" s="206" t="s">
        <v>854</v>
      </c>
      <c r="D100" t="s">
        <v>736</v>
      </c>
      <c r="E100" s="130">
        <v>597.70909224418779</v>
      </c>
      <c r="F100" s="130">
        <f>NYSERDA_SupplyCurve_Raw[[#This Row],[Available Capacity (MWac)]]*NYSERDA_SupplyCurve_Raw[[#This Row],[2024 Weighted Avg Resource CapEx ($/kWac)]]</f>
        <v>1085659.4469823709</v>
      </c>
      <c r="G100" s="130">
        <f>NYSERDA_SupplyCurve_Raw[[#This Row],[Available Capacity (MWac)]]*NYSERDA_SupplyCurve_Raw[[#This Row],[2024 Weighted Avg OpEx ($/kWac-year)]]</f>
        <v>16511.339841544337</v>
      </c>
      <c r="H100" s="130">
        <v>1816.3676294534869</v>
      </c>
      <c r="I100" s="130">
        <v>46.435436575305829</v>
      </c>
      <c r="J100" s="130">
        <v>27.624374559118806</v>
      </c>
      <c r="K100" s="130">
        <f>NYSERDA_SupplyCurve_Raw[[#This Row],[2024 Weighted Avg Capacity Factor]]*NYSERDA_SupplyCurve_Raw[[#This Row],[Available Capacity (MWac)]]</f>
        <v>118.88433844736895</v>
      </c>
      <c r="L100" s="205">
        <v>0.19889999999999999</v>
      </c>
      <c r="M100" s="201">
        <v>1</v>
      </c>
      <c r="N100" s="201">
        <v>0.98205557700657931</v>
      </c>
      <c r="O100" s="201">
        <v>0.97508643687766761</v>
      </c>
      <c r="P100" s="201">
        <v>0.97106869788234951</v>
      </c>
      <c r="Q100" s="201">
        <v>0.96272883825255884</v>
      </c>
      <c r="R100" s="201">
        <v>0.96698974982375108</v>
      </c>
      <c r="S100" s="201">
        <v>0.97267407052031774</v>
      </c>
      <c r="T100" s="201">
        <v>0.97869557679238728</v>
      </c>
      <c r="U100" s="201">
        <v>0.98505703847148307</v>
      </c>
      <c r="V100" s="201">
        <v>0.99541170168847648</v>
      </c>
      <c r="W100" s="201">
        <v>1.0060348317132135</v>
      </c>
      <c r="X100" s="201">
        <v>1.0169311841464153</v>
      </c>
      <c r="Y100" s="201">
        <v>1.0281056158381718</v>
      </c>
      <c r="Z100" s="201">
        <v>1.0395630868515549</v>
      </c>
      <c r="AA100" s="201">
        <v>1.0513086624661188</v>
      </c>
      <c r="AB100" s="201">
        <v>1.0633475152220784</v>
      </c>
      <c r="AC100" s="201">
        <v>1.0756849270059705</v>
      </c>
      <c r="AD100" s="201">
        <v>1</v>
      </c>
      <c r="AE100" s="201">
        <v>1.0230000000000001</v>
      </c>
      <c r="AF100" s="201">
        <v>1.0465289999999998</v>
      </c>
      <c r="AG100" s="201">
        <v>1.0705991669999997</v>
      </c>
      <c r="AH100" s="201">
        <v>1.0952229478409996</v>
      </c>
      <c r="AI100" s="201">
        <v>1.1204130756413428</v>
      </c>
      <c r="AJ100" s="201">
        <v>1.1461825763810931</v>
      </c>
      <c r="AK100" s="201">
        <v>1.1725447756378582</v>
      </c>
      <c r="AL100" s="201">
        <v>1.1995133054775287</v>
      </c>
      <c r="AM100" s="201">
        <v>1.2271021115035119</v>
      </c>
      <c r="AN100" s="201">
        <v>1.2553254600680925</v>
      </c>
      <c r="AO100" s="201">
        <v>1.2841979456496591</v>
      </c>
      <c r="AP100" s="201">
        <v>1.3137344983996007</v>
      </c>
      <c r="AQ100" s="201">
        <v>1.3439503918627915</v>
      </c>
      <c r="AR100" s="201">
        <v>1.3748612508756355</v>
      </c>
      <c r="AS100" s="201">
        <v>1.4064830596457749</v>
      </c>
      <c r="AT100" s="201">
        <v>1.4388321700176276</v>
      </c>
      <c r="AU100" s="201">
        <v>1</v>
      </c>
      <c r="AV100" s="201">
        <v>1.0224300740672718</v>
      </c>
      <c r="AW100" s="201">
        <v>1.0453695014675706</v>
      </c>
      <c r="AX100" s="201">
        <v>1.068829988063849</v>
      </c>
      <c r="AY100" s="201">
        <v>1.0928235118062264</v>
      </c>
      <c r="AZ100" s="201">
        <v>1.1092158644833194</v>
      </c>
      <c r="BA100" s="201">
        <v>1.1258541024505693</v>
      </c>
      <c r="BB100" s="201">
        <v>1.1427419139873276</v>
      </c>
      <c r="BC100" s="201">
        <v>1.1598830426971378</v>
      </c>
      <c r="BD100" s="201">
        <v>1.1772812883375947</v>
      </c>
      <c r="BE100" s="201">
        <v>1.1949405076626585</v>
      </c>
      <c r="BF100" s="201">
        <v>1.2128646152775984</v>
      </c>
      <c r="BG100" s="201">
        <v>1.2310575845067617</v>
      </c>
      <c r="BH100" s="201">
        <v>1.2495234482743631</v>
      </c>
      <c r="BI100" s="201">
        <v>1.2682662999984784</v>
      </c>
      <c r="BJ100" s="201">
        <v>1.2872902944984554</v>
      </c>
      <c r="BK100" s="201">
        <v>1.3065996489159322</v>
      </c>
      <c r="BL100" s="201">
        <v>1</v>
      </c>
      <c r="BM100" s="201">
        <v>1.0075087154733169</v>
      </c>
      <c r="BN100" s="201">
        <v>1.0150174309466338</v>
      </c>
      <c r="BO100" s="201">
        <v>1.0225261464199509</v>
      </c>
      <c r="BP100" s="201">
        <v>1.0300348618932678</v>
      </c>
      <c r="BQ100" s="201">
        <v>1.0375435773665846</v>
      </c>
      <c r="BR100" s="201">
        <v>1.0450522928399046</v>
      </c>
      <c r="BS100" s="201">
        <v>1.0458970233306526</v>
      </c>
      <c r="BT100" s="201">
        <v>1.0467417538213979</v>
      </c>
      <c r="BU100" s="201">
        <v>1.0475864843121492</v>
      </c>
      <c r="BV100" s="201">
        <v>1.0484312148028971</v>
      </c>
      <c r="BW100" s="201">
        <v>1.0492759452936424</v>
      </c>
      <c r="BX100" s="201">
        <v>1.0501206757843937</v>
      </c>
      <c r="BY100" s="201">
        <v>1.0509654062751417</v>
      </c>
      <c r="BZ100" s="201">
        <v>1.0518101367658899</v>
      </c>
      <c r="CA100" s="201">
        <v>1.0526548672566383</v>
      </c>
      <c r="CB100" s="201">
        <v>1.0534995977473862</v>
      </c>
    </row>
    <row r="101" spans="1:80" x14ac:dyDescent="0.35">
      <c r="A101" t="s">
        <v>743</v>
      </c>
      <c r="B101" t="s">
        <v>863</v>
      </c>
      <c r="C101" s="206" t="s">
        <v>854</v>
      </c>
      <c r="D101" t="s">
        <v>742</v>
      </c>
      <c r="E101" s="130">
        <v>281.90125619675848</v>
      </c>
      <c r="F101" s="130">
        <f>NYSERDA_SupplyCurve_Raw[[#This Row],[Available Capacity (MWac)]]*NYSERDA_SupplyCurve_Raw[[#This Row],[2024 Weighted Avg Resource CapEx ($/kWac)]]</f>
        <v>600569.33201774245</v>
      </c>
      <c r="G101" s="130">
        <f>NYSERDA_SupplyCurve_Raw[[#This Row],[Available Capacity (MWac)]]*NYSERDA_SupplyCurve_Raw[[#This Row],[2024 Weighted Avg OpEx ($/kWac-year)]]</f>
        <v>7787.3458898653662</v>
      </c>
      <c r="H101" s="130">
        <v>2130.4244618142579</v>
      </c>
      <c r="I101" s="130">
        <v>96.780555707983439</v>
      </c>
      <c r="J101" s="130">
        <v>27.624374559118802</v>
      </c>
      <c r="K101" s="130">
        <f>NYSERDA_SupplyCurve_Raw[[#This Row],[2024 Weighted Avg Capacity Factor]]*NYSERDA_SupplyCurve_Raw[[#This Row],[Available Capacity (MWac)]]</f>
        <v>56.070159857535252</v>
      </c>
      <c r="L101" s="205">
        <v>0.19889999999999997</v>
      </c>
      <c r="M101" s="201">
        <v>1</v>
      </c>
      <c r="N101" s="201">
        <v>0.98205557700657919</v>
      </c>
      <c r="O101" s="201">
        <v>0.97508643687766716</v>
      </c>
      <c r="P101" s="201">
        <v>0.9710686978823494</v>
      </c>
      <c r="Q101" s="201">
        <v>0.96272883825255895</v>
      </c>
      <c r="R101" s="201">
        <v>0.96698974982375108</v>
      </c>
      <c r="S101" s="201">
        <v>0.97267407052031762</v>
      </c>
      <c r="T101" s="201">
        <v>0.97869557679238717</v>
      </c>
      <c r="U101" s="201">
        <v>0.98505703847148296</v>
      </c>
      <c r="V101" s="201">
        <v>0.99541170168847637</v>
      </c>
      <c r="W101" s="201">
        <v>1.0060348317132135</v>
      </c>
      <c r="X101" s="201">
        <v>1.0169311841464153</v>
      </c>
      <c r="Y101" s="201">
        <v>1.0281056158381718</v>
      </c>
      <c r="Z101" s="201">
        <v>1.0395630868515546</v>
      </c>
      <c r="AA101" s="201">
        <v>1.0513086624661185</v>
      </c>
      <c r="AB101" s="201">
        <v>1.0633475152220786</v>
      </c>
      <c r="AC101" s="201">
        <v>1.0756849270059703</v>
      </c>
      <c r="AD101" s="201">
        <v>1</v>
      </c>
      <c r="AE101" s="201">
        <v>1.0229999999999999</v>
      </c>
      <c r="AF101" s="201">
        <v>1.0465289999999998</v>
      </c>
      <c r="AG101" s="201">
        <v>1.0705991669999997</v>
      </c>
      <c r="AH101" s="201">
        <v>1.0952229478409996</v>
      </c>
      <c r="AI101" s="201">
        <v>1.1204130756413426</v>
      </c>
      <c r="AJ101" s="201">
        <v>1.1461825763810931</v>
      </c>
      <c r="AK101" s="201">
        <v>1.172544775637858</v>
      </c>
      <c r="AL101" s="201">
        <v>1.1995133054775289</v>
      </c>
      <c r="AM101" s="201">
        <v>1.2271021115035121</v>
      </c>
      <c r="AN101" s="201">
        <v>1.2553254600680921</v>
      </c>
      <c r="AO101" s="201">
        <v>1.2841979456496586</v>
      </c>
      <c r="AP101" s="201">
        <v>1.3137344983996007</v>
      </c>
      <c r="AQ101" s="201">
        <v>1.3439503918627913</v>
      </c>
      <c r="AR101" s="201">
        <v>1.3748612508756353</v>
      </c>
      <c r="AS101" s="201">
        <v>1.4064830596457747</v>
      </c>
      <c r="AT101" s="201">
        <v>1.4388321700176272</v>
      </c>
      <c r="AU101" s="201">
        <v>1</v>
      </c>
      <c r="AV101" s="201">
        <v>1.0224300740672716</v>
      </c>
      <c r="AW101" s="201">
        <v>1.0453695014675706</v>
      </c>
      <c r="AX101" s="201">
        <v>1.0688299880638492</v>
      </c>
      <c r="AY101" s="201">
        <v>1.0928235118062264</v>
      </c>
      <c r="AZ101" s="201">
        <v>1.1092158644833197</v>
      </c>
      <c r="BA101" s="201">
        <v>1.1258541024505693</v>
      </c>
      <c r="BB101" s="201">
        <v>1.1427419139873276</v>
      </c>
      <c r="BC101" s="201">
        <v>1.1598830426971376</v>
      </c>
      <c r="BD101" s="201">
        <v>1.1772812883375947</v>
      </c>
      <c r="BE101" s="201">
        <v>1.1949405076626587</v>
      </c>
      <c r="BF101" s="201">
        <v>1.2128646152775986</v>
      </c>
      <c r="BG101" s="201">
        <v>1.2310575845067617</v>
      </c>
      <c r="BH101" s="201">
        <v>1.2495234482743633</v>
      </c>
      <c r="BI101" s="201">
        <v>1.2682662999984784</v>
      </c>
      <c r="BJ101" s="201">
        <v>1.2872902944984554</v>
      </c>
      <c r="BK101" s="201">
        <v>1.3065996489159322</v>
      </c>
      <c r="BL101" s="201">
        <v>1</v>
      </c>
      <c r="BM101" s="201">
        <v>1.0075087154733169</v>
      </c>
      <c r="BN101" s="201">
        <v>1.0150174309466338</v>
      </c>
      <c r="BO101" s="201">
        <v>1.0225261464199509</v>
      </c>
      <c r="BP101" s="201">
        <v>1.0300348618932678</v>
      </c>
      <c r="BQ101" s="201">
        <v>1.0375435773665846</v>
      </c>
      <c r="BR101" s="201">
        <v>1.0450522928399046</v>
      </c>
      <c r="BS101" s="201">
        <v>1.0458970233306526</v>
      </c>
      <c r="BT101" s="201">
        <v>1.0467417538213979</v>
      </c>
      <c r="BU101" s="201">
        <v>1.0475864843121492</v>
      </c>
      <c r="BV101" s="201">
        <v>1.0484312148028971</v>
      </c>
      <c r="BW101" s="201">
        <v>1.0492759452936424</v>
      </c>
      <c r="BX101" s="201">
        <v>1.0501206757843937</v>
      </c>
      <c r="BY101" s="201">
        <v>1.0509654062751417</v>
      </c>
      <c r="BZ101" s="201">
        <v>1.0518101367658899</v>
      </c>
      <c r="CA101" s="201">
        <v>1.0526548672566383</v>
      </c>
      <c r="CB101" s="201">
        <v>1.0534995977473862</v>
      </c>
    </row>
    <row r="102" spans="1:80" x14ac:dyDescent="0.35">
      <c r="A102" t="s">
        <v>743</v>
      </c>
      <c r="B102" t="s">
        <v>864</v>
      </c>
      <c r="C102" s="206" t="s">
        <v>841</v>
      </c>
      <c r="D102" t="s">
        <v>736</v>
      </c>
      <c r="E102" s="130">
        <v>194.79467828251148</v>
      </c>
      <c r="F102" s="130">
        <f>NYSERDA_SupplyCurve_Raw[[#This Row],[Available Capacity (MWac)]]*NYSERDA_SupplyCurve_Raw[[#This Row],[2024 Weighted Avg Resource CapEx ($/kWac)]]</f>
        <v>385702.87556551292</v>
      </c>
      <c r="G102" s="130">
        <f>NYSERDA_SupplyCurve_Raw[[#This Row],[Available Capacity (MWac)]]*NYSERDA_SupplyCurve_Raw[[#This Row],[2024 Weighted Avg OpEx ($/kWac-year)]]</f>
        <v>5237.0685119381778</v>
      </c>
      <c r="H102" s="130">
        <v>1980.0483204480902</v>
      </c>
      <c r="I102" s="130">
        <v>217.61071111184793</v>
      </c>
      <c r="J102" s="130">
        <v>26.885069746837935</v>
      </c>
      <c r="K102" s="130">
        <f>NYSERDA_SupplyCurve_Raw[[#This Row],[2024 Weighted Avg Capacity Factor]]*NYSERDA_SupplyCurve_Raw[[#This Row],[Available Capacity (MWac)]]</f>
        <v>40.010826919227867</v>
      </c>
      <c r="L102" s="205">
        <v>0.20540000000000005</v>
      </c>
      <c r="M102" s="201">
        <v>1</v>
      </c>
      <c r="N102" s="201">
        <v>0.98205557700657931</v>
      </c>
      <c r="O102" s="201">
        <v>0.97508643687766761</v>
      </c>
      <c r="P102" s="201">
        <v>0.9710686978823494</v>
      </c>
      <c r="Q102" s="201">
        <v>0.96272883825255895</v>
      </c>
      <c r="R102" s="201">
        <v>0.96698974982375108</v>
      </c>
      <c r="S102" s="201">
        <v>0.97267407052031785</v>
      </c>
      <c r="T102" s="201">
        <v>0.97869557679238717</v>
      </c>
      <c r="U102" s="201">
        <v>0.98505703847148307</v>
      </c>
      <c r="V102" s="201">
        <v>0.99541170168847615</v>
      </c>
      <c r="W102" s="201">
        <v>1.0060348317132133</v>
      </c>
      <c r="X102" s="201">
        <v>1.0169311841464153</v>
      </c>
      <c r="Y102" s="201">
        <v>1.0281056158381718</v>
      </c>
      <c r="Z102" s="201">
        <v>1.0395630868515546</v>
      </c>
      <c r="AA102" s="201">
        <v>1.0513086624661188</v>
      </c>
      <c r="AB102" s="201">
        <v>1.0633475152220786</v>
      </c>
      <c r="AC102" s="201">
        <v>1.0756849270059705</v>
      </c>
      <c r="AD102" s="201">
        <v>1</v>
      </c>
      <c r="AE102" s="201">
        <v>1.0229999999999999</v>
      </c>
      <c r="AF102" s="201">
        <v>1.0465289999999994</v>
      </c>
      <c r="AG102" s="201">
        <v>1.0705991669999995</v>
      </c>
      <c r="AH102" s="201">
        <v>1.0952229478409994</v>
      </c>
      <c r="AI102" s="201">
        <v>1.1204130756413424</v>
      </c>
      <c r="AJ102" s="201">
        <v>1.1461825763810929</v>
      </c>
      <c r="AK102" s="201">
        <v>1.172544775637858</v>
      </c>
      <c r="AL102" s="201">
        <v>1.1995133054775287</v>
      </c>
      <c r="AM102" s="201">
        <v>1.2271021115035117</v>
      </c>
      <c r="AN102" s="201">
        <v>1.2553254600680925</v>
      </c>
      <c r="AO102" s="201">
        <v>1.2841979456496586</v>
      </c>
      <c r="AP102" s="201">
        <v>1.3137344983996002</v>
      </c>
      <c r="AQ102" s="201">
        <v>1.3439503918627913</v>
      </c>
      <c r="AR102" s="201">
        <v>1.374861250875635</v>
      </c>
      <c r="AS102" s="201">
        <v>1.4064830596457742</v>
      </c>
      <c r="AT102" s="201">
        <v>1.4388321700176274</v>
      </c>
      <c r="AU102" s="201">
        <v>1</v>
      </c>
      <c r="AV102" s="201">
        <v>1.0224300740672718</v>
      </c>
      <c r="AW102" s="201">
        <v>1.0453695014675706</v>
      </c>
      <c r="AX102" s="201">
        <v>1.068829988063849</v>
      </c>
      <c r="AY102" s="201">
        <v>1.0928235118062264</v>
      </c>
      <c r="AZ102" s="201">
        <v>1.1092158644833197</v>
      </c>
      <c r="BA102" s="201">
        <v>1.1258541024505693</v>
      </c>
      <c r="BB102" s="201">
        <v>1.1427419139873278</v>
      </c>
      <c r="BC102" s="201">
        <v>1.1598830426971378</v>
      </c>
      <c r="BD102" s="201">
        <v>1.1772812883375945</v>
      </c>
      <c r="BE102" s="201">
        <v>1.1949405076626582</v>
      </c>
      <c r="BF102" s="201">
        <v>1.2128646152775979</v>
      </c>
      <c r="BG102" s="201">
        <v>1.2310575845067622</v>
      </c>
      <c r="BH102" s="201">
        <v>1.2495234482743629</v>
      </c>
      <c r="BI102" s="201">
        <v>1.2682662999984784</v>
      </c>
      <c r="BJ102" s="201">
        <v>1.2872902944984552</v>
      </c>
      <c r="BK102" s="201">
        <v>1.3065996489159319</v>
      </c>
      <c r="BL102" s="201">
        <v>1</v>
      </c>
      <c r="BM102" s="201">
        <v>1.0075087154733169</v>
      </c>
      <c r="BN102" s="201">
        <v>1.0150174309466338</v>
      </c>
      <c r="BO102" s="201">
        <v>1.0225261464199509</v>
      </c>
      <c r="BP102" s="201">
        <v>1.0300348618932678</v>
      </c>
      <c r="BQ102" s="201">
        <v>1.0375435773665846</v>
      </c>
      <c r="BR102" s="201">
        <v>1.0450522928399046</v>
      </c>
      <c r="BS102" s="201">
        <v>1.0458970233306526</v>
      </c>
      <c r="BT102" s="201">
        <v>1.0467417538213979</v>
      </c>
      <c r="BU102" s="201">
        <v>1.0475864843121492</v>
      </c>
      <c r="BV102" s="201">
        <v>1.0484312148028971</v>
      </c>
      <c r="BW102" s="201">
        <v>1.0492759452936424</v>
      </c>
      <c r="BX102" s="201">
        <v>1.0501206757843937</v>
      </c>
      <c r="BY102" s="201">
        <v>1.0509654062751417</v>
      </c>
      <c r="BZ102" s="201">
        <v>1.0518101367658899</v>
      </c>
      <c r="CA102" s="201">
        <v>1.0526548672566383</v>
      </c>
      <c r="CB102" s="201">
        <v>1.0534995977473862</v>
      </c>
    </row>
    <row r="103" spans="1:80" x14ac:dyDescent="0.35">
      <c r="A103" t="s">
        <v>743</v>
      </c>
      <c r="B103" t="s">
        <v>864</v>
      </c>
      <c r="C103" s="206" t="s">
        <v>841</v>
      </c>
      <c r="D103" t="s">
        <v>742</v>
      </c>
      <c r="E103" s="130">
        <v>562.51044210153577</v>
      </c>
      <c r="F103" s="130">
        <f>NYSERDA_SupplyCurve_Raw[[#This Row],[Available Capacity (MWac)]]*NYSERDA_SupplyCurve_Raw[[#This Row],[2024 Weighted Avg Resource CapEx ($/kWac)]]</f>
        <v>1187377.0103030014</v>
      </c>
      <c r="G103" s="130">
        <f>NYSERDA_SupplyCurve_Raw[[#This Row],[Available Capacity (MWac)]]*NYSERDA_SupplyCurve_Raw[[#This Row],[2024 Weighted Avg OpEx ($/kWac-year)]]</f>
        <v>15123.132469224431</v>
      </c>
      <c r="H103" s="130">
        <v>2110.85327743778</v>
      </c>
      <c r="I103" s="130">
        <v>190.20515546401768</v>
      </c>
      <c r="J103" s="130">
        <v>26.885069746837935</v>
      </c>
      <c r="K103" s="130">
        <f>NYSERDA_SupplyCurve_Raw[[#This Row],[2024 Weighted Avg Capacity Factor]]*NYSERDA_SupplyCurve_Raw[[#This Row],[Available Capacity (MWac)]]</f>
        <v>115.53964480765543</v>
      </c>
      <c r="L103" s="205">
        <v>0.20539999999999997</v>
      </c>
      <c r="M103" s="201">
        <v>1</v>
      </c>
      <c r="N103" s="201">
        <v>0.98205557700657931</v>
      </c>
      <c r="O103" s="201">
        <v>0.97508643687766761</v>
      </c>
      <c r="P103" s="201">
        <v>0.97106869788234951</v>
      </c>
      <c r="Q103" s="201">
        <v>0.96272883825255895</v>
      </c>
      <c r="R103" s="201">
        <v>0.96698974982375119</v>
      </c>
      <c r="S103" s="201">
        <v>0.97267407052031785</v>
      </c>
      <c r="T103" s="201">
        <v>0.97869557679238706</v>
      </c>
      <c r="U103" s="201">
        <v>0.98505703847148307</v>
      </c>
      <c r="V103" s="201">
        <v>0.99541170168847637</v>
      </c>
      <c r="W103" s="201">
        <v>1.0060348317132133</v>
      </c>
      <c r="X103" s="201">
        <v>1.0169311841464153</v>
      </c>
      <c r="Y103" s="201">
        <v>1.0281056158381716</v>
      </c>
      <c r="Z103" s="201">
        <v>1.0395630868515549</v>
      </c>
      <c r="AA103" s="201">
        <v>1.0513086624661188</v>
      </c>
      <c r="AB103" s="201">
        <v>1.0633475152220784</v>
      </c>
      <c r="AC103" s="201">
        <v>1.0756849270059703</v>
      </c>
      <c r="AD103" s="201">
        <v>1</v>
      </c>
      <c r="AE103" s="201">
        <v>1.0229999999999999</v>
      </c>
      <c r="AF103" s="201">
        <v>1.0465289999999998</v>
      </c>
      <c r="AG103" s="201">
        <v>1.0705991669999997</v>
      </c>
      <c r="AH103" s="201">
        <v>1.0952229478409994</v>
      </c>
      <c r="AI103" s="201">
        <v>1.1204130756413426</v>
      </c>
      <c r="AJ103" s="201">
        <v>1.1461825763810931</v>
      </c>
      <c r="AK103" s="201">
        <v>1.1725447756378582</v>
      </c>
      <c r="AL103" s="201">
        <v>1.1995133054775291</v>
      </c>
      <c r="AM103" s="201">
        <v>1.2271021115035119</v>
      </c>
      <c r="AN103" s="201">
        <v>1.2553254600680925</v>
      </c>
      <c r="AO103" s="201">
        <v>1.2841979456496586</v>
      </c>
      <c r="AP103" s="201">
        <v>1.3137344983996007</v>
      </c>
      <c r="AQ103" s="201">
        <v>1.3439503918627915</v>
      </c>
      <c r="AR103" s="201">
        <v>1.3748612508756353</v>
      </c>
      <c r="AS103" s="201">
        <v>1.4064830596457747</v>
      </c>
      <c r="AT103" s="201">
        <v>1.4388321700176272</v>
      </c>
      <c r="AU103" s="201">
        <v>1</v>
      </c>
      <c r="AV103" s="201">
        <v>1.0224300740672716</v>
      </c>
      <c r="AW103" s="201">
        <v>1.0453695014675706</v>
      </c>
      <c r="AX103" s="201">
        <v>1.068829988063849</v>
      </c>
      <c r="AY103" s="201">
        <v>1.0928235118062262</v>
      </c>
      <c r="AZ103" s="201">
        <v>1.1092158644833194</v>
      </c>
      <c r="BA103" s="201">
        <v>1.125854102450569</v>
      </c>
      <c r="BB103" s="201">
        <v>1.1427419139873276</v>
      </c>
      <c r="BC103" s="201">
        <v>1.1598830426971374</v>
      </c>
      <c r="BD103" s="201">
        <v>1.1772812883375945</v>
      </c>
      <c r="BE103" s="201">
        <v>1.1949405076626582</v>
      </c>
      <c r="BF103" s="201">
        <v>1.2128646152775979</v>
      </c>
      <c r="BG103" s="201">
        <v>1.2310575845067619</v>
      </c>
      <c r="BH103" s="201">
        <v>1.2495234482743629</v>
      </c>
      <c r="BI103" s="201">
        <v>1.2682662999984782</v>
      </c>
      <c r="BJ103" s="201">
        <v>1.2872902944984552</v>
      </c>
      <c r="BK103" s="201">
        <v>1.3065996489159319</v>
      </c>
      <c r="BL103" s="201">
        <v>1</v>
      </c>
      <c r="BM103" s="201">
        <v>1.0075087154733169</v>
      </c>
      <c r="BN103" s="201">
        <v>1.0150174309466338</v>
      </c>
      <c r="BO103" s="201">
        <v>1.0225261464199509</v>
      </c>
      <c r="BP103" s="201">
        <v>1.0300348618932678</v>
      </c>
      <c r="BQ103" s="201">
        <v>1.0375435773665846</v>
      </c>
      <c r="BR103" s="201">
        <v>1.0450522928399046</v>
      </c>
      <c r="BS103" s="201">
        <v>1.0458970233306526</v>
      </c>
      <c r="BT103" s="201">
        <v>1.0467417538213979</v>
      </c>
      <c r="BU103" s="201">
        <v>1.0475864843121492</v>
      </c>
      <c r="BV103" s="201">
        <v>1.0484312148028971</v>
      </c>
      <c r="BW103" s="201">
        <v>1.0492759452936424</v>
      </c>
      <c r="BX103" s="201">
        <v>1.0501206757843937</v>
      </c>
      <c r="BY103" s="201">
        <v>1.0509654062751417</v>
      </c>
      <c r="BZ103" s="201">
        <v>1.0518101367658899</v>
      </c>
      <c r="CA103" s="201">
        <v>1.0526548672566383</v>
      </c>
      <c r="CB103" s="201">
        <v>1.0534995977473862</v>
      </c>
    </row>
    <row r="104" spans="1:80" x14ac:dyDescent="0.35">
      <c r="A104" t="s">
        <v>743</v>
      </c>
      <c r="B104" t="s">
        <v>865</v>
      </c>
      <c r="C104" s="206" t="s">
        <v>839</v>
      </c>
      <c r="D104" t="s">
        <v>736</v>
      </c>
      <c r="E104" s="130">
        <v>3804.8022835758084</v>
      </c>
      <c r="F104" s="130">
        <f>NYSERDA_SupplyCurve_Raw[[#This Row],[Available Capacity (MWac)]]*NYSERDA_SupplyCurve_Raw[[#This Row],[2024 Weighted Avg Resource CapEx ($/kWac)]]</f>
        <v>6855171.3851132486</v>
      </c>
      <c r="G104" s="130">
        <f>NYSERDA_SupplyCurve_Raw[[#This Row],[Available Capacity (MWac)]]*NYSERDA_SupplyCurve_Raw[[#This Row],[2024 Weighted Avg OpEx ($/kWac-year)]]</f>
        <v>106601.51140383809</v>
      </c>
      <c r="H104" s="130">
        <v>1801.7155358387399</v>
      </c>
      <c r="I104" s="130">
        <v>69.94969680457028</v>
      </c>
      <c r="J104" s="130">
        <v>28.017621799693739</v>
      </c>
      <c r="K104" s="130">
        <f>NYSERDA_SupplyCurve_Raw[[#This Row],[2024 Weighted Avg Capacity Factor]]*NYSERDA_SupplyCurve_Raw[[#This Row],[Available Capacity (MWac)]]</f>
        <v>781.50638904647099</v>
      </c>
      <c r="L104" s="205">
        <v>0.2054</v>
      </c>
      <c r="M104" s="201">
        <v>1</v>
      </c>
      <c r="N104" s="201">
        <v>0.98205557700657897</v>
      </c>
      <c r="O104" s="201">
        <v>0.9750864368776675</v>
      </c>
      <c r="P104" s="201">
        <v>0.97106869788234951</v>
      </c>
      <c r="Q104" s="201">
        <v>0.96272883825255906</v>
      </c>
      <c r="R104" s="201">
        <v>0.96698974982375108</v>
      </c>
      <c r="S104" s="201">
        <v>0.97267407052031762</v>
      </c>
      <c r="T104" s="201">
        <v>0.97869557679238706</v>
      </c>
      <c r="U104" s="201">
        <v>0.98505703847148296</v>
      </c>
      <c r="V104" s="201">
        <v>0.99541170168847637</v>
      </c>
      <c r="W104" s="201">
        <v>1.0060348317132133</v>
      </c>
      <c r="X104" s="201">
        <v>1.0169311841464153</v>
      </c>
      <c r="Y104" s="201">
        <v>1.0281056158381718</v>
      </c>
      <c r="Z104" s="201">
        <v>1.0395630868515544</v>
      </c>
      <c r="AA104" s="201">
        <v>1.0513086624661188</v>
      </c>
      <c r="AB104" s="201">
        <v>1.0633475152220784</v>
      </c>
      <c r="AC104" s="201">
        <v>1.0756849270059703</v>
      </c>
      <c r="AD104" s="201">
        <v>1</v>
      </c>
      <c r="AE104" s="201">
        <v>1.0229999999999999</v>
      </c>
      <c r="AF104" s="201">
        <v>1.0465289999999998</v>
      </c>
      <c r="AG104" s="201">
        <v>1.0705991669999999</v>
      </c>
      <c r="AH104" s="201">
        <v>1.0952229478409996</v>
      </c>
      <c r="AI104" s="201">
        <v>1.1204130756413426</v>
      </c>
      <c r="AJ104" s="201">
        <v>1.1461825763810931</v>
      </c>
      <c r="AK104" s="201">
        <v>1.1725447756378582</v>
      </c>
      <c r="AL104" s="201">
        <v>1.1995133054775287</v>
      </c>
      <c r="AM104" s="201">
        <v>1.2271021115035119</v>
      </c>
      <c r="AN104" s="201">
        <v>1.2553254600680925</v>
      </c>
      <c r="AO104" s="201">
        <v>1.2841979456496588</v>
      </c>
      <c r="AP104" s="201">
        <v>1.3137344983996004</v>
      </c>
      <c r="AQ104" s="201">
        <v>1.3439503918627913</v>
      </c>
      <c r="AR104" s="201">
        <v>1.3748612508756353</v>
      </c>
      <c r="AS104" s="201">
        <v>1.4064830596457747</v>
      </c>
      <c r="AT104" s="201">
        <v>1.4388321700176274</v>
      </c>
      <c r="AU104" s="201">
        <v>1</v>
      </c>
      <c r="AV104" s="201">
        <v>1.0224300740672716</v>
      </c>
      <c r="AW104" s="201">
        <v>1.0453695014675706</v>
      </c>
      <c r="AX104" s="201">
        <v>1.068829988063849</v>
      </c>
      <c r="AY104" s="201">
        <v>1.0928235118062262</v>
      </c>
      <c r="AZ104" s="201">
        <v>1.1092158644833194</v>
      </c>
      <c r="BA104" s="201">
        <v>1.1258541024505693</v>
      </c>
      <c r="BB104" s="201">
        <v>1.1427419139873276</v>
      </c>
      <c r="BC104" s="201">
        <v>1.1598830426971376</v>
      </c>
      <c r="BD104" s="201">
        <v>1.1772812883375943</v>
      </c>
      <c r="BE104" s="201">
        <v>1.1949405076626585</v>
      </c>
      <c r="BF104" s="201">
        <v>1.2128646152775981</v>
      </c>
      <c r="BG104" s="201">
        <v>1.2310575845067617</v>
      </c>
      <c r="BH104" s="201">
        <v>1.2495234482743631</v>
      </c>
      <c r="BI104" s="201">
        <v>1.2682662999984782</v>
      </c>
      <c r="BJ104" s="201">
        <v>1.2872902944984554</v>
      </c>
      <c r="BK104" s="201">
        <v>1.3065996489159319</v>
      </c>
      <c r="BL104" s="201">
        <v>1</v>
      </c>
      <c r="BM104" s="201">
        <v>1.0075087154733169</v>
      </c>
      <c r="BN104" s="201">
        <v>1.0150174309466338</v>
      </c>
      <c r="BO104" s="201">
        <v>1.0225261464199509</v>
      </c>
      <c r="BP104" s="201">
        <v>1.0300348618932678</v>
      </c>
      <c r="BQ104" s="201">
        <v>1.0375435773665846</v>
      </c>
      <c r="BR104" s="201">
        <v>1.0450522928399046</v>
      </c>
      <c r="BS104" s="201">
        <v>1.0458970233306526</v>
      </c>
      <c r="BT104" s="201">
        <v>1.0467417538213979</v>
      </c>
      <c r="BU104" s="201">
        <v>1.0475864843121492</v>
      </c>
      <c r="BV104" s="201">
        <v>1.0484312148028971</v>
      </c>
      <c r="BW104" s="201">
        <v>1.0492759452936424</v>
      </c>
      <c r="BX104" s="201">
        <v>1.0501206757843937</v>
      </c>
      <c r="BY104" s="201">
        <v>1.0509654062751417</v>
      </c>
      <c r="BZ104" s="201">
        <v>1.0518101367658899</v>
      </c>
      <c r="CA104" s="201">
        <v>1.0526548672566383</v>
      </c>
      <c r="CB104" s="201">
        <v>1.0534995977473862</v>
      </c>
    </row>
    <row r="105" spans="1:80" x14ac:dyDescent="0.35">
      <c r="A105" t="s">
        <v>743</v>
      </c>
      <c r="B105" t="s">
        <v>865</v>
      </c>
      <c r="C105" s="206" t="s">
        <v>839</v>
      </c>
      <c r="D105" t="s">
        <v>742</v>
      </c>
      <c r="E105" s="130">
        <v>688.58034639525715</v>
      </c>
      <c r="F105" s="130">
        <f>NYSERDA_SupplyCurve_Raw[[#This Row],[Available Capacity (MWac)]]*NYSERDA_SupplyCurve_Raw[[#This Row],[2024 Weighted Avg Resource CapEx ($/kWac)]]</f>
        <v>1433731.4232201958</v>
      </c>
      <c r="G105" s="130">
        <f>NYSERDA_SupplyCurve_Raw[[#This Row],[Available Capacity (MWac)]]*NYSERDA_SupplyCurve_Raw[[#This Row],[2024 Weighted Avg OpEx ($/kWac-year)]]</f>
        <v>19292.383724004419</v>
      </c>
      <c r="H105" s="130">
        <v>2082.1555984364518</v>
      </c>
      <c r="I105" s="130">
        <v>136.3892799391443</v>
      </c>
      <c r="J105" s="130">
        <v>28.017621799693735</v>
      </c>
      <c r="K105" s="130">
        <f>NYSERDA_SupplyCurve_Raw[[#This Row],[2024 Weighted Avg Capacity Factor]]*NYSERDA_SupplyCurve_Raw[[#This Row],[Available Capacity (MWac)]]</f>
        <v>141.43440314958582</v>
      </c>
      <c r="L105" s="205">
        <v>0.2054</v>
      </c>
      <c r="M105" s="201">
        <v>1</v>
      </c>
      <c r="N105" s="201">
        <v>0.98205557700657908</v>
      </c>
      <c r="O105" s="201">
        <v>0.97508643687766716</v>
      </c>
      <c r="P105" s="201">
        <v>0.97106869788234917</v>
      </c>
      <c r="Q105" s="201">
        <v>0.96272883825255873</v>
      </c>
      <c r="R105" s="201">
        <v>0.96698974982375085</v>
      </c>
      <c r="S105" s="201">
        <v>0.97267407052031762</v>
      </c>
      <c r="T105" s="201">
        <v>0.97869557679238695</v>
      </c>
      <c r="U105" s="201">
        <v>0.98505703847148285</v>
      </c>
      <c r="V105" s="201">
        <v>0.99541170168847637</v>
      </c>
      <c r="W105" s="201">
        <v>1.0060348317132131</v>
      </c>
      <c r="X105" s="201">
        <v>1.0169311841464153</v>
      </c>
      <c r="Y105" s="201">
        <v>1.0281056158381716</v>
      </c>
      <c r="Z105" s="201">
        <v>1.0395630868515546</v>
      </c>
      <c r="AA105" s="201">
        <v>1.0513086624661183</v>
      </c>
      <c r="AB105" s="201">
        <v>1.0633475152220782</v>
      </c>
      <c r="AC105" s="201">
        <v>1.0756849270059703</v>
      </c>
      <c r="AD105" s="201">
        <v>1</v>
      </c>
      <c r="AE105" s="201">
        <v>1.0229999999999999</v>
      </c>
      <c r="AF105" s="201">
        <v>1.0465289999999998</v>
      </c>
      <c r="AG105" s="201">
        <v>1.0705991669999997</v>
      </c>
      <c r="AH105" s="201">
        <v>1.0952229478409996</v>
      </c>
      <c r="AI105" s="201">
        <v>1.1204130756413424</v>
      </c>
      <c r="AJ105" s="201">
        <v>1.1461825763810933</v>
      </c>
      <c r="AK105" s="201">
        <v>1.1725447756378582</v>
      </c>
      <c r="AL105" s="201">
        <v>1.1995133054775289</v>
      </c>
      <c r="AM105" s="201">
        <v>1.2271021115035119</v>
      </c>
      <c r="AN105" s="201">
        <v>1.2553254600680925</v>
      </c>
      <c r="AO105" s="201">
        <v>1.2841979456496586</v>
      </c>
      <c r="AP105" s="201">
        <v>1.3137344983996007</v>
      </c>
      <c r="AQ105" s="201">
        <v>1.3439503918627913</v>
      </c>
      <c r="AR105" s="201">
        <v>1.374861250875635</v>
      </c>
      <c r="AS105" s="201">
        <v>1.4064830596457747</v>
      </c>
      <c r="AT105" s="201">
        <v>1.4388321700176274</v>
      </c>
      <c r="AU105" s="201">
        <v>1</v>
      </c>
      <c r="AV105" s="201">
        <v>1.0224300740672718</v>
      </c>
      <c r="AW105" s="201">
        <v>1.0453695014675706</v>
      </c>
      <c r="AX105" s="201">
        <v>1.068829988063849</v>
      </c>
      <c r="AY105" s="201">
        <v>1.0928235118062264</v>
      </c>
      <c r="AZ105" s="201">
        <v>1.1092158644833194</v>
      </c>
      <c r="BA105" s="201">
        <v>1.1258541024505693</v>
      </c>
      <c r="BB105" s="201">
        <v>1.1427419139873274</v>
      </c>
      <c r="BC105" s="201">
        <v>1.1598830426971378</v>
      </c>
      <c r="BD105" s="201">
        <v>1.1772812883375947</v>
      </c>
      <c r="BE105" s="201">
        <v>1.1949405076626585</v>
      </c>
      <c r="BF105" s="201">
        <v>1.2128646152775981</v>
      </c>
      <c r="BG105" s="201">
        <v>1.2310575845067619</v>
      </c>
      <c r="BH105" s="201">
        <v>1.2495234482743631</v>
      </c>
      <c r="BI105" s="201">
        <v>1.2682662999984784</v>
      </c>
      <c r="BJ105" s="201">
        <v>1.2872902944984554</v>
      </c>
      <c r="BK105" s="201">
        <v>1.3065996489159319</v>
      </c>
      <c r="BL105" s="201">
        <v>1</v>
      </c>
      <c r="BM105" s="201">
        <v>1.0075087154733169</v>
      </c>
      <c r="BN105" s="201">
        <v>1.0150174309466338</v>
      </c>
      <c r="BO105" s="201">
        <v>1.0225261464199509</v>
      </c>
      <c r="BP105" s="201">
        <v>1.0300348618932678</v>
      </c>
      <c r="BQ105" s="201">
        <v>1.0375435773665846</v>
      </c>
      <c r="BR105" s="201">
        <v>1.0450522928399046</v>
      </c>
      <c r="BS105" s="201">
        <v>1.0458970233306526</v>
      </c>
      <c r="BT105" s="201">
        <v>1.0467417538213979</v>
      </c>
      <c r="BU105" s="201">
        <v>1.0475864843121492</v>
      </c>
      <c r="BV105" s="201">
        <v>1.0484312148028971</v>
      </c>
      <c r="BW105" s="201">
        <v>1.0492759452936424</v>
      </c>
      <c r="BX105" s="201">
        <v>1.0501206757843937</v>
      </c>
      <c r="BY105" s="201">
        <v>1.0509654062751417</v>
      </c>
      <c r="BZ105" s="201">
        <v>1.0518101367658899</v>
      </c>
      <c r="CA105" s="201">
        <v>1.0526548672566383</v>
      </c>
      <c r="CB105" s="201">
        <v>1.0534995977473862</v>
      </c>
    </row>
    <row r="106" spans="1:80" x14ac:dyDescent="0.35">
      <c r="A106" t="s">
        <v>743</v>
      </c>
      <c r="B106" t="s">
        <v>866</v>
      </c>
      <c r="C106" s="206" t="s">
        <v>845</v>
      </c>
      <c r="D106" t="s">
        <v>736</v>
      </c>
      <c r="E106" s="130">
        <v>1075.9497501062301</v>
      </c>
      <c r="F106" s="130">
        <f>NYSERDA_SupplyCurve_Raw[[#This Row],[Available Capacity (MWac)]]*NYSERDA_SupplyCurve_Raw[[#This Row],[2024 Weighted Avg Resource CapEx ($/kWac)]]</f>
        <v>1904723.2005268587</v>
      </c>
      <c r="G106" s="130">
        <f>NYSERDA_SupplyCurve_Raw[[#This Row],[Available Capacity (MWac)]]*NYSERDA_SupplyCurve_Raw[[#This Row],[2024 Weighted Avg OpEx ($/kWac-year)]]</f>
        <v>29147.003496216654</v>
      </c>
      <c r="H106" s="130">
        <v>1770.2715208947282</v>
      </c>
      <c r="I106" s="130">
        <v>66.919367944756658</v>
      </c>
      <c r="J106" s="130">
        <v>27.089558311936898</v>
      </c>
      <c r="K106" s="130">
        <f>NYSERDA_SupplyCurve_Raw[[#This Row],[2024 Weighted Avg Capacity Factor]]*NYSERDA_SupplyCurve_Raw[[#This Row],[Available Capacity (MWac)]]</f>
        <v>225.19628269723395</v>
      </c>
      <c r="L106" s="205">
        <v>0.20929999999999999</v>
      </c>
      <c r="M106" s="201">
        <v>1</v>
      </c>
      <c r="N106" s="201">
        <v>0.98205557700657908</v>
      </c>
      <c r="O106" s="201">
        <v>0.97508643687766727</v>
      </c>
      <c r="P106" s="201">
        <v>0.97106869788234929</v>
      </c>
      <c r="Q106" s="201">
        <v>0.96272883825255873</v>
      </c>
      <c r="R106" s="201">
        <v>0.96698974982375097</v>
      </c>
      <c r="S106" s="201">
        <v>0.97267407052031774</v>
      </c>
      <c r="T106" s="201">
        <v>0.97869557679238706</v>
      </c>
      <c r="U106" s="201">
        <v>0.98505703847148285</v>
      </c>
      <c r="V106" s="201">
        <v>0.99541170168847637</v>
      </c>
      <c r="W106" s="201">
        <v>1.0060348317132133</v>
      </c>
      <c r="X106" s="201">
        <v>1.016931184146415</v>
      </c>
      <c r="Y106" s="201">
        <v>1.0281056158381716</v>
      </c>
      <c r="Z106" s="201">
        <v>1.0395630868515546</v>
      </c>
      <c r="AA106" s="201">
        <v>1.0513086624661188</v>
      </c>
      <c r="AB106" s="201">
        <v>1.0633475152220784</v>
      </c>
      <c r="AC106" s="201">
        <v>1.0756849270059703</v>
      </c>
      <c r="AD106" s="201">
        <v>1</v>
      </c>
      <c r="AE106" s="201">
        <v>1.0229999999999999</v>
      </c>
      <c r="AF106" s="201">
        <v>1.0465289999999998</v>
      </c>
      <c r="AG106" s="201">
        <v>1.0705991669999997</v>
      </c>
      <c r="AH106" s="201">
        <v>1.0952229478409996</v>
      </c>
      <c r="AI106" s="201">
        <v>1.1204130756413426</v>
      </c>
      <c r="AJ106" s="201">
        <v>1.1461825763810931</v>
      </c>
      <c r="AK106" s="201">
        <v>1.1725447756378582</v>
      </c>
      <c r="AL106" s="201">
        <v>1.1995133054775289</v>
      </c>
      <c r="AM106" s="201">
        <v>1.2271021115035119</v>
      </c>
      <c r="AN106" s="201">
        <v>1.2553254600680928</v>
      </c>
      <c r="AO106" s="201">
        <v>1.2841979456496586</v>
      </c>
      <c r="AP106" s="201">
        <v>1.3137344983996004</v>
      </c>
      <c r="AQ106" s="201">
        <v>1.3439503918627913</v>
      </c>
      <c r="AR106" s="201">
        <v>1.3748612508756353</v>
      </c>
      <c r="AS106" s="201">
        <v>1.4064830596457749</v>
      </c>
      <c r="AT106" s="201">
        <v>1.4388321700176272</v>
      </c>
      <c r="AU106" s="201">
        <v>1</v>
      </c>
      <c r="AV106" s="201">
        <v>1.0224300740672716</v>
      </c>
      <c r="AW106" s="201">
        <v>1.0453695014675704</v>
      </c>
      <c r="AX106" s="201">
        <v>1.068829988063849</v>
      </c>
      <c r="AY106" s="201">
        <v>1.0928235118062262</v>
      </c>
      <c r="AZ106" s="201">
        <v>1.1092158644833194</v>
      </c>
      <c r="BA106" s="201">
        <v>1.1258541024505693</v>
      </c>
      <c r="BB106" s="201">
        <v>1.1427419139873276</v>
      </c>
      <c r="BC106" s="201">
        <v>1.1598830426971374</v>
      </c>
      <c r="BD106" s="201">
        <v>1.1772812883375945</v>
      </c>
      <c r="BE106" s="201">
        <v>1.1949405076626582</v>
      </c>
      <c r="BF106" s="201">
        <v>1.2128646152775981</v>
      </c>
      <c r="BG106" s="201">
        <v>1.2310575845067615</v>
      </c>
      <c r="BH106" s="201">
        <v>1.2495234482743629</v>
      </c>
      <c r="BI106" s="201">
        <v>1.268266299998478</v>
      </c>
      <c r="BJ106" s="201">
        <v>1.287290294498455</v>
      </c>
      <c r="BK106" s="201">
        <v>1.3065996489159317</v>
      </c>
      <c r="BL106" s="201">
        <v>1</v>
      </c>
      <c r="BM106" s="201">
        <v>1.0075087154733169</v>
      </c>
      <c r="BN106" s="201">
        <v>1.0150174309466338</v>
      </c>
      <c r="BO106" s="201">
        <v>1.0225261464199509</v>
      </c>
      <c r="BP106" s="201">
        <v>1.0300348618932678</v>
      </c>
      <c r="BQ106" s="201">
        <v>1.0375435773665846</v>
      </c>
      <c r="BR106" s="201">
        <v>1.0450522928399046</v>
      </c>
      <c r="BS106" s="201">
        <v>1.0458970233306526</v>
      </c>
      <c r="BT106" s="201">
        <v>1.0467417538213979</v>
      </c>
      <c r="BU106" s="201">
        <v>1.0475864843121492</v>
      </c>
      <c r="BV106" s="201">
        <v>1.0484312148028971</v>
      </c>
      <c r="BW106" s="201">
        <v>1.0492759452936424</v>
      </c>
      <c r="BX106" s="201">
        <v>1.0501206757843937</v>
      </c>
      <c r="BY106" s="201">
        <v>1.0509654062751417</v>
      </c>
      <c r="BZ106" s="201">
        <v>1.0518101367658899</v>
      </c>
      <c r="CA106" s="201">
        <v>1.0526548672566383</v>
      </c>
      <c r="CB106" s="201">
        <v>1.0534995977473862</v>
      </c>
    </row>
    <row r="107" spans="1:80" x14ac:dyDescent="0.35">
      <c r="A107" t="s">
        <v>743</v>
      </c>
      <c r="B107" t="s">
        <v>866</v>
      </c>
      <c r="C107" s="206" t="s">
        <v>845</v>
      </c>
      <c r="D107" t="s">
        <v>742</v>
      </c>
      <c r="E107" s="130">
        <v>714.43663519758809</v>
      </c>
      <c r="F107" s="130">
        <f>NYSERDA_SupplyCurve_Raw[[#This Row],[Available Capacity (MWac)]]*NYSERDA_SupplyCurve_Raw[[#This Row],[2024 Weighted Avg Resource CapEx ($/kWac)]]</f>
        <v>1498292.0858009204</v>
      </c>
      <c r="G107" s="130">
        <f>NYSERDA_SupplyCurve_Raw[[#This Row],[Available Capacity (MWac)]]*NYSERDA_SupplyCurve_Raw[[#This Row],[2024 Weighted Avg OpEx ($/kWac-year)]]</f>
        <v>19353.772889369051</v>
      </c>
      <c r="H107" s="130">
        <v>2097.165811474023</v>
      </c>
      <c r="I107" s="130">
        <v>162.40988224119405</v>
      </c>
      <c r="J107" s="130">
        <v>27.089558311936898</v>
      </c>
      <c r="K107" s="130">
        <f>NYSERDA_SupplyCurve_Raw[[#This Row],[2024 Weighted Avg Capacity Factor]]*NYSERDA_SupplyCurve_Raw[[#This Row],[Available Capacity (MWac)]]</f>
        <v>149.53158774685519</v>
      </c>
      <c r="L107" s="205">
        <v>0.20930000000000001</v>
      </c>
      <c r="M107" s="201">
        <v>1</v>
      </c>
      <c r="N107" s="201">
        <v>0.98205557700657919</v>
      </c>
      <c r="O107" s="201">
        <v>0.97508643687766738</v>
      </c>
      <c r="P107" s="201">
        <v>0.9710686978823494</v>
      </c>
      <c r="Q107" s="201">
        <v>0.96272883825255873</v>
      </c>
      <c r="R107" s="201">
        <v>0.96698974982375097</v>
      </c>
      <c r="S107" s="201">
        <v>0.97267407052031762</v>
      </c>
      <c r="T107" s="201">
        <v>0.97869557679238683</v>
      </c>
      <c r="U107" s="201">
        <v>0.98505703847148285</v>
      </c>
      <c r="V107" s="201">
        <v>0.99541170168847626</v>
      </c>
      <c r="W107" s="201">
        <v>1.0060348317132133</v>
      </c>
      <c r="X107" s="201">
        <v>1.0169311841464153</v>
      </c>
      <c r="Y107" s="201">
        <v>1.0281056158381716</v>
      </c>
      <c r="Z107" s="201">
        <v>1.0395630868515544</v>
      </c>
      <c r="AA107" s="201">
        <v>1.0513086624661188</v>
      </c>
      <c r="AB107" s="201">
        <v>1.0633475152220784</v>
      </c>
      <c r="AC107" s="201">
        <v>1.0756849270059701</v>
      </c>
      <c r="AD107" s="201">
        <v>1</v>
      </c>
      <c r="AE107" s="201">
        <v>1.0230000000000001</v>
      </c>
      <c r="AF107" s="201">
        <v>1.0465289999999998</v>
      </c>
      <c r="AG107" s="201">
        <v>1.0705991669999997</v>
      </c>
      <c r="AH107" s="201">
        <v>1.0952229478409994</v>
      </c>
      <c r="AI107" s="201">
        <v>1.1204130756413428</v>
      </c>
      <c r="AJ107" s="201">
        <v>1.1461825763810931</v>
      </c>
      <c r="AK107" s="201">
        <v>1.1725447756378582</v>
      </c>
      <c r="AL107" s="201">
        <v>1.1995133054775287</v>
      </c>
      <c r="AM107" s="201">
        <v>1.2271021115035117</v>
      </c>
      <c r="AN107" s="201">
        <v>1.2553254600680925</v>
      </c>
      <c r="AO107" s="201">
        <v>1.2841979456496584</v>
      </c>
      <c r="AP107" s="201">
        <v>1.3137344983996004</v>
      </c>
      <c r="AQ107" s="201">
        <v>1.3439503918627915</v>
      </c>
      <c r="AR107" s="201">
        <v>1.3748612508756353</v>
      </c>
      <c r="AS107" s="201">
        <v>1.4064830596457747</v>
      </c>
      <c r="AT107" s="201">
        <v>1.4388321700176272</v>
      </c>
      <c r="AU107" s="201">
        <v>1</v>
      </c>
      <c r="AV107" s="201">
        <v>1.0224300740672718</v>
      </c>
      <c r="AW107" s="201">
        <v>1.0453695014675706</v>
      </c>
      <c r="AX107" s="201">
        <v>1.068829988063849</v>
      </c>
      <c r="AY107" s="201">
        <v>1.0928235118062264</v>
      </c>
      <c r="AZ107" s="201">
        <v>1.1092158644833194</v>
      </c>
      <c r="BA107" s="201">
        <v>1.1258541024505693</v>
      </c>
      <c r="BB107" s="201">
        <v>1.1427419139873276</v>
      </c>
      <c r="BC107" s="201">
        <v>1.1598830426971378</v>
      </c>
      <c r="BD107" s="201">
        <v>1.1772812883375947</v>
      </c>
      <c r="BE107" s="201">
        <v>1.194940507662658</v>
      </c>
      <c r="BF107" s="201">
        <v>1.2128646152775981</v>
      </c>
      <c r="BG107" s="201">
        <v>1.2310575845067619</v>
      </c>
      <c r="BH107" s="201">
        <v>1.2495234482743631</v>
      </c>
      <c r="BI107" s="201">
        <v>1.268266299998478</v>
      </c>
      <c r="BJ107" s="201">
        <v>1.2872902944984552</v>
      </c>
      <c r="BK107" s="201">
        <v>1.3065996489159322</v>
      </c>
      <c r="BL107" s="201">
        <v>1</v>
      </c>
      <c r="BM107" s="201">
        <v>1.0075087154733169</v>
      </c>
      <c r="BN107" s="201">
        <v>1.0150174309466338</v>
      </c>
      <c r="BO107" s="201">
        <v>1.0225261464199509</v>
      </c>
      <c r="BP107" s="201">
        <v>1.0300348618932678</v>
      </c>
      <c r="BQ107" s="201">
        <v>1.0375435773665846</v>
      </c>
      <c r="BR107" s="201">
        <v>1.0450522928399046</v>
      </c>
      <c r="BS107" s="201">
        <v>1.0458970233306526</v>
      </c>
      <c r="BT107" s="201">
        <v>1.0467417538213979</v>
      </c>
      <c r="BU107" s="201">
        <v>1.0475864843121492</v>
      </c>
      <c r="BV107" s="201">
        <v>1.0484312148028971</v>
      </c>
      <c r="BW107" s="201">
        <v>1.0492759452936424</v>
      </c>
      <c r="BX107" s="201">
        <v>1.0501206757843937</v>
      </c>
      <c r="BY107" s="201">
        <v>1.0509654062751417</v>
      </c>
      <c r="BZ107" s="201">
        <v>1.0518101367658899</v>
      </c>
      <c r="CA107" s="201">
        <v>1.0526548672566383</v>
      </c>
      <c r="CB107" s="201">
        <v>1.0534995977473862</v>
      </c>
    </row>
    <row r="108" spans="1:80" x14ac:dyDescent="0.35">
      <c r="A108" t="s">
        <v>743</v>
      </c>
      <c r="B108" t="s">
        <v>867</v>
      </c>
      <c r="C108" s="206" t="s">
        <v>854</v>
      </c>
      <c r="D108" t="s">
        <v>736</v>
      </c>
      <c r="E108" s="130">
        <v>2805.8986381801251</v>
      </c>
      <c r="F108" s="130">
        <f>NYSERDA_SupplyCurve_Raw[[#This Row],[Available Capacity (MWac)]]*NYSERDA_SupplyCurve_Raw[[#This Row],[2024 Weighted Avg Resource CapEx ($/kWac)]]</f>
        <v>4980226.2172621731</v>
      </c>
      <c r="G108" s="130">
        <f>NYSERDA_SupplyCurve_Raw[[#This Row],[Available Capacity (MWac)]]*NYSERDA_SupplyCurve_Raw[[#This Row],[2024 Weighted Avg OpEx ($/kWac-year)]]</f>
        <v>77511.19495600916</v>
      </c>
      <c r="H108" s="130">
        <v>1774.9130882690376</v>
      </c>
      <c r="I108" s="130">
        <v>42.947487865471395</v>
      </c>
      <c r="J108" s="130">
        <v>27.624374559118809</v>
      </c>
      <c r="K108" s="130">
        <f>NYSERDA_SupplyCurve_Raw[[#This Row],[2024 Weighted Avg Capacity Factor]]*NYSERDA_SupplyCurve_Raw[[#This Row],[Available Capacity (MWac)]]</f>
        <v>558.09323913402682</v>
      </c>
      <c r="L108" s="205">
        <v>0.19889999999999997</v>
      </c>
      <c r="M108" s="201">
        <v>1</v>
      </c>
      <c r="N108" s="201">
        <v>0.98205557700657919</v>
      </c>
      <c r="O108" s="201">
        <v>0.97508643687766761</v>
      </c>
      <c r="P108" s="201">
        <v>0.9710686978823494</v>
      </c>
      <c r="Q108" s="201">
        <v>0.96272883825255895</v>
      </c>
      <c r="R108" s="201">
        <v>0.9669897498237513</v>
      </c>
      <c r="S108" s="201">
        <v>0.97267407052031774</v>
      </c>
      <c r="T108" s="201">
        <v>0.97869557679238706</v>
      </c>
      <c r="U108" s="201">
        <v>0.98505703847148307</v>
      </c>
      <c r="V108" s="201">
        <v>0.99541170168847626</v>
      </c>
      <c r="W108" s="201">
        <v>1.0060348317132135</v>
      </c>
      <c r="X108" s="201">
        <v>1.0169311841464155</v>
      </c>
      <c r="Y108" s="201">
        <v>1.0281056158381718</v>
      </c>
      <c r="Z108" s="201">
        <v>1.0395630868515546</v>
      </c>
      <c r="AA108" s="201">
        <v>1.0513086624661185</v>
      </c>
      <c r="AB108" s="201">
        <v>1.0633475152220786</v>
      </c>
      <c r="AC108" s="201">
        <v>1.0756849270059703</v>
      </c>
      <c r="AD108" s="201">
        <v>1</v>
      </c>
      <c r="AE108" s="201">
        <v>1.0229999999999999</v>
      </c>
      <c r="AF108" s="201">
        <v>1.0465289999999998</v>
      </c>
      <c r="AG108" s="201">
        <v>1.0705991669999997</v>
      </c>
      <c r="AH108" s="201">
        <v>1.0952229478409996</v>
      </c>
      <c r="AI108" s="201">
        <v>1.1204130756413428</v>
      </c>
      <c r="AJ108" s="201">
        <v>1.1461825763810933</v>
      </c>
      <c r="AK108" s="201">
        <v>1.1725447756378582</v>
      </c>
      <c r="AL108" s="201">
        <v>1.1995133054775289</v>
      </c>
      <c r="AM108" s="201">
        <v>1.2271021115035117</v>
      </c>
      <c r="AN108" s="201">
        <v>1.2553254600680928</v>
      </c>
      <c r="AO108" s="201">
        <v>1.2841979456496586</v>
      </c>
      <c r="AP108" s="201">
        <v>1.3137344983996004</v>
      </c>
      <c r="AQ108" s="201">
        <v>1.3439503918627913</v>
      </c>
      <c r="AR108" s="201">
        <v>1.3748612508756353</v>
      </c>
      <c r="AS108" s="201">
        <v>1.4064830596457747</v>
      </c>
      <c r="AT108" s="201">
        <v>1.4388321700176272</v>
      </c>
      <c r="AU108" s="201">
        <v>1</v>
      </c>
      <c r="AV108" s="201">
        <v>1.0224300740672718</v>
      </c>
      <c r="AW108" s="201">
        <v>1.0453695014675704</v>
      </c>
      <c r="AX108" s="201">
        <v>1.0688299880638488</v>
      </c>
      <c r="AY108" s="201">
        <v>1.0928235118062262</v>
      </c>
      <c r="AZ108" s="201">
        <v>1.1092158644833194</v>
      </c>
      <c r="BA108" s="201">
        <v>1.1258541024505693</v>
      </c>
      <c r="BB108" s="201">
        <v>1.1427419139873274</v>
      </c>
      <c r="BC108" s="201">
        <v>1.1598830426971376</v>
      </c>
      <c r="BD108" s="201">
        <v>1.1772812883375945</v>
      </c>
      <c r="BE108" s="201">
        <v>1.1949405076626582</v>
      </c>
      <c r="BF108" s="201">
        <v>1.2128646152775981</v>
      </c>
      <c r="BG108" s="201">
        <v>1.2310575845067617</v>
      </c>
      <c r="BH108" s="201">
        <v>1.2495234482743631</v>
      </c>
      <c r="BI108" s="201">
        <v>1.2682662999984782</v>
      </c>
      <c r="BJ108" s="201">
        <v>1.2872902944984554</v>
      </c>
      <c r="BK108" s="201">
        <v>1.3065996489159319</v>
      </c>
      <c r="BL108" s="201">
        <v>1</v>
      </c>
      <c r="BM108" s="201">
        <v>1.0075087154733169</v>
      </c>
      <c r="BN108" s="201">
        <v>1.0150174309466338</v>
      </c>
      <c r="BO108" s="201">
        <v>1.0225261464199509</v>
      </c>
      <c r="BP108" s="201">
        <v>1.0300348618932678</v>
      </c>
      <c r="BQ108" s="201">
        <v>1.0375435773665846</v>
      </c>
      <c r="BR108" s="201">
        <v>1.0450522928399046</v>
      </c>
      <c r="BS108" s="201">
        <v>1.0458970233306526</v>
      </c>
      <c r="BT108" s="201">
        <v>1.0467417538213979</v>
      </c>
      <c r="BU108" s="201">
        <v>1.0475864843121492</v>
      </c>
      <c r="BV108" s="201">
        <v>1.0484312148028971</v>
      </c>
      <c r="BW108" s="201">
        <v>1.0492759452936424</v>
      </c>
      <c r="BX108" s="201">
        <v>1.0501206757843937</v>
      </c>
      <c r="BY108" s="201">
        <v>1.0509654062751417</v>
      </c>
      <c r="BZ108" s="201">
        <v>1.0518101367658899</v>
      </c>
      <c r="CA108" s="201">
        <v>1.0526548672566383</v>
      </c>
      <c r="CB108" s="201">
        <v>1.0534995977473862</v>
      </c>
    </row>
    <row r="109" spans="1:80" x14ac:dyDescent="0.35">
      <c r="A109" t="s">
        <v>743</v>
      </c>
      <c r="B109" t="s">
        <v>867</v>
      </c>
      <c r="C109" s="206" t="s">
        <v>854</v>
      </c>
      <c r="D109" t="s">
        <v>742</v>
      </c>
      <c r="E109" s="130">
        <v>1831.9084071427128</v>
      </c>
      <c r="F109" s="130">
        <f>NYSERDA_SupplyCurve_Raw[[#This Row],[Available Capacity (MWac)]]*NYSERDA_SupplyCurve_Raw[[#This Row],[2024 Weighted Avg Resource CapEx ($/kWac)]]</f>
        <v>3645596.0078293486</v>
      </c>
      <c r="G109" s="130">
        <f>NYSERDA_SupplyCurve_Raw[[#This Row],[Available Capacity (MWac)]]*NYSERDA_SupplyCurve_Raw[[#This Row],[2024 Weighted Avg OpEx ($/kWac-year)]]</f>
        <v>50605.323996909014</v>
      </c>
      <c r="H109" s="130">
        <v>1990.0536476687191</v>
      </c>
      <c r="I109" s="130">
        <v>91.073804990290483</v>
      </c>
      <c r="J109" s="130">
        <v>27.624374559118806</v>
      </c>
      <c r="K109" s="130">
        <f>NYSERDA_SupplyCurve_Raw[[#This Row],[2024 Weighted Avg Capacity Factor]]*NYSERDA_SupplyCurve_Raw[[#This Row],[Available Capacity (MWac)]]</f>
        <v>364.36658218068555</v>
      </c>
      <c r="L109" s="205">
        <v>0.19889999999999999</v>
      </c>
      <c r="M109" s="201">
        <v>1</v>
      </c>
      <c r="N109" s="201">
        <v>0.98205557700657897</v>
      </c>
      <c r="O109" s="201">
        <v>0.97508643687766738</v>
      </c>
      <c r="P109" s="201">
        <v>0.9710686978823494</v>
      </c>
      <c r="Q109" s="201">
        <v>0.96272883825255884</v>
      </c>
      <c r="R109" s="201">
        <v>0.96698974982375085</v>
      </c>
      <c r="S109" s="201">
        <v>0.97267407052031785</v>
      </c>
      <c r="T109" s="201">
        <v>0.97869557679238706</v>
      </c>
      <c r="U109" s="201">
        <v>0.98505703847148307</v>
      </c>
      <c r="V109" s="201">
        <v>0.99541170168847626</v>
      </c>
      <c r="W109" s="201">
        <v>1.0060348317132133</v>
      </c>
      <c r="X109" s="201">
        <v>1.0169311841464153</v>
      </c>
      <c r="Y109" s="201">
        <v>1.0281056158381718</v>
      </c>
      <c r="Z109" s="201">
        <v>1.0395630868515546</v>
      </c>
      <c r="AA109" s="201">
        <v>1.0513086624661185</v>
      </c>
      <c r="AB109" s="201">
        <v>1.0633475152220784</v>
      </c>
      <c r="AC109" s="201">
        <v>1.0756849270059703</v>
      </c>
      <c r="AD109" s="201">
        <v>1</v>
      </c>
      <c r="AE109" s="201">
        <v>1.0229999999999997</v>
      </c>
      <c r="AF109" s="201">
        <v>1.0465289999999998</v>
      </c>
      <c r="AG109" s="201">
        <v>1.0705991669999997</v>
      </c>
      <c r="AH109" s="201">
        <v>1.0952229478409994</v>
      </c>
      <c r="AI109" s="201">
        <v>1.1204130756413424</v>
      </c>
      <c r="AJ109" s="201">
        <v>1.1461825763810931</v>
      </c>
      <c r="AK109" s="201">
        <v>1.1725447756378582</v>
      </c>
      <c r="AL109" s="201">
        <v>1.1995133054775287</v>
      </c>
      <c r="AM109" s="201">
        <v>1.2271021115035117</v>
      </c>
      <c r="AN109" s="201">
        <v>1.2553254600680923</v>
      </c>
      <c r="AO109" s="201">
        <v>1.2841979456496586</v>
      </c>
      <c r="AP109" s="201">
        <v>1.3137344983996007</v>
      </c>
      <c r="AQ109" s="201">
        <v>1.3439503918627915</v>
      </c>
      <c r="AR109" s="201">
        <v>1.3748612508756353</v>
      </c>
      <c r="AS109" s="201">
        <v>1.4064830596457747</v>
      </c>
      <c r="AT109" s="201">
        <v>1.4388321700176272</v>
      </c>
      <c r="AU109" s="201">
        <v>1</v>
      </c>
      <c r="AV109" s="201">
        <v>1.0224300740672716</v>
      </c>
      <c r="AW109" s="201">
        <v>1.0453695014675706</v>
      </c>
      <c r="AX109" s="201">
        <v>1.068829988063849</v>
      </c>
      <c r="AY109" s="201">
        <v>1.0928235118062262</v>
      </c>
      <c r="AZ109" s="201">
        <v>1.1092158644833194</v>
      </c>
      <c r="BA109" s="201">
        <v>1.1258541024505693</v>
      </c>
      <c r="BB109" s="201">
        <v>1.1427419139873276</v>
      </c>
      <c r="BC109" s="201">
        <v>1.1598830426971378</v>
      </c>
      <c r="BD109" s="201">
        <v>1.1772812883375947</v>
      </c>
      <c r="BE109" s="201">
        <v>1.1949405076626585</v>
      </c>
      <c r="BF109" s="201">
        <v>1.2128646152775984</v>
      </c>
      <c r="BG109" s="201">
        <v>1.2310575845067619</v>
      </c>
      <c r="BH109" s="201">
        <v>1.2495234482743631</v>
      </c>
      <c r="BI109" s="201">
        <v>1.2682662999984782</v>
      </c>
      <c r="BJ109" s="201">
        <v>1.2872902944984552</v>
      </c>
      <c r="BK109" s="201">
        <v>1.3065996489159319</v>
      </c>
      <c r="BL109" s="201">
        <v>1</v>
      </c>
      <c r="BM109" s="201">
        <v>1.0075087154733169</v>
      </c>
      <c r="BN109" s="201">
        <v>1.0150174309466338</v>
      </c>
      <c r="BO109" s="201">
        <v>1.0225261464199509</v>
      </c>
      <c r="BP109" s="201">
        <v>1.0300348618932678</v>
      </c>
      <c r="BQ109" s="201">
        <v>1.0375435773665846</v>
      </c>
      <c r="BR109" s="201">
        <v>1.0450522928399046</v>
      </c>
      <c r="BS109" s="201">
        <v>1.0458970233306526</v>
      </c>
      <c r="BT109" s="201">
        <v>1.0467417538213979</v>
      </c>
      <c r="BU109" s="201">
        <v>1.0475864843121492</v>
      </c>
      <c r="BV109" s="201">
        <v>1.0484312148028971</v>
      </c>
      <c r="BW109" s="201">
        <v>1.0492759452936424</v>
      </c>
      <c r="BX109" s="201">
        <v>1.0501206757843937</v>
      </c>
      <c r="BY109" s="201">
        <v>1.0509654062751417</v>
      </c>
      <c r="BZ109" s="201">
        <v>1.0518101367658899</v>
      </c>
      <c r="CA109" s="201">
        <v>1.0526548672566383</v>
      </c>
      <c r="CB109" s="201">
        <v>1.0534995977473862</v>
      </c>
    </row>
    <row r="110" spans="1:80" x14ac:dyDescent="0.35">
      <c r="A110" t="s">
        <v>743</v>
      </c>
      <c r="B110" t="s">
        <v>868</v>
      </c>
      <c r="C110" s="206" t="s">
        <v>843</v>
      </c>
      <c r="D110" t="s">
        <v>736</v>
      </c>
      <c r="E110" s="130">
        <v>623.9357534934544</v>
      </c>
      <c r="F110" s="130">
        <f>NYSERDA_SupplyCurve_Raw[[#This Row],[Available Capacity (MWac)]]*NYSERDA_SupplyCurve_Raw[[#This Row],[2024 Weighted Avg Resource CapEx ($/kWac)]]</f>
        <v>1168789.2395726799</v>
      </c>
      <c r="G110" s="130">
        <f>NYSERDA_SupplyCurve_Raw[[#This Row],[Available Capacity (MWac)]]*NYSERDA_SupplyCurve_Raw[[#This Row],[2024 Weighted Avg OpEx ($/kWac-year)]]</f>
        <v>17333.979360672143</v>
      </c>
      <c r="H110" s="130">
        <v>1873.2525472832058</v>
      </c>
      <c r="I110" s="130">
        <v>101.50540594275934</v>
      </c>
      <c r="J110" s="130">
        <v>27.781673455348781</v>
      </c>
      <c r="K110" s="130">
        <f>NYSERDA_SupplyCurve_Raw[[#This Row],[2024 Weighted Avg Capacity Factor]]*NYSERDA_SupplyCurve_Raw[[#This Row],[Available Capacity (MWac)]]</f>
        <v>124.91193784938959</v>
      </c>
      <c r="L110" s="205">
        <v>0.20020000000000002</v>
      </c>
      <c r="M110" s="201">
        <v>1</v>
      </c>
      <c r="N110" s="201">
        <v>0.98205557700657919</v>
      </c>
      <c r="O110" s="201">
        <v>0.9750864368776675</v>
      </c>
      <c r="P110" s="201">
        <v>0.97106869788234929</v>
      </c>
      <c r="Q110" s="201">
        <v>0.96272883825255895</v>
      </c>
      <c r="R110" s="201">
        <v>0.9669897498237513</v>
      </c>
      <c r="S110" s="201">
        <v>0.97267407052031785</v>
      </c>
      <c r="T110" s="201">
        <v>0.97869557679238717</v>
      </c>
      <c r="U110" s="201">
        <v>0.98505703847148307</v>
      </c>
      <c r="V110" s="201">
        <v>0.99541170168847637</v>
      </c>
      <c r="W110" s="201">
        <v>1.0060348317132135</v>
      </c>
      <c r="X110" s="201">
        <v>1.0169311841464153</v>
      </c>
      <c r="Y110" s="201">
        <v>1.0281056158381716</v>
      </c>
      <c r="Z110" s="201">
        <v>1.0395630868515549</v>
      </c>
      <c r="AA110" s="201">
        <v>1.051308662466119</v>
      </c>
      <c r="AB110" s="201">
        <v>1.0633475152220786</v>
      </c>
      <c r="AC110" s="201">
        <v>1.0756849270059703</v>
      </c>
      <c r="AD110" s="201">
        <v>1</v>
      </c>
      <c r="AE110" s="201">
        <v>1.0229999999999999</v>
      </c>
      <c r="AF110" s="201">
        <v>1.0465289999999998</v>
      </c>
      <c r="AG110" s="201">
        <v>1.0705991669999999</v>
      </c>
      <c r="AH110" s="201">
        <v>1.0952229478409996</v>
      </c>
      <c r="AI110" s="201">
        <v>1.1204130756413424</v>
      </c>
      <c r="AJ110" s="201">
        <v>1.1461825763810933</v>
      </c>
      <c r="AK110" s="201">
        <v>1.1725447756378582</v>
      </c>
      <c r="AL110" s="201">
        <v>1.1995133054775289</v>
      </c>
      <c r="AM110" s="201">
        <v>1.2271021115035119</v>
      </c>
      <c r="AN110" s="201">
        <v>1.2553254600680925</v>
      </c>
      <c r="AO110" s="201">
        <v>1.2841979456496586</v>
      </c>
      <c r="AP110" s="201">
        <v>1.3137344983996004</v>
      </c>
      <c r="AQ110" s="201">
        <v>1.3439503918627915</v>
      </c>
      <c r="AR110" s="201">
        <v>1.374861250875635</v>
      </c>
      <c r="AS110" s="201">
        <v>1.4064830596457747</v>
      </c>
      <c r="AT110" s="201">
        <v>1.4388321700176276</v>
      </c>
      <c r="AU110" s="201">
        <v>1</v>
      </c>
      <c r="AV110" s="201">
        <v>1.0224300740672716</v>
      </c>
      <c r="AW110" s="201">
        <v>1.0453695014675704</v>
      </c>
      <c r="AX110" s="201">
        <v>1.0688299880638492</v>
      </c>
      <c r="AY110" s="201">
        <v>1.0928235118062262</v>
      </c>
      <c r="AZ110" s="201">
        <v>1.1092158644833194</v>
      </c>
      <c r="BA110" s="201">
        <v>1.125854102450569</v>
      </c>
      <c r="BB110" s="201">
        <v>1.1427419139873276</v>
      </c>
      <c r="BC110" s="201">
        <v>1.1598830426971376</v>
      </c>
      <c r="BD110" s="201">
        <v>1.1772812883375945</v>
      </c>
      <c r="BE110" s="201">
        <v>1.1949405076626582</v>
      </c>
      <c r="BF110" s="201">
        <v>1.2128646152775979</v>
      </c>
      <c r="BG110" s="201">
        <v>1.2310575845067617</v>
      </c>
      <c r="BH110" s="201">
        <v>1.2495234482743631</v>
      </c>
      <c r="BI110" s="201">
        <v>1.2682662999984782</v>
      </c>
      <c r="BJ110" s="201">
        <v>1.2872902944984552</v>
      </c>
      <c r="BK110" s="201">
        <v>1.3065996489159319</v>
      </c>
      <c r="BL110" s="201">
        <v>1</v>
      </c>
      <c r="BM110" s="201">
        <v>1.0075087154733169</v>
      </c>
      <c r="BN110" s="201">
        <v>1.0150174309466338</v>
      </c>
      <c r="BO110" s="201">
        <v>1.0225261464199509</v>
      </c>
      <c r="BP110" s="201">
        <v>1.0300348618932678</v>
      </c>
      <c r="BQ110" s="201">
        <v>1.0375435773665846</v>
      </c>
      <c r="BR110" s="201">
        <v>1.0450522928399046</v>
      </c>
      <c r="BS110" s="201">
        <v>1.0458970233306526</v>
      </c>
      <c r="BT110" s="201">
        <v>1.0467417538213979</v>
      </c>
      <c r="BU110" s="201">
        <v>1.0475864843121492</v>
      </c>
      <c r="BV110" s="201">
        <v>1.0484312148028971</v>
      </c>
      <c r="BW110" s="201">
        <v>1.0492759452936424</v>
      </c>
      <c r="BX110" s="201">
        <v>1.0501206757843937</v>
      </c>
      <c r="BY110" s="201">
        <v>1.0509654062751417</v>
      </c>
      <c r="BZ110" s="201">
        <v>1.0518101367658899</v>
      </c>
      <c r="CA110" s="201">
        <v>1.0526548672566383</v>
      </c>
      <c r="CB110" s="201">
        <v>1.0534995977473862</v>
      </c>
    </row>
    <row r="111" spans="1:80" x14ac:dyDescent="0.35">
      <c r="A111" t="s">
        <v>743</v>
      </c>
      <c r="B111" t="s">
        <v>868</v>
      </c>
      <c r="C111" s="206" t="s">
        <v>843</v>
      </c>
      <c r="D111" t="s">
        <v>742</v>
      </c>
      <c r="E111" s="130">
        <v>511.3502938953078</v>
      </c>
      <c r="F111" s="130">
        <f>NYSERDA_SupplyCurve_Raw[[#This Row],[Available Capacity (MWac)]]*NYSERDA_SupplyCurve_Raw[[#This Row],[2024 Weighted Avg Resource CapEx ($/kWac)]]</f>
        <v>1095328.2704826521</v>
      </c>
      <c r="G111" s="130">
        <f>NYSERDA_SupplyCurve_Raw[[#This Row],[Available Capacity (MWac)]]*NYSERDA_SupplyCurve_Raw[[#This Row],[2024 Weighted Avg OpEx ($/kWac-year)]]</f>
        <v>14206.166886296071</v>
      </c>
      <c r="H111" s="130">
        <v>2142.0311742441399</v>
      </c>
      <c r="I111" s="130">
        <v>181.5687590729043</v>
      </c>
      <c r="J111" s="130">
        <v>27.781673455348781</v>
      </c>
      <c r="K111" s="130">
        <f>NYSERDA_SupplyCurve_Raw[[#This Row],[2024 Weighted Avg Capacity Factor]]*NYSERDA_SupplyCurve_Raw[[#This Row],[Available Capacity (MWac)]]</f>
        <v>102.37232883784063</v>
      </c>
      <c r="L111" s="205">
        <v>0.20020000000000002</v>
      </c>
      <c r="M111" s="201">
        <v>1</v>
      </c>
      <c r="N111" s="201">
        <v>0.98205557700657897</v>
      </c>
      <c r="O111" s="201">
        <v>0.97508643687766738</v>
      </c>
      <c r="P111" s="201">
        <v>0.97106869788234929</v>
      </c>
      <c r="Q111" s="201">
        <v>0.96272883825255895</v>
      </c>
      <c r="R111" s="201">
        <v>0.96698974982375074</v>
      </c>
      <c r="S111" s="201">
        <v>0.9726740705203174</v>
      </c>
      <c r="T111" s="201">
        <v>0.97869557679238706</v>
      </c>
      <c r="U111" s="201">
        <v>0.98505703847148285</v>
      </c>
      <c r="V111" s="201">
        <v>0.99541170168847626</v>
      </c>
      <c r="W111" s="201">
        <v>1.0060348317132133</v>
      </c>
      <c r="X111" s="201">
        <v>1.016931184146415</v>
      </c>
      <c r="Y111" s="201">
        <v>1.0281056158381716</v>
      </c>
      <c r="Z111" s="201">
        <v>1.0395630868515542</v>
      </c>
      <c r="AA111" s="201">
        <v>1.0513086624661188</v>
      </c>
      <c r="AB111" s="201">
        <v>1.0633475152220784</v>
      </c>
      <c r="AC111" s="201">
        <v>1.0756849270059701</v>
      </c>
      <c r="AD111" s="201">
        <v>1</v>
      </c>
      <c r="AE111" s="201">
        <v>1.0229999999999999</v>
      </c>
      <c r="AF111" s="201">
        <v>1.0465289999999998</v>
      </c>
      <c r="AG111" s="201">
        <v>1.0705991669999997</v>
      </c>
      <c r="AH111" s="201">
        <v>1.0952229478409994</v>
      </c>
      <c r="AI111" s="201">
        <v>1.1204130756413424</v>
      </c>
      <c r="AJ111" s="201">
        <v>1.1461825763810931</v>
      </c>
      <c r="AK111" s="201">
        <v>1.172544775637858</v>
      </c>
      <c r="AL111" s="201">
        <v>1.1995133054775289</v>
      </c>
      <c r="AM111" s="201">
        <v>1.2271021115035117</v>
      </c>
      <c r="AN111" s="201">
        <v>1.2553254600680928</v>
      </c>
      <c r="AO111" s="201">
        <v>1.2841979456496584</v>
      </c>
      <c r="AP111" s="201">
        <v>1.3137344983996007</v>
      </c>
      <c r="AQ111" s="201">
        <v>1.3439503918627913</v>
      </c>
      <c r="AR111" s="201">
        <v>1.3748612508756353</v>
      </c>
      <c r="AS111" s="201">
        <v>1.4064830596457745</v>
      </c>
      <c r="AT111" s="201">
        <v>1.4388321700176276</v>
      </c>
      <c r="AU111" s="201">
        <v>1</v>
      </c>
      <c r="AV111" s="201">
        <v>1.0224300740672718</v>
      </c>
      <c r="AW111" s="201">
        <v>1.0453695014675704</v>
      </c>
      <c r="AX111" s="201">
        <v>1.068829988063849</v>
      </c>
      <c r="AY111" s="201">
        <v>1.0928235118062262</v>
      </c>
      <c r="AZ111" s="201">
        <v>1.1092158644833194</v>
      </c>
      <c r="BA111" s="201">
        <v>1.1258541024505693</v>
      </c>
      <c r="BB111" s="201">
        <v>1.1427419139873274</v>
      </c>
      <c r="BC111" s="201">
        <v>1.1598830426971376</v>
      </c>
      <c r="BD111" s="201">
        <v>1.1772812883375945</v>
      </c>
      <c r="BE111" s="201">
        <v>1.1949405076626582</v>
      </c>
      <c r="BF111" s="201">
        <v>1.2128646152775979</v>
      </c>
      <c r="BG111" s="201">
        <v>1.2310575845067619</v>
      </c>
      <c r="BH111" s="201">
        <v>1.2495234482743631</v>
      </c>
      <c r="BI111" s="201">
        <v>1.2682662999984782</v>
      </c>
      <c r="BJ111" s="201">
        <v>1.2872902944984552</v>
      </c>
      <c r="BK111" s="201">
        <v>1.3065996489159319</v>
      </c>
      <c r="BL111" s="201">
        <v>1</v>
      </c>
      <c r="BM111" s="201">
        <v>1.0075087154733169</v>
      </c>
      <c r="BN111" s="201">
        <v>1.0150174309466338</v>
      </c>
      <c r="BO111" s="201">
        <v>1.0225261464199509</v>
      </c>
      <c r="BP111" s="201">
        <v>1.0300348618932678</v>
      </c>
      <c r="BQ111" s="201">
        <v>1.0375435773665846</v>
      </c>
      <c r="BR111" s="201">
        <v>1.0450522928399046</v>
      </c>
      <c r="BS111" s="201">
        <v>1.0458970233306526</v>
      </c>
      <c r="BT111" s="201">
        <v>1.0467417538213979</v>
      </c>
      <c r="BU111" s="201">
        <v>1.0475864843121492</v>
      </c>
      <c r="BV111" s="201">
        <v>1.0484312148028971</v>
      </c>
      <c r="BW111" s="201">
        <v>1.0492759452936424</v>
      </c>
      <c r="BX111" s="201">
        <v>1.0501206757843937</v>
      </c>
      <c r="BY111" s="201">
        <v>1.0509654062751417</v>
      </c>
      <c r="BZ111" s="201">
        <v>1.0518101367658899</v>
      </c>
      <c r="CA111" s="201">
        <v>1.0526548672566383</v>
      </c>
      <c r="CB111" s="201">
        <v>1.0534995977473862</v>
      </c>
    </row>
    <row r="112" spans="1:80" x14ac:dyDescent="0.35">
      <c r="A112" t="s">
        <v>743</v>
      </c>
      <c r="B112" t="s">
        <v>869</v>
      </c>
      <c r="C112" s="206" t="s">
        <v>841</v>
      </c>
      <c r="D112" t="s">
        <v>736</v>
      </c>
      <c r="E112" s="130">
        <v>220.87085150644464</v>
      </c>
      <c r="F112" s="130">
        <f>NYSERDA_SupplyCurve_Raw[[#This Row],[Available Capacity (MWac)]]*NYSERDA_SupplyCurve_Raw[[#This Row],[2024 Weighted Avg Resource CapEx ($/kWac)]]</f>
        <v>401081.71582064393</v>
      </c>
      <c r="G112" s="130">
        <f>NYSERDA_SupplyCurve_Raw[[#This Row],[Available Capacity (MWac)]]*NYSERDA_SupplyCurve_Raw[[#This Row],[2024 Weighted Avg OpEx ($/kWac-year)]]</f>
        <v>5938.1282477942486</v>
      </c>
      <c r="H112" s="130">
        <v>1815.910578897465</v>
      </c>
      <c r="I112" s="130">
        <v>122.64533030320389</v>
      </c>
      <c r="J112" s="130">
        <v>26.885069746837935</v>
      </c>
      <c r="K112" s="130">
        <f>NYSERDA_SupplyCurve_Raw[[#This Row],[2024 Weighted Avg Capacity Factor]]*NYSERDA_SupplyCurve_Raw[[#This Row],[Available Capacity (MWac)]]</f>
        <v>44.79260868550697</v>
      </c>
      <c r="L112" s="205">
        <v>0.20279999999999998</v>
      </c>
      <c r="M112" s="201">
        <v>1</v>
      </c>
      <c r="N112" s="201">
        <v>0.98205557700657908</v>
      </c>
      <c r="O112" s="201">
        <v>0.9750864368776675</v>
      </c>
      <c r="P112" s="201">
        <v>0.97106869788234929</v>
      </c>
      <c r="Q112" s="201">
        <v>0.96272883825255895</v>
      </c>
      <c r="R112" s="201">
        <v>0.96698974982375108</v>
      </c>
      <c r="S112" s="201">
        <v>0.97267407052031762</v>
      </c>
      <c r="T112" s="201">
        <v>0.97869557679238706</v>
      </c>
      <c r="U112" s="201">
        <v>0.98505703847148296</v>
      </c>
      <c r="V112" s="201">
        <v>0.99541170168847637</v>
      </c>
      <c r="W112" s="201">
        <v>1.0060348317132133</v>
      </c>
      <c r="X112" s="201">
        <v>1.0169311841464153</v>
      </c>
      <c r="Y112" s="201">
        <v>1.0281056158381718</v>
      </c>
      <c r="Z112" s="201">
        <v>1.0395630868515544</v>
      </c>
      <c r="AA112" s="201">
        <v>1.0513086624661185</v>
      </c>
      <c r="AB112" s="201">
        <v>1.0633475152220784</v>
      </c>
      <c r="AC112" s="201">
        <v>1.0756849270059703</v>
      </c>
      <c r="AD112" s="201">
        <v>1</v>
      </c>
      <c r="AE112" s="201">
        <v>1.0229999999999999</v>
      </c>
      <c r="AF112" s="201">
        <v>1.046529</v>
      </c>
      <c r="AG112" s="201">
        <v>1.0705991669999997</v>
      </c>
      <c r="AH112" s="201">
        <v>1.0952229478409996</v>
      </c>
      <c r="AI112" s="201">
        <v>1.1204130756413424</v>
      </c>
      <c r="AJ112" s="201">
        <v>1.1461825763810931</v>
      </c>
      <c r="AK112" s="201">
        <v>1.1725447756378582</v>
      </c>
      <c r="AL112" s="201">
        <v>1.1995133054775287</v>
      </c>
      <c r="AM112" s="201">
        <v>1.2271021115035121</v>
      </c>
      <c r="AN112" s="201">
        <v>1.2553254600680925</v>
      </c>
      <c r="AO112" s="201">
        <v>1.2841979456496586</v>
      </c>
      <c r="AP112" s="201">
        <v>1.3137344983996007</v>
      </c>
      <c r="AQ112" s="201">
        <v>1.3439503918627915</v>
      </c>
      <c r="AR112" s="201">
        <v>1.374861250875635</v>
      </c>
      <c r="AS112" s="201">
        <v>1.4064830596457747</v>
      </c>
      <c r="AT112" s="201">
        <v>1.4388321700176274</v>
      </c>
      <c r="AU112" s="201">
        <v>1</v>
      </c>
      <c r="AV112" s="201">
        <v>1.0224300740672716</v>
      </c>
      <c r="AW112" s="201">
        <v>1.0453695014675704</v>
      </c>
      <c r="AX112" s="201">
        <v>1.0688299880638488</v>
      </c>
      <c r="AY112" s="201">
        <v>1.0928235118062264</v>
      </c>
      <c r="AZ112" s="201">
        <v>1.1092158644833194</v>
      </c>
      <c r="BA112" s="201">
        <v>1.125854102450569</v>
      </c>
      <c r="BB112" s="201">
        <v>1.1427419139873276</v>
      </c>
      <c r="BC112" s="201">
        <v>1.1598830426971374</v>
      </c>
      <c r="BD112" s="201">
        <v>1.1772812883375945</v>
      </c>
      <c r="BE112" s="201">
        <v>1.194940507662658</v>
      </c>
      <c r="BF112" s="201">
        <v>1.2128646152775977</v>
      </c>
      <c r="BG112" s="201">
        <v>1.2310575845067619</v>
      </c>
      <c r="BH112" s="201">
        <v>1.2495234482743627</v>
      </c>
      <c r="BI112" s="201">
        <v>1.2682662999984782</v>
      </c>
      <c r="BJ112" s="201">
        <v>1.2872902944984552</v>
      </c>
      <c r="BK112" s="201">
        <v>1.3065996489159319</v>
      </c>
      <c r="BL112" s="201">
        <v>1</v>
      </c>
      <c r="BM112" s="201">
        <v>1.0075087154733169</v>
      </c>
      <c r="BN112" s="201">
        <v>1.0150174309466338</v>
      </c>
      <c r="BO112" s="201">
        <v>1.0225261464199509</v>
      </c>
      <c r="BP112" s="201">
        <v>1.0300348618932678</v>
      </c>
      <c r="BQ112" s="201">
        <v>1.0375435773665846</v>
      </c>
      <c r="BR112" s="201">
        <v>1.0450522928399046</v>
      </c>
      <c r="BS112" s="201">
        <v>1.0458970233306526</v>
      </c>
      <c r="BT112" s="201">
        <v>1.0467417538213979</v>
      </c>
      <c r="BU112" s="201">
        <v>1.0475864843121492</v>
      </c>
      <c r="BV112" s="201">
        <v>1.0484312148028971</v>
      </c>
      <c r="BW112" s="201">
        <v>1.0492759452936424</v>
      </c>
      <c r="BX112" s="201">
        <v>1.0501206757843937</v>
      </c>
      <c r="BY112" s="201">
        <v>1.0509654062751417</v>
      </c>
      <c r="BZ112" s="201">
        <v>1.0518101367658899</v>
      </c>
      <c r="CA112" s="201">
        <v>1.0526548672566383</v>
      </c>
      <c r="CB112" s="201">
        <v>1.0534995977473862</v>
      </c>
    </row>
    <row r="113" spans="1:80" x14ac:dyDescent="0.35">
      <c r="A113" t="s">
        <v>743</v>
      </c>
      <c r="B113" t="s">
        <v>869</v>
      </c>
      <c r="C113" s="206" t="s">
        <v>841</v>
      </c>
      <c r="D113" t="s">
        <v>742</v>
      </c>
      <c r="E113" s="130">
        <v>380.9254270856519</v>
      </c>
      <c r="F113" s="130">
        <f>NYSERDA_SupplyCurve_Raw[[#This Row],[Available Capacity (MWac)]]*NYSERDA_SupplyCurve_Raw[[#This Row],[2024 Weighted Avg Resource CapEx ($/kWac)]]</f>
        <v>789407.33654221857</v>
      </c>
      <c r="G113" s="130">
        <f>NYSERDA_SupplyCurve_Raw[[#This Row],[Available Capacity (MWac)]]*NYSERDA_SupplyCurve_Raw[[#This Row],[2024 Weighted Avg OpEx ($/kWac-year)]]</f>
        <v>10241.206675541778</v>
      </c>
      <c r="H113" s="130">
        <v>2072.3408846233797</v>
      </c>
      <c r="I113" s="130">
        <v>177.26291075003391</v>
      </c>
      <c r="J113" s="130">
        <v>26.885069746837932</v>
      </c>
      <c r="K113" s="130">
        <f>NYSERDA_SupplyCurve_Raw[[#This Row],[2024 Weighted Avg Capacity Factor]]*NYSERDA_SupplyCurve_Raw[[#This Row],[Available Capacity (MWac)]]</f>
        <v>77.251676612970201</v>
      </c>
      <c r="L113" s="205">
        <v>0.20279999999999998</v>
      </c>
      <c r="M113" s="201">
        <v>1</v>
      </c>
      <c r="N113" s="201">
        <v>0.98205557700657897</v>
      </c>
      <c r="O113" s="201">
        <v>0.97508643687766738</v>
      </c>
      <c r="P113" s="201">
        <v>0.9710686978823494</v>
      </c>
      <c r="Q113" s="201">
        <v>0.96272883825255873</v>
      </c>
      <c r="R113" s="201">
        <v>0.96698974982375097</v>
      </c>
      <c r="S113" s="201">
        <v>0.97267407052031774</v>
      </c>
      <c r="T113" s="201">
        <v>0.97869557679238706</v>
      </c>
      <c r="U113" s="201">
        <v>0.98505703847148296</v>
      </c>
      <c r="V113" s="201">
        <v>0.99541170168847626</v>
      </c>
      <c r="W113" s="201">
        <v>1.0060348317132135</v>
      </c>
      <c r="X113" s="201">
        <v>1.0169311841464153</v>
      </c>
      <c r="Y113" s="201">
        <v>1.0281056158381716</v>
      </c>
      <c r="Z113" s="201">
        <v>1.0395630868515546</v>
      </c>
      <c r="AA113" s="201">
        <v>1.0513086624661185</v>
      </c>
      <c r="AB113" s="201">
        <v>1.0633475152220784</v>
      </c>
      <c r="AC113" s="201">
        <v>1.0756849270059703</v>
      </c>
      <c r="AD113" s="201">
        <v>1</v>
      </c>
      <c r="AE113" s="201">
        <v>1.0229999999999999</v>
      </c>
      <c r="AF113" s="201">
        <v>1.0465289999999998</v>
      </c>
      <c r="AG113" s="201">
        <v>1.0705991669999997</v>
      </c>
      <c r="AH113" s="201">
        <v>1.0952229478409996</v>
      </c>
      <c r="AI113" s="201">
        <v>1.1204130756413428</v>
      </c>
      <c r="AJ113" s="201">
        <v>1.1461825763810931</v>
      </c>
      <c r="AK113" s="201">
        <v>1.1725447756378584</v>
      </c>
      <c r="AL113" s="201">
        <v>1.1995133054775289</v>
      </c>
      <c r="AM113" s="201">
        <v>1.2271021115035119</v>
      </c>
      <c r="AN113" s="201">
        <v>1.2553254600680925</v>
      </c>
      <c r="AO113" s="201">
        <v>1.2841979456496586</v>
      </c>
      <c r="AP113" s="201">
        <v>1.3137344983996007</v>
      </c>
      <c r="AQ113" s="201">
        <v>1.3439503918627913</v>
      </c>
      <c r="AR113" s="201">
        <v>1.3748612508756353</v>
      </c>
      <c r="AS113" s="201">
        <v>1.4064830596457747</v>
      </c>
      <c r="AT113" s="201">
        <v>1.4388321700176274</v>
      </c>
      <c r="AU113" s="201">
        <v>1</v>
      </c>
      <c r="AV113" s="201">
        <v>1.0224300740672716</v>
      </c>
      <c r="AW113" s="201">
        <v>1.0453695014675706</v>
      </c>
      <c r="AX113" s="201">
        <v>1.0688299880638492</v>
      </c>
      <c r="AY113" s="201">
        <v>1.0928235118062264</v>
      </c>
      <c r="AZ113" s="201">
        <v>1.1092158644833194</v>
      </c>
      <c r="BA113" s="201">
        <v>1.1258541024505695</v>
      </c>
      <c r="BB113" s="201">
        <v>1.1427419139873278</v>
      </c>
      <c r="BC113" s="201">
        <v>1.1598830426971378</v>
      </c>
      <c r="BD113" s="201">
        <v>1.1772812883375947</v>
      </c>
      <c r="BE113" s="201">
        <v>1.1949405076626585</v>
      </c>
      <c r="BF113" s="201">
        <v>1.2128646152775981</v>
      </c>
      <c r="BG113" s="201">
        <v>1.2310575845067619</v>
      </c>
      <c r="BH113" s="201">
        <v>1.2495234482743631</v>
      </c>
      <c r="BI113" s="201">
        <v>1.2682662999984784</v>
      </c>
      <c r="BJ113" s="201">
        <v>1.2872902944984554</v>
      </c>
      <c r="BK113" s="201">
        <v>1.3065996489159322</v>
      </c>
      <c r="BL113" s="201">
        <v>1</v>
      </c>
      <c r="BM113" s="201">
        <v>1.0075087154733169</v>
      </c>
      <c r="BN113" s="201">
        <v>1.0150174309466338</v>
      </c>
      <c r="BO113" s="201">
        <v>1.0225261464199509</v>
      </c>
      <c r="BP113" s="201">
        <v>1.0300348618932678</v>
      </c>
      <c r="BQ113" s="201">
        <v>1.0375435773665846</v>
      </c>
      <c r="BR113" s="201">
        <v>1.0450522928399046</v>
      </c>
      <c r="BS113" s="201">
        <v>1.0458970233306526</v>
      </c>
      <c r="BT113" s="201">
        <v>1.0467417538213979</v>
      </c>
      <c r="BU113" s="201">
        <v>1.0475864843121492</v>
      </c>
      <c r="BV113" s="201">
        <v>1.0484312148028971</v>
      </c>
      <c r="BW113" s="201">
        <v>1.0492759452936424</v>
      </c>
      <c r="BX113" s="201">
        <v>1.0501206757843937</v>
      </c>
      <c r="BY113" s="201">
        <v>1.0509654062751417</v>
      </c>
      <c r="BZ113" s="201">
        <v>1.0518101367658899</v>
      </c>
      <c r="CA113" s="201">
        <v>1.0526548672566383</v>
      </c>
      <c r="CB113" s="201">
        <v>1.0534995977473862</v>
      </c>
    </row>
    <row r="114" spans="1:80" x14ac:dyDescent="0.35">
      <c r="A114" t="s">
        <v>743</v>
      </c>
      <c r="B114" t="s">
        <v>870</v>
      </c>
      <c r="C114" s="206" t="s">
        <v>856</v>
      </c>
      <c r="D114" t="s">
        <v>736</v>
      </c>
      <c r="E114" s="130">
        <v>688.21311689767504</v>
      </c>
      <c r="F114" s="130">
        <f>NYSERDA_SupplyCurve_Raw[[#This Row],[Available Capacity (MWac)]]*NYSERDA_SupplyCurve_Raw[[#This Row],[2024 Weighted Avg Resource CapEx ($/kWac)]]</f>
        <v>1446641.8631639658</v>
      </c>
      <c r="G114" s="130">
        <f>NYSERDA_SupplyCurve_Raw[[#This Row],[Available Capacity (MWac)]]*NYSERDA_SupplyCurve_Raw[[#This Row],[2024 Weighted Avg OpEx ($/kWac-year)]]</f>
        <v>19606.860317804458</v>
      </c>
      <c r="H114" s="130">
        <v>2102.0259969544513</v>
      </c>
      <c r="I114" s="130">
        <v>209.60032560781775</v>
      </c>
      <c r="J114" s="130">
        <v>28.489518488383659</v>
      </c>
      <c r="K114" s="130">
        <f>NYSERDA_SupplyCurve_Raw[[#This Row],[2024 Weighted Avg Capacity Factor]]*NYSERDA_SupplyCurve_Raw[[#This Row],[Available Capacity (MWac)]]</f>
        <v>147.62171357455134</v>
      </c>
      <c r="L114" s="205">
        <v>0.21450000000000005</v>
      </c>
      <c r="M114" s="201">
        <v>1</v>
      </c>
      <c r="N114" s="201">
        <v>0.98205557700657931</v>
      </c>
      <c r="O114" s="201">
        <v>0.97508643687766772</v>
      </c>
      <c r="P114" s="201">
        <v>0.97106869788234951</v>
      </c>
      <c r="Q114" s="201">
        <v>0.96272883825255895</v>
      </c>
      <c r="R114" s="201">
        <v>0.96698974982375119</v>
      </c>
      <c r="S114" s="201">
        <v>0.97267407052031774</v>
      </c>
      <c r="T114" s="201">
        <v>0.97869557679238706</v>
      </c>
      <c r="U114" s="201">
        <v>0.98505703847148307</v>
      </c>
      <c r="V114" s="201">
        <v>0.99541170168847637</v>
      </c>
      <c r="W114" s="201">
        <v>1.0060348317132135</v>
      </c>
      <c r="X114" s="201">
        <v>1.0169311841464155</v>
      </c>
      <c r="Y114" s="201">
        <v>1.0281056158381716</v>
      </c>
      <c r="Z114" s="201">
        <v>1.0395630868515544</v>
      </c>
      <c r="AA114" s="201">
        <v>1.0513086624661188</v>
      </c>
      <c r="AB114" s="201">
        <v>1.0633475152220788</v>
      </c>
      <c r="AC114" s="201">
        <v>1.0756849270059705</v>
      </c>
      <c r="AD114" s="201">
        <v>1</v>
      </c>
      <c r="AE114" s="201">
        <v>1.0230000000000001</v>
      </c>
      <c r="AF114" s="201">
        <v>1.0465289999999996</v>
      </c>
      <c r="AG114" s="201">
        <v>1.0705991669999997</v>
      </c>
      <c r="AH114" s="201">
        <v>1.0952229478409994</v>
      </c>
      <c r="AI114" s="201">
        <v>1.1204130756413426</v>
      </c>
      <c r="AJ114" s="201">
        <v>1.1461825763810929</v>
      </c>
      <c r="AK114" s="201">
        <v>1.1725447756378582</v>
      </c>
      <c r="AL114" s="201">
        <v>1.1995133054775287</v>
      </c>
      <c r="AM114" s="201">
        <v>1.2271021115035119</v>
      </c>
      <c r="AN114" s="201">
        <v>1.2553254600680925</v>
      </c>
      <c r="AO114" s="201">
        <v>1.2841979456496584</v>
      </c>
      <c r="AP114" s="201">
        <v>1.3137344983996004</v>
      </c>
      <c r="AQ114" s="201">
        <v>1.3439503918627913</v>
      </c>
      <c r="AR114" s="201">
        <v>1.3748612508756353</v>
      </c>
      <c r="AS114" s="201">
        <v>1.4064830596457747</v>
      </c>
      <c r="AT114" s="201">
        <v>1.4388321700176272</v>
      </c>
      <c r="AU114" s="201">
        <v>1</v>
      </c>
      <c r="AV114" s="201">
        <v>1.0224300740672718</v>
      </c>
      <c r="AW114" s="201">
        <v>1.0453695014675706</v>
      </c>
      <c r="AX114" s="201">
        <v>1.068829988063849</v>
      </c>
      <c r="AY114" s="201">
        <v>1.0928235118062262</v>
      </c>
      <c r="AZ114" s="201">
        <v>1.1092158644833194</v>
      </c>
      <c r="BA114" s="201">
        <v>1.125854102450569</v>
      </c>
      <c r="BB114" s="201">
        <v>1.1427419139873276</v>
      </c>
      <c r="BC114" s="201">
        <v>1.1598830426971376</v>
      </c>
      <c r="BD114" s="201">
        <v>1.1772812883375945</v>
      </c>
      <c r="BE114" s="201">
        <v>1.1949405076626585</v>
      </c>
      <c r="BF114" s="201">
        <v>1.2128646152775984</v>
      </c>
      <c r="BG114" s="201">
        <v>1.2310575845067617</v>
      </c>
      <c r="BH114" s="201">
        <v>1.2495234482743631</v>
      </c>
      <c r="BI114" s="201">
        <v>1.2682662999984782</v>
      </c>
      <c r="BJ114" s="201">
        <v>1.2872902944984554</v>
      </c>
      <c r="BK114" s="201">
        <v>1.3065996489159322</v>
      </c>
      <c r="BL114" s="201">
        <v>1</v>
      </c>
      <c r="BM114" s="201">
        <v>1.0075087154733169</v>
      </c>
      <c r="BN114" s="201">
        <v>1.0150174309466338</v>
      </c>
      <c r="BO114" s="201">
        <v>1.0225261464199509</v>
      </c>
      <c r="BP114" s="201">
        <v>1.0300348618932678</v>
      </c>
      <c r="BQ114" s="201">
        <v>1.0375435773665846</v>
      </c>
      <c r="BR114" s="201">
        <v>1.0450522928399046</v>
      </c>
      <c r="BS114" s="201">
        <v>1.0458970233306526</v>
      </c>
      <c r="BT114" s="201">
        <v>1.0467417538213979</v>
      </c>
      <c r="BU114" s="201">
        <v>1.0475864843121492</v>
      </c>
      <c r="BV114" s="201">
        <v>1.0484312148028971</v>
      </c>
      <c r="BW114" s="201">
        <v>1.0492759452936424</v>
      </c>
      <c r="BX114" s="201">
        <v>1.0501206757843937</v>
      </c>
      <c r="BY114" s="201">
        <v>1.0509654062751417</v>
      </c>
      <c r="BZ114" s="201">
        <v>1.0518101367658899</v>
      </c>
      <c r="CA114" s="201">
        <v>1.0526548672566383</v>
      </c>
      <c r="CB114" s="201">
        <v>1.0534995977473862</v>
      </c>
    </row>
    <row r="115" spans="1:80" x14ac:dyDescent="0.35">
      <c r="A115" t="s">
        <v>743</v>
      </c>
      <c r="B115" t="s">
        <v>872</v>
      </c>
      <c r="C115" s="206" t="s">
        <v>843</v>
      </c>
      <c r="D115" t="s">
        <v>736</v>
      </c>
      <c r="E115" s="130">
        <v>1885.9980006697556</v>
      </c>
      <c r="F115" s="130">
        <f>NYSERDA_SupplyCurve_Raw[[#This Row],[Available Capacity (MWac)]]*NYSERDA_SupplyCurve_Raw[[#This Row],[2024 Weighted Avg Resource CapEx ($/kWac)]]</f>
        <v>3376199.8457669644</v>
      </c>
      <c r="G115" s="130">
        <f>NYSERDA_SupplyCurve_Raw[[#This Row],[Available Capacity (MWac)]]*NYSERDA_SupplyCurve_Raw[[#This Row],[2024 Weighted Avg OpEx ($/kWac-year)]]</f>
        <v>52099.515188250531</v>
      </c>
      <c r="H115" s="130">
        <v>1790.1396738321082</v>
      </c>
      <c r="I115" s="130">
        <v>111.01009236417272</v>
      </c>
      <c r="J115" s="130">
        <v>27.624374559118806</v>
      </c>
      <c r="K115" s="130">
        <f>NYSERDA_SupplyCurve_Raw[[#This Row],[2024 Weighted Avg Capacity Factor]]*NYSERDA_SupplyCurve_Raw[[#This Row],[Available Capacity (MWac)]]</f>
        <v>382.48039453582641</v>
      </c>
      <c r="L115" s="205">
        <v>0.20279999999999998</v>
      </c>
      <c r="M115" s="201">
        <v>1</v>
      </c>
      <c r="N115" s="201">
        <v>0.98205557700657931</v>
      </c>
      <c r="O115" s="201">
        <v>0.9750864368776675</v>
      </c>
      <c r="P115" s="201">
        <v>0.97106869788234962</v>
      </c>
      <c r="Q115" s="201">
        <v>0.96272883825255895</v>
      </c>
      <c r="R115" s="201">
        <v>0.96698974982375119</v>
      </c>
      <c r="S115" s="201">
        <v>0.97267407052031785</v>
      </c>
      <c r="T115" s="201">
        <v>0.97869557679238717</v>
      </c>
      <c r="U115" s="201">
        <v>0.98505703847148307</v>
      </c>
      <c r="V115" s="201">
        <v>0.99541170168847648</v>
      </c>
      <c r="W115" s="201">
        <v>1.0060348317132135</v>
      </c>
      <c r="X115" s="201">
        <v>1.0169311841464157</v>
      </c>
      <c r="Y115" s="201">
        <v>1.0281056158381718</v>
      </c>
      <c r="Z115" s="201">
        <v>1.0395630868515546</v>
      </c>
      <c r="AA115" s="201">
        <v>1.051308662466119</v>
      </c>
      <c r="AB115" s="201">
        <v>1.0633475152220786</v>
      </c>
      <c r="AC115" s="201">
        <v>1.0756849270059705</v>
      </c>
      <c r="AD115" s="201">
        <v>1</v>
      </c>
      <c r="AE115" s="201">
        <v>1.0230000000000001</v>
      </c>
      <c r="AF115" s="201">
        <v>1.046529</v>
      </c>
      <c r="AG115" s="201">
        <v>1.0705991669999999</v>
      </c>
      <c r="AH115" s="201">
        <v>1.0952229478409996</v>
      </c>
      <c r="AI115" s="201">
        <v>1.1204130756413428</v>
      </c>
      <c r="AJ115" s="201">
        <v>1.1461825763810933</v>
      </c>
      <c r="AK115" s="201">
        <v>1.1725447756378586</v>
      </c>
      <c r="AL115" s="201">
        <v>1.1995133054775291</v>
      </c>
      <c r="AM115" s="201">
        <v>1.2271021115035121</v>
      </c>
      <c r="AN115" s="201">
        <v>1.255325460068093</v>
      </c>
      <c r="AO115" s="201">
        <v>1.2841979456496591</v>
      </c>
      <c r="AP115" s="201">
        <v>1.3137344983996009</v>
      </c>
      <c r="AQ115" s="201">
        <v>1.3439503918627915</v>
      </c>
      <c r="AR115" s="201">
        <v>1.3748612508756355</v>
      </c>
      <c r="AS115" s="201">
        <v>1.4064830596457747</v>
      </c>
      <c r="AT115" s="201">
        <v>1.4388321700176276</v>
      </c>
      <c r="AU115" s="201">
        <v>1</v>
      </c>
      <c r="AV115" s="201">
        <v>1.0224300740672716</v>
      </c>
      <c r="AW115" s="201">
        <v>1.0453695014675706</v>
      </c>
      <c r="AX115" s="201">
        <v>1.068829988063849</v>
      </c>
      <c r="AY115" s="201">
        <v>1.0928235118062264</v>
      </c>
      <c r="AZ115" s="201">
        <v>1.1092158644833192</v>
      </c>
      <c r="BA115" s="201">
        <v>1.1258541024505693</v>
      </c>
      <c r="BB115" s="201">
        <v>1.1427419139873276</v>
      </c>
      <c r="BC115" s="201">
        <v>1.1598830426971378</v>
      </c>
      <c r="BD115" s="201">
        <v>1.1772812883375947</v>
      </c>
      <c r="BE115" s="201">
        <v>1.1949405076626582</v>
      </c>
      <c r="BF115" s="201">
        <v>1.2128646152775984</v>
      </c>
      <c r="BG115" s="201">
        <v>1.2310575845067617</v>
      </c>
      <c r="BH115" s="201">
        <v>1.2495234482743629</v>
      </c>
      <c r="BI115" s="201">
        <v>1.2682662999984784</v>
      </c>
      <c r="BJ115" s="201">
        <v>1.2872902944984552</v>
      </c>
      <c r="BK115" s="201">
        <v>1.3065996489159319</v>
      </c>
      <c r="BL115" s="201">
        <v>1</v>
      </c>
      <c r="BM115" s="201">
        <v>1.0075087154733169</v>
      </c>
      <c r="BN115" s="201">
        <v>1.0150174309466338</v>
      </c>
      <c r="BO115" s="201">
        <v>1.0225261464199509</v>
      </c>
      <c r="BP115" s="201">
        <v>1.0300348618932678</v>
      </c>
      <c r="BQ115" s="201">
        <v>1.0375435773665846</v>
      </c>
      <c r="BR115" s="201">
        <v>1.0450522928399046</v>
      </c>
      <c r="BS115" s="201">
        <v>1.0458970233306526</v>
      </c>
      <c r="BT115" s="201">
        <v>1.0467417538213979</v>
      </c>
      <c r="BU115" s="201">
        <v>1.0475864843121492</v>
      </c>
      <c r="BV115" s="201">
        <v>1.0484312148028971</v>
      </c>
      <c r="BW115" s="201">
        <v>1.0492759452936424</v>
      </c>
      <c r="BX115" s="201">
        <v>1.0501206757843937</v>
      </c>
      <c r="BY115" s="201">
        <v>1.0509654062751417</v>
      </c>
      <c r="BZ115" s="201">
        <v>1.0518101367658899</v>
      </c>
      <c r="CA115" s="201">
        <v>1.0526548672566383</v>
      </c>
      <c r="CB115" s="201">
        <v>1.0534995977473862</v>
      </c>
    </row>
    <row r="116" spans="1:80" x14ac:dyDescent="0.35">
      <c r="A116" t="s">
        <v>743</v>
      </c>
      <c r="B116" t="s">
        <v>872</v>
      </c>
      <c r="C116" s="206" t="s">
        <v>843</v>
      </c>
      <c r="D116" t="s">
        <v>742</v>
      </c>
      <c r="E116" s="130">
        <v>1019.4199360838511</v>
      </c>
      <c r="F116" s="130">
        <f>NYSERDA_SupplyCurve_Raw[[#This Row],[Available Capacity (MWac)]]*NYSERDA_SupplyCurve_Raw[[#This Row],[2024 Weighted Avg Resource CapEx ($/kWac)]]</f>
        <v>2133220.1204081574</v>
      </c>
      <c r="G116" s="130">
        <f>NYSERDA_SupplyCurve_Raw[[#This Row],[Available Capacity (MWac)]]*NYSERDA_SupplyCurve_Raw[[#This Row],[2024 Weighted Avg OpEx ($/kWac-year)]]</f>
        <v>28160.838147413262</v>
      </c>
      <c r="H116" s="130">
        <v>2092.5823057797174</v>
      </c>
      <c r="I116" s="130">
        <v>192.18408343471481</v>
      </c>
      <c r="J116" s="130">
        <v>27.624374559118813</v>
      </c>
      <c r="K116" s="130">
        <f>NYSERDA_SupplyCurve_Raw[[#This Row],[2024 Weighted Avg Capacity Factor]]*NYSERDA_SupplyCurve_Raw[[#This Row],[Available Capacity (MWac)]]</f>
        <v>206.73836303780502</v>
      </c>
      <c r="L116" s="205">
        <v>0.20280000000000001</v>
      </c>
      <c r="M116" s="201">
        <v>1</v>
      </c>
      <c r="N116" s="201">
        <v>0.98205557700657908</v>
      </c>
      <c r="O116" s="201">
        <v>0.9750864368776675</v>
      </c>
      <c r="P116" s="201">
        <v>0.97106869788234951</v>
      </c>
      <c r="Q116" s="201">
        <v>0.96272883825255895</v>
      </c>
      <c r="R116" s="201">
        <v>0.96698974982375108</v>
      </c>
      <c r="S116" s="201">
        <v>0.97267407052031774</v>
      </c>
      <c r="T116" s="201">
        <v>0.97869557679238717</v>
      </c>
      <c r="U116" s="201">
        <v>0.98505703847148307</v>
      </c>
      <c r="V116" s="201">
        <v>0.99541170168847648</v>
      </c>
      <c r="W116" s="201">
        <v>1.0060348317132133</v>
      </c>
      <c r="X116" s="201">
        <v>1.0169311841464153</v>
      </c>
      <c r="Y116" s="201">
        <v>1.0281056158381718</v>
      </c>
      <c r="Z116" s="201">
        <v>1.0395630868515546</v>
      </c>
      <c r="AA116" s="201">
        <v>1.051308662466119</v>
      </c>
      <c r="AB116" s="201">
        <v>1.0633475152220786</v>
      </c>
      <c r="AC116" s="201">
        <v>1.0756849270059703</v>
      </c>
      <c r="AD116" s="201">
        <v>1</v>
      </c>
      <c r="AE116" s="201">
        <v>1.0229999999999999</v>
      </c>
      <c r="AF116" s="201">
        <v>1.0465289999999998</v>
      </c>
      <c r="AG116" s="201">
        <v>1.0705991669999997</v>
      </c>
      <c r="AH116" s="201">
        <v>1.0952229478409994</v>
      </c>
      <c r="AI116" s="201">
        <v>1.1204130756413424</v>
      </c>
      <c r="AJ116" s="201">
        <v>1.1461825763810929</v>
      </c>
      <c r="AK116" s="201">
        <v>1.1725447756378582</v>
      </c>
      <c r="AL116" s="201">
        <v>1.1995133054775289</v>
      </c>
      <c r="AM116" s="201">
        <v>1.2271021115035119</v>
      </c>
      <c r="AN116" s="201">
        <v>1.2553254600680928</v>
      </c>
      <c r="AO116" s="201">
        <v>1.2841979456496584</v>
      </c>
      <c r="AP116" s="201">
        <v>1.3137344983996007</v>
      </c>
      <c r="AQ116" s="201">
        <v>1.3439503918627913</v>
      </c>
      <c r="AR116" s="201">
        <v>1.374861250875635</v>
      </c>
      <c r="AS116" s="201">
        <v>1.4064830596457747</v>
      </c>
      <c r="AT116" s="201">
        <v>1.4388321700176272</v>
      </c>
      <c r="AU116" s="201">
        <v>1</v>
      </c>
      <c r="AV116" s="201">
        <v>1.0224300740672716</v>
      </c>
      <c r="AW116" s="201">
        <v>1.0453695014675704</v>
      </c>
      <c r="AX116" s="201">
        <v>1.0688299880638488</v>
      </c>
      <c r="AY116" s="201">
        <v>1.0928235118062259</v>
      </c>
      <c r="AZ116" s="201">
        <v>1.1092158644833192</v>
      </c>
      <c r="BA116" s="201">
        <v>1.1258541024505688</v>
      </c>
      <c r="BB116" s="201">
        <v>1.1427419139873274</v>
      </c>
      <c r="BC116" s="201">
        <v>1.1598830426971374</v>
      </c>
      <c r="BD116" s="201">
        <v>1.1772812883375945</v>
      </c>
      <c r="BE116" s="201">
        <v>1.194940507662658</v>
      </c>
      <c r="BF116" s="201">
        <v>1.2128646152775981</v>
      </c>
      <c r="BG116" s="201">
        <v>1.2310575845067613</v>
      </c>
      <c r="BH116" s="201">
        <v>1.2495234482743629</v>
      </c>
      <c r="BI116" s="201">
        <v>1.2682662999984782</v>
      </c>
      <c r="BJ116" s="201">
        <v>1.2872902944984552</v>
      </c>
      <c r="BK116" s="201">
        <v>1.3065996489159319</v>
      </c>
      <c r="BL116" s="201">
        <v>1</v>
      </c>
      <c r="BM116" s="201">
        <v>1.0075087154733169</v>
      </c>
      <c r="BN116" s="201">
        <v>1.0150174309466338</v>
      </c>
      <c r="BO116" s="201">
        <v>1.0225261464199509</v>
      </c>
      <c r="BP116" s="201">
        <v>1.0300348618932678</v>
      </c>
      <c r="BQ116" s="201">
        <v>1.0375435773665846</v>
      </c>
      <c r="BR116" s="201">
        <v>1.0450522928399046</v>
      </c>
      <c r="BS116" s="201">
        <v>1.0458970233306526</v>
      </c>
      <c r="BT116" s="201">
        <v>1.0467417538213979</v>
      </c>
      <c r="BU116" s="201">
        <v>1.0475864843121492</v>
      </c>
      <c r="BV116" s="201">
        <v>1.0484312148028971</v>
      </c>
      <c r="BW116" s="201">
        <v>1.0492759452936424</v>
      </c>
      <c r="BX116" s="201">
        <v>1.0501206757843937</v>
      </c>
      <c r="BY116" s="201">
        <v>1.0509654062751417</v>
      </c>
      <c r="BZ116" s="201">
        <v>1.0518101367658899</v>
      </c>
      <c r="CA116" s="201">
        <v>1.0526548672566383</v>
      </c>
      <c r="CB116" s="201">
        <v>1.0534995977473862</v>
      </c>
    </row>
    <row r="117" spans="1:80" x14ac:dyDescent="0.35">
      <c r="A117" t="s">
        <v>743</v>
      </c>
      <c r="B117" t="s">
        <v>873</v>
      </c>
      <c r="C117" s="206" t="s">
        <v>854</v>
      </c>
      <c r="D117" t="s">
        <v>736</v>
      </c>
      <c r="E117" s="130">
        <v>201.49832560652351</v>
      </c>
      <c r="F117" s="130">
        <f>NYSERDA_SupplyCurve_Raw[[#This Row],[Available Capacity (MWac)]]*NYSERDA_SupplyCurve_Raw[[#This Row],[2024 Weighted Avg Resource CapEx ($/kWac)]]</f>
        <v>425913.63082048943</v>
      </c>
      <c r="G117" s="130">
        <f>NYSERDA_SupplyCurve_Raw[[#This Row],[Available Capacity (MWac)]]*NYSERDA_SupplyCurve_Raw[[#This Row],[2024 Weighted Avg OpEx ($/kWac-year)]]</f>
        <v>5566.2652195898872</v>
      </c>
      <c r="H117" s="130">
        <v>2113.7328538014435</v>
      </c>
      <c r="I117" s="130">
        <v>96.459816776276767</v>
      </c>
      <c r="J117" s="130">
        <v>27.624374559118817</v>
      </c>
      <c r="K117" s="130">
        <f>NYSERDA_SupplyCurve_Raw[[#This Row],[2024 Weighted Avg Capacity Factor]]*NYSERDA_SupplyCurve_Raw[[#This Row],[Available Capacity (MWac)]]</f>
        <v>40.863860433002969</v>
      </c>
      <c r="L117" s="205">
        <v>0.20280000000000001</v>
      </c>
      <c r="M117" s="201">
        <v>1</v>
      </c>
      <c r="N117" s="201">
        <v>0.98205557700657919</v>
      </c>
      <c r="O117" s="201">
        <v>0.9750864368776675</v>
      </c>
      <c r="P117" s="201">
        <v>0.9710686978823494</v>
      </c>
      <c r="Q117" s="201">
        <v>0.96272883825255906</v>
      </c>
      <c r="R117" s="201">
        <v>0.9669897498237513</v>
      </c>
      <c r="S117" s="201">
        <v>0.97267407052031785</v>
      </c>
      <c r="T117" s="201">
        <v>0.97869557679238717</v>
      </c>
      <c r="U117" s="201">
        <v>0.98505703847148307</v>
      </c>
      <c r="V117" s="201">
        <v>0.99541170168847626</v>
      </c>
      <c r="W117" s="201">
        <v>1.0060348317132135</v>
      </c>
      <c r="X117" s="201">
        <v>1.0169311841464155</v>
      </c>
      <c r="Y117" s="201">
        <v>1.0281056158381721</v>
      </c>
      <c r="Z117" s="201">
        <v>1.0395630868515544</v>
      </c>
      <c r="AA117" s="201">
        <v>1.0513086624661188</v>
      </c>
      <c r="AB117" s="201">
        <v>1.0633475152220786</v>
      </c>
      <c r="AC117" s="201">
        <v>1.0756849270059705</v>
      </c>
      <c r="AD117" s="201">
        <v>1</v>
      </c>
      <c r="AE117" s="201">
        <v>1.0229999999999999</v>
      </c>
      <c r="AF117" s="201">
        <v>1.0465289999999996</v>
      </c>
      <c r="AG117" s="201">
        <v>1.0705991669999997</v>
      </c>
      <c r="AH117" s="201">
        <v>1.0952229478409994</v>
      </c>
      <c r="AI117" s="201">
        <v>1.1204130756413428</v>
      </c>
      <c r="AJ117" s="201">
        <v>1.1461825763810929</v>
      </c>
      <c r="AK117" s="201">
        <v>1.1725447756378582</v>
      </c>
      <c r="AL117" s="201">
        <v>1.1995133054775287</v>
      </c>
      <c r="AM117" s="201">
        <v>1.2271021115035117</v>
      </c>
      <c r="AN117" s="201">
        <v>1.2553254600680928</v>
      </c>
      <c r="AO117" s="201">
        <v>1.2841979456496584</v>
      </c>
      <c r="AP117" s="201">
        <v>1.3137344983996007</v>
      </c>
      <c r="AQ117" s="201">
        <v>1.3439503918627911</v>
      </c>
      <c r="AR117" s="201">
        <v>1.3748612508756353</v>
      </c>
      <c r="AS117" s="201">
        <v>1.4064830596457745</v>
      </c>
      <c r="AT117" s="201">
        <v>1.4388321700176272</v>
      </c>
      <c r="AU117" s="201">
        <v>1</v>
      </c>
      <c r="AV117" s="201">
        <v>1.0224300740672716</v>
      </c>
      <c r="AW117" s="201">
        <v>1.0453695014675704</v>
      </c>
      <c r="AX117" s="201">
        <v>1.0688299880638488</v>
      </c>
      <c r="AY117" s="201">
        <v>1.0928235118062262</v>
      </c>
      <c r="AZ117" s="201">
        <v>1.1092158644833192</v>
      </c>
      <c r="BA117" s="201">
        <v>1.125854102450569</v>
      </c>
      <c r="BB117" s="201">
        <v>1.1427419139873274</v>
      </c>
      <c r="BC117" s="201">
        <v>1.1598830426971376</v>
      </c>
      <c r="BD117" s="201">
        <v>1.1772812883375945</v>
      </c>
      <c r="BE117" s="201">
        <v>1.194940507662658</v>
      </c>
      <c r="BF117" s="201">
        <v>1.2128646152775979</v>
      </c>
      <c r="BG117" s="201">
        <v>1.2310575845067617</v>
      </c>
      <c r="BH117" s="201">
        <v>1.2495234482743627</v>
      </c>
      <c r="BI117" s="201">
        <v>1.268266299998478</v>
      </c>
      <c r="BJ117" s="201">
        <v>1.2872902944984552</v>
      </c>
      <c r="BK117" s="201">
        <v>1.3065996489159317</v>
      </c>
      <c r="BL117" s="201">
        <v>1</v>
      </c>
      <c r="BM117" s="201">
        <v>1.0075087154733169</v>
      </c>
      <c r="BN117" s="201">
        <v>1.0150174309466338</v>
      </c>
      <c r="BO117" s="201">
        <v>1.0225261464199509</v>
      </c>
      <c r="BP117" s="201">
        <v>1.0300348618932678</v>
      </c>
      <c r="BQ117" s="201">
        <v>1.0375435773665846</v>
      </c>
      <c r="BR117" s="201">
        <v>1.0450522928399046</v>
      </c>
      <c r="BS117" s="201">
        <v>1.0458970233306526</v>
      </c>
      <c r="BT117" s="201">
        <v>1.0467417538213979</v>
      </c>
      <c r="BU117" s="201">
        <v>1.0475864843121492</v>
      </c>
      <c r="BV117" s="201">
        <v>1.0484312148028971</v>
      </c>
      <c r="BW117" s="201">
        <v>1.0492759452936424</v>
      </c>
      <c r="BX117" s="201">
        <v>1.0501206757843937</v>
      </c>
      <c r="BY117" s="201">
        <v>1.0509654062751417</v>
      </c>
      <c r="BZ117" s="201">
        <v>1.0518101367658899</v>
      </c>
      <c r="CA117" s="201">
        <v>1.0526548672566383</v>
      </c>
      <c r="CB117" s="201">
        <v>1.0534995977473862</v>
      </c>
    </row>
    <row r="118" spans="1:80" x14ac:dyDescent="0.35">
      <c r="A118" t="s">
        <v>743</v>
      </c>
      <c r="B118" t="s">
        <v>874</v>
      </c>
      <c r="C118" s="206" t="s">
        <v>839</v>
      </c>
      <c r="D118" t="s">
        <v>736</v>
      </c>
      <c r="E118" s="130">
        <v>718.21309315877875</v>
      </c>
      <c r="F118" s="130">
        <f>NYSERDA_SupplyCurve_Raw[[#This Row],[Available Capacity (MWac)]]*NYSERDA_SupplyCurve_Raw[[#This Row],[2024 Weighted Avg Resource CapEx ($/kWac)]]</f>
        <v>1521711.5432708596</v>
      </c>
      <c r="G118" s="130">
        <f>NYSERDA_SupplyCurve_Raw[[#This Row],[Available Capacity (MWac)]]*NYSERDA_SupplyCurve_Raw[[#This Row],[2024 Weighted Avg OpEx ($/kWac-year)]]</f>
        <v>20122.622815710874</v>
      </c>
      <c r="H118" s="130">
        <v>2118.7465917367335</v>
      </c>
      <c r="I118" s="130">
        <v>117.01676267187192</v>
      </c>
      <c r="J118" s="130">
        <v>28.017621799693746</v>
      </c>
      <c r="K118" s="130">
        <f>NYSERDA_SupplyCurve_Raw[[#This Row],[2024 Weighted Avg Capacity Factor]]*NYSERDA_SupplyCurve_Raw[[#This Row],[Available Capacity (MWac)]]</f>
        <v>147.52096933481317</v>
      </c>
      <c r="L118" s="205">
        <v>0.20540000000000003</v>
      </c>
      <c r="M118" s="201">
        <v>1</v>
      </c>
      <c r="N118" s="201">
        <v>0.98205557700657931</v>
      </c>
      <c r="O118" s="201">
        <v>0.97508643687766761</v>
      </c>
      <c r="P118" s="201">
        <v>0.97106869788234917</v>
      </c>
      <c r="Q118" s="201">
        <v>0.96272883825255906</v>
      </c>
      <c r="R118" s="201">
        <v>0.96698974982375108</v>
      </c>
      <c r="S118" s="201">
        <v>0.97267407052031785</v>
      </c>
      <c r="T118" s="201">
        <v>0.97869557679238728</v>
      </c>
      <c r="U118" s="201">
        <v>0.98505703847148318</v>
      </c>
      <c r="V118" s="201">
        <v>0.99541170168847648</v>
      </c>
      <c r="W118" s="201">
        <v>1.0060348317132135</v>
      </c>
      <c r="X118" s="201">
        <v>1.0169311841464155</v>
      </c>
      <c r="Y118" s="201">
        <v>1.0281056158381721</v>
      </c>
      <c r="Z118" s="201">
        <v>1.0395630868515546</v>
      </c>
      <c r="AA118" s="201">
        <v>1.051308662466119</v>
      </c>
      <c r="AB118" s="201">
        <v>1.0633475152220788</v>
      </c>
      <c r="AC118" s="201">
        <v>1.0756849270059705</v>
      </c>
      <c r="AD118" s="201">
        <v>1</v>
      </c>
      <c r="AE118" s="201">
        <v>1.0229999999999997</v>
      </c>
      <c r="AF118" s="201">
        <v>1.0465289999999996</v>
      </c>
      <c r="AG118" s="201">
        <v>1.0705991669999997</v>
      </c>
      <c r="AH118" s="201">
        <v>1.0952229478409994</v>
      </c>
      <c r="AI118" s="201">
        <v>1.1204130756413426</v>
      </c>
      <c r="AJ118" s="201">
        <v>1.1461825763810931</v>
      </c>
      <c r="AK118" s="201">
        <v>1.172544775637858</v>
      </c>
      <c r="AL118" s="201">
        <v>1.1995133054775287</v>
      </c>
      <c r="AM118" s="201">
        <v>1.2271021115035117</v>
      </c>
      <c r="AN118" s="201">
        <v>1.2553254600680925</v>
      </c>
      <c r="AO118" s="201">
        <v>1.2841979456496586</v>
      </c>
      <c r="AP118" s="201">
        <v>1.3137344983996007</v>
      </c>
      <c r="AQ118" s="201">
        <v>1.3439503918627913</v>
      </c>
      <c r="AR118" s="201">
        <v>1.374861250875635</v>
      </c>
      <c r="AS118" s="201">
        <v>1.4064830596457747</v>
      </c>
      <c r="AT118" s="201">
        <v>1.438832170017627</v>
      </c>
      <c r="AU118" s="201">
        <v>1</v>
      </c>
      <c r="AV118" s="201">
        <v>1.0224300740672714</v>
      </c>
      <c r="AW118" s="201">
        <v>1.0453695014675704</v>
      </c>
      <c r="AX118" s="201">
        <v>1.068829988063849</v>
      </c>
      <c r="AY118" s="201">
        <v>1.0928235118062259</v>
      </c>
      <c r="AZ118" s="201">
        <v>1.109215864483319</v>
      </c>
      <c r="BA118" s="201">
        <v>1.125854102450569</v>
      </c>
      <c r="BB118" s="201">
        <v>1.1427419139873276</v>
      </c>
      <c r="BC118" s="201">
        <v>1.1598830426971374</v>
      </c>
      <c r="BD118" s="201">
        <v>1.1772812883375943</v>
      </c>
      <c r="BE118" s="201">
        <v>1.194940507662658</v>
      </c>
      <c r="BF118" s="201">
        <v>1.2128646152775979</v>
      </c>
      <c r="BG118" s="201">
        <v>1.2310575845067615</v>
      </c>
      <c r="BH118" s="201">
        <v>1.2495234482743627</v>
      </c>
      <c r="BI118" s="201">
        <v>1.268266299998478</v>
      </c>
      <c r="BJ118" s="201">
        <v>1.287290294498455</v>
      </c>
      <c r="BK118" s="201">
        <v>1.3065996489159317</v>
      </c>
      <c r="BL118" s="201">
        <v>1</v>
      </c>
      <c r="BM118" s="201">
        <v>1.0075087154733169</v>
      </c>
      <c r="BN118" s="201">
        <v>1.0150174309466338</v>
      </c>
      <c r="BO118" s="201">
        <v>1.0225261464199509</v>
      </c>
      <c r="BP118" s="201">
        <v>1.0300348618932678</v>
      </c>
      <c r="BQ118" s="201">
        <v>1.0375435773665846</v>
      </c>
      <c r="BR118" s="201">
        <v>1.0450522928399046</v>
      </c>
      <c r="BS118" s="201">
        <v>1.0458970233306526</v>
      </c>
      <c r="BT118" s="201">
        <v>1.0467417538213979</v>
      </c>
      <c r="BU118" s="201">
        <v>1.0475864843121492</v>
      </c>
      <c r="BV118" s="201">
        <v>1.0484312148028971</v>
      </c>
      <c r="BW118" s="201">
        <v>1.0492759452936424</v>
      </c>
      <c r="BX118" s="201">
        <v>1.0501206757843937</v>
      </c>
      <c r="BY118" s="201">
        <v>1.0509654062751417</v>
      </c>
      <c r="BZ118" s="201">
        <v>1.0518101367658899</v>
      </c>
      <c r="CA118" s="201">
        <v>1.0526548672566383</v>
      </c>
      <c r="CB118" s="201">
        <v>1.0534995977473862</v>
      </c>
    </row>
    <row r="119" spans="1:80" x14ac:dyDescent="0.35">
      <c r="A119" t="s">
        <v>743</v>
      </c>
      <c r="B119" t="s">
        <v>875</v>
      </c>
      <c r="C119" s="206" t="s">
        <v>854</v>
      </c>
      <c r="D119" t="s">
        <v>736</v>
      </c>
      <c r="E119" s="130">
        <v>6832.2146242407107</v>
      </c>
      <c r="F119" s="130">
        <f>NYSERDA_SupplyCurve_Raw[[#This Row],[Available Capacity (MWac)]]*NYSERDA_SupplyCurve_Raw[[#This Row],[2024 Weighted Avg Resource CapEx ($/kWac)]]</f>
        <v>12023473.140706778</v>
      </c>
      <c r="G119" s="130">
        <f>NYSERDA_SupplyCurve_Raw[[#This Row],[Available Capacity (MWac)]]*NYSERDA_SupplyCurve_Raw[[#This Row],[2024 Weighted Avg OpEx ($/kWac-year)]]</f>
        <v>184436.85657151719</v>
      </c>
      <c r="H119" s="130">
        <v>1759.8207611990806</v>
      </c>
      <c r="I119" s="130">
        <v>60.267197146062635</v>
      </c>
      <c r="J119" s="130">
        <v>26.995178974198918</v>
      </c>
      <c r="K119" s="130">
        <f>NYSERDA_SupplyCurve_Raw[[#This Row],[2024 Weighted Avg Capacity Factor]]*NYSERDA_SupplyCurve_Raw[[#This Row],[Available Capacity (MWac)]]</f>
        <v>1367.8093677729903</v>
      </c>
      <c r="L119" s="205">
        <v>0.20019999999999999</v>
      </c>
      <c r="M119" s="201">
        <v>1</v>
      </c>
      <c r="N119" s="201">
        <v>0.98205557700657908</v>
      </c>
      <c r="O119" s="201">
        <v>0.97508643687766761</v>
      </c>
      <c r="P119" s="201">
        <v>0.9710686978823494</v>
      </c>
      <c r="Q119" s="201">
        <v>0.96272883825255906</v>
      </c>
      <c r="R119" s="201">
        <v>0.96698974982375108</v>
      </c>
      <c r="S119" s="201">
        <v>0.97267407052031762</v>
      </c>
      <c r="T119" s="201">
        <v>0.97869557679238717</v>
      </c>
      <c r="U119" s="201">
        <v>0.98505703847148307</v>
      </c>
      <c r="V119" s="201">
        <v>0.99541170168847637</v>
      </c>
      <c r="W119" s="201">
        <v>1.0060348317132135</v>
      </c>
      <c r="X119" s="201">
        <v>1.0169311841464155</v>
      </c>
      <c r="Y119" s="201">
        <v>1.0281056158381718</v>
      </c>
      <c r="Z119" s="201">
        <v>1.0395630868515549</v>
      </c>
      <c r="AA119" s="201">
        <v>1.0513086624661188</v>
      </c>
      <c r="AB119" s="201">
        <v>1.0633475152220786</v>
      </c>
      <c r="AC119" s="201">
        <v>1.0756849270059705</v>
      </c>
      <c r="AD119" s="201">
        <v>1</v>
      </c>
      <c r="AE119" s="201">
        <v>1.0230000000000001</v>
      </c>
      <c r="AF119" s="201">
        <v>1.046529</v>
      </c>
      <c r="AG119" s="201">
        <v>1.0705991669999997</v>
      </c>
      <c r="AH119" s="201">
        <v>1.0952229478409994</v>
      </c>
      <c r="AI119" s="201">
        <v>1.1204130756413426</v>
      </c>
      <c r="AJ119" s="201">
        <v>1.1461825763810933</v>
      </c>
      <c r="AK119" s="201">
        <v>1.1725447756378584</v>
      </c>
      <c r="AL119" s="201">
        <v>1.1995133054775291</v>
      </c>
      <c r="AM119" s="201">
        <v>1.2271021115035123</v>
      </c>
      <c r="AN119" s="201">
        <v>1.2553254600680928</v>
      </c>
      <c r="AO119" s="201">
        <v>1.2841979456496588</v>
      </c>
      <c r="AP119" s="201">
        <v>1.3137344983996009</v>
      </c>
      <c r="AQ119" s="201">
        <v>1.3439503918627913</v>
      </c>
      <c r="AR119" s="201">
        <v>1.3748612508756355</v>
      </c>
      <c r="AS119" s="201">
        <v>1.4064830596457749</v>
      </c>
      <c r="AT119" s="201">
        <v>1.4388321700176276</v>
      </c>
      <c r="AU119" s="201">
        <v>1</v>
      </c>
      <c r="AV119" s="201">
        <v>1.0224300740672718</v>
      </c>
      <c r="AW119" s="201">
        <v>1.0453695014675704</v>
      </c>
      <c r="AX119" s="201">
        <v>1.0688299880638488</v>
      </c>
      <c r="AY119" s="201">
        <v>1.0928235118062262</v>
      </c>
      <c r="AZ119" s="201">
        <v>1.1092158644833194</v>
      </c>
      <c r="BA119" s="201">
        <v>1.1258541024505693</v>
      </c>
      <c r="BB119" s="201">
        <v>1.1427419139873274</v>
      </c>
      <c r="BC119" s="201">
        <v>1.1598830426971376</v>
      </c>
      <c r="BD119" s="201">
        <v>1.1772812883375945</v>
      </c>
      <c r="BE119" s="201">
        <v>1.1949405076626582</v>
      </c>
      <c r="BF119" s="201">
        <v>1.2128646152775979</v>
      </c>
      <c r="BG119" s="201">
        <v>1.2310575845067617</v>
      </c>
      <c r="BH119" s="201">
        <v>1.2495234482743631</v>
      </c>
      <c r="BI119" s="201">
        <v>1.268266299998478</v>
      </c>
      <c r="BJ119" s="201">
        <v>1.2872902944984552</v>
      </c>
      <c r="BK119" s="201">
        <v>1.3065996489159319</v>
      </c>
      <c r="BL119" s="201">
        <v>1</v>
      </c>
      <c r="BM119" s="201">
        <v>1.0075087154733169</v>
      </c>
      <c r="BN119" s="201">
        <v>1.0150174309466338</v>
      </c>
      <c r="BO119" s="201">
        <v>1.0225261464199509</v>
      </c>
      <c r="BP119" s="201">
        <v>1.0300348618932678</v>
      </c>
      <c r="BQ119" s="201">
        <v>1.0375435773665846</v>
      </c>
      <c r="BR119" s="201">
        <v>1.0450522928399046</v>
      </c>
      <c r="BS119" s="201">
        <v>1.0458970233306526</v>
      </c>
      <c r="BT119" s="201">
        <v>1.0467417538213979</v>
      </c>
      <c r="BU119" s="201">
        <v>1.0475864843121492</v>
      </c>
      <c r="BV119" s="201">
        <v>1.0484312148028971</v>
      </c>
      <c r="BW119" s="201">
        <v>1.0492759452936424</v>
      </c>
      <c r="BX119" s="201">
        <v>1.0501206757843937</v>
      </c>
      <c r="BY119" s="201">
        <v>1.0509654062751417</v>
      </c>
      <c r="BZ119" s="201">
        <v>1.0518101367658899</v>
      </c>
      <c r="CA119" s="201">
        <v>1.0526548672566383</v>
      </c>
      <c r="CB119" s="201">
        <v>1.0534995977473862</v>
      </c>
    </row>
    <row r="120" spans="1:80" x14ac:dyDescent="0.35">
      <c r="A120" t="s">
        <v>743</v>
      </c>
      <c r="B120" t="s">
        <v>875</v>
      </c>
      <c r="C120" s="206" t="s">
        <v>854</v>
      </c>
      <c r="D120" t="s">
        <v>742</v>
      </c>
      <c r="E120" s="130">
        <v>1944.52547493778</v>
      </c>
      <c r="F120" s="130">
        <f>NYSERDA_SupplyCurve_Raw[[#This Row],[Available Capacity (MWac)]]*NYSERDA_SupplyCurve_Raw[[#This Row],[2024 Weighted Avg Resource CapEx ($/kWac)]]</f>
        <v>3997054.3288025171</v>
      </c>
      <c r="G120" s="130">
        <f>NYSERDA_SupplyCurve_Raw[[#This Row],[Available Capacity (MWac)]]*NYSERDA_SupplyCurve_Raw[[#This Row],[2024 Weighted Avg OpEx ($/kWac-year)]]</f>
        <v>52492.813215834525</v>
      </c>
      <c r="H120" s="130">
        <v>2055.5422802729868</v>
      </c>
      <c r="I120" s="130">
        <v>128.06899050811441</v>
      </c>
      <c r="J120" s="130">
        <v>26.995178974198918</v>
      </c>
      <c r="K120" s="130">
        <f>NYSERDA_SupplyCurve_Raw[[#This Row],[2024 Weighted Avg Capacity Factor]]*NYSERDA_SupplyCurve_Raw[[#This Row],[Available Capacity (MWac)]]</f>
        <v>389.29400008254356</v>
      </c>
      <c r="L120" s="205">
        <v>0.20019999999999999</v>
      </c>
      <c r="M120" s="201">
        <v>1</v>
      </c>
      <c r="N120" s="201">
        <v>0.98205557700657931</v>
      </c>
      <c r="O120" s="201">
        <v>0.9750864368776675</v>
      </c>
      <c r="P120" s="201">
        <v>0.97106869788234962</v>
      </c>
      <c r="Q120" s="201">
        <v>0.96272883825255895</v>
      </c>
      <c r="R120" s="201">
        <v>0.96698974982375097</v>
      </c>
      <c r="S120" s="201">
        <v>0.97267407052031785</v>
      </c>
      <c r="T120" s="201">
        <v>0.97869557679238717</v>
      </c>
      <c r="U120" s="201">
        <v>0.98505703847148296</v>
      </c>
      <c r="V120" s="201">
        <v>0.99541170168847626</v>
      </c>
      <c r="W120" s="201">
        <v>1.0060348317132133</v>
      </c>
      <c r="X120" s="201">
        <v>1.0169311841464155</v>
      </c>
      <c r="Y120" s="201">
        <v>1.0281056158381718</v>
      </c>
      <c r="Z120" s="201">
        <v>1.0395630868515546</v>
      </c>
      <c r="AA120" s="201">
        <v>1.051308662466119</v>
      </c>
      <c r="AB120" s="201">
        <v>1.0633475152220786</v>
      </c>
      <c r="AC120" s="201">
        <v>1.0756849270059705</v>
      </c>
      <c r="AD120" s="201">
        <v>1</v>
      </c>
      <c r="AE120" s="201">
        <v>1.0229999999999999</v>
      </c>
      <c r="AF120" s="201">
        <v>1.0465289999999998</v>
      </c>
      <c r="AG120" s="201">
        <v>1.0705991669999997</v>
      </c>
      <c r="AH120" s="201">
        <v>1.0952229478409996</v>
      </c>
      <c r="AI120" s="201">
        <v>1.1204130756413426</v>
      </c>
      <c r="AJ120" s="201">
        <v>1.1461825763810933</v>
      </c>
      <c r="AK120" s="201">
        <v>1.1725447756378584</v>
      </c>
      <c r="AL120" s="201">
        <v>1.1995133054775289</v>
      </c>
      <c r="AM120" s="201">
        <v>1.2271021115035121</v>
      </c>
      <c r="AN120" s="201">
        <v>1.2553254600680928</v>
      </c>
      <c r="AO120" s="201">
        <v>1.2841979456496586</v>
      </c>
      <c r="AP120" s="201">
        <v>1.3137344983996007</v>
      </c>
      <c r="AQ120" s="201">
        <v>1.3439503918627913</v>
      </c>
      <c r="AR120" s="201">
        <v>1.3748612508756353</v>
      </c>
      <c r="AS120" s="201">
        <v>1.4064830596457749</v>
      </c>
      <c r="AT120" s="201">
        <v>1.4388321700176276</v>
      </c>
      <c r="AU120" s="201">
        <v>1</v>
      </c>
      <c r="AV120" s="201">
        <v>1.0224300740672716</v>
      </c>
      <c r="AW120" s="201">
        <v>1.0453695014675704</v>
      </c>
      <c r="AX120" s="201">
        <v>1.0688299880638488</v>
      </c>
      <c r="AY120" s="201">
        <v>1.0928235118062262</v>
      </c>
      <c r="AZ120" s="201">
        <v>1.1092158644833192</v>
      </c>
      <c r="BA120" s="201">
        <v>1.125854102450569</v>
      </c>
      <c r="BB120" s="201">
        <v>1.1427419139873274</v>
      </c>
      <c r="BC120" s="201">
        <v>1.1598830426971376</v>
      </c>
      <c r="BD120" s="201">
        <v>1.1772812883375945</v>
      </c>
      <c r="BE120" s="201">
        <v>1.1949405076626582</v>
      </c>
      <c r="BF120" s="201">
        <v>1.2128646152775981</v>
      </c>
      <c r="BG120" s="201">
        <v>1.2310575845067617</v>
      </c>
      <c r="BH120" s="201">
        <v>1.2495234482743631</v>
      </c>
      <c r="BI120" s="201">
        <v>1.268266299998478</v>
      </c>
      <c r="BJ120" s="201">
        <v>1.287290294498455</v>
      </c>
      <c r="BK120" s="201">
        <v>1.3065996489159319</v>
      </c>
      <c r="BL120" s="201">
        <v>1</v>
      </c>
      <c r="BM120" s="201">
        <v>1.0075087154733169</v>
      </c>
      <c r="BN120" s="201">
        <v>1.0150174309466338</v>
      </c>
      <c r="BO120" s="201">
        <v>1.0225261464199509</v>
      </c>
      <c r="BP120" s="201">
        <v>1.0300348618932678</v>
      </c>
      <c r="BQ120" s="201">
        <v>1.0375435773665846</v>
      </c>
      <c r="BR120" s="201">
        <v>1.0450522928399046</v>
      </c>
      <c r="BS120" s="201">
        <v>1.0458970233306526</v>
      </c>
      <c r="BT120" s="201">
        <v>1.0467417538213979</v>
      </c>
      <c r="BU120" s="201">
        <v>1.0475864843121492</v>
      </c>
      <c r="BV120" s="201">
        <v>1.0484312148028971</v>
      </c>
      <c r="BW120" s="201">
        <v>1.0492759452936424</v>
      </c>
      <c r="BX120" s="201">
        <v>1.0501206757843937</v>
      </c>
      <c r="BY120" s="201">
        <v>1.0509654062751417</v>
      </c>
      <c r="BZ120" s="201">
        <v>1.0518101367658899</v>
      </c>
      <c r="CA120" s="201">
        <v>1.0526548672566383</v>
      </c>
      <c r="CB120" s="201">
        <v>1.0534995977473862</v>
      </c>
    </row>
    <row r="121" spans="1:80" x14ac:dyDescent="0.35">
      <c r="A121" t="s">
        <v>743</v>
      </c>
      <c r="B121" t="s">
        <v>876</v>
      </c>
      <c r="C121" s="206" t="s">
        <v>839</v>
      </c>
      <c r="D121" t="s">
        <v>736</v>
      </c>
      <c r="E121" s="130">
        <v>341.6858424576597</v>
      </c>
      <c r="F121" s="130">
        <f>NYSERDA_SupplyCurve_Raw[[#This Row],[Available Capacity (MWac)]]*NYSERDA_SupplyCurve_Raw[[#This Row],[2024 Weighted Avg Resource CapEx ($/kWac)]]</f>
        <v>635004.5194409918</v>
      </c>
      <c r="G121" s="130">
        <f>NYSERDA_SupplyCurve_Raw[[#This Row],[Available Capacity (MWac)]]*NYSERDA_SupplyCurve_Raw[[#This Row],[2024 Weighted Avg OpEx ($/kWac-year)]]</f>
        <v>9250.7438730324575</v>
      </c>
      <c r="H121" s="130">
        <v>1858.4455091073285</v>
      </c>
      <c r="I121" s="130">
        <v>88.96401117727676</v>
      </c>
      <c r="J121" s="130">
        <v>27.073828422313902</v>
      </c>
      <c r="K121" s="130">
        <f>NYSERDA_SupplyCurve_Raw[[#This Row],[2024 Weighted Avg Capacity Factor]]*NYSERDA_SupplyCurve_Raw[[#This Row],[Available Capacity (MWac)]]</f>
        <v>71.51484682638818</v>
      </c>
      <c r="L121" s="205">
        <v>0.20930000000000001</v>
      </c>
      <c r="M121" s="201">
        <v>1</v>
      </c>
      <c r="N121" s="201">
        <v>0.98205557700657919</v>
      </c>
      <c r="O121" s="201">
        <v>0.9750864368776675</v>
      </c>
      <c r="P121" s="201">
        <v>0.97106869788234951</v>
      </c>
      <c r="Q121" s="201">
        <v>0.96272883825255884</v>
      </c>
      <c r="R121" s="201">
        <v>0.9669897498237513</v>
      </c>
      <c r="S121" s="201">
        <v>0.97267407052031774</v>
      </c>
      <c r="T121" s="201">
        <v>0.97869557679238706</v>
      </c>
      <c r="U121" s="201">
        <v>0.98505703847148296</v>
      </c>
      <c r="V121" s="201">
        <v>0.99541170168847626</v>
      </c>
      <c r="W121" s="201">
        <v>1.0060348317132135</v>
      </c>
      <c r="X121" s="201">
        <v>1.0169311841464155</v>
      </c>
      <c r="Y121" s="201">
        <v>1.0281056158381718</v>
      </c>
      <c r="Z121" s="201">
        <v>1.0395630868515546</v>
      </c>
      <c r="AA121" s="201">
        <v>1.0513086624661188</v>
      </c>
      <c r="AB121" s="201">
        <v>1.0633475152220784</v>
      </c>
      <c r="AC121" s="201">
        <v>1.0756849270059703</v>
      </c>
      <c r="AD121" s="201">
        <v>1</v>
      </c>
      <c r="AE121" s="201">
        <v>1.0230000000000001</v>
      </c>
      <c r="AF121" s="201">
        <v>1.0465289999999998</v>
      </c>
      <c r="AG121" s="201">
        <v>1.0705991669999999</v>
      </c>
      <c r="AH121" s="201">
        <v>1.0952229478409996</v>
      </c>
      <c r="AI121" s="201">
        <v>1.1204130756413426</v>
      </c>
      <c r="AJ121" s="201">
        <v>1.1461825763810931</v>
      </c>
      <c r="AK121" s="201">
        <v>1.1725447756378582</v>
      </c>
      <c r="AL121" s="201">
        <v>1.1995133054775289</v>
      </c>
      <c r="AM121" s="201">
        <v>1.2271021115035119</v>
      </c>
      <c r="AN121" s="201">
        <v>1.2553254600680925</v>
      </c>
      <c r="AO121" s="201">
        <v>1.2841979456496586</v>
      </c>
      <c r="AP121" s="201">
        <v>1.3137344983996007</v>
      </c>
      <c r="AQ121" s="201">
        <v>1.3439503918627917</v>
      </c>
      <c r="AR121" s="201">
        <v>1.3748612508756353</v>
      </c>
      <c r="AS121" s="201">
        <v>1.4064830596457747</v>
      </c>
      <c r="AT121" s="201">
        <v>1.4388321700176274</v>
      </c>
      <c r="AU121" s="201">
        <v>1</v>
      </c>
      <c r="AV121" s="201">
        <v>1.0224300740672718</v>
      </c>
      <c r="AW121" s="201">
        <v>1.0453695014675706</v>
      </c>
      <c r="AX121" s="201">
        <v>1.068829988063849</v>
      </c>
      <c r="AY121" s="201">
        <v>1.0928235118062262</v>
      </c>
      <c r="AZ121" s="201">
        <v>1.1092158644833194</v>
      </c>
      <c r="BA121" s="201">
        <v>1.125854102450569</v>
      </c>
      <c r="BB121" s="201">
        <v>1.1427419139873278</v>
      </c>
      <c r="BC121" s="201">
        <v>1.1598830426971376</v>
      </c>
      <c r="BD121" s="201">
        <v>1.1772812883375947</v>
      </c>
      <c r="BE121" s="201">
        <v>1.1949405076626582</v>
      </c>
      <c r="BF121" s="201">
        <v>1.2128646152775981</v>
      </c>
      <c r="BG121" s="201">
        <v>1.2310575845067617</v>
      </c>
      <c r="BH121" s="201">
        <v>1.2495234482743631</v>
      </c>
      <c r="BI121" s="201">
        <v>1.2682662999984782</v>
      </c>
      <c r="BJ121" s="201">
        <v>1.2872902944984552</v>
      </c>
      <c r="BK121" s="201">
        <v>1.3065996489159319</v>
      </c>
      <c r="BL121" s="201">
        <v>1</v>
      </c>
      <c r="BM121" s="201">
        <v>1.0075087154733169</v>
      </c>
      <c r="BN121" s="201">
        <v>1.0150174309466338</v>
      </c>
      <c r="BO121" s="201">
        <v>1.0225261464199509</v>
      </c>
      <c r="BP121" s="201">
        <v>1.0300348618932678</v>
      </c>
      <c r="BQ121" s="201">
        <v>1.0375435773665846</v>
      </c>
      <c r="BR121" s="201">
        <v>1.0450522928399046</v>
      </c>
      <c r="BS121" s="201">
        <v>1.0458970233306526</v>
      </c>
      <c r="BT121" s="201">
        <v>1.0467417538213979</v>
      </c>
      <c r="BU121" s="201">
        <v>1.0475864843121492</v>
      </c>
      <c r="BV121" s="201">
        <v>1.0484312148028971</v>
      </c>
      <c r="BW121" s="201">
        <v>1.0492759452936424</v>
      </c>
      <c r="BX121" s="201">
        <v>1.0501206757843937</v>
      </c>
      <c r="BY121" s="201">
        <v>1.0509654062751417</v>
      </c>
      <c r="BZ121" s="201">
        <v>1.0518101367658899</v>
      </c>
      <c r="CA121" s="201">
        <v>1.0526548672566383</v>
      </c>
      <c r="CB121" s="201">
        <v>1.0534995977473862</v>
      </c>
    </row>
    <row r="122" spans="1:80" x14ac:dyDescent="0.35">
      <c r="A122" t="s">
        <v>743</v>
      </c>
      <c r="B122" t="s">
        <v>876</v>
      </c>
      <c r="C122" s="206" t="s">
        <v>839</v>
      </c>
      <c r="D122" t="s">
        <v>742</v>
      </c>
      <c r="E122" s="130">
        <v>504.38649500414812</v>
      </c>
      <c r="F122" s="130">
        <f>NYSERDA_SupplyCurve_Raw[[#This Row],[Available Capacity (MWac)]]*NYSERDA_SupplyCurve_Raw[[#This Row],[2024 Weighted Avg Resource CapEx ($/kWac)]]</f>
        <v>1048517.1812019725</v>
      </c>
      <c r="G122" s="130">
        <f>NYSERDA_SupplyCurve_Raw[[#This Row],[Available Capacity (MWac)]]*NYSERDA_SupplyCurve_Raw[[#This Row],[2024 Weighted Avg OpEx ($/kWac-year)]]</f>
        <v>13655.673424274593</v>
      </c>
      <c r="H122" s="130">
        <v>2078.797096249275</v>
      </c>
      <c r="I122" s="130">
        <v>140.84672607207023</v>
      </c>
      <c r="J122" s="130">
        <v>27.073828422313902</v>
      </c>
      <c r="K122" s="130">
        <f>NYSERDA_SupplyCurve_Raw[[#This Row],[2024 Weighted Avg Capacity Factor]]*NYSERDA_SupplyCurve_Raw[[#This Row],[Available Capacity (MWac)]]</f>
        <v>105.56809340436821</v>
      </c>
      <c r="L122" s="205">
        <v>0.20930000000000001</v>
      </c>
      <c r="M122" s="201">
        <v>1</v>
      </c>
      <c r="N122" s="201">
        <v>0.98205557700657919</v>
      </c>
      <c r="O122" s="201">
        <v>0.97508643687766738</v>
      </c>
      <c r="P122" s="201">
        <v>0.9710686978823494</v>
      </c>
      <c r="Q122" s="201">
        <v>0.96272883825255895</v>
      </c>
      <c r="R122" s="201">
        <v>0.96698974982375097</v>
      </c>
      <c r="S122" s="201">
        <v>0.97267407052031774</v>
      </c>
      <c r="T122" s="201">
        <v>0.97869557679238717</v>
      </c>
      <c r="U122" s="201">
        <v>0.98505703847148274</v>
      </c>
      <c r="V122" s="201">
        <v>0.99541170168847637</v>
      </c>
      <c r="W122" s="201">
        <v>1.0060348317132135</v>
      </c>
      <c r="X122" s="201">
        <v>1.0169311841464153</v>
      </c>
      <c r="Y122" s="201">
        <v>1.0281056158381716</v>
      </c>
      <c r="Z122" s="201">
        <v>1.0395630868515546</v>
      </c>
      <c r="AA122" s="201">
        <v>1.0513086624661188</v>
      </c>
      <c r="AB122" s="201">
        <v>1.0633475152220784</v>
      </c>
      <c r="AC122" s="201">
        <v>1.0756849270059703</v>
      </c>
      <c r="AD122" s="201">
        <v>1</v>
      </c>
      <c r="AE122" s="201">
        <v>1.0230000000000001</v>
      </c>
      <c r="AF122" s="201">
        <v>1.046529</v>
      </c>
      <c r="AG122" s="201">
        <v>1.0705991669999999</v>
      </c>
      <c r="AH122" s="201">
        <v>1.0952229478409996</v>
      </c>
      <c r="AI122" s="201">
        <v>1.1204130756413426</v>
      </c>
      <c r="AJ122" s="201">
        <v>1.1461825763810931</v>
      </c>
      <c r="AK122" s="201">
        <v>1.1725447756378582</v>
      </c>
      <c r="AL122" s="201">
        <v>1.1995133054775289</v>
      </c>
      <c r="AM122" s="201">
        <v>1.2271021115035121</v>
      </c>
      <c r="AN122" s="201">
        <v>1.2553254600680928</v>
      </c>
      <c r="AO122" s="201">
        <v>1.2841979456496586</v>
      </c>
      <c r="AP122" s="201">
        <v>1.3137344983996007</v>
      </c>
      <c r="AQ122" s="201">
        <v>1.3439503918627917</v>
      </c>
      <c r="AR122" s="201">
        <v>1.3748612508756355</v>
      </c>
      <c r="AS122" s="201">
        <v>1.4064830596457747</v>
      </c>
      <c r="AT122" s="201">
        <v>1.4388321700176274</v>
      </c>
      <c r="AU122" s="201">
        <v>1</v>
      </c>
      <c r="AV122" s="201">
        <v>1.0224300740672716</v>
      </c>
      <c r="AW122" s="201">
        <v>1.0453695014675706</v>
      </c>
      <c r="AX122" s="201">
        <v>1.0688299880638492</v>
      </c>
      <c r="AY122" s="201">
        <v>1.0928235118062264</v>
      </c>
      <c r="AZ122" s="201">
        <v>1.1092158644833194</v>
      </c>
      <c r="BA122" s="201">
        <v>1.1258541024505693</v>
      </c>
      <c r="BB122" s="201">
        <v>1.1427419139873276</v>
      </c>
      <c r="BC122" s="201">
        <v>1.1598830426971376</v>
      </c>
      <c r="BD122" s="201">
        <v>1.1772812883375945</v>
      </c>
      <c r="BE122" s="201">
        <v>1.1949405076626585</v>
      </c>
      <c r="BF122" s="201">
        <v>1.2128646152775981</v>
      </c>
      <c r="BG122" s="201">
        <v>1.2310575845067617</v>
      </c>
      <c r="BH122" s="201">
        <v>1.2495234482743631</v>
      </c>
      <c r="BI122" s="201">
        <v>1.2682662999984782</v>
      </c>
      <c r="BJ122" s="201">
        <v>1.2872902944984552</v>
      </c>
      <c r="BK122" s="201">
        <v>1.3065996489159319</v>
      </c>
      <c r="BL122" s="201">
        <v>1</v>
      </c>
      <c r="BM122" s="201">
        <v>1.0075087154733169</v>
      </c>
      <c r="BN122" s="201">
        <v>1.0150174309466338</v>
      </c>
      <c r="BO122" s="201">
        <v>1.0225261464199509</v>
      </c>
      <c r="BP122" s="201">
        <v>1.0300348618932678</v>
      </c>
      <c r="BQ122" s="201">
        <v>1.0375435773665846</v>
      </c>
      <c r="BR122" s="201">
        <v>1.0450522928399046</v>
      </c>
      <c r="BS122" s="201">
        <v>1.0458970233306526</v>
      </c>
      <c r="BT122" s="201">
        <v>1.0467417538213979</v>
      </c>
      <c r="BU122" s="201">
        <v>1.0475864843121492</v>
      </c>
      <c r="BV122" s="201">
        <v>1.0484312148028971</v>
      </c>
      <c r="BW122" s="201">
        <v>1.0492759452936424</v>
      </c>
      <c r="BX122" s="201">
        <v>1.0501206757843937</v>
      </c>
      <c r="BY122" s="201">
        <v>1.0509654062751417</v>
      </c>
      <c r="BZ122" s="201">
        <v>1.0518101367658899</v>
      </c>
      <c r="CA122" s="201">
        <v>1.0526548672566383</v>
      </c>
      <c r="CB122" s="201">
        <v>1.0534995977473862</v>
      </c>
    </row>
    <row r="123" spans="1:80" x14ac:dyDescent="0.35">
      <c r="A123" t="s">
        <v>743</v>
      </c>
      <c r="B123" t="s">
        <v>877</v>
      </c>
      <c r="C123" s="206" t="s">
        <v>839</v>
      </c>
      <c r="D123" t="s">
        <v>736</v>
      </c>
      <c r="E123" s="130">
        <v>94.378762600918648</v>
      </c>
      <c r="F123" s="130">
        <f>NYSERDA_SupplyCurve_Raw[[#This Row],[Available Capacity (MWac)]]*NYSERDA_SupplyCurve_Raw[[#This Row],[2024 Weighted Avg Resource CapEx ($/kWac)]]</f>
        <v>203884.10218538289</v>
      </c>
      <c r="G123" s="130">
        <f>NYSERDA_SupplyCurve_Raw[[#This Row],[Available Capacity (MWac)]]*NYSERDA_SupplyCurve_Raw[[#This Row],[2024 Weighted Avg OpEx ($/kWac-year)]]</f>
        <v>2644.2684764756186</v>
      </c>
      <c r="H123" s="130">
        <v>2160.2752204699741</v>
      </c>
      <c r="I123" s="130">
        <v>142.02967136344003</v>
      </c>
      <c r="J123" s="130">
        <v>28.017621799693739</v>
      </c>
      <c r="K123" s="130">
        <f>NYSERDA_SupplyCurve_Raw[[#This Row],[2024 Weighted Avg Capacity Factor]]*NYSERDA_SupplyCurve_Raw[[#This Row],[Available Capacity (MWac)]]</f>
        <v>19.876167403753467</v>
      </c>
      <c r="L123" s="205">
        <v>0.21059999999999998</v>
      </c>
      <c r="M123" s="201">
        <v>1</v>
      </c>
      <c r="N123" s="201">
        <v>0.98205557700657897</v>
      </c>
      <c r="O123" s="201">
        <v>0.97508643687766761</v>
      </c>
      <c r="P123" s="201">
        <v>0.97106869788234929</v>
      </c>
      <c r="Q123" s="201">
        <v>0.96272883825255906</v>
      </c>
      <c r="R123" s="201">
        <v>0.96698974982375119</v>
      </c>
      <c r="S123" s="201">
        <v>0.97267407052031796</v>
      </c>
      <c r="T123" s="201">
        <v>0.97869557679238717</v>
      </c>
      <c r="U123" s="201">
        <v>0.98505703847148285</v>
      </c>
      <c r="V123" s="201">
        <v>0.99541170168847637</v>
      </c>
      <c r="W123" s="201">
        <v>1.0060348317132135</v>
      </c>
      <c r="X123" s="201">
        <v>1.0169311841464153</v>
      </c>
      <c r="Y123" s="201">
        <v>1.0281056158381718</v>
      </c>
      <c r="Z123" s="201">
        <v>1.0395630868515544</v>
      </c>
      <c r="AA123" s="201">
        <v>1.0513086624661188</v>
      </c>
      <c r="AB123" s="201">
        <v>1.0633475152220786</v>
      </c>
      <c r="AC123" s="201">
        <v>1.0756849270059703</v>
      </c>
      <c r="AD123" s="201">
        <v>1</v>
      </c>
      <c r="AE123" s="201">
        <v>1.0230000000000001</v>
      </c>
      <c r="AF123" s="201">
        <v>1.046529</v>
      </c>
      <c r="AG123" s="201">
        <v>1.0705991669999999</v>
      </c>
      <c r="AH123" s="201">
        <v>1.0952229478409998</v>
      </c>
      <c r="AI123" s="201">
        <v>1.1204130756413431</v>
      </c>
      <c r="AJ123" s="201">
        <v>1.1461825763810936</v>
      </c>
      <c r="AK123" s="201">
        <v>1.1725447756378586</v>
      </c>
      <c r="AL123" s="201">
        <v>1.1995133054775293</v>
      </c>
      <c r="AM123" s="201">
        <v>1.2271021115035123</v>
      </c>
      <c r="AN123" s="201">
        <v>1.2553254600680932</v>
      </c>
      <c r="AO123" s="201">
        <v>1.2841979456496593</v>
      </c>
      <c r="AP123" s="201">
        <v>1.3137344983996011</v>
      </c>
      <c r="AQ123" s="201">
        <v>1.3439503918627917</v>
      </c>
      <c r="AR123" s="201">
        <v>1.3748612508756355</v>
      </c>
      <c r="AS123" s="201">
        <v>1.4064830596457754</v>
      </c>
      <c r="AT123" s="201">
        <v>1.4388321700176276</v>
      </c>
      <c r="AU123" s="201">
        <v>1</v>
      </c>
      <c r="AV123" s="201">
        <v>1.0224300740672716</v>
      </c>
      <c r="AW123" s="201">
        <v>1.0453695014675706</v>
      </c>
      <c r="AX123" s="201">
        <v>1.068829988063849</v>
      </c>
      <c r="AY123" s="201">
        <v>1.0928235118062264</v>
      </c>
      <c r="AZ123" s="201">
        <v>1.1092158644833194</v>
      </c>
      <c r="BA123" s="201">
        <v>1.1258541024505693</v>
      </c>
      <c r="BB123" s="201">
        <v>1.1427419139873276</v>
      </c>
      <c r="BC123" s="201">
        <v>1.1598830426971376</v>
      </c>
      <c r="BD123" s="201">
        <v>1.1772812883375943</v>
      </c>
      <c r="BE123" s="201">
        <v>1.1949405076626585</v>
      </c>
      <c r="BF123" s="201">
        <v>1.2128646152775981</v>
      </c>
      <c r="BG123" s="201">
        <v>1.2310575845067617</v>
      </c>
      <c r="BH123" s="201">
        <v>1.2495234482743631</v>
      </c>
      <c r="BI123" s="201">
        <v>1.2682662999984782</v>
      </c>
      <c r="BJ123" s="201">
        <v>1.287290294498455</v>
      </c>
      <c r="BK123" s="201">
        <v>1.3065996489159324</v>
      </c>
      <c r="BL123" s="201">
        <v>1</v>
      </c>
      <c r="BM123" s="201">
        <v>1.0075087154733169</v>
      </c>
      <c r="BN123" s="201">
        <v>1.0150174309466338</v>
      </c>
      <c r="BO123" s="201">
        <v>1.0225261464199509</v>
      </c>
      <c r="BP123" s="201">
        <v>1.0300348618932678</v>
      </c>
      <c r="BQ123" s="201">
        <v>1.0375435773665846</v>
      </c>
      <c r="BR123" s="201">
        <v>1.0450522928399046</v>
      </c>
      <c r="BS123" s="201">
        <v>1.0458970233306526</v>
      </c>
      <c r="BT123" s="201">
        <v>1.0467417538213979</v>
      </c>
      <c r="BU123" s="201">
        <v>1.0475864843121492</v>
      </c>
      <c r="BV123" s="201">
        <v>1.0484312148028971</v>
      </c>
      <c r="BW123" s="201">
        <v>1.0492759452936424</v>
      </c>
      <c r="BX123" s="201">
        <v>1.0501206757843937</v>
      </c>
      <c r="BY123" s="201">
        <v>1.0509654062751417</v>
      </c>
      <c r="BZ123" s="201">
        <v>1.0518101367658899</v>
      </c>
      <c r="CA123" s="201">
        <v>1.0526548672566383</v>
      </c>
      <c r="CB123" s="201">
        <v>1.0534995977473862</v>
      </c>
    </row>
    <row r="124" spans="1:80" x14ac:dyDescent="0.35">
      <c r="A124" t="s">
        <v>743</v>
      </c>
      <c r="B124" t="s">
        <v>879</v>
      </c>
      <c r="C124" s="206" t="s">
        <v>843</v>
      </c>
      <c r="D124" t="s">
        <v>736</v>
      </c>
      <c r="E124" s="130">
        <v>139.86627200178063</v>
      </c>
      <c r="F124" s="130">
        <f>NYSERDA_SupplyCurve_Raw[[#This Row],[Available Capacity (MWac)]]*NYSERDA_SupplyCurve_Raw[[#This Row],[2024 Weighted Avg Resource CapEx ($/kWac)]]</f>
        <v>274065.5181321408</v>
      </c>
      <c r="G124" s="130">
        <f>NYSERDA_SupplyCurve_Raw[[#This Row],[Available Capacity (MWac)]]*NYSERDA_SupplyCurve_Raw[[#This Row],[2024 Weighted Avg OpEx ($/kWac-year)]]</f>
        <v>3918.7203114789827</v>
      </c>
      <c r="H124" s="130">
        <v>1959.482541499724</v>
      </c>
      <c r="I124" s="130">
        <v>142.24377518012795</v>
      </c>
      <c r="J124" s="130">
        <v>28.017621799693735</v>
      </c>
      <c r="K124" s="130">
        <f>NYSERDA_SupplyCurve_Raw[[#This Row],[2024 Weighted Avg Capacity Factor]]*NYSERDA_SupplyCurve_Raw[[#This Row],[Available Capacity (MWac)]]</f>
        <v>28.364879961961112</v>
      </c>
      <c r="L124" s="205">
        <v>0.20280000000000001</v>
      </c>
      <c r="M124" s="201">
        <v>1</v>
      </c>
      <c r="N124" s="201">
        <v>0.98205557700657931</v>
      </c>
      <c r="O124" s="201">
        <v>0.9750864368776675</v>
      </c>
      <c r="P124" s="201">
        <v>0.97106869788234951</v>
      </c>
      <c r="Q124" s="201">
        <v>0.96272883825255895</v>
      </c>
      <c r="R124" s="201">
        <v>0.96698974982375108</v>
      </c>
      <c r="S124" s="201">
        <v>0.97267407052031774</v>
      </c>
      <c r="T124" s="201">
        <v>0.97869557679238717</v>
      </c>
      <c r="U124" s="201">
        <v>0.98505703847148318</v>
      </c>
      <c r="V124" s="201">
        <v>0.99541170168847637</v>
      </c>
      <c r="W124" s="201">
        <v>1.0060348317132135</v>
      </c>
      <c r="X124" s="201">
        <v>1.0169311841464153</v>
      </c>
      <c r="Y124" s="201">
        <v>1.0281056158381718</v>
      </c>
      <c r="Z124" s="201">
        <v>1.0395630868515549</v>
      </c>
      <c r="AA124" s="201">
        <v>1.0513086624661188</v>
      </c>
      <c r="AB124" s="201">
        <v>1.0633475152220784</v>
      </c>
      <c r="AC124" s="201">
        <v>1.0756849270059701</v>
      </c>
      <c r="AD124" s="201">
        <v>1</v>
      </c>
      <c r="AE124" s="201">
        <v>1.0230000000000001</v>
      </c>
      <c r="AF124" s="201">
        <v>1.0465289999999998</v>
      </c>
      <c r="AG124" s="201">
        <v>1.0705991669999999</v>
      </c>
      <c r="AH124" s="201">
        <v>1.0952229478409996</v>
      </c>
      <c r="AI124" s="201">
        <v>1.1204130756413428</v>
      </c>
      <c r="AJ124" s="201">
        <v>1.1461825763810933</v>
      </c>
      <c r="AK124" s="201">
        <v>1.1725447756378586</v>
      </c>
      <c r="AL124" s="201">
        <v>1.1995133054775291</v>
      </c>
      <c r="AM124" s="201">
        <v>1.2271021115035121</v>
      </c>
      <c r="AN124" s="201">
        <v>1.2553254600680928</v>
      </c>
      <c r="AO124" s="201">
        <v>1.2841979456496588</v>
      </c>
      <c r="AP124" s="201">
        <v>1.3137344983996011</v>
      </c>
      <c r="AQ124" s="201">
        <v>1.3439503918627917</v>
      </c>
      <c r="AR124" s="201">
        <v>1.3748612508756355</v>
      </c>
      <c r="AS124" s="201">
        <v>1.4064830596457749</v>
      </c>
      <c r="AT124" s="201">
        <v>1.4388321700176276</v>
      </c>
      <c r="AU124" s="201">
        <v>1</v>
      </c>
      <c r="AV124" s="201">
        <v>1.0224300740672716</v>
      </c>
      <c r="AW124" s="201">
        <v>1.0453695014675708</v>
      </c>
      <c r="AX124" s="201">
        <v>1.0688299880638494</v>
      </c>
      <c r="AY124" s="201">
        <v>1.0928235118062264</v>
      </c>
      <c r="AZ124" s="201">
        <v>1.1092158644833194</v>
      </c>
      <c r="BA124" s="201">
        <v>1.1258541024505695</v>
      </c>
      <c r="BB124" s="201">
        <v>1.1427419139873276</v>
      </c>
      <c r="BC124" s="201">
        <v>1.1598830426971378</v>
      </c>
      <c r="BD124" s="201">
        <v>1.1772812883375945</v>
      </c>
      <c r="BE124" s="201">
        <v>1.1949405076626585</v>
      </c>
      <c r="BF124" s="201">
        <v>1.2128646152775981</v>
      </c>
      <c r="BG124" s="201">
        <v>1.2310575845067619</v>
      </c>
      <c r="BH124" s="201">
        <v>1.2495234482743631</v>
      </c>
      <c r="BI124" s="201">
        <v>1.2682662999984784</v>
      </c>
      <c r="BJ124" s="201">
        <v>1.2872902944984554</v>
      </c>
      <c r="BK124" s="201">
        <v>1.3065996489159322</v>
      </c>
      <c r="BL124" s="201">
        <v>1</v>
      </c>
      <c r="BM124" s="201">
        <v>1.0075087154733169</v>
      </c>
      <c r="BN124" s="201">
        <v>1.0150174309466338</v>
      </c>
      <c r="BO124" s="201">
        <v>1.0225261464199509</v>
      </c>
      <c r="BP124" s="201">
        <v>1.0300348618932678</v>
      </c>
      <c r="BQ124" s="201">
        <v>1.0375435773665846</v>
      </c>
      <c r="BR124" s="201">
        <v>1.0450522928399046</v>
      </c>
      <c r="BS124" s="201">
        <v>1.0458970233306526</v>
      </c>
      <c r="BT124" s="201">
        <v>1.0467417538213979</v>
      </c>
      <c r="BU124" s="201">
        <v>1.0475864843121492</v>
      </c>
      <c r="BV124" s="201">
        <v>1.0484312148028971</v>
      </c>
      <c r="BW124" s="201">
        <v>1.0492759452936424</v>
      </c>
      <c r="BX124" s="201">
        <v>1.0501206757843937</v>
      </c>
      <c r="BY124" s="201">
        <v>1.0509654062751417</v>
      </c>
      <c r="BZ124" s="201">
        <v>1.0518101367658899</v>
      </c>
      <c r="CA124" s="201">
        <v>1.0526548672566383</v>
      </c>
      <c r="CB124" s="201">
        <v>1.0534995977473862</v>
      </c>
    </row>
    <row r="125" spans="1:80" x14ac:dyDescent="0.35">
      <c r="A125" t="s">
        <v>743</v>
      </c>
      <c r="B125" t="s">
        <v>879</v>
      </c>
      <c r="C125" s="206" t="s">
        <v>843</v>
      </c>
      <c r="D125" t="s">
        <v>742</v>
      </c>
      <c r="E125" s="130">
        <v>363.71311045709308</v>
      </c>
      <c r="F125" s="130">
        <f>NYSERDA_SupplyCurve_Raw[[#This Row],[Available Capacity (MWac)]]*NYSERDA_SupplyCurve_Raw[[#This Row],[2024 Weighted Avg Resource CapEx ($/kWac)]]</f>
        <v>773369.02299546858</v>
      </c>
      <c r="G125" s="130">
        <f>NYSERDA_SupplyCurve_Raw[[#This Row],[Available Capacity (MWac)]]*NYSERDA_SupplyCurve_Raw[[#This Row],[2024 Weighted Avg OpEx ($/kWac-year)]]</f>
        <v>10190.37637237707</v>
      </c>
      <c r="H125" s="130">
        <v>2126.3160462473961</v>
      </c>
      <c r="I125" s="130">
        <v>208.5264696723271</v>
      </c>
      <c r="J125" s="130">
        <v>28.017621799693746</v>
      </c>
      <c r="K125" s="130">
        <f>NYSERDA_SupplyCurve_Raw[[#This Row],[2024 Weighted Avg Capacity Factor]]*NYSERDA_SupplyCurve_Raw[[#This Row],[Available Capacity (MWac)]]</f>
        <v>73.76101880069848</v>
      </c>
      <c r="L125" s="205">
        <v>0.20280000000000001</v>
      </c>
      <c r="M125" s="201">
        <v>1</v>
      </c>
      <c r="N125" s="201">
        <v>0.98205557700657942</v>
      </c>
      <c r="O125" s="201">
        <v>0.97508643687766761</v>
      </c>
      <c r="P125" s="201">
        <v>0.97106869788234951</v>
      </c>
      <c r="Q125" s="201">
        <v>0.96272883825255917</v>
      </c>
      <c r="R125" s="201">
        <v>0.96698974982375119</v>
      </c>
      <c r="S125" s="201">
        <v>0.97267407052031796</v>
      </c>
      <c r="T125" s="201">
        <v>0.97869557679238739</v>
      </c>
      <c r="U125" s="201">
        <v>0.9850570384714834</v>
      </c>
      <c r="V125" s="201">
        <v>0.99541170168847648</v>
      </c>
      <c r="W125" s="201">
        <v>1.0060348317132137</v>
      </c>
      <c r="X125" s="201">
        <v>1.0169311841464155</v>
      </c>
      <c r="Y125" s="201">
        <v>1.0281056158381718</v>
      </c>
      <c r="Z125" s="201">
        <v>1.0395630868515549</v>
      </c>
      <c r="AA125" s="201">
        <v>1.051308662466119</v>
      </c>
      <c r="AB125" s="201">
        <v>1.0633475152220788</v>
      </c>
      <c r="AC125" s="201">
        <v>1.0756849270059705</v>
      </c>
      <c r="AD125" s="201">
        <v>1</v>
      </c>
      <c r="AE125" s="201">
        <v>1.0229999999999999</v>
      </c>
      <c r="AF125" s="201">
        <v>1.0465289999999998</v>
      </c>
      <c r="AG125" s="201">
        <v>1.0705991669999997</v>
      </c>
      <c r="AH125" s="201">
        <v>1.0952229478409996</v>
      </c>
      <c r="AI125" s="201">
        <v>1.1204130756413428</v>
      </c>
      <c r="AJ125" s="201">
        <v>1.1461825763810933</v>
      </c>
      <c r="AK125" s="201">
        <v>1.1725447756378584</v>
      </c>
      <c r="AL125" s="201">
        <v>1.1995133054775289</v>
      </c>
      <c r="AM125" s="201">
        <v>1.2271021115035119</v>
      </c>
      <c r="AN125" s="201">
        <v>1.2553254600680928</v>
      </c>
      <c r="AO125" s="201">
        <v>1.2841979456496588</v>
      </c>
      <c r="AP125" s="201">
        <v>1.3137344983996009</v>
      </c>
      <c r="AQ125" s="201">
        <v>1.3439503918627915</v>
      </c>
      <c r="AR125" s="201">
        <v>1.3748612508756355</v>
      </c>
      <c r="AS125" s="201">
        <v>1.4064830596457747</v>
      </c>
      <c r="AT125" s="201">
        <v>1.4388321700176276</v>
      </c>
      <c r="AU125" s="201">
        <v>1</v>
      </c>
      <c r="AV125" s="201">
        <v>1.0224300740672716</v>
      </c>
      <c r="AW125" s="201">
        <v>1.0453695014675704</v>
      </c>
      <c r="AX125" s="201">
        <v>1.0688299880638488</v>
      </c>
      <c r="AY125" s="201">
        <v>1.0928235118062262</v>
      </c>
      <c r="AZ125" s="201">
        <v>1.1092158644833192</v>
      </c>
      <c r="BA125" s="201">
        <v>1.125854102450569</v>
      </c>
      <c r="BB125" s="201">
        <v>1.1427419139873276</v>
      </c>
      <c r="BC125" s="201">
        <v>1.1598830426971376</v>
      </c>
      <c r="BD125" s="201">
        <v>1.177281288337594</v>
      </c>
      <c r="BE125" s="201">
        <v>1.1949405076626582</v>
      </c>
      <c r="BF125" s="201">
        <v>1.2128646152775979</v>
      </c>
      <c r="BG125" s="201">
        <v>1.2310575845067617</v>
      </c>
      <c r="BH125" s="201">
        <v>1.2495234482743629</v>
      </c>
      <c r="BI125" s="201">
        <v>1.268266299998478</v>
      </c>
      <c r="BJ125" s="201">
        <v>1.2872902944984552</v>
      </c>
      <c r="BK125" s="201">
        <v>1.3065996489159317</v>
      </c>
      <c r="BL125" s="201">
        <v>1</v>
      </c>
      <c r="BM125" s="201">
        <v>1.0075087154733169</v>
      </c>
      <c r="BN125" s="201">
        <v>1.0150174309466338</v>
      </c>
      <c r="BO125" s="201">
        <v>1.0225261464199509</v>
      </c>
      <c r="BP125" s="201">
        <v>1.0300348618932678</v>
      </c>
      <c r="BQ125" s="201">
        <v>1.0375435773665846</v>
      </c>
      <c r="BR125" s="201">
        <v>1.0450522928399046</v>
      </c>
      <c r="BS125" s="201">
        <v>1.0458970233306526</v>
      </c>
      <c r="BT125" s="201">
        <v>1.0467417538213979</v>
      </c>
      <c r="BU125" s="201">
        <v>1.0475864843121492</v>
      </c>
      <c r="BV125" s="201">
        <v>1.0484312148028971</v>
      </c>
      <c r="BW125" s="201">
        <v>1.0492759452936424</v>
      </c>
      <c r="BX125" s="201">
        <v>1.0501206757843937</v>
      </c>
      <c r="BY125" s="201">
        <v>1.0509654062751417</v>
      </c>
      <c r="BZ125" s="201">
        <v>1.0518101367658899</v>
      </c>
      <c r="CA125" s="201">
        <v>1.0526548672566383</v>
      </c>
      <c r="CB125" s="201">
        <v>1.0534995977473862</v>
      </c>
    </row>
    <row r="126" spans="1:80" x14ac:dyDescent="0.35">
      <c r="A126" t="s">
        <v>743</v>
      </c>
      <c r="B126" t="s">
        <v>880</v>
      </c>
      <c r="C126" s="206" t="s">
        <v>843</v>
      </c>
      <c r="D126" t="s">
        <v>736</v>
      </c>
      <c r="E126" s="130">
        <v>213.56630470245446</v>
      </c>
      <c r="F126" s="130">
        <f>NYSERDA_SupplyCurve_Raw[[#This Row],[Available Capacity (MWac)]]*NYSERDA_SupplyCurve_Raw[[#This Row],[2024 Weighted Avg Resource CapEx ($/kWac)]]</f>
        <v>440844.14424622594</v>
      </c>
      <c r="G126" s="130">
        <f>NYSERDA_SupplyCurve_Raw[[#This Row],[Available Capacity (MWac)]]*NYSERDA_SupplyCurve_Raw[[#This Row],[2024 Weighted Avg OpEx ($/kWac-year)]]</f>
        <v>5765.2606183010585</v>
      </c>
      <c r="H126" s="130">
        <v>2064.2027067913182</v>
      </c>
      <c r="I126" s="130">
        <v>224.57661717320576</v>
      </c>
      <c r="J126" s="130">
        <v>26.995178974198918</v>
      </c>
      <c r="K126" s="130">
        <f>NYSERDA_SupplyCurve_Raw[[#This Row],[2024 Weighted Avg Capacity Factor]]*NYSERDA_SupplyCurve_Raw[[#This Row],[Available Capacity (MWac)]]</f>
        <v>43.033610397544578</v>
      </c>
      <c r="L126" s="205">
        <v>0.20150000000000001</v>
      </c>
      <c r="M126" s="201">
        <v>1</v>
      </c>
      <c r="N126" s="201">
        <v>0.98205557700657897</v>
      </c>
      <c r="O126" s="201">
        <v>0.97508643687766761</v>
      </c>
      <c r="P126" s="201">
        <v>0.97106869788234951</v>
      </c>
      <c r="Q126" s="201">
        <v>0.96272883825255884</v>
      </c>
      <c r="R126" s="201">
        <v>0.96698974982375119</v>
      </c>
      <c r="S126" s="201">
        <v>0.97267407052031762</v>
      </c>
      <c r="T126" s="201">
        <v>0.97869557679238695</v>
      </c>
      <c r="U126" s="201">
        <v>0.98505703847148296</v>
      </c>
      <c r="V126" s="201">
        <v>0.99541170168847648</v>
      </c>
      <c r="W126" s="201">
        <v>1.0060348317132133</v>
      </c>
      <c r="X126" s="201">
        <v>1.0169311841464153</v>
      </c>
      <c r="Y126" s="201">
        <v>1.0281056158381716</v>
      </c>
      <c r="Z126" s="201">
        <v>1.0395630868515544</v>
      </c>
      <c r="AA126" s="201">
        <v>1.0513086624661188</v>
      </c>
      <c r="AB126" s="201">
        <v>1.0633475152220786</v>
      </c>
      <c r="AC126" s="201">
        <v>1.0756849270059703</v>
      </c>
      <c r="AD126" s="201">
        <v>1</v>
      </c>
      <c r="AE126" s="201">
        <v>1.0229999999999999</v>
      </c>
      <c r="AF126" s="201">
        <v>1.0465289999999998</v>
      </c>
      <c r="AG126" s="201">
        <v>1.0705991669999997</v>
      </c>
      <c r="AH126" s="201">
        <v>1.0952229478409994</v>
      </c>
      <c r="AI126" s="201">
        <v>1.1204130756413426</v>
      </c>
      <c r="AJ126" s="201">
        <v>1.1461825763810931</v>
      </c>
      <c r="AK126" s="201">
        <v>1.1725447756378582</v>
      </c>
      <c r="AL126" s="201">
        <v>1.1995133054775287</v>
      </c>
      <c r="AM126" s="201">
        <v>1.2271021115035117</v>
      </c>
      <c r="AN126" s="201">
        <v>1.2553254600680925</v>
      </c>
      <c r="AO126" s="201">
        <v>1.2841979456496586</v>
      </c>
      <c r="AP126" s="201">
        <v>1.3137344983996007</v>
      </c>
      <c r="AQ126" s="201">
        <v>1.3439503918627913</v>
      </c>
      <c r="AR126" s="201">
        <v>1.3748612508756353</v>
      </c>
      <c r="AS126" s="201">
        <v>1.4064830596457742</v>
      </c>
      <c r="AT126" s="201">
        <v>1.4388321700176274</v>
      </c>
      <c r="AU126" s="201">
        <v>1</v>
      </c>
      <c r="AV126" s="201">
        <v>1.0224300740672716</v>
      </c>
      <c r="AW126" s="201">
        <v>1.0453695014675706</v>
      </c>
      <c r="AX126" s="201">
        <v>1.0688299880638488</v>
      </c>
      <c r="AY126" s="201">
        <v>1.0928235118062262</v>
      </c>
      <c r="AZ126" s="201">
        <v>1.1092158644833194</v>
      </c>
      <c r="BA126" s="201">
        <v>1.125854102450569</v>
      </c>
      <c r="BB126" s="201">
        <v>1.1427419139873276</v>
      </c>
      <c r="BC126" s="201">
        <v>1.1598830426971374</v>
      </c>
      <c r="BD126" s="201">
        <v>1.1772812883375945</v>
      </c>
      <c r="BE126" s="201">
        <v>1.1949405076626582</v>
      </c>
      <c r="BF126" s="201">
        <v>1.2128646152775979</v>
      </c>
      <c r="BG126" s="201">
        <v>1.2310575845067617</v>
      </c>
      <c r="BH126" s="201">
        <v>1.2495234482743631</v>
      </c>
      <c r="BI126" s="201">
        <v>1.268266299998478</v>
      </c>
      <c r="BJ126" s="201">
        <v>1.2872902944984552</v>
      </c>
      <c r="BK126" s="201">
        <v>1.3065996489159317</v>
      </c>
      <c r="BL126" s="201">
        <v>1</v>
      </c>
      <c r="BM126" s="201">
        <v>1.0075087154733169</v>
      </c>
      <c r="BN126" s="201">
        <v>1.0150174309466338</v>
      </c>
      <c r="BO126" s="201">
        <v>1.0225261464199509</v>
      </c>
      <c r="BP126" s="201">
        <v>1.0300348618932678</v>
      </c>
      <c r="BQ126" s="201">
        <v>1.0375435773665846</v>
      </c>
      <c r="BR126" s="201">
        <v>1.0450522928399046</v>
      </c>
      <c r="BS126" s="201">
        <v>1.0458970233306526</v>
      </c>
      <c r="BT126" s="201">
        <v>1.0467417538213979</v>
      </c>
      <c r="BU126" s="201">
        <v>1.0475864843121492</v>
      </c>
      <c r="BV126" s="201">
        <v>1.0484312148028971</v>
      </c>
      <c r="BW126" s="201">
        <v>1.0492759452936424</v>
      </c>
      <c r="BX126" s="201">
        <v>1.0501206757843937</v>
      </c>
      <c r="BY126" s="201">
        <v>1.0509654062751417</v>
      </c>
      <c r="BZ126" s="201">
        <v>1.0518101367658899</v>
      </c>
      <c r="CA126" s="201">
        <v>1.0526548672566383</v>
      </c>
      <c r="CB126" s="201">
        <v>1.0534995977473862</v>
      </c>
    </row>
    <row r="127" spans="1:80" x14ac:dyDescent="0.35">
      <c r="A127" t="s">
        <v>743</v>
      </c>
      <c r="B127" t="s">
        <v>881</v>
      </c>
      <c r="C127" s="206" t="s">
        <v>843</v>
      </c>
      <c r="D127" t="s">
        <v>736</v>
      </c>
      <c r="E127" s="130">
        <v>224.93963377511585</v>
      </c>
      <c r="F127" s="130">
        <f>NYSERDA_SupplyCurve_Raw[[#This Row],[Available Capacity (MWac)]]*NYSERDA_SupplyCurve_Raw[[#This Row],[2024 Weighted Avg Resource CapEx ($/kWac)]]</f>
        <v>471877.53718011233</v>
      </c>
      <c r="G127" s="130">
        <f>NYSERDA_SupplyCurve_Raw[[#This Row],[Available Capacity (MWac)]]*NYSERDA_SupplyCurve_Raw[[#This Row],[2024 Weighted Avg OpEx ($/kWac-year)]]</f>
        <v>6107.6684282612123</v>
      </c>
      <c r="H127" s="130">
        <v>2097.7963254438009</v>
      </c>
      <c r="I127" s="130">
        <v>255.02553908959629</v>
      </c>
      <c r="J127" s="130">
        <v>27.152477870428893</v>
      </c>
      <c r="K127" s="130">
        <f>NYSERDA_SupplyCurve_Raw[[#This Row],[2024 Weighted Avg Capacity Factor]]*NYSERDA_SupplyCurve_Raw[[#This Row],[Available Capacity (MWac)]]</f>
        <v>45.6177577295935</v>
      </c>
      <c r="L127" s="205">
        <v>0.20280000000000001</v>
      </c>
      <c r="M127" s="201">
        <v>1</v>
      </c>
      <c r="N127" s="201">
        <v>0.98205557700657919</v>
      </c>
      <c r="O127" s="201">
        <v>0.97508643687766761</v>
      </c>
      <c r="P127" s="201">
        <v>0.9710686978823494</v>
      </c>
      <c r="Q127" s="201">
        <v>0.96272883825255906</v>
      </c>
      <c r="R127" s="201">
        <v>0.96698974982375119</v>
      </c>
      <c r="S127" s="201">
        <v>0.97267407052031785</v>
      </c>
      <c r="T127" s="201">
        <v>0.97869557679238728</v>
      </c>
      <c r="U127" s="201">
        <v>0.98505703847148307</v>
      </c>
      <c r="V127" s="201">
        <v>0.99541170168847659</v>
      </c>
      <c r="W127" s="201">
        <v>1.0060348317132135</v>
      </c>
      <c r="X127" s="201">
        <v>1.0169311841464155</v>
      </c>
      <c r="Y127" s="201">
        <v>1.0281056158381718</v>
      </c>
      <c r="Z127" s="201">
        <v>1.0395630868515546</v>
      </c>
      <c r="AA127" s="201">
        <v>1.051308662466119</v>
      </c>
      <c r="AB127" s="201">
        <v>1.0633475152220784</v>
      </c>
      <c r="AC127" s="201">
        <v>1.0756849270059705</v>
      </c>
      <c r="AD127" s="201">
        <v>1</v>
      </c>
      <c r="AE127" s="201">
        <v>1.0229999999999999</v>
      </c>
      <c r="AF127" s="201">
        <v>1.0465289999999998</v>
      </c>
      <c r="AG127" s="201">
        <v>1.0705991669999999</v>
      </c>
      <c r="AH127" s="201">
        <v>1.0952229478409996</v>
      </c>
      <c r="AI127" s="201">
        <v>1.1204130756413426</v>
      </c>
      <c r="AJ127" s="201">
        <v>1.1461825763810931</v>
      </c>
      <c r="AK127" s="201">
        <v>1.1725447756378584</v>
      </c>
      <c r="AL127" s="201">
        <v>1.1995133054775289</v>
      </c>
      <c r="AM127" s="201">
        <v>1.2271021115035123</v>
      </c>
      <c r="AN127" s="201">
        <v>1.2553254600680928</v>
      </c>
      <c r="AO127" s="201">
        <v>1.2841979456496591</v>
      </c>
      <c r="AP127" s="201">
        <v>1.3137344983996007</v>
      </c>
      <c r="AQ127" s="201">
        <v>1.3439503918627917</v>
      </c>
      <c r="AR127" s="201">
        <v>1.3748612508756355</v>
      </c>
      <c r="AS127" s="201">
        <v>1.4064830596457747</v>
      </c>
      <c r="AT127" s="201">
        <v>1.4388321700176279</v>
      </c>
      <c r="AU127" s="201">
        <v>1</v>
      </c>
      <c r="AV127" s="201">
        <v>1.0224300740672716</v>
      </c>
      <c r="AW127" s="201">
        <v>1.0453695014675704</v>
      </c>
      <c r="AX127" s="201">
        <v>1.068829988063849</v>
      </c>
      <c r="AY127" s="201">
        <v>1.0928235118062264</v>
      </c>
      <c r="AZ127" s="201">
        <v>1.1092158644833194</v>
      </c>
      <c r="BA127" s="201">
        <v>1.1258541024505693</v>
      </c>
      <c r="BB127" s="201">
        <v>1.1427419139873276</v>
      </c>
      <c r="BC127" s="201">
        <v>1.1598830426971376</v>
      </c>
      <c r="BD127" s="201">
        <v>1.1772812883375945</v>
      </c>
      <c r="BE127" s="201">
        <v>1.1949405076626582</v>
      </c>
      <c r="BF127" s="201">
        <v>1.2128646152775981</v>
      </c>
      <c r="BG127" s="201">
        <v>1.2310575845067622</v>
      </c>
      <c r="BH127" s="201">
        <v>1.2495234482743629</v>
      </c>
      <c r="BI127" s="201">
        <v>1.2682662999984784</v>
      </c>
      <c r="BJ127" s="201">
        <v>1.2872902944984552</v>
      </c>
      <c r="BK127" s="201">
        <v>1.3065996489159322</v>
      </c>
      <c r="BL127" s="201">
        <v>1</v>
      </c>
      <c r="BM127" s="201">
        <v>1.0075087154733169</v>
      </c>
      <c r="BN127" s="201">
        <v>1.0150174309466338</v>
      </c>
      <c r="BO127" s="201">
        <v>1.0225261464199509</v>
      </c>
      <c r="BP127" s="201">
        <v>1.0300348618932678</v>
      </c>
      <c r="BQ127" s="201">
        <v>1.0375435773665846</v>
      </c>
      <c r="BR127" s="201">
        <v>1.0450522928399046</v>
      </c>
      <c r="BS127" s="201">
        <v>1.0458970233306526</v>
      </c>
      <c r="BT127" s="201">
        <v>1.0467417538213979</v>
      </c>
      <c r="BU127" s="201">
        <v>1.0475864843121492</v>
      </c>
      <c r="BV127" s="201">
        <v>1.0484312148028971</v>
      </c>
      <c r="BW127" s="201">
        <v>1.0492759452936424</v>
      </c>
      <c r="BX127" s="201">
        <v>1.0501206757843937</v>
      </c>
      <c r="BY127" s="201">
        <v>1.0509654062751417</v>
      </c>
      <c r="BZ127" s="201">
        <v>1.0518101367658899</v>
      </c>
      <c r="CA127" s="201">
        <v>1.0526548672566383</v>
      </c>
      <c r="CB127" s="201">
        <v>1.0534995977473862</v>
      </c>
    </row>
    <row r="128" spans="1:80" x14ac:dyDescent="0.35">
      <c r="A128" t="s">
        <v>743</v>
      </c>
      <c r="B128" t="s">
        <v>881</v>
      </c>
      <c r="C128" s="206" t="s">
        <v>843</v>
      </c>
      <c r="D128" t="s">
        <v>742</v>
      </c>
      <c r="E128" s="130">
        <v>107.89129149147125</v>
      </c>
      <c r="F128" s="130">
        <f>NYSERDA_SupplyCurve_Raw[[#This Row],[Available Capacity (MWac)]]*NYSERDA_SupplyCurve_Raw[[#This Row],[2024 Weighted Avg Resource CapEx ($/kWac)]]</f>
        <v>229193.85006320305</v>
      </c>
      <c r="G128" s="130">
        <f>NYSERDA_SupplyCurve_Raw[[#This Row],[Available Capacity (MWac)]]*NYSERDA_SupplyCurve_Raw[[#This Row],[2024 Weighted Avg OpEx ($/kWac-year)]]</f>
        <v>2929.515904634166</v>
      </c>
      <c r="H128" s="130">
        <v>2124.303517873087</v>
      </c>
      <c r="I128" s="130">
        <v>256.15715558020793</v>
      </c>
      <c r="J128" s="130">
        <v>27.152477870428889</v>
      </c>
      <c r="K128" s="130">
        <f>NYSERDA_SupplyCurve_Raw[[#This Row],[2024 Weighted Avg Capacity Factor]]*NYSERDA_SupplyCurve_Raw[[#This Row],[Available Capacity (MWac)]]</f>
        <v>21.880353914470369</v>
      </c>
      <c r="L128" s="205">
        <v>0.20280000000000001</v>
      </c>
      <c r="M128" s="201">
        <v>1</v>
      </c>
      <c r="N128" s="201">
        <v>0.98205557700657942</v>
      </c>
      <c r="O128" s="201">
        <v>0.97508643687766772</v>
      </c>
      <c r="P128" s="201">
        <v>0.97106869788234973</v>
      </c>
      <c r="Q128" s="201">
        <v>0.96272883825255917</v>
      </c>
      <c r="R128" s="201">
        <v>0.96698974982375119</v>
      </c>
      <c r="S128" s="201">
        <v>0.97267407052031785</v>
      </c>
      <c r="T128" s="201">
        <v>0.97869557679238717</v>
      </c>
      <c r="U128" s="201">
        <v>0.98505703847148307</v>
      </c>
      <c r="V128" s="201">
        <v>0.99541170168847648</v>
      </c>
      <c r="W128" s="201">
        <v>1.0060348317132135</v>
      </c>
      <c r="X128" s="201">
        <v>1.0169311841464153</v>
      </c>
      <c r="Y128" s="201">
        <v>1.0281056158381721</v>
      </c>
      <c r="Z128" s="201">
        <v>1.0395630868515549</v>
      </c>
      <c r="AA128" s="201">
        <v>1.0513086624661188</v>
      </c>
      <c r="AB128" s="201">
        <v>1.0633475152220786</v>
      </c>
      <c r="AC128" s="201">
        <v>1.0756849270059705</v>
      </c>
      <c r="AD128" s="201">
        <v>1</v>
      </c>
      <c r="AE128" s="201">
        <v>1.0229999999999997</v>
      </c>
      <c r="AF128" s="201">
        <v>1.0465289999999998</v>
      </c>
      <c r="AG128" s="201">
        <v>1.0705991669999995</v>
      </c>
      <c r="AH128" s="201">
        <v>1.0952229478409994</v>
      </c>
      <c r="AI128" s="201">
        <v>1.1204130756413426</v>
      </c>
      <c r="AJ128" s="201">
        <v>1.1461825763810929</v>
      </c>
      <c r="AK128" s="201">
        <v>1.1725447756378582</v>
      </c>
      <c r="AL128" s="201">
        <v>1.1995133054775289</v>
      </c>
      <c r="AM128" s="201">
        <v>1.2271021115035117</v>
      </c>
      <c r="AN128" s="201">
        <v>1.2553254600680925</v>
      </c>
      <c r="AO128" s="201">
        <v>1.2841979456496586</v>
      </c>
      <c r="AP128" s="201">
        <v>1.3137344983996004</v>
      </c>
      <c r="AQ128" s="201">
        <v>1.3439503918627913</v>
      </c>
      <c r="AR128" s="201">
        <v>1.3748612508756348</v>
      </c>
      <c r="AS128" s="201">
        <v>1.4064830596457747</v>
      </c>
      <c r="AT128" s="201">
        <v>1.4388321700176272</v>
      </c>
      <c r="AU128" s="201">
        <v>1</v>
      </c>
      <c r="AV128" s="201">
        <v>1.0224300740672716</v>
      </c>
      <c r="AW128" s="201">
        <v>1.0453695014675706</v>
      </c>
      <c r="AX128" s="201">
        <v>1.068829988063849</v>
      </c>
      <c r="AY128" s="201">
        <v>1.0928235118062264</v>
      </c>
      <c r="AZ128" s="201">
        <v>1.1092158644833192</v>
      </c>
      <c r="BA128" s="201">
        <v>1.1258541024505693</v>
      </c>
      <c r="BB128" s="201">
        <v>1.1427419139873276</v>
      </c>
      <c r="BC128" s="201">
        <v>1.1598830426971374</v>
      </c>
      <c r="BD128" s="201">
        <v>1.1772812883375945</v>
      </c>
      <c r="BE128" s="201">
        <v>1.1949405076626585</v>
      </c>
      <c r="BF128" s="201">
        <v>1.2128646152775984</v>
      </c>
      <c r="BG128" s="201">
        <v>1.2310575845067619</v>
      </c>
      <c r="BH128" s="201">
        <v>1.2495234482743631</v>
      </c>
      <c r="BI128" s="201">
        <v>1.2682662999984784</v>
      </c>
      <c r="BJ128" s="201">
        <v>1.2872902944984552</v>
      </c>
      <c r="BK128" s="201">
        <v>1.3065996489159322</v>
      </c>
      <c r="BL128" s="201">
        <v>1</v>
      </c>
      <c r="BM128" s="201">
        <v>1.0075087154733169</v>
      </c>
      <c r="BN128" s="201">
        <v>1.0150174309466338</v>
      </c>
      <c r="BO128" s="201">
        <v>1.0225261464199509</v>
      </c>
      <c r="BP128" s="201">
        <v>1.0300348618932678</v>
      </c>
      <c r="BQ128" s="201">
        <v>1.0375435773665846</v>
      </c>
      <c r="BR128" s="201">
        <v>1.0450522928399046</v>
      </c>
      <c r="BS128" s="201">
        <v>1.0458970233306526</v>
      </c>
      <c r="BT128" s="201">
        <v>1.0467417538213979</v>
      </c>
      <c r="BU128" s="201">
        <v>1.0475864843121492</v>
      </c>
      <c r="BV128" s="201">
        <v>1.0484312148028971</v>
      </c>
      <c r="BW128" s="201">
        <v>1.0492759452936424</v>
      </c>
      <c r="BX128" s="201">
        <v>1.0501206757843937</v>
      </c>
      <c r="BY128" s="201">
        <v>1.0509654062751417</v>
      </c>
      <c r="BZ128" s="201">
        <v>1.0518101367658899</v>
      </c>
      <c r="CA128" s="201">
        <v>1.0526548672566383</v>
      </c>
      <c r="CB128" s="201">
        <v>1.0534995977473862</v>
      </c>
    </row>
    <row r="129" spans="1:80" x14ac:dyDescent="0.35">
      <c r="A129" t="s">
        <v>743</v>
      </c>
      <c r="B129" t="s">
        <v>892</v>
      </c>
      <c r="C129" s="206" t="s">
        <v>893</v>
      </c>
      <c r="D129" t="s">
        <v>736</v>
      </c>
      <c r="E129" s="130">
        <v>245.58695250399629</v>
      </c>
      <c r="F129" s="130">
        <f>NYSERDA_SupplyCurve_Raw[[#This Row],[Available Capacity (MWac)]]*NYSERDA_SupplyCurve_Raw[[#This Row],[2024 Weighted Avg Resource CapEx ($/kWac)]]</f>
        <v>505212.05424078525</v>
      </c>
      <c r="G129" s="130">
        <f>NYSERDA_SupplyCurve_Raw[[#This Row],[Available Capacity (MWac)]]*NYSERDA_SupplyCurve_Raw[[#This Row],[2024 Weighted Avg OpEx ($/kWac-year)]]</f>
        <v>7382.9595894420163</v>
      </c>
      <c r="H129" s="130">
        <v>2057.1616247917905</v>
      </c>
      <c r="I129" s="130">
        <v>165.13113637829045</v>
      </c>
      <c r="J129" s="130">
        <v>30.062507450683391</v>
      </c>
      <c r="K129" s="130">
        <f>NYSERDA_SupplyCurve_Raw[[#This Row],[2024 Weighted Avg Capacity Factor]]*NYSERDA_SupplyCurve_Raw[[#This Row],[Available Capacity (MWac)]]</f>
        <v>56.190294732914353</v>
      </c>
      <c r="L129" s="205">
        <v>0.2288</v>
      </c>
      <c r="M129" s="201">
        <v>1</v>
      </c>
      <c r="N129" s="201">
        <v>0.98205557700657942</v>
      </c>
      <c r="O129" s="201">
        <v>0.97508643687766761</v>
      </c>
      <c r="P129" s="201">
        <v>0.97106869788234962</v>
      </c>
      <c r="Q129" s="201">
        <v>0.96272883825255917</v>
      </c>
      <c r="R129" s="201">
        <v>0.9669897498237513</v>
      </c>
      <c r="S129" s="201">
        <v>0.97267407052031785</v>
      </c>
      <c r="T129" s="201">
        <v>0.97869557679238717</v>
      </c>
      <c r="U129" s="201">
        <v>0.98505703847148318</v>
      </c>
      <c r="V129" s="201">
        <v>0.99541170168847648</v>
      </c>
      <c r="W129" s="201">
        <v>1.0060348317132137</v>
      </c>
      <c r="X129" s="201">
        <v>1.0169311841464155</v>
      </c>
      <c r="Y129" s="201">
        <v>1.0281056158381721</v>
      </c>
      <c r="Z129" s="201">
        <v>1.0395630868515549</v>
      </c>
      <c r="AA129" s="201">
        <v>1.0513086624661188</v>
      </c>
      <c r="AB129" s="201">
        <v>1.0633475152220788</v>
      </c>
      <c r="AC129" s="201">
        <v>1.0756849270059705</v>
      </c>
      <c r="AD129" s="201">
        <v>1</v>
      </c>
      <c r="AE129" s="201">
        <v>1.0229999999999999</v>
      </c>
      <c r="AF129" s="201">
        <v>1.0465289999999998</v>
      </c>
      <c r="AG129" s="201">
        <v>1.0705991669999997</v>
      </c>
      <c r="AH129" s="201">
        <v>1.0952229478409994</v>
      </c>
      <c r="AI129" s="201">
        <v>1.1204130756413426</v>
      </c>
      <c r="AJ129" s="201">
        <v>1.1461825763810931</v>
      </c>
      <c r="AK129" s="201">
        <v>1.1725447756378582</v>
      </c>
      <c r="AL129" s="201">
        <v>1.1995133054775289</v>
      </c>
      <c r="AM129" s="201">
        <v>1.2271021115035117</v>
      </c>
      <c r="AN129" s="201">
        <v>1.2553254600680925</v>
      </c>
      <c r="AO129" s="201">
        <v>1.2841979456496586</v>
      </c>
      <c r="AP129" s="201">
        <v>1.3137344983996007</v>
      </c>
      <c r="AQ129" s="201">
        <v>1.3439503918627911</v>
      </c>
      <c r="AR129" s="201">
        <v>1.3748612508756353</v>
      </c>
      <c r="AS129" s="201">
        <v>1.4064830596457749</v>
      </c>
      <c r="AT129" s="201">
        <v>1.4388321700176272</v>
      </c>
      <c r="AU129" s="201">
        <v>1</v>
      </c>
      <c r="AV129" s="201">
        <v>1.0224300740672716</v>
      </c>
      <c r="AW129" s="201">
        <v>1.0453695014675704</v>
      </c>
      <c r="AX129" s="201">
        <v>1.068829988063849</v>
      </c>
      <c r="AY129" s="201">
        <v>1.0928235118062264</v>
      </c>
      <c r="AZ129" s="201">
        <v>1.1092158644833194</v>
      </c>
      <c r="BA129" s="201">
        <v>1.1258541024505693</v>
      </c>
      <c r="BB129" s="201">
        <v>1.1427419139873274</v>
      </c>
      <c r="BC129" s="201">
        <v>1.1598830426971378</v>
      </c>
      <c r="BD129" s="201">
        <v>1.1772812883375945</v>
      </c>
      <c r="BE129" s="201">
        <v>1.1949405076626582</v>
      </c>
      <c r="BF129" s="201">
        <v>1.2128646152775981</v>
      </c>
      <c r="BG129" s="201">
        <v>1.2310575845067619</v>
      </c>
      <c r="BH129" s="201">
        <v>1.2495234482743629</v>
      </c>
      <c r="BI129" s="201">
        <v>1.2682662999984782</v>
      </c>
      <c r="BJ129" s="201">
        <v>1.2872902944984552</v>
      </c>
      <c r="BK129" s="201">
        <v>1.3065996489159317</v>
      </c>
      <c r="BL129" s="201">
        <v>1</v>
      </c>
      <c r="BM129" s="201">
        <v>1.0075087154733169</v>
      </c>
      <c r="BN129" s="201">
        <v>1.0150174309466338</v>
      </c>
      <c r="BO129" s="201">
        <v>1.0225261464199509</v>
      </c>
      <c r="BP129" s="201">
        <v>1.0300348618932678</v>
      </c>
      <c r="BQ129" s="201">
        <v>1.0375435773665846</v>
      </c>
      <c r="BR129" s="201">
        <v>1.0450522928399046</v>
      </c>
      <c r="BS129" s="201">
        <v>1.0458970233306526</v>
      </c>
      <c r="BT129" s="201">
        <v>1.0467417538213979</v>
      </c>
      <c r="BU129" s="201">
        <v>1.0475864843121492</v>
      </c>
      <c r="BV129" s="201">
        <v>1.0484312148028971</v>
      </c>
      <c r="BW129" s="201">
        <v>1.0492759452936424</v>
      </c>
      <c r="BX129" s="201">
        <v>1.0501206757843937</v>
      </c>
      <c r="BY129" s="201">
        <v>1.0509654062751417</v>
      </c>
      <c r="BZ129" s="201">
        <v>1.0518101367658899</v>
      </c>
      <c r="CA129" s="201">
        <v>1.0526548672566383</v>
      </c>
      <c r="CB129" s="201">
        <v>1.0534995977473862</v>
      </c>
    </row>
    <row r="130" spans="1:80" x14ac:dyDescent="0.35">
      <c r="A130" t="s">
        <v>743</v>
      </c>
      <c r="B130" t="s">
        <v>892</v>
      </c>
      <c r="C130" s="206" t="s">
        <v>893</v>
      </c>
      <c r="D130" t="s">
        <v>742</v>
      </c>
      <c r="E130" s="130">
        <v>265.82419888913614</v>
      </c>
      <c r="F130" s="130">
        <f>NYSERDA_SupplyCurve_Raw[[#This Row],[Available Capacity (MWac)]]*NYSERDA_SupplyCurve_Raw[[#This Row],[2024 Weighted Avg Resource CapEx ($/kWac)]]</f>
        <v>601597.07288258732</v>
      </c>
      <c r="G130" s="130">
        <f>NYSERDA_SupplyCurve_Raw[[#This Row],[Available Capacity (MWac)]]*NYSERDA_SupplyCurve_Raw[[#This Row],[2024 Weighted Avg OpEx ($/kWac-year)]]</f>
        <v>7991.3419596765989</v>
      </c>
      <c r="H130" s="130">
        <v>2263.1388541623619</v>
      </c>
      <c r="I130" s="130">
        <v>211.24218467305585</v>
      </c>
      <c r="J130" s="130">
        <v>30.062507450683391</v>
      </c>
      <c r="K130" s="130">
        <f>NYSERDA_SupplyCurve_Raw[[#This Row],[2024 Weighted Avg Capacity Factor]]*NYSERDA_SupplyCurve_Raw[[#This Row],[Available Capacity (MWac)]]</f>
        <v>60.820576705834348</v>
      </c>
      <c r="L130" s="205">
        <v>0.2288</v>
      </c>
      <c r="M130" s="201">
        <v>1</v>
      </c>
      <c r="N130" s="201">
        <v>0.98205557700657931</v>
      </c>
      <c r="O130" s="201">
        <v>0.97508643687766772</v>
      </c>
      <c r="P130" s="201">
        <v>0.97106869788234951</v>
      </c>
      <c r="Q130" s="201">
        <v>0.96272883825255917</v>
      </c>
      <c r="R130" s="201">
        <v>0.96698974982375119</v>
      </c>
      <c r="S130" s="201">
        <v>0.97267407052031762</v>
      </c>
      <c r="T130" s="201">
        <v>0.97869557679238717</v>
      </c>
      <c r="U130" s="201">
        <v>0.98505703847148296</v>
      </c>
      <c r="V130" s="201">
        <v>0.99541170168847626</v>
      </c>
      <c r="W130" s="201">
        <v>1.0060348317132135</v>
      </c>
      <c r="X130" s="201">
        <v>1.0169311841464153</v>
      </c>
      <c r="Y130" s="201">
        <v>1.0281056158381716</v>
      </c>
      <c r="Z130" s="201">
        <v>1.0395630868515546</v>
      </c>
      <c r="AA130" s="201">
        <v>1.0513086624661188</v>
      </c>
      <c r="AB130" s="201">
        <v>1.0633475152220786</v>
      </c>
      <c r="AC130" s="201">
        <v>1.0756849270059705</v>
      </c>
      <c r="AD130" s="201">
        <v>1</v>
      </c>
      <c r="AE130" s="201">
        <v>1.0229999999999999</v>
      </c>
      <c r="AF130" s="201">
        <v>1.0465289999999998</v>
      </c>
      <c r="AG130" s="201">
        <v>1.0705991669999997</v>
      </c>
      <c r="AH130" s="201">
        <v>1.0952229478409996</v>
      </c>
      <c r="AI130" s="201">
        <v>1.1204130756413426</v>
      </c>
      <c r="AJ130" s="201">
        <v>1.1461825763810933</v>
      </c>
      <c r="AK130" s="201">
        <v>1.1725447756378582</v>
      </c>
      <c r="AL130" s="201">
        <v>1.1995133054775289</v>
      </c>
      <c r="AM130" s="201">
        <v>1.2271021115035119</v>
      </c>
      <c r="AN130" s="201">
        <v>1.2553254600680923</v>
      </c>
      <c r="AO130" s="201">
        <v>1.2841979456496588</v>
      </c>
      <c r="AP130" s="201">
        <v>1.3137344983996004</v>
      </c>
      <c r="AQ130" s="201">
        <v>1.3439503918627915</v>
      </c>
      <c r="AR130" s="201">
        <v>1.374861250875635</v>
      </c>
      <c r="AS130" s="201">
        <v>1.4064830596457747</v>
      </c>
      <c r="AT130" s="201">
        <v>1.4388321700176274</v>
      </c>
      <c r="AU130" s="201">
        <v>1</v>
      </c>
      <c r="AV130" s="201">
        <v>1.0224300740672716</v>
      </c>
      <c r="AW130" s="201">
        <v>1.0453695014675704</v>
      </c>
      <c r="AX130" s="201">
        <v>1.068829988063849</v>
      </c>
      <c r="AY130" s="201">
        <v>1.0928235118062262</v>
      </c>
      <c r="AZ130" s="201">
        <v>1.1092158644833192</v>
      </c>
      <c r="BA130" s="201">
        <v>1.1258541024505695</v>
      </c>
      <c r="BB130" s="201">
        <v>1.1427419139873276</v>
      </c>
      <c r="BC130" s="201">
        <v>1.1598830426971372</v>
      </c>
      <c r="BD130" s="201">
        <v>1.1772812883375943</v>
      </c>
      <c r="BE130" s="201">
        <v>1.194940507662658</v>
      </c>
      <c r="BF130" s="201">
        <v>1.2128646152775981</v>
      </c>
      <c r="BG130" s="201">
        <v>1.2310575845067619</v>
      </c>
      <c r="BH130" s="201">
        <v>1.2495234482743629</v>
      </c>
      <c r="BI130" s="201">
        <v>1.2682662999984782</v>
      </c>
      <c r="BJ130" s="201">
        <v>1.287290294498455</v>
      </c>
      <c r="BK130" s="201">
        <v>1.3065996489159319</v>
      </c>
      <c r="BL130" s="201">
        <v>1</v>
      </c>
      <c r="BM130" s="201">
        <v>1.0075087154733169</v>
      </c>
      <c r="BN130" s="201">
        <v>1.0150174309466338</v>
      </c>
      <c r="BO130" s="201">
        <v>1.0225261464199509</v>
      </c>
      <c r="BP130" s="201">
        <v>1.0300348618932678</v>
      </c>
      <c r="BQ130" s="201">
        <v>1.0375435773665846</v>
      </c>
      <c r="BR130" s="201">
        <v>1.0450522928399046</v>
      </c>
      <c r="BS130" s="201">
        <v>1.0458970233306526</v>
      </c>
      <c r="BT130" s="201">
        <v>1.0467417538213979</v>
      </c>
      <c r="BU130" s="201">
        <v>1.0475864843121492</v>
      </c>
      <c r="BV130" s="201">
        <v>1.0484312148028971</v>
      </c>
      <c r="BW130" s="201">
        <v>1.0492759452936424</v>
      </c>
      <c r="BX130" s="201">
        <v>1.0501206757843937</v>
      </c>
      <c r="BY130" s="201">
        <v>1.0509654062751417</v>
      </c>
      <c r="BZ130" s="201">
        <v>1.0518101367658899</v>
      </c>
      <c r="CA130" s="201">
        <v>1.0526548672566383</v>
      </c>
      <c r="CB130" s="201">
        <v>1.0534995977473862</v>
      </c>
    </row>
    <row r="131" spans="1:80" x14ac:dyDescent="0.35">
      <c r="A131" t="s">
        <v>743</v>
      </c>
      <c r="B131" t="s">
        <v>882</v>
      </c>
      <c r="C131" s="206" t="s">
        <v>854</v>
      </c>
      <c r="D131" t="s">
        <v>736</v>
      </c>
      <c r="E131" s="130">
        <v>74.977109981586779</v>
      </c>
      <c r="F131" s="130">
        <f>NYSERDA_SupplyCurve_Raw[[#This Row],[Available Capacity (MWac)]]*NYSERDA_SupplyCurve_Raw[[#This Row],[2024 Weighted Avg Resource CapEx ($/kWac)]]</f>
        <v>165372.48961158289</v>
      </c>
      <c r="G131" s="130">
        <f>NYSERDA_SupplyCurve_Raw[[#This Row],[Available Capacity (MWac)]]*NYSERDA_SupplyCurve_Raw[[#This Row],[2024 Weighted Avg OpEx ($/kWac-year)]]</f>
        <v>2136.0617610259915</v>
      </c>
      <c r="H131" s="130">
        <v>2205.6396899293109</v>
      </c>
      <c r="I131" s="130">
        <v>116.75558292248839</v>
      </c>
      <c r="J131" s="130">
        <v>28.489518488383659</v>
      </c>
      <c r="K131" s="130">
        <f>NYSERDA_SupplyCurve_Raw[[#This Row],[2024 Weighted Avg Capacity Factor]]*NYSERDA_SupplyCurve_Raw[[#This Row],[Available Capacity (MWac)]]</f>
        <v>15.692709119146114</v>
      </c>
      <c r="L131" s="205">
        <v>0.20930000000000001</v>
      </c>
      <c r="M131" s="201">
        <v>1</v>
      </c>
      <c r="N131" s="201">
        <v>0.98205557700657897</v>
      </c>
      <c r="O131" s="201">
        <v>0.97508643687766716</v>
      </c>
      <c r="P131" s="201">
        <v>0.97106869788234917</v>
      </c>
      <c r="Q131" s="201">
        <v>0.96272883825255884</v>
      </c>
      <c r="R131" s="201">
        <v>0.96698974982375085</v>
      </c>
      <c r="S131" s="201">
        <v>0.97267407052031762</v>
      </c>
      <c r="T131" s="201">
        <v>0.97869557679238695</v>
      </c>
      <c r="U131" s="201">
        <v>0.98505703847148285</v>
      </c>
      <c r="V131" s="201">
        <v>0.99541170168847593</v>
      </c>
      <c r="W131" s="201">
        <v>1.0060348317132131</v>
      </c>
      <c r="X131" s="201">
        <v>1.016931184146415</v>
      </c>
      <c r="Y131" s="201">
        <v>1.0281056158381716</v>
      </c>
      <c r="Z131" s="201">
        <v>1.0395630868515544</v>
      </c>
      <c r="AA131" s="201">
        <v>1.0513086624661185</v>
      </c>
      <c r="AB131" s="201">
        <v>1.0633475152220782</v>
      </c>
      <c r="AC131" s="201">
        <v>1.0756849270059698</v>
      </c>
      <c r="AD131" s="201">
        <v>1</v>
      </c>
      <c r="AE131" s="201">
        <v>1.0230000000000001</v>
      </c>
      <c r="AF131" s="201">
        <v>1.046529</v>
      </c>
      <c r="AG131" s="201">
        <v>1.0705991669999997</v>
      </c>
      <c r="AH131" s="201">
        <v>1.0952229478409996</v>
      </c>
      <c r="AI131" s="201">
        <v>1.1204130756413426</v>
      </c>
      <c r="AJ131" s="201">
        <v>1.1461825763810933</v>
      </c>
      <c r="AK131" s="201">
        <v>1.1725447756378586</v>
      </c>
      <c r="AL131" s="201">
        <v>1.1995133054775289</v>
      </c>
      <c r="AM131" s="201">
        <v>1.2271021115035119</v>
      </c>
      <c r="AN131" s="201">
        <v>1.2553254600680928</v>
      </c>
      <c r="AO131" s="201">
        <v>1.2841979456496586</v>
      </c>
      <c r="AP131" s="201">
        <v>1.3137344983996007</v>
      </c>
      <c r="AQ131" s="201">
        <v>1.3439503918627915</v>
      </c>
      <c r="AR131" s="201">
        <v>1.3748612508756353</v>
      </c>
      <c r="AS131" s="201">
        <v>1.4064830596457749</v>
      </c>
      <c r="AT131" s="201">
        <v>1.4388321700176276</v>
      </c>
      <c r="AU131" s="201">
        <v>1</v>
      </c>
      <c r="AV131" s="201">
        <v>1.0224300740672718</v>
      </c>
      <c r="AW131" s="201">
        <v>1.0453695014675706</v>
      </c>
      <c r="AX131" s="201">
        <v>1.0688299880638488</v>
      </c>
      <c r="AY131" s="201">
        <v>1.0928235118062262</v>
      </c>
      <c r="AZ131" s="201">
        <v>1.1092158644833194</v>
      </c>
      <c r="BA131" s="201">
        <v>1.1258541024505688</v>
      </c>
      <c r="BB131" s="201">
        <v>1.1427419139873274</v>
      </c>
      <c r="BC131" s="201">
        <v>1.1598830426971376</v>
      </c>
      <c r="BD131" s="201">
        <v>1.1772812883375945</v>
      </c>
      <c r="BE131" s="201">
        <v>1.1949405076626585</v>
      </c>
      <c r="BF131" s="201">
        <v>1.2128646152775979</v>
      </c>
      <c r="BG131" s="201">
        <v>1.2310575845067617</v>
      </c>
      <c r="BH131" s="201">
        <v>1.2495234482743629</v>
      </c>
      <c r="BI131" s="201">
        <v>1.268266299998478</v>
      </c>
      <c r="BJ131" s="201">
        <v>1.2872902944984552</v>
      </c>
      <c r="BK131" s="201">
        <v>1.3065996489159319</v>
      </c>
      <c r="BL131" s="201">
        <v>1</v>
      </c>
      <c r="BM131" s="201">
        <v>1.0075087154733169</v>
      </c>
      <c r="BN131" s="201">
        <v>1.0150174309466338</v>
      </c>
      <c r="BO131" s="201">
        <v>1.0225261464199509</v>
      </c>
      <c r="BP131" s="201">
        <v>1.0300348618932678</v>
      </c>
      <c r="BQ131" s="201">
        <v>1.0375435773665846</v>
      </c>
      <c r="BR131" s="201">
        <v>1.0450522928399046</v>
      </c>
      <c r="BS131" s="201">
        <v>1.0458970233306526</v>
      </c>
      <c r="BT131" s="201">
        <v>1.0467417538213979</v>
      </c>
      <c r="BU131" s="201">
        <v>1.0475864843121492</v>
      </c>
      <c r="BV131" s="201">
        <v>1.0484312148028971</v>
      </c>
      <c r="BW131" s="201">
        <v>1.0492759452936424</v>
      </c>
      <c r="BX131" s="201">
        <v>1.0501206757843937</v>
      </c>
      <c r="BY131" s="201">
        <v>1.0509654062751417</v>
      </c>
      <c r="BZ131" s="201">
        <v>1.0518101367658899</v>
      </c>
      <c r="CA131" s="201">
        <v>1.0526548672566383</v>
      </c>
      <c r="CB131" s="201">
        <v>1.0534995977473862</v>
      </c>
    </row>
    <row r="132" spans="1:80" x14ac:dyDescent="0.35">
      <c r="A132" t="s">
        <v>743</v>
      </c>
      <c r="B132" t="s">
        <v>883</v>
      </c>
      <c r="C132" s="206" t="s">
        <v>843</v>
      </c>
      <c r="D132" t="s">
        <v>736</v>
      </c>
      <c r="E132" s="130">
        <v>182.0048223427288</v>
      </c>
      <c r="F132" s="130">
        <f>NYSERDA_SupplyCurve_Raw[[#This Row],[Available Capacity (MWac)]]*NYSERDA_SupplyCurve_Raw[[#This Row],[2024 Weighted Avg Resource CapEx ($/kWac)]]</f>
        <v>378073.14111176273</v>
      </c>
      <c r="G132" s="130">
        <f>NYSERDA_SupplyCurve_Raw[[#This Row],[Available Capacity (MWac)]]*NYSERDA_SupplyCurve_Raw[[#This Row],[2024 Weighted Avg OpEx ($/kWac-year)]]</f>
        <v>4913.2527533092416</v>
      </c>
      <c r="H132" s="130">
        <v>2077.269911012701</v>
      </c>
      <c r="I132" s="130">
        <v>185.65182753052571</v>
      </c>
      <c r="J132" s="130">
        <v>26.995178974198915</v>
      </c>
      <c r="K132" s="130">
        <f>NYSERDA_SupplyCurve_Raw[[#This Row],[2024 Weighted Avg Capacity Factor]]*NYSERDA_SupplyCurve_Raw[[#This Row],[Available Capacity (MWac)]]</f>
        <v>36.673971702059852</v>
      </c>
      <c r="L132" s="205">
        <v>0.20149999999999998</v>
      </c>
      <c r="M132" s="201">
        <v>1</v>
      </c>
      <c r="N132" s="201">
        <v>0.98205557700657919</v>
      </c>
      <c r="O132" s="201">
        <v>0.9750864368776675</v>
      </c>
      <c r="P132" s="201">
        <v>0.97106869788234951</v>
      </c>
      <c r="Q132" s="201">
        <v>0.96272883825255884</v>
      </c>
      <c r="R132" s="201">
        <v>0.96698974982375108</v>
      </c>
      <c r="S132" s="201">
        <v>0.97267407052031751</v>
      </c>
      <c r="T132" s="201">
        <v>0.97869557679238695</v>
      </c>
      <c r="U132" s="201">
        <v>0.98505703847148307</v>
      </c>
      <c r="V132" s="201">
        <v>0.99541170168847637</v>
      </c>
      <c r="W132" s="201">
        <v>1.0060348317132135</v>
      </c>
      <c r="X132" s="201">
        <v>1.0169311841464157</v>
      </c>
      <c r="Y132" s="201">
        <v>1.0281056158381718</v>
      </c>
      <c r="Z132" s="201">
        <v>1.0395630868515546</v>
      </c>
      <c r="AA132" s="201">
        <v>1.0513086624661188</v>
      </c>
      <c r="AB132" s="201">
        <v>1.0633475152220786</v>
      </c>
      <c r="AC132" s="201">
        <v>1.0756849270059705</v>
      </c>
      <c r="AD132" s="201">
        <v>1</v>
      </c>
      <c r="AE132" s="201">
        <v>1.0230000000000001</v>
      </c>
      <c r="AF132" s="201">
        <v>1.0465289999999996</v>
      </c>
      <c r="AG132" s="201">
        <v>1.0705991669999997</v>
      </c>
      <c r="AH132" s="201">
        <v>1.0952229478409996</v>
      </c>
      <c r="AI132" s="201">
        <v>1.1204130756413426</v>
      </c>
      <c r="AJ132" s="201">
        <v>1.1461825763810931</v>
      </c>
      <c r="AK132" s="201">
        <v>1.1725447756378584</v>
      </c>
      <c r="AL132" s="201">
        <v>1.1995133054775287</v>
      </c>
      <c r="AM132" s="201">
        <v>1.2271021115035119</v>
      </c>
      <c r="AN132" s="201">
        <v>1.2553254600680928</v>
      </c>
      <c r="AO132" s="201">
        <v>1.2841979456496588</v>
      </c>
      <c r="AP132" s="201">
        <v>1.3137344983996007</v>
      </c>
      <c r="AQ132" s="201">
        <v>1.3439503918627913</v>
      </c>
      <c r="AR132" s="201">
        <v>1.374861250875635</v>
      </c>
      <c r="AS132" s="201">
        <v>1.4064830596457747</v>
      </c>
      <c r="AT132" s="201">
        <v>1.4388321700176272</v>
      </c>
      <c r="AU132" s="201">
        <v>1</v>
      </c>
      <c r="AV132" s="201">
        <v>1.0224300740672716</v>
      </c>
      <c r="AW132" s="201">
        <v>1.0453695014675706</v>
      </c>
      <c r="AX132" s="201">
        <v>1.068829988063849</v>
      </c>
      <c r="AY132" s="201">
        <v>1.0928235118062264</v>
      </c>
      <c r="AZ132" s="201">
        <v>1.1092158644833197</v>
      </c>
      <c r="BA132" s="201">
        <v>1.1258541024505693</v>
      </c>
      <c r="BB132" s="201">
        <v>1.1427419139873274</v>
      </c>
      <c r="BC132" s="201">
        <v>1.1598830426971376</v>
      </c>
      <c r="BD132" s="201">
        <v>1.1772812883375945</v>
      </c>
      <c r="BE132" s="201">
        <v>1.1949405076626582</v>
      </c>
      <c r="BF132" s="201">
        <v>1.2128646152775981</v>
      </c>
      <c r="BG132" s="201">
        <v>1.2310575845067619</v>
      </c>
      <c r="BH132" s="201">
        <v>1.2495234482743629</v>
      </c>
      <c r="BI132" s="201">
        <v>1.268266299998478</v>
      </c>
      <c r="BJ132" s="201">
        <v>1.2872902944984554</v>
      </c>
      <c r="BK132" s="201">
        <v>1.3065996489159322</v>
      </c>
      <c r="BL132" s="201">
        <v>1</v>
      </c>
      <c r="BM132" s="201">
        <v>1.0075087154733169</v>
      </c>
      <c r="BN132" s="201">
        <v>1.0150174309466338</v>
      </c>
      <c r="BO132" s="201">
        <v>1.0225261464199509</v>
      </c>
      <c r="BP132" s="201">
        <v>1.0300348618932678</v>
      </c>
      <c r="BQ132" s="201">
        <v>1.0375435773665846</v>
      </c>
      <c r="BR132" s="201">
        <v>1.0450522928399046</v>
      </c>
      <c r="BS132" s="201">
        <v>1.0458970233306526</v>
      </c>
      <c r="BT132" s="201">
        <v>1.0467417538213979</v>
      </c>
      <c r="BU132" s="201">
        <v>1.0475864843121492</v>
      </c>
      <c r="BV132" s="201">
        <v>1.0484312148028971</v>
      </c>
      <c r="BW132" s="201">
        <v>1.0492759452936424</v>
      </c>
      <c r="BX132" s="201">
        <v>1.0501206757843937</v>
      </c>
      <c r="BY132" s="201">
        <v>1.0509654062751417</v>
      </c>
      <c r="BZ132" s="201">
        <v>1.0518101367658899</v>
      </c>
      <c r="CA132" s="201">
        <v>1.0526548672566383</v>
      </c>
      <c r="CB132" s="201">
        <v>1.0534995977473862</v>
      </c>
    </row>
    <row r="133" spans="1:80" x14ac:dyDescent="0.35">
      <c r="A133" t="s">
        <v>743</v>
      </c>
      <c r="B133" t="s">
        <v>884</v>
      </c>
      <c r="C133" s="206" t="s">
        <v>843</v>
      </c>
      <c r="D133" t="s">
        <v>736</v>
      </c>
      <c r="E133" s="130">
        <v>606.72521922462101</v>
      </c>
      <c r="F133" s="130">
        <f>NYSERDA_SupplyCurve_Raw[[#This Row],[Available Capacity (MWac)]]*NYSERDA_SupplyCurve_Raw[[#This Row],[2024 Weighted Avg Resource CapEx ($/kWac)]]</f>
        <v>1133437.546453607</v>
      </c>
      <c r="G133" s="130">
        <f>NYSERDA_SupplyCurve_Raw[[#This Row],[Available Capacity (MWac)]]*NYSERDA_SupplyCurve_Raw[[#This Row],[2024 Weighted Avg OpEx ($/kWac-year)]]</f>
        <v>16760.404710324401</v>
      </c>
      <c r="H133" s="130">
        <v>1868.1233456919931</v>
      </c>
      <c r="I133" s="130">
        <v>133.2367487111589</v>
      </c>
      <c r="J133" s="130">
        <v>27.624374559118806</v>
      </c>
      <c r="K133" s="130">
        <f>NYSERDA_SupplyCurve_Raw[[#This Row],[2024 Weighted Avg Capacity Factor]]*NYSERDA_SupplyCurve_Raw[[#This Row],[Available Capacity (MWac)]]</f>
        <v>120.67764610377709</v>
      </c>
      <c r="L133" s="205">
        <v>0.19889999999999997</v>
      </c>
      <c r="M133" s="201">
        <v>1</v>
      </c>
      <c r="N133" s="201">
        <v>0.98205557700657919</v>
      </c>
      <c r="O133" s="201">
        <v>0.97508643687766761</v>
      </c>
      <c r="P133" s="201">
        <v>0.97106869788234951</v>
      </c>
      <c r="Q133" s="201">
        <v>0.96272883825255906</v>
      </c>
      <c r="R133" s="201">
        <v>0.9669897498237513</v>
      </c>
      <c r="S133" s="201">
        <v>0.97267407052031774</v>
      </c>
      <c r="T133" s="201">
        <v>0.97869557679238728</v>
      </c>
      <c r="U133" s="201">
        <v>0.98505703847148318</v>
      </c>
      <c r="V133" s="201">
        <v>0.99541170168847637</v>
      </c>
      <c r="W133" s="201">
        <v>1.0060348317132133</v>
      </c>
      <c r="X133" s="201">
        <v>1.0169311841464153</v>
      </c>
      <c r="Y133" s="201">
        <v>1.0281056158381718</v>
      </c>
      <c r="Z133" s="201">
        <v>1.0395630868515549</v>
      </c>
      <c r="AA133" s="201">
        <v>1.0513086624661188</v>
      </c>
      <c r="AB133" s="201">
        <v>1.0633475152220786</v>
      </c>
      <c r="AC133" s="201">
        <v>1.0756849270059705</v>
      </c>
      <c r="AD133" s="201">
        <v>1</v>
      </c>
      <c r="AE133" s="201">
        <v>1.0229999999999997</v>
      </c>
      <c r="AF133" s="201">
        <v>1.0465289999999998</v>
      </c>
      <c r="AG133" s="201">
        <v>1.0705991669999999</v>
      </c>
      <c r="AH133" s="201">
        <v>1.0952229478409996</v>
      </c>
      <c r="AI133" s="201">
        <v>1.1204130756413426</v>
      </c>
      <c r="AJ133" s="201">
        <v>1.1461825763810931</v>
      </c>
      <c r="AK133" s="201">
        <v>1.1725447756378584</v>
      </c>
      <c r="AL133" s="201">
        <v>1.1995133054775289</v>
      </c>
      <c r="AM133" s="201">
        <v>1.2271021115035119</v>
      </c>
      <c r="AN133" s="201">
        <v>1.2553254600680925</v>
      </c>
      <c r="AO133" s="201">
        <v>1.2841979456496586</v>
      </c>
      <c r="AP133" s="201">
        <v>1.3137344983996007</v>
      </c>
      <c r="AQ133" s="201">
        <v>1.3439503918627915</v>
      </c>
      <c r="AR133" s="201">
        <v>1.3748612508756355</v>
      </c>
      <c r="AS133" s="201">
        <v>1.4064830596457747</v>
      </c>
      <c r="AT133" s="201">
        <v>1.4388321700176274</v>
      </c>
      <c r="AU133" s="201">
        <v>1</v>
      </c>
      <c r="AV133" s="201">
        <v>1.0224300740672716</v>
      </c>
      <c r="AW133" s="201">
        <v>1.0453695014675706</v>
      </c>
      <c r="AX133" s="201">
        <v>1.068829988063849</v>
      </c>
      <c r="AY133" s="201">
        <v>1.0928235118062262</v>
      </c>
      <c r="AZ133" s="201">
        <v>1.1092158644833194</v>
      </c>
      <c r="BA133" s="201">
        <v>1.1258541024505693</v>
      </c>
      <c r="BB133" s="201">
        <v>1.1427419139873276</v>
      </c>
      <c r="BC133" s="201">
        <v>1.1598830426971378</v>
      </c>
      <c r="BD133" s="201">
        <v>1.1772812883375947</v>
      </c>
      <c r="BE133" s="201">
        <v>1.1949405076626585</v>
      </c>
      <c r="BF133" s="201">
        <v>1.2128646152775984</v>
      </c>
      <c r="BG133" s="201">
        <v>1.2310575845067617</v>
      </c>
      <c r="BH133" s="201">
        <v>1.2495234482743631</v>
      </c>
      <c r="BI133" s="201">
        <v>1.2682662999984784</v>
      </c>
      <c r="BJ133" s="201">
        <v>1.2872902944984554</v>
      </c>
      <c r="BK133" s="201">
        <v>1.3065996489159319</v>
      </c>
      <c r="BL133" s="201">
        <v>1</v>
      </c>
      <c r="BM133" s="201">
        <v>1.0075087154733169</v>
      </c>
      <c r="BN133" s="201">
        <v>1.0150174309466338</v>
      </c>
      <c r="BO133" s="201">
        <v>1.0225261464199509</v>
      </c>
      <c r="BP133" s="201">
        <v>1.0300348618932678</v>
      </c>
      <c r="BQ133" s="201">
        <v>1.0375435773665846</v>
      </c>
      <c r="BR133" s="201">
        <v>1.0450522928399046</v>
      </c>
      <c r="BS133" s="201">
        <v>1.0458970233306526</v>
      </c>
      <c r="BT133" s="201">
        <v>1.0467417538213979</v>
      </c>
      <c r="BU133" s="201">
        <v>1.0475864843121492</v>
      </c>
      <c r="BV133" s="201">
        <v>1.0484312148028971</v>
      </c>
      <c r="BW133" s="201">
        <v>1.0492759452936424</v>
      </c>
      <c r="BX133" s="201">
        <v>1.0501206757843937</v>
      </c>
      <c r="BY133" s="201">
        <v>1.0509654062751417</v>
      </c>
      <c r="BZ133" s="201">
        <v>1.0518101367658899</v>
      </c>
      <c r="CA133" s="201">
        <v>1.0526548672566383</v>
      </c>
      <c r="CB133" s="201">
        <v>1.0534995977473862</v>
      </c>
    </row>
    <row r="134" spans="1:80" x14ac:dyDescent="0.35">
      <c r="A134" t="s">
        <v>743</v>
      </c>
      <c r="B134" t="s">
        <v>884</v>
      </c>
      <c r="C134" s="206" t="s">
        <v>843</v>
      </c>
      <c r="D134" t="s">
        <v>742</v>
      </c>
      <c r="E134" s="130">
        <v>525.47911142834027</v>
      </c>
      <c r="F134" s="130">
        <f>NYSERDA_SupplyCurve_Raw[[#This Row],[Available Capacity (MWac)]]*NYSERDA_SupplyCurve_Raw[[#This Row],[2024 Weighted Avg Resource CapEx ($/kWac)]]</f>
        <v>1094813.2673825442</v>
      </c>
      <c r="G134" s="130">
        <f>NYSERDA_SupplyCurve_Raw[[#This Row],[Available Capacity (MWac)]]*NYSERDA_SupplyCurve_Raw[[#This Row],[2024 Weighted Avg OpEx ($/kWac-year)]]</f>
        <v>14516.031797089399</v>
      </c>
      <c r="H134" s="130">
        <v>2083.4572556207959</v>
      </c>
      <c r="I134" s="130">
        <v>216.3617153279626</v>
      </c>
      <c r="J134" s="130">
        <v>27.624374559118806</v>
      </c>
      <c r="K134" s="130">
        <f>NYSERDA_SupplyCurve_Raw[[#This Row],[2024 Weighted Avg Capacity Factor]]*NYSERDA_SupplyCurve_Raw[[#This Row],[Available Capacity (MWac)]]</f>
        <v>104.51779526309686</v>
      </c>
      <c r="L134" s="205">
        <v>0.19889999999999997</v>
      </c>
      <c r="M134" s="201">
        <v>1</v>
      </c>
      <c r="N134" s="201">
        <v>0.98205557700657897</v>
      </c>
      <c r="O134" s="201">
        <v>0.9750864368776675</v>
      </c>
      <c r="P134" s="201">
        <v>0.9710686978823494</v>
      </c>
      <c r="Q134" s="201">
        <v>0.96272883825255884</v>
      </c>
      <c r="R134" s="201">
        <v>0.96698974982375108</v>
      </c>
      <c r="S134" s="201">
        <v>0.97267407052031762</v>
      </c>
      <c r="T134" s="201">
        <v>0.97869557679238695</v>
      </c>
      <c r="U134" s="201">
        <v>0.98505703847148296</v>
      </c>
      <c r="V134" s="201">
        <v>0.99541170168847615</v>
      </c>
      <c r="W134" s="201">
        <v>1.0060348317132135</v>
      </c>
      <c r="X134" s="201">
        <v>1.0169311841464155</v>
      </c>
      <c r="Y134" s="201">
        <v>1.0281056158381718</v>
      </c>
      <c r="Z134" s="201">
        <v>1.0395630868515544</v>
      </c>
      <c r="AA134" s="201">
        <v>1.0513086624661188</v>
      </c>
      <c r="AB134" s="201">
        <v>1.0633475152220786</v>
      </c>
      <c r="AC134" s="201">
        <v>1.0756849270059703</v>
      </c>
      <c r="AD134" s="201">
        <v>1</v>
      </c>
      <c r="AE134" s="201">
        <v>1.0229999999999997</v>
      </c>
      <c r="AF134" s="201">
        <v>1.0465289999999996</v>
      </c>
      <c r="AG134" s="201">
        <v>1.0705991669999995</v>
      </c>
      <c r="AH134" s="201">
        <v>1.0952229478409994</v>
      </c>
      <c r="AI134" s="201">
        <v>1.1204130756413424</v>
      </c>
      <c r="AJ134" s="201">
        <v>1.1461825763810929</v>
      </c>
      <c r="AK134" s="201">
        <v>1.1725447756378582</v>
      </c>
      <c r="AL134" s="201">
        <v>1.1995133054775289</v>
      </c>
      <c r="AM134" s="201">
        <v>1.2271021115035117</v>
      </c>
      <c r="AN134" s="201">
        <v>1.2553254600680923</v>
      </c>
      <c r="AO134" s="201">
        <v>1.2841979456496584</v>
      </c>
      <c r="AP134" s="201">
        <v>1.3137344983996004</v>
      </c>
      <c r="AQ134" s="201">
        <v>1.3439503918627913</v>
      </c>
      <c r="AR134" s="201">
        <v>1.374861250875635</v>
      </c>
      <c r="AS134" s="201">
        <v>1.4064830596457749</v>
      </c>
      <c r="AT134" s="201">
        <v>1.4388321700176272</v>
      </c>
      <c r="AU134" s="201">
        <v>1</v>
      </c>
      <c r="AV134" s="201">
        <v>1.0224300740672716</v>
      </c>
      <c r="AW134" s="201">
        <v>1.0453695014675706</v>
      </c>
      <c r="AX134" s="201">
        <v>1.068829988063849</v>
      </c>
      <c r="AY134" s="201">
        <v>1.0928235118062262</v>
      </c>
      <c r="AZ134" s="201">
        <v>1.1092158644833194</v>
      </c>
      <c r="BA134" s="201">
        <v>1.1258541024505693</v>
      </c>
      <c r="BB134" s="201">
        <v>1.1427419139873276</v>
      </c>
      <c r="BC134" s="201">
        <v>1.1598830426971378</v>
      </c>
      <c r="BD134" s="201">
        <v>1.1772812883375947</v>
      </c>
      <c r="BE134" s="201">
        <v>1.1949405076626585</v>
      </c>
      <c r="BF134" s="201">
        <v>1.2128646152775984</v>
      </c>
      <c r="BG134" s="201">
        <v>1.2310575845067617</v>
      </c>
      <c r="BH134" s="201">
        <v>1.2495234482743629</v>
      </c>
      <c r="BI134" s="201">
        <v>1.2682662999984784</v>
      </c>
      <c r="BJ134" s="201">
        <v>1.2872902944984554</v>
      </c>
      <c r="BK134" s="201">
        <v>1.3065996489159319</v>
      </c>
      <c r="BL134" s="201">
        <v>1</v>
      </c>
      <c r="BM134" s="201">
        <v>1.0075087154733169</v>
      </c>
      <c r="BN134" s="201">
        <v>1.0150174309466338</v>
      </c>
      <c r="BO134" s="201">
        <v>1.0225261464199509</v>
      </c>
      <c r="BP134" s="201">
        <v>1.0300348618932678</v>
      </c>
      <c r="BQ134" s="201">
        <v>1.0375435773665846</v>
      </c>
      <c r="BR134" s="201">
        <v>1.0450522928399046</v>
      </c>
      <c r="BS134" s="201">
        <v>1.0458970233306526</v>
      </c>
      <c r="BT134" s="201">
        <v>1.0467417538213979</v>
      </c>
      <c r="BU134" s="201">
        <v>1.0475864843121492</v>
      </c>
      <c r="BV134" s="201">
        <v>1.0484312148028971</v>
      </c>
      <c r="BW134" s="201">
        <v>1.0492759452936424</v>
      </c>
      <c r="BX134" s="201">
        <v>1.0501206757843937</v>
      </c>
      <c r="BY134" s="201">
        <v>1.0509654062751417</v>
      </c>
      <c r="BZ134" s="201">
        <v>1.0518101367658899</v>
      </c>
      <c r="CA134" s="201">
        <v>1.0526548672566383</v>
      </c>
      <c r="CB134" s="201">
        <v>1.0534995977473862</v>
      </c>
    </row>
    <row r="135" spans="1:80" x14ac:dyDescent="0.35">
      <c r="A135" t="s">
        <v>743</v>
      </c>
      <c r="B135" t="s">
        <v>894</v>
      </c>
      <c r="C135" s="206" t="s">
        <v>856</v>
      </c>
      <c r="D135" t="s">
        <v>736</v>
      </c>
      <c r="E135" s="130">
        <v>263.02775663381965</v>
      </c>
      <c r="F135" s="130">
        <f>NYSERDA_SupplyCurve_Raw[[#This Row],[Available Capacity (MWac)]]*NYSERDA_SupplyCurve_Raw[[#This Row],[2024 Weighted Avg Resource CapEx ($/kWac)]]</f>
        <v>506087.66925641708</v>
      </c>
      <c r="G135" s="130">
        <f>NYSERDA_SupplyCurve_Raw[[#This Row],[Available Capacity (MWac)]]*NYSERDA_SupplyCurve_Raw[[#This Row],[2024 Weighted Avg OpEx ($/kWac-year)]]</f>
        <v>7493.5341355772825</v>
      </c>
      <c r="H135" s="130">
        <v>1924.0846507350898</v>
      </c>
      <c r="I135" s="130">
        <v>153.38847997186886</v>
      </c>
      <c r="J135" s="130">
        <v>28.489518488383659</v>
      </c>
      <c r="K135" s="130">
        <f>NYSERDA_SupplyCurve_Raw[[#This Row],[2024 Weighted Avg Capacity Factor]]*NYSERDA_SupplyCurve_Raw[[#This Row],[Available Capacity (MWac)]]</f>
        <v>55.393645547082428</v>
      </c>
      <c r="L135" s="205">
        <v>0.21060000000000004</v>
      </c>
      <c r="M135" s="201">
        <v>1</v>
      </c>
      <c r="N135" s="201">
        <v>0.98205557700657897</v>
      </c>
      <c r="O135" s="201">
        <v>0.97508643687766738</v>
      </c>
      <c r="P135" s="201">
        <v>0.97106869788234929</v>
      </c>
      <c r="Q135" s="201">
        <v>0.96272883825255895</v>
      </c>
      <c r="R135" s="201">
        <v>0.96698974982375085</v>
      </c>
      <c r="S135" s="201">
        <v>0.97267407052031762</v>
      </c>
      <c r="T135" s="201">
        <v>0.97869557679238706</v>
      </c>
      <c r="U135" s="201">
        <v>0.98505703847148285</v>
      </c>
      <c r="V135" s="201">
        <v>0.99541170168847615</v>
      </c>
      <c r="W135" s="201">
        <v>1.0060348317132133</v>
      </c>
      <c r="X135" s="201">
        <v>1.0169311841464153</v>
      </c>
      <c r="Y135" s="201">
        <v>1.0281056158381716</v>
      </c>
      <c r="Z135" s="201">
        <v>1.0395630868515546</v>
      </c>
      <c r="AA135" s="201">
        <v>1.0513086624661185</v>
      </c>
      <c r="AB135" s="201">
        <v>1.0633475152220784</v>
      </c>
      <c r="AC135" s="201">
        <v>1.0756849270059703</v>
      </c>
      <c r="AD135" s="201">
        <v>1</v>
      </c>
      <c r="AE135" s="201">
        <v>1.0229999999999999</v>
      </c>
      <c r="AF135" s="201">
        <v>1.0465289999999998</v>
      </c>
      <c r="AG135" s="201">
        <v>1.0705991669999997</v>
      </c>
      <c r="AH135" s="201">
        <v>1.0952229478409994</v>
      </c>
      <c r="AI135" s="201">
        <v>1.1204130756413426</v>
      </c>
      <c r="AJ135" s="201">
        <v>1.1461825763810931</v>
      </c>
      <c r="AK135" s="201">
        <v>1.172544775637858</v>
      </c>
      <c r="AL135" s="201">
        <v>1.1995133054775291</v>
      </c>
      <c r="AM135" s="201">
        <v>1.2271021115035119</v>
      </c>
      <c r="AN135" s="201">
        <v>1.2553254600680925</v>
      </c>
      <c r="AO135" s="201">
        <v>1.2841979456496584</v>
      </c>
      <c r="AP135" s="201">
        <v>1.3137344983996004</v>
      </c>
      <c r="AQ135" s="201">
        <v>1.3439503918627915</v>
      </c>
      <c r="AR135" s="201">
        <v>1.3748612508756353</v>
      </c>
      <c r="AS135" s="201">
        <v>1.4064830596457747</v>
      </c>
      <c r="AT135" s="201">
        <v>1.4388321700176274</v>
      </c>
      <c r="AU135" s="201">
        <v>1</v>
      </c>
      <c r="AV135" s="201">
        <v>1.0224300740672718</v>
      </c>
      <c r="AW135" s="201">
        <v>1.0453695014675704</v>
      </c>
      <c r="AX135" s="201">
        <v>1.068829988063849</v>
      </c>
      <c r="AY135" s="201">
        <v>1.0928235118062264</v>
      </c>
      <c r="AZ135" s="201">
        <v>1.1092158644833194</v>
      </c>
      <c r="BA135" s="201">
        <v>1.125854102450569</v>
      </c>
      <c r="BB135" s="201">
        <v>1.1427419139873274</v>
      </c>
      <c r="BC135" s="201">
        <v>1.1598830426971376</v>
      </c>
      <c r="BD135" s="201">
        <v>1.1772812883375945</v>
      </c>
      <c r="BE135" s="201">
        <v>1.1949405076626582</v>
      </c>
      <c r="BF135" s="201">
        <v>1.2128646152775979</v>
      </c>
      <c r="BG135" s="201">
        <v>1.2310575845067622</v>
      </c>
      <c r="BH135" s="201">
        <v>1.2495234482743629</v>
      </c>
      <c r="BI135" s="201">
        <v>1.268266299998478</v>
      </c>
      <c r="BJ135" s="201">
        <v>1.2872902944984552</v>
      </c>
      <c r="BK135" s="201">
        <v>1.3065996489159319</v>
      </c>
      <c r="BL135" s="201">
        <v>1</v>
      </c>
      <c r="BM135" s="201">
        <v>1.0075087154733169</v>
      </c>
      <c r="BN135" s="201">
        <v>1.0150174309466338</v>
      </c>
      <c r="BO135" s="201">
        <v>1.0225261464199509</v>
      </c>
      <c r="BP135" s="201">
        <v>1.0300348618932678</v>
      </c>
      <c r="BQ135" s="201">
        <v>1.0375435773665846</v>
      </c>
      <c r="BR135" s="201">
        <v>1.0450522928399046</v>
      </c>
      <c r="BS135" s="201">
        <v>1.0458970233306526</v>
      </c>
      <c r="BT135" s="201">
        <v>1.0467417538213979</v>
      </c>
      <c r="BU135" s="201">
        <v>1.0475864843121492</v>
      </c>
      <c r="BV135" s="201">
        <v>1.0484312148028971</v>
      </c>
      <c r="BW135" s="201">
        <v>1.0492759452936424</v>
      </c>
      <c r="BX135" s="201">
        <v>1.0501206757843937</v>
      </c>
      <c r="BY135" s="201">
        <v>1.0509654062751417</v>
      </c>
      <c r="BZ135" s="201">
        <v>1.0518101367658899</v>
      </c>
      <c r="CA135" s="201">
        <v>1.0526548672566383</v>
      </c>
      <c r="CB135" s="201">
        <v>1.0534995977473862</v>
      </c>
    </row>
    <row r="136" spans="1:80" x14ac:dyDescent="0.35">
      <c r="A136" t="s">
        <v>743</v>
      </c>
      <c r="B136" t="s">
        <v>894</v>
      </c>
      <c r="C136" s="206" t="s">
        <v>856</v>
      </c>
      <c r="D136" t="s">
        <v>742</v>
      </c>
      <c r="E136" s="130">
        <v>373.54678359806559</v>
      </c>
      <c r="F136" s="130">
        <f>NYSERDA_SupplyCurve_Raw[[#This Row],[Available Capacity (MWac)]]*NYSERDA_SupplyCurve_Raw[[#This Row],[2024 Weighted Avg Resource CapEx ($/kWac)]]</f>
        <v>797169.70418491354</v>
      </c>
      <c r="G136" s="130">
        <f>NYSERDA_SupplyCurve_Raw[[#This Row],[Available Capacity (MWac)]]*NYSERDA_SupplyCurve_Raw[[#This Row],[2024 Weighted Avg OpEx ($/kWac-year)]]</f>
        <v>10642.16799759334</v>
      </c>
      <c r="H136" s="130">
        <v>2134.0558644527482</v>
      </c>
      <c r="I136" s="130">
        <v>205.21184503099485</v>
      </c>
      <c r="J136" s="130">
        <v>28.489518488383663</v>
      </c>
      <c r="K136" s="130">
        <f>NYSERDA_SupplyCurve_Raw[[#This Row],[2024 Weighted Avg Capacity Factor]]*NYSERDA_SupplyCurve_Raw[[#This Row],[Available Capacity (MWac)]]</f>
        <v>78.66895262575261</v>
      </c>
      <c r="L136" s="205">
        <v>0.21059999999999998</v>
      </c>
      <c r="M136" s="201">
        <v>1</v>
      </c>
      <c r="N136" s="201">
        <v>0.98205557700657919</v>
      </c>
      <c r="O136" s="201">
        <v>0.97508643687766738</v>
      </c>
      <c r="P136" s="201">
        <v>0.97106869788234951</v>
      </c>
      <c r="Q136" s="201">
        <v>0.96272883825255895</v>
      </c>
      <c r="R136" s="201">
        <v>0.9669897498237513</v>
      </c>
      <c r="S136" s="201">
        <v>0.97267407052031774</v>
      </c>
      <c r="T136" s="201">
        <v>0.97869557679238728</v>
      </c>
      <c r="U136" s="201">
        <v>0.98505703847148285</v>
      </c>
      <c r="V136" s="201">
        <v>0.99541170168847626</v>
      </c>
      <c r="W136" s="201">
        <v>1.0060348317132135</v>
      </c>
      <c r="X136" s="201">
        <v>1.0169311841464153</v>
      </c>
      <c r="Y136" s="201">
        <v>1.0281056158381718</v>
      </c>
      <c r="Z136" s="201">
        <v>1.0395630868515546</v>
      </c>
      <c r="AA136" s="201">
        <v>1.051308662466119</v>
      </c>
      <c r="AB136" s="201">
        <v>1.0633475152220784</v>
      </c>
      <c r="AC136" s="201">
        <v>1.0756849270059705</v>
      </c>
      <c r="AD136" s="201">
        <v>1</v>
      </c>
      <c r="AE136" s="201">
        <v>1.0229999999999999</v>
      </c>
      <c r="AF136" s="201">
        <v>1.0465289999999996</v>
      </c>
      <c r="AG136" s="201">
        <v>1.0705991669999999</v>
      </c>
      <c r="AH136" s="201">
        <v>1.0952229478409996</v>
      </c>
      <c r="AI136" s="201">
        <v>1.1204130756413426</v>
      </c>
      <c r="AJ136" s="201">
        <v>1.1461825763810931</v>
      </c>
      <c r="AK136" s="201">
        <v>1.1725447756378584</v>
      </c>
      <c r="AL136" s="201">
        <v>1.1995133054775289</v>
      </c>
      <c r="AM136" s="201">
        <v>1.2271021115035119</v>
      </c>
      <c r="AN136" s="201">
        <v>1.2553254600680925</v>
      </c>
      <c r="AO136" s="201">
        <v>1.2841979456496586</v>
      </c>
      <c r="AP136" s="201">
        <v>1.3137344983996007</v>
      </c>
      <c r="AQ136" s="201">
        <v>1.3439503918627913</v>
      </c>
      <c r="AR136" s="201">
        <v>1.374861250875635</v>
      </c>
      <c r="AS136" s="201">
        <v>1.4064830596457749</v>
      </c>
      <c r="AT136" s="201">
        <v>1.4388321700176276</v>
      </c>
      <c r="AU136" s="201">
        <v>1</v>
      </c>
      <c r="AV136" s="201">
        <v>1.0224300740672714</v>
      </c>
      <c r="AW136" s="201">
        <v>1.0453695014675701</v>
      </c>
      <c r="AX136" s="201">
        <v>1.068829988063849</v>
      </c>
      <c r="AY136" s="201">
        <v>1.0928235118062259</v>
      </c>
      <c r="AZ136" s="201">
        <v>1.1092158644833192</v>
      </c>
      <c r="BA136" s="201">
        <v>1.125854102450569</v>
      </c>
      <c r="BB136" s="201">
        <v>1.1427419139873274</v>
      </c>
      <c r="BC136" s="201">
        <v>1.1598830426971374</v>
      </c>
      <c r="BD136" s="201">
        <v>1.177281288337594</v>
      </c>
      <c r="BE136" s="201">
        <v>1.194940507662658</v>
      </c>
      <c r="BF136" s="201">
        <v>1.2128646152775979</v>
      </c>
      <c r="BG136" s="201">
        <v>1.2310575845067617</v>
      </c>
      <c r="BH136" s="201">
        <v>1.2495234482743627</v>
      </c>
      <c r="BI136" s="201">
        <v>1.2682662999984777</v>
      </c>
      <c r="BJ136" s="201">
        <v>1.287290294498455</v>
      </c>
      <c r="BK136" s="201">
        <v>1.3065996489159317</v>
      </c>
      <c r="BL136" s="201">
        <v>1</v>
      </c>
      <c r="BM136" s="201">
        <v>1.0075087154733169</v>
      </c>
      <c r="BN136" s="201">
        <v>1.0150174309466338</v>
      </c>
      <c r="BO136" s="201">
        <v>1.0225261464199509</v>
      </c>
      <c r="BP136" s="201">
        <v>1.0300348618932678</v>
      </c>
      <c r="BQ136" s="201">
        <v>1.0375435773665846</v>
      </c>
      <c r="BR136" s="201">
        <v>1.0450522928399046</v>
      </c>
      <c r="BS136" s="201">
        <v>1.0458970233306526</v>
      </c>
      <c r="BT136" s="201">
        <v>1.0467417538213979</v>
      </c>
      <c r="BU136" s="201">
        <v>1.0475864843121492</v>
      </c>
      <c r="BV136" s="201">
        <v>1.0484312148028971</v>
      </c>
      <c r="BW136" s="201">
        <v>1.0492759452936424</v>
      </c>
      <c r="BX136" s="201">
        <v>1.0501206757843937</v>
      </c>
      <c r="BY136" s="201">
        <v>1.0509654062751417</v>
      </c>
      <c r="BZ136" s="201">
        <v>1.0518101367658899</v>
      </c>
      <c r="CA136" s="201">
        <v>1.0526548672566383</v>
      </c>
      <c r="CB136" s="201">
        <v>1.0534995977473862</v>
      </c>
    </row>
    <row r="137" spans="1:80" x14ac:dyDescent="0.35">
      <c r="A137" t="s">
        <v>743</v>
      </c>
      <c r="B137" t="s">
        <v>885</v>
      </c>
      <c r="C137" s="206" t="s">
        <v>839</v>
      </c>
      <c r="D137" t="s">
        <v>736</v>
      </c>
      <c r="E137" s="130">
        <v>2772.8165200238755</v>
      </c>
      <c r="F137" s="130">
        <f>NYSERDA_SupplyCurve_Raw[[#This Row],[Available Capacity (MWac)]]*NYSERDA_SupplyCurve_Raw[[#This Row],[2024 Weighted Avg Resource CapEx ($/kWac)]]</f>
        <v>4970871.679017012</v>
      </c>
      <c r="G137" s="130">
        <f>NYSERDA_SupplyCurve_Raw[[#This Row],[Available Capacity (MWac)]]*NYSERDA_SupplyCurve_Raw[[#This Row],[2024 Weighted Avg OpEx ($/kWac-year)]]</f>
        <v>77687.724577971865</v>
      </c>
      <c r="H137" s="130">
        <v>1792.7156893072067</v>
      </c>
      <c r="I137" s="130">
        <v>82.928494211939679</v>
      </c>
      <c r="J137" s="130">
        <v>28.017621799693739</v>
      </c>
      <c r="K137" s="130">
        <f>NYSERDA_SupplyCurve_Raw[[#This Row],[2024 Weighted Avg Capacity Factor]]*NYSERDA_SupplyCurve_Raw[[#This Row],[Available Capacity (MWac)]]</f>
        <v>565.931851736873</v>
      </c>
      <c r="L137" s="205">
        <v>0.2041</v>
      </c>
      <c r="M137" s="201">
        <v>1</v>
      </c>
      <c r="N137" s="201">
        <v>0.98205557700657886</v>
      </c>
      <c r="O137" s="201">
        <v>0.97508643687766738</v>
      </c>
      <c r="P137" s="201">
        <v>0.9710686978823494</v>
      </c>
      <c r="Q137" s="201">
        <v>0.96272883825255884</v>
      </c>
      <c r="R137" s="201">
        <v>0.96698974982375097</v>
      </c>
      <c r="S137" s="201">
        <v>0.97267407052031762</v>
      </c>
      <c r="T137" s="201">
        <v>0.97869557679238706</v>
      </c>
      <c r="U137" s="201">
        <v>0.98505703847148285</v>
      </c>
      <c r="V137" s="201">
        <v>0.99541170168847648</v>
      </c>
      <c r="W137" s="201">
        <v>1.0060348317132135</v>
      </c>
      <c r="X137" s="201">
        <v>1.0169311841464153</v>
      </c>
      <c r="Y137" s="201">
        <v>1.0281056158381718</v>
      </c>
      <c r="Z137" s="201">
        <v>1.0395630868515546</v>
      </c>
      <c r="AA137" s="201">
        <v>1.0513086624661188</v>
      </c>
      <c r="AB137" s="201">
        <v>1.0633475152220784</v>
      </c>
      <c r="AC137" s="201">
        <v>1.0756849270059701</v>
      </c>
      <c r="AD137" s="201">
        <v>1</v>
      </c>
      <c r="AE137" s="201">
        <v>1.0229999999999999</v>
      </c>
      <c r="AF137" s="201">
        <v>1.0465289999999998</v>
      </c>
      <c r="AG137" s="201">
        <v>1.0705991669999997</v>
      </c>
      <c r="AH137" s="201">
        <v>1.0952229478409994</v>
      </c>
      <c r="AI137" s="201">
        <v>1.1204130756413424</v>
      </c>
      <c r="AJ137" s="201">
        <v>1.1461825763810929</v>
      </c>
      <c r="AK137" s="201">
        <v>1.1725447756378584</v>
      </c>
      <c r="AL137" s="201">
        <v>1.1995133054775284</v>
      </c>
      <c r="AM137" s="201">
        <v>1.2271021115035117</v>
      </c>
      <c r="AN137" s="201">
        <v>1.2553254600680925</v>
      </c>
      <c r="AO137" s="201">
        <v>1.2841979456496586</v>
      </c>
      <c r="AP137" s="201">
        <v>1.3137344983996007</v>
      </c>
      <c r="AQ137" s="201">
        <v>1.3439503918627913</v>
      </c>
      <c r="AR137" s="201">
        <v>1.374861250875635</v>
      </c>
      <c r="AS137" s="201">
        <v>1.4064830596457747</v>
      </c>
      <c r="AT137" s="201">
        <v>1.438832170017627</v>
      </c>
      <c r="AU137" s="201">
        <v>1</v>
      </c>
      <c r="AV137" s="201">
        <v>1.0224300740672716</v>
      </c>
      <c r="AW137" s="201">
        <v>1.0453695014675704</v>
      </c>
      <c r="AX137" s="201">
        <v>1.068829988063849</v>
      </c>
      <c r="AY137" s="201">
        <v>1.0928235118062262</v>
      </c>
      <c r="AZ137" s="201">
        <v>1.1092158644833192</v>
      </c>
      <c r="BA137" s="201">
        <v>1.1258541024505693</v>
      </c>
      <c r="BB137" s="201">
        <v>1.1427419139873274</v>
      </c>
      <c r="BC137" s="201">
        <v>1.1598830426971376</v>
      </c>
      <c r="BD137" s="201">
        <v>1.1772812883375943</v>
      </c>
      <c r="BE137" s="201">
        <v>1.1949405076626585</v>
      </c>
      <c r="BF137" s="201">
        <v>1.2128646152775981</v>
      </c>
      <c r="BG137" s="201">
        <v>1.2310575845067617</v>
      </c>
      <c r="BH137" s="201">
        <v>1.2495234482743631</v>
      </c>
      <c r="BI137" s="201">
        <v>1.2682662999984782</v>
      </c>
      <c r="BJ137" s="201">
        <v>1.2872902944984554</v>
      </c>
      <c r="BK137" s="201">
        <v>1.3065996489159319</v>
      </c>
      <c r="BL137" s="201">
        <v>1</v>
      </c>
      <c r="BM137" s="201">
        <v>1.0075087154733169</v>
      </c>
      <c r="BN137" s="201">
        <v>1.0150174309466338</v>
      </c>
      <c r="BO137" s="201">
        <v>1.0225261464199509</v>
      </c>
      <c r="BP137" s="201">
        <v>1.0300348618932678</v>
      </c>
      <c r="BQ137" s="201">
        <v>1.0375435773665846</v>
      </c>
      <c r="BR137" s="201">
        <v>1.0450522928399046</v>
      </c>
      <c r="BS137" s="201">
        <v>1.0458970233306526</v>
      </c>
      <c r="BT137" s="201">
        <v>1.0467417538213979</v>
      </c>
      <c r="BU137" s="201">
        <v>1.0475864843121492</v>
      </c>
      <c r="BV137" s="201">
        <v>1.0484312148028971</v>
      </c>
      <c r="BW137" s="201">
        <v>1.0492759452936424</v>
      </c>
      <c r="BX137" s="201">
        <v>1.0501206757843937</v>
      </c>
      <c r="BY137" s="201">
        <v>1.0509654062751417</v>
      </c>
      <c r="BZ137" s="201">
        <v>1.0518101367658899</v>
      </c>
      <c r="CA137" s="201">
        <v>1.0526548672566383</v>
      </c>
      <c r="CB137" s="201">
        <v>1.0534995977473862</v>
      </c>
    </row>
    <row r="138" spans="1:80" x14ac:dyDescent="0.35">
      <c r="A138" t="s">
        <v>743</v>
      </c>
      <c r="B138" t="s">
        <v>885</v>
      </c>
      <c r="C138" s="206" t="s">
        <v>839</v>
      </c>
      <c r="D138" t="s">
        <v>742</v>
      </c>
      <c r="E138" s="130">
        <v>550.40340755346915</v>
      </c>
      <c r="F138" s="130">
        <f>NYSERDA_SupplyCurve_Raw[[#This Row],[Available Capacity (MWac)]]*NYSERDA_SupplyCurve_Raw[[#This Row],[2024 Weighted Avg Resource CapEx ($/kWac)]]</f>
        <v>1141218.0828192485</v>
      </c>
      <c r="G138" s="130">
        <f>NYSERDA_SupplyCurve_Raw[[#This Row],[Available Capacity (MWac)]]*NYSERDA_SupplyCurve_Raw[[#This Row],[2024 Weighted Avg OpEx ($/kWac-year)]]</f>
        <v>15420.994510095796</v>
      </c>
      <c r="H138" s="130">
        <v>2073.4211800975895</v>
      </c>
      <c r="I138" s="130">
        <v>142.72425078663898</v>
      </c>
      <c r="J138" s="130">
        <v>28.017621799693739</v>
      </c>
      <c r="K138" s="130">
        <f>NYSERDA_SupplyCurve_Raw[[#This Row],[2024 Weighted Avg Capacity Factor]]*NYSERDA_SupplyCurve_Raw[[#This Row],[Available Capacity (MWac)]]</f>
        <v>112.33733548166306</v>
      </c>
      <c r="L138" s="205">
        <v>0.2041</v>
      </c>
      <c r="M138" s="201">
        <v>1</v>
      </c>
      <c r="N138" s="201">
        <v>0.98205557700657931</v>
      </c>
      <c r="O138" s="201">
        <v>0.9750864368776675</v>
      </c>
      <c r="P138" s="201">
        <v>0.97106869788234973</v>
      </c>
      <c r="Q138" s="201">
        <v>0.96272883825255895</v>
      </c>
      <c r="R138" s="201">
        <v>0.96698974982375108</v>
      </c>
      <c r="S138" s="201">
        <v>0.97267407052031774</v>
      </c>
      <c r="T138" s="201">
        <v>0.97869557679238728</v>
      </c>
      <c r="U138" s="201">
        <v>0.98505703847148307</v>
      </c>
      <c r="V138" s="201">
        <v>0.9954117016884767</v>
      </c>
      <c r="W138" s="201">
        <v>1.0060348317132135</v>
      </c>
      <c r="X138" s="201">
        <v>1.0169311841464155</v>
      </c>
      <c r="Y138" s="201">
        <v>1.0281056158381721</v>
      </c>
      <c r="Z138" s="201">
        <v>1.0395630868515549</v>
      </c>
      <c r="AA138" s="201">
        <v>1.051308662466119</v>
      </c>
      <c r="AB138" s="201">
        <v>1.0633475152220788</v>
      </c>
      <c r="AC138" s="201">
        <v>1.0756849270059705</v>
      </c>
      <c r="AD138" s="201">
        <v>1</v>
      </c>
      <c r="AE138" s="201">
        <v>1.0229999999999997</v>
      </c>
      <c r="AF138" s="201">
        <v>1.0465289999999998</v>
      </c>
      <c r="AG138" s="201">
        <v>1.0705991669999995</v>
      </c>
      <c r="AH138" s="201">
        <v>1.0952229478409994</v>
      </c>
      <c r="AI138" s="201">
        <v>1.1204130756413426</v>
      </c>
      <c r="AJ138" s="201">
        <v>1.1461825763810933</v>
      </c>
      <c r="AK138" s="201">
        <v>1.172544775637858</v>
      </c>
      <c r="AL138" s="201">
        <v>1.1995133054775289</v>
      </c>
      <c r="AM138" s="201">
        <v>1.2271021115035117</v>
      </c>
      <c r="AN138" s="201">
        <v>1.2553254600680925</v>
      </c>
      <c r="AO138" s="201">
        <v>1.2841979456496584</v>
      </c>
      <c r="AP138" s="201">
        <v>1.3137344983996007</v>
      </c>
      <c r="AQ138" s="201">
        <v>1.3439503918627913</v>
      </c>
      <c r="AR138" s="201">
        <v>1.3748612508756353</v>
      </c>
      <c r="AS138" s="201">
        <v>1.4064830596457745</v>
      </c>
      <c r="AT138" s="201">
        <v>1.4388321700176274</v>
      </c>
      <c r="AU138" s="201">
        <v>1</v>
      </c>
      <c r="AV138" s="201">
        <v>1.0224300740672716</v>
      </c>
      <c r="AW138" s="201">
        <v>1.0453695014675706</v>
      </c>
      <c r="AX138" s="201">
        <v>1.068829988063849</v>
      </c>
      <c r="AY138" s="201">
        <v>1.0928235118062264</v>
      </c>
      <c r="AZ138" s="201">
        <v>1.1092158644833192</v>
      </c>
      <c r="BA138" s="201">
        <v>1.125854102450569</v>
      </c>
      <c r="BB138" s="201">
        <v>1.1427419139873276</v>
      </c>
      <c r="BC138" s="201">
        <v>1.1598830426971376</v>
      </c>
      <c r="BD138" s="201">
        <v>1.1772812883375943</v>
      </c>
      <c r="BE138" s="201">
        <v>1.1949405076626585</v>
      </c>
      <c r="BF138" s="201">
        <v>1.2128646152775981</v>
      </c>
      <c r="BG138" s="201">
        <v>1.2310575845067615</v>
      </c>
      <c r="BH138" s="201">
        <v>1.2495234482743627</v>
      </c>
      <c r="BI138" s="201">
        <v>1.2682662999984786</v>
      </c>
      <c r="BJ138" s="201">
        <v>1.2872902944984554</v>
      </c>
      <c r="BK138" s="201">
        <v>1.3065996489159319</v>
      </c>
      <c r="BL138" s="201">
        <v>1</v>
      </c>
      <c r="BM138" s="201">
        <v>1.0075087154733169</v>
      </c>
      <c r="BN138" s="201">
        <v>1.0150174309466338</v>
      </c>
      <c r="BO138" s="201">
        <v>1.0225261464199509</v>
      </c>
      <c r="BP138" s="201">
        <v>1.0300348618932678</v>
      </c>
      <c r="BQ138" s="201">
        <v>1.0375435773665846</v>
      </c>
      <c r="BR138" s="201">
        <v>1.0450522928399046</v>
      </c>
      <c r="BS138" s="201">
        <v>1.0458970233306526</v>
      </c>
      <c r="BT138" s="201">
        <v>1.0467417538213979</v>
      </c>
      <c r="BU138" s="201">
        <v>1.0475864843121492</v>
      </c>
      <c r="BV138" s="201">
        <v>1.0484312148028971</v>
      </c>
      <c r="BW138" s="201">
        <v>1.0492759452936424</v>
      </c>
      <c r="BX138" s="201">
        <v>1.0501206757843937</v>
      </c>
      <c r="BY138" s="201">
        <v>1.0509654062751417</v>
      </c>
      <c r="BZ138" s="201">
        <v>1.0518101367658899</v>
      </c>
      <c r="CA138" s="201">
        <v>1.0526548672566383</v>
      </c>
      <c r="CB138" s="201">
        <v>1.0534995977473862</v>
      </c>
    </row>
    <row r="139" spans="1:80" x14ac:dyDescent="0.35">
      <c r="A139" t="s">
        <v>743</v>
      </c>
      <c r="B139" t="s">
        <v>886</v>
      </c>
      <c r="C139" s="206" t="s">
        <v>841</v>
      </c>
      <c r="D139" t="s">
        <v>736</v>
      </c>
      <c r="E139" s="130">
        <v>178.72597518666157</v>
      </c>
      <c r="F139" s="130">
        <f>NYSERDA_SupplyCurve_Raw[[#This Row],[Available Capacity (MWac)]]*NYSERDA_SupplyCurve_Raw[[#This Row],[2024 Weighted Avg Resource CapEx ($/kWac)]]</f>
        <v>347789.06204239355</v>
      </c>
      <c r="G139" s="130">
        <f>NYSERDA_SupplyCurve_Raw[[#This Row],[Available Capacity (MWac)]]*NYSERDA_SupplyCurve_Raw[[#This Row],[2024 Weighted Avg OpEx ($/kWac-year)]]</f>
        <v>4937.1932820001139</v>
      </c>
      <c r="H139" s="130">
        <v>1945.9346168298275</v>
      </c>
      <c r="I139" s="130">
        <v>125.23338568052125</v>
      </c>
      <c r="J139" s="130">
        <v>27.624374559118813</v>
      </c>
      <c r="K139" s="130">
        <f>NYSERDA_SupplyCurve_Raw[[#This Row],[2024 Weighted Avg Capacity Factor]]*NYSERDA_SupplyCurve_Raw[[#This Row],[Available Capacity (MWac)]]</f>
        <v>36.477971535597632</v>
      </c>
      <c r="L139" s="205">
        <v>0.20410000000000003</v>
      </c>
      <c r="M139" s="201">
        <v>1</v>
      </c>
      <c r="N139" s="201">
        <v>0.98205557700657897</v>
      </c>
      <c r="O139" s="201">
        <v>0.97508643687766738</v>
      </c>
      <c r="P139" s="201">
        <v>0.9710686978823494</v>
      </c>
      <c r="Q139" s="201">
        <v>0.96272883825255895</v>
      </c>
      <c r="R139" s="201">
        <v>0.96698974982375108</v>
      </c>
      <c r="S139" s="201">
        <v>0.97267407052031774</v>
      </c>
      <c r="T139" s="201">
        <v>0.97869557679238706</v>
      </c>
      <c r="U139" s="201">
        <v>0.98505703847148296</v>
      </c>
      <c r="V139" s="201">
        <v>0.99541170168847626</v>
      </c>
      <c r="W139" s="201">
        <v>1.0060348317132133</v>
      </c>
      <c r="X139" s="201">
        <v>1.0169311841464155</v>
      </c>
      <c r="Y139" s="201">
        <v>1.0281056158381718</v>
      </c>
      <c r="Z139" s="201">
        <v>1.0395630868515546</v>
      </c>
      <c r="AA139" s="201">
        <v>1.0513086624661188</v>
      </c>
      <c r="AB139" s="201">
        <v>1.0633475152220784</v>
      </c>
      <c r="AC139" s="201">
        <v>1.0756849270059707</v>
      </c>
      <c r="AD139" s="201">
        <v>1</v>
      </c>
      <c r="AE139" s="201">
        <v>1.0229999999999999</v>
      </c>
      <c r="AF139" s="201">
        <v>1.0465289999999998</v>
      </c>
      <c r="AG139" s="201">
        <v>1.0705991669999997</v>
      </c>
      <c r="AH139" s="201">
        <v>1.0952229478409994</v>
      </c>
      <c r="AI139" s="201">
        <v>1.1204130756413426</v>
      </c>
      <c r="AJ139" s="201">
        <v>1.1461825763810929</v>
      </c>
      <c r="AK139" s="201">
        <v>1.1725447756378582</v>
      </c>
      <c r="AL139" s="201">
        <v>1.1995133054775289</v>
      </c>
      <c r="AM139" s="201">
        <v>1.2271021115035117</v>
      </c>
      <c r="AN139" s="201">
        <v>1.2553254600680923</v>
      </c>
      <c r="AO139" s="201">
        <v>1.2841979456496586</v>
      </c>
      <c r="AP139" s="201">
        <v>1.3137344983996004</v>
      </c>
      <c r="AQ139" s="201">
        <v>1.3439503918627913</v>
      </c>
      <c r="AR139" s="201">
        <v>1.374861250875635</v>
      </c>
      <c r="AS139" s="201">
        <v>1.4064830596457747</v>
      </c>
      <c r="AT139" s="201">
        <v>1.4388321700176274</v>
      </c>
      <c r="AU139" s="201">
        <v>1</v>
      </c>
      <c r="AV139" s="201">
        <v>1.0224300740672716</v>
      </c>
      <c r="AW139" s="201">
        <v>1.0453695014675706</v>
      </c>
      <c r="AX139" s="201">
        <v>1.068829988063849</v>
      </c>
      <c r="AY139" s="201">
        <v>1.0928235118062262</v>
      </c>
      <c r="AZ139" s="201">
        <v>1.1092158644833192</v>
      </c>
      <c r="BA139" s="201">
        <v>1.1258541024505693</v>
      </c>
      <c r="BB139" s="201">
        <v>1.1427419139873274</v>
      </c>
      <c r="BC139" s="201">
        <v>1.1598830426971376</v>
      </c>
      <c r="BD139" s="201">
        <v>1.1772812883375943</v>
      </c>
      <c r="BE139" s="201">
        <v>1.1949405076626585</v>
      </c>
      <c r="BF139" s="201">
        <v>1.2128646152775981</v>
      </c>
      <c r="BG139" s="201">
        <v>1.2310575845067615</v>
      </c>
      <c r="BH139" s="201">
        <v>1.2495234482743629</v>
      </c>
      <c r="BI139" s="201">
        <v>1.2682662999984784</v>
      </c>
      <c r="BJ139" s="201">
        <v>1.2872902944984552</v>
      </c>
      <c r="BK139" s="201">
        <v>1.3065996489159319</v>
      </c>
      <c r="BL139" s="201">
        <v>1</v>
      </c>
      <c r="BM139" s="201">
        <v>1.0075087154733169</v>
      </c>
      <c r="BN139" s="201">
        <v>1.0150174309466338</v>
      </c>
      <c r="BO139" s="201">
        <v>1.0225261464199509</v>
      </c>
      <c r="BP139" s="201">
        <v>1.0300348618932678</v>
      </c>
      <c r="BQ139" s="201">
        <v>1.0375435773665846</v>
      </c>
      <c r="BR139" s="201">
        <v>1.0450522928399046</v>
      </c>
      <c r="BS139" s="201">
        <v>1.0458970233306526</v>
      </c>
      <c r="BT139" s="201">
        <v>1.0467417538213979</v>
      </c>
      <c r="BU139" s="201">
        <v>1.0475864843121492</v>
      </c>
      <c r="BV139" s="201">
        <v>1.0484312148028971</v>
      </c>
      <c r="BW139" s="201">
        <v>1.0492759452936424</v>
      </c>
      <c r="BX139" s="201">
        <v>1.0501206757843937</v>
      </c>
      <c r="BY139" s="201">
        <v>1.0509654062751417</v>
      </c>
      <c r="BZ139" s="201">
        <v>1.0518101367658899</v>
      </c>
      <c r="CA139" s="201">
        <v>1.0526548672566383</v>
      </c>
      <c r="CB139" s="201">
        <v>1.0534995977473862</v>
      </c>
    </row>
    <row r="140" spans="1:80" x14ac:dyDescent="0.35">
      <c r="A140" t="s">
        <v>743</v>
      </c>
      <c r="B140" t="s">
        <v>886</v>
      </c>
      <c r="C140" s="206" t="s">
        <v>841</v>
      </c>
      <c r="D140" t="s">
        <v>742</v>
      </c>
      <c r="E140" s="130">
        <v>440.35588086440981</v>
      </c>
      <c r="F140" s="130">
        <f>NYSERDA_SupplyCurve_Raw[[#This Row],[Available Capacity (MWac)]]*NYSERDA_SupplyCurve_Raw[[#This Row],[2024 Weighted Avg Resource CapEx ($/kWac)]]</f>
        <v>944610.39502599905</v>
      </c>
      <c r="G140" s="130">
        <f>NYSERDA_SupplyCurve_Raw[[#This Row],[Available Capacity (MWac)]]*NYSERDA_SupplyCurve_Raw[[#This Row],[2024 Weighted Avg OpEx ($/kWac-year)]]</f>
        <v>12164.555792309155</v>
      </c>
      <c r="H140" s="130">
        <v>2145.1068012802457</v>
      </c>
      <c r="I140" s="130">
        <v>204.23166155029733</v>
      </c>
      <c r="J140" s="130">
        <v>27.624374559118806</v>
      </c>
      <c r="K140" s="130">
        <f>NYSERDA_SupplyCurve_Raw[[#This Row],[2024 Weighted Avg Capacity Factor]]*NYSERDA_SupplyCurve_Raw[[#This Row],[Available Capacity (MWac)]]</f>
        <v>89.876635284426044</v>
      </c>
      <c r="L140" s="205">
        <v>0.2041</v>
      </c>
      <c r="M140" s="201">
        <v>1</v>
      </c>
      <c r="N140" s="201">
        <v>0.98205557700657931</v>
      </c>
      <c r="O140" s="201">
        <v>0.97508643687766761</v>
      </c>
      <c r="P140" s="201">
        <v>0.97106869788234951</v>
      </c>
      <c r="Q140" s="201">
        <v>0.96272883825255928</v>
      </c>
      <c r="R140" s="201">
        <v>0.96698974982375119</v>
      </c>
      <c r="S140" s="201">
        <v>0.97267407052031785</v>
      </c>
      <c r="T140" s="201">
        <v>0.97869557679238717</v>
      </c>
      <c r="U140" s="201">
        <v>0.98505703847148307</v>
      </c>
      <c r="V140" s="201">
        <v>0.99541170168847648</v>
      </c>
      <c r="W140" s="201">
        <v>1.0060348317132133</v>
      </c>
      <c r="X140" s="201">
        <v>1.0169311841464157</v>
      </c>
      <c r="Y140" s="201">
        <v>1.0281056158381718</v>
      </c>
      <c r="Z140" s="201">
        <v>1.0395630868515549</v>
      </c>
      <c r="AA140" s="201">
        <v>1.051308662466119</v>
      </c>
      <c r="AB140" s="201">
        <v>1.0633475152220786</v>
      </c>
      <c r="AC140" s="201">
        <v>1.0756849270059705</v>
      </c>
      <c r="AD140" s="201">
        <v>1</v>
      </c>
      <c r="AE140" s="201">
        <v>1.0229999999999999</v>
      </c>
      <c r="AF140" s="201">
        <v>1.0465289999999998</v>
      </c>
      <c r="AG140" s="201">
        <v>1.0705991669999997</v>
      </c>
      <c r="AH140" s="201">
        <v>1.0952229478409996</v>
      </c>
      <c r="AI140" s="201">
        <v>1.1204130756413424</v>
      </c>
      <c r="AJ140" s="201">
        <v>1.1461825763810931</v>
      </c>
      <c r="AK140" s="201">
        <v>1.1725447756378582</v>
      </c>
      <c r="AL140" s="201">
        <v>1.1995133054775289</v>
      </c>
      <c r="AM140" s="201">
        <v>1.2271021115035119</v>
      </c>
      <c r="AN140" s="201">
        <v>1.2553254600680928</v>
      </c>
      <c r="AO140" s="201">
        <v>1.2841979456496586</v>
      </c>
      <c r="AP140" s="201">
        <v>1.3137344983996007</v>
      </c>
      <c r="AQ140" s="201">
        <v>1.3439503918627913</v>
      </c>
      <c r="AR140" s="201">
        <v>1.3748612508756353</v>
      </c>
      <c r="AS140" s="201">
        <v>1.4064830596457747</v>
      </c>
      <c r="AT140" s="201">
        <v>1.4388321700176274</v>
      </c>
      <c r="AU140" s="201">
        <v>1</v>
      </c>
      <c r="AV140" s="201">
        <v>1.0224300740672716</v>
      </c>
      <c r="AW140" s="201">
        <v>1.0453695014675706</v>
      </c>
      <c r="AX140" s="201">
        <v>1.068829988063849</v>
      </c>
      <c r="AY140" s="201">
        <v>1.0928235118062266</v>
      </c>
      <c r="AZ140" s="201">
        <v>1.1092158644833194</v>
      </c>
      <c r="BA140" s="201">
        <v>1.1258541024505693</v>
      </c>
      <c r="BB140" s="201">
        <v>1.1427419139873276</v>
      </c>
      <c r="BC140" s="201">
        <v>1.1598830426971378</v>
      </c>
      <c r="BD140" s="201">
        <v>1.1772812883375943</v>
      </c>
      <c r="BE140" s="201">
        <v>1.1949405076626585</v>
      </c>
      <c r="BF140" s="201">
        <v>1.2128646152775984</v>
      </c>
      <c r="BG140" s="201">
        <v>1.2310575845067619</v>
      </c>
      <c r="BH140" s="201">
        <v>1.2495234482743631</v>
      </c>
      <c r="BI140" s="201">
        <v>1.2682662999984784</v>
      </c>
      <c r="BJ140" s="201">
        <v>1.2872902944984554</v>
      </c>
      <c r="BK140" s="201">
        <v>1.3065996489159322</v>
      </c>
      <c r="BL140" s="201">
        <v>1</v>
      </c>
      <c r="BM140" s="201">
        <v>1.0075087154733169</v>
      </c>
      <c r="BN140" s="201">
        <v>1.0150174309466338</v>
      </c>
      <c r="BO140" s="201">
        <v>1.0225261464199509</v>
      </c>
      <c r="BP140" s="201">
        <v>1.0300348618932678</v>
      </c>
      <c r="BQ140" s="201">
        <v>1.0375435773665846</v>
      </c>
      <c r="BR140" s="201">
        <v>1.0450522928399046</v>
      </c>
      <c r="BS140" s="201">
        <v>1.0458970233306526</v>
      </c>
      <c r="BT140" s="201">
        <v>1.0467417538213979</v>
      </c>
      <c r="BU140" s="201">
        <v>1.0475864843121492</v>
      </c>
      <c r="BV140" s="201">
        <v>1.0484312148028971</v>
      </c>
      <c r="BW140" s="201">
        <v>1.0492759452936424</v>
      </c>
      <c r="BX140" s="201">
        <v>1.0501206757843937</v>
      </c>
      <c r="BY140" s="201">
        <v>1.0509654062751417</v>
      </c>
      <c r="BZ140" s="201">
        <v>1.0518101367658899</v>
      </c>
      <c r="CA140" s="201">
        <v>1.0526548672566383</v>
      </c>
      <c r="CB140" s="201">
        <v>1.0534995977473862</v>
      </c>
    </row>
    <row r="141" spans="1:80" x14ac:dyDescent="0.35">
      <c r="A141" t="s">
        <v>743</v>
      </c>
      <c r="B141" t="s">
        <v>887</v>
      </c>
      <c r="C141" s="206" t="s">
        <v>845</v>
      </c>
      <c r="D141" t="s">
        <v>736</v>
      </c>
      <c r="E141" s="130">
        <v>380.78399259626474</v>
      </c>
      <c r="F141" s="130">
        <f>NYSERDA_SupplyCurve_Raw[[#This Row],[Available Capacity (MWac)]]*NYSERDA_SupplyCurve_Raw[[#This Row],[2024 Weighted Avg Resource CapEx ($/kWac)]]</f>
        <v>765440.4637516581</v>
      </c>
      <c r="G141" s="130">
        <f>NYSERDA_SupplyCurve_Raw[[#This Row],[Available Capacity (MWac)]]*NYSERDA_SupplyCurve_Raw[[#This Row],[2024 Weighted Avg OpEx ($/kWac-year)]]</f>
        <v>10237.404199429997</v>
      </c>
      <c r="H141" s="130">
        <v>2010.1697514454986</v>
      </c>
      <c r="I141" s="130">
        <v>159.23351314910931</v>
      </c>
      <c r="J141" s="130">
        <v>26.885069746837935</v>
      </c>
      <c r="K141" s="130">
        <f>NYSERDA_SupplyCurve_Raw[[#This Row],[2024 Weighted Avg Capacity Factor]]*NYSERDA_SupplyCurve_Raw[[#This Row],[Available Capacity (MWac)]]</f>
        <v>76.727974508147341</v>
      </c>
      <c r="L141" s="205">
        <v>0.20149999999999998</v>
      </c>
      <c r="M141" s="201">
        <v>1</v>
      </c>
      <c r="N141" s="201">
        <v>0.98205557700657897</v>
      </c>
      <c r="O141" s="201">
        <v>0.97508643687766727</v>
      </c>
      <c r="P141" s="201">
        <v>0.9710686978823494</v>
      </c>
      <c r="Q141" s="201">
        <v>0.96272883825255873</v>
      </c>
      <c r="R141" s="201">
        <v>0.96698974982375097</v>
      </c>
      <c r="S141" s="201">
        <v>0.97267407052031774</v>
      </c>
      <c r="T141" s="201">
        <v>0.97869557679238706</v>
      </c>
      <c r="U141" s="201">
        <v>0.98505703847148296</v>
      </c>
      <c r="V141" s="201">
        <v>0.99541170168847637</v>
      </c>
      <c r="W141" s="201">
        <v>1.0060348317132131</v>
      </c>
      <c r="X141" s="201">
        <v>1.0169311841464153</v>
      </c>
      <c r="Y141" s="201">
        <v>1.0281056158381718</v>
      </c>
      <c r="Z141" s="201">
        <v>1.0395630868515544</v>
      </c>
      <c r="AA141" s="201">
        <v>1.0513086624661185</v>
      </c>
      <c r="AB141" s="201">
        <v>1.0633475152220782</v>
      </c>
      <c r="AC141" s="201">
        <v>1.0756849270059703</v>
      </c>
      <c r="AD141" s="201">
        <v>1</v>
      </c>
      <c r="AE141" s="201">
        <v>1.0230000000000001</v>
      </c>
      <c r="AF141" s="201">
        <v>1.0465289999999998</v>
      </c>
      <c r="AG141" s="201">
        <v>1.0705991669999999</v>
      </c>
      <c r="AH141" s="201">
        <v>1.0952229478409996</v>
      </c>
      <c r="AI141" s="201">
        <v>1.1204130756413426</v>
      </c>
      <c r="AJ141" s="201">
        <v>1.1461825763810931</v>
      </c>
      <c r="AK141" s="201">
        <v>1.1725447756378586</v>
      </c>
      <c r="AL141" s="201">
        <v>1.1995133054775291</v>
      </c>
      <c r="AM141" s="201">
        <v>1.2271021115035119</v>
      </c>
      <c r="AN141" s="201">
        <v>1.2553254600680925</v>
      </c>
      <c r="AO141" s="201">
        <v>1.2841979456496588</v>
      </c>
      <c r="AP141" s="201">
        <v>1.3137344983996004</v>
      </c>
      <c r="AQ141" s="201">
        <v>1.3439503918627917</v>
      </c>
      <c r="AR141" s="201">
        <v>1.3748612508756357</v>
      </c>
      <c r="AS141" s="201">
        <v>1.4064830596457749</v>
      </c>
      <c r="AT141" s="201">
        <v>1.4388321700176276</v>
      </c>
      <c r="AU141" s="201">
        <v>1</v>
      </c>
      <c r="AV141" s="201">
        <v>1.0224300740672716</v>
      </c>
      <c r="AW141" s="201">
        <v>1.0453695014675706</v>
      </c>
      <c r="AX141" s="201">
        <v>1.068829988063849</v>
      </c>
      <c r="AY141" s="201">
        <v>1.0928235118062262</v>
      </c>
      <c r="AZ141" s="201">
        <v>1.1092158644833194</v>
      </c>
      <c r="BA141" s="201">
        <v>1.1258541024505693</v>
      </c>
      <c r="BB141" s="201">
        <v>1.1427419139873276</v>
      </c>
      <c r="BC141" s="201">
        <v>1.1598830426971376</v>
      </c>
      <c r="BD141" s="201">
        <v>1.1772812883375945</v>
      </c>
      <c r="BE141" s="201">
        <v>1.1949405076626582</v>
      </c>
      <c r="BF141" s="201">
        <v>1.2128646152775979</v>
      </c>
      <c r="BG141" s="201">
        <v>1.2310575845067622</v>
      </c>
      <c r="BH141" s="201">
        <v>1.2495234482743629</v>
      </c>
      <c r="BI141" s="201">
        <v>1.2682662999984784</v>
      </c>
      <c r="BJ141" s="201">
        <v>1.2872902944984552</v>
      </c>
      <c r="BK141" s="201">
        <v>1.3065996489159319</v>
      </c>
      <c r="BL141" s="201">
        <v>1</v>
      </c>
      <c r="BM141" s="201">
        <v>1.0075087154733169</v>
      </c>
      <c r="BN141" s="201">
        <v>1.0150174309466338</v>
      </c>
      <c r="BO141" s="201">
        <v>1.0225261464199509</v>
      </c>
      <c r="BP141" s="201">
        <v>1.0300348618932678</v>
      </c>
      <c r="BQ141" s="201">
        <v>1.0375435773665846</v>
      </c>
      <c r="BR141" s="201">
        <v>1.0450522928399046</v>
      </c>
      <c r="BS141" s="201">
        <v>1.0458970233306526</v>
      </c>
      <c r="BT141" s="201">
        <v>1.0467417538213979</v>
      </c>
      <c r="BU141" s="201">
        <v>1.0475864843121492</v>
      </c>
      <c r="BV141" s="201">
        <v>1.0484312148028971</v>
      </c>
      <c r="BW141" s="201">
        <v>1.0492759452936424</v>
      </c>
      <c r="BX141" s="201">
        <v>1.0501206757843937</v>
      </c>
      <c r="BY141" s="201">
        <v>1.0509654062751417</v>
      </c>
      <c r="BZ141" s="201">
        <v>1.0518101367658899</v>
      </c>
      <c r="CA141" s="201">
        <v>1.0526548672566383</v>
      </c>
      <c r="CB141" s="201">
        <v>1.0534995977473862</v>
      </c>
    </row>
    <row r="142" spans="1:80" ht="15" thickBot="1" x14ac:dyDescent="0.4">
      <c r="A142" t="s">
        <v>743</v>
      </c>
      <c r="B142" t="s">
        <v>888</v>
      </c>
      <c r="C142" s="206" t="s">
        <v>843</v>
      </c>
      <c r="D142" t="s">
        <v>736</v>
      </c>
      <c r="E142" s="130">
        <v>203.30392254507191</v>
      </c>
      <c r="F142" s="130">
        <f>NYSERDA_SupplyCurve_Raw[[#This Row],[Available Capacity (MWac)]]*NYSERDA_SupplyCurve_Raw[[#This Row],[2024 Weighted Avg Resource CapEx ($/kWac)]]</f>
        <v>409644.69600133126</v>
      </c>
      <c r="G142" s="130">
        <f>NYSERDA_SupplyCurve_Raw[[#This Row],[Available Capacity (MWac)]]*NYSERDA_SupplyCurve_Raw[[#This Row],[2024 Weighted Avg OpEx ($/kWac-year)]]</f>
        <v>5520.2052578764542</v>
      </c>
      <c r="H142" s="130">
        <v>2014.9374929571966</v>
      </c>
      <c r="I142" s="130">
        <v>169.4723526638424</v>
      </c>
      <c r="J142" s="130">
        <v>27.152477870428889</v>
      </c>
      <c r="K142" s="130">
        <f>NYSERDA_SupplyCurve_Raw[[#This Row],[2024 Weighted Avg Capacity Factor]]*NYSERDA_SupplyCurve_Raw[[#This Row],[Available Capacity (MWac)]]</f>
        <v>41.230035492140594</v>
      </c>
      <c r="L142" s="205">
        <v>0.20280000000000004</v>
      </c>
      <c r="M142" s="201">
        <v>1</v>
      </c>
      <c r="N142" s="201">
        <v>0.98205557700657919</v>
      </c>
      <c r="O142" s="201">
        <v>0.9750864368776675</v>
      </c>
      <c r="P142" s="201">
        <v>0.9710686978823494</v>
      </c>
      <c r="Q142" s="201">
        <v>0.96272883825255884</v>
      </c>
      <c r="R142" s="201">
        <v>0.96698974982375097</v>
      </c>
      <c r="S142" s="201">
        <v>0.97267407052031762</v>
      </c>
      <c r="T142" s="201">
        <v>0.97869557679238695</v>
      </c>
      <c r="U142" s="201">
        <v>0.98505703847148296</v>
      </c>
      <c r="V142" s="201">
        <v>0.99541170168847648</v>
      </c>
      <c r="W142" s="201">
        <v>1.0060348317132133</v>
      </c>
      <c r="X142" s="201">
        <v>1.0169311841464153</v>
      </c>
      <c r="Y142" s="201">
        <v>1.0281056158381718</v>
      </c>
      <c r="Z142" s="201">
        <v>1.0395630868515544</v>
      </c>
      <c r="AA142" s="201">
        <v>1.0513086624661188</v>
      </c>
      <c r="AB142" s="201">
        <v>1.0633475152220786</v>
      </c>
      <c r="AC142" s="201">
        <v>1.0756849270059703</v>
      </c>
      <c r="AD142" s="201">
        <v>1</v>
      </c>
      <c r="AE142" s="201">
        <v>1.0229999999999999</v>
      </c>
      <c r="AF142" s="201">
        <v>1.0465289999999996</v>
      </c>
      <c r="AG142" s="201">
        <v>1.0705991669999995</v>
      </c>
      <c r="AH142" s="201">
        <v>1.0952229478409992</v>
      </c>
      <c r="AI142" s="201">
        <v>1.1204130756413424</v>
      </c>
      <c r="AJ142" s="201">
        <v>1.1461825763810931</v>
      </c>
      <c r="AK142" s="201">
        <v>1.1725447756378582</v>
      </c>
      <c r="AL142" s="201">
        <v>1.1995133054775287</v>
      </c>
      <c r="AM142" s="201">
        <v>1.2271021115035117</v>
      </c>
      <c r="AN142" s="201">
        <v>1.2553254600680925</v>
      </c>
      <c r="AO142" s="201">
        <v>1.2841979456496584</v>
      </c>
      <c r="AP142" s="201">
        <v>1.3137344983996007</v>
      </c>
      <c r="AQ142" s="201">
        <v>1.3439503918627911</v>
      </c>
      <c r="AR142" s="201">
        <v>1.3748612508756353</v>
      </c>
      <c r="AS142" s="201">
        <v>1.4064830596457747</v>
      </c>
      <c r="AT142" s="201">
        <v>1.4388321700176272</v>
      </c>
      <c r="AU142" s="201">
        <v>1</v>
      </c>
      <c r="AV142" s="201">
        <v>1.0224300740672718</v>
      </c>
      <c r="AW142" s="201">
        <v>1.0453695014675706</v>
      </c>
      <c r="AX142" s="201">
        <v>1.068829988063849</v>
      </c>
      <c r="AY142" s="201">
        <v>1.0928235118062264</v>
      </c>
      <c r="AZ142" s="201">
        <v>1.1092158644833197</v>
      </c>
      <c r="BA142" s="201">
        <v>1.1258541024505695</v>
      </c>
      <c r="BB142" s="201">
        <v>1.1427419139873276</v>
      </c>
      <c r="BC142" s="201">
        <v>1.1598830426971376</v>
      </c>
      <c r="BD142" s="201">
        <v>1.1772812883375947</v>
      </c>
      <c r="BE142" s="201">
        <v>1.1949405076626585</v>
      </c>
      <c r="BF142" s="201">
        <v>1.2128646152775984</v>
      </c>
      <c r="BG142" s="201">
        <v>1.2310575845067622</v>
      </c>
      <c r="BH142" s="201">
        <v>1.2495234482743631</v>
      </c>
      <c r="BI142" s="201">
        <v>1.2682662999984784</v>
      </c>
      <c r="BJ142" s="201">
        <v>1.2872902944984554</v>
      </c>
      <c r="BK142" s="201">
        <v>1.3065996489159324</v>
      </c>
      <c r="BL142" s="201">
        <v>1</v>
      </c>
      <c r="BM142" s="201">
        <v>1.0075087154733169</v>
      </c>
      <c r="BN142" s="201">
        <v>1.0150174309466338</v>
      </c>
      <c r="BO142" s="201">
        <v>1.0225261464199509</v>
      </c>
      <c r="BP142" s="201">
        <v>1.0300348618932678</v>
      </c>
      <c r="BQ142" s="201">
        <v>1.0375435773665846</v>
      </c>
      <c r="BR142" s="201">
        <v>1.0450522928399046</v>
      </c>
      <c r="BS142" s="201">
        <v>1.0458970233306526</v>
      </c>
      <c r="BT142" s="201">
        <v>1.0467417538213979</v>
      </c>
      <c r="BU142" s="201">
        <v>1.0475864843121492</v>
      </c>
      <c r="BV142" s="201">
        <v>1.0484312148028971</v>
      </c>
      <c r="BW142" s="201">
        <v>1.0492759452936424</v>
      </c>
      <c r="BX142" s="201">
        <v>1.0501206757843937</v>
      </c>
      <c r="BY142" s="201">
        <v>1.0509654062751417</v>
      </c>
      <c r="BZ142" s="201">
        <v>1.0518101367658899</v>
      </c>
      <c r="CA142" s="201">
        <v>1.0526548672566383</v>
      </c>
      <c r="CB142" s="201">
        <v>1.0534995977473862</v>
      </c>
    </row>
    <row r="143" spans="1:80" x14ac:dyDescent="0.35">
      <c r="A143" t="s">
        <v>745</v>
      </c>
      <c r="C143" s="207" t="s">
        <v>738</v>
      </c>
      <c r="D143" t="s">
        <v>895</v>
      </c>
      <c r="E143" s="130">
        <v>1526.8049999999998</v>
      </c>
      <c r="F143" s="130">
        <f>NYSERDA_SupplyCurve_Raw[[#This Row],[Available Capacity (MWac)]]*NYSERDA_SupplyCurve_Raw[[#This Row],[2024 Weighted Avg Resource CapEx ($/kWac)]]</f>
        <v>7773341.8497770652</v>
      </c>
      <c r="G143" s="130">
        <f>NYSERDA_SupplyCurve_Raw[[#This Row],[Available Capacity (MWac)]]*NYSERDA_SupplyCurve_Raw[[#This Row],[2024 Weighted Avg OpEx ($/kWac-year)]]</f>
        <v>129379.34904473058</v>
      </c>
      <c r="H143" s="130">
        <v>5091.2473104142746</v>
      </c>
      <c r="I143" s="130">
        <v>1813.5210925331962</v>
      </c>
      <c r="J143" s="130">
        <v>84.738620219825449</v>
      </c>
      <c r="K143" s="130">
        <f>NYSERDA_SupplyCurve_Raw[[#This Row],[2024 Weighted Avg Capacity Factor]]*NYSERDA_SupplyCurve_Raw[[#This Row],[Available Capacity (MWac)]]</f>
        <v>828.23847175461447</v>
      </c>
      <c r="L143" s="205">
        <v>0.54246512930899138</v>
      </c>
      <c r="M143" s="201">
        <v>0.92827576817647039</v>
      </c>
      <c r="N143" s="201">
        <v>1.0089777427723123</v>
      </c>
      <c r="O143" s="201">
        <v>1.0929009503181972</v>
      </c>
      <c r="P143" s="201">
        <v>1.0714527691682025</v>
      </c>
      <c r="Q143" s="201">
        <v>1.0484398270825896</v>
      </c>
      <c r="R143" s="201">
        <v>1.023801491146149</v>
      </c>
      <c r="S143" s="201">
        <v>0.9974751670881048</v>
      </c>
      <c r="T143" s="201">
        <v>0.99475266119684524</v>
      </c>
      <c r="U143" s="201">
        <v>0.98662584431917721</v>
      </c>
      <c r="V143" s="201">
        <v>0.98262282519072985</v>
      </c>
      <c r="W143" s="201">
        <v>0.98160628494334312</v>
      </c>
      <c r="X143" s="201">
        <v>0.98263096797591432</v>
      </c>
      <c r="Y143" s="201">
        <v>0.98368707364521513</v>
      </c>
      <c r="Z143" s="201">
        <v>0.98604391453480544</v>
      </c>
      <c r="AA143" s="201">
        <v>0.98960779492998296</v>
      </c>
      <c r="AB143" s="201">
        <v>0.99428767166828014</v>
      </c>
      <c r="AC143" s="201">
        <v>1</v>
      </c>
      <c r="AD143" s="201">
        <v>0.69500809117143159</v>
      </c>
      <c r="AE143" s="201">
        <v>0.71099327726837447</v>
      </c>
      <c r="AF143" s="201">
        <v>0.72734612264554699</v>
      </c>
      <c r="AG143" s="201">
        <v>0.7440750834663945</v>
      </c>
      <c r="AH143" s="201">
        <v>0.76118881038612152</v>
      </c>
      <c r="AI143" s="201">
        <v>0.77869615302500228</v>
      </c>
      <c r="AJ143" s="201">
        <v>0.79660616454457711</v>
      </c>
      <c r="AK143" s="201">
        <v>0.8149281063291024</v>
      </c>
      <c r="AL143" s="201">
        <v>0.83367145277467158</v>
      </c>
      <c r="AM143" s="201">
        <v>0.85284589618848894</v>
      </c>
      <c r="AN143" s="201">
        <v>0.87246135180082429</v>
      </c>
      <c r="AO143" s="201">
        <v>0.89252796289224312</v>
      </c>
      <c r="AP143" s="201">
        <v>0.91305610603876464</v>
      </c>
      <c r="AQ143" s="201">
        <v>0.93405639647765615</v>
      </c>
      <c r="AR143" s="201">
        <v>0.95553969359664193</v>
      </c>
      <c r="AS143" s="201">
        <v>0.97751710654936474</v>
      </c>
      <c r="AT143" s="201">
        <v>1</v>
      </c>
      <c r="AU143" s="201">
        <v>0.8458264017835766</v>
      </c>
      <c r="AV143" s="201">
        <v>0.91936043458863592</v>
      </c>
      <c r="AW143" s="201">
        <v>0.99582959073618504</v>
      </c>
      <c r="AX143" s="201">
        <v>0.97628643501798751</v>
      </c>
      <c r="AY143" s="201">
        <v>0.95531750028325302</v>
      </c>
      <c r="AZ143" s="201">
        <v>0.93286753902659669</v>
      </c>
      <c r="BA143" s="201">
        <v>0.90887951659448385</v>
      </c>
      <c r="BB143" s="201">
        <v>0.91829818156145149</v>
      </c>
      <c r="BC143" s="201">
        <v>0.92766930785262114</v>
      </c>
      <c r="BD143" s="201">
        <v>0.93698572621513843</v>
      </c>
      <c r="BE143" s="201">
        <v>0.94623996275847777</v>
      </c>
      <c r="BF143" s="201">
        <v>0.95542422873364286</v>
      </c>
      <c r="BG143" s="201">
        <v>0.96453041000336581</v>
      </c>
      <c r="BH143" s="201">
        <v>0.97355005619449664</v>
      </c>
      <c r="BI143" s="201">
        <v>0.98247436952352707</v>
      </c>
      <c r="BJ143" s="201">
        <v>0.99129419328596646</v>
      </c>
      <c r="BK143" s="201">
        <v>1</v>
      </c>
      <c r="BL143" s="201">
        <v>0.91069139752368955</v>
      </c>
      <c r="BM143" s="201">
        <v>0.92043958547124205</v>
      </c>
      <c r="BN143" s="201">
        <v>0.92972276045501689</v>
      </c>
      <c r="BO143" s="201">
        <v>0.9386391268343266</v>
      </c>
      <c r="BP143" s="201">
        <v>0.94725872978163761</v>
      </c>
      <c r="BQ143" s="201">
        <v>0.95563328806171821</v>
      </c>
      <c r="BR143" s="201">
        <v>0.96380207747468583</v>
      </c>
      <c r="BS143" s="201">
        <v>0.96792542017545669</v>
      </c>
      <c r="BT143" s="201">
        <v>0.97189772565209731</v>
      </c>
      <c r="BU143" s="201">
        <v>0.9757385043503024</v>
      </c>
      <c r="BV143" s="201">
        <v>0.97946371455289116</v>
      </c>
      <c r="BW143" s="201">
        <v>0.9830865755613718</v>
      </c>
      <c r="BX143" s="201">
        <v>0.986618160723023</v>
      </c>
      <c r="BY143" s="201">
        <v>0.99006783816797395</v>
      </c>
      <c r="BZ143" s="201">
        <v>0.99344360390240294</v>
      </c>
      <c r="CA143" s="201">
        <v>0.99675233734257918</v>
      </c>
      <c r="CB143" s="201">
        <v>1</v>
      </c>
    </row>
    <row r="144" spans="1:80" x14ac:dyDescent="0.35">
      <c r="A144" t="s">
        <v>745</v>
      </c>
      <c r="C144" s="206" t="s">
        <v>893</v>
      </c>
      <c r="D144" t="s">
        <v>896</v>
      </c>
      <c r="E144" s="130">
        <v>1142.19</v>
      </c>
      <c r="F144" s="130">
        <f>NYSERDA_SupplyCurve_Raw[[#This Row],[Available Capacity (MWac)]]*NYSERDA_SupplyCurve_Raw[[#This Row],[2024 Weighted Avg Resource CapEx ($/kWac)]]</f>
        <v>5722371.6139692133</v>
      </c>
      <c r="G144" s="130">
        <f>NYSERDA_SupplyCurve_Raw[[#This Row],[Available Capacity (MWac)]]*NYSERDA_SupplyCurve_Raw[[#This Row],[2024 Weighted Avg OpEx ($/kWac-year)]]</f>
        <v>97255.010731619856</v>
      </c>
      <c r="H144" s="130">
        <v>5009.9997495768766</v>
      </c>
      <c r="I144" s="130">
        <v>1715.685400619949</v>
      </c>
      <c r="J144" s="130">
        <v>85.147839441441306</v>
      </c>
      <c r="K144" s="130">
        <f>NYSERDA_SupplyCurve_Raw[[#This Row],[2024 Weighted Avg Capacity Factor]]*NYSERDA_SupplyCurve_Raw[[#This Row],[Available Capacity (MWac)]]</f>
        <v>619.72510891317756</v>
      </c>
      <c r="L144" s="205">
        <v>0.54257619915528721</v>
      </c>
      <c r="M144" s="201">
        <v>0.92827576817647039</v>
      </c>
      <c r="N144" s="201">
        <v>1.0089777427723123</v>
      </c>
      <c r="O144" s="201">
        <v>1.0929009503181972</v>
      </c>
      <c r="P144" s="201">
        <v>1.0714527691682025</v>
      </c>
      <c r="Q144" s="201">
        <v>1.0484398270825899</v>
      </c>
      <c r="R144" s="201">
        <v>1.023801491146149</v>
      </c>
      <c r="S144" s="201">
        <v>0.99747516708810491</v>
      </c>
      <c r="T144" s="201">
        <v>0.99475266119684524</v>
      </c>
      <c r="U144" s="201">
        <v>0.98662584431917721</v>
      </c>
      <c r="V144" s="201">
        <v>0.98262282519072996</v>
      </c>
      <c r="W144" s="201">
        <v>0.98160628494334301</v>
      </c>
      <c r="X144" s="201">
        <v>0.98263096797591432</v>
      </c>
      <c r="Y144" s="201">
        <v>0.98368707364521513</v>
      </c>
      <c r="Z144" s="201">
        <v>0.98604391453480567</v>
      </c>
      <c r="AA144" s="201">
        <v>0.98960779492998296</v>
      </c>
      <c r="AB144" s="201">
        <v>0.99428767166828014</v>
      </c>
      <c r="AC144" s="201">
        <v>1</v>
      </c>
      <c r="AD144" s="201">
        <v>0.69500809117143159</v>
      </c>
      <c r="AE144" s="201">
        <v>0.71099327726837447</v>
      </c>
      <c r="AF144" s="201">
        <v>0.72734612264554699</v>
      </c>
      <c r="AG144" s="201">
        <v>0.7440750834663945</v>
      </c>
      <c r="AH144" s="201">
        <v>0.76118881038612152</v>
      </c>
      <c r="AI144" s="201">
        <v>0.77869615302500228</v>
      </c>
      <c r="AJ144" s="201">
        <v>0.79660616454457711</v>
      </c>
      <c r="AK144" s="201">
        <v>0.8149281063291024</v>
      </c>
      <c r="AL144" s="201">
        <v>0.8336714527746717</v>
      </c>
      <c r="AM144" s="201">
        <v>0.85284589618848905</v>
      </c>
      <c r="AN144" s="201">
        <v>0.87246135180082418</v>
      </c>
      <c r="AO144" s="201">
        <v>0.89252796289224312</v>
      </c>
      <c r="AP144" s="201">
        <v>0.91305610603876464</v>
      </c>
      <c r="AQ144" s="201">
        <v>0.93405639647765615</v>
      </c>
      <c r="AR144" s="201">
        <v>0.95553969359664193</v>
      </c>
      <c r="AS144" s="201">
        <v>0.97751710654936463</v>
      </c>
      <c r="AT144" s="201">
        <v>1</v>
      </c>
      <c r="AU144" s="201">
        <v>0.8458264017835766</v>
      </c>
      <c r="AV144" s="201">
        <v>0.91936043458863603</v>
      </c>
      <c r="AW144" s="201">
        <v>0.99582959073618482</v>
      </c>
      <c r="AX144" s="201">
        <v>0.9762864350179874</v>
      </c>
      <c r="AY144" s="201">
        <v>0.95531750028325291</v>
      </c>
      <c r="AZ144" s="201">
        <v>0.93286753902659658</v>
      </c>
      <c r="BA144" s="201">
        <v>0.90887951659448374</v>
      </c>
      <c r="BB144" s="201">
        <v>0.91829818156145138</v>
      </c>
      <c r="BC144" s="201">
        <v>0.92766930785262103</v>
      </c>
      <c r="BD144" s="201">
        <v>0.9369857262151382</v>
      </c>
      <c r="BE144" s="201">
        <v>0.94623996275847766</v>
      </c>
      <c r="BF144" s="201">
        <v>0.95542422873364263</v>
      </c>
      <c r="BG144" s="201">
        <v>0.96453041000336592</v>
      </c>
      <c r="BH144" s="201">
        <v>0.97355005619449653</v>
      </c>
      <c r="BI144" s="201">
        <v>0.98247436952352707</v>
      </c>
      <c r="BJ144" s="201">
        <v>0.99129419328596635</v>
      </c>
      <c r="BK144" s="201">
        <v>1</v>
      </c>
      <c r="BL144" s="201">
        <v>0.91069139752368966</v>
      </c>
      <c r="BM144" s="201">
        <v>0.92043958547124205</v>
      </c>
      <c r="BN144" s="201">
        <v>0.92972276045501701</v>
      </c>
      <c r="BO144" s="201">
        <v>0.93863912683432671</v>
      </c>
      <c r="BP144" s="201">
        <v>0.94725872978163761</v>
      </c>
      <c r="BQ144" s="201">
        <v>0.95563328806171821</v>
      </c>
      <c r="BR144" s="201">
        <v>0.96380207747468583</v>
      </c>
      <c r="BS144" s="201">
        <v>0.9679254201754568</v>
      </c>
      <c r="BT144" s="201">
        <v>0.97189772565209742</v>
      </c>
      <c r="BU144" s="201">
        <v>0.97573850435030252</v>
      </c>
      <c r="BV144" s="201">
        <v>0.97946371455289138</v>
      </c>
      <c r="BW144" s="201">
        <v>0.9830865755613718</v>
      </c>
      <c r="BX144" s="201">
        <v>0.986618160723023</v>
      </c>
      <c r="BY144" s="201">
        <v>0.99006783816797395</v>
      </c>
      <c r="BZ144" s="201">
        <v>0.99344360390240283</v>
      </c>
      <c r="CA144" s="201">
        <v>0.99675233734257918</v>
      </c>
      <c r="CB144" s="201">
        <v>1</v>
      </c>
    </row>
    <row r="145" spans="1:80" x14ac:dyDescent="0.35">
      <c r="A145" t="s">
        <v>745</v>
      </c>
      <c r="C145" s="206" t="s">
        <v>893</v>
      </c>
      <c r="D145" t="s">
        <v>897</v>
      </c>
      <c r="E145" s="130">
        <v>1142.19</v>
      </c>
      <c r="F145" s="130">
        <f>NYSERDA_SupplyCurve_Raw[[#This Row],[Available Capacity (MWac)]]*NYSERDA_SupplyCurve_Raw[[#This Row],[2024 Weighted Avg Resource CapEx ($/kWac)]]</f>
        <v>5722371.6139692133</v>
      </c>
      <c r="G145" s="130">
        <f>NYSERDA_SupplyCurve_Raw[[#This Row],[Available Capacity (MWac)]]*NYSERDA_SupplyCurve_Raw[[#This Row],[2024 Weighted Avg OpEx ($/kWac-year)]]</f>
        <v>97255.010731619856</v>
      </c>
      <c r="H145" s="130">
        <v>5009.9997495768766</v>
      </c>
      <c r="I145" s="130">
        <v>1655.6359474480514</v>
      </c>
      <c r="J145" s="130">
        <v>85.147839441441306</v>
      </c>
      <c r="K145" s="130">
        <f>NYSERDA_SupplyCurve_Raw[[#This Row],[2024 Weighted Avg Capacity Factor]]*NYSERDA_SupplyCurve_Raw[[#This Row],[Available Capacity (MWac)]]</f>
        <v>623.53099494539765</v>
      </c>
      <c r="L145" s="205">
        <v>0.54590829454416312</v>
      </c>
      <c r="M145" s="201">
        <v>0.92827576817647039</v>
      </c>
      <c r="N145" s="201">
        <v>1.0089777427723123</v>
      </c>
      <c r="O145" s="201">
        <v>1.0929009503181972</v>
      </c>
      <c r="P145" s="201">
        <v>1.0714527691682025</v>
      </c>
      <c r="Q145" s="201">
        <v>1.0484398270825899</v>
      </c>
      <c r="R145" s="201">
        <v>1.023801491146149</v>
      </c>
      <c r="S145" s="201">
        <v>0.99747516708810491</v>
      </c>
      <c r="T145" s="201">
        <v>0.99475266119684524</v>
      </c>
      <c r="U145" s="201">
        <v>0.98662584431917721</v>
      </c>
      <c r="V145" s="201">
        <v>0.98262282519072996</v>
      </c>
      <c r="W145" s="201">
        <v>0.98160628494334301</v>
      </c>
      <c r="X145" s="201">
        <v>0.98263096797591432</v>
      </c>
      <c r="Y145" s="201">
        <v>0.98368707364521513</v>
      </c>
      <c r="Z145" s="201">
        <v>0.98604391453480567</v>
      </c>
      <c r="AA145" s="201">
        <v>0.98960779492998296</v>
      </c>
      <c r="AB145" s="201">
        <v>0.99428767166828014</v>
      </c>
      <c r="AC145" s="201">
        <v>1</v>
      </c>
      <c r="AD145" s="201">
        <v>0.69500809117143159</v>
      </c>
      <c r="AE145" s="201">
        <v>0.71099327726837447</v>
      </c>
      <c r="AF145" s="201">
        <v>0.7273461226455471</v>
      </c>
      <c r="AG145" s="201">
        <v>0.74407508346639462</v>
      </c>
      <c r="AH145" s="201">
        <v>0.76118881038612152</v>
      </c>
      <c r="AI145" s="201">
        <v>0.77869615302500239</v>
      </c>
      <c r="AJ145" s="201">
        <v>0.79660616454457711</v>
      </c>
      <c r="AK145" s="201">
        <v>0.81492810632910251</v>
      </c>
      <c r="AL145" s="201">
        <v>0.83367145277467158</v>
      </c>
      <c r="AM145" s="201">
        <v>0.85284589618848905</v>
      </c>
      <c r="AN145" s="201">
        <v>0.87246135180082429</v>
      </c>
      <c r="AO145" s="201">
        <v>0.89252796289224323</v>
      </c>
      <c r="AP145" s="201">
        <v>0.91305610603876464</v>
      </c>
      <c r="AQ145" s="201">
        <v>0.93405639647765615</v>
      </c>
      <c r="AR145" s="201">
        <v>0.95553969359664193</v>
      </c>
      <c r="AS145" s="201">
        <v>0.97751710654936474</v>
      </c>
      <c r="AT145" s="201">
        <v>1</v>
      </c>
      <c r="AU145" s="201">
        <v>0.8458264017835766</v>
      </c>
      <c r="AV145" s="201">
        <v>0.91936043458863603</v>
      </c>
      <c r="AW145" s="201">
        <v>0.99582959073618482</v>
      </c>
      <c r="AX145" s="201">
        <v>0.9762864350179874</v>
      </c>
      <c r="AY145" s="201">
        <v>0.95531750028325291</v>
      </c>
      <c r="AZ145" s="201">
        <v>0.93286753902659658</v>
      </c>
      <c r="BA145" s="201">
        <v>0.90887951659448374</v>
      </c>
      <c r="BB145" s="201">
        <v>0.91829818156145138</v>
      </c>
      <c r="BC145" s="201">
        <v>0.92766930785262103</v>
      </c>
      <c r="BD145" s="201">
        <v>0.9369857262151382</v>
      </c>
      <c r="BE145" s="201">
        <v>0.94623996275847766</v>
      </c>
      <c r="BF145" s="201">
        <v>0.95542422873364263</v>
      </c>
      <c r="BG145" s="201">
        <v>0.96453041000336592</v>
      </c>
      <c r="BH145" s="201">
        <v>0.97355005619449653</v>
      </c>
      <c r="BI145" s="201">
        <v>0.98247436952352707</v>
      </c>
      <c r="BJ145" s="201">
        <v>0.99129419328596635</v>
      </c>
      <c r="BK145" s="201">
        <v>1</v>
      </c>
      <c r="BL145" s="201">
        <v>0.91069139752368955</v>
      </c>
      <c r="BM145" s="201">
        <v>0.92043958547124194</v>
      </c>
      <c r="BN145" s="201">
        <v>0.92972276045501689</v>
      </c>
      <c r="BO145" s="201">
        <v>0.93863912683432649</v>
      </c>
      <c r="BP145" s="201">
        <v>0.94725872978163772</v>
      </c>
      <c r="BQ145" s="201">
        <v>0.95563328806171821</v>
      </c>
      <c r="BR145" s="201">
        <v>0.96380207747468583</v>
      </c>
      <c r="BS145" s="201">
        <v>0.96792542017545657</v>
      </c>
      <c r="BT145" s="201">
        <v>0.97189772565209731</v>
      </c>
      <c r="BU145" s="201">
        <v>0.9757385043503024</v>
      </c>
      <c r="BV145" s="201">
        <v>0.97946371455289116</v>
      </c>
      <c r="BW145" s="201">
        <v>0.98308657556137169</v>
      </c>
      <c r="BX145" s="201">
        <v>0.98661816072302311</v>
      </c>
      <c r="BY145" s="201">
        <v>0.99006783816797395</v>
      </c>
      <c r="BZ145" s="201">
        <v>0.99344360390240272</v>
      </c>
      <c r="CA145" s="201">
        <v>0.99675233734257918</v>
      </c>
      <c r="CB145" s="201">
        <v>1</v>
      </c>
    </row>
    <row r="146" spans="1:80" x14ac:dyDescent="0.35">
      <c r="A146" t="s">
        <v>745</v>
      </c>
      <c r="C146" s="206" t="s">
        <v>893</v>
      </c>
      <c r="D146" t="s">
        <v>898</v>
      </c>
      <c r="E146" s="130">
        <v>1538.46</v>
      </c>
      <c r="F146" s="130">
        <f>NYSERDA_SupplyCurve_Raw[[#This Row],[Available Capacity (MWac)]]*NYSERDA_SupplyCurve_Raw[[#This Row],[2024 Weighted Avg Resource CapEx ($/kWac)]]</f>
        <v>8720010.5499330498</v>
      </c>
      <c r="G146" s="130">
        <f>NYSERDA_SupplyCurve_Raw[[#This Row],[Available Capacity (MWac)]]*NYSERDA_SupplyCurve_Raw[[#This Row],[2024 Weighted Avg OpEx ($/kWac-year)]]</f>
        <v>138592.64538181075</v>
      </c>
      <c r="H146" s="130">
        <v>5668.0125254690083</v>
      </c>
      <c r="I146" s="130">
        <v>1677.5527679805164</v>
      </c>
      <c r="J146" s="130">
        <v>90.085309583486577</v>
      </c>
      <c r="K146" s="130">
        <f>NYSERDA_SupplyCurve_Raw[[#This Row],[2024 Weighted Avg Capacity Factor]]*NYSERDA_SupplyCurve_Raw[[#This Row],[Available Capacity (MWac)]]</f>
        <v>839.85807482441317</v>
      </c>
      <c r="L146" s="205">
        <v>0.54590829454416312</v>
      </c>
      <c r="M146" s="201">
        <v>0.92827576817647051</v>
      </c>
      <c r="N146" s="201">
        <v>1.0089777427723123</v>
      </c>
      <c r="O146" s="201">
        <v>1.0929009503181972</v>
      </c>
      <c r="P146" s="201">
        <v>1.0714527691682025</v>
      </c>
      <c r="Q146" s="201">
        <v>1.0484398270825896</v>
      </c>
      <c r="R146" s="201">
        <v>1.023801491146149</v>
      </c>
      <c r="S146" s="201">
        <v>0.9974751670881048</v>
      </c>
      <c r="T146" s="201">
        <v>0.99475266119684524</v>
      </c>
      <c r="U146" s="201">
        <v>0.98662584431917721</v>
      </c>
      <c r="V146" s="201">
        <v>0.98262282519072996</v>
      </c>
      <c r="W146" s="201">
        <v>0.98160628494334312</v>
      </c>
      <c r="X146" s="201">
        <v>0.98263096797591432</v>
      </c>
      <c r="Y146" s="201">
        <v>0.98368707364521513</v>
      </c>
      <c r="Z146" s="201">
        <v>0.98604391453480567</v>
      </c>
      <c r="AA146" s="201">
        <v>0.98960779492998308</v>
      </c>
      <c r="AB146" s="201">
        <v>0.99428767166828003</v>
      </c>
      <c r="AC146" s="201">
        <v>1</v>
      </c>
      <c r="AD146" s="201">
        <v>0.69500809117143147</v>
      </c>
      <c r="AE146" s="201">
        <v>0.71099327726837447</v>
      </c>
      <c r="AF146" s="201">
        <v>0.72734612264554699</v>
      </c>
      <c r="AG146" s="201">
        <v>0.7440750834663945</v>
      </c>
      <c r="AH146" s="201">
        <v>0.76118881038612152</v>
      </c>
      <c r="AI146" s="201">
        <v>0.77869615302500228</v>
      </c>
      <c r="AJ146" s="201">
        <v>0.79660616454457711</v>
      </c>
      <c r="AK146" s="201">
        <v>0.81492810632910229</v>
      </c>
      <c r="AL146" s="201">
        <v>0.83367145277467158</v>
      </c>
      <c r="AM146" s="201">
        <v>0.85284589618848894</v>
      </c>
      <c r="AN146" s="201">
        <v>0.87246135180082429</v>
      </c>
      <c r="AO146" s="201">
        <v>0.89252796289224312</v>
      </c>
      <c r="AP146" s="201">
        <v>0.91305610603876453</v>
      </c>
      <c r="AQ146" s="201">
        <v>0.93405639647765615</v>
      </c>
      <c r="AR146" s="201">
        <v>0.95553969359664193</v>
      </c>
      <c r="AS146" s="201">
        <v>0.97751710654936463</v>
      </c>
      <c r="AT146" s="201">
        <v>1</v>
      </c>
      <c r="AU146" s="201">
        <v>0.84582640178357649</v>
      </c>
      <c r="AV146" s="201">
        <v>0.91936043458863603</v>
      </c>
      <c r="AW146" s="201">
        <v>0.99582959073618482</v>
      </c>
      <c r="AX146" s="201">
        <v>0.97628643501798729</v>
      </c>
      <c r="AY146" s="201">
        <v>0.95531750028325291</v>
      </c>
      <c r="AZ146" s="201">
        <v>0.93286753902659669</v>
      </c>
      <c r="BA146" s="201">
        <v>0.90887951659448374</v>
      </c>
      <c r="BB146" s="201">
        <v>0.91829818156145138</v>
      </c>
      <c r="BC146" s="201">
        <v>0.92766930785262114</v>
      </c>
      <c r="BD146" s="201">
        <v>0.93698572621513831</v>
      </c>
      <c r="BE146" s="201">
        <v>0.94623996275847777</v>
      </c>
      <c r="BF146" s="201">
        <v>0.95542422873364286</v>
      </c>
      <c r="BG146" s="201">
        <v>0.96453041000336592</v>
      </c>
      <c r="BH146" s="201">
        <v>0.97355005619449653</v>
      </c>
      <c r="BI146" s="201">
        <v>0.98247436952352707</v>
      </c>
      <c r="BJ146" s="201">
        <v>0.99129419328596635</v>
      </c>
      <c r="BK146" s="201">
        <v>1</v>
      </c>
      <c r="BL146" s="201">
        <v>0.91069139752368955</v>
      </c>
      <c r="BM146" s="201">
        <v>0.92043958547124194</v>
      </c>
      <c r="BN146" s="201">
        <v>0.92972276045501689</v>
      </c>
      <c r="BO146" s="201">
        <v>0.93863912683432649</v>
      </c>
      <c r="BP146" s="201">
        <v>0.94725872978163772</v>
      </c>
      <c r="BQ146" s="201">
        <v>0.95563328806171821</v>
      </c>
      <c r="BR146" s="201">
        <v>0.96380207747468583</v>
      </c>
      <c r="BS146" s="201">
        <v>0.96792542017545657</v>
      </c>
      <c r="BT146" s="201">
        <v>0.97189772565209731</v>
      </c>
      <c r="BU146" s="201">
        <v>0.9757385043503024</v>
      </c>
      <c r="BV146" s="201">
        <v>0.97946371455289116</v>
      </c>
      <c r="BW146" s="201">
        <v>0.98308657556137169</v>
      </c>
      <c r="BX146" s="201">
        <v>0.98661816072302311</v>
      </c>
      <c r="BY146" s="201">
        <v>0.99006783816797395</v>
      </c>
      <c r="BZ146" s="201">
        <v>0.99344360390240272</v>
      </c>
      <c r="CA146" s="201">
        <v>0.99675233734257918</v>
      </c>
      <c r="CB146" s="201">
        <v>1</v>
      </c>
    </row>
    <row r="147" spans="1:80" x14ac:dyDescent="0.35">
      <c r="A147" t="s">
        <v>745</v>
      </c>
      <c r="C147" s="206" t="s">
        <v>893</v>
      </c>
      <c r="D147" t="s">
        <v>899</v>
      </c>
      <c r="E147" s="130">
        <v>1305.3599999999999</v>
      </c>
      <c r="F147" s="130">
        <f>NYSERDA_SupplyCurve_Raw[[#This Row],[Available Capacity (MWac)]]*NYSERDA_SupplyCurve_Raw[[#This Row],[2024 Weighted Avg Resource CapEx ($/kWac)]]</f>
        <v>7258317.3964997996</v>
      </c>
      <c r="G147" s="130">
        <f>NYSERDA_SupplyCurve_Raw[[#This Row],[Available Capacity (MWac)]]*NYSERDA_SupplyCurve_Raw[[#This Row],[2024 Weighted Avg OpEx ($/kWac-year)]]</f>
        <v>113958.0688208502</v>
      </c>
      <c r="H147" s="130">
        <v>5560.3951373565915</v>
      </c>
      <c r="I147" s="130">
        <v>1481.2631727151236</v>
      </c>
      <c r="J147" s="130">
        <v>87.300107878937766</v>
      </c>
      <c r="K147" s="130">
        <f>NYSERDA_SupplyCurve_Raw[[#This Row],[2024 Weighted Avg Capacity Factor]]*NYSERDA_SupplyCurve_Raw[[#This Row],[Available Capacity (MWac)]]</f>
        <v>713.62175430809407</v>
      </c>
      <c r="L147" s="205">
        <v>0.54668578346823415</v>
      </c>
      <c r="M147" s="201">
        <v>0.92827576817647039</v>
      </c>
      <c r="N147" s="201">
        <v>1.0089777427723121</v>
      </c>
      <c r="O147" s="201">
        <v>1.0929009503181972</v>
      </c>
      <c r="P147" s="201">
        <v>1.0714527691682025</v>
      </c>
      <c r="Q147" s="201">
        <v>1.0484398270825896</v>
      </c>
      <c r="R147" s="201">
        <v>1.023801491146149</v>
      </c>
      <c r="S147" s="201">
        <v>0.99747516708810469</v>
      </c>
      <c r="T147" s="201">
        <v>0.99475266119684513</v>
      </c>
      <c r="U147" s="201">
        <v>0.98662584431917721</v>
      </c>
      <c r="V147" s="201">
        <v>0.98262282519072996</v>
      </c>
      <c r="W147" s="201">
        <v>0.98160628494334312</v>
      </c>
      <c r="X147" s="201">
        <v>0.9826309679759142</v>
      </c>
      <c r="Y147" s="201">
        <v>0.98368707364521502</v>
      </c>
      <c r="Z147" s="201">
        <v>0.98604391453480555</v>
      </c>
      <c r="AA147" s="201">
        <v>0.98960779492998285</v>
      </c>
      <c r="AB147" s="201">
        <v>0.99428767166828014</v>
      </c>
      <c r="AC147" s="201">
        <v>1</v>
      </c>
      <c r="AD147" s="201">
        <v>0.6950080911714317</v>
      </c>
      <c r="AE147" s="201">
        <v>0.71099327726837458</v>
      </c>
      <c r="AF147" s="201">
        <v>0.72734612264554699</v>
      </c>
      <c r="AG147" s="201">
        <v>0.74407508346639462</v>
      </c>
      <c r="AH147" s="201">
        <v>0.76118881038612152</v>
      </c>
      <c r="AI147" s="201">
        <v>0.77869615302500228</v>
      </c>
      <c r="AJ147" s="201">
        <v>0.79660616454457722</v>
      </c>
      <c r="AK147" s="201">
        <v>0.81492810632910251</v>
      </c>
      <c r="AL147" s="201">
        <v>0.8336714527746717</v>
      </c>
      <c r="AM147" s="201">
        <v>0.85284589618848905</v>
      </c>
      <c r="AN147" s="201">
        <v>0.87246135180082429</v>
      </c>
      <c r="AO147" s="201">
        <v>0.89252796289224323</v>
      </c>
      <c r="AP147" s="201">
        <v>0.91305610603876464</v>
      </c>
      <c r="AQ147" s="201">
        <v>0.93405639647765615</v>
      </c>
      <c r="AR147" s="201">
        <v>0.95553969359664204</v>
      </c>
      <c r="AS147" s="201">
        <v>0.97751710654936474</v>
      </c>
      <c r="AT147" s="201">
        <v>1</v>
      </c>
      <c r="AU147" s="201">
        <v>0.84582640178357649</v>
      </c>
      <c r="AV147" s="201">
        <v>0.91936043458863592</v>
      </c>
      <c r="AW147" s="201">
        <v>0.99582959073618493</v>
      </c>
      <c r="AX147" s="201">
        <v>0.9762864350179874</v>
      </c>
      <c r="AY147" s="201">
        <v>0.95531750028325291</v>
      </c>
      <c r="AZ147" s="201">
        <v>0.93286753902659658</v>
      </c>
      <c r="BA147" s="201">
        <v>0.90887951659448385</v>
      </c>
      <c r="BB147" s="201">
        <v>0.91829818156145149</v>
      </c>
      <c r="BC147" s="201">
        <v>0.92766930785262125</v>
      </c>
      <c r="BD147" s="201">
        <v>0.93698572621513831</v>
      </c>
      <c r="BE147" s="201">
        <v>0.94623996275847777</v>
      </c>
      <c r="BF147" s="201">
        <v>0.95542422873364263</v>
      </c>
      <c r="BG147" s="201">
        <v>0.96453041000336581</v>
      </c>
      <c r="BH147" s="201">
        <v>0.97355005619449653</v>
      </c>
      <c r="BI147" s="201">
        <v>0.98247436952352707</v>
      </c>
      <c r="BJ147" s="201">
        <v>0.99129419328596635</v>
      </c>
      <c r="BK147" s="201">
        <v>1</v>
      </c>
      <c r="BL147" s="201">
        <v>0.91069139752368955</v>
      </c>
      <c r="BM147" s="201">
        <v>0.92043958547124205</v>
      </c>
      <c r="BN147" s="201">
        <v>0.92972276045501701</v>
      </c>
      <c r="BO147" s="201">
        <v>0.93863912683432671</v>
      </c>
      <c r="BP147" s="201">
        <v>0.94725872978163772</v>
      </c>
      <c r="BQ147" s="201">
        <v>0.95563328806171821</v>
      </c>
      <c r="BR147" s="201">
        <v>0.96380207747468583</v>
      </c>
      <c r="BS147" s="201">
        <v>0.96792542017545669</v>
      </c>
      <c r="BT147" s="201">
        <v>0.9718977256520972</v>
      </c>
      <c r="BU147" s="201">
        <v>0.97573850435030252</v>
      </c>
      <c r="BV147" s="201">
        <v>0.97946371455289138</v>
      </c>
      <c r="BW147" s="201">
        <v>0.9830865755613718</v>
      </c>
      <c r="BX147" s="201">
        <v>0.98661816072302311</v>
      </c>
      <c r="BY147" s="201">
        <v>0.99006783816797395</v>
      </c>
      <c r="BZ147" s="201">
        <v>0.99344360390240294</v>
      </c>
      <c r="CA147" s="201">
        <v>0.99675233734257918</v>
      </c>
      <c r="CB147" s="201">
        <v>1</v>
      </c>
    </row>
    <row r="148" spans="1:80" x14ac:dyDescent="0.35">
      <c r="A148" t="s">
        <v>745</v>
      </c>
      <c r="C148" s="206" t="s">
        <v>893</v>
      </c>
      <c r="D148" t="s">
        <v>900</v>
      </c>
      <c r="E148" s="130">
        <v>1080.6599999999999</v>
      </c>
      <c r="F148" s="130">
        <f>NYSERDA_SupplyCurve_Raw[[#This Row],[Available Capacity (MWac)]]*NYSERDA_SupplyCurve_Raw[[#This Row],[2024 Weighted Avg Resource CapEx ($/kWac)]]</f>
        <v>5435929.5744961519</v>
      </c>
      <c r="G148" s="130">
        <f>NYSERDA_SupplyCurve_Raw[[#This Row],[Available Capacity (MWac)]]*NYSERDA_SupplyCurve_Raw[[#This Row],[2024 Weighted Avg OpEx ($/kWac-year)]]</f>
        <v>92681.437878987665</v>
      </c>
      <c r="H148" s="130">
        <v>5030.1941170175196</v>
      </c>
      <c r="I148" s="130">
        <v>1893.9272014619432</v>
      </c>
      <c r="J148" s="130">
        <v>85.7637350128511</v>
      </c>
      <c r="K148" s="130">
        <f>NYSERDA_SupplyCurve_Raw[[#This Row],[2024 Weighted Avg Capacity Factor]]*NYSERDA_SupplyCurve_Raw[[#This Row],[Available Capacity (MWac)]]</f>
        <v>606.86530993592555</v>
      </c>
      <c r="L148" s="205">
        <v>0.56156914287187976</v>
      </c>
      <c r="M148" s="201">
        <v>0.92827576817647028</v>
      </c>
      <c r="N148" s="201">
        <v>1.0089777427723121</v>
      </c>
      <c r="O148" s="201">
        <v>1.092900950318197</v>
      </c>
      <c r="P148" s="201">
        <v>1.0714527691682023</v>
      </c>
      <c r="Q148" s="201">
        <v>1.0484398270825894</v>
      </c>
      <c r="R148" s="201">
        <v>1.023801491146149</v>
      </c>
      <c r="S148" s="201">
        <v>0.99747516708810469</v>
      </c>
      <c r="T148" s="201">
        <v>0.99475266119684513</v>
      </c>
      <c r="U148" s="201">
        <v>0.98662584431917721</v>
      </c>
      <c r="V148" s="201">
        <v>0.98262282519072985</v>
      </c>
      <c r="W148" s="201">
        <v>0.9816062849433429</v>
      </c>
      <c r="X148" s="201">
        <v>0.98263096797591432</v>
      </c>
      <c r="Y148" s="201">
        <v>0.98368707364521502</v>
      </c>
      <c r="Z148" s="201">
        <v>0.98604391453480544</v>
      </c>
      <c r="AA148" s="201">
        <v>0.98960779492998285</v>
      </c>
      <c r="AB148" s="201">
        <v>0.99428767166828003</v>
      </c>
      <c r="AC148" s="201">
        <v>1</v>
      </c>
      <c r="AD148" s="201">
        <v>0.6950080911714317</v>
      </c>
      <c r="AE148" s="201">
        <v>0.71099327726837447</v>
      </c>
      <c r="AF148" s="201">
        <v>0.7273461226455471</v>
      </c>
      <c r="AG148" s="201">
        <v>0.7440750834663945</v>
      </c>
      <c r="AH148" s="201">
        <v>0.76118881038612152</v>
      </c>
      <c r="AI148" s="201">
        <v>0.77869615302500239</v>
      </c>
      <c r="AJ148" s="201">
        <v>0.79660616454457722</v>
      </c>
      <c r="AK148" s="201">
        <v>0.81492810632910251</v>
      </c>
      <c r="AL148" s="201">
        <v>0.8336714527746717</v>
      </c>
      <c r="AM148" s="201">
        <v>0.85284589618848905</v>
      </c>
      <c r="AN148" s="201">
        <v>0.87246135180082429</v>
      </c>
      <c r="AO148" s="201">
        <v>0.89252796289224323</v>
      </c>
      <c r="AP148" s="201">
        <v>0.91305610603876464</v>
      </c>
      <c r="AQ148" s="201">
        <v>0.93405639647765615</v>
      </c>
      <c r="AR148" s="201">
        <v>0.95553969359664204</v>
      </c>
      <c r="AS148" s="201">
        <v>0.97751710654936474</v>
      </c>
      <c r="AT148" s="201">
        <v>1</v>
      </c>
      <c r="AU148" s="201">
        <v>0.8458264017835766</v>
      </c>
      <c r="AV148" s="201">
        <v>0.91936043458863592</v>
      </c>
      <c r="AW148" s="201">
        <v>0.99582959073618482</v>
      </c>
      <c r="AX148" s="201">
        <v>0.9762864350179874</v>
      </c>
      <c r="AY148" s="201">
        <v>0.95531750028325291</v>
      </c>
      <c r="AZ148" s="201">
        <v>0.93286753902659658</v>
      </c>
      <c r="BA148" s="201">
        <v>0.90887951659448374</v>
      </c>
      <c r="BB148" s="201">
        <v>0.91829818156145149</v>
      </c>
      <c r="BC148" s="201">
        <v>0.92766930785262103</v>
      </c>
      <c r="BD148" s="201">
        <v>0.93698572621513843</v>
      </c>
      <c r="BE148" s="201">
        <v>0.94623996275847766</v>
      </c>
      <c r="BF148" s="201">
        <v>0.95542422873364274</v>
      </c>
      <c r="BG148" s="201">
        <v>0.96453041000336581</v>
      </c>
      <c r="BH148" s="201">
        <v>0.97355005619449653</v>
      </c>
      <c r="BI148" s="201">
        <v>0.98247436952352696</v>
      </c>
      <c r="BJ148" s="201">
        <v>0.99129419328596646</v>
      </c>
      <c r="BK148" s="201">
        <v>1</v>
      </c>
      <c r="BL148" s="201">
        <v>0.91069139752368955</v>
      </c>
      <c r="BM148" s="201">
        <v>0.92043958547124205</v>
      </c>
      <c r="BN148" s="201">
        <v>0.92972276045501689</v>
      </c>
      <c r="BO148" s="201">
        <v>0.9386391268343266</v>
      </c>
      <c r="BP148" s="201">
        <v>0.94725872978163761</v>
      </c>
      <c r="BQ148" s="201">
        <v>0.9556332880617181</v>
      </c>
      <c r="BR148" s="201">
        <v>0.96380207747468571</v>
      </c>
      <c r="BS148" s="201">
        <v>0.96792542017545669</v>
      </c>
      <c r="BT148" s="201">
        <v>0.9718977256520972</v>
      </c>
      <c r="BU148" s="201">
        <v>0.97573850435030252</v>
      </c>
      <c r="BV148" s="201">
        <v>0.97946371455289127</v>
      </c>
      <c r="BW148" s="201">
        <v>0.9830865755613718</v>
      </c>
      <c r="BX148" s="201">
        <v>0.986618160723023</v>
      </c>
      <c r="BY148" s="201">
        <v>0.99006783816797395</v>
      </c>
      <c r="BZ148" s="201">
        <v>0.99344360390240294</v>
      </c>
      <c r="CA148" s="201">
        <v>0.99675233734257906</v>
      </c>
      <c r="CB148" s="201">
        <v>1</v>
      </c>
    </row>
    <row r="149" spans="1:80" x14ac:dyDescent="0.35">
      <c r="A149" t="s">
        <v>745</v>
      </c>
      <c r="C149" s="206" t="s">
        <v>893</v>
      </c>
      <c r="D149" t="s">
        <v>901</v>
      </c>
      <c r="E149" s="130">
        <v>1317.0149999999999</v>
      </c>
      <c r="F149" s="130">
        <f>NYSERDA_SupplyCurve_Raw[[#This Row],[Available Capacity (MWac)]]*NYSERDA_SupplyCurve_Raw[[#This Row],[2024 Weighted Avg Resource CapEx ($/kWac)]]</f>
        <v>6863888.663892325</v>
      </c>
      <c r="G149" s="130">
        <f>NYSERDA_SupplyCurve_Raw[[#This Row],[Available Capacity (MWac)]]*NYSERDA_SupplyCurve_Raw[[#This Row],[2024 Weighted Avg OpEx ($/kWac-year)]]</f>
        <v>114225.24292379072</v>
      </c>
      <c r="H149" s="130">
        <v>5211.7012060548477</v>
      </c>
      <c r="I149" s="130">
        <v>1877.913034188143</v>
      </c>
      <c r="J149" s="130">
        <v>86.730403923866263</v>
      </c>
      <c r="K149" s="130">
        <f>NYSERDA_SupplyCurve_Raw[[#This Row],[2024 Weighted Avg Capacity Factor]]*NYSERDA_SupplyCurve_Raw[[#This Row],[Available Capacity (MWac)]]</f>
        <v>739.59498469940866</v>
      </c>
      <c r="L149" s="205">
        <v>0.56156914287187976</v>
      </c>
      <c r="M149" s="201">
        <v>0.92827576817647028</v>
      </c>
      <c r="N149" s="201">
        <v>1.0089777427723121</v>
      </c>
      <c r="O149" s="201">
        <v>1.092900950318197</v>
      </c>
      <c r="P149" s="201">
        <v>1.0714527691682025</v>
      </c>
      <c r="Q149" s="201">
        <v>1.0484398270825896</v>
      </c>
      <c r="R149" s="201">
        <v>1.0238014911461488</v>
      </c>
      <c r="S149" s="201">
        <v>0.99747516708810469</v>
      </c>
      <c r="T149" s="201">
        <v>0.99475266119684513</v>
      </c>
      <c r="U149" s="201">
        <v>0.9866258443191771</v>
      </c>
      <c r="V149" s="201">
        <v>0.98262282519072985</v>
      </c>
      <c r="W149" s="201">
        <v>0.9816062849433429</v>
      </c>
      <c r="X149" s="201">
        <v>0.9826309679759142</v>
      </c>
      <c r="Y149" s="201">
        <v>0.98368707364521502</v>
      </c>
      <c r="Z149" s="201">
        <v>0.98604391453480544</v>
      </c>
      <c r="AA149" s="201">
        <v>0.98960779492998285</v>
      </c>
      <c r="AB149" s="201">
        <v>0.99428767166828003</v>
      </c>
      <c r="AC149" s="201">
        <v>1</v>
      </c>
      <c r="AD149" s="201">
        <v>0.69500809117143159</v>
      </c>
      <c r="AE149" s="201">
        <v>0.71099327726837447</v>
      </c>
      <c r="AF149" s="201">
        <v>0.72734612264554699</v>
      </c>
      <c r="AG149" s="201">
        <v>0.7440750834663945</v>
      </c>
      <c r="AH149" s="201">
        <v>0.76118881038612152</v>
      </c>
      <c r="AI149" s="201">
        <v>0.77869615302500228</v>
      </c>
      <c r="AJ149" s="201">
        <v>0.79660616454457711</v>
      </c>
      <c r="AK149" s="201">
        <v>0.8149281063291024</v>
      </c>
      <c r="AL149" s="201">
        <v>0.8336714527746717</v>
      </c>
      <c r="AM149" s="201">
        <v>0.85284589618848905</v>
      </c>
      <c r="AN149" s="201">
        <v>0.87246135180082429</v>
      </c>
      <c r="AO149" s="201">
        <v>0.89252796289224312</v>
      </c>
      <c r="AP149" s="201">
        <v>0.91305610603876453</v>
      </c>
      <c r="AQ149" s="201">
        <v>0.93405639647765615</v>
      </c>
      <c r="AR149" s="201">
        <v>0.95553969359664193</v>
      </c>
      <c r="AS149" s="201">
        <v>0.97751710654936463</v>
      </c>
      <c r="AT149" s="201">
        <v>1</v>
      </c>
      <c r="AU149" s="201">
        <v>0.8458264017835766</v>
      </c>
      <c r="AV149" s="201">
        <v>0.91936043458863603</v>
      </c>
      <c r="AW149" s="201">
        <v>0.99582959073618493</v>
      </c>
      <c r="AX149" s="201">
        <v>0.97628643501798751</v>
      </c>
      <c r="AY149" s="201">
        <v>0.95531750028325291</v>
      </c>
      <c r="AZ149" s="201">
        <v>0.93286753902659658</v>
      </c>
      <c r="BA149" s="201">
        <v>0.90887951659448374</v>
      </c>
      <c r="BB149" s="201">
        <v>0.91829818156145149</v>
      </c>
      <c r="BC149" s="201">
        <v>0.92766930785262114</v>
      </c>
      <c r="BD149" s="201">
        <v>0.93698572621513831</v>
      </c>
      <c r="BE149" s="201">
        <v>0.94623996275847777</v>
      </c>
      <c r="BF149" s="201">
        <v>0.95542422873364274</v>
      </c>
      <c r="BG149" s="201">
        <v>0.96453041000336592</v>
      </c>
      <c r="BH149" s="201">
        <v>0.97355005619449642</v>
      </c>
      <c r="BI149" s="201">
        <v>0.98247436952352707</v>
      </c>
      <c r="BJ149" s="201">
        <v>0.99129419328596635</v>
      </c>
      <c r="BK149" s="201">
        <v>1</v>
      </c>
      <c r="BL149" s="201">
        <v>0.91069139752368955</v>
      </c>
      <c r="BM149" s="201">
        <v>0.92043958547124205</v>
      </c>
      <c r="BN149" s="201">
        <v>0.92972276045501689</v>
      </c>
      <c r="BO149" s="201">
        <v>0.9386391268343266</v>
      </c>
      <c r="BP149" s="201">
        <v>0.94725872978163761</v>
      </c>
      <c r="BQ149" s="201">
        <v>0.9556332880617181</v>
      </c>
      <c r="BR149" s="201">
        <v>0.96380207747468571</v>
      </c>
      <c r="BS149" s="201">
        <v>0.96792542017545669</v>
      </c>
      <c r="BT149" s="201">
        <v>0.9718977256520972</v>
      </c>
      <c r="BU149" s="201">
        <v>0.97573850435030252</v>
      </c>
      <c r="BV149" s="201">
        <v>0.97946371455289127</v>
      </c>
      <c r="BW149" s="201">
        <v>0.9830865755613718</v>
      </c>
      <c r="BX149" s="201">
        <v>0.986618160723023</v>
      </c>
      <c r="BY149" s="201">
        <v>0.99006783816797395</v>
      </c>
      <c r="BZ149" s="201">
        <v>0.99344360390240294</v>
      </c>
      <c r="CA149" s="201">
        <v>0.99675233734257906</v>
      </c>
      <c r="CB149" s="201">
        <v>1</v>
      </c>
    </row>
    <row r="150" spans="1:80" x14ac:dyDescent="0.35">
      <c r="A150" t="s">
        <v>745</v>
      </c>
      <c r="C150" s="206" t="s">
        <v>893</v>
      </c>
      <c r="D150" t="s">
        <v>902</v>
      </c>
      <c r="E150" s="130">
        <v>1317.0149999999999</v>
      </c>
      <c r="F150" s="130">
        <f>NYSERDA_SupplyCurve_Raw[[#This Row],[Available Capacity (MWac)]]*NYSERDA_SupplyCurve_Raw[[#This Row],[2024 Weighted Avg Resource CapEx ($/kWac)]]</f>
        <v>6601096.2296769228</v>
      </c>
      <c r="G150" s="130">
        <f>NYSERDA_SupplyCurve_Raw[[#This Row],[Available Capacity (MWac)]]*NYSERDA_SupplyCurve_Raw[[#This Row],[2024 Weighted Avg OpEx ($/kWac-year)]]</f>
        <v>111691.91915152804</v>
      </c>
      <c r="H150" s="130">
        <v>5012.1648042557781</v>
      </c>
      <c r="I150" s="130">
        <v>1543.328453619074</v>
      </c>
      <c r="J150" s="130">
        <v>84.80686943696773</v>
      </c>
      <c r="K150" s="130">
        <f>NYSERDA_SupplyCurve_Raw[[#This Row],[2024 Weighted Avg Capacity Factor]]*NYSERDA_SupplyCurve_Raw[[#This Row],[Available Capacity (MWac)]]</f>
        <v>740.61894927474395</v>
      </c>
      <c r="L150" s="205">
        <v>0.56234663179595068</v>
      </c>
      <c r="M150" s="201">
        <v>0.92827576817647028</v>
      </c>
      <c r="N150" s="201">
        <v>1.0089777427723121</v>
      </c>
      <c r="O150" s="201">
        <v>1.092900950318197</v>
      </c>
      <c r="P150" s="201">
        <v>1.0714527691682025</v>
      </c>
      <c r="Q150" s="201">
        <v>1.0484398270825896</v>
      </c>
      <c r="R150" s="201">
        <v>1.0238014911461488</v>
      </c>
      <c r="S150" s="201">
        <v>0.99747516708810458</v>
      </c>
      <c r="T150" s="201">
        <v>0.99475266119684513</v>
      </c>
      <c r="U150" s="201">
        <v>0.9866258443191771</v>
      </c>
      <c r="V150" s="201">
        <v>0.98262282519072985</v>
      </c>
      <c r="W150" s="201">
        <v>0.9816062849433429</v>
      </c>
      <c r="X150" s="201">
        <v>0.9826309679759142</v>
      </c>
      <c r="Y150" s="201">
        <v>0.98368707364521502</v>
      </c>
      <c r="Z150" s="201">
        <v>0.98604391453480533</v>
      </c>
      <c r="AA150" s="201">
        <v>0.98960779492998285</v>
      </c>
      <c r="AB150" s="201">
        <v>0.99428767166828003</v>
      </c>
      <c r="AC150" s="201">
        <v>1</v>
      </c>
      <c r="AD150" s="201">
        <v>0.6950080911714317</v>
      </c>
      <c r="AE150" s="201">
        <v>0.71099327726837447</v>
      </c>
      <c r="AF150" s="201">
        <v>0.7273461226455471</v>
      </c>
      <c r="AG150" s="201">
        <v>0.74407508346639462</v>
      </c>
      <c r="AH150" s="201">
        <v>0.76118881038612152</v>
      </c>
      <c r="AI150" s="201">
        <v>0.77869615302500228</v>
      </c>
      <c r="AJ150" s="201">
        <v>0.79660616454457711</v>
      </c>
      <c r="AK150" s="201">
        <v>0.8149281063291024</v>
      </c>
      <c r="AL150" s="201">
        <v>0.8336714527746717</v>
      </c>
      <c r="AM150" s="201">
        <v>0.85284589618848916</v>
      </c>
      <c r="AN150" s="201">
        <v>0.87246135180082429</v>
      </c>
      <c r="AO150" s="201">
        <v>0.89252796289224323</v>
      </c>
      <c r="AP150" s="201">
        <v>0.91305610603876464</v>
      </c>
      <c r="AQ150" s="201">
        <v>0.93405639647765615</v>
      </c>
      <c r="AR150" s="201">
        <v>0.95553969359664204</v>
      </c>
      <c r="AS150" s="201">
        <v>0.97751710654936474</v>
      </c>
      <c r="AT150" s="201">
        <v>1</v>
      </c>
      <c r="AU150" s="201">
        <v>0.8458264017835766</v>
      </c>
      <c r="AV150" s="201">
        <v>0.91936043458863592</v>
      </c>
      <c r="AW150" s="201">
        <v>0.99582959073618482</v>
      </c>
      <c r="AX150" s="201">
        <v>0.9762864350179874</v>
      </c>
      <c r="AY150" s="201">
        <v>0.95531750028325302</v>
      </c>
      <c r="AZ150" s="201">
        <v>0.93286753902659658</v>
      </c>
      <c r="BA150" s="201">
        <v>0.90887951659448374</v>
      </c>
      <c r="BB150" s="201">
        <v>0.9182981815614516</v>
      </c>
      <c r="BC150" s="201">
        <v>0.92766930785262114</v>
      </c>
      <c r="BD150" s="201">
        <v>0.93698572621513831</v>
      </c>
      <c r="BE150" s="201">
        <v>0.94623996275847777</v>
      </c>
      <c r="BF150" s="201">
        <v>0.95542422873364274</v>
      </c>
      <c r="BG150" s="201">
        <v>0.96453041000336581</v>
      </c>
      <c r="BH150" s="201">
        <v>0.97355005619449642</v>
      </c>
      <c r="BI150" s="201">
        <v>0.98247436952352707</v>
      </c>
      <c r="BJ150" s="201">
        <v>0.99129419328596646</v>
      </c>
      <c r="BK150" s="201">
        <v>1</v>
      </c>
      <c r="BL150" s="201">
        <v>0.91069139752368966</v>
      </c>
      <c r="BM150" s="201">
        <v>0.92043958547124194</v>
      </c>
      <c r="BN150" s="201">
        <v>0.92972276045501701</v>
      </c>
      <c r="BO150" s="201">
        <v>0.93863912683432671</v>
      </c>
      <c r="BP150" s="201">
        <v>0.94725872978163772</v>
      </c>
      <c r="BQ150" s="201">
        <v>0.9556332880617181</v>
      </c>
      <c r="BR150" s="201">
        <v>0.96380207747468594</v>
      </c>
      <c r="BS150" s="201">
        <v>0.9679254201754568</v>
      </c>
      <c r="BT150" s="201">
        <v>0.9718977256520972</v>
      </c>
      <c r="BU150" s="201">
        <v>0.97573850435030263</v>
      </c>
      <c r="BV150" s="201">
        <v>0.97946371455289127</v>
      </c>
      <c r="BW150" s="201">
        <v>0.98308657556137169</v>
      </c>
      <c r="BX150" s="201">
        <v>0.98661816072302311</v>
      </c>
      <c r="BY150" s="201">
        <v>0.99006783816797406</v>
      </c>
      <c r="BZ150" s="201">
        <v>0.99344360390240283</v>
      </c>
      <c r="CA150" s="201">
        <v>0.99675233734257929</v>
      </c>
      <c r="CB150" s="201">
        <v>1</v>
      </c>
    </row>
    <row r="151" spans="1:80" x14ac:dyDescent="0.35">
      <c r="A151" t="s">
        <v>745</v>
      </c>
      <c r="C151" s="206" t="s">
        <v>893</v>
      </c>
      <c r="D151" t="s">
        <v>903</v>
      </c>
      <c r="E151" s="130">
        <v>780.88499999999999</v>
      </c>
      <c r="F151" s="130">
        <f>NYSERDA_SupplyCurve_Raw[[#This Row],[Available Capacity (MWac)]]*NYSERDA_SupplyCurve_Raw[[#This Row],[2024 Weighted Avg Resource CapEx ($/kWac)]]</f>
        <v>3799974.6683237976</v>
      </c>
      <c r="G151" s="130">
        <f>NYSERDA_SupplyCurve_Raw[[#This Row],[Available Capacity (MWac)]]*NYSERDA_SupplyCurve_Raw[[#This Row],[2024 Weighted Avg OpEx ($/kWac-year)]]</f>
        <v>65524.655878682948</v>
      </c>
      <c r="H151" s="130">
        <v>4866.2410832885735</v>
      </c>
      <c r="I151" s="130">
        <v>1186.7788987918971</v>
      </c>
      <c r="J151" s="130">
        <v>83.910762633016319</v>
      </c>
      <c r="K151" s="130">
        <f>NYSERDA_SupplyCurve_Raw[[#This Row],[2024 Weighted Avg Capacity Factor]]*NYSERDA_SupplyCurve_Raw[[#This Row],[Available Capacity (MWac)]]</f>
        <v>426.46506413896827</v>
      </c>
      <c r="L151" s="205">
        <v>0.54613043423675478</v>
      </c>
      <c r="M151" s="201">
        <v>0.92827576817647039</v>
      </c>
      <c r="N151" s="201">
        <v>1.0089777427723123</v>
      </c>
      <c r="O151" s="201">
        <v>1.0929009503181972</v>
      </c>
      <c r="P151" s="201">
        <v>1.0714527691682025</v>
      </c>
      <c r="Q151" s="201">
        <v>1.0484398270825899</v>
      </c>
      <c r="R151" s="201">
        <v>1.023801491146149</v>
      </c>
      <c r="S151" s="201">
        <v>0.99747516708810491</v>
      </c>
      <c r="T151" s="201">
        <v>0.99475266119684536</v>
      </c>
      <c r="U151" s="201">
        <v>0.98662584431917721</v>
      </c>
      <c r="V151" s="201">
        <v>0.98262282519073008</v>
      </c>
      <c r="W151" s="201">
        <v>0.98160628494334301</v>
      </c>
      <c r="X151" s="201">
        <v>0.98263096797591443</v>
      </c>
      <c r="Y151" s="201">
        <v>0.98368707364521502</v>
      </c>
      <c r="Z151" s="201">
        <v>0.98604391453480555</v>
      </c>
      <c r="AA151" s="201">
        <v>0.98960779492998296</v>
      </c>
      <c r="AB151" s="201">
        <v>0.99428767166828014</v>
      </c>
      <c r="AC151" s="201">
        <v>1</v>
      </c>
      <c r="AD151" s="201">
        <v>0.6950080911714317</v>
      </c>
      <c r="AE151" s="201">
        <v>0.71099327726837447</v>
      </c>
      <c r="AF151" s="201">
        <v>0.7273461226455471</v>
      </c>
      <c r="AG151" s="201">
        <v>0.74407508346639462</v>
      </c>
      <c r="AH151" s="201">
        <v>0.76118881038612163</v>
      </c>
      <c r="AI151" s="201">
        <v>0.77869615302500239</v>
      </c>
      <c r="AJ151" s="201">
        <v>0.79660616454457733</v>
      </c>
      <c r="AK151" s="201">
        <v>0.81492810632910251</v>
      </c>
      <c r="AL151" s="201">
        <v>0.83367145277467181</v>
      </c>
      <c r="AM151" s="201">
        <v>0.85284589618848916</v>
      </c>
      <c r="AN151" s="201">
        <v>0.87246135180082429</v>
      </c>
      <c r="AO151" s="201">
        <v>0.89252796289224312</v>
      </c>
      <c r="AP151" s="201">
        <v>0.91305610603876475</v>
      </c>
      <c r="AQ151" s="201">
        <v>0.93405639647765637</v>
      </c>
      <c r="AR151" s="201">
        <v>0.95553969359664215</v>
      </c>
      <c r="AS151" s="201">
        <v>0.97751710654936486</v>
      </c>
      <c r="AT151" s="201">
        <v>1</v>
      </c>
      <c r="AU151" s="201">
        <v>0.8458264017835766</v>
      </c>
      <c r="AV151" s="201">
        <v>0.91936043458863592</v>
      </c>
      <c r="AW151" s="201">
        <v>0.99582959073618482</v>
      </c>
      <c r="AX151" s="201">
        <v>0.97628643501798751</v>
      </c>
      <c r="AY151" s="201">
        <v>0.95531750028325291</v>
      </c>
      <c r="AZ151" s="201">
        <v>0.93286753902659669</v>
      </c>
      <c r="BA151" s="201">
        <v>0.90887951659448385</v>
      </c>
      <c r="BB151" s="201">
        <v>0.91829818156145149</v>
      </c>
      <c r="BC151" s="201">
        <v>0.92766930785262125</v>
      </c>
      <c r="BD151" s="201">
        <v>0.93698572621513843</v>
      </c>
      <c r="BE151" s="201">
        <v>0.94623996275847777</v>
      </c>
      <c r="BF151" s="201">
        <v>0.95542422873364274</v>
      </c>
      <c r="BG151" s="201">
        <v>0.96453041000336581</v>
      </c>
      <c r="BH151" s="201">
        <v>0.97355005619449664</v>
      </c>
      <c r="BI151" s="201">
        <v>0.98247436952352707</v>
      </c>
      <c r="BJ151" s="201">
        <v>0.99129419328596635</v>
      </c>
      <c r="BK151" s="201">
        <v>1</v>
      </c>
      <c r="BL151" s="201">
        <v>0.91069139752368966</v>
      </c>
      <c r="BM151" s="201">
        <v>0.92043958547124216</v>
      </c>
      <c r="BN151" s="201">
        <v>0.92972276045501723</v>
      </c>
      <c r="BO151" s="201">
        <v>0.93863912683432671</v>
      </c>
      <c r="BP151" s="201">
        <v>0.94725872978163772</v>
      </c>
      <c r="BQ151" s="201">
        <v>0.95563328806171821</v>
      </c>
      <c r="BR151" s="201">
        <v>0.96380207747468594</v>
      </c>
      <c r="BS151" s="201">
        <v>0.9679254201754568</v>
      </c>
      <c r="BT151" s="201">
        <v>0.97189772565209742</v>
      </c>
      <c r="BU151" s="201">
        <v>0.97573850435030263</v>
      </c>
      <c r="BV151" s="201">
        <v>0.97946371455289127</v>
      </c>
      <c r="BW151" s="201">
        <v>0.98308657556137191</v>
      </c>
      <c r="BX151" s="201">
        <v>0.98661816072302311</v>
      </c>
      <c r="BY151" s="201">
        <v>0.99006783816797417</v>
      </c>
      <c r="BZ151" s="201">
        <v>0.99344360390240294</v>
      </c>
      <c r="CA151" s="201">
        <v>0.99675233734257929</v>
      </c>
      <c r="CB151" s="201">
        <v>1</v>
      </c>
    </row>
    <row r="152" spans="1:80" x14ac:dyDescent="0.35">
      <c r="A152" t="s">
        <v>745</v>
      </c>
      <c r="C152" s="206" t="s">
        <v>738</v>
      </c>
      <c r="D152" t="s">
        <v>904</v>
      </c>
      <c r="E152" s="130">
        <v>1445.2199999999998</v>
      </c>
      <c r="F152" s="130">
        <f>NYSERDA_SupplyCurve_Raw[[#This Row],[Available Capacity (MWac)]]*NYSERDA_SupplyCurve_Raw[[#This Row],[2024 Weighted Avg Resource CapEx ($/kWac)]]</f>
        <v>7357972.4379569171</v>
      </c>
      <c r="G152" s="130">
        <f>NYSERDA_SupplyCurve_Raw[[#This Row],[Available Capacity (MWac)]]*NYSERDA_SupplyCurve_Raw[[#This Row],[2024 Weighted Avg OpEx ($/kWac-year)]]</f>
        <v>122465.94871409611</v>
      </c>
      <c r="H152" s="130">
        <v>5091.2473104142746</v>
      </c>
      <c r="I152" s="130">
        <v>1757.4893939792644</v>
      </c>
      <c r="J152" s="130">
        <v>84.738620219825449</v>
      </c>
      <c r="K152" s="130">
        <f>NYSERDA_SupplyCurve_Raw[[#This Row],[2024 Weighted Avg Capacity Factor]]*NYSERDA_SupplyCurve_Raw[[#This Row],[Available Capacity (MWac)]]</f>
        <v>766.32421422093273</v>
      </c>
      <c r="L152" s="205">
        <v>0.53024744621644648</v>
      </c>
      <c r="M152" s="201">
        <v>0.92827576817647039</v>
      </c>
      <c r="N152" s="201">
        <v>1.0089777427723123</v>
      </c>
      <c r="O152" s="201">
        <v>1.0929009503181972</v>
      </c>
      <c r="P152" s="201">
        <v>1.0714527691682025</v>
      </c>
      <c r="Q152" s="201">
        <v>1.0484398270825896</v>
      </c>
      <c r="R152" s="201">
        <v>1.023801491146149</v>
      </c>
      <c r="S152" s="201">
        <v>0.9974751670881048</v>
      </c>
      <c r="T152" s="201">
        <v>0.99475266119684524</v>
      </c>
      <c r="U152" s="201">
        <v>0.98662584431917721</v>
      </c>
      <c r="V152" s="201">
        <v>0.98262282519072985</v>
      </c>
      <c r="W152" s="201">
        <v>0.98160628494334312</v>
      </c>
      <c r="X152" s="201">
        <v>0.98263096797591432</v>
      </c>
      <c r="Y152" s="201">
        <v>0.98368707364521513</v>
      </c>
      <c r="Z152" s="201">
        <v>0.98604391453480544</v>
      </c>
      <c r="AA152" s="201">
        <v>0.98960779492998296</v>
      </c>
      <c r="AB152" s="201">
        <v>0.99428767166828014</v>
      </c>
      <c r="AC152" s="201">
        <v>1</v>
      </c>
      <c r="AD152" s="201">
        <v>0.69500809117143159</v>
      </c>
      <c r="AE152" s="201">
        <v>0.71099327726837447</v>
      </c>
      <c r="AF152" s="201">
        <v>0.72734612264554699</v>
      </c>
      <c r="AG152" s="201">
        <v>0.7440750834663945</v>
      </c>
      <c r="AH152" s="201">
        <v>0.76118881038612141</v>
      </c>
      <c r="AI152" s="201">
        <v>0.77869615302500228</v>
      </c>
      <c r="AJ152" s="201">
        <v>0.79660616454457711</v>
      </c>
      <c r="AK152" s="201">
        <v>0.8149281063291024</v>
      </c>
      <c r="AL152" s="201">
        <v>0.83367145277467158</v>
      </c>
      <c r="AM152" s="201">
        <v>0.85284589618848905</v>
      </c>
      <c r="AN152" s="201">
        <v>0.87246135180082418</v>
      </c>
      <c r="AO152" s="201">
        <v>0.89252796289224301</v>
      </c>
      <c r="AP152" s="201">
        <v>0.91305610603876453</v>
      </c>
      <c r="AQ152" s="201">
        <v>0.93405639647765615</v>
      </c>
      <c r="AR152" s="201">
        <v>0.95553969359664204</v>
      </c>
      <c r="AS152" s="201">
        <v>0.97751710654936463</v>
      </c>
      <c r="AT152" s="201">
        <v>1</v>
      </c>
      <c r="AU152" s="201">
        <v>0.8458264017835766</v>
      </c>
      <c r="AV152" s="201">
        <v>0.91936043458863592</v>
      </c>
      <c r="AW152" s="201">
        <v>0.99582959073618504</v>
      </c>
      <c r="AX152" s="201">
        <v>0.97628643501798751</v>
      </c>
      <c r="AY152" s="201">
        <v>0.95531750028325302</v>
      </c>
      <c r="AZ152" s="201">
        <v>0.93286753902659669</v>
      </c>
      <c r="BA152" s="201">
        <v>0.90887951659448385</v>
      </c>
      <c r="BB152" s="201">
        <v>0.91829818156145149</v>
      </c>
      <c r="BC152" s="201">
        <v>0.92766930785262114</v>
      </c>
      <c r="BD152" s="201">
        <v>0.93698572621513843</v>
      </c>
      <c r="BE152" s="201">
        <v>0.94623996275847777</v>
      </c>
      <c r="BF152" s="201">
        <v>0.95542422873364286</v>
      </c>
      <c r="BG152" s="201">
        <v>0.96453041000336581</v>
      </c>
      <c r="BH152" s="201">
        <v>0.97355005619449664</v>
      </c>
      <c r="BI152" s="201">
        <v>0.98247436952352707</v>
      </c>
      <c r="BJ152" s="201">
        <v>0.99129419328596646</v>
      </c>
      <c r="BK152" s="201">
        <v>1</v>
      </c>
      <c r="BL152" s="201">
        <v>0.91069139752368955</v>
      </c>
      <c r="BM152" s="201">
        <v>0.92043958547124205</v>
      </c>
      <c r="BN152" s="201">
        <v>0.92972276045501712</v>
      </c>
      <c r="BO152" s="201">
        <v>0.93863912683432671</v>
      </c>
      <c r="BP152" s="201">
        <v>0.94725872978163783</v>
      </c>
      <c r="BQ152" s="201">
        <v>0.95563328806171821</v>
      </c>
      <c r="BR152" s="201">
        <v>0.96380207747468594</v>
      </c>
      <c r="BS152" s="201">
        <v>0.96792542017545669</v>
      </c>
      <c r="BT152" s="201">
        <v>0.97189772565209731</v>
      </c>
      <c r="BU152" s="201">
        <v>0.97573850435030252</v>
      </c>
      <c r="BV152" s="201">
        <v>0.97946371455289127</v>
      </c>
      <c r="BW152" s="201">
        <v>0.9830865755613718</v>
      </c>
      <c r="BX152" s="201">
        <v>0.98661816072302311</v>
      </c>
      <c r="BY152" s="201">
        <v>0.99006783816797406</v>
      </c>
      <c r="BZ152" s="201">
        <v>0.99344360390240294</v>
      </c>
      <c r="CA152" s="201">
        <v>0.9967523373425794</v>
      </c>
      <c r="CB152" s="201">
        <v>1</v>
      </c>
    </row>
    <row r="153" spans="1:80" x14ac:dyDescent="0.35">
      <c r="A153" t="s">
        <v>745</v>
      </c>
      <c r="C153" s="206" t="s">
        <v>893</v>
      </c>
      <c r="D153" t="s">
        <v>905</v>
      </c>
      <c r="E153" s="130">
        <v>1153.8449999999998</v>
      </c>
      <c r="F153" s="130">
        <f>NYSERDA_SupplyCurve_Raw[[#This Row],[Available Capacity (MWac)]]*NYSERDA_SupplyCurve_Raw[[#This Row],[2024 Weighted Avg Resource CapEx ($/kWac)]]</f>
        <v>5919537.0169962766</v>
      </c>
      <c r="G153" s="130">
        <f>NYSERDA_SupplyCurve_Raw[[#This Row],[Available Capacity (MWac)]]*NYSERDA_SupplyCurve_Raw[[#This Row],[2024 Weighted Avg OpEx ($/kWac-year)]]</f>
        <v>98220.617733091116</v>
      </c>
      <c r="H153" s="130">
        <v>5130.2705450006524</v>
      </c>
      <c r="I153" s="130">
        <v>2263.0280598853547</v>
      </c>
      <c r="J153" s="130">
        <v>85.124620493299474</v>
      </c>
      <c r="K153" s="130">
        <f>NYSERDA_SupplyCurve_Raw[[#This Row],[2024 Weighted Avg Capacity Factor]]*NYSERDA_SupplyCurve_Raw[[#This Row],[Available Capacity (MWac)]]</f>
        <v>658.34449598774313</v>
      </c>
      <c r="L153" s="205">
        <v>0.57056580042184457</v>
      </c>
      <c r="M153" s="201">
        <v>0.92827576817647039</v>
      </c>
      <c r="N153" s="201">
        <v>1.0089777427723123</v>
      </c>
      <c r="O153" s="201">
        <v>1.092900950318197</v>
      </c>
      <c r="P153" s="201">
        <v>1.0714527691682025</v>
      </c>
      <c r="Q153" s="201">
        <v>1.0484398270825896</v>
      </c>
      <c r="R153" s="201">
        <v>1.023801491146149</v>
      </c>
      <c r="S153" s="201">
        <v>0.99747516708810469</v>
      </c>
      <c r="T153" s="201">
        <v>0.99475266119684513</v>
      </c>
      <c r="U153" s="201">
        <v>0.98662584431917721</v>
      </c>
      <c r="V153" s="201">
        <v>0.98262282519072985</v>
      </c>
      <c r="W153" s="201">
        <v>0.98160628494334301</v>
      </c>
      <c r="X153" s="201">
        <v>0.98263096797591432</v>
      </c>
      <c r="Y153" s="201">
        <v>0.98368707364521502</v>
      </c>
      <c r="Z153" s="201">
        <v>0.98604391453480544</v>
      </c>
      <c r="AA153" s="201">
        <v>0.98960779492998296</v>
      </c>
      <c r="AB153" s="201">
        <v>0.99428767166828014</v>
      </c>
      <c r="AC153" s="201">
        <v>1</v>
      </c>
      <c r="AD153" s="201">
        <v>0.6950080911714317</v>
      </c>
      <c r="AE153" s="201">
        <v>0.71099327726837458</v>
      </c>
      <c r="AF153" s="201">
        <v>0.7273461226455471</v>
      </c>
      <c r="AG153" s="201">
        <v>0.74407508346639462</v>
      </c>
      <c r="AH153" s="201">
        <v>0.76118881038612163</v>
      </c>
      <c r="AI153" s="201">
        <v>0.77869615302500239</v>
      </c>
      <c r="AJ153" s="201">
        <v>0.79660616454457722</v>
      </c>
      <c r="AK153" s="201">
        <v>0.81492810632910251</v>
      </c>
      <c r="AL153" s="201">
        <v>0.8336714527746717</v>
      </c>
      <c r="AM153" s="201">
        <v>0.85284589618848905</v>
      </c>
      <c r="AN153" s="201">
        <v>0.8724613518008244</v>
      </c>
      <c r="AO153" s="201">
        <v>0.89252796289224323</v>
      </c>
      <c r="AP153" s="201">
        <v>0.91305610603876475</v>
      </c>
      <c r="AQ153" s="201">
        <v>0.93405639647765626</v>
      </c>
      <c r="AR153" s="201">
        <v>0.95553969359664204</v>
      </c>
      <c r="AS153" s="201">
        <v>0.97751710654936486</v>
      </c>
      <c r="AT153" s="201">
        <v>1</v>
      </c>
      <c r="AU153" s="201">
        <v>0.8458264017835766</v>
      </c>
      <c r="AV153" s="201">
        <v>0.91936043458863603</v>
      </c>
      <c r="AW153" s="201">
        <v>0.99582959073618493</v>
      </c>
      <c r="AX153" s="201">
        <v>0.9762864350179874</v>
      </c>
      <c r="AY153" s="201">
        <v>0.95531750028325291</v>
      </c>
      <c r="AZ153" s="201">
        <v>0.93286753902659669</v>
      </c>
      <c r="BA153" s="201">
        <v>0.90887951659448374</v>
      </c>
      <c r="BB153" s="201">
        <v>0.91829818156145149</v>
      </c>
      <c r="BC153" s="201">
        <v>0.92766930785262125</v>
      </c>
      <c r="BD153" s="201">
        <v>0.93698572621513831</v>
      </c>
      <c r="BE153" s="201">
        <v>0.94623996275847777</v>
      </c>
      <c r="BF153" s="201">
        <v>0.95542422873364274</v>
      </c>
      <c r="BG153" s="201">
        <v>0.96453041000336592</v>
      </c>
      <c r="BH153" s="201">
        <v>0.97355005619449653</v>
      </c>
      <c r="BI153" s="201">
        <v>0.98247436952352696</v>
      </c>
      <c r="BJ153" s="201">
        <v>0.99129419328596635</v>
      </c>
      <c r="BK153" s="201">
        <v>1</v>
      </c>
      <c r="BL153" s="201">
        <v>0.91069139752368966</v>
      </c>
      <c r="BM153" s="201">
        <v>0.92043958547124205</v>
      </c>
      <c r="BN153" s="201">
        <v>0.92972276045501701</v>
      </c>
      <c r="BO153" s="201">
        <v>0.9386391268343266</v>
      </c>
      <c r="BP153" s="201">
        <v>0.94725872978163772</v>
      </c>
      <c r="BQ153" s="201">
        <v>0.95563328806171821</v>
      </c>
      <c r="BR153" s="201">
        <v>0.96380207747468594</v>
      </c>
      <c r="BS153" s="201">
        <v>0.9679254201754568</v>
      </c>
      <c r="BT153" s="201">
        <v>0.97189772565209731</v>
      </c>
      <c r="BU153" s="201">
        <v>0.97573850435030252</v>
      </c>
      <c r="BV153" s="201">
        <v>0.97946371455289127</v>
      </c>
      <c r="BW153" s="201">
        <v>0.98308657556137169</v>
      </c>
      <c r="BX153" s="201">
        <v>0.98661816072302311</v>
      </c>
      <c r="BY153" s="201">
        <v>0.99006783816797406</v>
      </c>
      <c r="BZ153" s="201">
        <v>0.99344360390240283</v>
      </c>
      <c r="CA153" s="201">
        <v>0.99675233734257929</v>
      </c>
      <c r="CB153" s="201">
        <v>1</v>
      </c>
    </row>
    <row r="154" spans="1:80" x14ac:dyDescent="0.35">
      <c r="A154" t="s">
        <v>745</v>
      </c>
      <c r="C154" s="206" t="s">
        <v>738</v>
      </c>
      <c r="D154" t="s">
        <v>906</v>
      </c>
      <c r="E154" s="130">
        <v>1165.5</v>
      </c>
      <c r="F154" s="130">
        <f>NYSERDA_SupplyCurve_Raw[[#This Row],[Available Capacity (MWac)]]*NYSERDA_SupplyCurve_Raw[[#This Row],[2024 Weighted Avg Resource CapEx ($/kWac)]]</f>
        <v>7291439.1607533088</v>
      </c>
      <c r="G154" s="130">
        <f>NYSERDA_SupplyCurve_Raw[[#This Row],[Available Capacity (MWac)]]*NYSERDA_SupplyCurve_Raw[[#This Row],[2024 Weighted Avg OpEx ($/kWac-year)]]</f>
        <v>110278.56352693343</v>
      </c>
      <c r="H154" s="130">
        <v>6256.0610559873949</v>
      </c>
      <c r="I154" s="130">
        <v>2450.461561789522</v>
      </c>
      <c r="J154" s="130">
        <v>94.619102125211015</v>
      </c>
      <c r="K154" s="130">
        <f>NYSERDA_SupplyCurve_Raw[[#This Row],[2024 Weighted Avg Capacity Factor]]*NYSERDA_SupplyCurve_Raw[[#This Row],[Available Capacity (MWac)]]</f>
        <v>658.9102008163419</v>
      </c>
      <c r="L154" s="205">
        <v>0.56534551764593899</v>
      </c>
      <c r="M154" s="201">
        <v>0.92827576817647039</v>
      </c>
      <c r="N154" s="201">
        <v>1.0089777427723123</v>
      </c>
      <c r="O154" s="201">
        <v>1.0929009503181972</v>
      </c>
      <c r="P154" s="201">
        <v>1.0714527691682025</v>
      </c>
      <c r="Q154" s="201">
        <v>1.0484398270825896</v>
      </c>
      <c r="R154" s="201">
        <v>1.023801491146149</v>
      </c>
      <c r="S154" s="201">
        <v>0.9974751670881048</v>
      </c>
      <c r="T154" s="201">
        <v>0.99475266119684524</v>
      </c>
      <c r="U154" s="201">
        <v>0.98662584431917733</v>
      </c>
      <c r="V154" s="201">
        <v>0.98262282519072996</v>
      </c>
      <c r="W154" s="201">
        <v>0.98160628494334312</v>
      </c>
      <c r="X154" s="201">
        <v>0.98263096797591443</v>
      </c>
      <c r="Y154" s="201">
        <v>0.98368707364521513</v>
      </c>
      <c r="Z154" s="201">
        <v>0.98604391453480555</v>
      </c>
      <c r="AA154" s="201">
        <v>0.98960779492998296</v>
      </c>
      <c r="AB154" s="201">
        <v>0.99428767166828014</v>
      </c>
      <c r="AC154" s="201">
        <v>1</v>
      </c>
      <c r="AD154" s="201">
        <v>0.69500809117143159</v>
      </c>
      <c r="AE154" s="201">
        <v>0.71099327726837447</v>
      </c>
      <c r="AF154" s="201">
        <v>0.72734612264554699</v>
      </c>
      <c r="AG154" s="201">
        <v>0.7440750834663945</v>
      </c>
      <c r="AH154" s="201">
        <v>0.76118881038612152</v>
      </c>
      <c r="AI154" s="201">
        <v>0.77869615302500228</v>
      </c>
      <c r="AJ154" s="201">
        <v>0.79660616454457722</v>
      </c>
      <c r="AK154" s="201">
        <v>0.8149281063291024</v>
      </c>
      <c r="AL154" s="201">
        <v>0.83367145277467158</v>
      </c>
      <c r="AM154" s="201">
        <v>0.85284589618848905</v>
      </c>
      <c r="AN154" s="201">
        <v>0.87246135180082418</v>
      </c>
      <c r="AO154" s="201">
        <v>0.89252796289224312</v>
      </c>
      <c r="AP154" s="201">
        <v>0.91305610603876464</v>
      </c>
      <c r="AQ154" s="201">
        <v>0.93405639647765604</v>
      </c>
      <c r="AR154" s="201">
        <v>0.95553969359664204</v>
      </c>
      <c r="AS154" s="201">
        <v>0.97751710654936474</v>
      </c>
      <c r="AT154" s="201">
        <v>1</v>
      </c>
      <c r="AU154" s="201">
        <v>0.8458264017835766</v>
      </c>
      <c r="AV154" s="201">
        <v>0.91936043458863603</v>
      </c>
      <c r="AW154" s="201">
        <v>0.99582959073618493</v>
      </c>
      <c r="AX154" s="201">
        <v>0.9762864350179874</v>
      </c>
      <c r="AY154" s="201">
        <v>0.95531750028325291</v>
      </c>
      <c r="AZ154" s="201">
        <v>0.93286753902659658</v>
      </c>
      <c r="BA154" s="201">
        <v>0.90887951659448385</v>
      </c>
      <c r="BB154" s="201">
        <v>0.91829818156145149</v>
      </c>
      <c r="BC154" s="201">
        <v>0.92766930785262114</v>
      </c>
      <c r="BD154" s="201">
        <v>0.93698572621513831</v>
      </c>
      <c r="BE154" s="201">
        <v>0.94623996275847777</v>
      </c>
      <c r="BF154" s="201">
        <v>0.95542422873364274</v>
      </c>
      <c r="BG154" s="201">
        <v>0.96453041000336581</v>
      </c>
      <c r="BH154" s="201">
        <v>0.97355005619449653</v>
      </c>
      <c r="BI154" s="201">
        <v>0.98247436952352707</v>
      </c>
      <c r="BJ154" s="201">
        <v>0.99129419328596646</v>
      </c>
      <c r="BK154" s="201">
        <v>1</v>
      </c>
      <c r="BL154" s="201">
        <v>0.91069139752368955</v>
      </c>
      <c r="BM154" s="201">
        <v>0.92043958547124216</v>
      </c>
      <c r="BN154" s="201">
        <v>0.92972276045501689</v>
      </c>
      <c r="BO154" s="201">
        <v>0.93863912683432671</v>
      </c>
      <c r="BP154" s="201">
        <v>0.94725872978163772</v>
      </c>
      <c r="BQ154" s="201">
        <v>0.95563328806171821</v>
      </c>
      <c r="BR154" s="201">
        <v>0.96380207747468594</v>
      </c>
      <c r="BS154" s="201">
        <v>0.9679254201754568</v>
      </c>
      <c r="BT154" s="201">
        <v>0.97189772565209731</v>
      </c>
      <c r="BU154" s="201">
        <v>0.97573850435030263</v>
      </c>
      <c r="BV154" s="201">
        <v>0.97946371455289138</v>
      </c>
      <c r="BW154" s="201">
        <v>0.9830865755613718</v>
      </c>
      <c r="BX154" s="201">
        <v>0.98661816072302311</v>
      </c>
      <c r="BY154" s="201">
        <v>0.99006783816797395</v>
      </c>
      <c r="BZ154" s="201">
        <v>0.99344360390240283</v>
      </c>
      <c r="CA154" s="201">
        <v>0.99675233734257929</v>
      </c>
      <c r="CB154" s="201">
        <v>1</v>
      </c>
    </row>
    <row r="155" spans="1:80" ht="15" thickBot="1" x14ac:dyDescent="0.4">
      <c r="A155" t="s">
        <v>745</v>
      </c>
      <c r="C155" s="206" t="s">
        <v>893</v>
      </c>
      <c r="D155" t="s">
        <v>907</v>
      </c>
      <c r="E155" s="130">
        <v>112.755</v>
      </c>
      <c r="F155" s="130">
        <f>NYSERDA_SupplyCurve_Raw[[#This Row],[Available Capacity (MWac)]]*NYSERDA_SupplyCurve_Raw[[#This Row],[2024 Weighted Avg Resource CapEx ($/kWac)]]</f>
        <v>567179.53766431042</v>
      </c>
      <c r="G155" s="130">
        <f>NYSERDA_SupplyCurve_Raw[[#This Row],[Available Capacity (MWac)]]*NYSERDA_SupplyCurve_Raw[[#This Row],[2024 Weighted Avg OpEx ($/kWac-year)]]</f>
        <v>9670.2899413740251</v>
      </c>
      <c r="H155" s="130">
        <v>5030.1941170175196</v>
      </c>
      <c r="I155" s="130">
        <v>1419.8043629656684</v>
      </c>
      <c r="J155" s="130">
        <v>85.7637350128511</v>
      </c>
      <c r="K155" s="130">
        <f>NYSERDA_SupplyCurve_Raw[[#This Row],[2024 Weighted Avg Capacity Factor]]*NYSERDA_SupplyCurve_Raw[[#This Row],[Available Capacity (MWac)]]</f>
        <v>62.818781483755195</v>
      </c>
      <c r="L155" s="205">
        <v>0.55712634902004521</v>
      </c>
      <c r="M155" s="201">
        <v>0.92827576817647028</v>
      </c>
      <c r="N155" s="201">
        <v>1.0089777427723121</v>
      </c>
      <c r="O155" s="201">
        <v>1.092900950318197</v>
      </c>
      <c r="P155" s="201">
        <v>1.0714527691682023</v>
      </c>
      <c r="Q155" s="201">
        <v>1.0484398270825894</v>
      </c>
      <c r="R155" s="201">
        <v>1.023801491146149</v>
      </c>
      <c r="S155" s="201">
        <v>0.99747516708810469</v>
      </c>
      <c r="T155" s="201">
        <v>0.99475266119684513</v>
      </c>
      <c r="U155" s="201">
        <v>0.98662584431917721</v>
      </c>
      <c r="V155" s="201">
        <v>0.98262282519072985</v>
      </c>
      <c r="W155" s="201">
        <v>0.9816062849433429</v>
      </c>
      <c r="X155" s="201">
        <v>0.98263096797591432</v>
      </c>
      <c r="Y155" s="201">
        <v>0.98368707364521502</v>
      </c>
      <c r="Z155" s="201">
        <v>0.98604391453480544</v>
      </c>
      <c r="AA155" s="201">
        <v>0.98960779492998285</v>
      </c>
      <c r="AB155" s="201">
        <v>0.99428767166828003</v>
      </c>
      <c r="AC155" s="201">
        <v>1</v>
      </c>
      <c r="AD155" s="201">
        <v>0.69500809117143159</v>
      </c>
      <c r="AE155" s="201">
        <v>0.71099327726837447</v>
      </c>
      <c r="AF155" s="201">
        <v>0.72734612264554699</v>
      </c>
      <c r="AG155" s="201">
        <v>0.7440750834663945</v>
      </c>
      <c r="AH155" s="201">
        <v>0.76118881038612152</v>
      </c>
      <c r="AI155" s="201">
        <v>0.77869615302500239</v>
      </c>
      <c r="AJ155" s="201">
        <v>0.79660616454457722</v>
      </c>
      <c r="AK155" s="201">
        <v>0.81492810632910251</v>
      </c>
      <c r="AL155" s="201">
        <v>0.8336714527746717</v>
      </c>
      <c r="AM155" s="201">
        <v>0.85284589618848905</v>
      </c>
      <c r="AN155" s="201">
        <v>0.87246135180082418</v>
      </c>
      <c r="AO155" s="201">
        <v>0.89252796289224312</v>
      </c>
      <c r="AP155" s="201">
        <v>0.91305610603876464</v>
      </c>
      <c r="AQ155" s="201">
        <v>0.93405639647765626</v>
      </c>
      <c r="AR155" s="201">
        <v>0.95553969359664204</v>
      </c>
      <c r="AS155" s="201">
        <v>0.97751710654936474</v>
      </c>
      <c r="AT155" s="201">
        <v>1</v>
      </c>
      <c r="AU155" s="201">
        <v>0.8458264017835766</v>
      </c>
      <c r="AV155" s="201">
        <v>0.91936043458863592</v>
      </c>
      <c r="AW155" s="201">
        <v>0.99582959073618482</v>
      </c>
      <c r="AX155" s="201">
        <v>0.9762864350179874</v>
      </c>
      <c r="AY155" s="201">
        <v>0.95531750028325291</v>
      </c>
      <c r="AZ155" s="201">
        <v>0.93286753902659658</v>
      </c>
      <c r="BA155" s="201">
        <v>0.90887951659448374</v>
      </c>
      <c r="BB155" s="201">
        <v>0.91829818156145149</v>
      </c>
      <c r="BC155" s="201">
        <v>0.92766930785262103</v>
      </c>
      <c r="BD155" s="201">
        <v>0.93698572621513843</v>
      </c>
      <c r="BE155" s="201">
        <v>0.94623996275847766</v>
      </c>
      <c r="BF155" s="201">
        <v>0.95542422873364274</v>
      </c>
      <c r="BG155" s="201">
        <v>0.96453041000336581</v>
      </c>
      <c r="BH155" s="201">
        <v>0.97355005619449653</v>
      </c>
      <c r="BI155" s="201">
        <v>0.98247436952352696</v>
      </c>
      <c r="BJ155" s="201">
        <v>0.99129419328596646</v>
      </c>
      <c r="BK155" s="201">
        <v>1</v>
      </c>
      <c r="BL155" s="201">
        <v>0.91069139752368966</v>
      </c>
      <c r="BM155" s="201">
        <v>0.92043958547124216</v>
      </c>
      <c r="BN155" s="201">
        <v>0.92972276045501712</v>
      </c>
      <c r="BO155" s="201">
        <v>0.93863912683432671</v>
      </c>
      <c r="BP155" s="201">
        <v>0.94725872978163772</v>
      </c>
      <c r="BQ155" s="201">
        <v>0.95563328806171832</v>
      </c>
      <c r="BR155" s="201">
        <v>0.96380207747468583</v>
      </c>
      <c r="BS155" s="201">
        <v>0.9679254201754568</v>
      </c>
      <c r="BT155" s="201">
        <v>0.97189772565209731</v>
      </c>
      <c r="BU155" s="201">
        <v>0.97573850435030252</v>
      </c>
      <c r="BV155" s="201">
        <v>0.97946371455289127</v>
      </c>
      <c r="BW155" s="201">
        <v>0.9830865755613718</v>
      </c>
      <c r="BX155" s="201">
        <v>0.98661816072302311</v>
      </c>
      <c r="BY155" s="201">
        <v>0.99006783816797417</v>
      </c>
      <c r="BZ155" s="201">
        <v>0.99344360390240294</v>
      </c>
      <c r="CA155" s="201">
        <v>0.99675233734257929</v>
      </c>
      <c r="CB155" s="201">
        <v>1</v>
      </c>
    </row>
    <row r="156" spans="1:80" x14ac:dyDescent="0.35">
      <c r="A156" t="s">
        <v>747</v>
      </c>
      <c r="C156" s="207" t="s">
        <v>738</v>
      </c>
      <c r="D156" t="s">
        <v>908</v>
      </c>
      <c r="E156" s="130">
        <v>1993.0049999999999</v>
      </c>
      <c r="F156" s="130">
        <f>NYSERDA_SupplyCurve_Raw[[#This Row],[Available Capacity (MWac)]]*NYSERDA_SupplyCurve_Raw[[#This Row],[2024 Weighted Avg Resource CapEx ($/kWac)]]</f>
        <v>14667772.511565598</v>
      </c>
      <c r="G156" s="130">
        <f>NYSERDA_SupplyCurve_Raw[[#This Row],[Available Capacity (MWac)]]*NYSERDA_SupplyCurve_Raw[[#This Row],[2024 Weighted Avg OpEx ($/kWac-year)]]</f>
        <v>293355.45023131202</v>
      </c>
      <c r="H156" s="130">
        <v>7359.6265496401656</v>
      </c>
      <c r="I156" s="130">
        <v>2209.2157636066222</v>
      </c>
      <c r="J156" s="130">
        <v>147.19253099280334</v>
      </c>
      <c r="K156" s="130">
        <f>NYSERDA_SupplyCurve_Raw[[#This Row],[2024 Weighted Avg Capacity Factor]]*NYSERDA_SupplyCurve_Raw[[#This Row],[Available Capacity (MWac)]]</f>
        <v>1073.6093812318923</v>
      </c>
      <c r="L156" s="205">
        <v>0.53868875453493203</v>
      </c>
      <c r="M156" s="201" t="s">
        <v>15</v>
      </c>
      <c r="N156" s="201" t="s">
        <v>15</v>
      </c>
      <c r="O156" s="201" t="s">
        <v>15</v>
      </c>
      <c r="P156" s="201" t="s">
        <v>15</v>
      </c>
      <c r="Q156" s="201" t="s">
        <v>15</v>
      </c>
      <c r="R156" s="201" t="s">
        <v>15</v>
      </c>
      <c r="S156" s="201" t="s">
        <v>15</v>
      </c>
      <c r="T156" s="201" t="s">
        <v>15</v>
      </c>
      <c r="U156" s="201" t="s">
        <v>15</v>
      </c>
      <c r="V156" s="201" t="s">
        <v>15</v>
      </c>
      <c r="W156" s="201" t="s">
        <v>15</v>
      </c>
      <c r="X156" s="201" t="s">
        <v>15</v>
      </c>
      <c r="Y156" s="201" t="s">
        <v>15</v>
      </c>
      <c r="Z156" s="201">
        <v>0.93405639647765604</v>
      </c>
      <c r="AA156" s="201">
        <v>0.95553969359664204</v>
      </c>
      <c r="AB156" s="201">
        <v>0.97751710654936474</v>
      </c>
      <c r="AC156" s="201">
        <v>1</v>
      </c>
      <c r="AD156" s="201" t="s">
        <v>15</v>
      </c>
      <c r="AE156" s="201" t="s">
        <v>15</v>
      </c>
      <c r="AF156" s="201" t="s">
        <v>15</v>
      </c>
      <c r="AG156" s="201" t="s">
        <v>15</v>
      </c>
      <c r="AH156" s="201" t="s">
        <v>15</v>
      </c>
      <c r="AI156" s="201" t="s">
        <v>15</v>
      </c>
      <c r="AJ156" s="201" t="s">
        <v>15</v>
      </c>
      <c r="AK156" s="201" t="s">
        <v>15</v>
      </c>
      <c r="AL156" s="201" t="s">
        <v>15</v>
      </c>
      <c r="AM156" s="201" t="s">
        <v>15</v>
      </c>
      <c r="AN156" s="201" t="s">
        <v>15</v>
      </c>
      <c r="AO156" s="201" t="s">
        <v>15</v>
      </c>
      <c r="AP156" s="201" t="s">
        <v>15</v>
      </c>
      <c r="AQ156" s="201">
        <v>0.93405639647765604</v>
      </c>
      <c r="AR156" s="201">
        <v>0.95553969359664181</v>
      </c>
      <c r="AS156" s="201">
        <v>0.97751710654936452</v>
      </c>
      <c r="AT156" s="201">
        <v>1</v>
      </c>
      <c r="AU156" s="201" t="s">
        <v>15</v>
      </c>
      <c r="AV156" s="201" t="s">
        <v>15</v>
      </c>
      <c r="AW156" s="201" t="s">
        <v>15</v>
      </c>
      <c r="AX156" s="201" t="s">
        <v>15</v>
      </c>
      <c r="AY156" s="201" t="s">
        <v>15</v>
      </c>
      <c r="AZ156" s="201" t="s">
        <v>15</v>
      </c>
      <c r="BA156" s="201" t="s">
        <v>15</v>
      </c>
      <c r="BB156" s="201" t="s">
        <v>15</v>
      </c>
      <c r="BC156" s="201" t="s">
        <v>15</v>
      </c>
      <c r="BD156" s="201" t="s">
        <v>15</v>
      </c>
      <c r="BE156" s="201" t="s">
        <v>15</v>
      </c>
      <c r="BF156" s="201" t="s">
        <v>15</v>
      </c>
      <c r="BG156" s="201" t="s">
        <v>15</v>
      </c>
      <c r="BH156" s="201">
        <v>0.9340563964776557</v>
      </c>
      <c r="BI156" s="201">
        <v>0.95553969359664193</v>
      </c>
      <c r="BJ156" s="201">
        <v>0.97751710654936441</v>
      </c>
      <c r="BK156" s="201">
        <v>1</v>
      </c>
      <c r="BL156" s="201" t="s">
        <v>15</v>
      </c>
      <c r="BM156" s="201" t="s">
        <v>15</v>
      </c>
      <c r="BN156" s="201" t="s">
        <v>15</v>
      </c>
      <c r="BO156" s="201" t="s">
        <v>15</v>
      </c>
      <c r="BP156" s="201" t="s">
        <v>15</v>
      </c>
      <c r="BQ156" s="201" t="s">
        <v>15</v>
      </c>
      <c r="BR156" s="201" t="s">
        <v>15</v>
      </c>
      <c r="BS156" s="201" t="s">
        <v>15</v>
      </c>
      <c r="BT156" s="201" t="s">
        <v>15</v>
      </c>
      <c r="BU156" s="201" t="s">
        <v>15</v>
      </c>
      <c r="BV156" s="201" t="s">
        <v>15</v>
      </c>
      <c r="BW156" s="201" t="s">
        <v>15</v>
      </c>
      <c r="BX156" s="201" t="s">
        <v>15</v>
      </c>
      <c r="BY156" s="201">
        <v>0.99006783816797395</v>
      </c>
      <c r="BZ156" s="201">
        <v>0.99344360390240294</v>
      </c>
      <c r="CA156" s="201">
        <v>0.99675233734257929</v>
      </c>
      <c r="CB156" s="201">
        <v>1</v>
      </c>
    </row>
    <row r="157" spans="1:80" x14ac:dyDescent="0.35">
      <c r="A157" t="s">
        <v>747</v>
      </c>
      <c r="C157" s="206" t="s">
        <v>738</v>
      </c>
      <c r="D157" t="s">
        <v>909</v>
      </c>
      <c r="E157" s="130">
        <v>2039.625</v>
      </c>
      <c r="F157" s="130">
        <f>NYSERDA_SupplyCurve_Raw[[#This Row],[Available Capacity (MWac)]]*NYSERDA_SupplyCurve_Raw[[#This Row],[2024 Weighted Avg Resource CapEx ($/kWac)]]</f>
        <v>15010878.301309822</v>
      </c>
      <c r="G157" s="130">
        <f>NYSERDA_SupplyCurve_Raw[[#This Row],[Available Capacity (MWac)]]*NYSERDA_SupplyCurve_Raw[[#This Row],[2024 Weighted Avg OpEx ($/kWac-year)]]</f>
        <v>300217.56602619652</v>
      </c>
      <c r="H157" s="130">
        <v>7359.6265496401656</v>
      </c>
      <c r="I157" s="130">
        <v>2233.315448182922</v>
      </c>
      <c r="J157" s="130">
        <v>147.19253099280334</v>
      </c>
      <c r="K157" s="130">
        <f>NYSERDA_SupplyCurve_Raw[[#This Row],[2024 Weighted Avg Capacity Factor]]*NYSERDA_SupplyCurve_Raw[[#This Row],[Available Capacity (MWac)]]</f>
        <v>1124.5487061869474</v>
      </c>
      <c r="L157" s="205">
        <v>0.55135071701266036</v>
      </c>
      <c r="M157" s="201" t="s">
        <v>15</v>
      </c>
      <c r="N157" s="201" t="s">
        <v>15</v>
      </c>
      <c r="O157" s="201" t="s">
        <v>15</v>
      </c>
      <c r="P157" s="201" t="s">
        <v>15</v>
      </c>
      <c r="Q157" s="201" t="s">
        <v>15</v>
      </c>
      <c r="R157" s="201" t="s">
        <v>15</v>
      </c>
      <c r="S157" s="201" t="s">
        <v>15</v>
      </c>
      <c r="T157" s="201" t="s">
        <v>15</v>
      </c>
      <c r="U157" s="201" t="s">
        <v>15</v>
      </c>
      <c r="V157" s="201" t="s">
        <v>15</v>
      </c>
      <c r="W157" s="201" t="s">
        <v>15</v>
      </c>
      <c r="X157" s="201" t="s">
        <v>15</v>
      </c>
      <c r="Y157" s="201" t="s">
        <v>15</v>
      </c>
      <c r="Z157" s="201">
        <v>0.93405639647765604</v>
      </c>
      <c r="AA157" s="201">
        <v>0.95553969359664204</v>
      </c>
      <c r="AB157" s="201">
        <v>0.97751710654936474</v>
      </c>
      <c r="AC157" s="201">
        <v>1</v>
      </c>
      <c r="AD157" s="201" t="s">
        <v>15</v>
      </c>
      <c r="AE157" s="201" t="s">
        <v>15</v>
      </c>
      <c r="AF157" s="201" t="s">
        <v>15</v>
      </c>
      <c r="AG157" s="201" t="s">
        <v>15</v>
      </c>
      <c r="AH157" s="201" t="s">
        <v>15</v>
      </c>
      <c r="AI157" s="201" t="s">
        <v>15</v>
      </c>
      <c r="AJ157" s="201" t="s">
        <v>15</v>
      </c>
      <c r="AK157" s="201" t="s">
        <v>15</v>
      </c>
      <c r="AL157" s="201" t="s">
        <v>15</v>
      </c>
      <c r="AM157" s="201" t="s">
        <v>15</v>
      </c>
      <c r="AN157" s="201" t="s">
        <v>15</v>
      </c>
      <c r="AO157" s="201" t="s">
        <v>15</v>
      </c>
      <c r="AP157" s="201" t="s">
        <v>15</v>
      </c>
      <c r="AQ157" s="201">
        <v>0.93405639647765637</v>
      </c>
      <c r="AR157" s="201">
        <v>0.95553969359664204</v>
      </c>
      <c r="AS157" s="201">
        <v>0.97751710654936486</v>
      </c>
      <c r="AT157" s="201">
        <v>1</v>
      </c>
      <c r="AU157" s="201" t="s">
        <v>15</v>
      </c>
      <c r="AV157" s="201" t="s">
        <v>15</v>
      </c>
      <c r="AW157" s="201" t="s">
        <v>15</v>
      </c>
      <c r="AX157" s="201" t="s">
        <v>15</v>
      </c>
      <c r="AY157" s="201" t="s">
        <v>15</v>
      </c>
      <c r="AZ157" s="201" t="s">
        <v>15</v>
      </c>
      <c r="BA157" s="201" t="s">
        <v>15</v>
      </c>
      <c r="BB157" s="201" t="s">
        <v>15</v>
      </c>
      <c r="BC157" s="201" t="s">
        <v>15</v>
      </c>
      <c r="BD157" s="201" t="s">
        <v>15</v>
      </c>
      <c r="BE157" s="201" t="s">
        <v>15</v>
      </c>
      <c r="BF157" s="201" t="s">
        <v>15</v>
      </c>
      <c r="BG157" s="201" t="s">
        <v>15</v>
      </c>
      <c r="BH157" s="201">
        <v>0.9340563964776557</v>
      </c>
      <c r="BI157" s="201">
        <v>0.95553969359664193</v>
      </c>
      <c r="BJ157" s="201">
        <v>0.97751710654936441</v>
      </c>
      <c r="BK157" s="201">
        <v>1</v>
      </c>
      <c r="BL157" s="201" t="s">
        <v>15</v>
      </c>
      <c r="BM157" s="201" t="s">
        <v>15</v>
      </c>
      <c r="BN157" s="201" t="s">
        <v>15</v>
      </c>
      <c r="BO157" s="201" t="s">
        <v>15</v>
      </c>
      <c r="BP157" s="201" t="s">
        <v>15</v>
      </c>
      <c r="BQ157" s="201" t="s">
        <v>15</v>
      </c>
      <c r="BR157" s="201" t="s">
        <v>15</v>
      </c>
      <c r="BS157" s="201" t="s">
        <v>15</v>
      </c>
      <c r="BT157" s="201" t="s">
        <v>15</v>
      </c>
      <c r="BU157" s="201" t="s">
        <v>15</v>
      </c>
      <c r="BV157" s="201" t="s">
        <v>15</v>
      </c>
      <c r="BW157" s="201" t="s">
        <v>15</v>
      </c>
      <c r="BX157" s="201" t="s">
        <v>15</v>
      </c>
      <c r="BY157" s="201">
        <v>0.99006783816797406</v>
      </c>
      <c r="BZ157" s="201">
        <v>0.99344360390240294</v>
      </c>
      <c r="CA157" s="201">
        <v>0.99675233734257918</v>
      </c>
      <c r="CB157" s="201">
        <v>1</v>
      </c>
    </row>
    <row r="158" spans="1:80" x14ac:dyDescent="0.35">
      <c r="A158" t="s">
        <v>747</v>
      </c>
      <c r="C158" s="206" t="s">
        <v>738</v>
      </c>
      <c r="D158" t="s">
        <v>910</v>
      </c>
      <c r="E158" s="130">
        <v>2051.2799999999997</v>
      </c>
      <c r="F158" s="130">
        <f>NYSERDA_SupplyCurve_Raw[[#This Row],[Available Capacity (MWac)]]*NYSERDA_SupplyCurve_Raw[[#This Row],[2024 Weighted Avg Resource CapEx ($/kWac)]]</f>
        <v>15096654.748745877</v>
      </c>
      <c r="G158" s="130">
        <f>NYSERDA_SupplyCurve_Raw[[#This Row],[Available Capacity (MWac)]]*NYSERDA_SupplyCurve_Raw[[#This Row],[2024 Weighted Avg OpEx ($/kWac-year)]]</f>
        <v>301933.09497491759</v>
      </c>
      <c r="H158" s="130">
        <v>7359.6265496401656</v>
      </c>
      <c r="I158" s="130">
        <v>2307.9063016023247</v>
      </c>
      <c r="J158" s="130">
        <v>147.19253099280334</v>
      </c>
      <c r="K158" s="130">
        <f>NYSERDA_SupplyCurve_Raw[[#This Row],[2024 Weighted Avg Capacity Factor]]*NYSERDA_SupplyCurve_Raw[[#This Row],[Available Capacity (MWac)]]</f>
        <v>1130.9746987937299</v>
      </c>
      <c r="L158" s="205">
        <v>0.55135071701266036</v>
      </c>
      <c r="M158" s="201" t="s">
        <v>15</v>
      </c>
      <c r="N158" s="201" t="s">
        <v>15</v>
      </c>
      <c r="O158" s="201" t="s">
        <v>15</v>
      </c>
      <c r="P158" s="201" t="s">
        <v>15</v>
      </c>
      <c r="Q158" s="201" t="s">
        <v>15</v>
      </c>
      <c r="R158" s="201" t="s">
        <v>15</v>
      </c>
      <c r="S158" s="201" t="s">
        <v>15</v>
      </c>
      <c r="T158" s="201" t="s">
        <v>15</v>
      </c>
      <c r="U158" s="201" t="s">
        <v>15</v>
      </c>
      <c r="V158" s="201" t="s">
        <v>15</v>
      </c>
      <c r="W158" s="201" t="s">
        <v>15</v>
      </c>
      <c r="X158" s="201" t="s">
        <v>15</v>
      </c>
      <c r="Y158" s="201" t="s">
        <v>15</v>
      </c>
      <c r="Z158" s="201">
        <v>0.93405639647765604</v>
      </c>
      <c r="AA158" s="201">
        <v>0.95553969359664204</v>
      </c>
      <c r="AB158" s="201">
        <v>0.97751710654936474</v>
      </c>
      <c r="AC158" s="201">
        <v>1</v>
      </c>
      <c r="AD158" s="201" t="s">
        <v>15</v>
      </c>
      <c r="AE158" s="201" t="s">
        <v>15</v>
      </c>
      <c r="AF158" s="201" t="s">
        <v>15</v>
      </c>
      <c r="AG158" s="201" t="s">
        <v>15</v>
      </c>
      <c r="AH158" s="201" t="s">
        <v>15</v>
      </c>
      <c r="AI158" s="201" t="s">
        <v>15</v>
      </c>
      <c r="AJ158" s="201" t="s">
        <v>15</v>
      </c>
      <c r="AK158" s="201" t="s">
        <v>15</v>
      </c>
      <c r="AL158" s="201" t="s">
        <v>15</v>
      </c>
      <c r="AM158" s="201" t="s">
        <v>15</v>
      </c>
      <c r="AN158" s="201" t="s">
        <v>15</v>
      </c>
      <c r="AO158" s="201" t="s">
        <v>15</v>
      </c>
      <c r="AP158" s="201" t="s">
        <v>15</v>
      </c>
      <c r="AQ158" s="201">
        <v>0.93405639647765626</v>
      </c>
      <c r="AR158" s="201">
        <v>0.95553969359664204</v>
      </c>
      <c r="AS158" s="201">
        <v>0.97751710654936463</v>
      </c>
      <c r="AT158" s="201">
        <v>1</v>
      </c>
      <c r="AU158" s="201" t="s">
        <v>15</v>
      </c>
      <c r="AV158" s="201" t="s">
        <v>15</v>
      </c>
      <c r="AW158" s="201" t="s">
        <v>15</v>
      </c>
      <c r="AX158" s="201" t="s">
        <v>15</v>
      </c>
      <c r="AY158" s="201" t="s">
        <v>15</v>
      </c>
      <c r="AZ158" s="201" t="s">
        <v>15</v>
      </c>
      <c r="BA158" s="201" t="s">
        <v>15</v>
      </c>
      <c r="BB158" s="201" t="s">
        <v>15</v>
      </c>
      <c r="BC158" s="201" t="s">
        <v>15</v>
      </c>
      <c r="BD158" s="201" t="s">
        <v>15</v>
      </c>
      <c r="BE158" s="201" t="s">
        <v>15</v>
      </c>
      <c r="BF158" s="201" t="s">
        <v>15</v>
      </c>
      <c r="BG158" s="201" t="s">
        <v>15</v>
      </c>
      <c r="BH158" s="201">
        <v>0.9340563964776557</v>
      </c>
      <c r="BI158" s="201">
        <v>0.95553969359664193</v>
      </c>
      <c r="BJ158" s="201">
        <v>0.97751710654936441</v>
      </c>
      <c r="BK158" s="201">
        <v>1</v>
      </c>
      <c r="BL158" s="201" t="s">
        <v>15</v>
      </c>
      <c r="BM158" s="201" t="s">
        <v>15</v>
      </c>
      <c r="BN158" s="201" t="s">
        <v>15</v>
      </c>
      <c r="BO158" s="201" t="s">
        <v>15</v>
      </c>
      <c r="BP158" s="201" t="s">
        <v>15</v>
      </c>
      <c r="BQ158" s="201" t="s">
        <v>15</v>
      </c>
      <c r="BR158" s="201" t="s">
        <v>15</v>
      </c>
      <c r="BS158" s="201" t="s">
        <v>15</v>
      </c>
      <c r="BT158" s="201" t="s">
        <v>15</v>
      </c>
      <c r="BU158" s="201" t="s">
        <v>15</v>
      </c>
      <c r="BV158" s="201" t="s">
        <v>15</v>
      </c>
      <c r="BW158" s="201" t="s">
        <v>15</v>
      </c>
      <c r="BX158" s="201" t="s">
        <v>15</v>
      </c>
      <c r="BY158" s="201">
        <v>0.99006783816797406</v>
      </c>
      <c r="BZ158" s="201">
        <v>0.99344360390240294</v>
      </c>
      <c r="CA158" s="201">
        <v>0.99675233734257918</v>
      </c>
      <c r="CB158" s="201">
        <v>1</v>
      </c>
    </row>
    <row r="159" spans="1:80" x14ac:dyDescent="0.35">
      <c r="A159" t="s">
        <v>747</v>
      </c>
      <c r="C159" s="206" t="s">
        <v>738</v>
      </c>
      <c r="D159" t="s">
        <v>911</v>
      </c>
      <c r="E159" s="130">
        <v>2039.625</v>
      </c>
      <c r="F159" s="130">
        <f>NYSERDA_SupplyCurve_Raw[[#This Row],[Available Capacity (MWac)]]*NYSERDA_SupplyCurve_Raw[[#This Row],[2024 Weighted Avg Resource CapEx ($/kWac)]]</f>
        <v>15010878.301309822</v>
      </c>
      <c r="G159" s="130">
        <f>NYSERDA_SupplyCurve_Raw[[#This Row],[Available Capacity (MWac)]]*NYSERDA_SupplyCurve_Raw[[#This Row],[2024 Weighted Avg OpEx ($/kWac-year)]]</f>
        <v>300217.56602619652</v>
      </c>
      <c r="H159" s="130">
        <v>7359.6265496401656</v>
      </c>
      <c r="I159" s="130">
        <v>2170.9339402967053</v>
      </c>
      <c r="J159" s="130">
        <v>147.19253099280334</v>
      </c>
      <c r="K159" s="130">
        <f>NYSERDA_SupplyCurve_Raw[[#This Row],[2024 Weighted Avg Capacity Factor]]*NYSERDA_SupplyCurve_Raw[[#This Row],[Available Capacity (MWac)]]</f>
        <v>1119.7913486466723</v>
      </c>
      <c r="L159" s="205">
        <v>0.54901825024044726</v>
      </c>
      <c r="M159" s="201" t="s">
        <v>15</v>
      </c>
      <c r="N159" s="201" t="s">
        <v>15</v>
      </c>
      <c r="O159" s="201" t="s">
        <v>15</v>
      </c>
      <c r="P159" s="201" t="s">
        <v>15</v>
      </c>
      <c r="Q159" s="201" t="s">
        <v>15</v>
      </c>
      <c r="R159" s="201" t="s">
        <v>15</v>
      </c>
      <c r="S159" s="201" t="s">
        <v>15</v>
      </c>
      <c r="T159" s="201" t="s">
        <v>15</v>
      </c>
      <c r="U159" s="201" t="s">
        <v>15</v>
      </c>
      <c r="V159" s="201" t="s">
        <v>15</v>
      </c>
      <c r="W159" s="201" t="s">
        <v>15</v>
      </c>
      <c r="X159" s="201" t="s">
        <v>15</v>
      </c>
      <c r="Y159" s="201" t="s">
        <v>15</v>
      </c>
      <c r="Z159" s="201">
        <v>0.93405639647765604</v>
      </c>
      <c r="AA159" s="201">
        <v>0.95553969359664204</v>
      </c>
      <c r="AB159" s="201">
        <v>0.97751710654936474</v>
      </c>
      <c r="AC159" s="201">
        <v>1</v>
      </c>
      <c r="AD159" s="201" t="s">
        <v>15</v>
      </c>
      <c r="AE159" s="201" t="s">
        <v>15</v>
      </c>
      <c r="AF159" s="201" t="s">
        <v>15</v>
      </c>
      <c r="AG159" s="201" t="s">
        <v>15</v>
      </c>
      <c r="AH159" s="201" t="s">
        <v>15</v>
      </c>
      <c r="AI159" s="201" t="s">
        <v>15</v>
      </c>
      <c r="AJ159" s="201" t="s">
        <v>15</v>
      </c>
      <c r="AK159" s="201" t="s">
        <v>15</v>
      </c>
      <c r="AL159" s="201" t="s">
        <v>15</v>
      </c>
      <c r="AM159" s="201" t="s">
        <v>15</v>
      </c>
      <c r="AN159" s="201" t="s">
        <v>15</v>
      </c>
      <c r="AO159" s="201" t="s">
        <v>15</v>
      </c>
      <c r="AP159" s="201" t="s">
        <v>15</v>
      </c>
      <c r="AQ159" s="201">
        <v>0.93405639647765615</v>
      </c>
      <c r="AR159" s="201">
        <v>0.95553969359664193</v>
      </c>
      <c r="AS159" s="201">
        <v>0.97751710654936463</v>
      </c>
      <c r="AT159" s="201">
        <v>1</v>
      </c>
      <c r="AU159" s="201" t="s">
        <v>15</v>
      </c>
      <c r="AV159" s="201" t="s">
        <v>15</v>
      </c>
      <c r="AW159" s="201" t="s">
        <v>15</v>
      </c>
      <c r="AX159" s="201" t="s">
        <v>15</v>
      </c>
      <c r="AY159" s="201" t="s">
        <v>15</v>
      </c>
      <c r="AZ159" s="201" t="s">
        <v>15</v>
      </c>
      <c r="BA159" s="201" t="s">
        <v>15</v>
      </c>
      <c r="BB159" s="201" t="s">
        <v>15</v>
      </c>
      <c r="BC159" s="201" t="s">
        <v>15</v>
      </c>
      <c r="BD159" s="201" t="s">
        <v>15</v>
      </c>
      <c r="BE159" s="201" t="s">
        <v>15</v>
      </c>
      <c r="BF159" s="201" t="s">
        <v>15</v>
      </c>
      <c r="BG159" s="201" t="s">
        <v>15</v>
      </c>
      <c r="BH159" s="201">
        <v>0.9340563964776557</v>
      </c>
      <c r="BI159" s="201">
        <v>0.95553969359664193</v>
      </c>
      <c r="BJ159" s="201">
        <v>0.97751710654936441</v>
      </c>
      <c r="BK159" s="201">
        <v>1</v>
      </c>
      <c r="BL159" s="201" t="s">
        <v>15</v>
      </c>
      <c r="BM159" s="201" t="s">
        <v>15</v>
      </c>
      <c r="BN159" s="201" t="s">
        <v>15</v>
      </c>
      <c r="BO159" s="201" t="s">
        <v>15</v>
      </c>
      <c r="BP159" s="201" t="s">
        <v>15</v>
      </c>
      <c r="BQ159" s="201" t="s">
        <v>15</v>
      </c>
      <c r="BR159" s="201" t="s">
        <v>15</v>
      </c>
      <c r="BS159" s="201" t="s">
        <v>15</v>
      </c>
      <c r="BT159" s="201" t="s">
        <v>15</v>
      </c>
      <c r="BU159" s="201" t="s">
        <v>15</v>
      </c>
      <c r="BV159" s="201" t="s">
        <v>15</v>
      </c>
      <c r="BW159" s="201" t="s">
        <v>15</v>
      </c>
      <c r="BX159" s="201" t="s">
        <v>15</v>
      </c>
      <c r="BY159" s="201">
        <v>0.99006783816797406</v>
      </c>
      <c r="BZ159" s="201">
        <v>0.99344360390240283</v>
      </c>
      <c r="CA159" s="201">
        <v>0.99675233734257929</v>
      </c>
      <c r="CB159" s="201">
        <v>1</v>
      </c>
    </row>
    <row r="160" spans="1:80" x14ac:dyDescent="0.35">
      <c r="A160" t="s">
        <v>747</v>
      </c>
      <c r="C160" s="206" t="s">
        <v>738</v>
      </c>
      <c r="D160" t="s">
        <v>912</v>
      </c>
      <c r="E160" s="130">
        <v>1993.0049999999999</v>
      </c>
      <c r="F160" s="130">
        <f>NYSERDA_SupplyCurve_Raw[[#This Row],[Available Capacity (MWac)]]*NYSERDA_SupplyCurve_Raw[[#This Row],[2024 Weighted Avg Resource CapEx ($/kWac)]]</f>
        <v>14667772.511565598</v>
      </c>
      <c r="G160" s="130">
        <f>NYSERDA_SupplyCurve_Raw[[#This Row],[Available Capacity (MWac)]]*NYSERDA_SupplyCurve_Raw[[#This Row],[2024 Weighted Avg OpEx ($/kWac-year)]]</f>
        <v>293355.45023131202</v>
      </c>
      <c r="H160" s="130">
        <v>7359.6265496401656</v>
      </c>
      <c r="I160" s="130">
        <v>2268.188726274102</v>
      </c>
      <c r="J160" s="130">
        <v>147.19253099280334</v>
      </c>
      <c r="K160" s="130">
        <f>NYSERDA_SupplyCurve_Raw[[#This Row],[2024 Weighted Avg Capacity Factor]]*NYSERDA_SupplyCurve_Raw[[#This Row],[Available Capacity (MWac)]]</f>
        <v>1073.3880184728753</v>
      </c>
      <c r="L160" s="205">
        <v>0.5385776846886362</v>
      </c>
      <c r="M160" s="201" t="s">
        <v>15</v>
      </c>
      <c r="N160" s="201" t="s">
        <v>15</v>
      </c>
      <c r="O160" s="201" t="s">
        <v>15</v>
      </c>
      <c r="P160" s="201" t="s">
        <v>15</v>
      </c>
      <c r="Q160" s="201" t="s">
        <v>15</v>
      </c>
      <c r="R160" s="201" t="s">
        <v>15</v>
      </c>
      <c r="S160" s="201" t="s">
        <v>15</v>
      </c>
      <c r="T160" s="201" t="s">
        <v>15</v>
      </c>
      <c r="U160" s="201" t="s">
        <v>15</v>
      </c>
      <c r="V160" s="201" t="s">
        <v>15</v>
      </c>
      <c r="W160" s="201" t="s">
        <v>15</v>
      </c>
      <c r="X160" s="201" t="s">
        <v>15</v>
      </c>
      <c r="Y160" s="201" t="s">
        <v>15</v>
      </c>
      <c r="Z160" s="201">
        <v>0.93405639647765604</v>
      </c>
      <c r="AA160" s="201">
        <v>0.95553969359664204</v>
      </c>
      <c r="AB160" s="201">
        <v>0.97751710654936474</v>
      </c>
      <c r="AC160" s="201">
        <v>1</v>
      </c>
      <c r="AD160" s="201" t="s">
        <v>15</v>
      </c>
      <c r="AE160" s="201" t="s">
        <v>15</v>
      </c>
      <c r="AF160" s="201" t="s">
        <v>15</v>
      </c>
      <c r="AG160" s="201" t="s">
        <v>15</v>
      </c>
      <c r="AH160" s="201" t="s">
        <v>15</v>
      </c>
      <c r="AI160" s="201" t="s">
        <v>15</v>
      </c>
      <c r="AJ160" s="201" t="s">
        <v>15</v>
      </c>
      <c r="AK160" s="201" t="s">
        <v>15</v>
      </c>
      <c r="AL160" s="201" t="s">
        <v>15</v>
      </c>
      <c r="AM160" s="201" t="s">
        <v>15</v>
      </c>
      <c r="AN160" s="201" t="s">
        <v>15</v>
      </c>
      <c r="AO160" s="201" t="s">
        <v>15</v>
      </c>
      <c r="AP160" s="201" t="s">
        <v>15</v>
      </c>
      <c r="AQ160" s="201">
        <v>0.93405639647765626</v>
      </c>
      <c r="AR160" s="201">
        <v>0.95553969359664204</v>
      </c>
      <c r="AS160" s="201">
        <v>0.97751710654936474</v>
      </c>
      <c r="AT160" s="201">
        <v>1</v>
      </c>
      <c r="AU160" s="201" t="s">
        <v>15</v>
      </c>
      <c r="AV160" s="201" t="s">
        <v>15</v>
      </c>
      <c r="AW160" s="201" t="s">
        <v>15</v>
      </c>
      <c r="AX160" s="201" t="s">
        <v>15</v>
      </c>
      <c r="AY160" s="201" t="s">
        <v>15</v>
      </c>
      <c r="AZ160" s="201" t="s">
        <v>15</v>
      </c>
      <c r="BA160" s="201" t="s">
        <v>15</v>
      </c>
      <c r="BB160" s="201" t="s">
        <v>15</v>
      </c>
      <c r="BC160" s="201" t="s">
        <v>15</v>
      </c>
      <c r="BD160" s="201" t="s">
        <v>15</v>
      </c>
      <c r="BE160" s="201" t="s">
        <v>15</v>
      </c>
      <c r="BF160" s="201" t="s">
        <v>15</v>
      </c>
      <c r="BG160" s="201" t="s">
        <v>15</v>
      </c>
      <c r="BH160" s="201">
        <v>0.9340563964776557</v>
      </c>
      <c r="BI160" s="201">
        <v>0.95553969359664193</v>
      </c>
      <c r="BJ160" s="201">
        <v>0.97751710654936441</v>
      </c>
      <c r="BK160" s="201">
        <v>1</v>
      </c>
      <c r="BL160" s="201" t="s">
        <v>15</v>
      </c>
      <c r="BM160" s="201" t="s">
        <v>15</v>
      </c>
      <c r="BN160" s="201" t="s">
        <v>15</v>
      </c>
      <c r="BO160" s="201" t="s">
        <v>15</v>
      </c>
      <c r="BP160" s="201" t="s">
        <v>15</v>
      </c>
      <c r="BQ160" s="201" t="s">
        <v>15</v>
      </c>
      <c r="BR160" s="201" t="s">
        <v>15</v>
      </c>
      <c r="BS160" s="201" t="s">
        <v>15</v>
      </c>
      <c r="BT160" s="201" t="s">
        <v>15</v>
      </c>
      <c r="BU160" s="201" t="s">
        <v>15</v>
      </c>
      <c r="BV160" s="201" t="s">
        <v>15</v>
      </c>
      <c r="BW160" s="201" t="s">
        <v>15</v>
      </c>
      <c r="BX160" s="201" t="s">
        <v>15</v>
      </c>
      <c r="BY160" s="201">
        <v>0.99006783816797395</v>
      </c>
      <c r="BZ160" s="201">
        <v>0.99344360390240283</v>
      </c>
      <c r="CA160" s="201">
        <v>0.99675233734257929</v>
      </c>
      <c r="CB160" s="201">
        <v>1</v>
      </c>
    </row>
  </sheetData>
  <mergeCells count="3">
    <mergeCell ref="BL5:CB5"/>
    <mergeCell ref="A2:E2"/>
    <mergeCell ref="A1:E1"/>
  </mergeCells>
  <phoneticPr fontId="29" type="noConversion"/>
  <hyperlinks>
    <hyperlink ref="A2" r:id="rId1" display="https://www.nyserda.ny.gov/-/media/Project/Nyserda/Files/Programs/LSR/NYSERDA-LSR-Supply-Curve-Results-Table-2023-12-09.xlsx" xr:uid="{371402A9-46F2-4BBE-BDE9-C9B701C8C8A8}"/>
  </hyperlinks>
  <printOptions horizontalCentered="1" verticalCentered="1"/>
  <pageMargins left="0.7" right="0.7" top="0.75" bottom="0.75" header="0.3" footer="0.3"/>
  <pageSetup scale="22" orientation="landscape" horizontalDpi="1200" verticalDpi="1200"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9DB78-D42A-4A78-A588-570DEC351387}">
  <sheetPr>
    <pageSetUpPr fitToPage="1"/>
  </sheetPr>
  <dimension ref="A1:AE42"/>
  <sheetViews>
    <sheetView topLeftCell="A5" workbookViewId="0"/>
  </sheetViews>
  <sheetFormatPr defaultRowHeight="14.5" x14ac:dyDescent="0.35"/>
  <cols>
    <col min="1" max="1" width="36.7265625" customWidth="1"/>
    <col min="2" max="2" width="17.26953125" customWidth="1"/>
    <col min="3" max="3" width="10.26953125" customWidth="1"/>
    <col min="4" max="4" width="15.26953125" customWidth="1"/>
    <col min="5" max="5" width="27.26953125" customWidth="1"/>
    <col min="6" max="6" width="25.7265625" customWidth="1"/>
    <col min="7" max="7" width="28.1796875" customWidth="1"/>
    <col min="8" max="8" width="24.26953125" customWidth="1"/>
    <col min="9" max="9" width="20.81640625" customWidth="1"/>
    <col min="10" max="10" width="18.453125" customWidth="1"/>
  </cols>
  <sheetData>
    <row r="1" spans="1:31" x14ac:dyDescent="0.35">
      <c r="A1" t="s">
        <v>913</v>
      </c>
    </row>
    <row r="2" spans="1:31" ht="15" customHeight="1" x14ac:dyDescent="0.35">
      <c r="A2" t="s">
        <v>914</v>
      </c>
    </row>
    <row r="3" spans="1:31" ht="14.25" customHeight="1" x14ac:dyDescent="0.35">
      <c r="A3" t="s">
        <v>29</v>
      </c>
    </row>
    <row r="4" spans="1:31" x14ac:dyDescent="0.35">
      <c r="A4" t="s">
        <v>915</v>
      </c>
    </row>
    <row r="5" spans="1:31" ht="82.5" customHeight="1" thickBot="1" x14ac:dyDescent="0.4">
      <c r="A5" s="139" t="s">
        <v>916</v>
      </c>
      <c r="B5" s="138" t="s">
        <v>917</v>
      </c>
      <c r="C5" s="138" t="s">
        <v>918</v>
      </c>
      <c r="D5" s="138" t="s">
        <v>919</v>
      </c>
      <c r="E5" s="138" t="s">
        <v>920</v>
      </c>
      <c r="F5" s="138" t="s">
        <v>921</v>
      </c>
      <c r="G5" s="138" t="s">
        <v>922</v>
      </c>
      <c r="H5" s="138" t="s">
        <v>923</v>
      </c>
      <c r="I5" s="138" t="s">
        <v>924</v>
      </c>
      <c r="J5" s="138" t="s">
        <v>925</v>
      </c>
    </row>
    <row r="6" spans="1:31" ht="17.25" customHeight="1" thickTop="1" x14ac:dyDescent="0.35">
      <c r="A6" s="136" t="s">
        <v>926</v>
      </c>
      <c r="B6" s="135">
        <v>2026</v>
      </c>
      <c r="C6" s="131">
        <v>650</v>
      </c>
      <c r="D6" s="135">
        <v>4</v>
      </c>
      <c r="E6" s="133">
        <v>4507.1112620506301</v>
      </c>
      <c r="F6" s="134">
        <v>1</v>
      </c>
      <c r="G6" s="133">
        <v>4507.1112620506301</v>
      </c>
      <c r="H6" s="132">
        <v>5.064756</v>
      </c>
      <c r="I6" s="132">
        <v>45.678035999999999</v>
      </c>
      <c r="J6" s="131">
        <v>8638</v>
      </c>
      <c r="N6" s="130"/>
      <c r="AD6" s="130"/>
    </row>
    <row r="7" spans="1:31" ht="33.4" customHeight="1" x14ac:dyDescent="0.35">
      <c r="A7" s="137" t="s">
        <v>927</v>
      </c>
      <c r="B7" s="135">
        <v>2026</v>
      </c>
      <c r="C7" s="131">
        <v>650</v>
      </c>
      <c r="D7" s="135">
        <v>4</v>
      </c>
      <c r="E7" s="133">
        <v>5577.3367377155118</v>
      </c>
      <c r="F7" s="134">
        <v>1.01</v>
      </c>
      <c r="G7" s="133">
        <v>5633.1101050926673</v>
      </c>
      <c r="H7" s="132">
        <v>7.9664219999999997</v>
      </c>
      <c r="I7" s="132">
        <v>61.109527999999997</v>
      </c>
      <c r="J7" s="131">
        <v>9751</v>
      </c>
      <c r="N7" s="130"/>
      <c r="AD7" s="130"/>
      <c r="AE7" s="130"/>
    </row>
    <row r="8" spans="1:31" ht="17.25" customHeight="1" x14ac:dyDescent="0.35">
      <c r="A8" s="136" t="s">
        <v>928</v>
      </c>
      <c r="B8" s="135">
        <v>2026</v>
      </c>
      <c r="C8" s="131">
        <v>650</v>
      </c>
      <c r="D8" s="135">
        <v>4</v>
      </c>
      <c r="E8" s="133">
        <v>7175.6566110453796</v>
      </c>
      <c r="F8" s="134">
        <v>1.02</v>
      </c>
      <c r="G8" s="133">
        <v>7319.1697432662877</v>
      </c>
      <c r="H8" s="132">
        <v>12.354920999999999</v>
      </c>
      <c r="I8" s="132">
        <v>67.017539999999997</v>
      </c>
      <c r="J8" s="131">
        <v>12507</v>
      </c>
      <c r="N8" s="130"/>
      <c r="AD8" s="130"/>
      <c r="AE8" s="130"/>
    </row>
    <row r="9" spans="1:31" ht="15" customHeight="1" x14ac:dyDescent="0.35">
      <c r="A9" s="136" t="s">
        <v>929</v>
      </c>
      <c r="B9" s="135">
        <v>2025</v>
      </c>
      <c r="C9" s="131">
        <v>418</v>
      </c>
      <c r="D9" s="135">
        <v>3</v>
      </c>
      <c r="E9" s="133">
        <v>1329.5052554794393</v>
      </c>
      <c r="F9" s="134">
        <v>1</v>
      </c>
      <c r="G9" s="133">
        <v>1329.5052554794393</v>
      </c>
      <c r="H9" s="132">
        <v>2.870028</v>
      </c>
      <c r="I9" s="132">
        <v>15.869569</v>
      </c>
      <c r="J9" s="131">
        <v>6431</v>
      </c>
      <c r="N9" s="130"/>
      <c r="AD9" s="130"/>
      <c r="AE9" s="130"/>
    </row>
    <row r="10" spans="1:31" x14ac:dyDescent="0.35">
      <c r="A10" s="136" t="s">
        <v>930</v>
      </c>
      <c r="B10" s="135">
        <v>2025</v>
      </c>
      <c r="C10" s="131">
        <v>1083</v>
      </c>
      <c r="D10" s="135">
        <v>3</v>
      </c>
      <c r="E10" s="133">
        <v>1175.6880586392624</v>
      </c>
      <c r="F10" s="134">
        <v>1</v>
      </c>
      <c r="G10" s="133">
        <v>1175.6880586392624</v>
      </c>
      <c r="H10" s="132">
        <v>2.1046870000000002</v>
      </c>
      <c r="I10" s="132">
        <v>13.731116</v>
      </c>
      <c r="J10" s="131">
        <v>6370</v>
      </c>
      <c r="N10" s="130"/>
      <c r="AD10" s="130"/>
      <c r="AE10" s="130"/>
    </row>
    <row r="11" spans="1:31" x14ac:dyDescent="0.35">
      <c r="A11" s="136" t="s">
        <v>931</v>
      </c>
      <c r="B11" s="135">
        <v>2025</v>
      </c>
      <c r="C11" s="131">
        <v>377</v>
      </c>
      <c r="D11" s="135">
        <v>3</v>
      </c>
      <c r="E11" s="133">
        <v>3019.234084939234</v>
      </c>
      <c r="F11" s="134">
        <v>1.04</v>
      </c>
      <c r="G11" s="133">
        <v>3140.0034483368036</v>
      </c>
      <c r="H11" s="132">
        <v>6.572927</v>
      </c>
      <c r="I11" s="132">
        <v>31.063835000000001</v>
      </c>
      <c r="J11" s="131">
        <v>7124</v>
      </c>
      <c r="N11" s="130"/>
      <c r="AD11" s="130"/>
      <c r="AE11" s="130"/>
    </row>
    <row r="12" spans="1:31" x14ac:dyDescent="0.35">
      <c r="A12" s="136" t="s">
        <v>932</v>
      </c>
      <c r="B12" s="135">
        <v>2024</v>
      </c>
      <c r="C12" s="131">
        <v>21</v>
      </c>
      <c r="D12" s="135">
        <v>2</v>
      </c>
      <c r="E12" s="133">
        <v>2239.7267725744919</v>
      </c>
      <c r="F12" s="134">
        <v>1</v>
      </c>
      <c r="G12" s="133">
        <v>2239.7267725744919</v>
      </c>
      <c r="H12" s="132">
        <v>6.4041030000000001</v>
      </c>
      <c r="I12" s="132">
        <v>39.572628000000002</v>
      </c>
      <c r="J12" s="131">
        <v>8295</v>
      </c>
      <c r="N12" s="130"/>
      <c r="AD12" s="130"/>
      <c r="AE12" s="130"/>
    </row>
    <row r="13" spans="1:31" ht="16.5" x14ac:dyDescent="0.35">
      <c r="A13" s="136" t="s">
        <v>933</v>
      </c>
      <c r="B13" s="135">
        <v>2024</v>
      </c>
      <c r="C13" s="131">
        <v>105</v>
      </c>
      <c r="D13" s="135">
        <v>2</v>
      </c>
      <c r="E13" s="133">
        <v>1428.3181141493019</v>
      </c>
      <c r="F13" s="134">
        <v>1</v>
      </c>
      <c r="G13" s="133">
        <v>1428.3181141493019</v>
      </c>
      <c r="H13" s="132">
        <v>5.2898560000000003</v>
      </c>
      <c r="I13" s="132">
        <v>18.345670999999999</v>
      </c>
      <c r="J13" s="131">
        <v>9124</v>
      </c>
      <c r="N13" s="130"/>
      <c r="AD13" s="130"/>
      <c r="AE13" s="130"/>
    </row>
    <row r="14" spans="1:31" x14ac:dyDescent="0.35">
      <c r="A14" s="136" t="s">
        <v>934</v>
      </c>
      <c r="B14" s="135">
        <v>2024</v>
      </c>
      <c r="C14" s="131">
        <v>237</v>
      </c>
      <c r="D14" s="135">
        <v>2</v>
      </c>
      <c r="E14" s="133">
        <v>866.59616310332524</v>
      </c>
      <c r="F14" s="134">
        <v>1</v>
      </c>
      <c r="G14" s="133">
        <v>866.59616310332524</v>
      </c>
      <c r="H14" s="132">
        <v>5.064756</v>
      </c>
      <c r="I14" s="132">
        <v>7.8785100000000003</v>
      </c>
      <c r="J14" s="131">
        <v>9905</v>
      </c>
      <c r="N14" s="130"/>
      <c r="AD14" s="130"/>
      <c r="AE14" s="130"/>
    </row>
    <row r="15" spans="1:31" ht="15" customHeight="1" x14ac:dyDescent="0.35">
      <c r="A15" s="136" t="s">
        <v>935</v>
      </c>
      <c r="B15" s="135">
        <v>2025</v>
      </c>
      <c r="C15" s="131">
        <v>10</v>
      </c>
      <c r="D15" s="135">
        <v>3</v>
      </c>
      <c r="E15" s="133">
        <v>6771.231044447909</v>
      </c>
      <c r="F15" s="134">
        <v>1.0767</v>
      </c>
      <c r="G15" s="133">
        <v>7290.5844655570636</v>
      </c>
      <c r="H15" s="132">
        <v>0.66404600000000003</v>
      </c>
      <c r="I15" s="132">
        <v>34.647784999999999</v>
      </c>
      <c r="J15" s="131">
        <v>6469</v>
      </c>
      <c r="N15" s="130"/>
      <c r="AD15" s="130"/>
      <c r="AE15" s="130"/>
    </row>
    <row r="16" spans="1:31" x14ac:dyDescent="0.35">
      <c r="A16" s="136" t="s">
        <v>936</v>
      </c>
      <c r="B16" s="135">
        <v>2028</v>
      </c>
      <c r="C16" s="131">
        <v>2156</v>
      </c>
      <c r="D16" s="135">
        <v>6</v>
      </c>
      <c r="E16" s="133">
        <v>7406.2032045446822</v>
      </c>
      <c r="F16" s="134">
        <v>1.05</v>
      </c>
      <c r="G16" s="133">
        <v>7776.5133647719167</v>
      </c>
      <c r="H16" s="132">
        <v>2.6674380000000002</v>
      </c>
      <c r="I16" s="132">
        <v>136.90597500000001</v>
      </c>
      <c r="J16" s="131">
        <v>10446.655273</v>
      </c>
      <c r="N16" s="130"/>
      <c r="AD16" s="130"/>
      <c r="AE16" s="130"/>
    </row>
    <row r="17" spans="1:31" x14ac:dyDescent="0.35">
      <c r="A17" s="136" t="s">
        <v>937</v>
      </c>
      <c r="B17" s="135">
        <v>2028</v>
      </c>
      <c r="C17" s="131">
        <v>600</v>
      </c>
      <c r="D17" s="135">
        <v>6</v>
      </c>
      <c r="E17" s="133">
        <v>7589.6196310843179</v>
      </c>
      <c r="F17" s="134">
        <v>1.1000000000000001</v>
      </c>
      <c r="G17" s="133">
        <v>8348.5815941927503</v>
      </c>
      <c r="H17" s="132">
        <v>3.3765040000000002</v>
      </c>
      <c r="I17" s="132">
        <v>106.92263</v>
      </c>
      <c r="J17" s="131">
        <v>10446.655273</v>
      </c>
      <c r="N17" s="130"/>
      <c r="AD17" s="130"/>
      <c r="AE17" s="130"/>
    </row>
    <row r="18" spans="1:31" x14ac:dyDescent="0.35">
      <c r="A18" s="136" t="s">
        <v>938</v>
      </c>
      <c r="B18" s="135">
        <v>2025</v>
      </c>
      <c r="C18" s="131">
        <v>2</v>
      </c>
      <c r="D18" s="135">
        <v>3</v>
      </c>
      <c r="E18" s="133">
        <v>1914.6627402537711</v>
      </c>
      <c r="F18" s="134">
        <v>1</v>
      </c>
      <c r="G18" s="133">
        <v>1914.6627402537711</v>
      </c>
      <c r="H18" s="132">
        <v>9.6857790000000001</v>
      </c>
      <c r="I18" s="132">
        <v>21.790220000000001</v>
      </c>
      <c r="J18" s="131">
        <v>8912</v>
      </c>
      <c r="N18" s="130"/>
      <c r="AD18" s="130"/>
      <c r="AE18" s="130"/>
    </row>
    <row r="19" spans="1:31" x14ac:dyDescent="0.35">
      <c r="A19" s="136" t="s">
        <v>939</v>
      </c>
      <c r="B19" s="135">
        <v>2024</v>
      </c>
      <c r="C19" s="131">
        <v>1</v>
      </c>
      <c r="D19" s="135">
        <v>2</v>
      </c>
      <c r="E19" s="133">
        <v>2300.0187763509643</v>
      </c>
      <c r="F19" s="134">
        <v>1</v>
      </c>
      <c r="G19" s="133">
        <v>2300.0187763509643</v>
      </c>
      <c r="H19" s="132">
        <v>9.6857790000000001</v>
      </c>
      <c r="I19" s="132">
        <v>21.790220000000001</v>
      </c>
      <c r="J19" s="131">
        <v>9894</v>
      </c>
      <c r="N19" s="130"/>
      <c r="AD19" s="130"/>
      <c r="AE19" s="130"/>
    </row>
    <row r="20" spans="1:31" x14ac:dyDescent="0.35">
      <c r="A20" s="136" t="s">
        <v>940</v>
      </c>
      <c r="B20" s="135">
        <v>2023</v>
      </c>
      <c r="C20" s="131">
        <v>50</v>
      </c>
      <c r="D20" s="135">
        <v>1</v>
      </c>
      <c r="E20" s="133">
        <v>1270.2327981859412</v>
      </c>
      <c r="F20" s="134">
        <v>1</v>
      </c>
      <c r="G20" s="133">
        <v>1270.2327981859412</v>
      </c>
      <c r="H20" s="132">
        <v>0</v>
      </c>
      <c r="I20" s="132">
        <v>45.763244999999998</v>
      </c>
      <c r="J20" s="131" t="s">
        <v>14</v>
      </c>
      <c r="N20" s="130"/>
      <c r="AD20" s="130"/>
      <c r="AE20" s="130"/>
    </row>
    <row r="21" spans="1:31" ht="15" customHeight="1" x14ac:dyDescent="0.35">
      <c r="A21" s="136" t="s">
        <v>941</v>
      </c>
      <c r="B21" s="135">
        <v>2026</v>
      </c>
      <c r="C21" s="131">
        <v>50</v>
      </c>
      <c r="D21" s="135">
        <v>4</v>
      </c>
      <c r="E21" s="133">
        <v>4995.6993310739635</v>
      </c>
      <c r="F21" s="134">
        <v>1.0004390000000001</v>
      </c>
      <c r="G21" s="133">
        <v>4997.8924430803054</v>
      </c>
      <c r="H21" s="132">
        <v>5.4361709999999999</v>
      </c>
      <c r="I21" s="132">
        <v>141.49801600000001</v>
      </c>
      <c r="J21" s="131">
        <v>13500</v>
      </c>
      <c r="N21" s="130"/>
      <c r="AD21" s="130"/>
      <c r="AE21" s="130"/>
    </row>
    <row r="22" spans="1:31" ht="16.5" x14ac:dyDescent="0.35">
      <c r="A22" s="136" t="s">
        <v>942</v>
      </c>
      <c r="B22" s="135">
        <v>2026</v>
      </c>
      <c r="C22" s="131">
        <v>50</v>
      </c>
      <c r="D22" s="135">
        <v>4</v>
      </c>
      <c r="E22" s="133">
        <v>3403.0099822222219</v>
      </c>
      <c r="F22" s="134">
        <v>1</v>
      </c>
      <c r="G22" s="133">
        <v>3403.0099822222219</v>
      </c>
      <c r="H22" s="132">
        <v>1.305582</v>
      </c>
      <c r="I22" s="132">
        <v>153.975616</v>
      </c>
      <c r="J22" s="131">
        <v>8881.0166019999997</v>
      </c>
      <c r="N22" s="130"/>
      <c r="AD22" s="130"/>
      <c r="AE22" s="130"/>
    </row>
    <row r="23" spans="1:31" ht="16.5" x14ac:dyDescent="0.35">
      <c r="A23" s="136" t="s">
        <v>943</v>
      </c>
      <c r="B23" s="135">
        <v>2026</v>
      </c>
      <c r="C23" s="131">
        <v>100</v>
      </c>
      <c r="D23" s="135">
        <v>4</v>
      </c>
      <c r="E23" s="133">
        <v>3421.0124510000001</v>
      </c>
      <c r="F23" s="134">
        <v>1</v>
      </c>
      <c r="G23" s="133">
        <v>3421.0124510000001</v>
      </c>
      <c r="H23" s="132">
        <v>1.5666709999999999</v>
      </c>
      <c r="I23" s="132">
        <v>47.062793999999997</v>
      </c>
      <c r="J23" s="131" t="s">
        <v>14</v>
      </c>
      <c r="N23" s="130"/>
      <c r="AD23" s="130"/>
      <c r="AE23" s="130"/>
    </row>
    <row r="24" spans="1:31" ht="16.5" x14ac:dyDescent="0.35">
      <c r="A24" s="136" t="s">
        <v>944</v>
      </c>
      <c r="B24" s="135">
        <v>2025</v>
      </c>
      <c r="C24" s="131">
        <v>200</v>
      </c>
      <c r="D24" s="135">
        <v>3</v>
      </c>
      <c r="E24" s="133">
        <v>2097.8705348605049</v>
      </c>
      <c r="F24" s="134">
        <v>1</v>
      </c>
      <c r="G24" s="133">
        <v>2097.8705348605049</v>
      </c>
      <c r="H24" s="132">
        <v>0</v>
      </c>
      <c r="I24" s="132">
        <v>29.640077999999999</v>
      </c>
      <c r="J24" s="131" t="s">
        <v>14</v>
      </c>
      <c r="N24" s="130"/>
      <c r="AD24" s="130"/>
      <c r="AE24" s="130"/>
    </row>
    <row r="25" spans="1:31" ht="16.5" x14ac:dyDescent="0.35">
      <c r="A25" s="136" t="s">
        <v>945</v>
      </c>
      <c r="B25" s="135">
        <v>2026</v>
      </c>
      <c r="C25" s="131">
        <v>400</v>
      </c>
      <c r="D25" s="135">
        <v>4</v>
      </c>
      <c r="E25" s="133">
        <v>5337.7210836741915</v>
      </c>
      <c r="F25" s="134">
        <v>1.25</v>
      </c>
      <c r="G25" s="133">
        <v>6672.1513545927392</v>
      </c>
      <c r="H25" s="132">
        <v>0</v>
      </c>
      <c r="I25" s="132">
        <v>123.805145</v>
      </c>
      <c r="J25" s="131" t="s">
        <v>14</v>
      </c>
      <c r="N25" s="130"/>
      <c r="AD25" s="130"/>
      <c r="AE25" s="130"/>
    </row>
    <row r="26" spans="1:31" ht="16.5" x14ac:dyDescent="0.35">
      <c r="A26" s="136" t="s">
        <v>946</v>
      </c>
      <c r="B26" s="135">
        <v>2025</v>
      </c>
      <c r="C26" s="131">
        <v>115</v>
      </c>
      <c r="D26" s="135">
        <v>3</v>
      </c>
      <c r="E26" s="133">
        <v>8731.8804704695085</v>
      </c>
      <c r="F26" s="134">
        <v>1</v>
      </c>
      <c r="G26" s="133">
        <v>8731.8804704695085</v>
      </c>
      <c r="H26" s="132">
        <v>0</v>
      </c>
      <c r="I26" s="132">
        <v>96.102547000000001</v>
      </c>
      <c r="J26" s="131" t="s">
        <v>14</v>
      </c>
      <c r="N26" s="130"/>
      <c r="AD26" s="130"/>
      <c r="AE26" s="130"/>
    </row>
    <row r="27" spans="1:31" ht="16.5" x14ac:dyDescent="0.35">
      <c r="A27" s="136" t="s">
        <v>947</v>
      </c>
      <c r="B27" s="135">
        <v>2024</v>
      </c>
      <c r="C27" s="131">
        <v>150</v>
      </c>
      <c r="D27" s="135">
        <v>2</v>
      </c>
      <c r="E27" s="133">
        <v>1447.5691566487833</v>
      </c>
      <c r="F27" s="134">
        <v>1</v>
      </c>
      <c r="G27" s="133">
        <v>1447.5691566487833</v>
      </c>
      <c r="H27" s="132">
        <v>0</v>
      </c>
      <c r="I27" s="132">
        <v>17.163895</v>
      </c>
      <c r="J27" s="131" t="s">
        <v>14</v>
      </c>
      <c r="N27" s="130"/>
      <c r="AD27" s="130"/>
      <c r="AE27" s="130"/>
    </row>
    <row r="28" spans="1:31" ht="17" thickBot="1" x14ac:dyDescent="0.4">
      <c r="A28" s="142" t="s">
        <v>948</v>
      </c>
      <c r="B28" s="143">
        <v>2024</v>
      </c>
      <c r="C28" s="144">
        <v>150</v>
      </c>
      <c r="D28" s="143">
        <v>2</v>
      </c>
      <c r="E28" s="145">
        <v>1808.18549215233</v>
      </c>
      <c r="F28" s="146">
        <v>1</v>
      </c>
      <c r="G28" s="145">
        <v>1808.18549215233</v>
      </c>
      <c r="H28" s="147">
        <v>0</v>
      </c>
      <c r="I28" s="147">
        <v>32.421658000000001</v>
      </c>
      <c r="J28" s="144" t="s">
        <v>14</v>
      </c>
      <c r="N28" s="130"/>
      <c r="AD28" s="130"/>
      <c r="AE28" s="130"/>
    </row>
    <row r="29" spans="1:31" ht="42" customHeight="1" x14ac:dyDescent="0.35">
      <c r="A29" s="268" t="s">
        <v>949</v>
      </c>
      <c r="B29" s="268"/>
      <c r="C29" s="268"/>
      <c r="D29" s="268"/>
      <c r="E29" s="268"/>
      <c r="F29" s="268"/>
      <c r="G29" s="268"/>
      <c r="H29" s="268"/>
      <c r="I29" s="268"/>
      <c r="J29" s="268"/>
      <c r="O29" s="129"/>
    </row>
    <row r="30" spans="1:31" ht="18.399999999999999" customHeight="1" x14ac:dyDescent="0.35">
      <c r="A30" s="266" t="s">
        <v>950</v>
      </c>
      <c r="B30" s="266"/>
      <c r="C30" s="266"/>
      <c r="D30" s="266"/>
      <c r="E30" s="266"/>
      <c r="F30" s="266"/>
      <c r="G30" s="266"/>
      <c r="H30" s="266"/>
      <c r="I30" s="266"/>
      <c r="J30" s="266"/>
      <c r="M30" s="129"/>
    </row>
    <row r="31" spans="1:31" ht="17.649999999999999" customHeight="1" x14ac:dyDescent="0.35">
      <c r="A31" s="266" t="s">
        <v>951</v>
      </c>
      <c r="B31" s="266"/>
      <c r="C31" s="266"/>
      <c r="D31" s="266"/>
      <c r="E31" s="266"/>
      <c r="F31" s="266"/>
      <c r="G31" s="266"/>
      <c r="H31" s="266"/>
      <c r="I31" s="266"/>
      <c r="J31" s="266"/>
      <c r="M31" s="126"/>
    </row>
    <row r="32" spans="1:31" ht="15.4" customHeight="1" x14ac:dyDescent="0.35">
      <c r="A32" s="266" t="s">
        <v>952</v>
      </c>
      <c r="B32" s="266"/>
      <c r="C32" s="266"/>
      <c r="D32" s="266"/>
      <c r="E32" s="266"/>
      <c r="F32" s="266"/>
      <c r="G32" s="266"/>
      <c r="H32" s="266"/>
      <c r="I32" s="266"/>
      <c r="J32" s="266"/>
      <c r="M32" s="126"/>
    </row>
    <row r="33" spans="1:13" ht="28.9" customHeight="1" x14ac:dyDescent="0.35">
      <c r="A33" s="266" t="s">
        <v>953</v>
      </c>
      <c r="B33" s="266"/>
      <c r="C33" s="266"/>
      <c r="D33" s="266"/>
      <c r="E33" s="266"/>
      <c r="F33" s="266"/>
      <c r="G33" s="266"/>
      <c r="H33" s="266"/>
      <c r="I33" s="266"/>
      <c r="J33" s="266"/>
      <c r="K33" s="198"/>
      <c r="L33" s="198"/>
      <c r="M33" s="126"/>
    </row>
    <row r="34" spans="1:13" ht="31.5" customHeight="1" x14ac:dyDescent="0.35">
      <c r="A34" s="266" t="s">
        <v>954</v>
      </c>
      <c r="B34" s="266"/>
      <c r="C34" s="266"/>
      <c r="D34" s="266"/>
      <c r="E34" s="266"/>
      <c r="F34" s="266"/>
      <c r="G34" s="266"/>
      <c r="H34" s="266"/>
      <c r="I34" s="266"/>
      <c r="J34" s="266"/>
      <c r="M34" s="126"/>
    </row>
    <row r="35" spans="1:13" ht="67.900000000000006" customHeight="1" x14ac:dyDescent="0.35">
      <c r="A35" s="266" t="s">
        <v>955</v>
      </c>
      <c r="B35" s="266"/>
      <c r="C35" s="266"/>
      <c r="D35" s="266"/>
      <c r="E35" s="266"/>
      <c r="F35" s="266"/>
      <c r="G35" s="266"/>
      <c r="H35" s="266"/>
      <c r="I35" s="266"/>
      <c r="J35" s="266"/>
      <c r="M35" s="126"/>
    </row>
    <row r="36" spans="1:13" x14ac:dyDescent="0.35">
      <c r="A36" s="266" t="s">
        <v>956</v>
      </c>
      <c r="B36" s="266"/>
      <c r="C36" s="266"/>
      <c r="D36" s="266"/>
      <c r="E36" s="266"/>
      <c r="F36" s="266"/>
      <c r="G36" s="266"/>
      <c r="H36" s="266"/>
      <c r="I36" s="266"/>
      <c r="J36" s="266"/>
      <c r="M36" s="126"/>
    </row>
    <row r="37" spans="1:13" ht="66" customHeight="1" x14ac:dyDescent="0.35">
      <c r="A37" s="266" t="s">
        <v>957</v>
      </c>
      <c r="B37" s="266"/>
      <c r="C37" s="266"/>
      <c r="D37" s="266"/>
      <c r="E37" s="266"/>
      <c r="F37" s="266"/>
      <c r="G37" s="266"/>
      <c r="H37" s="266"/>
      <c r="I37" s="266"/>
      <c r="J37" s="266"/>
      <c r="M37" s="128"/>
    </row>
    <row r="38" spans="1:13" ht="16.5" customHeight="1" x14ac:dyDescent="0.35">
      <c r="A38" s="266" t="s">
        <v>958</v>
      </c>
      <c r="B38" s="266"/>
      <c r="C38" s="266"/>
      <c r="D38" s="266"/>
      <c r="E38" s="266"/>
      <c r="F38" s="266"/>
      <c r="G38" s="266"/>
      <c r="H38" s="266"/>
      <c r="I38" s="266"/>
      <c r="J38" s="266"/>
      <c r="M38" s="126"/>
    </row>
    <row r="39" spans="1:13" ht="16.899999999999999" customHeight="1" x14ac:dyDescent="0.35">
      <c r="A39" s="266" t="s">
        <v>959</v>
      </c>
      <c r="B39" s="266"/>
      <c r="C39" s="266"/>
      <c r="D39" s="266"/>
      <c r="E39" s="266"/>
      <c r="F39" s="266"/>
      <c r="G39" s="266"/>
      <c r="H39" s="266"/>
      <c r="I39" s="266"/>
      <c r="J39" s="266"/>
      <c r="M39" s="126"/>
    </row>
    <row r="40" spans="1:13" ht="29.65" customHeight="1" x14ac:dyDescent="0.35">
      <c r="A40" s="267" t="s">
        <v>960</v>
      </c>
      <c r="B40" s="267"/>
      <c r="C40" s="267"/>
      <c r="D40" s="267"/>
      <c r="E40" s="267"/>
      <c r="F40" s="267"/>
      <c r="G40" s="267"/>
      <c r="H40" s="267"/>
      <c r="I40" s="267"/>
      <c r="J40" s="267"/>
      <c r="M40" s="126"/>
    </row>
    <row r="41" spans="1:13" ht="21.4" customHeight="1" x14ac:dyDescent="0.35">
      <c r="A41" s="127" t="s">
        <v>961</v>
      </c>
      <c r="M41" s="126"/>
    </row>
    <row r="42" spans="1:13" x14ac:dyDescent="0.35">
      <c r="A42" s="125"/>
    </row>
  </sheetData>
  <mergeCells count="12">
    <mergeCell ref="A38:J38"/>
    <mergeCell ref="A39:J39"/>
    <mergeCell ref="A40:J40"/>
    <mergeCell ref="A29:J29"/>
    <mergeCell ref="A30:J30"/>
    <mergeCell ref="A31:J31"/>
    <mergeCell ref="A32:J32"/>
    <mergeCell ref="A33:J33"/>
    <mergeCell ref="A34:J34"/>
    <mergeCell ref="A35:J35"/>
    <mergeCell ref="A36:J36"/>
    <mergeCell ref="A37:J37"/>
  </mergeCells>
  <pageMargins left="0.25" right="0.25" top="0.75" bottom="0.75" header="0.3" footer="0.3"/>
  <pageSetup scale="82" fitToHeight="0"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4F39B-BED3-4857-BE99-57E7B1D0F6F8}">
  <dimension ref="A1:BK84"/>
  <sheetViews>
    <sheetView topLeftCell="A9" workbookViewId="0">
      <selection activeCell="A25" sqref="A25"/>
    </sheetView>
  </sheetViews>
  <sheetFormatPr defaultColWidth="9.26953125" defaultRowHeight="12.5" x14ac:dyDescent="0.25"/>
  <cols>
    <col min="1" max="1" width="54.26953125" style="75" customWidth="1"/>
    <col min="2" max="2" width="20.54296875" style="75" bestFit="1" customWidth="1"/>
    <col min="3" max="3" width="33.453125" style="75" bestFit="1" customWidth="1"/>
    <col min="4" max="4" width="18.7265625" style="75" customWidth="1"/>
    <col min="5" max="5" width="38.1796875" style="75" customWidth="1"/>
    <col min="6" max="6" width="26.7265625" style="75" customWidth="1"/>
    <col min="7" max="7" width="30.453125" style="75" customWidth="1"/>
    <col min="8" max="8" width="37.81640625" style="75" customWidth="1"/>
    <col min="9" max="9" width="30.81640625" style="75" customWidth="1"/>
    <col min="10" max="10" width="22.54296875" style="75" customWidth="1"/>
    <col min="11" max="11" width="26.7265625" style="75" customWidth="1"/>
    <col min="12" max="12" width="30.54296875" style="75" customWidth="1"/>
    <col min="13" max="13" width="13.81640625" style="75" customWidth="1"/>
    <col min="14" max="14" width="14.81640625" style="75" customWidth="1"/>
    <col min="15" max="15" width="11.26953125" style="75" customWidth="1"/>
    <col min="16" max="16" width="14.7265625" style="75" customWidth="1"/>
    <col min="17" max="17" width="14.453125" style="75" customWidth="1"/>
    <col min="18" max="18" width="15.26953125" style="75" customWidth="1"/>
    <col min="19" max="19" width="23" style="75" customWidth="1"/>
    <col min="20" max="20" width="13.453125" style="75" customWidth="1"/>
    <col min="21" max="21" width="12.26953125" style="75" customWidth="1"/>
    <col min="22" max="22" width="18.26953125" style="75" customWidth="1"/>
    <col min="23" max="23" width="9.26953125" style="75"/>
    <col min="24" max="24" width="22.54296875" style="75" customWidth="1"/>
    <col min="25" max="26" width="9.26953125" style="75"/>
    <col min="27" max="27" width="17.26953125" style="75" customWidth="1"/>
    <col min="28" max="28" width="18.54296875" style="75" customWidth="1"/>
    <col min="29" max="30" width="17.7265625" style="75" customWidth="1"/>
    <col min="31" max="31" width="20.7265625" style="75" customWidth="1"/>
    <col min="32" max="32" width="21.7265625" style="75" customWidth="1"/>
    <col min="33" max="33" width="19" style="75" customWidth="1"/>
    <col min="34" max="34" width="22.26953125" style="75" customWidth="1"/>
    <col min="35" max="35" width="18.26953125" style="75" customWidth="1"/>
    <col min="36" max="36" width="17" style="75" customWidth="1"/>
    <col min="37" max="37" width="26.453125" style="75" customWidth="1"/>
    <col min="38" max="38" width="17.54296875" style="75" customWidth="1"/>
    <col min="39" max="39" width="14.453125" style="75" customWidth="1"/>
    <col min="40" max="40" width="12.54296875" style="75" customWidth="1"/>
    <col min="41" max="41" width="24" style="75" customWidth="1"/>
    <col min="42" max="42" width="24.453125" style="75" customWidth="1"/>
    <col min="43" max="43" width="37.26953125" style="75" customWidth="1"/>
    <col min="44" max="44" width="35.26953125" style="75" customWidth="1"/>
    <col min="45" max="45" width="38.26953125" style="75" customWidth="1"/>
    <col min="46" max="46" width="36.26953125" style="75" customWidth="1"/>
    <col min="47" max="47" width="27.54296875" style="75" customWidth="1"/>
    <col min="48" max="48" width="14.7265625" style="75" customWidth="1"/>
    <col min="49" max="49" width="24" style="75" customWidth="1"/>
    <col min="50" max="50" width="24.7265625" style="75" customWidth="1"/>
    <col min="51" max="51" width="24.26953125" style="75" customWidth="1"/>
    <col min="52" max="52" width="26.26953125" style="75" customWidth="1"/>
    <col min="53" max="53" width="26.7265625" style="75" customWidth="1"/>
    <col min="54" max="54" width="26.26953125" style="75" customWidth="1"/>
    <col min="55" max="55" width="18.453125" style="75" customWidth="1"/>
    <col min="56" max="56" width="18" style="75" customWidth="1"/>
    <col min="57" max="57" width="19" style="75" customWidth="1"/>
    <col min="58" max="58" width="18.54296875" style="75" customWidth="1"/>
    <col min="59" max="59" width="20.7265625" style="75" customWidth="1"/>
    <col min="60" max="60" width="20.453125" style="75" customWidth="1"/>
    <col min="61" max="61" width="21.26953125" style="75" customWidth="1"/>
    <col min="62" max="62" width="20.7265625" style="75" customWidth="1"/>
    <col min="63" max="63" width="15.7265625" style="75" customWidth="1"/>
    <col min="64" max="16384" width="9.26953125" style="75"/>
  </cols>
  <sheetData>
    <row r="1" spans="1:15" ht="13" x14ac:dyDescent="0.3">
      <c r="A1" s="74" t="s">
        <v>24</v>
      </c>
      <c r="B1" s="199"/>
      <c r="C1" s="199"/>
      <c r="D1" s="199"/>
      <c r="E1" s="199" t="s">
        <v>962</v>
      </c>
      <c r="F1" s="199"/>
      <c r="G1" s="76"/>
      <c r="H1" s="199"/>
      <c r="I1" s="199"/>
      <c r="J1" s="199"/>
      <c r="K1" s="199"/>
      <c r="L1" s="199"/>
      <c r="M1" s="199"/>
      <c r="N1" s="199"/>
      <c r="O1" s="199"/>
    </row>
    <row r="2" spans="1:15" ht="13" x14ac:dyDescent="0.3">
      <c r="A2" s="77" t="s">
        <v>963</v>
      </c>
      <c r="B2" s="199"/>
      <c r="C2" s="199"/>
      <c r="D2" s="199"/>
      <c r="E2" s="199"/>
      <c r="F2" s="199"/>
      <c r="G2" s="199"/>
      <c r="H2" s="199"/>
      <c r="I2" s="199"/>
      <c r="J2" s="199"/>
      <c r="K2" s="199"/>
      <c r="L2" s="199"/>
      <c r="M2" s="199"/>
      <c r="N2" s="199"/>
      <c r="O2" s="199"/>
    </row>
    <row r="3" spans="1:15" x14ac:dyDescent="0.25">
      <c r="A3" s="199" t="s">
        <v>964</v>
      </c>
      <c r="B3" s="199"/>
      <c r="C3" s="199"/>
      <c r="D3" s="199"/>
      <c r="E3" s="199"/>
      <c r="F3" s="199"/>
      <c r="G3" s="199"/>
      <c r="H3" s="199"/>
      <c r="I3" s="199"/>
      <c r="J3" s="199"/>
      <c r="K3" s="199"/>
      <c r="L3" s="199"/>
      <c r="M3" s="199"/>
      <c r="N3" s="199"/>
      <c r="O3" s="199"/>
    </row>
    <row r="4" spans="1:15" ht="49.5" customHeight="1" x14ac:dyDescent="0.3">
      <c r="A4" s="78" t="s">
        <v>916</v>
      </c>
      <c r="B4" s="78" t="s">
        <v>965</v>
      </c>
      <c r="C4" s="78" t="s">
        <v>918</v>
      </c>
      <c r="D4" s="78" t="s">
        <v>966</v>
      </c>
      <c r="E4" s="78" t="s">
        <v>967</v>
      </c>
      <c r="F4" s="78" t="s">
        <v>968</v>
      </c>
      <c r="G4" s="78" t="s">
        <v>969</v>
      </c>
      <c r="H4" s="78" t="s">
        <v>970</v>
      </c>
      <c r="I4" s="78" t="s">
        <v>971</v>
      </c>
      <c r="J4" s="78" t="s">
        <v>972</v>
      </c>
      <c r="K4" s="78" t="s">
        <v>973</v>
      </c>
      <c r="L4" s="78" t="s">
        <v>974</v>
      </c>
      <c r="M4" s="78" t="s">
        <v>975</v>
      </c>
      <c r="N4" s="78" t="s">
        <v>976</v>
      </c>
      <c r="O4" s="78" t="s">
        <v>977</v>
      </c>
    </row>
    <row r="5" spans="1:15" x14ac:dyDescent="0.25">
      <c r="A5" s="199" t="s">
        <v>978</v>
      </c>
      <c r="B5" s="199">
        <v>2015</v>
      </c>
      <c r="C5" s="199">
        <v>1300</v>
      </c>
      <c r="D5" s="199">
        <v>4</v>
      </c>
      <c r="E5" s="79">
        <v>2734</v>
      </c>
      <c r="F5" s="199">
        <v>1.07</v>
      </c>
      <c r="G5" s="199">
        <v>1</v>
      </c>
      <c r="H5" s="79">
        <v>2925</v>
      </c>
      <c r="I5" s="199">
        <v>4.47</v>
      </c>
      <c r="J5" s="199">
        <v>31.18</v>
      </c>
      <c r="K5" s="79">
        <v>8800</v>
      </c>
      <c r="L5" s="79">
        <v>8740</v>
      </c>
      <c r="M5" s="252">
        <f t="shared" ref="M5:N30" si="0">3412/K5</f>
        <v>0.38772727272727275</v>
      </c>
      <c r="N5" s="252">
        <f t="shared" si="0"/>
        <v>0.39038901601830661</v>
      </c>
      <c r="O5" s="199">
        <f t="shared" ref="O5:O30" si="1">K5*0.9/3412</f>
        <v>2.3212192262602578</v>
      </c>
    </row>
    <row r="6" spans="1:15" x14ac:dyDescent="0.25">
      <c r="A6" s="199" t="s">
        <v>979</v>
      </c>
      <c r="B6" s="199">
        <v>2015</v>
      </c>
      <c r="C6" s="199">
        <v>1200</v>
      </c>
      <c r="D6" s="199">
        <v>4</v>
      </c>
      <c r="E6" s="79">
        <v>3525</v>
      </c>
      <c r="F6" s="199">
        <v>1.07</v>
      </c>
      <c r="G6" s="199">
        <v>1</v>
      </c>
      <c r="H6" s="79">
        <v>3771</v>
      </c>
      <c r="I6" s="199">
        <v>7.22</v>
      </c>
      <c r="J6" s="199">
        <v>51.39</v>
      </c>
      <c r="K6" s="79">
        <v>8700</v>
      </c>
      <c r="L6" s="79">
        <v>7450</v>
      </c>
      <c r="M6" s="252">
        <f t="shared" si="0"/>
        <v>0.39218390804597703</v>
      </c>
      <c r="N6" s="252">
        <f t="shared" si="0"/>
        <v>0.45798657718120805</v>
      </c>
      <c r="O6" s="199">
        <f t="shared" si="1"/>
        <v>2.294841735052755</v>
      </c>
    </row>
    <row r="7" spans="1:15" x14ac:dyDescent="0.25">
      <c r="A7" s="199" t="s">
        <v>980</v>
      </c>
      <c r="B7" s="199">
        <v>2017</v>
      </c>
      <c r="C7" s="199">
        <v>520</v>
      </c>
      <c r="D7" s="199">
        <v>4</v>
      </c>
      <c r="E7" s="79">
        <v>5958</v>
      </c>
      <c r="F7" s="199">
        <v>1.07</v>
      </c>
      <c r="G7" s="199">
        <v>1.03</v>
      </c>
      <c r="H7" s="79">
        <v>6567</v>
      </c>
      <c r="I7" s="199">
        <v>8.4499999999999993</v>
      </c>
      <c r="J7" s="199">
        <v>72.84</v>
      </c>
      <c r="K7" s="79">
        <v>10700</v>
      </c>
      <c r="L7" s="79">
        <v>8307</v>
      </c>
      <c r="M7" s="252">
        <f t="shared" si="0"/>
        <v>0.31887850467289719</v>
      </c>
      <c r="N7" s="252">
        <f t="shared" si="0"/>
        <v>0.41073793186469243</v>
      </c>
      <c r="O7" s="199">
        <f t="shared" si="1"/>
        <v>2.8223915592028135</v>
      </c>
    </row>
    <row r="8" spans="1:15" x14ac:dyDescent="0.25">
      <c r="A8" s="199" t="s">
        <v>981</v>
      </c>
      <c r="B8" s="199">
        <v>2014</v>
      </c>
      <c r="C8" s="199">
        <v>540</v>
      </c>
      <c r="D8" s="199">
        <v>3</v>
      </c>
      <c r="E8" s="199">
        <v>871</v>
      </c>
      <c r="F8" s="199">
        <v>1.05</v>
      </c>
      <c r="G8" s="199">
        <v>1</v>
      </c>
      <c r="H8" s="199">
        <v>915</v>
      </c>
      <c r="I8" s="199">
        <v>3.6</v>
      </c>
      <c r="J8" s="199">
        <v>13.17</v>
      </c>
      <c r="K8" s="79">
        <v>7050</v>
      </c>
      <c r="L8" s="79">
        <v>6800</v>
      </c>
      <c r="M8" s="252">
        <f t="shared" si="0"/>
        <v>0.48397163120567377</v>
      </c>
      <c r="N8" s="252">
        <f t="shared" si="0"/>
        <v>0.50176470588235289</v>
      </c>
      <c r="O8" s="199">
        <f t="shared" si="1"/>
        <v>1.8596131301289567</v>
      </c>
    </row>
    <row r="9" spans="1:15" x14ac:dyDescent="0.25">
      <c r="A9" s="199" t="s">
        <v>982</v>
      </c>
      <c r="B9" s="199">
        <v>2014</v>
      </c>
      <c r="C9" s="199">
        <v>400</v>
      </c>
      <c r="D9" s="199">
        <v>3</v>
      </c>
      <c r="E9" s="199">
        <v>945</v>
      </c>
      <c r="F9" s="199">
        <v>1.08</v>
      </c>
      <c r="G9" s="199">
        <v>1</v>
      </c>
      <c r="H9" s="199">
        <v>1021</v>
      </c>
      <c r="I9" s="199">
        <v>3.27</v>
      </c>
      <c r="J9" s="199">
        <v>15.37</v>
      </c>
      <c r="K9" s="79">
        <v>6430</v>
      </c>
      <c r="L9" s="79">
        <v>6333</v>
      </c>
      <c r="M9" s="252">
        <f t="shared" si="0"/>
        <v>0.53063763608087089</v>
      </c>
      <c r="N9" s="252">
        <f t="shared" si="0"/>
        <v>0.53876519816832469</v>
      </c>
      <c r="O9" s="199">
        <f t="shared" si="1"/>
        <v>1.6960726846424385</v>
      </c>
    </row>
    <row r="10" spans="1:15" x14ac:dyDescent="0.25">
      <c r="A10" s="199" t="s">
        <v>983</v>
      </c>
      <c r="B10" s="199">
        <v>2017</v>
      </c>
      <c r="C10" s="199">
        <v>340</v>
      </c>
      <c r="D10" s="199">
        <v>3</v>
      </c>
      <c r="E10" s="79">
        <v>1856</v>
      </c>
      <c r="F10" s="199">
        <v>1.08</v>
      </c>
      <c r="G10" s="199">
        <v>1.04</v>
      </c>
      <c r="H10" s="79">
        <v>2084</v>
      </c>
      <c r="I10" s="199">
        <v>6.78</v>
      </c>
      <c r="J10" s="199">
        <v>31.79</v>
      </c>
      <c r="K10" s="79">
        <v>7525</v>
      </c>
      <c r="L10" s="79">
        <v>7493</v>
      </c>
      <c r="M10" s="252">
        <f t="shared" si="0"/>
        <v>0.45342192691029898</v>
      </c>
      <c r="N10" s="252">
        <f t="shared" si="0"/>
        <v>0.45535833444548246</v>
      </c>
      <c r="O10" s="199">
        <f t="shared" si="1"/>
        <v>1.9849062133645956</v>
      </c>
    </row>
    <row r="11" spans="1:15" x14ac:dyDescent="0.25">
      <c r="A11" s="199" t="s">
        <v>984</v>
      </c>
      <c r="B11" s="199">
        <v>2013</v>
      </c>
      <c r="C11" s="199">
        <v>85</v>
      </c>
      <c r="D11" s="199">
        <v>2</v>
      </c>
      <c r="E11" s="199">
        <v>924</v>
      </c>
      <c r="F11" s="199">
        <v>1.05</v>
      </c>
      <c r="G11" s="199">
        <v>1</v>
      </c>
      <c r="H11" s="199">
        <v>971</v>
      </c>
      <c r="I11" s="199">
        <v>15.45</v>
      </c>
      <c r="J11" s="199">
        <v>7.34</v>
      </c>
      <c r="K11" s="79">
        <v>10917</v>
      </c>
      <c r="L11" s="79">
        <v>10450</v>
      </c>
      <c r="M11" s="252">
        <f t="shared" si="0"/>
        <v>0.31254007511221032</v>
      </c>
      <c r="N11" s="252">
        <f t="shared" si="0"/>
        <v>0.3265071770334928</v>
      </c>
      <c r="O11" s="199">
        <f t="shared" si="1"/>
        <v>2.8796307151230951</v>
      </c>
    </row>
    <row r="12" spans="1:15" s="123" customFormat="1" x14ac:dyDescent="0.25">
      <c r="A12" s="123" t="s">
        <v>985</v>
      </c>
      <c r="B12" s="123">
        <v>2013</v>
      </c>
      <c r="C12" s="123">
        <v>210</v>
      </c>
      <c r="D12" s="123">
        <v>2</v>
      </c>
      <c r="E12" s="123">
        <v>641</v>
      </c>
      <c r="F12" s="123">
        <v>1.05</v>
      </c>
      <c r="G12" s="123">
        <v>1</v>
      </c>
      <c r="H12" s="123">
        <v>673</v>
      </c>
      <c r="I12" s="123">
        <v>10.37</v>
      </c>
      <c r="J12" s="123">
        <v>7.04</v>
      </c>
      <c r="K12" s="124">
        <v>9750</v>
      </c>
      <c r="L12" s="124">
        <v>8550</v>
      </c>
      <c r="M12" s="253">
        <f t="shared" si="0"/>
        <v>0.34994871794871796</v>
      </c>
      <c r="N12" s="253">
        <f t="shared" si="0"/>
        <v>0.39906432748538012</v>
      </c>
      <c r="O12" s="123">
        <f t="shared" si="1"/>
        <v>2.5718053927315356</v>
      </c>
    </row>
    <row r="13" spans="1:15" x14ac:dyDescent="0.25">
      <c r="A13" s="199" t="s">
        <v>986</v>
      </c>
      <c r="B13" s="199">
        <v>2014</v>
      </c>
      <c r="C13" s="199">
        <v>10</v>
      </c>
      <c r="D13" s="199">
        <v>3</v>
      </c>
      <c r="E13" s="79">
        <v>6099</v>
      </c>
      <c r="F13" s="199">
        <v>1.05</v>
      </c>
      <c r="G13" s="199">
        <v>1.1000000000000001</v>
      </c>
      <c r="H13" s="79">
        <v>7044</v>
      </c>
      <c r="I13" s="199">
        <v>42.99</v>
      </c>
      <c r="J13" s="199">
        <v>0</v>
      </c>
      <c r="K13" s="79">
        <v>9500</v>
      </c>
      <c r="L13" s="79">
        <v>6960</v>
      </c>
      <c r="M13" s="252">
        <f t="shared" si="0"/>
        <v>0.35915789473684212</v>
      </c>
      <c r="N13" s="252">
        <f t="shared" si="0"/>
        <v>0.49022988505747128</v>
      </c>
      <c r="O13" s="199">
        <f t="shared" si="1"/>
        <v>2.5058616647127785</v>
      </c>
    </row>
    <row r="14" spans="1:15" x14ac:dyDescent="0.25">
      <c r="A14" s="199" t="s">
        <v>987</v>
      </c>
      <c r="B14" s="199">
        <v>2017</v>
      </c>
      <c r="C14" s="199">
        <v>2236</v>
      </c>
      <c r="D14" s="199">
        <v>6</v>
      </c>
      <c r="E14" s="79">
        <v>4763</v>
      </c>
      <c r="F14" s="199">
        <v>1.1000000000000001</v>
      </c>
      <c r="G14" s="199">
        <v>1.05</v>
      </c>
      <c r="H14" s="79">
        <v>5501</v>
      </c>
      <c r="I14" s="199">
        <v>2.14</v>
      </c>
      <c r="J14" s="199">
        <v>93.28</v>
      </c>
      <c r="K14" s="79">
        <v>10460</v>
      </c>
      <c r="L14" s="79">
        <v>10460</v>
      </c>
      <c r="M14" s="252">
        <f t="shared" si="0"/>
        <v>0.32619502868068834</v>
      </c>
      <c r="N14" s="252">
        <f t="shared" si="0"/>
        <v>0.32619502868068834</v>
      </c>
      <c r="O14" s="199">
        <f t="shared" si="1"/>
        <v>2.7590855803048067</v>
      </c>
    </row>
    <row r="15" spans="1:15" x14ac:dyDescent="0.25">
      <c r="A15" s="199" t="s">
        <v>988</v>
      </c>
      <c r="B15" s="199">
        <v>2014</v>
      </c>
      <c r="C15" s="199">
        <v>2</v>
      </c>
      <c r="D15" s="199">
        <v>3</v>
      </c>
      <c r="E15" s="199">
        <v>1414</v>
      </c>
      <c r="F15" s="199">
        <v>1.05</v>
      </c>
      <c r="G15" s="199">
        <v>1</v>
      </c>
      <c r="H15" s="79">
        <v>1783</v>
      </c>
      <c r="I15" s="199">
        <v>7.76</v>
      </c>
      <c r="J15" s="199">
        <v>17.45</v>
      </c>
      <c r="K15" s="79">
        <v>9027</v>
      </c>
      <c r="L15" s="79">
        <v>8900</v>
      </c>
      <c r="M15" s="252">
        <f t="shared" si="0"/>
        <v>0.37797717957239391</v>
      </c>
      <c r="N15" s="252">
        <f t="shared" si="0"/>
        <v>0.38337078651685391</v>
      </c>
      <c r="O15" s="199">
        <f t="shared" si="1"/>
        <v>2.3810961313012897</v>
      </c>
    </row>
    <row r="16" spans="1:15" x14ac:dyDescent="0.25">
      <c r="A16" s="199" t="s">
        <v>989</v>
      </c>
      <c r="B16" s="199">
        <v>2013</v>
      </c>
      <c r="C16" s="199">
        <v>1</v>
      </c>
      <c r="D16" s="199">
        <v>2</v>
      </c>
      <c r="E16" s="79">
        <v>1698</v>
      </c>
      <c r="F16" s="199">
        <v>1.05</v>
      </c>
      <c r="G16" s="199">
        <v>1</v>
      </c>
      <c r="H16" s="79">
        <v>1783</v>
      </c>
      <c r="I16" s="199">
        <v>7.76</v>
      </c>
      <c r="J16" s="199">
        <v>17.45</v>
      </c>
      <c r="K16" s="79">
        <v>10029</v>
      </c>
      <c r="L16" s="79">
        <v>9880</v>
      </c>
      <c r="M16" s="252">
        <f t="shared" si="0"/>
        <v>0.34021338119453587</v>
      </c>
      <c r="N16" s="252">
        <f t="shared" si="0"/>
        <v>0.34534412955465588</v>
      </c>
      <c r="O16" s="199">
        <f t="shared" si="1"/>
        <v>2.6453985932004689</v>
      </c>
    </row>
    <row r="17" spans="1:15" x14ac:dyDescent="0.25">
      <c r="A17" s="199" t="s">
        <v>941</v>
      </c>
      <c r="B17" s="199">
        <v>2015</v>
      </c>
      <c r="C17" s="199">
        <v>50</v>
      </c>
      <c r="D17" s="199">
        <v>4</v>
      </c>
      <c r="E17" s="79">
        <v>3590</v>
      </c>
      <c r="F17" s="199">
        <v>1.07</v>
      </c>
      <c r="G17" s="199">
        <v>1.02</v>
      </c>
      <c r="H17" s="79">
        <v>3919</v>
      </c>
      <c r="I17" s="199">
        <v>5.26</v>
      </c>
      <c r="J17" s="199">
        <v>105.64</v>
      </c>
      <c r="K17" s="79">
        <v>13500</v>
      </c>
      <c r="L17" s="79">
        <v>13500</v>
      </c>
      <c r="M17" s="252">
        <f t="shared" si="0"/>
        <v>0.25274074074074077</v>
      </c>
      <c r="N17" s="252">
        <f t="shared" si="0"/>
        <v>0.25274074074074077</v>
      </c>
      <c r="O17" s="199">
        <f t="shared" si="1"/>
        <v>3.5609613130128959</v>
      </c>
    </row>
    <row r="18" spans="1:15" x14ac:dyDescent="0.25">
      <c r="A18" s="199" t="s">
        <v>236</v>
      </c>
      <c r="B18" s="199">
        <v>2010</v>
      </c>
      <c r="C18" s="199">
        <v>50</v>
      </c>
      <c r="D18" s="199">
        <v>4</v>
      </c>
      <c r="E18" s="79">
        <v>2375</v>
      </c>
      <c r="F18" s="199">
        <v>1.05</v>
      </c>
      <c r="G18" s="199">
        <v>1</v>
      </c>
      <c r="H18" s="79">
        <v>2494</v>
      </c>
      <c r="I18" s="199">
        <v>0</v>
      </c>
      <c r="J18" s="199">
        <v>112.92</v>
      </c>
      <c r="K18" s="79">
        <v>9716</v>
      </c>
      <c r="L18" s="79">
        <v>9716</v>
      </c>
      <c r="M18" s="252">
        <f>3412/K18</f>
        <v>0.35117332235487853</v>
      </c>
      <c r="N18" s="252">
        <f>3412/L18</f>
        <v>0.35117332235487853</v>
      </c>
      <c r="O18" s="199">
        <f t="shared" si="1"/>
        <v>2.5628370457209848</v>
      </c>
    </row>
    <row r="19" spans="1:15" x14ac:dyDescent="0.25">
      <c r="A19" s="199" t="s">
        <v>990</v>
      </c>
      <c r="B19" s="199">
        <v>2010</v>
      </c>
      <c r="C19" s="199">
        <v>50</v>
      </c>
      <c r="D19" s="199">
        <v>3</v>
      </c>
      <c r="E19" s="79">
        <v>7751</v>
      </c>
      <c r="F19" s="199">
        <v>1.07</v>
      </c>
      <c r="G19" s="199">
        <v>1</v>
      </c>
      <c r="H19" s="79">
        <v>8294</v>
      </c>
      <c r="I19" s="199">
        <v>8.75</v>
      </c>
      <c r="J19" s="199">
        <v>392.81</v>
      </c>
      <c r="K19" s="79">
        <v>18000</v>
      </c>
      <c r="L19" s="79">
        <v>18000</v>
      </c>
      <c r="M19" s="252">
        <f t="shared" si="0"/>
        <v>0.18955555555555556</v>
      </c>
      <c r="N19" s="252">
        <f t="shared" si="0"/>
        <v>0.18955555555555556</v>
      </c>
      <c r="O19" s="199">
        <f t="shared" si="1"/>
        <v>4.7479484173505275</v>
      </c>
    </row>
    <row r="20" spans="1:15" x14ac:dyDescent="0.25">
      <c r="A20" s="199" t="s">
        <v>991</v>
      </c>
      <c r="B20" s="199">
        <v>2015</v>
      </c>
      <c r="C20" s="199">
        <v>500</v>
      </c>
      <c r="D20" s="199">
        <v>4</v>
      </c>
      <c r="E20" s="79">
        <v>2213</v>
      </c>
      <c r="F20" s="199">
        <v>1.1000000000000001</v>
      </c>
      <c r="G20" s="199">
        <v>1</v>
      </c>
      <c r="H20" s="79">
        <v>2435</v>
      </c>
      <c r="I20" s="199">
        <v>2.65</v>
      </c>
      <c r="J20" s="199">
        <v>14.83</v>
      </c>
      <c r="K20" s="80">
        <v>9541</v>
      </c>
      <c r="L20" s="79">
        <v>9541</v>
      </c>
      <c r="M20" s="252">
        <f t="shared" si="0"/>
        <v>0.35761450581700033</v>
      </c>
      <c r="N20" s="252">
        <f t="shared" si="0"/>
        <v>0.35761450581700033</v>
      </c>
      <c r="O20" s="199">
        <f t="shared" si="1"/>
        <v>2.5166764361078546</v>
      </c>
    </row>
    <row r="21" spans="1:15" x14ac:dyDescent="0.25">
      <c r="A21" s="199" t="s">
        <v>992</v>
      </c>
      <c r="B21" s="199"/>
      <c r="C21" s="199">
        <v>250</v>
      </c>
      <c r="D21" s="199"/>
      <c r="E21" s="79">
        <v>5288</v>
      </c>
      <c r="F21" s="199"/>
      <c r="G21" s="199"/>
      <c r="H21" s="79">
        <f>E21*1.05</f>
        <v>5552.4000000000005</v>
      </c>
      <c r="I21" s="199">
        <v>0</v>
      </c>
      <c r="J21" s="199">
        <v>18</v>
      </c>
      <c r="K21" s="79"/>
      <c r="L21" s="79"/>
      <c r="M21" s="252" t="e">
        <f>3412/K21</f>
        <v>#DIV/0!</v>
      </c>
      <c r="N21" s="252"/>
      <c r="O21" s="199">
        <f>K21*0.9/3412</f>
        <v>0</v>
      </c>
    </row>
    <row r="22" spans="1:15" x14ac:dyDescent="0.25">
      <c r="A22" s="199" t="s">
        <v>233</v>
      </c>
      <c r="B22" s="199">
        <v>2010</v>
      </c>
      <c r="C22" s="199">
        <v>100</v>
      </c>
      <c r="D22" s="199">
        <v>3</v>
      </c>
      <c r="E22" s="79">
        <v>2061</v>
      </c>
      <c r="F22" s="199">
        <v>1.07</v>
      </c>
      <c r="G22" s="199">
        <v>1</v>
      </c>
      <c r="H22" s="79">
        <v>2205</v>
      </c>
      <c r="I22" s="199">
        <v>0</v>
      </c>
      <c r="J22" s="199">
        <v>39.549999999999997</v>
      </c>
      <c r="K22" s="80">
        <v>9541</v>
      </c>
      <c r="L22" s="79">
        <v>9541</v>
      </c>
      <c r="M22" s="252">
        <f t="shared" si="0"/>
        <v>0.35761450581700033</v>
      </c>
      <c r="N22" s="252">
        <f t="shared" si="0"/>
        <v>0.35761450581700033</v>
      </c>
      <c r="O22" s="199">
        <f t="shared" si="1"/>
        <v>2.5166764361078546</v>
      </c>
    </row>
    <row r="23" spans="1:15" x14ac:dyDescent="0.25">
      <c r="A23" s="174" t="s">
        <v>993</v>
      </c>
      <c r="B23" s="199">
        <v>2015</v>
      </c>
      <c r="C23" s="199">
        <v>400</v>
      </c>
      <c r="D23" s="199">
        <v>4</v>
      </c>
      <c r="E23" s="79">
        <v>4503</v>
      </c>
      <c r="F23" s="199">
        <v>1.1000000000000001</v>
      </c>
      <c r="G23" s="199">
        <v>1.25</v>
      </c>
      <c r="H23" s="79">
        <v>6192</v>
      </c>
      <c r="I23" s="199">
        <v>0</v>
      </c>
      <c r="J23" s="199">
        <v>74</v>
      </c>
      <c r="K23" s="80">
        <v>9541</v>
      </c>
      <c r="L23" s="79">
        <v>9541</v>
      </c>
      <c r="M23" s="252">
        <f t="shared" si="0"/>
        <v>0.35761450581700033</v>
      </c>
      <c r="N23" s="252">
        <f t="shared" si="0"/>
        <v>0.35761450581700033</v>
      </c>
      <c r="O23" s="199">
        <f t="shared" si="1"/>
        <v>2.5166764361078546</v>
      </c>
    </row>
    <row r="24" spans="1:15" x14ac:dyDescent="0.25">
      <c r="A24" s="199" t="s">
        <v>695</v>
      </c>
      <c r="B24" s="199">
        <v>2014</v>
      </c>
      <c r="C24" s="199">
        <v>100</v>
      </c>
      <c r="D24" s="199">
        <v>3</v>
      </c>
      <c r="E24" s="79">
        <v>4715</v>
      </c>
      <c r="F24" s="199">
        <v>1.07</v>
      </c>
      <c r="G24" s="199">
        <v>1</v>
      </c>
      <c r="H24" s="79">
        <v>5045</v>
      </c>
      <c r="I24" s="199">
        <v>0</v>
      </c>
      <c r="J24" s="199">
        <v>67.260000000000005</v>
      </c>
      <c r="K24" s="80">
        <v>9541</v>
      </c>
      <c r="L24" s="79">
        <v>9541</v>
      </c>
      <c r="M24" s="252">
        <f t="shared" si="0"/>
        <v>0.35761450581700033</v>
      </c>
      <c r="N24" s="252">
        <f t="shared" si="0"/>
        <v>0.35761450581700033</v>
      </c>
      <c r="O24" s="199">
        <f t="shared" si="1"/>
        <v>2.5166764361078546</v>
      </c>
    </row>
    <row r="25" spans="1:15" x14ac:dyDescent="0.25">
      <c r="A25" s="199" t="s">
        <v>994</v>
      </c>
      <c r="B25" s="199">
        <v>2013</v>
      </c>
      <c r="C25" s="199">
        <v>150</v>
      </c>
      <c r="D25" s="199">
        <v>2</v>
      </c>
      <c r="E25" s="79">
        <v>3394</v>
      </c>
      <c r="F25" s="199">
        <v>1.05</v>
      </c>
      <c r="G25" s="199">
        <v>1</v>
      </c>
      <c r="H25" s="79">
        <v>3564</v>
      </c>
      <c r="I25" s="199">
        <v>0</v>
      </c>
      <c r="J25" s="199">
        <v>24.69</v>
      </c>
      <c r="K25" s="80">
        <v>9541</v>
      </c>
      <c r="L25" s="79">
        <v>9541</v>
      </c>
      <c r="M25" s="252">
        <f t="shared" si="0"/>
        <v>0.35761450581700033</v>
      </c>
      <c r="N25" s="252">
        <f t="shared" si="0"/>
        <v>0.35761450581700033</v>
      </c>
      <c r="O25" s="199">
        <f t="shared" si="1"/>
        <v>2.5166764361078546</v>
      </c>
    </row>
    <row r="26" spans="1:15" x14ac:dyDescent="0.25">
      <c r="A26" s="199" t="s">
        <v>995</v>
      </c>
      <c r="B26" s="199"/>
      <c r="C26" s="199"/>
      <c r="D26" s="199"/>
      <c r="E26" s="79"/>
      <c r="F26" s="199"/>
      <c r="G26" s="199"/>
      <c r="H26" s="79"/>
      <c r="I26" s="199"/>
      <c r="J26" s="199"/>
      <c r="K26" s="79"/>
      <c r="L26" s="79"/>
      <c r="M26" s="252"/>
      <c r="N26" s="252"/>
      <c r="O26" s="199">
        <f t="shared" si="1"/>
        <v>0</v>
      </c>
    </row>
    <row r="27" spans="1:15" x14ac:dyDescent="0.25">
      <c r="A27" s="199" t="s">
        <v>996</v>
      </c>
      <c r="B27" s="199">
        <v>2017</v>
      </c>
      <c r="C27" s="199">
        <v>100</v>
      </c>
      <c r="D27" s="199">
        <v>3</v>
      </c>
      <c r="E27" s="79">
        <v>1850</v>
      </c>
      <c r="F27" s="199">
        <v>1.07</v>
      </c>
      <c r="G27" s="199">
        <v>1</v>
      </c>
      <c r="H27" s="79">
        <v>1980</v>
      </c>
      <c r="I27" s="199">
        <v>0</v>
      </c>
      <c r="J27" s="199">
        <v>39.53</v>
      </c>
      <c r="K27" s="79">
        <v>9516</v>
      </c>
      <c r="L27" s="79">
        <v>9516</v>
      </c>
      <c r="M27" s="252">
        <f t="shared" si="0"/>
        <v>0.35855401429171924</v>
      </c>
      <c r="N27" s="252"/>
      <c r="O27" s="199">
        <f t="shared" si="1"/>
        <v>2.5100820633059788</v>
      </c>
    </row>
    <row r="28" spans="1:15" x14ac:dyDescent="0.25">
      <c r="A28" s="199" t="s">
        <v>997</v>
      </c>
      <c r="B28" s="199">
        <v>2018</v>
      </c>
      <c r="C28" s="199">
        <v>400</v>
      </c>
      <c r="D28" s="199">
        <v>4</v>
      </c>
      <c r="E28" s="79">
        <v>4476</v>
      </c>
      <c r="F28" s="199">
        <v>1.1000000000000001</v>
      </c>
      <c r="G28" s="199">
        <v>1.25</v>
      </c>
      <c r="H28" s="79">
        <v>6154</v>
      </c>
      <c r="I28" s="199">
        <v>0</v>
      </c>
      <c r="J28" s="199">
        <v>73.959999999999994</v>
      </c>
      <c r="K28" s="79">
        <v>9516</v>
      </c>
      <c r="L28" s="79">
        <v>9516</v>
      </c>
      <c r="M28" s="252">
        <f t="shared" si="0"/>
        <v>0.35855401429171924</v>
      </c>
      <c r="N28" s="252"/>
      <c r="O28" s="199">
        <f t="shared" si="1"/>
        <v>2.5100820633059788</v>
      </c>
    </row>
    <row r="29" spans="1:15" x14ac:dyDescent="0.25">
      <c r="A29" s="199" t="s">
        <v>998</v>
      </c>
      <c r="B29" s="199">
        <v>2017</v>
      </c>
      <c r="C29" s="199">
        <v>100</v>
      </c>
      <c r="D29" s="199">
        <v>3</v>
      </c>
      <c r="E29" s="79">
        <v>3787</v>
      </c>
      <c r="F29" s="199">
        <v>1.07</v>
      </c>
      <c r="G29" s="199">
        <v>1</v>
      </c>
      <c r="H29" s="79">
        <v>4052</v>
      </c>
      <c r="I29" s="199">
        <v>0</v>
      </c>
      <c r="J29" s="199">
        <v>67.23</v>
      </c>
      <c r="K29" s="79">
        <v>9516</v>
      </c>
      <c r="L29" s="79">
        <v>9516</v>
      </c>
      <c r="M29" s="252">
        <f t="shared" si="0"/>
        <v>0.35855401429171924</v>
      </c>
      <c r="N29" s="252"/>
      <c r="O29" s="199">
        <f t="shared" si="1"/>
        <v>2.5100820633059788</v>
      </c>
    </row>
    <row r="30" spans="1:15" x14ac:dyDescent="0.25">
      <c r="A30" s="199" t="s">
        <v>999</v>
      </c>
      <c r="B30" s="199">
        <v>2016</v>
      </c>
      <c r="C30" s="199">
        <v>150</v>
      </c>
      <c r="D30" s="199">
        <v>2</v>
      </c>
      <c r="E30" s="79">
        <v>3123</v>
      </c>
      <c r="F30" s="199">
        <v>1.07</v>
      </c>
      <c r="G30" s="199">
        <v>1</v>
      </c>
      <c r="H30" s="79">
        <v>3279</v>
      </c>
      <c r="I30" s="199">
        <v>0</v>
      </c>
      <c r="J30" s="199">
        <v>24.68</v>
      </c>
      <c r="K30" s="79">
        <v>9516</v>
      </c>
      <c r="L30" s="79">
        <v>9516</v>
      </c>
      <c r="M30" s="252">
        <f t="shared" si="0"/>
        <v>0.35855401429171924</v>
      </c>
      <c r="N30" s="252"/>
      <c r="O30" s="199">
        <f t="shared" si="1"/>
        <v>2.5100820633059788</v>
      </c>
    </row>
    <row r="31" spans="1:15" x14ac:dyDescent="0.25">
      <c r="A31" s="199"/>
      <c r="B31" s="199"/>
      <c r="C31" s="199"/>
      <c r="D31" s="199"/>
      <c r="E31" s="79"/>
      <c r="F31" s="199"/>
      <c r="G31" s="199"/>
      <c r="H31" s="79"/>
      <c r="I31" s="199"/>
      <c r="J31" s="199"/>
      <c r="K31" s="79"/>
      <c r="L31" s="79"/>
      <c r="M31" s="252"/>
      <c r="N31" s="252"/>
      <c r="O31" s="199"/>
    </row>
    <row r="32" spans="1:15" x14ac:dyDescent="0.25">
      <c r="A32" s="199" t="s">
        <v>1000</v>
      </c>
      <c r="B32" s="199"/>
      <c r="C32" s="199"/>
      <c r="D32" s="199"/>
      <c r="E32" s="79"/>
      <c r="F32" s="199"/>
      <c r="G32" s="199"/>
      <c r="H32" s="79"/>
      <c r="I32" s="199"/>
      <c r="J32" s="199"/>
      <c r="K32" s="79"/>
      <c r="L32" s="79"/>
      <c r="M32" s="252"/>
      <c r="N32" s="252"/>
      <c r="O32" s="199"/>
    </row>
    <row r="33" spans="1:16" x14ac:dyDescent="0.25">
      <c r="A33" s="199" t="s">
        <v>1001</v>
      </c>
      <c r="B33" s="199"/>
      <c r="C33" s="199"/>
      <c r="D33" s="199"/>
      <c r="E33" s="79">
        <f>E17-E5+E6</f>
        <v>4381</v>
      </c>
      <c r="F33" s="199"/>
      <c r="G33" s="199"/>
      <c r="H33" s="79">
        <f>H17-H5+H6</f>
        <v>4765</v>
      </c>
      <c r="I33" s="81">
        <f>I17-I5+I6</f>
        <v>8.01</v>
      </c>
      <c r="J33" s="81">
        <f>J17-J5+J6</f>
        <v>125.85000000000001</v>
      </c>
      <c r="K33" s="79">
        <f>K17-K5+K6</f>
        <v>13400</v>
      </c>
      <c r="L33" s="79">
        <f>L17-L5+L6</f>
        <v>12210</v>
      </c>
      <c r="M33" s="252">
        <f>3412/K33</f>
        <v>0.25462686567164178</v>
      </c>
      <c r="N33" s="252">
        <f>3412/L33</f>
        <v>0.27944307944307945</v>
      </c>
      <c r="O33" s="199"/>
      <c r="P33" s="199"/>
    </row>
    <row r="34" spans="1:16" x14ac:dyDescent="0.25">
      <c r="A34" s="199" t="s">
        <v>1002</v>
      </c>
      <c r="B34" s="199"/>
      <c r="C34" s="199"/>
      <c r="D34" s="199"/>
      <c r="E34" s="79">
        <f>E33-E6+E7</f>
        <v>6814</v>
      </c>
      <c r="F34" s="199"/>
      <c r="G34" s="199"/>
      <c r="H34" s="79">
        <f>H17-H5+H7</f>
        <v>7561</v>
      </c>
      <c r="I34" s="81">
        <f>I17-I5+I7</f>
        <v>9.2399999999999984</v>
      </c>
      <c r="J34" s="81">
        <f>J17-J5+J7</f>
        <v>147.30000000000001</v>
      </c>
      <c r="K34" s="79">
        <f>K17-K5+K7</f>
        <v>15400</v>
      </c>
      <c r="L34" s="79">
        <f>L17-L5+L7</f>
        <v>13067</v>
      </c>
      <c r="M34" s="252">
        <f>3412/K34</f>
        <v>0.22155844155844157</v>
      </c>
      <c r="N34" s="252">
        <f>3412/L34</f>
        <v>0.26111578786255452</v>
      </c>
      <c r="O34" s="199"/>
      <c r="P34" s="199"/>
    </row>
    <row r="35" spans="1:16" x14ac:dyDescent="0.25">
      <c r="A35" s="199"/>
      <c r="B35" s="199"/>
      <c r="C35" s="199"/>
      <c r="D35" s="199"/>
      <c r="E35" s="79"/>
      <c r="F35" s="199"/>
      <c r="G35" s="199"/>
      <c r="H35" s="79"/>
      <c r="I35" s="199"/>
      <c r="J35" s="199"/>
      <c r="K35" s="79"/>
      <c r="L35" s="79"/>
      <c r="M35" s="252"/>
      <c r="N35" s="252"/>
      <c r="O35" s="199"/>
      <c r="P35" s="199"/>
    </row>
    <row r="36" spans="1:16" x14ac:dyDescent="0.25">
      <c r="A36" s="199" t="s">
        <v>1003</v>
      </c>
      <c r="B36" s="199"/>
      <c r="C36" s="199"/>
      <c r="D36" s="199"/>
      <c r="E36" s="199"/>
      <c r="F36" s="199"/>
      <c r="G36" s="199"/>
      <c r="H36" s="79"/>
      <c r="I36" s="199"/>
      <c r="J36" s="199"/>
      <c r="K36" s="79"/>
      <c r="L36" s="79"/>
      <c r="M36" s="199" t="s">
        <v>1004</v>
      </c>
      <c r="N36" s="252"/>
      <c r="O36" s="199" t="s">
        <v>1005</v>
      </c>
      <c r="P36" s="199"/>
    </row>
    <row r="37" spans="1:16" x14ac:dyDescent="0.25">
      <c r="A37" s="199" t="s">
        <v>1006</v>
      </c>
      <c r="B37" s="199"/>
      <c r="C37" s="199"/>
      <c r="D37" s="199"/>
      <c r="E37" s="79">
        <v>1635</v>
      </c>
      <c r="F37" s="199"/>
      <c r="G37" s="199"/>
      <c r="H37" s="79">
        <f>(H38/E38)*E37</f>
        <v>1878.9395807644885</v>
      </c>
      <c r="I37" s="81">
        <f>I38</f>
        <v>1.2299999999999995</v>
      </c>
      <c r="J37" s="81">
        <f>J38</f>
        <v>21.450000000000003</v>
      </c>
      <c r="K37" s="81">
        <v>1.75</v>
      </c>
      <c r="L37" s="81">
        <f>K37</f>
        <v>1.75</v>
      </c>
      <c r="M37" s="254">
        <f>K37*(1/M5)</f>
        <v>4.5134818288393905</v>
      </c>
      <c r="N37" s="254">
        <f>L37*(1/N5)</f>
        <v>4.4827080890973043</v>
      </c>
      <c r="O37" s="252">
        <f t="shared" ref="O37:P39" si="2">1/M37</f>
        <v>0.22155844155844154</v>
      </c>
      <c r="P37" s="252">
        <f t="shared" si="2"/>
        <v>0.22307943772474662</v>
      </c>
    </row>
    <row r="38" spans="1:16" x14ac:dyDescent="0.25">
      <c r="A38" s="199" t="s">
        <v>1007</v>
      </c>
      <c r="B38" s="199"/>
      <c r="C38" s="199"/>
      <c r="D38" s="199"/>
      <c r="E38" s="79">
        <f>E7-E6</f>
        <v>2433</v>
      </c>
      <c r="F38" s="199"/>
      <c r="G38" s="199"/>
      <c r="H38" s="79">
        <f>H7-H6</f>
        <v>2796</v>
      </c>
      <c r="I38" s="81">
        <f t="shared" ref="I38" si="3">I7-I6</f>
        <v>1.2299999999999995</v>
      </c>
      <c r="J38" s="81">
        <f>J7-J6</f>
        <v>21.450000000000003</v>
      </c>
      <c r="K38" s="81">
        <f>K7/K6</f>
        <v>1.2298850574712643</v>
      </c>
      <c r="L38" s="81">
        <f>L7/L6</f>
        <v>1.1150335570469798</v>
      </c>
      <c r="M38" s="254">
        <f>K38*(1/M6)</f>
        <v>3.1359906213364597</v>
      </c>
      <c r="N38" s="254">
        <f>L38*(1/N6)</f>
        <v>2.4346424384525207</v>
      </c>
      <c r="O38" s="252">
        <f t="shared" si="2"/>
        <v>0.31887850467289719</v>
      </c>
      <c r="P38" s="252">
        <f t="shared" si="2"/>
        <v>0.41073793186469237</v>
      </c>
    </row>
    <row r="39" spans="1:16" x14ac:dyDescent="0.25">
      <c r="A39" s="199" t="s">
        <v>1008</v>
      </c>
      <c r="B39" s="199"/>
      <c r="C39" s="199"/>
      <c r="D39" s="199"/>
      <c r="E39" s="79">
        <f>E10-E9</f>
        <v>911</v>
      </c>
      <c r="F39" s="199"/>
      <c r="G39" s="199"/>
      <c r="H39" s="79">
        <f>H10-H9</f>
        <v>1063</v>
      </c>
      <c r="I39" s="81">
        <f t="shared" ref="I39:J39" si="4">I10-I9</f>
        <v>3.5100000000000002</v>
      </c>
      <c r="J39" s="81">
        <f t="shared" si="4"/>
        <v>16.420000000000002</v>
      </c>
      <c r="K39" s="81">
        <f>K10/K9</f>
        <v>1.1702954898911353</v>
      </c>
      <c r="L39" s="81">
        <f>L10/L9</f>
        <v>1.1831675351334281</v>
      </c>
      <c r="M39" s="254">
        <f>K39*(1/M9)</f>
        <v>2.2054513481828839</v>
      </c>
      <c r="N39" s="254">
        <f>L39*(1/N9)</f>
        <v>2.1960726846424383</v>
      </c>
      <c r="O39" s="252">
        <f t="shared" si="2"/>
        <v>0.45342192691029903</v>
      </c>
      <c r="P39" s="252">
        <f t="shared" si="2"/>
        <v>0.45535833444548246</v>
      </c>
    </row>
    <row r="40" spans="1:16" x14ac:dyDescent="0.25">
      <c r="A40" s="199"/>
      <c r="B40" s="199"/>
      <c r="C40" s="199"/>
      <c r="D40" s="199"/>
      <c r="E40" s="79"/>
      <c r="F40" s="199"/>
      <c r="G40" s="199"/>
      <c r="H40" s="79"/>
      <c r="I40" s="199"/>
      <c r="J40" s="199"/>
      <c r="K40" s="79"/>
      <c r="L40" s="79"/>
      <c r="M40" s="252"/>
      <c r="N40" s="252"/>
      <c r="O40" s="199"/>
      <c r="P40" s="199"/>
    </row>
    <row r="41" spans="1:16" x14ac:dyDescent="0.25">
      <c r="A41" s="199"/>
      <c r="B41" s="199"/>
      <c r="C41" s="199"/>
      <c r="D41" s="199"/>
      <c r="E41" s="79"/>
      <c r="F41" s="199"/>
      <c r="G41" s="199"/>
      <c r="H41" s="79"/>
      <c r="I41" s="199" t="s">
        <v>1009</v>
      </c>
      <c r="J41" s="199"/>
      <c r="K41" s="79"/>
      <c r="L41" s="79"/>
      <c r="M41" s="252"/>
      <c r="N41" s="252"/>
      <c r="O41" s="199"/>
      <c r="P41" s="199"/>
    </row>
    <row r="42" spans="1:16" x14ac:dyDescent="0.25">
      <c r="A42" s="199"/>
      <c r="B42" s="199"/>
      <c r="C42" s="199"/>
      <c r="D42" s="199"/>
      <c r="E42" s="79"/>
      <c r="F42" s="79"/>
      <c r="G42" s="199"/>
      <c r="H42" s="199"/>
      <c r="I42" s="199" t="s">
        <v>1010</v>
      </c>
      <c r="J42" s="199" t="s">
        <v>1011</v>
      </c>
      <c r="K42" s="79" t="s">
        <v>1012</v>
      </c>
      <c r="L42" s="79"/>
      <c r="M42" s="252"/>
      <c r="N42" s="252"/>
      <c r="O42" s="199"/>
      <c r="P42" s="199"/>
    </row>
    <row r="43" spans="1:16" x14ac:dyDescent="0.25">
      <c r="A43" s="199"/>
      <c r="B43" s="199"/>
      <c r="C43" s="199"/>
      <c r="D43" s="199"/>
      <c r="E43" s="79"/>
      <c r="F43" s="199"/>
      <c r="G43" s="199"/>
      <c r="H43" s="199" t="s">
        <v>1006</v>
      </c>
      <c r="I43" s="254"/>
      <c r="J43" s="82">
        <f>J37/31.536/N37</f>
        <v>0.15173306504299261</v>
      </c>
      <c r="K43" s="83">
        <f>I37*0.2778/N37</f>
        <v>7.6224905393919545E-2</v>
      </c>
      <c r="L43" s="79"/>
      <c r="M43" s="252"/>
      <c r="N43" s="252"/>
      <c r="O43" s="199"/>
      <c r="P43" s="199"/>
    </row>
    <row r="44" spans="1:16" x14ac:dyDescent="0.25">
      <c r="A44" s="199"/>
      <c r="B44" s="199"/>
      <c r="C44" s="199"/>
      <c r="D44" s="199"/>
      <c r="E44" s="79"/>
      <c r="F44" s="199"/>
      <c r="G44" s="199"/>
      <c r="H44" s="199" t="s">
        <v>1007</v>
      </c>
      <c r="I44" s="254"/>
      <c r="J44" s="82">
        <f>J38/31.536/N38</f>
        <v>0.27937368843536442</v>
      </c>
      <c r="K44" s="83">
        <f>I38*0.2778/N38</f>
        <v>0.14034668689057417</v>
      </c>
      <c r="L44" s="79"/>
      <c r="M44" s="252"/>
      <c r="N44" s="252"/>
      <c r="O44" s="199"/>
      <c r="P44" s="199"/>
    </row>
    <row r="45" spans="1:16" ht="13" x14ac:dyDescent="0.3">
      <c r="A45" s="74" t="s">
        <v>1013</v>
      </c>
      <c r="B45" s="199"/>
      <c r="C45" s="199"/>
      <c r="D45" s="199"/>
      <c r="E45" s="79"/>
      <c r="F45" s="199"/>
      <c r="G45" s="199"/>
      <c r="H45" s="199" t="s">
        <v>1008</v>
      </c>
      <c r="I45" s="254"/>
      <c r="J45" s="82">
        <f>J39/31.536/N39</f>
        <v>0.23709360260003876</v>
      </c>
      <c r="K45" s="83">
        <f>I39*0.2778/N39</f>
        <v>0.44400989403443214</v>
      </c>
      <c r="L45" s="79"/>
      <c r="M45" s="252"/>
      <c r="N45" s="252"/>
      <c r="O45" s="199"/>
      <c r="P45" s="199"/>
    </row>
    <row r="46" spans="1:16" x14ac:dyDescent="0.25">
      <c r="A46" s="199"/>
      <c r="B46" s="199"/>
      <c r="C46" s="199"/>
      <c r="D46" s="199"/>
      <c r="E46" s="79"/>
      <c r="F46" s="199"/>
      <c r="G46" s="199"/>
      <c r="H46" s="79"/>
      <c r="I46" s="199"/>
      <c r="J46" s="199"/>
      <c r="K46" s="79"/>
      <c r="L46" s="79"/>
      <c r="M46" s="252"/>
      <c r="N46" s="252"/>
      <c r="O46" s="199"/>
      <c r="P46" s="199"/>
    </row>
    <row r="47" spans="1:16" x14ac:dyDescent="0.25">
      <c r="A47" s="255" t="s">
        <v>1014</v>
      </c>
      <c r="B47" s="199"/>
      <c r="C47" s="199"/>
      <c r="D47" s="199"/>
      <c r="E47" s="79"/>
      <c r="F47" s="199"/>
      <c r="G47" s="199"/>
      <c r="H47" s="79"/>
      <c r="I47" s="199"/>
      <c r="J47" s="199"/>
      <c r="K47" s="79"/>
      <c r="L47" s="79"/>
      <c r="M47" s="252"/>
      <c r="N47" s="252"/>
      <c r="O47" s="199"/>
      <c r="P47" s="199"/>
    </row>
    <row r="48" spans="1:16" ht="13" x14ac:dyDescent="0.3">
      <c r="A48" s="84" t="s">
        <v>1015</v>
      </c>
      <c r="B48" s="199"/>
      <c r="C48" s="199"/>
      <c r="D48" s="199"/>
      <c r="E48" s="79"/>
      <c r="F48" s="199"/>
      <c r="G48" s="199"/>
      <c r="H48" s="79"/>
      <c r="I48" s="199"/>
      <c r="J48" s="199"/>
      <c r="K48" s="79"/>
      <c r="L48" s="79"/>
      <c r="M48" s="252"/>
      <c r="N48" s="252"/>
      <c r="O48" s="199"/>
      <c r="P48" s="199"/>
    </row>
    <row r="49" spans="1:63" ht="13" x14ac:dyDescent="0.3">
      <c r="A49" s="84" t="s">
        <v>1016</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row>
    <row r="50" spans="1:63" ht="13" x14ac:dyDescent="0.3">
      <c r="A50" s="84" t="s">
        <v>1017</v>
      </c>
      <c r="B50" s="199"/>
      <c r="C50" s="199"/>
      <c r="D50" s="199"/>
      <c r="E50" s="199"/>
      <c r="F50" s="199"/>
      <c r="G50" s="199"/>
      <c r="H50" s="199"/>
      <c r="I50" s="199"/>
      <c r="J50" s="199"/>
      <c r="K50" s="199"/>
      <c r="L50" s="199"/>
      <c r="M50" s="199"/>
      <c r="N50" s="199"/>
      <c r="O50" s="199"/>
      <c r="P50" s="199"/>
      <c r="Q50" s="199"/>
      <c r="R50" s="199"/>
      <c r="S50" s="199"/>
      <c r="T50" s="199"/>
      <c r="U50" s="199"/>
      <c r="V50" s="199"/>
      <c r="W50" s="199"/>
      <c r="X50" s="199"/>
      <c r="Y50" s="199"/>
      <c r="Z50" s="199"/>
      <c r="AA50" s="199"/>
      <c r="AB50" s="199"/>
      <c r="AC50" s="199"/>
      <c r="AD50" s="199"/>
      <c r="AE50" s="199"/>
      <c r="AF50" s="199"/>
      <c r="AG50" s="199"/>
      <c r="AH50" s="199"/>
      <c r="AI50" s="199"/>
      <c r="AJ50" s="199"/>
      <c r="AK50" s="199"/>
      <c r="AL50" s="199"/>
      <c r="AM50" s="199"/>
      <c r="AN50" s="199"/>
      <c r="AO50" s="199"/>
      <c r="AP50" s="199"/>
      <c r="AQ50" s="199"/>
      <c r="AR50" s="199"/>
      <c r="AS50" s="199"/>
      <c r="AT50" s="199"/>
      <c r="AU50" s="199"/>
      <c r="AV50" s="199"/>
      <c r="AW50" s="199"/>
      <c r="AX50" s="199"/>
      <c r="AY50" s="199"/>
      <c r="AZ50" s="199"/>
      <c r="BA50" s="199"/>
      <c r="BB50" s="199"/>
      <c r="BC50" s="199"/>
      <c r="BD50" s="199"/>
      <c r="BE50" s="199"/>
      <c r="BF50" s="199"/>
      <c r="BG50" s="199"/>
      <c r="BH50" s="199"/>
      <c r="BI50" s="199"/>
      <c r="BJ50" s="199"/>
      <c r="BK50" s="199"/>
    </row>
    <row r="52" spans="1:63" ht="30" customHeight="1" x14ac:dyDescent="0.3">
      <c r="A52" s="273" t="s">
        <v>1018</v>
      </c>
      <c r="B52" s="274"/>
      <c r="C52" s="275" t="s">
        <v>1019</v>
      </c>
      <c r="D52" s="274"/>
      <c r="E52" s="274"/>
      <c r="F52" s="274"/>
      <c r="G52" s="274"/>
      <c r="H52" s="274"/>
      <c r="I52" s="274"/>
      <c r="J52" s="274"/>
      <c r="K52" s="274"/>
      <c r="L52" s="274"/>
      <c r="M52" s="274"/>
      <c r="N52" s="274"/>
      <c r="O52" s="276" t="s">
        <v>1020</v>
      </c>
      <c r="P52" s="270"/>
      <c r="Q52" s="270"/>
      <c r="R52" s="270"/>
      <c r="S52" s="270"/>
      <c r="T52" s="270"/>
      <c r="U52" s="270"/>
      <c r="V52" s="271" t="s">
        <v>1021</v>
      </c>
      <c r="W52" s="270"/>
      <c r="X52" s="270"/>
      <c r="Y52" s="270"/>
      <c r="Z52" s="270"/>
      <c r="AA52" s="270"/>
      <c r="AB52" s="270"/>
      <c r="AC52" s="270"/>
      <c r="AD52" s="271" t="s">
        <v>1022</v>
      </c>
      <c r="AE52" s="270"/>
      <c r="AF52" s="270"/>
      <c r="AG52" s="270"/>
      <c r="AH52" s="270"/>
      <c r="AI52" s="271" t="s">
        <v>1023</v>
      </c>
      <c r="AJ52" s="270"/>
      <c r="AK52" s="270"/>
      <c r="AL52" s="270"/>
      <c r="AM52" s="269" t="s">
        <v>1024</v>
      </c>
      <c r="AN52" s="270"/>
      <c r="AO52" s="270"/>
      <c r="AP52" s="270"/>
      <c r="AQ52" s="271" t="s">
        <v>1025</v>
      </c>
      <c r="AR52" s="270"/>
      <c r="AS52" s="270"/>
      <c r="AT52" s="270"/>
      <c r="AU52" s="258" t="s">
        <v>1026</v>
      </c>
      <c r="AV52" s="271" t="s">
        <v>1027</v>
      </c>
      <c r="AW52" s="270"/>
      <c r="AX52" s="270"/>
      <c r="AY52" s="270"/>
      <c r="AZ52" s="270"/>
      <c r="BA52" s="270"/>
      <c r="BB52" s="270"/>
      <c r="BC52" s="272" t="s">
        <v>1028</v>
      </c>
      <c r="BD52" s="270"/>
      <c r="BE52" s="270"/>
      <c r="BF52" s="270"/>
      <c r="BG52" s="270"/>
      <c r="BH52" s="270"/>
      <c r="BI52" s="270"/>
      <c r="BJ52" s="270"/>
      <c r="BK52" s="258" t="s">
        <v>1029</v>
      </c>
    </row>
    <row r="53" spans="1:63" ht="49.5" customHeight="1" x14ac:dyDescent="0.3">
      <c r="A53" s="85" t="s">
        <v>1030</v>
      </c>
      <c r="B53" s="258" t="s">
        <v>1031</v>
      </c>
      <c r="C53" s="258" t="s">
        <v>1032</v>
      </c>
      <c r="D53" s="258" t="s">
        <v>1033</v>
      </c>
      <c r="E53" s="86" t="s">
        <v>1034</v>
      </c>
      <c r="F53" s="258" t="s">
        <v>1035</v>
      </c>
      <c r="G53" s="87" t="s">
        <v>1036</v>
      </c>
      <c r="H53" s="88" t="s">
        <v>1037</v>
      </c>
      <c r="I53" s="85" t="s">
        <v>1038</v>
      </c>
      <c r="J53" s="85" t="s">
        <v>443</v>
      </c>
      <c r="K53" s="88" t="s">
        <v>1039</v>
      </c>
      <c r="L53" s="88" t="s">
        <v>1040</v>
      </c>
      <c r="M53" s="258" t="s">
        <v>1041</v>
      </c>
      <c r="N53" s="258" t="s">
        <v>1042</v>
      </c>
      <c r="O53" s="85" t="s">
        <v>1043</v>
      </c>
      <c r="P53" s="259" t="s">
        <v>1044</v>
      </c>
      <c r="Q53" s="88" t="s">
        <v>1045</v>
      </c>
      <c r="R53" s="259" t="s">
        <v>1046</v>
      </c>
      <c r="S53" s="85" t="s">
        <v>1047</v>
      </c>
      <c r="T53" s="259" t="s">
        <v>1048</v>
      </c>
      <c r="U53" s="88" t="s">
        <v>1049</v>
      </c>
      <c r="V53" s="258" t="s">
        <v>1050</v>
      </c>
      <c r="W53" s="258" t="s">
        <v>1051</v>
      </c>
      <c r="X53" s="258" t="s">
        <v>1052</v>
      </c>
      <c r="Y53" s="258" t="s">
        <v>1053</v>
      </c>
      <c r="Z53" s="258" t="s">
        <v>1054</v>
      </c>
      <c r="AA53" s="258" t="s">
        <v>1055</v>
      </c>
      <c r="AB53" s="258" t="s">
        <v>1056</v>
      </c>
      <c r="AC53" s="258" t="s">
        <v>1057</v>
      </c>
      <c r="AD53" s="258" t="s">
        <v>1058</v>
      </c>
      <c r="AE53" s="258" t="s">
        <v>1059</v>
      </c>
      <c r="AF53" s="258" t="s">
        <v>1060</v>
      </c>
      <c r="AG53" s="258" t="s">
        <v>1061</v>
      </c>
      <c r="AH53" s="258" t="s">
        <v>1062</v>
      </c>
      <c r="AI53" s="258" t="s">
        <v>1063</v>
      </c>
      <c r="AJ53" s="258" t="s">
        <v>1064</v>
      </c>
      <c r="AK53" s="258" t="s">
        <v>1065</v>
      </c>
      <c r="AL53" s="258" t="s">
        <v>1066</v>
      </c>
      <c r="AM53" s="86" t="s">
        <v>1067</v>
      </c>
      <c r="AN53" s="86" t="s">
        <v>1068</v>
      </c>
      <c r="AO53" s="259" t="s">
        <v>1069</v>
      </c>
      <c r="AP53" s="259" t="s">
        <v>1070</v>
      </c>
      <c r="AQ53" s="258" t="s">
        <v>1071</v>
      </c>
      <c r="AR53" s="258" t="s">
        <v>1072</v>
      </c>
      <c r="AS53" s="258" t="s">
        <v>1073</v>
      </c>
      <c r="AT53" s="258" t="s">
        <v>1074</v>
      </c>
      <c r="AU53" s="258" t="s">
        <v>1075</v>
      </c>
      <c r="AV53" s="258" t="s">
        <v>1076</v>
      </c>
      <c r="AW53" s="258" t="s">
        <v>1077</v>
      </c>
      <c r="AX53" s="258" t="s">
        <v>1078</v>
      </c>
      <c r="AY53" s="258" t="s">
        <v>1079</v>
      </c>
      <c r="AZ53" s="258" t="s">
        <v>1080</v>
      </c>
      <c r="BA53" s="258" t="s">
        <v>1081</v>
      </c>
      <c r="BB53" s="258" t="s">
        <v>1082</v>
      </c>
      <c r="BC53" s="259" t="s">
        <v>1083</v>
      </c>
      <c r="BD53" s="259" t="s">
        <v>1084</v>
      </c>
      <c r="BE53" s="259" t="s">
        <v>1085</v>
      </c>
      <c r="BF53" s="259" t="s">
        <v>1086</v>
      </c>
      <c r="BG53" s="89" t="s">
        <v>1087</v>
      </c>
      <c r="BH53" s="89" t="s">
        <v>1088</v>
      </c>
      <c r="BI53" s="89" t="s">
        <v>1089</v>
      </c>
      <c r="BJ53" s="89" t="s">
        <v>1090</v>
      </c>
      <c r="BK53" s="258" t="s">
        <v>1091</v>
      </c>
    </row>
    <row r="54" spans="1:63" ht="24" customHeight="1" x14ac:dyDescent="0.25">
      <c r="A54" s="90" t="s">
        <v>1092</v>
      </c>
      <c r="B54" s="91" t="s">
        <v>1093</v>
      </c>
      <c r="C54" s="90" t="s">
        <v>1092</v>
      </c>
      <c r="D54" s="90" t="s">
        <v>1092</v>
      </c>
      <c r="E54" s="92" t="s">
        <v>1092</v>
      </c>
      <c r="F54" s="90" t="s">
        <v>1094</v>
      </c>
      <c r="G54" s="93" t="s">
        <v>1092</v>
      </c>
      <c r="H54" s="90" t="s">
        <v>1095</v>
      </c>
      <c r="I54" s="90" t="s">
        <v>1092</v>
      </c>
      <c r="J54" s="90" t="s">
        <v>1093</v>
      </c>
      <c r="K54" s="94" t="s">
        <v>1092</v>
      </c>
      <c r="L54" s="94" t="s">
        <v>1095</v>
      </c>
      <c r="M54" s="92" t="s">
        <v>1092</v>
      </c>
      <c r="N54" s="92" t="s">
        <v>1092</v>
      </c>
      <c r="O54" s="91" t="s">
        <v>1096</v>
      </c>
      <c r="P54" s="95" t="s">
        <v>1097</v>
      </c>
      <c r="Q54" s="94" t="s">
        <v>1096</v>
      </c>
      <c r="R54" s="95" t="s">
        <v>1098</v>
      </c>
      <c r="S54" s="91" t="s">
        <v>1099</v>
      </c>
      <c r="T54" s="95" t="s">
        <v>1099</v>
      </c>
      <c r="U54" s="94" t="s">
        <v>1100</v>
      </c>
      <c r="V54" s="92" t="s">
        <v>1092</v>
      </c>
      <c r="W54" s="92" t="s">
        <v>1095</v>
      </c>
      <c r="X54" s="92" t="s">
        <v>1092</v>
      </c>
      <c r="Y54" s="92" t="s">
        <v>1095</v>
      </c>
      <c r="Z54" s="92" t="s">
        <v>1095</v>
      </c>
      <c r="AA54" s="92" t="s">
        <v>1092</v>
      </c>
      <c r="AB54" s="92" t="s">
        <v>1092</v>
      </c>
      <c r="AC54" s="92" t="s">
        <v>1092</v>
      </c>
      <c r="AD54" s="92" t="s">
        <v>1092</v>
      </c>
      <c r="AE54" s="92" t="s">
        <v>1095</v>
      </c>
      <c r="AF54" s="92" t="s">
        <v>1092</v>
      </c>
      <c r="AG54" s="92" t="s">
        <v>1092</v>
      </c>
      <c r="AH54" s="92" t="s">
        <v>1092</v>
      </c>
      <c r="AI54" s="92" t="s">
        <v>1092</v>
      </c>
      <c r="AJ54" s="92" t="s">
        <v>1092</v>
      </c>
      <c r="AK54" s="92" t="s">
        <v>1092</v>
      </c>
      <c r="AL54" s="92" t="s">
        <v>1092</v>
      </c>
      <c r="AM54" s="92" t="s">
        <v>1092</v>
      </c>
      <c r="AN54" s="92" t="s">
        <v>1095</v>
      </c>
      <c r="AO54" s="95" t="s">
        <v>1101</v>
      </c>
      <c r="AP54" s="95" t="s">
        <v>1101</v>
      </c>
      <c r="AQ54" s="92" t="s">
        <v>1092</v>
      </c>
      <c r="AR54" s="92" t="s">
        <v>1092</v>
      </c>
      <c r="AS54" s="92" t="s">
        <v>1092</v>
      </c>
      <c r="AT54" s="92" t="s">
        <v>1092</v>
      </c>
      <c r="AU54" s="92" t="s">
        <v>1092</v>
      </c>
      <c r="AV54" s="92" t="s">
        <v>1092</v>
      </c>
      <c r="AW54" s="92" t="s">
        <v>1092</v>
      </c>
      <c r="AX54" s="92" t="s">
        <v>1092</v>
      </c>
      <c r="AY54" s="92" t="s">
        <v>1092</v>
      </c>
      <c r="AZ54" s="92" t="s">
        <v>1092</v>
      </c>
      <c r="BA54" s="92" t="s">
        <v>1092</v>
      </c>
      <c r="BB54" s="92" t="s">
        <v>1092</v>
      </c>
      <c r="BC54" s="95" t="s">
        <v>1102</v>
      </c>
      <c r="BD54" s="95" t="s">
        <v>1102</v>
      </c>
      <c r="BE54" s="95" t="s">
        <v>1102</v>
      </c>
      <c r="BF54" s="95" t="s">
        <v>1102</v>
      </c>
      <c r="BG54" s="96" t="s">
        <v>1102</v>
      </c>
      <c r="BH54" s="96" t="s">
        <v>1102</v>
      </c>
      <c r="BI54" s="96" t="s">
        <v>1102</v>
      </c>
      <c r="BJ54" s="96" t="s">
        <v>1102</v>
      </c>
      <c r="BK54" s="91"/>
    </row>
    <row r="55" spans="1:63" ht="25.5" customHeight="1" x14ac:dyDescent="0.25">
      <c r="A55" s="91" t="s">
        <v>1103</v>
      </c>
      <c r="B55" s="91" t="s">
        <v>1104</v>
      </c>
      <c r="C55" s="91" t="s">
        <v>1105</v>
      </c>
      <c r="D55" s="91" t="s">
        <v>1106</v>
      </c>
      <c r="E55" s="91" t="s">
        <v>1107</v>
      </c>
      <c r="F55" s="91" t="s">
        <v>1108</v>
      </c>
      <c r="G55" s="91" t="s">
        <v>1109</v>
      </c>
      <c r="H55" s="91" t="s">
        <v>1110</v>
      </c>
      <c r="I55" s="91" t="s">
        <v>1111</v>
      </c>
      <c r="J55" s="91" t="s">
        <v>443</v>
      </c>
      <c r="K55" s="91" t="s">
        <v>1112</v>
      </c>
      <c r="L55" s="91" t="s">
        <v>1113</v>
      </c>
      <c r="M55" s="91" t="s">
        <v>1114</v>
      </c>
      <c r="N55" s="91" t="s">
        <v>1115</v>
      </c>
      <c r="O55" s="91" t="s">
        <v>1116</v>
      </c>
      <c r="P55" s="95" t="s">
        <v>1117</v>
      </c>
      <c r="Q55" s="94" t="s">
        <v>1118</v>
      </c>
      <c r="R55" s="91" t="s">
        <v>1119</v>
      </c>
      <c r="S55" s="91" t="s">
        <v>1120</v>
      </c>
      <c r="T55" s="91" t="s">
        <v>1121</v>
      </c>
      <c r="U55" s="94" t="s">
        <v>1122</v>
      </c>
      <c r="V55" s="91" t="s">
        <v>1123</v>
      </c>
      <c r="W55" s="91" t="s">
        <v>1124</v>
      </c>
      <c r="X55" s="91" t="s">
        <v>1125</v>
      </c>
      <c r="Y55" s="91" t="s">
        <v>1126</v>
      </c>
      <c r="Z55" s="91" t="s">
        <v>1127</v>
      </c>
      <c r="AA55" s="91" t="s">
        <v>1128</v>
      </c>
      <c r="AB55" s="91" t="s">
        <v>1129</v>
      </c>
      <c r="AC55" s="91" t="s">
        <v>1130</v>
      </c>
      <c r="AD55" s="91" t="s">
        <v>1131</v>
      </c>
      <c r="AE55" s="91" t="s">
        <v>1132</v>
      </c>
      <c r="AF55" s="91" t="s">
        <v>1133</v>
      </c>
      <c r="AG55" s="91" t="s">
        <v>1134</v>
      </c>
      <c r="AH55" s="91" t="s">
        <v>1135</v>
      </c>
      <c r="AI55" s="91" t="s">
        <v>1136</v>
      </c>
      <c r="AJ55" s="91" t="s">
        <v>1137</v>
      </c>
      <c r="AK55" s="91" t="s">
        <v>1138</v>
      </c>
      <c r="AL55" s="91" t="s">
        <v>1139</v>
      </c>
      <c r="AM55" s="91" t="s">
        <v>1140</v>
      </c>
      <c r="AN55" s="91" t="s">
        <v>1068</v>
      </c>
      <c r="AO55" s="91" t="s">
        <v>1141</v>
      </c>
      <c r="AP55" s="91" t="s">
        <v>1142</v>
      </c>
      <c r="AQ55" s="91" t="s">
        <v>1143</v>
      </c>
      <c r="AR55" s="91" t="s">
        <v>1144</v>
      </c>
      <c r="AS55" s="91" t="s">
        <v>1145</v>
      </c>
      <c r="AT55" s="91" t="s">
        <v>1146</v>
      </c>
      <c r="AU55" s="91" t="s">
        <v>1147</v>
      </c>
      <c r="AV55" s="91" t="s">
        <v>1076</v>
      </c>
      <c r="AW55" s="91" t="s">
        <v>1077</v>
      </c>
      <c r="AX55" s="91" t="s">
        <v>1078</v>
      </c>
      <c r="AY55" s="91" t="s">
        <v>1079</v>
      </c>
      <c r="AZ55" s="91" t="s">
        <v>1080</v>
      </c>
      <c r="BA55" s="91" t="s">
        <v>1081</v>
      </c>
      <c r="BB55" s="91" t="s">
        <v>1082</v>
      </c>
      <c r="BC55" s="91" t="s">
        <v>1148</v>
      </c>
      <c r="BD55" s="91" t="s">
        <v>1149</v>
      </c>
      <c r="BE55" s="91" t="s">
        <v>1150</v>
      </c>
      <c r="BF55" s="91" t="s">
        <v>1151</v>
      </c>
      <c r="BG55" s="91" t="s">
        <v>1152</v>
      </c>
      <c r="BH55" s="91" t="s">
        <v>1153</v>
      </c>
      <c r="BI55" s="91" t="s">
        <v>1154</v>
      </c>
      <c r="BJ55" s="91" t="s">
        <v>1155</v>
      </c>
      <c r="BK55" s="91" t="s">
        <v>1029</v>
      </c>
    </row>
    <row r="56" spans="1:63" ht="13.5" customHeight="1" x14ac:dyDescent="0.25">
      <c r="A56" s="97" t="s">
        <v>1156</v>
      </c>
      <c r="B56" s="199" t="s">
        <v>1157</v>
      </c>
      <c r="C56" s="97" t="s">
        <v>1158</v>
      </c>
      <c r="D56" s="98">
        <v>8223</v>
      </c>
      <c r="E56" s="98" t="s">
        <v>1159</v>
      </c>
      <c r="F56" s="99">
        <v>10100226</v>
      </c>
      <c r="G56" s="100">
        <v>400</v>
      </c>
      <c r="H56" s="80" t="s">
        <v>1160</v>
      </c>
      <c r="I56" s="98">
        <v>2006</v>
      </c>
      <c r="J56" s="98">
        <v>2000</v>
      </c>
      <c r="K56" s="101">
        <v>10972</v>
      </c>
      <c r="L56" s="102">
        <v>4388800</v>
      </c>
      <c r="M56" s="98" t="s">
        <v>1161</v>
      </c>
      <c r="N56" s="103" t="s">
        <v>1162</v>
      </c>
      <c r="O56" s="103" t="s">
        <v>1163</v>
      </c>
      <c r="P56" s="104">
        <v>1534.5813299464755</v>
      </c>
      <c r="Q56" s="105">
        <v>1691569</v>
      </c>
      <c r="R56" s="106">
        <v>0.21</v>
      </c>
      <c r="S56" s="107" t="s">
        <v>1164</v>
      </c>
      <c r="T56" s="106">
        <v>4.7</v>
      </c>
      <c r="U56" s="101">
        <v>28230807</v>
      </c>
      <c r="V56" s="98" t="s">
        <v>1165</v>
      </c>
      <c r="W56" s="103" t="s">
        <v>1166</v>
      </c>
      <c r="X56" s="98" t="s">
        <v>1126</v>
      </c>
      <c r="Y56" s="103" t="s">
        <v>1166</v>
      </c>
      <c r="Z56" s="103" t="s">
        <v>1167</v>
      </c>
      <c r="AA56" s="98">
        <v>2006</v>
      </c>
      <c r="AB56" s="103"/>
      <c r="AC56" s="103"/>
      <c r="AD56" s="98" t="s">
        <v>1168</v>
      </c>
      <c r="AE56" s="103" t="s">
        <v>1169</v>
      </c>
      <c r="AF56" s="98">
        <v>2006</v>
      </c>
      <c r="AG56" s="98">
        <v>93</v>
      </c>
      <c r="AH56" s="103"/>
      <c r="AI56" s="103"/>
      <c r="AJ56" s="103"/>
      <c r="AK56" s="103"/>
      <c r="AL56" s="103"/>
      <c r="AM56" s="98" t="s">
        <v>1170</v>
      </c>
      <c r="AN56" s="103" t="s">
        <v>1171</v>
      </c>
      <c r="AO56" s="98"/>
      <c r="AP56" s="98"/>
      <c r="AQ56" s="108">
        <v>7.85E-2</v>
      </c>
      <c r="AR56" s="108">
        <v>0.06</v>
      </c>
      <c r="AS56" s="108">
        <v>7.85E-2</v>
      </c>
      <c r="AT56" s="108">
        <v>0.06</v>
      </c>
      <c r="AU56" s="98">
        <v>0.8</v>
      </c>
      <c r="AV56" s="98" t="s">
        <v>1172</v>
      </c>
      <c r="AW56" s="98">
        <v>0.05</v>
      </c>
      <c r="AX56" s="98">
        <v>0.75</v>
      </c>
      <c r="AY56" s="98">
        <v>1</v>
      </c>
      <c r="AZ56" s="98">
        <v>0.05</v>
      </c>
      <c r="BA56" s="98">
        <v>0.75</v>
      </c>
      <c r="BB56" s="98">
        <v>1</v>
      </c>
      <c r="BC56" s="103"/>
      <c r="BD56" s="103"/>
      <c r="BE56" s="103"/>
      <c r="BF56" s="103"/>
      <c r="BG56" s="103"/>
      <c r="BH56" s="103"/>
      <c r="BI56" s="103"/>
      <c r="BJ56" s="103"/>
      <c r="BK56" s="256" t="s">
        <v>1173</v>
      </c>
    </row>
    <row r="57" spans="1:63" x14ac:dyDescent="0.25">
      <c r="A57" s="97" t="s">
        <v>1156</v>
      </c>
      <c r="B57" s="199" t="s">
        <v>1157</v>
      </c>
      <c r="C57" s="97" t="s">
        <v>1158</v>
      </c>
      <c r="D57" s="98">
        <v>8223</v>
      </c>
      <c r="E57" s="98" t="s">
        <v>1174</v>
      </c>
      <c r="F57" s="99">
        <v>10100226</v>
      </c>
      <c r="G57" s="100">
        <v>400</v>
      </c>
      <c r="H57" s="80" t="s">
        <v>1175</v>
      </c>
      <c r="I57" s="98">
        <v>2009</v>
      </c>
      <c r="J57" s="98">
        <v>2000</v>
      </c>
      <c r="K57" s="101">
        <v>8763</v>
      </c>
      <c r="L57" s="102">
        <v>3505200</v>
      </c>
      <c r="M57" s="98" t="s">
        <v>1176</v>
      </c>
      <c r="N57" s="98" t="s">
        <v>1162</v>
      </c>
      <c r="O57" s="103" t="s">
        <v>1163</v>
      </c>
      <c r="P57" s="104">
        <v>1539.0655901297289</v>
      </c>
      <c r="Q57" s="105">
        <v>1696512</v>
      </c>
      <c r="R57" s="106">
        <v>0.25</v>
      </c>
      <c r="S57" s="107" t="s">
        <v>1164</v>
      </c>
      <c r="T57" s="106">
        <v>5.2</v>
      </c>
      <c r="U57" s="101">
        <v>28655606</v>
      </c>
      <c r="V57" s="98" t="s">
        <v>1177</v>
      </c>
      <c r="W57" s="103" t="s">
        <v>1166</v>
      </c>
      <c r="X57" s="98" t="s">
        <v>1126</v>
      </c>
      <c r="Y57" s="103" t="s">
        <v>1166</v>
      </c>
      <c r="Z57" s="103" t="s">
        <v>1167</v>
      </c>
      <c r="AA57" s="98">
        <v>2009</v>
      </c>
      <c r="AB57" s="103"/>
      <c r="AC57" s="103"/>
      <c r="AD57" s="98" t="s">
        <v>1178</v>
      </c>
      <c r="AE57" s="103" t="s">
        <v>1169</v>
      </c>
      <c r="AF57" s="98">
        <v>2009</v>
      </c>
      <c r="AG57" s="98">
        <v>98</v>
      </c>
      <c r="AH57" s="103"/>
      <c r="AI57" s="103"/>
      <c r="AJ57" s="103"/>
      <c r="AK57" s="103"/>
      <c r="AL57" s="103"/>
      <c r="AM57" s="98" t="s">
        <v>1170</v>
      </c>
      <c r="AN57" s="103" t="s">
        <v>1171</v>
      </c>
      <c r="AO57" s="98"/>
      <c r="AP57" s="98"/>
      <c r="AQ57" s="108">
        <v>0.6</v>
      </c>
      <c r="AR57" s="108">
        <v>0.06</v>
      </c>
      <c r="AS57" s="108">
        <v>0.6</v>
      </c>
      <c r="AT57" s="108">
        <v>0.06</v>
      </c>
      <c r="AU57" s="98">
        <v>0.8</v>
      </c>
      <c r="AV57" s="98" t="s">
        <v>1179</v>
      </c>
      <c r="AW57" s="98">
        <v>0.1</v>
      </c>
      <c r="AX57" s="98">
        <v>0.3</v>
      </c>
      <c r="AY57" s="98">
        <v>0.56000000000000005</v>
      </c>
      <c r="AZ57" s="98">
        <v>0.3</v>
      </c>
      <c r="BA57" s="98">
        <v>0.3</v>
      </c>
      <c r="BB57" s="98">
        <v>0.56000000000000005</v>
      </c>
      <c r="BC57" s="103"/>
      <c r="BD57" s="103"/>
      <c r="BE57" s="103"/>
      <c r="BF57" s="103"/>
      <c r="BG57" s="103"/>
      <c r="BH57" s="103"/>
      <c r="BI57" s="103"/>
      <c r="BJ57" s="103"/>
      <c r="BK57" s="256" t="s">
        <v>1173</v>
      </c>
    </row>
    <row r="58" spans="1:63" x14ac:dyDescent="0.25">
      <c r="A58" s="97" t="s">
        <v>1180</v>
      </c>
      <c r="B58" s="199" t="s">
        <v>1181</v>
      </c>
      <c r="C58" s="97" t="s">
        <v>1182</v>
      </c>
      <c r="D58" s="98">
        <v>56456</v>
      </c>
      <c r="E58" s="98" t="s">
        <v>1183</v>
      </c>
      <c r="F58" s="99">
        <v>10100226</v>
      </c>
      <c r="G58" s="100">
        <v>665</v>
      </c>
      <c r="H58" s="80" t="s">
        <v>1160</v>
      </c>
      <c r="I58" s="98">
        <v>2009</v>
      </c>
      <c r="J58" s="98">
        <v>2000</v>
      </c>
      <c r="K58" s="101">
        <v>8763</v>
      </c>
      <c r="L58" s="102">
        <v>5827395</v>
      </c>
      <c r="M58" s="98" t="s">
        <v>1184</v>
      </c>
      <c r="N58" s="98" t="s">
        <v>1162</v>
      </c>
      <c r="O58" s="103" t="s">
        <v>1163</v>
      </c>
      <c r="P58" s="104">
        <v>2125.3098067676679</v>
      </c>
      <c r="Q58" s="101">
        <v>2342729</v>
      </c>
      <c r="R58" s="106">
        <v>0.27</v>
      </c>
      <c r="S58" s="107" t="s">
        <v>1164</v>
      </c>
      <c r="T58" s="106">
        <v>5.4</v>
      </c>
      <c r="U58" s="101">
        <v>44222855</v>
      </c>
      <c r="V58" s="98" t="s">
        <v>1177</v>
      </c>
      <c r="W58" s="103" t="s">
        <v>1166</v>
      </c>
      <c r="X58" s="98" t="s">
        <v>1126</v>
      </c>
      <c r="Y58" s="103" t="s">
        <v>1166</v>
      </c>
      <c r="Z58" s="103" t="s">
        <v>1167</v>
      </c>
      <c r="AA58" s="98">
        <v>2009</v>
      </c>
      <c r="AB58" s="103"/>
      <c r="AC58" s="103"/>
      <c r="AD58" s="98" t="s">
        <v>1168</v>
      </c>
      <c r="AE58" s="103" t="s">
        <v>1169</v>
      </c>
      <c r="AF58" s="98">
        <v>2009</v>
      </c>
      <c r="AG58" s="98">
        <v>93</v>
      </c>
      <c r="AH58" s="103"/>
      <c r="AI58" s="98" t="s">
        <v>1185</v>
      </c>
      <c r="AJ58" s="98">
        <v>2009</v>
      </c>
      <c r="AK58" s="98">
        <v>90</v>
      </c>
      <c r="AL58" s="103"/>
      <c r="AM58" s="98" t="s">
        <v>1170</v>
      </c>
      <c r="AN58" s="103" t="s">
        <v>1171</v>
      </c>
      <c r="AO58" s="98"/>
      <c r="AP58" s="98"/>
      <c r="AQ58" s="108">
        <v>0.6</v>
      </c>
      <c r="AR58" s="108">
        <v>0.06</v>
      </c>
      <c r="AS58" s="108">
        <v>0.6</v>
      </c>
      <c r="AT58" s="108">
        <v>0.06</v>
      </c>
      <c r="AU58" s="98">
        <v>1.2</v>
      </c>
      <c r="AV58" s="98" t="s">
        <v>1172</v>
      </c>
      <c r="AW58" s="98">
        <v>0.1</v>
      </c>
      <c r="AX58" s="98">
        <v>0.1</v>
      </c>
      <c r="AY58" s="98">
        <v>0.1</v>
      </c>
      <c r="AZ58" s="98">
        <v>0.1</v>
      </c>
      <c r="BA58" s="98">
        <v>0.1</v>
      </c>
      <c r="BB58" s="98">
        <v>0.1</v>
      </c>
      <c r="BC58" s="103"/>
      <c r="BD58" s="103"/>
      <c r="BE58" s="103"/>
      <c r="BF58" s="103"/>
      <c r="BG58" s="103"/>
      <c r="BH58" s="103"/>
      <c r="BI58" s="103"/>
      <c r="BJ58" s="103"/>
      <c r="BK58" s="256" t="s">
        <v>1173</v>
      </c>
    </row>
    <row r="59" spans="1:63" x14ac:dyDescent="0.25">
      <c r="A59" s="109" t="s">
        <v>1186</v>
      </c>
      <c r="B59" s="110" t="s">
        <v>1157</v>
      </c>
      <c r="C59" s="109" t="s">
        <v>1187</v>
      </c>
      <c r="D59" s="98">
        <v>470</v>
      </c>
      <c r="E59" s="98" t="s">
        <v>1159</v>
      </c>
      <c r="F59" s="107"/>
      <c r="G59" s="100">
        <v>750</v>
      </c>
      <c r="H59" s="80" t="s">
        <v>1160</v>
      </c>
      <c r="I59" s="98">
        <v>2009</v>
      </c>
      <c r="J59" s="98">
        <v>2000</v>
      </c>
      <c r="K59" s="101">
        <v>8763</v>
      </c>
      <c r="L59" s="111">
        <v>6572250</v>
      </c>
      <c r="M59" s="98" t="s">
        <v>1161</v>
      </c>
      <c r="N59" s="98" t="s">
        <v>1162</v>
      </c>
      <c r="O59" s="103" t="s">
        <v>1163</v>
      </c>
      <c r="P59" s="112">
        <v>1834.8498593849224</v>
      </c>
      <c r="Q59" s="113">
        <v>2022555</v>
      </c>
      <c r="R59" s="106">
        <v>0.2</v>
      </c>
      <c r="S59" s="107" t="s">
        <v>1164</v>
      </c>
      <c r="T59" s="106">
        <v>3.8</v>
      </c>
      <c r="U59" s="101"/>
      <c r="V59" s="98" t="s">
        <v>1165</v>
      </c>
      <c r="W59" s="103" t="s">
        <v>1166</v>
      </c>
      <c r="X59" s="103" t="s">
        <v>1126</v>
      </c>
      <c r="Y59" s="103" t="s">
        <v>1166</v>
      </c>
      <c r="Z59" s="103" t="s">
        <v>1167</v>
      </c>
      <c r="AA59" s="98">
        <v>2009</v>
      </c>
      <c r="AB59" s="110"/>
      <c r="AC59" s="110"/>
      <c r="AD59" s="98" t="s">
        <v>1168</v>
      </c>
      <c r="AE59" s="103" t="s">
        <v>1169</v>
      </c>
      <c r="AF59" s="98">
        <v>2009</v>
      </c>
      <c r="AG59" s="98">
        <v>85</v>
      </c>
      <c r="AH59" s="110"/>
      <c r="AI59" s="98" t="s">
        <v>1185</v>
      </c>
      <c r="AJ59" s="98">
        <v>2009</v>
      </c>
      <c r="AK59" s="98">
        <v>90</v>
      </c>
      <c r="AL59" s="110"/>
      <c r="AM59" s="98" t="s">
        <v>841</v>
      </c>
      <c r="AN59" s="103" t="s">
        <v>1188</v>
      </c>
      <c r="AO59" s="109"/>
      <c r="AP59" s="109"/>
      <c r="AQ59" s="114">
        <v>0.6</v>
      </c>
      <c r="AR59" s="108">
        <v>0.06</v>
      </c>
      <c r="AS59" s="108">
        <v>0.6</v>
      </c>
      <c r="AT59" s="108">
        <v>0.06</v>
      </c>
      <c r="AU59" s="98">
        <v>0.1</v>
      </c>
      <c r="AV59" s="98" t="s">
        <v>1189</v>
      </c>
      <c r="AW59" s="98">
        <v>0.1</v>
      </c>
      <c r="AX59" s="98">
        <v>0.1</v>
      </c>
      <c r="AY59" s="98">
        <v>0.1</v>
      </c>
      <c r="AZ59" s="98">
        <v>0.1</v>
      </c>
      <c r="BA59" s="98">
        <v>0.1</v>
      </c>
      <c r="BB59" s="98">
        <v>0.1</v>
      </c>
      <c r="BC59" s="110"/>
      <c r="BD59" s="110"/>
      <c r="BE59" s="110"/>
      <c r="BF59" s="110"/>
      <c r="BG59" s="110"/>
      <c r="BH59" s="110"/>
      <c r="BI59" s="110"/>
      <c r="BJ59" s="110"/>
      <c r="BK59" s="256" t="s">
        <v>1173</v>
      </c>
    </row>
    <row r="60" spans="1:63" x14ac:dyDescent="0.25">
      <c r="A60" s="97" t="s">
        <v>1190</v>
      </c>
      <c r="B60" s="199" t="s">
        <v>1191</v>
      </c>
      <c r="C60" s="97" t="s">
        <v>1192</v>
      </c>
      <c r="D60" s="98">
        <v>963</v>
      </c>
      <c r="E60" s="98" t="s">
        <v>1193</v>
      </c>
      <c r="F60" s="99"/>
      <c r="G60" s="100">
        <v>200</v>
      </c>
      <c r="H60" s="80" t="s">
        <v>1160</v>
      </c>
      <c r="I60" s="98">
        <v>2009</v>
      </c>
      <c r="J60" s="98">
        <v>2000</v>
      </c>
      <c r="K60" s="101">
        <v>8763</v>
      </c>
      <c r="L60" s="102">
        <v>1752600</v>
      </c>
      <c r="M60" s="98" t="s">
        <v>1184</v>
      </c>
      <c r="N60" s="98" t="s">
        <v>1162</v>
      </c>
      <c r="O60" s="103" t="s">
        <v>1194</v>
      </c>
      <c r="P60" s="115"/>
      <c r="Q60" s="101"/>
      <c r="R60" s="106"/>
      <c r="S60" s="98"/>
      <c r="T60" s="106"/>
      <c r="U60" s="101">
        <v>11580824</v>
      </c>
      <c r="V60" s="98" t="s">
        <v>1177</v>
      </c>
      <c r="W60" s="103" t="s">
        <v>1166</v>
      </c>
      <c r="X60" s="98" t="s">
        <v>1126</v>
      </c>
      <c r="Y60" s="103" t="s">
        <v>1166</v>
      </c>
      <c r="Z60" s="103" t="s">
        <v>1167</v>
      </c>
      <c r="AA60" s="98">
        <v>2009</v>
      </c>
      <c r="AB60" s="103"/>
      <c r="AC60" s="103"/>
      <c r="AD60" s="98" t="s">
        <v>1178</v>
      </c>
      <c r="AE60" s="103" t="s">
        <v>1169</v>
      </c>
      <c r="AF60" s="98">
        <v>2009</v>
      </c>
      <c r="AG60" s="98">
        <v>98</v>
      </c>
      <c r="AH60" s="103"/>
      <c r="AI60" s="98" t="s">
        <v>1185</v>
      </c>
      <c r="AJ60" s="98">
        <v>2009</v>
      </c>
      <c r="AK60" s="98">
        <v>90</v>
      </c>
      <c r="AL60" s="103"/>
      <c r="AM60" s="98" t="s">
        <v>1170</v>
      </c>
      <c r="AN60" s="103" t="s">
        <v>1171</v>
      </c>
      <c r="AO60" s="98"/>
      <c r="AP60" s="98"/>
      <c r="AQ60" s="108">
        <v>0.6</v>
      </c>
      <c r="AR60" s="108">
        <v>0.06</v>
      </c>
      <c r="AS60" s="108">
        <v>0.6</v>
      </c>
      <c r="AT60" s="108">
        <v>0.06</v>
      </c>
      <c r="AU60" s="98">
        <v>1.2</v>
      </c>
      <c r="AV60" s="109" t="s">
        <v>1179</v>
      </c>
      <c r="AW60" s="98">
        <v>0.1</v>
      </c>
      <c r="AX60" s="98">
        <v>0.1</v>
      </c>
      <c r="AY60" s="98">
        <v>0.1</v>
      </c>
      <c r="AZ60" s="98">
        <v>0.1</v>
      </c>
      <c r="BA60" s="98">
        <v>0.1</v>
      </c>
      <c r="BB60" s="98">
        <v>0.1</v>
      </c>
      <c r="BC60" s="103"/>
      <c r="BD60" s="103"/>
      <c r="BE60" s="103"/>
      <c r="BF60" s="103"/>
      <c r="BG60" s="103"/>
      <c r="BH60" s="103"/>
      <c r="BI60" s="103"/>
      <c r="BJ60" s="103"/>
      <c r="BK60" s="256" t="s">
        <v>1173</v>
      </c>
    </row>
    <row r="61" spans="1:63" x14ac:dyDescent="0.25">
      <c r="A61" s="97" t="s">
        <v>1195</v>
      </c>
      <c r="B61" s="199" t="s">
        <v>1196</v>
      </c>
      <c r="C61" s="97" t="s">
        <v>1197</v>
      </c>
      <c r="D61" s="98">
        <v>1082</v>
      </c>
      <c r="E61" s="98" t="s">
        <v>1174</v>
      </c>
      <c r="F61" s="98"/>
      <c r="G61" s="100">
        <v>800</v>
      </c>
      <c r="H61" s="80" t="s">
        <v>1160</v>
      </c>
      <c r="I61" s="98">
        <v>2007</v>
      </c>
      <c r="J61" s="98">
        <v>2000</v>
      </c>
      <c r="K61" s="101">
        <v>10330.885329999999</v>
      </c>
      <c r="L61" s="102">
        <v>8264708.2639999995</v>
      </c>
      <c r="M61" s="98" t="s">
        <v>1184</v>
      </c>
      <c r="N61" s="98" t="s">
        <v>1162</v>
      </c>
      <c r="O61" s="103" t="s">
        <v>1163</v>
      </c>
      <c r="P61" s="115">
        <v>3023.9490156944571</v>
      </c>
      <c r="Q61" s="101">
        <v>3333299</v>
      </c>
      <c r="R61" s="106">
        <v>0.3</v>
      </c>
      <c r="S61" s="107" t="s">
        <v>1164</v>
      </c>
      <c r="T61" s="106">
        <v>5.2</v>
      </c>
      <c r="U61" s="101">
        <v>55587681</v>
      </c>
      <c r="V61" s="98" t="s">
        <v>1198</v>
      </c>
      <c r="W61" s="103" t="s">
        <v>1166</v>
      </c>
      <c r="X61" s="98" t="s">
        <v>1126</v>
      </c>
      <c r="Y61" s="103" t="s">
        <v>1166</v>
      </c>
      <c r="Z61" s="103" t="s">
        <v>1167</v>
      </c>
      <c r="AA61" s="98">
        <v>2007</v>
      </c>
      <c r="AB61" s="103"/>
      <c r="AC61" s="103"/>
      <c r="AD61" s="98" t="s">
        <v>1168</v>
      </c>
      <c r="AE61" s="103" t="s">
        <v>1169</v>
      </c>
      <c r="AF61" s="98">
        <v>2007</v>
      </c>
      <c r="AG61" s="98">
        <v>91</v>
      </c>
      <c r="AH61" s="103"/>
      <c r="AI61" s="98" t="s">
        <v>1185</v>
      </c>
      <c r="AJ61" s="98">
        <v>2007</v>
      </c>
      <c r="AK61" s="98">
        <v>90</v>
      </c>
      <c r="AL61" s="103"/>
      <c r="AM61" s="98" t="s">
        <v>841</v>
      </c>
      <c r="AN61" s="103" t="s">
        <v>1188</v>
      </c>
      <c r="AO61" s="98"/>
      <c r="AP61" s="98"/>
      <c r="AQ61" s="108">
        <v>0.6</v>
      </c>
      <c r="AR61" s="108">
        <v>0.06</v>
      </c>
      <c r="AS61" s="108">
        <v>0.6</v>
      </c>
      <c r="AT61" s="108">
        <v>0.06</v>
      </c>
      <c r="AU61" s="98">
        <v>0.1</v>
      </c>
      <c r="AV61" s="98" t="s">
        <v>1189</v>
      </c>
      <c r="AW61" s="98">
        <v>0.1</v>
      </c>
      <c r="AX61" s="98">
        <v>0.1</v>
      </c>
      <c r="AY61" s="98">
        <v>0.1</v>
      </c>
      <c r="AZ61" s="98">
        <v>0.1</v>
      </c>
      <c r="BA61" s="98">
        <v>0.1</v>
      </c>
      <c r="BB61" s="98">
        <v>0.1</v>
      </c>
      <c r="BC61" s="103"/>
      <c r="BD61" s="103"/>
      <c r="BE61" s="103"/>
      <c r="BF61" s="103"/>
      <c r="BG61" s="103"/>
      <c r="BH61" s="103"/>
      <c r="BI61" s="103"/>
      <c r="BJ61" s="103"/>
      <c r="BK61" s="256" t="s">
        <v>1173</v>
      </c>
    </row>
    <row r="62" spans="1:63" s="116" customFormat="1" x14ac:dyDescent="0.25">
      <c r="A62" s="97" t="s">
        <v>1199</v>
      </c>
      <c r="B62" s="199" t="s">
        <v>1157</v>
      </c>
      <c r="C62" s="97" t="s">
        <v>1200</v>
      </c>
      <c r="D62" s="98">
        <v>55749</v>
      </c>
      <c r="E62" s="98" t="s">
        <v>1201</v>
      </c>
      <c r="F62" s="98">
        <v>10100226</v>
      </c>
      <c r="G62" s="100">
        <v>108.6</v>
      </c>
      <c r="H62" s="80" t="s">
        <v>1160</v>
      </c>
      <c r="I62" s="98">
        <v>2006</v>
      </c>
      <c r="J62" s="98">
        <v>2000</v>
      </c>
      <c r="K62" s="101">
        <v>11500</v>
      </c>
      <c r="L62" s="102">
        <v>1248900</v>
      </c>
      <c r="M62" s="98" t="s">
        <v>1176</v>
      </c>
      <c r="N62" s="98" t="s">
        <v>1202</v>
      </c>
      <c r="O62" s="103" t="s">
        <v>1163</v>
      </c>
      <c r="P62" s="115"/>
      <c r="Q62" s="101"/>
      <c r="R62" s="106"/>
      <c r="S62" s="98"/>
      <c r="T62" s="106"/>
      <c r="U62" s="101">
        <v>8057723</v>
      </c>
      <c r="V62" s="98" t="s">
        <v>1177</v>
      </c>
      <c r="W62" s="110" t="s">
        <v>1166</v>
      </c>
      <c r="X62" s="98" t="s">
        <v>1126</v>
      </c>
      <c r="Y62" s="103" t="s">
        <v>1166</v>
      </c>
      <c r="Z62" s="103" t="s">
        <v>1167</v>
      </c>
      <c r="AA62" s="98">
        <v>2006</v>
      </c>
      <c r="AB62" s="103"/>
      <c r="AC62" s="103"/>
      <c r="AD62" s="98" t="s">
        <v>1203</v>
      </c>
      <c r="AE62" s="103" t="s">
        <v>1169</v>
      </c>
      <c r="AF62" s="98">
        <v>2006</v>
      </c>
      <c r="AG62" s="98">
        <v>93</v>
      </c>
      <c r="AH62" s="103"/>
      <c r="AI62" s="98" t="s">
        <v>1185</v>
      </c>
      <c r="AJ62" s="98">
        <v>2006</v>
      </c>
      <c r="AK62" s="98">
        <v>90</v>
      </c>
      <c r="AL62" s="103"/>
      <c r="AM62" s="109" t="s">
        <v>1170</v>
      </c>
      <c r="AN62" s="110" t="s">
        <v>1171</v>
      </c>
      <c r="AO62" s="98"/>
      <c r="AP62" s="98"/>
      <c r="AQ62" s="108">
        <v>1.9276</v>
      </c>
      <c r="AR62" s="108">
        <v>0.19275999999999999</v>
      </c>
      <c r="AS62" s="108">
        <v>1.9276</v>
      </c>
      <c r="AT62" s="108">
        <v>0.19275999999999999</v>
      </c>
      <c r="AU62" s="98">
        <v>2</v>
      </c>
      <c r="AV62" s="109" t="s">
        <v>1172</v>
      </c>
      <c r="AW62" s="98">
        <v>0.1</v>
      </c>
      <c r="AX62" s="98">
        <v>0.1</v>
      </c>
      <c r="AY62" s="98">
        <v>0.1</v>
      </c>
      <c r="AZ62" s="98">
        <v>0.1</v>
      </c>
      <c r="BA62" s="98">
        <v>0.1</v>
      </c>
      <c r="BB62" s="98">
        <v>0.1</v>
      </c>
      <c r="BC62" s="103"/>
      <c r="BD62" s="103"/>
      <c r="BE62" s="103"/>
      <c r="BF62" s="103"/>
      <c r="BG62" s="103"/>
      <c r="BH62" s="103"/>
      <c r="BI62" s="103"/>
      <c r="BJ62" s="103"/>
      <c r="BK62" s="256" t="s">
        <v>1173</v>
      </c>
    </row>
    <row r="63" spans="1:63" s="116" customFormat="1" x14ac:dyDescent="0.25">
      <c r="A63" s="97" t="s">
        <v>1204</v>
      </c>
      <c r="B63" s="199" t="s">
        <v>1157</v>
      </c>
      <c r="C63" s="97" t="s">
        <v>1205</v>
      </c>
      <c r="D63" s="98">
        <v>56224</v>
      </c>
      <c r="E63" s="98" t="s">
        <v>1206</v>
      </c>
      <c r="F63" s="99">
        <v>10100202</v>
      </c>
      <c r="G63" s="100">
        <v>200</v>
      </c>
      <c r="H63" s="80" t="s">
        <v>1160</v>
      </c>
      <c r="I63" s="98">
        <v>2009</v>
      </c>
      <c r="J63" s="98">
        <v>2000</v>
      </c>
      <c r="K63" s="101">
        <v>8763</v>
      </c>
      <c r="L63" s="102">
        <v>1752600</v>
      </c>
      <c r="M63" s="98" t="s">
        <v>1184</v>
      </c>
      <c r="N63" s="98" t="s">
        <v>1162</v>
      </c>
      <c r="O63" s="103" t="s">
        <v>1163</v>
      </c>
      <c r="P63" s="115">
        <v>190.8754422570988</v>
      </c>
      <c r="Q63" s="101">
        <v>210402</v>
      </c>
      <c r="R63" s="106">
        <v>0.31</v>
      </c>
      <c r="S63" s="107" t="s">
        <v>1164</v>
      </c>
      <c r="T63" s="106">
        <v>5.2</v>
      </c>
      <c r="U63" s="101">
        <v>13885180</v>
      </c>
      <c r="V63" s="98" t="s">
        <v>1177</v>
      </c>
      <c r="W63" s="103" t="s">
        <v>1166</v>
      </c>
      <c r="X63" s="98" t="s">
        <v>1126</v>
      </c>
      <c r="Y63" s="103" t="s">
        <v>1166</v>
      </c>
      <c r="Z63" s="103" t="s">
        <v>1167</v>
      </c>
      <c r="AA63" s="98">
        <v>2009</v>
      </c>
      <c r="AB63" s="103"/>
      <c r="AC63" s="103"/>
      <c r="AD63" s="98" t="s">
        <v>1178</v>
      </c>
      <c r="AE63" s="103" t="s">
        <v>1169</v>
      </c>
      <c r="AF63" s="98">
        <v>2009</v>
      </c>
      <c r="AG63" s="98">
        <v>98</v>
      </c>
      <c r="AH63" s="103"/>
      <c r="AI63" s="103"/>
      <c r="AJ63" s="103"/>
      <c r="AK63" s="103"/>
      <c r="AL63" s="103"/>
      <c r="AM63" s="98" t="s">
        <v>1170</v>
      </c>
      <c r="AN63" s="103" t="s">
        <v>1171</v>
      </c>
      <c r="AO63" s="98"/>
      <c r="AP63" s="98"/>
      <c r="AQ63" s="108">
        <v>0.6</v>
      </c>
      <c r="AR63" s="108">
        <v>0.06</v>
      </c>
      <c r="AS63" s="108">
        <v>0.6</v>
      </c>
      <c r="AT63" s="108">
        <v>0.06</v>
      </c>
      <c r="AU63" s="98">
        <v>0.55000000000000004</v>
      </c>
      <c r="AV63" s="98" t="s">
        <v>1179</v>
      </c>
      <c r="AW63" s="98">
        <v>0.1</v>
      </c>
      <c r="AX63" s="98">
        <v>0.3</v>
      </c>
      <c r="AY63" s="98">
        <v>0.56000000000000005</v>
      </c>
      <c r="AZ63" s="98">
        <v>0.3</v>
      </c>
      <c r="BA63" s="98">
        <v>0.3</v>
      </c>
      <c r="BB63" s="98">
        <v>0.56000000000000005</v>
      </c>
      <c r="BC63" s="103"/>
      <c r="BD63" s="103"/>
      <c r="BE63" s="103"/>
      <c r="BF63" s="103"/>
      <c r="BG63" s="103"/>
      <c r="BH63" s="103"/>
      <c r="BI63" s="103"/>
      <c r="BJ63" s="103"/>
      <c r="BK63" s="256" t="s">
        <v>1173</v>
      </c>
    </row>
    <row r="64" spans="1:63" x14ac:dyDescent="0.25">
      <c r="A64" s="97" t="s">
        <v>1207</v>
      </c>
      <c r="B64" s="199" t="s">
        <v>1196</v>
      </c>
      <c r="C64" s="97" t="s">
        <v>1208</v>
      </c>
      <c r="D64" s="98">
        <v>82821</v>
      </c>
      <c r="E64" s="98" t="s">
        <v>1209</v>
      </c>
      <c r="F64" s="98"/>
      <c r="G64" s="100">
        <v>99</v>
      </c>
      <c r="H64" s="117" t="s">
        <v>1210</v>
      </c>
      <c r="I64" s="98">
        <v>2010</v>
      </c>
      <c r="J64" s="98">
        <v>2000</v>
      </c>
      <c r="K64" s="101">
        <v>8763</v>
      </c>
      <c r="L64" s="102">
        <v>867537</v>
      </c>
      <c r="M64" s="98" t="s">
        <v>1184</v>
      </c>
      <c r="N64" s="98" t="s">
        <v>1162</v>
      </c>
      <c r="O64" s="103" t="s">
        <v>1211</v>
      </c>
      <c r="P64" s="115"/>
      <c r="Q64" s="101"/>
      <c r="R64" s="106"/>
      <c r="S64" s="98"/>
      <c r="T64" s="106"/>
      <c r="U64" s="101"/>
      <c r="V64" s="98" t="s">
        <v>1177</v>
      </c>
      <c r="W64" s="103" t="s">
        <v>1166</v>
      </c>
      <c r="X64" s="98" t="s">
        <v>1127</v>
      </c>
      <c r="Y64" s="103" t="s">
        <v>1167</v>
      </c>
      <c r="Z64" s="103" t="s">
        <v>1166</v>
      </c>
      <c r="AA64" s="103"/>
      <c r="AB64" s="98">
        <v>2010</v>
      </c>
      <c r="AC64" s="103"/>
      <c r="AD64" s="98" t="s">
        <v>1203</v>
      </c>
      <c r="AE64" s="103" t="s">
        <v>1169</v>
      </c>
      <c r="AF64" s="98">
        <v>2010</v>
      </c>
      <c r="AG64" s="98">
        <v>93</v>
      </c>
      <c r="AH64" s="103"/>
      <c r="AI64" s="103"/>
      <c r="AJ64" s="103"/>
      <c r="AK64" s="103"/>
      <c r="AL64" s="103"/>
      <c r="AM64" s="98" t="s">
        <v>1170</v>
      </c>
      <c r="AN64" s="103" t="s">
        <v>1171</v>
      </c>
      <c r="AO64" s="98"/>
      <c r="AP64" s="98"/>
      <c r="AQ64" s="108">
        <v>0.336949899</v>
      </c>
      <c r="AR64" s="108">
        <v>0.21901743400000001</v>
      </c>
      <c r="AS64" s="108">
        <v>0.336949899</v>
      </c>
      <c r="AT64" s="108">
        <v>0.21901743400000001</v>
      </c>
      <c r="AU64" s="98">
        <v>0.6</v>
      </c>
      <c r="AV64" s="98" t="s">
        <v>1212</v>
      </c>
      <c r="AW64" s="98">
        <v>0.05</v>
      </c>
      <c r="AX64" s="98">
        <v>0.75</v>
      </c>
      <c r="AY64" s="98">
        <v>1</v>
      </c>
      <c r="AZ64" s="98">
        <v>0.05</v>
      </c>
      <c r="BA64" s="98">
        <v>0.75</v>
      </c>
      <c r="BB64" s="98">
        <v>1</v>
      </c>
      <c r="BC64" s="103"/>
      <c r="BD64" s="103"/>
      <c r="BE64" s="103"/>
      <c r="BF64" s="103"/>
      <c r="BG64" s="103"/>
      <c r="BH64" s="103"/>
      <c r="BI64" s="103"/>
      <c r="BJ64" s="103"/>
      <c r="BK64" s="256" t="s">
        <v>1173</v>
      </c>
    </row>
    <row r="65" spans="1:63" x14ac:dyDescent="0.25">
      <c r="A65" s="97" t="s">
        <v>1213</v>
      </c>
      <c r="B65" s="199" t="s">
        <v>1214</v>
      </c>
      <c r="C65" s="97" t="s">
        <v>1215</v>
      </c>
      <c r="D65" s="98">
        <v>130</v>
      </c>
      <c r="E65" s="98" t="s">
        <v>1159</v>
      </c>
      <c r="F65" s="99"/>
      <c r="G65" s="100">
        <v>580</v>
      </c>
      <c r="H65" s="107" t="s">
        <v>1160</v>
      </c>
      <c r="I65" s="98">
        <v>2007</v>
      </c>
      <c r="J65" s="98">
        <v>2000</v>
      </c>
      <c r="K65" s="101">
        <v>9518</v>
      </c>
      <c r="L65" s="102">
        <v>5520440</v>
      </c>
      <c r="M65" s="98" t="s">
        <v>1176</v>
      </c>
      <c r="N65" s="98" t="s">
        <v>1162</v>
      </c>
      <c r="O65" s="103" t="s">
        <v>1194</v>
      </c>
      <c r="P65" s="115">
        <v>1332.8621972239862</v>
      </c>
      <c r="Q65" s="101">
        <v>1469214</v>
      </c>
      <c r="R65" s="106">
        <v>1.69</v>
      </c>
      <c r="S65" s="107" t="s">
        <v>1216</v>
      </c>
      <c r="T65" s="106">
        <v>9</v>
      </c>
      <c r="U65" s="105">
        <v>39414573</v>
      </c>
      <c r="V65" s="98" t="s">
        <v>1165</v>
      </c>
      <c r="W65" s="103" t="s">
        <v>1166</v>
      </c>
      <c r="X65" s="98" t="s">
        <v>1126</v>
      </c>
      <c r="Y65" s="103" t="s">
        <v>1166</v>
      </c>
      <c r="Z65" s="103" t="s">
        <v>1167</v>
      </c>
      <c r="AA65" s="98">
        <v>2007</v>
      </c>
      <c r="AB65" s="103"/>
      <c r="AC65" s="103"/>
      <c r="AD65" s="98" t="s">
        <v>1178</v>
      </c>
      <c r="AE65" s="103" t="s">
        <v>1169</v>
      </c>
      <c r="AF65" s="98">
        <v>2007</v>
      </c>
      <c r="AG65" s="98">
        <v>98</v>
      </c>
      <c r="AH65" s="103"/>
      <c r="AI65" s="103"/>
      <c r="AJ65" s="103"/>
      <c r="AK65" s="103"/>
      <c r="AL65" s="103"/>
      <c r="AM65" s="98" t="s">
        <v>1217</v>
      </c>
      <c r="AN65" s="103" t="s">
        <v>1171</v>
      </c>
      <c r="AO65" s="98"/>
      <c r="AP65" s="98"/>
      <c r="AQ65" s="108">
        <v>0.8</v>
      </c>
      <c r="AR65" s="108">
        <v>0.08</v>
      </c>
      <c r="AS65" s="108">
        <v>0.8</v>
      </c>
      <c r="AT65" s="108">
        <v>0.08</v>
      </c>
      <c r="AU65" s="98">
        <v>0.13</v>
      </c>
      <c r="AV65" s="98" t="s">
        <v>1218</v>
      </c>
      <c r="AW65" s="98">
        <v>0.1</v>
      </c>
      <c r="AX65" s="98">
        <v>0.84</v>
      </c>
      <c r="AY65" s="98">
        <v>0.56000000000000005</v>
      </c>
      <c r="AZ65" s="98">
        <v>0.34</v>
      </c>
      <c r="BA65" s="98">
        <v>0.84</v>
      </c>
      <c r="BB65" s="98">
        <v>0.56000000000000005</v>
      </c>
      <c r="BC65" s="103"/>
      <c r="BD65" s="103"/>
      <c r="BE65" s="103"/>
      <c r="BF65" s="103"/>
      <c r="BG65" s="103"/>
      <c r="BH65" s="103"/>
      <c r="BI65" s="103"/>
      <c r="BJ65" s="103"/>
      <c r="BK65" s="256" t="s">
        <v>1173</v>
      </c>
    </row>
    <row r="66" spans="1:63" x14ac:dyDescent="0.25">
      <c r="A66" s="97" t="s">
        <v>1213</v>
      </c>
      <c r="B66" s="199" t="s">
        <v>1214</v>
      </c>
      <c r="C66" s="97" t="s">
        <v>1215</v>
      </c>
      <c r="D66" s="98">
        <v>130</v>
      </c>
      <c r="E66" s="98" t="s">
        <v>1174</v>
      </c>
      <c r="F66" s="99"/>
      <c r="G66" s="100">
        <v>600</v>
      </c>
      <c r="H66" s="107" t="s">
        <v>1160</v>
      </c>
      <c r="I66" s="98">
        <v>2009</v>
      </c>
      <c r="J66" s="98">
        <v>2000</v>
      </c>
      <c r="K66" s="101">
        <v>8763</v>
      </c>
      <c r="L66" s="102">
        <v>5257800</v>
      </c>
      <c r="M66" s="98" t="s">
        <v>1176</v>
      </c>
      <c r="N66" s="98" t="s">
        <v>1162</v>
      </c>
      <c r="O66" s="103" t="s">
        <v>1194</v>
      </c>
      <c r="P66" s="104">
        <v>1312.7233965345188</v>
      </c>
      <c r="Q66" s="105">
        <v>1447015</v>
      </c>
      <c r="R66" s="106">
        <v>2.06</v>
      </c>
      <c r="S66" s="107" t="s">
        <v>1216</v>
      </c>
      <c r="T66" s="106">
        <v>9.6999999999999993</v>
      </c>
      <c r="U66" s="105">
        <v>41767014</v>
      </c>
      <c r="V66" s="98" t="s">
        <v>1165</v>
      </c>
      <c r="W66" s="103" t="s">
        <v>1166</v>
      </c>
      <c r="X66" s="98" t="s">
        <v>1126</v>
      </c>
      <c r="Y66" s="103" t="s">
        <v>1166</v>
      </c>
      <c r="Z66" s="103" t="s">
        <v>1167</v>
      </c>
      <c r="AA66" s="98">
        <v>2009</v>
      </c>
      <c r="AB66" s="103"/>
      <c r="AC66" s="103"/>
      <c r="AD66" s="98" t="s">
        <v>1178</v>
      </c>
      <c r="AE66" s="103" t="s">
        <v>1169</v>
      </c>
      <c r="AF66" s="98">
        <v>2009</v>
      </c>
      <c r="AG66" s="98">
        <v>98</v>
      </c>
      <c r="AH66" s="103"/>
      <c r="AI66" s="103"/>
      <c r="AJ66" s="103"/>
      <c r="AK66" s="103"/>
      <c r="AL66" s="103"/>
      <c r="AM66" s="98" t="s">
        <v>1217</v>
      </c>
      <c r="AN66" s="103" t="s">
        <v>1171</v>
      </c>
      <c r="AO66" s="98"/>
      <c r="AP66" s="98"/>
      <c r="AQ66" s="108">
        <v>0.8</v>
      </c>
      <c r="AR66" s="108">
        <v>0.08</v>
      </c>
      <c r="AS66" s="108">
        <v>0.8</v>
      </c>
      <c r="AT66" s="108">
        <v>0.08</v>
      </c>
      <c r="AU66" s="98">
        <v>0.13</v>
      </c>
      <c r="AV66" s="98" t="s">
        <v>1218</v>
      </c>
      <c r="AW66" s="98">
        <v>0.1</v>
      </c>
      <c r="AX66" s="98">
        <v>0.84</v>
      </c>
      <c r="AY66" s="98">
        <v>0.56000000000000005</v>
      </c>
      <c r="AZ66" s="98">
        <v>0.34</v>
      </c>
      <c r="BA66" s="98">
        <v>0.84</v>
      </c>
      <c r="BB66" s="98">
        <v>0.56000000000000005</v>
      </c>
      <c r="BC66" s="103"/>
      <c r="BD66" s="103"/>
      <c r="BE66" s="103"/>
      <c r="BF66" s="103"/>
      <c r="BG66" s="103"/>
      <c r="BH66" s="103"/>
      <c r="BI66" s="103"/>
      <c r="BJ66" s="103"/>
      <c r="BK66" s="256" t="s">
        <v>1173</v>
      </c>
    </row>
    <row r="67" spans="1:63" x14ac:dyDescent="0.25">
      <c r="A67" s="97" t="s">
        <v>1219</v>
      </c>
      <c r="B67" s="199" t="s">
        <v>1181</v>
      </c>
      <c r="C67" s="97" t="s">
        <v>1220</v>
      </c>
      <c r="D67" s="98">
        <v>7097</v>
      </c>
      <c r="E67" s="98" t="s">
        <v>1221</v>
      </c>
      <c r="F67" s="99">
        <v>10100226</v>
      </c>
      <c r="G67" s="100">
        <v>750</v>
      </c>
      <c r="H67" s="80" t="s">
        <v>1160</v>
      </c>
      <c r="I67" s="98">
        <v>2009</v>
      </c>
      <c r="J67" s="98">
        <v>2000</v>
      </c>
      <c r="K67" s="101">
        <v>8763</v>
      </c>
      <c r="L67" s="102">
        <v>6572250</v>
      </c>
      <c r="M67" s="98" t="s">
        <v>1184</v>
      </c>
      <c r="N67" s="98" t="s">
        <v>1162</v>
      </c>
      <c r="O67" s="103" t="s">
        <v>1163</v>
      </c>
      <c r="P67" s="104">
        <v>2511.3517191327228</v>
      </c>
      <c r="Q67" s="101">
        <v>2768263</v>
      </c>
      <c r="R67" s="106">
        <v>0.31</v>
      </c>
      <c r="S67" s="107" t="s">
        <v>1164</v>
      </c>
      <c r="T67" s="106">
        <v>5.4</v>
      </c>
      <c r="U67" s="101"/>
      <c r="V67" s="98" t="s">
        <v>1177</v>
      </c>
      <c r="W67" s="103" t="s">
        <v>1166</v>
      </c>
      <c r="X67" s="98" t="s">
        <v>1126</v>
      </c>
      <c r="Y67" s="103" t="s">
        <v>1166</v>
      </c>
      <c r="Z67" s="103" t="s">
        <v>1167</v>
      </c>
      <c r="AA67" s="98">
        <v>2009</v>
      </c>
      <c r="AB67" s="103"/>
      <c r="AC67" s="103"/>
      <c r="AD67" s="98" t="s">
        <v>1178</v>
      </c>
      <c r="AE67" s="103" t="s">
        <v>1169</v>
      </c>
      <c r="AF67" s="98">
        <v>2009</v>
      </c>
      <c r="AG67" s="98">
        <v>98</v>
      </c>
      <c r="AH67" s="103"/>
      <c r="AI67" s="103"/>
      <c r="AJ67" s="103"/>
      <c r="AK67" s="103"/>
      <c r="AL67" s="103"/>
      <c r="AM67" s="98" t="s">
        <v>1170</v>
      </c>
      <c r="AN67" s="103" t="s">
        <v>1171</v>
      </c>
      <c r="AO67" s="98"/>
      <c r="AP67" s="98"/>
      <c r="AQ67" s="108">
        <v>0.6</v>
      </c>
      <c r="AR67" s="108">
        <v>0.06</v>
      </c>
      <c r="AS67" s="108">
        <v>0.6</v>
      </c>
      <c r="AT67" s="108">
        <v>0.06</v>
      </c>
      <c r="AU67" s="98">
        <v>3</v>
      </c>
      <c r="AV67" s="98" t="s">
        <v>1179</v>
      </c>
      <c r="AW67" s="98">
        <v>0.1</v>
      </c>
      <c r="AX67" s="98">
        <v>0.3</v>
      </c>
      <c r="AY67" s="98">
        <v>0.56000000000000005</v>
      </c>
      <c r="AZ67" s="98">
        <v>0.3</v>
      </c>
      <c r="BA67" s="98">
        <v>0.3</v>
      </c>
      <c r="BB67" s="98">
        <v>0.56000000000000005</v>
      </c>
      <c r="BC67" s="103"/>
      <c r="BD67" s="103"/>
      <c r="BE67" s="103"/>
      <c r="BF67" s="103"/>
      <c r="BG67" s="103"/>
      <c r="BH67" s="103"/>
      <c r="BI67" s="103"/>
      <c r="BJ67" s="103"/>
      <c r="BK67" s="256" t="s">
        <v>1173</v>
      </c>
    </row>
    <row r="68" spans="1:63" x14ac:dyDescent="0.25">
      <c r="A68" s="97" t="s">
        <v>1219</v>
      </c>
      <c r="B68" s="199" t="s">
        <v>1181</v>
      </c>
      <c r="C68" s="97" t="s">
        <v>1222</v>
      </c>
      <c r="D68" s="98">
        <v>6180</v>
      </c>
      <c r="E68" s="98" t="s">
        <v>1223</v>
      </c>
      <c r="F68" s="98"/>
      <c r="G68" s="100">
        <v>800</v>
      </c>
      <c r="H68" s="80" t="s">
        <v>1160</v>
      </c>
      <c r="I68" s="98">
        <v>2009</v>
      </c>
      <c r="J68" s="98">
        <v>2000</v>
      </c>
      <c r="K68" s="101">
        <v>8763</v>
      </c>
      <c r="L68" s="102">
        <v>7010400</v>
      </c>
      <c r="M68" s="98" t="s">
        <v>1184</v>
      </c>
      <c r="N68" s="98" t="s">
        <v>1162</v>
      </c>
      <c r="O68" s="103" t="s">
        <v>1211</v>
      </c>
      <c r="P68" s="104">
        <v>4355.6708699990932</v>
      </c>
      <c r="Q68" s="105">
        <v>4801256</v>
      </c>
      <c r="R68" s="106">
        <v>1.08</v>
      </c>
      <c r="S68" s="107" t="s">
        <v>1224</v>
      </c>
      <c r="T68" s="106">
        <v>15.1</v>
      </c>
      <c r="U68" s="101">
        <v>37524284</v>
      </c>
      <c r="V68" s="98" t="s">
        <v>1177</v>
      </c>
      <c r="W68" s="103" t="s">
        <v>1166</v>
      </c>
      <c r="X68" s="98" t="s">
        <v>1126</v>
      </c>
      <c r="Y68" s="103" t="s">
        <v>1166</v>
      </c>
      <c r="Z68" s="103" t="s">
        <v>1167</v>
      </c>
      <c r="AA68" s="98">
        <v>2009</v>
      </c>
      <c r="AB68" s="103"/>
      <c r="AC68" s="103"/>
      <c r="AD68" s="98" t="s">
        <v>1178</v>
      </c>
      <c r="AE68" s="103" t="s">
        <v>1169</v>
      </c>
      <c r="AF68" s="98">
        <v>2009</v>
      </c>
      <c r="AG68" s="98">
        <v>98</v>
      </c>
      <c r="AH68" s="103"/>
      <c r="AI68" s="98" t="s">
        <v>1185</v>
      </c>
      <c r="AJ68" s="98">
        <v>2009</v>
      </c>
      <c r="AK68" s="98">
        <v>90</v>
      </c>
      <c r="AL68" s="103"/>
      <c r="AM68" s="98" t="s">
        <v>1170</v>
      </c>
      <c r="AN68" s="103" t="s">
        <v>1171</v>
      </c>
      <c r="AO68" s="98"/>
      <c r="AP68" s="98"/>
      <c r="AQ68" s="108">
        <v>0.6</v>
      </c>
      <c r="AR68" s="108">
        <v>0.06</v>
      </c>
      <c r="AS68" s="108">
        <v>0.6</v>
      </c>
      <c r="AT68" s="108">
        <v>0.06</v>
      </c>
      <c r="AU68" s="98">
        <v>1.2</v>
      </c>
      <c r="AV68" s="109" t="s">
        <v>1179</v>
      </c>
      <c r="AW68" s="98">
        <v>0.1</v>
      </c>
      <c r="AX68" s="98">
        <v>0.1</v>
      </c>
      <c r="AY68" s="98">
        <v>0.1</v>
      </c>
      <c r="AZ68" s="98">
        <v>0.1</v>
      </c>
      <c r="BA68" s="98">
        <v>0.1</v>
      </c>
      <c r="BB68" s="98">
        <v>0.1</v>
      </c>
      <c r="BC68" s="103"/>
      <c r="BD68" s="103"/>
      <c r="BE68" s="103"/>
      <c r="BF68" s="103"/>
      <c r="BG68" s="103"/>
      <c r="BH68" s="103"/>
      <c r="BI68" s="103"/>
      <c r="BJ68" s="103"/>
      <c r="BK68" s="256" t="s">
        <v>1225</v>
      </c>
    </row>
    <row r="69" spans="1:63" x14ac:dyDescent="0.25">
      <c r="A69" s="97" t="s">
        <v>1219</v>
      </c>
      <c r="B69" s="199" t="s">
        <v>1181</v>
      </c>
      <c r="C69" s="97" t="s">
        <v>1222</v>
      </c>
      <c r="D69" s="98">
        <v>6180</v>
      </c>
      <c r="E69" s="98" t="s">
        <v>1226</v>
      </c>
      <c r="F69" s="98"/>
      <c r="G69" s="100">
        <v>800</v>
      </c>
      <c r="H69" s="80" t="s">
        <v>1160</v>
      </c>
      <c r="I69" s="98">
        <v>2009</v>
      </c>
      <c r="J69" s="98">
        <v>2000</v>
      </c>
      <c r="K69" s="101">
        <v>8763</v>
      </c>
      <c r="L69" s="102">
        <v>7010400</v>
      </c>
      <c r="M69" s="98" t="s">
        <v>1184</v>
      </c>
      <c r="N69" s="98" t="s">
        <v>1162</v>
      </c>
      <c r="O69" s="103" t="s">
        <v>1211</v>
      </c>
      <c r="P69" s="104">
        <v>3091.1194774562282</v>
      </c>
      <c r="Q69" s="105">
        <v>3407341</v>
      </c>
      <c r="R69" s="106">
        <v>1.1399999999999999</v>
      </c>
      <c r="S69" s="107" t="s">
        <v>1224</v>
      </c>
      <c r="T69" s="106">
        <v>15.1</v>
      </c>
      <c r="U69" s="101">
        <v>65967364</v>
      </c>
      <c r="V69" s="98" t="s">
        <v>1177</v>
      </c>
      <c r="W69" s="103" t="s">
        <v>1166</v>
      </c>
      <c r="X69" s="98" t="s">
        <v>1126</v>
      </c>
      <c r="Y69" s="103" t="s">
        <v>1166</v>
      </c>
      <c r="Z69" s="103" t="s">
        <v>1167</v>
      </c>
      <c r="AA69" s="98">
        <v>2009</v>
      </c>
      <c r="AB69" s="103"/>
      <c r="AC69" s="103"/>
      <c r="AD69" s="98" t="s">
        <v>1178</v>
      </c>
      <c r="AE69" s="103" t="s">
        <v>1169</v>
      </c>
      <c r="AF69" s="98">
        <v>2009</v>
      </c>
      <c r="AG69" s="98">
        <v>98</v>
      </c>
      <c r="AH69" s="103"/>
      <c r="AI69" s="98" t="s">
        <v>1185</v>
      </c>
      <c r="AJ69" s="98">
        <v>2009</v>
      </c>
      <c r="AK69" s="98">
        <v>90</v>
      </c>
      <c r="AL69" s="103"/>
      <c r="AM69" s="98" t="s">
        <v>1170</v>
      </c>
      <c r="AN69" s="103" t="s">
        <v>1171</v>
      </c>
      <c r="AO69" s="98"/>
      <c r="AP69" s="98"/>
      <c r="AQ69" s="108">
        <v>0.6</v>
      </c>
      <c r="AR69" s="108">
        <v>0.06</v>
      </c>
      <c r="AS69" s="108">
        <v>0.6</v>
      </c>
      <c r="AT69" s="108">
        <v>0.06</v>
      </c>
      <c r="AU69" s="98">
        <v>1.2</v>
      </c>
      <c r="AV69" s="109" t="s">
        <v>1179</v>
      </c>
      <c r="AW69" s="98">
        <v>0.1</v>
      </c>
      <c r="AX69" s="98">
        <v>0.1</v>
      </c>
      <c r="AY69" s="98">
        <v>0.1</v>
      </c>
      <c r="AZ69" s="98">
        <v>0.1</v>
      </c>
      <c r="BA69" s="98">
        <v>0.1</v>
      </c>
      <c r="BB69" s="98">
        <v>0.1</v>
      </c>
      <c r="BC69" s="103"/>
      <c r="BD69" s="103"/>
      <c r="BE69" s="103"/>
      <c r="BF69" s="103"/>
      <c r="BG69" s="103"/>
      <c r="BH69" s="103"/>
      <c r="BI69" s="103"/>
      <c r="BJ69" s="103"/>
      <c r="BK69" s="256" t="s">
        <v>1225</v>
      </c>
    </row>
    <row r="70" spans="1:63" x14ac:dyDescent="0.25">
      <c r="A70" s="97" t="s">
        <v>1219</v>
      </c>
      <c r="B70" s="199" t="s">
        <v>1181</v>
      </c>
      <c r="C70" s="97" t="s">
        <v>1227</v>
      </c>
      <c r="D70" s="98">
        <v>6648</v>
      </c>
      <c r="E70" s="98" t="s">
        <v>1228</v>
      </c>
      <c r="F70" s="99"/>
      <c r="G70" s="100">
        <v>600</v>
      </c>
      <c r="H70" s="80" t="s">
        <v>1160</v>
      </c>
      <c r="I70" s="98">
        <v>2009</v>
      </c>
      <c r="J70" s="98">
        <v>2000</v>
      </c>
      <c r="K70" s="101">
        <v>8763</v>
      </c>
      <c r="L70" s="102">
        <v>5257800</v>
      </c>
      <c r="M70" s="98" t="s">
        <v>1184</v>
      </c>
      <c r="N70" s="98" t="s">
        <v>1162</v>
      </c>
      <c r="O70" s="103" t="s">
        <v>1211</v>
      </c>
      <c r="P70" s="104">
        <v>3036.2968338927699</v>
      </c>
      <c r="Q70" s="101">
        <v>3346910</v>
      </c>
      <c r="R70" s="106">
        <v>1.25</v>
      </c>
      <c r="S70" s="107" t="s">
        <v>1224</v>
      </c>
      <c r="T70" s="106">
        <v>23.6</v>
      </c>
      <c r="U70" s="101">
        <v>40051648</v>
      </c>
      <c r="V70" s="98" t="s">
        <v>1177</v>
      </c>
      <c r="W70" s="103" t="s">
        <v>1166</v>
      </c>
      <c r="X70" s="98" t="s">
        <v>1126</v>
      </c>
      <c r="Y70" s="103" t="s">
        <v>1166</v>
      </c>
      <c r="Z70" s="103" t="s">
        <v>1167</v>
      </c>
      <c r="AA70" s="98">
        <v>2009</v>
      </c>
      <c r="AB70" s="103"/>
      <c r="AC70" s="103"/>
      <c r="AD70" s="98" t="s">
        <v>1178</v>
      </c>
      <c r="AE70" s="103" t="s">
        <v>1169</v>
      </c>
      <c r="AF70" s="98">
        <v>2009</v>
      </c>
      <c r="AG70" s="98">
        <v>98</v>
      </c>
      <c r="AH70" s="103"/>
      <c r="AI70" s="103"/>
      <c r="AJ70" s="103"/>
      <c r="AK70" s="103"/>
      <c r="AL70" s="103"/>
      <c r="AM70" s="98" t="s">
        <v>1170</v>
      </c>
      <c r="AN70" s="103" t="s">
        <v>1171</v>
      </c>
      <c r="AO70" s="98"/>
      <c r="AP70" s="98"/>
      <c r="AQ70" s="108">
        <v>0.6</v>
      </c>
      <c r="AR70" s="108">
        <v>0.06</v>
      </c>
      <c r="AS70" s="108">
        <v>0.6</v>
      </c>
      <c r="AT70" s="108">
        <v>0.06</v>
      </c>
      <c r="AU70" s="98">
        <v>1.2</v>
      </c>
      <c r="AV70" s="98" t="s">
        <v>1179</v>
      </c>
      <c r="AW70" s="98">
        <v>0.1</v>
      </c>
      <c r="AX70" s="98">
        <v>0.3</v>
      </c>
      <c r="AY70" s="98">
        <v>0.56000000000000005</v>
      </c>
      <c r="AZ70" s="98">
        <v>0.3</v>
      </c>
      <c r="BA70" s="98">
        <v>0.3</v>
      </c>
      <c r="BB70" s="98">
        <v>0.56000000000000005</v>
      </c>
      <c r="BC70" s="103"/>
      <c r="BD70" s="103"/>
      <c r="BE70" s="103"/>
      <c r="BF70" s="103"/>
      <c r="BG70" s="103"/>
      <c r="BH70" s="103"/>
      <c r="BI70" s="103"/>
      <c r="BJ70" s="103"/>
      <c r="BK70" s="256" t="s">
        <v>1173</v>
      </c>
    </row>
    <row r="71" spans="1:63" x14ac:dyDescent="0.25">
      <c r="A71" s="97" t="s">
        <v>1229</v>
      </c>
      <c r="B71" s="199" t="s">
        <v>1191</v>
      </c>
      <c r="C71" s="97" t="s">
        <v>1230</v>
      </c>
      <c r="D71" s="98">
        <v>56068</v>
      </c>
      <c r="E71" s="98" t="s">
        <v>1209</v>
      </c>
      <c r="F71" s="98"/>
      <c r="G71" s="100">
        <v>617</v>
      </c>
      <c r="H71" s="80" t="s">
        <v>1160</v>
      </c>
      <c r="I71" s="98">
        <v>2009</v>
      </c>
      <c r="J71" s="98">
        <v>2000</v>
      </c>
      <c r="K71" s="101">
        <v>8850</v>
      </c>
      <c r="L71" s="102">
        <v>5460450</v>
      </c>
      <c r="M71" s="98" t="s">
        <v>1176</v>
      </c>
      <c r="N71" s="98" t="s">
        <v>1231</v>
      </c>
      <c r="O71" s="103" t="s">
        <v>1194</v>
      </c>
      <c r="P71" s="115"/>
      <c r="Q71" s="101"/>
      <c r="R71" s="106"/>
      <c r="S71" s="98"/>
      <c r="T71" s="106"/>
      <c r="U71" s="101">
        <v>22819790</v>
      </c>
      <c r="V71" s="98" t="s">
        <v>1232</v>
      </c>
      <c r="W71" s="103" t="s">
        <v>1166</v>
      </c>
      <c r="X71" s="98" t="s">
        <v>1126</v>
      </c>
      <c r="Y71" s="103" t="s">
        <v>1166</v>
      </c>
      <c r="Z71" s="103" t="s">
        <v>1167</v>
      </c>
      <c r="AA71" s="98">
        <v>2009</v>
      </c>
      <c r="AB71" s="103"/>
      <c r="AC71" s="103"/>
      <c r="AD71" s="98" t="s">
        <v>1178</v>
      </c>
      <c r="AE71" s="103" t="s">
        <v>1169</v>
      </c>
      <c r="AF71" s="98">
        <v>2009</v>
      </c>
      <c r="AG71" s="98">
        <v>98</v>
      </c>
      <c r="AH71" s="103"/>
      <c r="AI71" s="103"/>
      <c r="AJ71" s="103"/>
      <c r="AK71" s="103"/>
      <c r="AL71" s="103"/>
      <c r="AM71" s="98" t="s">
        <v>1170</v>
      </c>
      <c r="AN71" s="103" t="s">
        <v>1171</v>
      </c>
      <c r="AO71" s="98"/>
      <c r="AP71" s="98"/>
      <c r="AQ71" s="108">
        <v>0.6</v>
      </c>
      <c r="AR71" s="108">
        <v>0.06</v>
      </c>
      <c r="AS71" s="108">
        <v>0.6</v>
      </c>
      <c r="AT71" s="108">
        <v>0.06</v>
      </c>
      <c r="AU71" s="98">
        <v>0.15</v>
      </c>
      <c r="AV71" s="98" t="s">
        <v>1179</v>
      </c>
      <c r="AW71" s="98">
        <v>0.1</v>
      </c>
      <c r="AX71" s="98">
        <v>0.3</v>
      </c>
      <c r="AY71" s="98">
        <v>0.56000000000000005</v>
      </c>
      <c r="AZ71" s="98">
        <v>0.3</v>
      </c>
      <c r="BA71" s="98">
        <v>0.3</v>
      </c>
      <c r="BB71" s="98">
        <v>0.56000000000000005</v>
      </c>
      <c r="BC71" s="103"/>
      <c r="BD71" s="103"/>
      <c r="BE71" s="103"/>
      <c r="BF71" s="103"/>
      <c r="BG71" s="103"/>
      <c r="BH71" s="103"/>
      <c r="BI71" s="103"/>
      <c r="BJ71" s="103"/>
      <c r="BK71" s="256" t="s">
        <v>1225</v>
      </c>
    </row>
    <row r="72" spans="1:63" x14ac:dyDescent="0.25">
      <c r="A72" s="97" t="s">
        <v>1229</v>
      </c>
      <c r="B72" s="199" t="s">
        <v>1191</v>
      </c>
      <c r="C72" s="97" t="s">
        <v>1230</v>
      </c>
      <c r="D72" s="98">
        <v>56068</v>
      </c>
      <c r="E72" s="98" t="s">
        <v>1233</v>
      </c>
      <c r="F72" s="98"/>
      <c r="G72" s="100">
        <v>617</v>
      </c>
      <c r="H72" s="80" t="s">
        <v>1160</v>
      </c>
      <c r="I72" s="98">
        <v>2010</v>
      </c>
      <c r="J72" s="98">
        <v>2000</v>
      </c>
      <c r="K72" s="101">
        <v>8850</v>
      </c>
      <c r="L72" s="102">
        <v>5460450</v>
      </c>
      <c r="M72" s="98" t="s">
        <v>1176</v>
      </c>
      <c r="N72" s="98" t="s">
        <v>1231</v>
      </c>
      <c r="O72" s="103" t="s">
        <v>1194</v>
      </c>
      <c r="P72" s="115"/>
      <c r="Q72" s="101"/>
      <c r="R72" s="106"/>
      <c r="S72" s="98"/>
      <c r="T72" s="106"/>
      <c r="U72" s="101">
        <v>27166595</v>
      </c>
      <c r="V72" s="98" t="s">
        <v>1232</v>
      </c>
      <c r="W72" s="103" t="s">
        <v>1166</v>
      </c>
      <c r="X72" s="98" t="s">
        <v>1126</v>
      </c>
      <c r="Y72" s="103" t="s">
        <v>1166</v>
      </c>
      <c r="Z72" s="103" t="s">
        <v>1167</v>
      </c>
      <c r="AA72" s="98">
        <v>2010</v>
      </c>
      <c r="AB72" s="103"/>
      <c r="AC72" s="103"/>
      <c r="AD72" s="98" t="s">
        <v>1178</v>
      </c>
      <c r="AE72" s="103" t="s">
        <v>1169</v>
      </c>
      <c r="AF72" s="98">
        <v>2010</v>
      </c>
      <c r="AG72" s="98">
        <v>98</v>
      </c>
      <c r="AH72" s="103"/>
      <c r="AI72" s="103"/>
      <c r="AJ72" s="103"/>
      <c r="AK72" s="103"/>
      <c r="AL72" s="103"/>
      <c r="AM72" s="98" t="s">
        <v>1170</v>
      </c>
      <c r="AN72" s="103" t="s">
        <v>1171</v>
      </c>
      <c r="AO72" s="98"/>
      <c r="AP72" s="98"/>
      <c r="AQ72" s="108">
        <v>0.6</v>
      </c>
      <c r="AR72" s="108">
        <v>0.06</v>
      </c>
      <c r="AS72" s="108">
        <v>0.6</v>
      </c>
      <c r="AT72" s="108">
        <v>0.06</v>
      </c>
      <c r="AU72" s="98">
        <v>0.15</v>
      </c>
      <c r="AV72" s="98" t="s">
        <v>1179</v>
      </c>
      <c r="AW72" s="98">
        <v>0.1</v>
      </c>
      <c r="AX72" s="98">
        <v>0.3</v>
      </c>
      <c r="AY72" s="98">
        <v>0.56000000000000005</v>
      </c>
      <c r="AZ72" s="98">
        <v>0.3</v>
      </c>
      <c r="BA72" s="98">
        <v>0.3</v>
      </c>
      <c r="BB72" s="98">
        <v>0.56000000000000005</v>
      </c>
      <c r="BC72" s="103"/>
      <c r="BD72" s="103"/>
      <c r="BE72" s="103"/>
      <c r="BF72" s="103"/>
      <c r="BG72" s="103"/>
      <c r="BH72" s="103"/>
      <c r="BI72" s="103"/>
      <c r="BJ72" s="103"/>
      <c r="BK72" s="256" t="s">
        <v>1225</v>
      </c>
    </row>
    <row r="73" spans="1:63" x14ac:dyDescent="0.25">
      <c r="A73" s="97" t="s">
        <v>1229</v>
      </c>
      <c r="B73" s="199" t="s">
        <v>1191</v>
      </c>
      <c r="C73" s="97" t="s">
        <v>1234</v>
      </c>
      <c r="D73" s="98">
        <v>4078</v>
      </c>
      <c r="E73" s="98" t="s">
        <v>1174</v>
      </c>
      <c r="F73" s="98"/>
      <c r="G73" s="100">
        <v>519</v>
      </c>
      <c r="H73" s="80" t="s">
        <v>1160</v>
      </c>
      <c r="I73" s="98">
        <v>2008</v>
      </c>
      <c r="J73" s="98">
        <v>2000</v>
      </c>
      <c r="K73" s="101">
        <v>8763</v>
      </c>
      <c r="L73" s="102">
        <v>4547997</v>
      </c>
      <c r="M73" s="98" t="s">
        <v>1184</v>
      </c>
      <c r="N73" s="98" t="s">
        <v>1162</v>
      </c>
      <c r="O73" s="103" t="s">
        <v>1163</v>
      </c>
      <c r="P73" s="115">
        <v>1777.9488342556474</v>
      </c>
      <c r="Q73" s="101">
        <v>1959833</v>
      </c>
      <c r="R73" s="106">
        <v>0.34</v>
      </c>
      <c r="S73" s="107" t="s">
        <v>1164</v>
      </c>
      <c r="T73" s="106">
        <v>5.0999999999999996</v>
      </c>
      <c r="U73" s="101">
        <v>33222446</v>
      </c>
      <c r="V73" s="98" t="s">
        <v>1124</v>
      </c>
      <c r="W73" s="103" t="s">
        <v>1166</v>
      </c>
      <c r="X73" s="98" t="s">
        <v>1126</v>
      </c>
      <c r="Y73" s="103" t="s">
        <v>1166</v>
      </c>
      <c r="Z73" s="103" t="s">
        <v>1167</v>
      </c>
      <c r="AA73" s="98">
        <v>2008</v>
      </c>
      <c r="AB73" s="103"/>
      <c r="AC73" s="103"/>
      <c r="AD73" s="98" t="s">
        <v>1168</v>
      </c>
      <c r="AE73" s="103" t="s">
        <v>1169</v>
      </c>
      <c r="AF73" s="98">
        <v>2008</v>
      </c>
      <c r="AG73" s="98">
        <v>92</v>
      </c>
      <c r="AH73" s="103"/>
      <c r="AI73" s="98" t="s">
        <v>1185</v>
      </c>
      <c r="AJ73" s="98">
        <v>2008</v>
      </c>
      <c r="AK73" s="98">
        <v>90</v>
      </c>
      <c r="AL73" s="103"/>
      <c r="AM73" s="98" t="s">
        <v>841</v>
      </c>
      <c r="AN73" s="103" t="s">
        <v>1188</v>
      </c>
      <c r="AO73" s="98"/>
      <c r="AP73" s="98"/>
      <c r="AQ73" s="108">
        <v>0.6</v>
      </c>
      <c r="AR73" s="108">
        <v>0.06</v>
      </c>
      <c r="AS73" s="108">
        <v>0.6</v>
      </c>
      <c r="AT73" s="108">
        <v>0.06</v>
      </c>
      <c r="AU73" s="98">
        <v>1.1100000000000001</v>
      </c>
      <c r="AV73" s="98" t="s">
        <v>1189</v>
      </c>
      <c r="AW73" s="98">
        <v>0.1</v>
      </c>
      <c r="AX73" s="98">
        <v>0.1</v>
      </c>
      <c r="AY73" s="98">
        <v>0.1</v>
      </c>
      <c r="AZ73" s="98">
        <v>0.1</v>
      </c>
      <c r="BA73" s="98">
        <v>0.1</v>
      </c>
      <c r="BB73" s="98">
        <v>0.1</v>
      </c>
      <c r="BC73" s="103"/>
      <c r="BD73" s="103"/>
      <c r="BE73" s="103"/>
      <c r="BF73" s="103"/>
      <c r="BG73" s="103"/>
      <c r="BH73" s="103"/>
      <c r="BI73" s="103"/>
      <c r="BJ73" s="103"/>
      <c r="BK73" s="256" t="s">
        <v>1173</v>
      </c>
    </row>
    <row r="74" spans="1:63" s="116" customFormat="1" x14ac:dyDescent="0.25">
      <c r="A74" s="97" t="s">
        <v>887</v>
      </c>
      <c r="B74" s="199" t="s">
        <v>1157</v>
      </c>
      <c r="C74" s="97" t="s">
        <v>1235</v>
      </c>
      <c r="D74" s="98">
        <v>56319</v>
      </c>
      <c r="E74" s="98" t="s">
        <v>1174</v>
      </c>
      <c r="F74" s="99">
        <v>10100222</v>
      </c>
      <c r="G74" s="100">
        <v>90</v>
      </c>
      <c r="H74" s="117" t="s">
        <v>1210</v>
      </c>
      <c r="I74" s="98">
        <v>2007</v>
      </c>
      <c r="J74" s="98">
        <v>2000</v>
      </c>
      <c r="K74" s="101">
        <v>8763</v>
      </c>
      <c r="L74" s="102">
        <v>788670</v>
      </c>
      <c r="M74" s="98" t="s">
        <v>1176</v>
      </c>
      <c r="N74" s="98" t="s">
        <v>1162</v>
      </c>
      <c r="O74" s="103" t="s">
        <v>1163</v>
      </c>
      <c r="P74" s="115"/>
      <c r="Q74" s="101"/>
      <c r="R74" s="106"/>
      <c r="S74" s="98"/>
      <c r="T74" s="106"/>
      <c r="U74" s="101">
        <v>8692805</v>
      </c>
      <c r="V74" s="98" t="s">
        <v>1177</v>
      </c>
      <c r="W74" s="103" t="s">
        <v>1166</v>
      </c>
      <c r="X74" s="98" t="s">
        <v>1126</v>
      </c>
      <c r="Y74" s="103" t="s">
        <v>1166</v>
      </c>
      <c r="Z74" s="103" t="s">
        <v>1167</v>
      </c>
      <c r="AA74" s="98">
        <v>2007</v>
      </c>
      <c r="AB74" s="103"/>
      <c r="AC74" s="103"/>
      <c r="AD74" s="98" t="s">
        <v>1178</v>
      </c>
      <c r="AE74" s="103" t="s">
        <v>1169</v>
      </c>
      <c r="AF74" s="98">
        <v>2007</v>
      </c>
      <c r="AG74" s="98">
        <v>88.218234146341487</v>
      </c>
      <c r="AH74" s="103"/>
      <c r="AI74" s="103"/>
      <c r="AJ74" s="103"/>
      <c r="AK74" s="103"/>
      <c r="AL74" s="103"/>
      <c r="AM74" s="98" t="s">
        <v>1170</v>
      </c>
      <c r="AN74" s="103" t="s">
        <v>1171</v>
      </c>
      <c r="AO74" s="98"/>
      <c r="AP74" s="98"/>
      <c r="AQ74" s="108">
        <v>0.06</v>
      </c>
      <c r="AR74" s="108">
        <v>0.06</v>
      </c>
      <c r="AS74" s="108">
        <v>0.06</v>
      </c>
      <c r="AT74" s="108">
        <v>0.06</v>
      </c>
      <c r="AU74" s="98">
        <v>0.2</v>
      </c>
      <c r="AV74" s="98" t="s">
        <v>1179</v>
      </c>
      <c r="AW74" s="98">
        <v>0.1</v>
      </c>
      <c r="AX74" s="98">
        <v>0.3</v>
      </c>
      <c r="AY74" s="98">
        <v>0.56000000000000005</v>
      </c>
      <c r="AZ74" s="98">
        <v>0.3</v>
      </c>
      <c r="BA74" s="98">
        <v>0.3</v>
      </c>
      <c r="BB74" s="98">
        <v>0.56000000000000005</v>
      </c>
      <c r="BC74" s="103"/>
      <c r="BD74" s="103"/>
      <c r="BE74" s="103"/>
      <c r="BF74" s="103"/>
      <c r="BG74" s="103"/>
      <c r="BH74" s="103"/>
      <c r="BI74" s="103"/>
      <c r="BJ74" s="103"/>
      <c r="BK74" s="256" t="s">
        <v>1173</v>
      </c>
    </row>
    <row r="75" spans="1:63" x14ac:dyDescent="0.25">
      <c r="A75" s="97" t="s">
        <v>887</v>
      </c>
      <c r="B75" s="199" t="s">
        <v>1157</v>
      </c>
      <c r="C75" s="97" t="s">
        <v>1235</v>
      </c>
      <c r="D75" s="98">
        <v>56319</v>
      </c>
      <c r="E75" s="98" t="s">
        <v>1228</v>
      </c>
      <c r="F75" s="99">
        <v>10100222</v>
      </c>
      <c r="G75" s="100">
        <v>100</v>
      </c>
      <c r="H75" s="103" t="s">
        <v>1160</v>
      </c>
      <c r="I75" s="98">
        <v>2010</v>
      </c>
      <c r="J75" s="98">
        <v>2000</v>
      </c>
      <c r="K75" s="101">
        <v>8763</v>
      </c>
      <c r="L75" s="102">
        <v>876300</v>
      </c>
      <c r="M75" s="98" t="s">
        <v>1184</v>
      </c>
      <c r="N75" s="98" t="s">
        <v>1162</v>
      </c>
      <c r="O75" s="103" t="s">
        <v>1163</v>
      </c>
      <c r="P75" s="115"/>
      <c r="Q75" s="101"/>
      <c r="R75" s="106"/>
      <c r="S75" s="98"/>
      <c r="T75" s="106"/>
      <c r="U75" s="101">
        <v>8692805</v>
      </c>
      <c r="V75" s="98" t="s">
        <v>1124</v>
      </c>
      <c r="W75" s="103" t="s">
        <v>1166</v>
      </c>
      <c r="X75" s="98" t="s">
        <v>1126</v>
      </c>
      <c r="Y75" s="103" t="s">
        <v>1166</v>
      </c>
      <c r="Z75" s="103" t="s">
        <v>1167</v>
      </c>
      <c r="AA75" s="98">
        <v>2010</v>
      </c>
      <c r="AB75" s="103"/>
      <c r="AC75" s="103"/>
      <c r="AD75" s="98" t="s">
        <v>1178</v>
      </c>
      <c r="AE75" s="103" t="s">
        <v>1169</v>
      </c>
      <c r="AF75" s="98">
        <v>2010</v>
      </c>
      <c r="AG75" s="98">
        <v>88.218234146341487</v>
      </c>
      <c r="AH75" s="103"/>
      <c r="AI75" s="103"/>
      <c r="AJ75" s="103"/>
      <c r="AK75" s="103"/>
      <c r="AL75" s="103"/>
      <c r="AM75" s="98" t="s">
        <v>841</v>
      </c>
      <c r="AN75" s="103" t="s">
        <v>1188</v>
      </c>
      <c r="AO75" s="98"/>
      <c r="AP75" s="98"/>
      <c r="AQ75" s="108">
        <v>0.6</v>
      </c>
      <c r="AR75" s="108">
        <v>0.06</v>
      </c>
      <c r="AS75" s="108">
        <v>0.6</v>
      </c>
      <c r="AT75" s="108">
        <v>0.06</v>
      </c>
      <c r="AU75" s="98">
        <v>0.2</v>
      </c>
      <c r="AV75" s="98" t="s">
        <v>1236</v>
      </c>
      <c r="AW75" s="98">
        <v>0.1</v>
      </c>
      <c r="AX75" s="98">
        <v>0.27</v>
      </c>
      <c r="AY75" s="98">
        <v>0.56000000000000005</v>
      </c>
      <c r="AZ75" s="98">
        <v>0.1</v>
      </c>
      <c r="BA75" s="98">
        <v>0.27</v>
      </c>
      <c r="BB75" s="98">
        <v>0.56000000000000005</v>
      </c>
      <c r="BC75" s="103"/>
      <c r="BD75" s="103"/>
      <c r="BE75" s="103"/>
      <c r="BF75" s="103"/>
      <c r="BG75" s="103"/>
      <c r="BH75" s="103"/>
      <c r="BI75" s="103"/>
      <c r="BJ75" s="103"/>
      <c r="BK75" s="256" t="s">
        <v>1173</v>
      </c>
    </row>
    <row r="76" spans="1:63" x14ac:dyDescent="0.25">
      <c r="A76" s="97" t="s">
        <v>887</v>
      </c>
      <c r="B76" s="199" t="s">
        <v>1157</v>
      </c>
      <c r="C76" s="97" t="s">
        <v>1237</v>
      </c>
      <c r="D76" s="199" t="s">
        <v>1238</v>
      </c>
      <c r="E76" s="98"/>
      <c r="F76" s="98"/>
      <c r="G76" s="100">
        <v>300</v>
      </c>
      <c r="H76" s="80" t="s">
        <v>1160</v>
      </c>
      <c r="I76" s="98">
        <v>2009</v>
      </c>
      <c r="J76" s="98">
        <v>2000</v>
      </c>
      <c r="K76" s="101">
        <v>8763</v>
      </c>
      <c r="L76" s="118">
        <v>2628900</v>
      </c>
      <c r="M76" s="98" t="s">
        <v>1184</v>
      </c>
      <c r="N76" s="98" t="s">
        <v>1162</v>
      </c>
      <c r="O76" s="103" t="s">
        <v>1194</v>
      </c>
      <c r="P76" s="115"/>
      <c r="Q76" s="101"/>
      <c r="R76" s="119">
        <v>1</v>
      </c>
      <c r="S76" s="120" t="s">
        <v>1224</v>
      </c>
      <c r="T76" s="106"/>
      <c r="U76" s="101"/>
      <c r="V76" s="98" t="s">
        <v>1177</v>
      </c>
      <c r="W76" s="103" t="s">
        <v>1166</v>
      </c>
      <c r="X76" s="98" t="s">
        <v>1126</v>
      </c>
      <c r="Y76" s="103" t="s">
        <v>1166</v>
      </c>
      <c r="Z76" s="103" t="s">
        <v>1167</v>
      </c>
      <c r="AA76" s="98">
        <v>2009</v>
      </c>
      <c r="AB76" s="103"/>
      <c r="AC76" s="103"/>
      <c r="AD76" s="98" t="s">
        <v>1178</v>
      </c>
      <c r="AE76" s="103" t="s">
        <v>1169</v>
      </c>
      <c r="AF76" s="98">
        <v>2009</v>
      </c>
      <c r="AG76" s="98">
        <v>96</v>
      </c>
      <c r="AH76" s="103"/>
      <c r="AI76" s="103"/>
      <c r="AJ76" s="103"/>
      <c r="AK76" s="103"/>
      <c r="AL76" s="103"/>
      <c r="AM76" s="98" t="s">
        <v>1170</v>
      </c>
      <c r="AN76" s="103" t="s">
        <v>1171</v>
      </c>
      <c r="AO76" s="98"/>
      <c r="AP76" s="98"/>
      <c r="AQ76" s="108">
        <v>0.6</v>
      </c>
      <c r="AR76" s="108">
        <v>0.06</v>
      </c>
      <c r="AS76" s="108">
        <v>0.6</v>
      </c>
      <c r="AT76" s="108">
        <v>0.06</v>
      </c>
      <c r="AU76" s="98">
        <v>0.2</v>
      </c>
      <c r="AV76" s="98" t="s">
        <v>1179</v>
      </c>
      <c r="AW76" s="98">
        <v>0.1</v>
      </c>
      <c r="AX76" s="98">
        <v>0.3</v>
      </c>
      <c r="AY76" s="98">
        <v>0.56000000000000005</v>
      </c>
      <c r="AZ76" s="98">
        <v>0.3</v>
      </c>
      <c r="BA76" s="98">
        <v>0.3</v>
      </c>
      <c r="BB76" s="98">
        <v>0.56000000000000005</v>
      </c>
      <c r="BC76" s="103"/>
      <c r="BD76" s="103"/>
      <c r="BE76" s="103"/>
      <c r="BF76" s="103"/>
      <c r="BG76" s="103"/>
      <c r="BH76" s="103"/>
      <c r="BI76" s="103"/>
      <c r="BJ76" s="103"/>
      <c r="BK76" s="103" t="s">
        <v>1225</v>
      </c>
    </row>
    <row r="77" spans="1:63" x14ac:dyDescent="0.25">
      <c r="A77" s="97" t="s">
        <v>1239</v>
      </c>
      <c r="B77" s="199" t="s">
        <v>1181</v>
      </c>
      <c r="C77" s="97" t="s">
        <v>1240</v>
      </c>
      <c r="D77" s="110" t="s">
        <v>1241</v>
      </c>
      <c r="E77" s="98"/>
      <c r="F77" s="98"/>
      <c r="G77" s="100">
        <v>330</v>
      </c>
      <c r="H77" s="80" t="s">
        <v>1160</v>
      </c>
      <c r="I77" s="98">
        <v>2009</v>
      </c>
      <c r="J77" s="98">
        <v>2000</v>
      </c>
      <c r="K77" s="101">
        <v>8763</v>
      </c>
      <c r="L77" s="118">
        <v>2891790</v>
      </c>
      <c r="M77" s="98" t="s">
        <v>1242</v>
      </c>
      <c r="N77" s="98" t="s">
        <v>1162</v>
      </c>
      <c r="O77" s="103" t="s">
        <v>1194</v>
      </c>
      <c r="P77" s="115"/>
      <c r="Q77" s="101"/>
      <c r="R77" s="119">
        <v>1</v>
      </c>
      <c r="S77" s="120" t="s">
        <v>1224</v>
      </c>
      <c r="T77" s="106"/>
      <c r="U77" s="101"/>
      <c r="V77" s="103"/>
      <c r="W77" s="103" t="s">
        <v>1167</v>
      </c>
      <c r="X77" s="98" t="s">
        <v>1127</v>
      </c>
      <c r="Y77" s="103" t="s">
        <v>1167</v>
      </c>
      <c r="Z77" s="103" t="s">
        <v>1166</v>
      </c>
      <c r="AA77" s="103"/>
      <c r="AB77" s="98">
        <v>2009</v>
      </c>
      <c r="AC77" s="103"/>
      <c r="AD77" s="98" t="s">
        <v>1243</v>
      </c>
      <c r="AE77" s="103" t="s">
        <v>1169</v>
      </c>
      <c r="AF77" s="103"/>
      <c r="AG77" s="98">
        <v>91.6</v>
      </c>
      <c r="AH77" s="103"/>
      <c r="AI77" s="103"/>
      <c r="AJ77" s="103"/>
      <c r="AK77" s="103"/>
      <c r="AL77" s="103"/>
      <c r="AM77" s="98" t="s">
        <v>1170</v>
      </c>
      <c r="AN77" s="103" t="s">
        <v>1171</v>
      </c>
      <c r="AO77" s="98"/>
      <c r="AP77" s="98"/>
      <c r="AQ77" s="108">
        <v>9.2307691999999997E-2</v>
      </c>
      <c r="AR77" s="108">
        <v>0.06</v>
      </c>
      <c r="AS77" s="108">
        <v>9.2307691999999997E-2</v>
      </c>
      <c r="AT77" s="108">
        <v>4.6153845999999998E-2</v>
      </c>
      <c r="AU77" s="98">
        <v>1.2</v>
      </c>
      <c r="AV77" s="98" t="s">
        <v>1244</v>
      </c>
      <c r="AW77" s="98">
        <v>0.05</v>
      </c>
      <c r="AX77" s="98">
        <v>0.43</v>
      </c>
      <c r="AY77" s="98">
        <v>0.43</v>
      </c>
      <c r="AZ77" s="98">
        <v>0.05</v>
      </c>
      <c r="BA77" s="98">
        <v>0.43</v>
      </c>
      <c r="BB77" s="98">
        <v>0.43</v>
      </c>
      <c r="BC77" s="103"/>
      <c r="BD77" s="103"/>
      <c r="BE77" s="103"/>
      <c r="BF77" s="103"/>
      <c r="BG77" s="103"/>
      <c r="BH77" s="103"/>
      <c r="BI77" s="103"/>
      <c r="BJ77" s="103"/>
      <c r="BK77" s="103" t="s">
        <v>1173</v>
      </c>
    </row>
    <row r="78" spans="1:63" x14ac:dyDescent="0.25">
      <c r="A78" s="97" t="s">
        <v>1239</v>
      </c>
      <c r="B78" s="199" t="s">
        <v>1181</v>
      </c>
      <c r="C78" s="97" t="s">
        <v>1240</v>
      </c>
      <c r="D78" s="110" t="s">
        <v>1245</v>
      </c>
      <c r="E78" s="98"/>
      <c r="F78" s="98"/>
      <c r="G78" s="100">
        <v>330</v>
      </c>
      <c r="H78" s="80" t="s">
        <v>1160</v>
      </c>
      <c r="I78" s="98">
        <v>2009</v>
      </c>
      <c r="J78" s="98">
        <v>2000</v>
      </c>
      <c r="K78" s="101">
        <v>8763</v>
      </c>
      <c r="L78" s="118">
        <v>2891790</v>
      </c>
      <c r="M78" s="98" t="s">
        <v>1242</v>
      </c>
      <c r="N78" s="98" t="s">
        <v>1162</v>
      </c>
      <c r="O78" s="103" t="s">
        <v>1194</v>
      </c>
      <c r="P78" s="115"/>
      <c r="Q78" s="101"/>
      <c r="R78" s="119">
        <v>1</v>
      </c>
      <c r="S78" s="120" t="s">
        <v>1224</v>
      </c>
      <c r="T78" s="106"/>
      <c r="U78" s="101"/>
      <c r="V78" s="103"/>
      <c r="W78" s="103" t="s">
        <v>1167</v>
      </c>
      <c r="X78" s="98" t="s">
        <v>1127</v>
      </c>
      <c r="Y78" s="103" t="s">
        <v>1167</v>
      </c>
      <c r="Z78" s="103" t="s">
        <v>1166</v>
      </c>
      <c r="AA78" s="103"/>
      <c r="AB78" s="98">
        <v>2009</v>
      </c>
      <c r="AC78" s="103"/>
      <c r="AD78" s="98" t="s">
        <v>1243</v>
      </c>
      <c r="AE78" s="103" t="s">
        <v>1169</v>
      </c>
      <c r="AF78" s="103"/>
      <c r="AG78" s="98">
        <v>91.6</v>
      </c>
      <c r="AH78" s="103"/>
      <c r="AI78" s="103"/>
      <c r="AJ78" s="103"/>
      <c r="AK78" s="103"/>
      <c r="AL78" s="103"/>
      <c r="AM78" s="98" t="s">
        <v>1170</v>
      </c>
      <c r="AN78" s="103" t="s">
        <v>1171</v>
      </c>
      <c r="AO78" s="98"/>
      <c r="AP78" s="98"/>
      <c r="AQ78" s="108">
        <v>9.2307691999999997E-2</v>
      </c>
      <c r="AR78" s="108">
        <v>0.06</v>
      </c>
      <c r="AS78" s="108">
        <v>9.2307691999999997E-2</v>
      </c>
      <c r="AT78" s="108">
        <v>4.6153845999999998E-2</v>
      </c>
      <c r="AU78" s="98">
        <v>1.2</v>
      </c>
      <c r="AV78" s="98" t="s">
        <v>1244</v>
      </c>
      <c r="AW78" s="98">
        <v>0.05</v>
      </c>
      <c r="AX78" s="98">
        <v>0.43</v>
      </c>
      <c r="AY78" s="98">
        <v>0.43</v>
      </c>
      <c r="AZ78" s="98">
        <v>0.05</v>
      </c>
      <c r="BA78" s="98">
        <v>0.43</v>
      </c>
      <c r="BB78" s="98">
        <v>0.43</v>
      </c>
      <c r="BC78" s="103"/>
      <c r="BD78" s="103"/>
      <c r="BE78" s="103"/>
      <c r="BF78" s="103"/>
      <c r="BG78" s="103"/>
      <c r="BH78" s="103"/>
      <c r="BI78" s="103"/>
      <c r="BJ78" s="103"/>
      <c r="BK78" s="103" t="s">
        <v>1173</v>
      </c>
    </row>
    <row r="79" spans="1:63" x14ac:dyDescent="0.25">
      <c r="A79" s="97" t="s">
        <v>1246</v>
      </c>
      <c r="B79" s="199" t="s">
        <v>1191</v>
      </c>
      <c r="C79" s="97" t="s">
        <v>1247</v>
      </c>
      <c r="D79" s="110" t="s">
        <v>1248</v>
      </c>
      <c r="E79" s="98"/>
      <c r="F79" s="98"/>
      <c r="G79" s="100">
        <v>600</v>
      </c>
      <c r="H79" s="80" t="s">
        <v>1160</v>
      </c>
      <c r="I79" s="98">
        <v>2009</v>
      </c>
      <c r="J79" s="98">
        <v>2000</v>
      </c>
      <c r="K79" s="101">
        <v>7939</v>
      </c>
      <c r="L79" s="118">
        <v>4763400</v>
      </c>
      <c r="M79" s="103"/>
      <c r="N79" s="103"/>
      <c r="O79" s="103" t="s">
        <v>1194</v>
      </c>
      <c r="P79" s="112"/>
      <c r="Q79" s="113"/>
      <c r="R79" s="119">
        <v>1</v>
      </c>
      <c r="S79" s="120" t="s">
        <v>1224</v>
      </c>
      <c r="T79" s="121"/>
      <c r="U79" s="113"/>
      <c r="V79" s="98" t="s">
        <v>1249</v>
      </c>
      <c r="W79" s="103" t="s">
        <v>1167</v>
      </c>
      <c r="X79" s="103"/>
      <c r="Y79" s="103" t="s">
        <v>1167</v>
      </c>
      <c r="Z79" s="103" t="s">
        <v>1167</v>
      </c>
      <c r="AA79" s="103"/>
      <c r="AB79" s="103"/>
      <c r="AC79" s="103"/>
      <c r="AD79" s="103"/>
      <c r="AE79" s="103" t="s">
        <v>1250</v>
      </c>
      <c r="AF79" s="103"/>
      <c r="AG79" s="98">
        <v>99</v>
      </c>
      <c r="AH79" s="103"/>
      <c r="AI79" s="103"/>
      <c r="AJ79" s="103"/>
      <c r="AK79" s="103"/>
      <c r="AL79" s="103"/>
      <c r="AM79" s="103"/>
      <c r="AN79" s="103"/>
      <c r="AO79" s="103"/>
      <c r="AP79" s="103"/>
      <c r="AQ79" s="108">
        <v>6.6000000000000003E-2</v>
      </c>
      <c r="AR79" s="108">
        <v>6.6000000000000003E-2</v>
      </c>
      <c r="AS79" s="108">
        <v>6.6000000000000003E-2</v>
      </c>
      <c r="AT79" s="108">
        <v>6.6000000000000003E-2</v>
      </c>
      <c r="AU79" s="98">
        <v>0.78900000000000003</v>
      </c>
      <c r="AV79" s="103"/>
      <c r="AW79" s="98">
        <v>0.1</v>
      </c>
      <c r="AX79" s="98">
        <v>0.1</v>
      </c>
      <c r="AY79" s="98">
        <v>0.1</v>
      </c>
      <c r="AZ79" s="98">
        <v>0.1</v>
      </c>
      <c r="BA79" s="98">
        <v>0.1</v>
      </c>
      <c r="BB79" s="98">
        <v>0.1</v>
      </c>
      <c r="BC79" s="103"/>
      <c r="BD79" s="103"/>
      <c r="BE79" s="103"/>
      <c r="BF79" s="103"/>
      <c r="BG79" s="103"/>
      <c r="BH79" s="103"/>
      <c r="BI79" s="103"/>
      <c r="BJ79" s="103"/>
      <c r="BK79" s="103" t="s">
        <v>1173</v>
      </c>
    </row>
    <row r="80" spans="1:63" x14ac:dyDescent="0.25">
      <c r="A80" s="97" t="s">
        <v>1229</v>
      </c>
      <c r="B80" s="199" t="s">
        <v>1191</v>
      </c>
      <c r="C80" s="97" t="s">
        <v>1251</v>
      </c>
      <c r="D80" s="110" t="s">
        <v>1252</v>
      </c>
      <c r="E80" s="98"/>
      <c r="F80" s="98"/>
      <c r="G80" s="100">
        <v>30</v>
      </c>
      <c r="H80" s="117" t="s">
        <v>1210</v>
      </c>
      <c r="I80" s="98">
        <v>2006</v>
      </c>
      <c r="J80" s="98">
        <v>2000</v>
      </c>
      <c r="K80" s="101">
        <v>10330.885329999999</v>
      </c>
      <c r="L80" s="118">
        <v>309926.55989999999</v>
      </c>
      <c r="M80" s="98" t="s">
        <v>1242</v>
      </c>
      <c r="N80" s="98" t="s">
        <v>1162</v>
      </c>
      <c r="O80" s="103" t="s">
        <v>1194</v>
      </c>
      <c r="P80" s="115"/>
      <c r="Q80" s="101"/>
      <c r="R80" s="119">
        <v>1</v>
      </c>
      <c r="S80" s="120" t="s">
        <v>1224</v>
      </c>
      <c r="T80" s="106"/>
      <c r="U80" s="101"/>
      <c r="V80" s="103"/>
      <c r="W80" s="103" t="s">
        <v>1167</v>
      </c>
      <c r="X80" s="98" t="s">
        <v>1127</v>
      </c>
      <c r="Y80" s="103" t="s">
        <v>1167</v>
      </c>
      <c r="Z80" s="103" t="s">
        <v>1166</v>
      </c>
      <c r="AA80" s="103"/>
      <c r="AB80" s="98">
        <v>2006</v>
      </c>
      <c r="AC80" s="103"/>
      <c r="AD80" s="98" t="s">
        <v>1243</v>
      </c>
      <c r="AE80" s="103" t="s">
        <v>1169</v>
      </c>
      <c r="AF80" s="103"/>
      <c r="AG80" s="98">
        <v>91.6</v>
      </c>
      <c r="AH80" s="103"/>
      <c r="AI80" s="103"/>
      <c r="AJ80" s="103"/>
      <c r="AK80" s="103"/>
      <c r="AL80" s="103"/>
      <c r="AM80" s="98" t="s">
        <v>1170</v>
      </c>
      <c r="AN80" s="103" t="s">
        <v>1171</v>
      </c>
      <c r="AO80" s="98"/>
      <c r="AP80" s="98"/>
      <c r="AQ80" s="108">
        <v>9.2700000000000005E-2</v>
      </c>
      <c r="AR80" s="108">
        <v>6.0255000000000003E-2</v>
      </c>
      <c r="AS80" s="108">
        <v>9.2700000000000005E-2</v>
      </c>
      <c r="AT80" s="108">
        <v>4.6350000000000002E-2</v>
      </c>
      <c r="AU80" s="98">
        <v>0.3</v>
      </c>
      <c r="AV80" s="98" t="s">
        <v>1244</v>
      </c>
      <c r="AW80" s="98">
        <v>0.05</v>
      </c>
      <c r="AX80" s="98">
        <v>0.43</v>
      </c>
      <c r="AY80" s="98">
        <v>0.43</v>
      </c>
      <c r="AZ80" s="98">
        <v>0.05</v>
      </c>
      <c r="BA80" s="98">
        <v>0.43</v>
      </c>
      <c r="BB80" s="98">
        <v>0.43</v>
      </c>
      <c r="BC80" s="103"/>
      <c r="BD80" s="103"/>
      <c r="BE80" s="103"/>
      <c r="BF80" s="103"/>
      <c r="BG80" s="103"/>
      <c r="BH80" s="103"/>
      <c r="BI80" s="103"/>
      <c r="BJ80" s="103"/>
      <c r="BK80" s="103" t="s">
        <v>1173</v>
      </c>
    </row>
    <row r="82" spans="1:1" x14ac:dyDescent="0.25">
      <c r="A82" s="122" t="s">
        <v>1253</v>
      </c>
    </row>
    <row r="83" spans="1:1" x14ac:dyDescent="0.25">
      <c r="A83" s="122" t="s">
        <v>1254</v>
      </c>
    </row>
    <row r="84" spans="1:1" x14ac:dyDescent="0.25">
      <c r="A84" s="122" t="s">
        <v>1255</v>
      </c>
    </row>
  </sheetData>
  <mergeCells count="10">
    <mergeCell ref="AM52:AP52"/>
    <mergeCell ref="AQ52:AT52"/>
    <mergeCell ref="AV52:BB52"/>
    <mergeCell ref="BC52:BJ52"/>
    <mergeCell ref="A52:B52"/>
    <mergeCell ref="C52:N52"/>
    <mergeCell ref="O52:U52"/>
    <mergeCell ref="V52:AC52"/>
    <mergeCell ref="AD52:AH52"/>
    <mergeCell ref="AI52:AL52"/>
  </mergeCells>
  <phoneticPr fontId="29" type="noConversion"/>
  <pageMargins left="0.75" right="0.75" top="1" bottom="1" header="0.5" footer="0.5"/>
  <pageSetup orientation="portrait" horizontalDpi="300" verticalDpi="300" r:id="rId1"/>
  <headerFooter alignWithMargins="0"/>
  <legacy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CB75E-3AC1-47A0-B2A1-96C1FA46EF09}">
  <sheetPr>
    <pageSetUpPr fitToPage="1"/>
  </sheetPr>
  <dimension ref="A1:AS33"/>
  <sheetViews>
    <sheetView workbookViewId="0">
      <selection activeCell="A26" sqref="A26"/>
    </sheetView>
  </sheetViews>
  <sheetFormatPr defaultRowHeight="14.5" x14ac:dyDescent="0.35"/>
  <cols>
    <col min="1" max="1" width="32.26953125" customWidth="1"/>
    <col min="2" max="2" width="8.453125" customWidth="1"/>
    <col min="3" max="3" width="8.7265625" customWidth="1"/>
    <col min="4" max="4" width="9.26953125" customWidth="1"/>
    <col min="5" max="5" width="8.7265625" customWidth="1"/>
    <col min="6" max="7" width="8.54296875" customWidth="1"/>
    <col min="8" max="8" width="8.453125" customWidth="1"/>
    <col min="9" max="9" width="9.54296875" customWidth="1"/>
    <col min="10" max="10" width="9.1796875" customWidth="1"/>
    <col min="11" max="11" width="9.54296875" customWidth="1"/>
    <col min="12" max="12" width="10.26953125" customWidth="1"/>
    <col min="13" max="14" width="9.7265625" customWidth="1"/>
    <col min="15" max="15" width="9.453125" customWidth="1"/>
    <col min="16" max="16" width="9.1796875" customWidth="1"/>
    <col min="17" max="19" width="9.26953125" customWidth="1"/>
    <col min="20" max="20" width="9.54296875" customWidth="1"/>
    <col min="21" max="21" width="9.453125" customWidth="1"/>
    <col min="22" max="22" width="10" customWidth="1"/>
    <col min="23" max="23" width="9.7265625" customWidth="1"/>
    <col min="24" max="25" width="10.26953125" customWidth="1"/>
    <col min="26" max="26" width="9.7265625" customWidth="1"/>
  </cols>
  <sheetData>
    <row r="1" spans="1:45" x14ac:dyDescent="0.35">
      <c r="A1" t="s">
        <v>1256</v>
      </c>
    </row>
    <row r="2" spans="1:45" x14ac:dyDescent="0.35">
      <c r="A2" t="s">
        <v>1257</v>
      </c>
    </row>
    <row r="3" spans="1:45" x14ac:dyDescent="0.35">
      <c r="A3" t="s">
        <v>1258</v>
      </c>
    </row>
    <row r="4" spans="1:45" ht="15" thickBot="1" x14ac:dyDescent="0.4">
      <c r="A4" s="139" t="s">
        <v>916</v>
      </c>
      <c r="B4" s="139" t="s">
        <v>1259</v>
      </c>
      <c r="C4" s="139" t="s">
        <v>1260</v>
      </c>
      <c r="D4" s="139" t="s">
        <v>1261</v>
      </c>
      <c r="E4" s="139" t="s">
        <v>1262</v>
      </c>
      <c r="F4" s="139" t="s">
        <v>1263</v>
      </c>
      <c r="G4" s="139" t="s">
        <v>1264</v>
      </c>
      <c r="H4" s="139" t="s">
        <v>1265</v>
      </c>
      <c r="I4" s="139" t="s">
        <v>1266</v>
      </c>
      <c r="J4" s="139" t="s">
        <v>1267</v>
      </c>
      <c r="K4" s="139" t="s">
        <v>1268</v>
      </c>
      <c r="L4" s="139" t="s">
        <v>1269</v>
      </c>
      <c r="M4" s="139" t="s">
        <v>1270</v>
      </c>
      <c r="N4" s="139" t="s">
        <v>1271</v>
      </c>
      <c r="O4" s="139" t="s">
        <v>1272</v>
      </c>
      <c r="P4" s="139" t="s">
        <v>1273</v>
      </c>
      <c r="Q4" s="139" t="s">
        <v>1274</v>
      </c>
      <c r="R4" s="139" t="s">
        <v>1275</v>
      </c>
      <c r="S4" s="139" t="s">
        <v>1276</v>
      </c>
      <c r="T4" s="139" t="s">
        <v>1277</v>
      </c>
      <c r="U4" s="139" t="s">
        <v>1278</v>
      </c>
      <c r="V4" s="139" t="s">
        <v>1279</v>
      </c>
      <c r="W4" s="139" t="s">
        <v>1280</v>
      </c>
      <c r="X4" s="139" t="s">
        <v>1281</v>
      </c>
      <c r="Y4" s="139" t="s">
        <v>1282</v>
      </c>
      <c r="Z4" s="139" t="s">
        <v>1283</v>
      </c>
    </row>
    <row r="5" spans="1:45" ht="17.25" customHeight="1" thickTop="1" x14ac:dyDescent="0.35">
      <c r="A5" s="136" t="s">
        <v>926</v>
      </c>
      <c r="B5" s="133">
        <v>4188.4584960000002</v>
      </c>
      <c r="C5" s="133">
        <v>4311.0517579999996</v>
      </c>
      <c r="D5" s="133">
        <v>4711.1030270000001</v>
      </c>
      <c r="E5" s="133">
        <v>4835.0029299999997</v>
      </c>
      <c r="F5" s="133">
        <v>4891.5678710000002</v>
      </c>
      <c r="G5" s="133">
        <v>4334.1879879999997</v>
      </c>
      <c r="H5" s="133">
        <v>5222.2392579999996</v>
      </c>
      <c r="I5" s="133" t="s">
        <v>14</v>
      </c>
      <c r="J5" s="133">
        <v>5104.3037109999996</v>
      </c>
      <c r="K5" s="133">
        <v>5269.3388670000004</v>
      </c>
      <c r="L5" s="133">
        <v>4495.0922849999997</v>
      </c>
      <c r="M5" s="133">
        <v>5663.8608400000003</v>
      </c>
      <c r="N5" s="133">
        <v>4850.5532229999999</v>
      </c>
      <c r="O5" s="133">
        <v>4336.591797</v>
      </c>
      <c r="P5" s="133">
        <v>4401.1938479999999</v>
      </c>
      <c r="Q5" s="133">
        <v>4460.0117190000001</v>
      </c>
      <c r="R5" s="133">
        <v>4366.0385740000002</v>
      </c>
      <c r="S5" s="133">
        <v>4638.2680659999996</v>
      </c>
      <c r="T5" s="133">
        <v>4415.1660160000001</v>
      </c>
      <c r="U5" s="133">
        <v>4600.1835940000001</v>
      </c>
      <c r="V5" s="133" t="s">
        <v>14</v>
      </c>
      <c r="W5" s="133" t="s">
        <v>14</v>
      </c>
      <c r="X5" s="133">
        <v>4873.8774409999996</v>
      </c>
      <c r="Y5" s="133">
        <v>4556.2387699999999</v>
      </c>
      <c r="Z5" s="133">
        <v>4753.5</v>
      </c>
      <c r="AD5" s="130"/>
      <c r="AE5" s="130"/>
      <c r="AF5" s="130"/>
      <c r="AG5" s="130"/>
      <c r="AH5" s="130"/>
      <c r="AI5" s="130"/>
      <c r="AJ5" s="130"/>
      <c r="AK5" s="130"/>
      <c r="AL5" s="130"/>
      <c r="AM5" s="130"/>
      <c r="AN5" s="130"/>
      <c r="AO5" s="130"/>
      <c r="AP5" s="130"/>
      <c r="AQ5" s="130"/>
      <c r="AR5" s="130"/>
      <c r="AS5" s="130"/>
    </row>
    <row r="6" spans="1:45" ht="17.25" customHeight="1" x14ac:dyDescent="0.35">
      <c r="A6" s="136" t="s">
        <v>1284</v>
      </c>
      <c r="B6" s="133">
        <v>5280.8881840000004</v>
      </c>
      <c r="C6" s="133">
        <v>5420.5419920000004</v>
      </c>
      <c r="D6" s="133">
        <v>5852.3559569999998</v>
      </c>
      <c r="E6" s="133">
        <v>6010.6723629999997</v>
      </c>
      <c r="F6" s="133">
        <v>6058.2534180000002</v>
      </c>
      <c r="G6" s="133">
        <v>5455.5585940000001</v>
      </c>
      <c r="H6" s="133">
        <v>6463.2075199999999</v>
      </c>
      <c r="I6" s="133" t="s">
        <v>14</v>
      </c>
      <c r="J6" s="133">
        <v>6333.8530270000001</v>
      </c>
      <c r="K6" s="133">
        <v>6503.7856449999999</v>
      </c>
      <c r="L6" s="133">
        <v>5631.8764650000003</v>
      </c>
      <c r="M6" s="133">
        <v>6914.0952150000003</v>
      </c>
      <c r="N6" s="133">
        <v>6054.5458980000003</v>
      </c>
      <c r="O6" s="133">
        <v>5459.6777339999999</v>
      </c>
      <c r="P6" s="133">
        <v>5511.3784180000002</v>
      </c>
      <c r="Q6" s="133">
        <v>5592.9462890000004</v>
      </c>
      <c r="R6" s="133">
        <v>5474.9204099999997</v>
      </c>
      <c r="S6" s="133">
        <v>5777.7094729999999</v>
      </c>
      <c r="T6" s="133">
        <v>5526.2094729999999</v>
      </c>
      <c r="U6" s="133">
        <v>5764.732422</v>
      </c>
      <c r="V6" s="133" t="s">
        <v>14</v>
      </c>
      <c r="W6" s="133" t="s">
        <v>14</v>
      </c>
      <c r="X6" s="133">
        <v>6058.5620120000003</v>
      </c>
      <c r="Y6" s="133">
        <v>5703.5576170000004</v>
      </c>
      <c r="Z6" s="133">
        <v>5918.1875</v>
      </c>
      <c r="AD6" s="130"/>
      <c r="AE6" s="130"/>
      <c r="AF6" s="130"/>
      <c r="AG6" s="130"/>
      <c r="AH6" s="130"/>
      <c r="AI6" s="130"/>
      <c r="AJ6" s="130"/>
      <c r="AK6" s="130"/>
      <c r="AL6" s="130"/>
      <c r="AM6" s="130"/>
      <c r="AN6" s="130"/>
      <c r="AO6" s="130"/>
      <c r="AP6" s="130"/>
    </row>
    <row r="7" spans="1:45" ht="17.25" customHeight="1" x14ac:dyDescent="0.35">
      <c r="A7" s="136" t="s">
        <v>928</v>
      </c>
      <c r="B7" s="133">
        <v>6907.1010740000002</v>
      </c>
      <c r="C7" s="133">
        <v>7083.1264650000003</v>
      </c>
      <c r="D7" s="133">
        <v>7557.7749020000001</v>
      </c>
      <c r="E7" s="133">
        <v>7812.4819340000004</v>
      </c>
      <c r="F7" s="133">
        <v>7819.8012699999999</v>
      </c>
      <c r="G7" s="133">
        <v>7151.560547</v>
      </c>
      <c r="H7" s="133">
        <v>8280.5429690000001</v>
      </c>
      <c r="I7" s="133" t="s">
        <v>14</v>
      </c>
      <c r="J7" s="133">
        <v>8067.9208980000003</v>
      </c>
      <c r="K7" s="133">
        <v>8294.3271480000003</v>
      </c>
      <c r="L7" s="133">
        <v>7292.3325199999999</v>
      </c>
      <c r="M7" s="133">
        <v>8831.3095699999994</v>
      </c>
      <c r="N7" s="133">
        <v>7750.2690430000002</v>
      </c>
      <c r="O7" s="133">
        <v>7164.9799800000001</v>
      </c>
      <c r="P7" s="133">
        <v>7227.6801759999998</v>
      </c>
      <c r="Q7" s="133">
        <v>7313.314453</v>
      </c>
      <c r="R7" s="133">
        <v>7126.6752930000002</v>
      </c>
      <c r="S7" s="133">
        <v>7488.6083980000003</v>
      </c>
      <c r="T7" s="133">
        <v>7177.9101559999999</v>
      </c>
      <c r="U7" s="133">
        <v>7465.5527339999999</v>
      </c>
      <c r="V7" s="133" t="s">
        <v>14</v>
      </c>
      <c r="W7" s="133" t="s">
        <v>14</v>
      </c>
      <c r="X7" s="133">
        <v>7832.7924800000001</v>
      </c>
      <c r="Y7" s="133">
        <v>7355.3999020000001</v>
      </c>
      <c r="Z7" s="133">
        <v>7696.595703</v>
      </c>
      <c r="AD7" s="130"/>
      <c r="AE7" s="130"/>
      <c r="AF7" s="130"/>
      <c r="AG7" s="130"/>
      <c r="AH7" s="130"/>
      <c r="AI7" s="130"/>
      <c r="AJ7" s="130"/>
      <c r="AK7" s="130"/>
      <c r="AL7" s="130"/>
      <c r="AM7" s="130"/>
      <c r="AN7" s="130"/>
      <c r="AO7" s="130"/>
      <c r="AP7" s="130"/>
    </row>
    <row r="8" spans="1:45" x14ac:dyDescent="0.35">
      <c r="A8" s="136" t="s">
        <v>1285</v>
      </c>
      <c r="B8" s="133">
        <v>1200.2700199999999</v>
      </c>
      <c r="C8" s="133">
        <v>1224.7933350000001</v>
      </c>
      <c r="D8" s="133">
        <v>1366.1701660000001</v>
      </c>
      <c r="E8" s="133">
        <v>1378.7803960000001</v>
      </c>
      <c r="F8" s="133">
        <v>1413.5928960000001</v>
      </c>
      <c r="G8" s="133">
        <v>1235.6129149999999</v>
      </c>
      <c r="H8" s="133">
        <v>1594.326172</v>
      </c>
      <c r="I8" s="133">
        <v>2115.6118160000001</v>
      </c>
      <c r="J8" s="133">
        <v>1598.6126710000001</v>
      </c>
      <c r="K8" s="133">
        <v>1596.9528809999999</v>
      </c>
      <c r="L8" s="133">
        <v>1324.360962</v>
      </c>
      <c r="M8" s="133">
        <v>1599.8222659999999</v>
      </c>
      <c r="N8" s="133">
        <v>1523.955933</v>
      </c>
      <c r="O8" s="133">
        <v>1220.3077390000001</v>
      </c>
      <c r="P8" s="133">
        <v>1234.8443600000001</v>
      </c>
      <c r="Q8" s="133">
        <v>1272.710327</v>
      </c>
      <c r="R8" s="133">
        <v>1233.7032469999999</v>
      </c>
      <c r="S8" s="133">
        <v>1309.485107</v>
      </c>
      <c r="T8" s="133">
        <v>1222.0150149999999</v>
      </c>
      <c r="U8" s="133">
        <v>1200.8405760000001</v>
      </c>
      <c r="V8" s="133">
        <v>1759.1102289999999</v>
      </c>
      <c r="W8" s="133">
        <v>1718.6936040000001</v>
      </c>
      <c r="X8" s="133">
        <v>1398.502563</v>
      </c>
      <c r="Y8" s="133">
        <v>1132.0482179999999</v>
      </c>
      <c r="Z8" s="133">
        <v>1223.951538</v>
      </c>
      <c r="AD8" s="130"/>
      <c r="AE8" s="130"/>
      <c r="AF8" s="130"/>
      <c r="AG8" s="130"/>
      <c r="AH8" s="130"/>
      <c r="AI8" s="130"/>
      <c r="AJ8" s="130"/>
      <c r="AK8" s="130"/>
      <c r="AL8" s="130"/>
      <c r="AM8" s="130"/>
      <c r="AN8" s="130"/>
      <c r="AO8" s="130"/>
      <c r="AP8" s="130"/>
    </row>
    <row r="9" spans="1:45" x14ac:dyDescent="0.35">
      <c r="A9" s="136" t="s">
        <v>1286</v>
      </c>
      <c r="B9" s="133">
        <v>1045.0981449999999</v>
      </c>
      <c r="C9" s="133">
        <v>1071.58313</v>
      </c>
      <c r="D9" s="133">
        <v>1215.2729489999999</v>
      </c>
      <c r="E9" s="133">
        <v>1236.4064940000001</v>
      </c>
      <c r="F9" s="133">
        <v>1268.2749020000001</v>
      </c>
      <c r="G9" s="133">
        <v>1083.723755</v>
      </c>
      <c r="H9" s="133">
        <v>1393.4038089999999</v>
      </c>
      <c r="I9" s="133">
        <v>1908.643433</v>
      </c>
      <c r="J9" s="133">
        <v>1370.182129</v>
      </c>
      <c r="K9" s="133">
        <v>1400.7891850000001</v>
      </c>
      <c r="L9" s="133">
        <v>1147.048462</v>
      </c>
      <c r="M9" s="133">
        <v>1469.039673</v>
      </c>
      <c r="N9" s="133">
        <v>1295.302856</v>
      </c>
      <c r="O9" s="133">
        <v>1070.9542240000001</v>
      </c>
      <c r="P9" s="133">
        <v>1084.902832</v>
      </c>
      <c r="Q9" s="133">
        <v>1123.8588870000001</v>
      </c>
      <c r="R9" s="133">
        <v>1082.950562</v>
      </c>
      <c r="S9" s="133">
        <v>1162.9916989999999</v>
      </c>
      <c r="T9" s="133">
        <v>1074.036499</v>
      </c>
      <c r="U9" s="133">
        <v>1034.11499</v>
      </c>
      <c r="V9" s="133">
        <v>1546.6800539999999</v>
      </c>
      <c r="W9" s="133">
        <v>1504.3134769999999</v>
      </c>
      <c r="X9" s="133">
        <v>1213.010986</v>
      </c>
      <c r="Y9" s="133">
        <v>973.56219499999997</v>
      </c>
      <c r="Z9" s="133">
        <v>1092.1441649999999</v>
      </c>
      <c r="AD9" s="130"/>
      <c r="AE9" s="130"/>
      <c r="AF9" s="130"/>
      <c r="AG9" s="130"/>
      <c r="AH9" s="130"/>
      <c r="AI9" s="130"/>
      <c r="AJ9" s="130"/>
      <c r="AK9" s="130"/>
      <c r="AL9" s="130"/>
      <c r="AM9" s="130"/>
      <c r="AN9" s="130"/>
      <c r="AO9" s="130"/>
      <c r="AP9" s="130"/>
    </row>
    <row r="10" spans="1:45" x14ac:dyDescent="0.35">
      <c r="A10" s="136" t="s">
        <v>1287</v>
      </c>
      <c r="B10" s="133">
        <v>2944.7216800000001</v>
      </c>
      <c r="C10" s="133">
        <v>2971.8154300000001</v>
      </c>
      <c r="D10" s="133">
        <v>3175.172607</v>
      </c>
      <c r="E10" s="133">
        <v>3182.2841800000001</v>
      </c>
      <c r="F10" s="133">
        <v>3231.0595699999999</v>
      </c>
      <c r="G10" s="133">
        <v>2999.4262699999999</v>
      </c>
      <c r="H10" s="133">
        <v>3334.4594729999999</v>
      </c>
      <c r="I10" s="133">
        <v>3776.4067380000001</v>
      </c>
      <c r="J10" s="133">
        <v>3258.4179690000001</v>
      </c>
      <c r="K10" s="133">
        <v>3306.6672359999998</v>
      </c>
      <c r="L10" s="133">
        <v>3041.2456050000001</v>
      </c>
      <c r="M10" s="133">
        <v>3447.099365</v>
      </c>
      <c r="N10" s="133">
        <v>3167.9592290000001</v>
      </c>
      <c r="O10" s="133">
        <v>2962.0437010000001</v>
      </c>
      <c r="P10" s="133">
        <v>2977.3645019999999</v>
      </c>
      <c r="Q10" s="133">
        <v>3044.452393</v>
      </c>
      <c r="R10" s="133">
        <v>2966.2290039999998</v>
      </c>
      <c r="S10" s="133">
        <v>3065.2128910000001</v>
      </c>
      <c r="T10" s="133">
        <v>2921.3747560000002</v>
      </c>
      <c r="U10" s="133">
        <v>2702.1254880000001</v>
      </c>
      <c r="V10" s="133">
        <v>3388.8256839999999</v>
      </c>
      <c r="W10" s="133">
        <v>3351.016357</v>
      </c>
      <c r="X10" s="133">
        <v>3126.1545409999999</v>
      </c>
      <c r="Y10" s="133">
        <v>2541.460693</v>
      </c>
      <c r="Z10" s="133">
        <v>2853.6997070000002</v>
      </c>
      <c r="AD10" s="130"/>
      <c r="AE10" s="130"/>
      <c r="AF10" s="130"/>
      <c r="AG10" s="130"/>
      <c r="AH10" s="130"/>
      <c r="AI10" s="130"/>
      <c r="AJ10" s="130"/>
      <c r="AK10" s="130"/>
      <c r="AL10" s="130"/>
      <c r="AM10" s="130"/>
      <c r="AN10" s="130"/>
      <c r="AO10" s="130"/>
      <c r="AP10" s="130"/>
    </row>
    <row r="11" spans="1:45" x14ac:dyDescent="0.35">
      <c r="A11" s="136" t="s">
        <v>932</v>
      </c>
      <c r="B11" s="133">
        <v>2106.0859380000002</v>
      </c>
      <c r="C11" s="133">
        <v>2152.4890140000002</v>
      </c>
      <c r="D11" s="133">
        <v>2300.1127929999998</v>
      </c>
      <c r="E11" s="133">
        <v>2391.3103030000002</v>
      </c>
      <c r="F11" s="133">
        <v>2365.3249510000001</v>
      </c>
      <c r="G11" s="133">
        <v>2181.9807129999999</v>
      </c>
      <c r="H11" s="133">
        <v>2451.1188959999999</v>
      </c>
      <c r="I11" s="133">
        <v>3072.5092770000001</v>
      </c>
      <c r="J11" s="133">
        <v>2358.5190429999998</v>
      </c>
      <c r="K11" s="133">
        <v>2451.7377929999998</v>
      </c>
      <c r="L11" s="133">
        <v>2196.8295899999998</v>
      </c>
      <c r="M11" s="133">
        <v>2672.8234859999998</v>
      </c>
      <c r="N11" s="133">
        <v>2281.798828</v>
      </c>
      <c r="O11" s="133">
        <v>2193.9423830000001</v>
      </c>
      <c r="P11" s="133">
        <v>2199.5107419999999</v>
      </c>
      <c r="Q11" s="133">
        <v>2237.8706050000001</v>
      </c>
      <c r="R11" s="133">
        <v>2177.8559570000002</v>
      </c>
      <c r="S11" s="133">
        <v>2295.4106449999999</v>
      </c>
      <c r="T11" s="133">
        <v>2199.5107419999999</v>
      </c>
      <c r="U11" s="133">
        <v>2220.546875</v>
      </c>
      <c r="V11" s="133">
        <v>2661.3771969999998</v>
      </c>
      <c r="W11" s="133">
        <v>2613.4270019999999</v>
      </c>
      <c r="X11" s="133">
        <v>2366.8715820000002</v>
      </c>
      <c r="Y11" s="133">
        <v>2192.086182</v>
      </c>
      <c r="Z11" s="133">
        <v>2346.5573730000001</v>
      </c>
      <c r="AD11" s="130"/>
      <c r="AE11" s="130"/>
      <c r="AF11" s="130"/>
      <c r="AG11" s="130"/>
      <c r="AH11" s="130"/>
      <c r="AI11" s="130"/>
      <c r="AJ11" s="130"/>
      <c r="AK11" s="130"/>
      <c r="AL11" s="130"/>
      <c r="AM11" s="130"/>
      <c r="AN11" s="130"/>
      <c r="AO11" s="130"/>
      <c r="AP11" s="130"/>
    </row>
    <row r="12" spans="1:45" x14ac:dyDescent="0.35">
      <c r="A12" s="136" t="s">
        <v>1288</v>
      </c>
      <c r="B12" s="133">
        <v>1263.2413329999999</v>
      </c>
      <c r="C12" s="133">
        <v>1289.4073490000001</v>
      </c>
      <c r="D12" s="133">
        <v>1493.590332</v>
      </c>
      <c r="E12" s="133">
        <v>1497.6057129999999</v>
      </c>
      <c r="F12" s="133">
        <v>1543.064331</v>
      </c>
      <c r="G12" s="133">
        <v>1316.0074460000001</v>
      </c>
      <c r="H12" s="133">
        <v>1606.5926509999999</v>
      </c>
      <c r="I12" s="133">
        <v>2056.7998050000001</v>
      </c>
      <c r="J12" s="133">
        <v>1550.510376</v>
      </c>
      <c r="K12" s="133">
        <v>1597.9604489999999</v>
      </c>
      <c r="L12" s="133">
        <v>1370.2265620000001</v>
      </c>
      <c r="M12" s="133">
        <v>1755.3663329999999</v>
      </c>
      <c r="N12" s="133">
        <v>1453.8336179999999</v>
      </c>
      <c r="O12" s="133">
        <v>1308.6785890000001</v>
      </c>
      <c r="P12" s="133">
        <v>1320.1823730000001</v>
      </c>
      <c r="Q12" s="133">
        <v>1369.7547609999999</v>
      </c>
      <c r="R12" s="133">
        <v>1318.0927730000001</v>
      </c>
      <c r="S12" s="133">
        <v>1411.497803</v>
      </c>
      <c r="T12" s="133">
        <v>1327.288452</v>
      </c>
      <c r="U12" s="133">
        <v>1197.894409</v>
      </c>
      <c r="V12" s="133">
        <v>1686.866943</v>
      </c>
      <c r="W12" s="133">
        <v>1644.896606</v>
      </c>
      <c r="X12" s="133">
        <v>1479.7954099999999</v>
      </c>
      <c r="Y12" s="133">
        <v>1159.367432</v>
      </c>
      <c r="Z12" s="133">
        <v>1321.595581</v>
      </c>
      <c r="AD12" s="130"/>
      <c r="AE12" s="130"/>
      <c r="AF12" s="130"/>
      <c r="AG12" s="130"/>
      <c r="AH12" s="130"/>
      <c r="AI12" s="130"/>
      <c r="AJ12" s="130"/>
      <c r="AK12" s="130"/>
      <c r="AL12" s="130"/>
      <c r="AM12" s="130"/>
      <c r="AN12" s="130"/>
      <c r="AO12" s="130"/>
      <c r="AP12" s="130"/>
    </row>
    <row r="13" spans="1:45" x14ac:dyDescent="0.35">
      <c r="A13" s="136" t="s">
        <v>1289</v>
      </c>
      <c r="B13" s="133">
        <v>764.12884499999996</v>
      </c>
      <c r="C13" s="133">
        <v>780.50170900000001</v>
      </c>
      <c r="D13" s="133">
        <v>906.95605499999999</v>
      </c>
      <c r="E13" s="133">
        <v>911.16632100000004</v>
      </c>
      <c r="F13" s="133">
        <v>938.75457800000004</v>
      </c>
      <c r="G13" s="133">
        <v>797.70165999999995</v>
      </c>
      <c r="H13" s="133">
        <v>978.04070999999999</v>
      </c>
      <c r="I13" s="133">
        <v>1262.1811520000001</v>
      </c>
      <c r="J13" s="133">
        <v>942.15490699999998</v>
      </c>
      <c r="K13" s="133">
        <v>973.31976299999997</v>
      </c>
      <c r="L13" s="133">
        <v>830.49694799999997</v>
      </c>
      <c r="M13" s="133">
        <v>1071.9086910000001</v>
      </c>
      <c r="N13" s="133">
        <v>883.11792000000003</v>
      </c>
      <c r="O13" s="133">
        <v>792.68060300000002</v>
      </c>
      <c r="P13" s="133">
        <v>800.61395300000004</v>
      </c>
      <c r="Q13" s="133">
        <v>831.14892599999996</v>
      </c>
      <c r="R13" s="133">
        <v>798.89001499999995</v>
      </c>
      <c r="S13" s="133">
        <v>856.89550799999995</v>
      </c>
      <c r="T13" s="133">
        <v>804.13891599999999</v>
      </c>
      <c r="U13" s="133">
        <v>725.862976</v>
      </c>
      <c r="V13" s="133">
        <v>1030.784058</v>
      </c>
      <c r="W13" s="133">
        <v>1003.943665</v>
      </c>
      <c r="X13" s="133">
        <v>900.06286599999999</v>
      </c>
      <c r="Y13" s="133">
        <v>702.48156700000004</v>
      </c>
      <c r="Z13" s="133">
        <v>803.08355700000004</v>
      </c>
      <c r="AD13" s="130"/>
      <c r="AE13" s="130"/>
      <c r="AF13" s="130"/>
      <c r="AG13" s="130"/>
      <c r="AH13" s="130"/>
      <c r="AI13" s="130"/>
      <c r="AJ13" s="130"/>
      <c r="AK13" s="130"/>
      <c r="AL13" s="130"/>
      <c r="AM13" s="130"/>
      <c r="AN13" s="130"/>
      <c r="AO13" s="130"/>
      <c r="AP13" s="130"/>
    </row>
    <row r="14" spans="1:45" x14ac:dyDescent="0.35">
      <c r="A14" s="136" t="s">
        <v>935</v>
      </c>
      <c r="B14" s="133">
        <v>6996.044922</v>
      </c>
      <c r="C14" s="133">
        <v>7105.0395509999998</v>
      </c>
      <c r="D14" s="133">
        <v>7429.5439450000003</v>
      </c>
      <c r="E14" s="133">
        <v>7750.2563479999999</v>
      </c>
      <c r="F14" s="133">
        <v>7602.6220700000003</v>
      </c>
      <c r="G14" s="133">
        <v>7224.4838870000003</v>
      </c>
      <c r="H14" s="133">
        <v>7886.8330079999996</v>
      </c>
      <c r="I14" s="133">
        <v>9285.2880860000005</v>
      </c>
      <c r="J14" s="133">
        <v>7566.8979490000002</v>
      </c>
      <c r="K14" s="133">
        <v>7819.2739259999998</v>
      </c>
      <c r="L14" s="133">
        <v>7203.5839839999999</v>
      </c>
      <c r="M14" s="133">
        <v>8336.7841800000006</v>
      </c>
      <c r="N14" s="133">
        <v>7425.4594729999999</v>
      </c>
      <c r="O14" s="133">
        <v>7276.7319340000004</v>
      </c>
      <c r="P14" s="133">
        <v>7271.2646480000003</v>
      </c>
      <c r="Q14" s="133">
        <v>7371.1455079999996</v>
      </c>
      <c r="R14" s="133">
        <v>7144.408203</v>
      </c>
      <c r="S14" s="133">
        <v>7443.3222660000001</v>
      </c>
      <c r="T14" s="133">
        <v>7208.9296880000002</v>
      </c>
      <c r="U14" s="133">
        <v>7309.1757809999999</v>
      </c>
      <c r="V14" s="133">
        <v>8374.6943360000005</v>
      </c>
      <c r="W14" s="133">
        <v>8277.7304690000001</v>
      </c>
      <c r="X14" s="133">
        <v>7654.5668949999999</v>
      </c>
      <c r="Y14" s="133">
        <v>7168.8315430000002</v>
      </c>
      <c r="Z14" s="133">
        <v>7636.1586909999996</v>
      </c>
      <c r="AD14" s="130"/>
      <c r="AE14" s="130"/>
      <c r="AF14" s="130"/>
      <c r="AG14" s="130"/>
      <c r="AH14" s="130"/>
      <c r="AI14" s="130"/>
      <c r="AJ14" s="130"/>
      <c r="AK14" s="130"/>
      <c r="AL14" s="130"/>
      <c r="AM14" s="130"/>
      <c r="AN14" s="130"/>
      <c r="AO14" s="130"/>
      <c r="AP14" s="130"/>
    </row>
    <row r="15" spans="1:45" ht="15" customHeight="1" x14ac:dyDescent="0.35">
      <c r="A15" s="136" t="s">
        <v>1290</v>
      </c>
      <c r="B15" s="133">
        <v>7341.0288090000004</v>
      </c>
      <c r="C15" s="133">
        <v>7499.2807620000003</v>
      </c>
      <c r="D15" s="133">
        <v>7916.9565430000002</v>
      </c>
      <c r="E15" s="133">
        <v>8636.5957030000009</v>
      </c>
      <c r="F15" s="133">
        <v>8329.8125</v>
      </c>
      <c r="G15" s="133">
        <v>7743.8525390000004</v>
      </c>
      <c r="H15" s="133">
        <v>8809.3642579999996</v>
      </c>
      <c r="I15" s="133" t="s">
        <v>14</v>
      </c>
      <c r="J15" s="133">
        <v>8218.9970699999994</v>
      </c>
      <c r="K15" s="133">
        <v>8607.6923829999996</v>
      </c>
      <c r="L15" s="133">
        <v>7608.28125</v>
      </c>
      <c r="M15" s="133">
        <v>9464.7949219999991</v>
      </c>
      <c r="N15" s="133">
        <v>7918.0463870000003</v>
      </c>
      <c r="O15" s="133">
        <v>7843.1318359999996</v>
      </c>
      <c r="P15" s="133">
        <v>7782.3452150000003</v>
      </c>
      <c r="Q15" s="133">
        <v>8034.6938479999999</v>
      </c>
      <c r="R15" s="133">
        <v>7529.998047</v>
      </c>
      <c r="S15" s="133">
        <v>7962.3720700000003</v>
      </c>
      <c r="T15" s="133">
        <v>7527.2758789999998</v>
      </c>
      <c r="U15" s="133">
        <v>7808.0083009999998</v>
      </c>
      <c r="V15" s="133" t="s">
        <v>14</v>
      </c>
      <c r="W15" s="133" t="s">
        <v>14</v>
      </c>
      <c r="X15" s="133">
        <v>8451.3203119999998</v>
      </c>
      <c r="Y15" s="133">
        <v>7563.0478519999997</v>
      </c>
      <c r="Z15" s="133">
        <v>8460.3271480000003</v>
      </c>
      <c r="AD15" s="130"/>
      <c r="AE15" s="130"/>
      <c r="AF15" s="130"/>
      <c r="AG15" s="130"/>
      <c r="AH15" s="130"/>
      <c r="AI15" s="130"/>
      <c r="AJ15" s="130"/>
      <c r="AK15" s="130"/>
      <c r="AL15" s="130"/>
      <c r="AM15" s="130"/>
      <c r="AN15" s="130"/>
      <c r="AO15" s="130"/>
      <c r="AP15" s="130"/>
    </row>
    <row r="16" spans="1:45" ht="15" customHeight="1" x14ac:dyDescent="0.35">
      <c r="A16" s="136" t="s">
        <v>1291</v>
      </c>
      <c r="B16" s="133">
        <v>7779.2089839999999</v>
      </c>
      <c r="C16" s="133">
        <v>7961.625</v>
      </c>
      <c r="D16" s="133">
        <v>8673.5097659999992</v>
      </c>
      <c r="E16" s="133">
        <v>9044.4355469999991</v>
      </c>
      <c r="F16" s="133">
        <v>9041.0976559999999</v>
      </c>
      <c r="G16" s="133">
        <v>8060.5561520000001</v>
      </c>
      <c r="H16" s="133">
        <v>9338.0283199999994</v>
      </c>
      <c r="I16" s="133" t="s">
        <v>14</v>
      </c>
      <c r="J16" s="133">
        <v>8893.7441409999992</v>
      </c>
      <c r="K16" s="133">
        <v>9357.0908199999994</v>
      </c>
      <c r="L16" s="133">
        <v>8159.9047849999997</v>
      </c>
      <c r="M16" s="133">
        <v>10439.902344</v>
      </c>
      <c r="N16" s="133">
        <v>8473.8105469999991</v>
      </c>
      <c r="O16" s="133">
        <v>8100.6303710000002</v>
      </c>
      <c r="P16" s="133">
        <v>8163.6611329999996</v>
      </c>
      <c r="Q16" s="133">
        <v>8349</v>
      </c>
      <c r="R16" s="133">
        <v>8081.845703</v>
      </c>
      <c r="S16" s="133">
        <v>8583.1767579999996</v>
      </c>
      <c r="T16" s="133">
        <v>8150.3032229999999</v>
      </c>
      <c r="U16" s="133">
        <v>8258</v>
      </c>
      <c r="V16" s="133" t="s">
        <v>14</v>
      </c>
      <c r="W16" s="133" t="s">
        <v>14</v>
      </c>
      <c r="X16" s="133">
        <v>8941.9570309999999</v>
      </c>
      <c r="Y16" s="133">
        <v>8169.9223629999997</v>
      </c>
      <c r="Z16" s="133">
        <v>8880.3867190000001</v>
      </c>
      <c r="AD16" s="130"/>
      <c r="AE16" s="130"/>
      <c r="AF16" s="130"/>
      <c r="AG16" s="130"/>
      <c r="AH16" s="130"/>
      <c r="AI16" s="130"/>
      <c r="AJ16" s="130"/>
      <c r="AK16" s="130"/>
      <c r="AL16" s="130"/>
      <c r="AM16" s="130"/>
      <c r="AN16" s="130"/>
      <c r="AO16" s="130"/>
      <c r="AP16" s="130"/>
    </row>
    <row r="17" spans="1:42" x14ac:dyDescent="0.35">
      <c r="A17" s="136" t="s">
        <v>1292</v>
      </c>
      <c r="B17" s="133">
        <v>1728.5471190000001</v>
      </c>
      <c r="C17" s="133">
        <v>1763.8638920000001</v>
      </c>
      <c r="D17" s="133">
        <v>1967.465332</v>
      </c>
      <c r="E17" s="133">
        <v>1985.6254879999999</v>
      </c>
      <c r="F17" s="133">
        <v>2035.759888</v>
      </c>
      <c r="G17" s="133">
        <v>1779.4453120000001</v>
      </c>
      <c r="H17" s="133">
        <v>2296.0397950000001</v>
      </c>
      <c r="I17" s="133">
        <v>3046.76001</v>
      </c>
      <c r="J17" s="133">
        <v>2302.213135</v>
      </c>
      <c r="K17" s="133">
        <v>2299.82251</v>
      </c>
      <c r="L17" s="133">
        <v>1907.2542719999999</v>
      </c>
      <c r="M17" s="133">
        <v>2303.955078</v>
      </c>
      <c r="N17" s="133">
        <v>2194.69751</v>
      </c>
      <c r="O17" s="133">
        <v>1757.404053</v>
      </c>
      <c r="P17" s="133">
        <v>1778.3388669999999</v>
      </c>
      <c r="Q17" s="133">
        <v>1832.8704829999999</v>
      </c>
      <c r="R17" s="133">
        <v>1776.6953120000001</v>
      </c>
      <c r="S17" s="133">
        <v>1885.8312989999999</v>
      </c>
      <c r="T17" s="133">
        <v>1759.8626710000001</v>
      </c>
      <c r="U17" s="133">
        <v>1729.3688959999999</v>
      </c>
      <c r="V17" s="133">
        <v>2533.3503420000002</v>
      </c>
      <c r="W17" s="133">
        <v>2475.1455080000001</v>
      </c>
      <c r="X17" s="133">
        <v>2014.0279539999999</v>
      </c>
      <c r="Y17" s="133">
        <v>1630.298828</v>
      </c>
      <c r="Z17" s="133">
        <v>1762.6513669999999</v>
      </c>
      <c r="AD17" s="130"/>
      <c r="AE17" s="130"/>
      <c r="AF17" s="130"/>
      <c r="AG17" s="130"/>
      <c r="AH17" s="130"/>
      <c r="AI17" s="130"/>
      <c r="AJ17" s="130"/>
      <c r="AK17" s="130"/>
      <c r="AL17" s="130"/>
      <c r="AM17" s="130"/>
      <c r="AN17" s="130"/>
      <c r="AO17" s="130"/>
      <c r="AP17" s="130"/>
    </row>
    <row r="18" spans="1:42" x14ac:dyDescent="0.35">
      <c r="A18" s="136" t="s">
        <v>1293</v>
      </c>
      <c r="B18" s="133">
        <v>2034.196289</v>
      </c>
      <c r="C18" s="133">
        <v>2076.3308109999998</v>
      </c>
      <c r="D18" s="133">
        <v>2405.1267090000001</v>
      </c>
      <c r="E18" s="133">
        <v>2411.592529</v>
      </c>
      <c r="F18" s="133">
        <v>2484.794922</v>
      </c>
      <c r="G18" s="133">
        <v>2119.165039</v>
      </c>
      <c r="H18" s="133">
        <v>2587.0939939999998</v>
      </c>
      <c r="I18" s="133">
        <v>3312.0625</v>
      </c>
      <c r="J18" s="133">
        <v>2496.7849120000001</v>
      </c>
      <c r="K18" s="133">
        <v>2573.194336</v>
      </c>
      <c r="L18" s="133">
        <v>2206.474365</v>
      </c>
      <c r="M18" s="133">
        <v>2826.664307</v>
      </c>
      <c r="N18" s="133">
        <v>2341.1064449999999</v>
      </c>
      <c r="O18" s="133">
        <v>2107.3635250000002</v>
      </c>
      <c r="P18" s="133">
        <v>2125.8879390000002</v>
      </c>
      <c r="Q18" s="133">
        <v>2205.7148440000001</v>
      </c>
      <c r="R18" s="133">
        <v>2122.523193</v>
      </c>
      <c r="S18" s="133">
        <v>2272.9328609999998</v>
      </c>
      <c r="T18" s="133">
        <v>2137.3310550000001</v>
      </c>
      <c r="U18" s="133">
        <v>1928.968018</v>
      </c>
      <c r="V18" s="133">
        <v>2716.3598630000001</v>
      </c>
      <c r="W18" s="133">
        <v>2648.7749020000001</v>
      </c>
      <c r="X18" s="133">
        <v>2382.9125979999999</v>
      </c>
      <c r="Y18" s="133">
        <v>1866.9279790000001</v>
      </c>
      <c r="Z18" s="133">
        <v>2128.163818</v>
      </c>
      <c r="AD18" s="130"/>
      <c r="AE18" s="130"/>
      <c r="AF18" s="130"/>
      <c r="AG18" s="130"/>
      <c r="AH18" s="130"/>
      <c r="AI18" s="130"/>
      <c r="AJ18" s="130"/>
      <c r="AK18" s="130"/>
      <c r="AL18" s="130"/>
      <c r="AM18" s="130"/>
      <c r="AN18" s="130"/>
      <c r="AO18" s="130"/>
      <c r="AP18" s="130"/>
    </row>
    <row r="19" spans="1:42" x14ac:dyDescent="0.35">
      <c r="A19" s="136" t="s">
        <v>940</v>
      </c>
      <c r="B19" s="133">
        <v>1270.2328057142859</v>
      </c>
      <c r="C19" s="133">
        <v>1273.4085514285714</v>
      </c>
      <c r="D19" s="133">
        <v>1255.040892857143</v>
      </c>
      <c r="E19" s="133">
        <v>1315.9613042857143</v>
      </c>
      <c r="F19" s="133">
        <v>1272.9638671428572</v>
      </c>
      <c r="G19" s="133">
        <v>1299.7869000000001</v>
      </c>
      <c r="H19" s="133">
        <v>1309.1019985714286</v>
      </c>
      <c r="I19" s="133">
        <v>1304.021082857143</v>
      </c>
      <c r="J19" s="133">
        <v>1274.8056471428572</v>
      </c>
      <c r="K19" s="133">
        <v>1278.4894671428572</v>
      </c>
      <c r="L19" s="133">
        <v>1266.54916</v>
      </c>
      <c r="M19" s="133">
        <v>1282.5540599999999</v>
      </c>
      <c r="N19" s="133">
        <v>1278.4894671428572</v>
      </c>
      <c r="O19" s="133">
        <v>1311.0920928571429</v>
      </c>
      <c r="P19" s="133">
        <v>1292.6525885714286</v>
      </c>
      <c r="Q19" s="133">
        <v>1309.1019985714286</v>
      </c>
      <c r="R19" s="133">
        <v>1263.8182728571428</v>
      </c>
      <c r="S19" s="133">
        <v>1271.6300742857143</v>
      </c>
      <c r="T19" s="133">
        <v>1256.5142828571429</v>
      </c>
      <c r="U19" s="133">
        <v>1285.793195714286</v>
      </c>
      <c r="V19" s="133">
        <v>1322.5665285714285</v>
      </c>
      <c r="W19" s="133">
        <v>1325.1068985714287</v>
      </c>
      <c r="X19" s="133">
        <v>1300.4008271428572</v>
      </c>
      <c r="Y19" s="133">
        <v>1258.8007457142858</v>
      </c>
      <c r="Z19" s="133">
        <v>1309.5676971428572</v>
      </c>
      <c r="AD19" s="130"/>
      <c r="AE19" s="130"/>
      <c r="AF19" s="130"/>
      <c r="AG19" s="130"/>
      <c r="AH19" s="130"/>
      <c r="AI19" s="130"/>
      <c r="AJ19" s="130"/>
      <c r="AK19" s="130"/>
      <c r="AL19" s="130"/>
      <c r="AM19" s="130"/>
      <c r="AN19" s="130"/>
      <c r="AO19" s="130"/>
      <c r="AP19" s="130"/>
    </row>
    <row r="20" spans="1:42" x14ac:dyDescent="0.35">
      <c r="A20" s="136" t="s">
        <v>941</v>
      </c>
      <c r="B20" s="133">
        <v>4637.0444340000004</v>
      </c>
      <c r="C20" s="133">
        <v>4763.7412109999996</v>
      </c>
      <c r="D20" s="133">
        <v>5157.0253910000001</v>
      </c>
      <c r="E20" s="133">
        <v>5328.5024409999996</v>
      </c>
      <c r="F20" s="133">
        <v>5339.998047</v>
      </c>
      <c r="G20" s="133">
        <v>4802.3085940000001</v>
      </c>
      <c r="H20" s="133">
        <v>5933.3315430000002</v>
      </c>
      <c r="I20" s="133">
        <v>8053.6035160000001</v>
      </c>
      <c r="J20" s="133">
        <v>5951.9897460000002</v>
      </c>
      <c r="K20" s="133">
        <v>6056.2802730000003</v>
      </c>
      <c r="L20" s="133">
        <v>5092.685547</v>
      </c>
      <c r="M20" s="133">
        <v>6066.9418949999999</v>
      </c>
      <c r="N20" s="133">
        <v>5804.0522460000002</v>
      </c>
      <c r="O20" s="133">
        <v>4820.4672849999997</v>
      </c>
      <c r="P20" s="133">
        <v>4856.9516599999997</v>
      </c>
      <c r="Q20" s="133">
        <v>4920.9248049999997</v>
      </c>
      <c r="R20" s="133">
        <v>4824.7153319999998</v>
      </c>
      <c r="S20" s="133">
        <v>5125.8383789999998</v>
      </c>
      <c r="T20" s="133">
        <v>4925.9228519999997</v>
      </c>
      <c r="U20" s="133">
        <v>5276.0253910000001</v>
      </c>
      <c r="V20" s="133">
        <v>6758.6499020000001</v>
      </c>
      <c r="W20" s="133">
        <v>6605.7143550000001</v>
      </c>
      <c r="X20" s="133">
        <v>5454.9497069999998</v>
      </c>
      <c r="Y20" s="133">
        <v>5226.5458980000003</v>
      </c>
      <c r="Z20" s="133">
        <v>5225.9628910000001</v>
      </c>
      <c r="AD20" s="130"/>
      <c r="AE20" s="130"/>
      <c r="AF20" s="130"/>
      <c r="AG20" s="130"/>
      <c r="AH20" s="130"/>
      <c r="AI20" s="130"/>
      <c r="AJ20" s="130"/>
      <c r="AK20" s="130"/>
      <c r="AL20" s="130"/>
      <c r="AM20" s="130"/>
      <c r="AN20" s="130"/>
      <c r="AO20" s="130"/>
      <c r="AP20" s="130"/>
    </row>
    <row r="21" spans="1:42" x14ac:dyDescent="0.35">
      <c r="A21" s="136" t="s">
        <v>236</v>
      </c>
      <c r="B21" s="133" t="s">
        <v>14</v>
      </c>
      <c r="C21" s="133" t="s">
        <v>14</v>
      </c>
      <c r="D21" s="133" t="s">
        <v>14</v>
      </c>
      <c r="E21" s="133" t="s">
        <v>14</v>
      </c>
      <c r="F21" s="133" t="s">
        <v>14</v>
      </c>
      <c r="G21" s="133" t="s">
        <v>14</v>
      </c>
      <c r="H21" s="133" t="s">
        <v>14</v>
      </c>
      <c r="I21" s="133" t="s">
        <v>14</v>
      </c>
      <c r="J21" s="133" t="s">
        <v>14</v>
      </c>
      <c r="K21" s="133" t="s">
        <v>14</v>
      </c>
      <c r="L21" s="133" t="s">
        <v>14</v>
      </c>
      <c r="M21" s="133" t="s">
        <v>14</v>
      </c>
      <c r="N21" s="133" t="s">
        <v>14</v>
      </c>
      <c r="O21" s="133" t="s">
        <v>14</v>
      </c>
      <c r="P21" s="133" t="s">
        <v>14</v>
      </c>
      <c r="Q21" s="133" t="s">
        <v>14</v>
      </c>
      <c r="R21" s="133" t="s">
        <v>14</v>
      </c>
      <c r="S21" s="133" t="s">
        <v>14</v>
      </c>
      <c r="T21" s="133" t="s">
        <v>14</v>
      </c>
      <c r="U21" s="133">
        <v>3468.0598955555552</v>
      </c>
      <c r="V21" s="133">
        <v>3439.7032333333336</v>
      </c>
      <c r="W21" s="133">
        <v>2784.5494244444444</v>
      </c>
      <c r="X21" s="133">
        <v>3365.6860355555555</v>
      </c>
      <c r="Y21" s="133" t="s">
        <v>14</v>
      </c>
      <c r="Z21" s="133">
        <v>3403.0099822222219</v>
      </c>
      <c r="AD21" s="130"/>
      <c r="AE21" s="130"/>
      <c r="AF21" s="130"/>
      <c r="AG21" s="130"/>
      <c r="AH21" s="130"/>
      <c r="AI21" s="130"/>
      <c r="AJ21" s="130"/>
      <c r="AK21" s="130"/>
      <c r="AL21" s="130"/>
      <c r="AM21" s="130"/>
      <c r="AN21" s="130"/>
      <c r="AO21" s="130"/>
      <c r="AP21" s="130"/>
    </row>
    <row r="22" spans="1:42" x14ac:dyDescent="0.35">
      <c r="A22" s="136" t="s">
        <v>1294</v>
      </c>
      <c r="B22" s="133">
        <v>4992.0869140000004</v>
      </c>
      <c r="C22" s="133">
        <v>6098.0947269999997</v>
      </c>
      <c r="D22" s="133">
        <v>2426.001221</v>
      </c>
      <c r="E22" s="133">
        <v>1612.2889399999999</v>
      </c>
      <c r="F22" s="133">
        <v>3283.2614749999998</v>
      </c>
      <c r="G22" s="133">
        <v>4858.1787109999996</v>
      </c>
      <c r="H22" s="133">
        <v>2247.5961910000001</v>
      </c>
      <c r="I22" s="133" t="s">
        <v>14</v>
      </c>
      <c r="J22" s="133">
        <v>4599.1572269999997</v>
      </c>
      <c r="K22" s="133">
        <v>4777.3554690000001</v>
      </c>
      <c r="L22" s="133">
        <v>4163.5541990000002</v>
      </c>
      <c r="M22" s="133" t="s">
        <v>14</v>
      </c>
      <c r="N22" s="133">
        <v>4225.9892579999996</v>
      </c>
      <c r="O22" s="133">
        <v>2352.6889649999998</v>
      </c>
      <c r="P22" s="133">
        <v>5103.8652339999999</v>
      </c>
      <c r="Q22" s="133">
        <v>2637.9877929999998</v>
      </c>
      <c r="R22" s="133">
        <v>5049.2597660000001</v>
      </c>
      <c r="S22" s="133">
        <v>2127.7614749999998</v>
      </c>
      <c r="T22" s="133">
        <v>2000.0329589999999</v>
      </c>
      <c r="U22" s="133">
        <v>4055.9604490000002</v>
      </c>
      <c r="V22" s="133">
        <v>4291.0454099999997</v>
      </c>
      <c r="W22" s="133">
        <v>4131.5932620000003</v>
      </c>
      <c r="X22" s="133">
        <v>3421.0124510000001</v>
      </c>
      <c r="Y22" s="133">
        <v>4085.0473630000001</v>
      </c>
      <c r="Z22" s="133">
        <v>4464.0463870000003</v>
      </c>
      <c r="AD22" s="130"/>
      <c r="AE22" s="130"/>
      <c r="AF22" s="130"/>
      <c r="AG22" s="130"/>
      <c r="AH22" s="130"/>
      <c r="AI22" s="130"/>
      <c r="AJ22" s="130"/>
      <c r="AK22" s="130"/>
      <c r="AL22" s="130"/>
      <c r="AM22" s="130"/>
      <c r="AN22" s="130"/>
      <c r="AO22" s="130"/>
      <c r="AP22" s="130"/>
    </row>
    <row r="23" spans="1:42" x14ac:dyDescent="0.35">
      <c r="A23" s="136" t="s">
        <v>233</v>
      </c>
      <c r="B23" s="133">
        <v>3059.2534179999998</v>
      </c>
      <c r="C23" s="133" t="s">
        <v>14</v>
      </c>
      <c r="D23" s="133">
        <v>1722.7292480000001</v>
      </c>
      <c r="E23" s="133">
        <v>1566.117432</v>
      </c>
      <c r="F23" s="133">
        <v>1875.2689210000001</v>
      </c>
      <c r="G23" s="133">
        <v>1566.117432</v>
      </c>
      <c r="H23" s="133">
        <v>2075.0727539999998</v>
      </c>
      <c r="I23" s="133" t="s">
        <v>14</v>
      </c>
      <c r="J23" s="133">
        <v>2531.3811040000001</v>
      </c>
      <c r="K23" s="133">
        <v>2075.0727539999998</v>
      </c>
      <c r="L23" s="133">
        <v>1566.117432</v>
      </c>
      <c r="M23" s="133">
        <v>2280.8933109999998</v>
      </c>
      <c r="N23" s="133">
        <v>2161.3955080000001</v>
      </c>
      <c r="O23" s="133">
        <v>1867.4964600000001</v>
      </c>
      <c r="P23" s="133">
        <v>2116.3666990000002</v>
      </c>
      <c r="Q23" s="133">
        <v>1566.117432</v>
      </c>
      <c r="R23" s="133">
        <v>1566.117432</v>
      </c>
      <c r="S23" s="133">
        <v>1722.7292480000001</v>
      </c>
      <c r="T23" s="133">
        <v>1722.7292480000001</v>
      </c>
      <c r="U23" s="133">
        <v>1566.117432</v>
      </c>
      <c r="V23" s="133">
        <v>3457.5551759999998</v>
      </c>
      <c r="W23" s="133">
        <v>2715.335693</v>
      </c>
      <c r="X23" s="133">
        <v>2282.580078</v>
      </c>
      <c r="Y23" s="133">
        <v>1566.117432</v>
      </c>
      <c r="Z23" s="133">
        <v>1566.117432</v>
      </c>
      <c r="AD23" s="130"/>
      <c r="AE23" s="130"/>
      <c r="AF23" s="130"/>
      <c r="AG23" s="130"/>
      <c r="AH23" s="130"/>
      <c r="AI23" s="130"/>
      <c r="AJ23" s="130"/>
      <c r="AK23" s="130"/>
      <c r="AL23" s="130"/>
      <c r="AM23" s="130"/>
      <c r="AN23" s="130"/>
      <c r="AO23" s="130"/>
      <c r="AP23" s="130"/>
    </row>
    <row r="24" spans="1:42" x14ac:dyDescent="0.35">
      <c r="A24" s="136" t="s">
        <v>1295</v>
      </c>
      <c r="B24" s="133">
        <v>6516.6908485714293</v>
      </c>
      <c r="C24" s="133">
        <v>7818.8567242857143</v>
      </c>
      <c r="D24" s="133">
        <v>7713.6739671428577</v>
      </c>
      <c r="E24" s="133" t="s">
        <v>14</v>
      </c>
      <c r="F24" s="133">
        <v>7989.2333985714286</v>
      </c>
      <c r="G24" s="133" t="s">
        <v>14</v>
      </c>
      <c r="H24" s="133">
        <v>7782.8982985714292</v>
      </c>
      <c r="I24" s="133">
        <v>6713.5184157142867</v>
      </c>
      <c r="J24" s="133">
        <v>8139.3568642857144</v>
      </c>
      <c r="K24" s="133">
        <v>7460.5768700000008</v>
      </c>
      <c r="L24" s="133">
        <v>6100.3480742857146</v>
      </c>
      <c r="M24" s="133">
        <v>8833.927874285715</v>
      </c>
      <c r="N24" s="133">
        <v>6949.712611428572</v>
      </c>
      <c r="O24" s="133">
        <v>6004.7133085714286</v>
      </c>
      <c r="P24" s="133" t="s">
        <v>14</v>
      </c>
      <c r="Q24" s="133" t="s">
        <v>14</v>
      </c>
      <c r="R24" s="133" t="s">
        <v>14</v>
      </c>
      <c r="S24" s="133" t="s">
        <v>14</v>
      </c>
      <c r="T24" s="133" t="s">
        <v>14</v>
      </c>
      <c r="U24" s="133" t="s">
        <v>14</v>
      </c>
      <c r="V24" s="133">
        <v>10063.939034285715</v>
      </c>
      <c r="W24" s="133">
        <v>10558.0113</v>
      </c>
      <c r="X24" s="133">
        <v>7550.2064728571431</v>
      </c>
      <c r="Y24" s="133" t="s">
        <v>14</v>
      </c>
      <c r="Z24" s="133" t="s">
        <v>14</v>
      </c>
      <c r="AD24" s="130"/>
      <c r="AE24" s="130"/>
      <c r="AF24" s="130"/>
      <c r="AG24" s="130"/>
      <c r="AH24" s="130"/>
      <c r="AI24" s="130"/>
      <c r="AJ24" s="130"/>
      <c r="AK24" s="130"/>
      <c r="AL24" s="130"/>
      <c r="AM24" s="130"/>
      <c r="AN24" s="130"/>
      <c r="AO24" s="130"/>
      <c r="AP24" s="130"/>
    </row>
    <row r="25" spans="1:42" x14ac:dyDescent="0.35">
      <c r="A25" s="136" t="s">
        <v>1296</v>
      </c>
      <c r="B25" s="133">
        <v>8423.6453685714278</v>
      </c>
      <c r="C25" s="133">
        <v>8551.1314171428585</v>
      </c>
      <c r="D25" s="133" t="s">
        <v>14</v>
      </c>
      <c r="E25" s="133" t="s">
        <v>14</v>
      </c>
      <c r="F25" s="133" t="s">
        <v>14</v>
      </c>
      <c r="G25" s="133" t="s">
        <v>14</v>
      </c>
      <c r="H25" s="133" t="s">
        <v>14</v>
      </c>
      <c r="I25" s="133" t="s">
        <v>14</v>
      </c>
      <c r="J25" s="133" t="s">
        <v>14</v>
      </c>
      <c r="K25" s="133" t="s">
        <v>14</v>
      </c>
      <c r="L25" s="133" t="s">
        <v>14</v>
      </c>
      <c r="M25" s="133" t="s">
        <v>14</v>
      </c>
      <c r="N25" s="133" t="s">
        <v>14</v>
      </c>
      <c r="O25" s="133" t="s">
        <v>14</v>
      </c>
      <c r="P25" s="133" t="s">
        <v>14</v>
      </c>
      <c r="Q25" s="133" t="s">
        <v>14</v>
      </c>
      <c r="R25" s="133">
        <v>8508.7813900000001</v>
      </c>
      <c r="S25" s="133">
        <v>8838.4095985714284</v>
      </c>
      <c r="T25" s="133">
        <v>8421.8994142857155</v>
      </c>
      <c r="U25" s="133">
        <v>8826.1851285714292</v>
      </c>
      <c r="V25" s="133">
        <v>10397.051478571429</v>
      </c>
      <c r="W25" s="133">
        <v>10266.072125714287</v>
      </c>
      <c r="X25" s="133">
        <v>9393.9753071428586</v>
      </c>
      <c r="Y25" s="133">
        <v>8481.2758085714286</v>
      </c>
      <c r="Z25" s="133">
        <v>9412.6764785714295</v>
      </c>
      <c r="AD25" s="130"/>
      <c r="AE25" s="130"/>
      <c r="AF25" s="130"/>
      <c r="AG25" s="130"/>
      <c r="AH25" s="130"/>
      <c r="AI25" s="130"/>
      <c r="AJ25" s="130"/>
      <c r="AK25" s="130"/>
      <c r="AL25" s="130"/>
      <c r="AM25" s="130"/>
      <c r="AN25" s="130"/>
      <c r="AO25" s="130"/>
      <c r="AP25" s="130"/>
    </row>
    <row r="26" spans="1:42" x14ac:dyDescent="0.35">
      <c r="A26" s="136" t="s">
        <v>1297</v>
      </c>
      <c r="B26" s="133">
        <v>1422.1202390000001</v>
      </c>
      <c r="C26" s="133">
        <v>1395.2075199999999</v>
      </c>
      <c r="D26" s="133">
        <v>1443.4772949999999</v>
      </c>
      <c r="E26" s="133">
        <v>1496.8701169999999</v>
      </c>
      <c r="F26" s="133">
        <v>1480.419312</v>
      </c>
      <c r="G26" s="133">
        <v>1407.497437</v>
      </c>
      <c r="H26" s="133">
        <v>1494.296509</v>
      </c>
      <c r="I26" s="133">
        <v>1758.4938959999999</v>
      </c>
      <c r="J26" s="133">
        <v>1480.419312</v>
      </c>
      <c r="K26" s="133">
        <v>1523.8548579999999</v>
      </c>
      <c r="L26" s="133">
        <v>1439.725342</v>
      </c>
      <c r="M26" s="133">
        <v>1570.537476</v>
      </c>
      <c r="N26" s="133">
        <v>1436.4064940000001</v>
      </c>
      <c r="O26" s="133">
        <v>1465.0267329999999</v>
      </c>
      <c r="P26" s="133">
        <v>1391.888672</v>
      </c>
      <c r="Q26" s="133">
        <v>1438.0660399999999</v>
      </c>
      <c r="R26" s="133">
        <v>1394.1251219999999</v>
      </c>
      <c r="S26" s="133">
        <v>1449.033081</v>
      </c>
      <c r="T26" s="133">
        <v>1404.01001</v>
      </c>
      <c r="U26" s="133">
        <v>1418.2962649999999</v>
      </c>
      <c r="V26" s="133">
        <v>1578.798828</v>
      </c>
      <c r="W26" s="133">
        <v>1570.465332</v>
      </c>
      <c r="X26" s="133">
        <v>1453.218018</v>
      </c>
      <c r="Y26" s="133">
        <v>1434.819092</v>
      </c>
      <c r="Z26" s="133">
        <v>1447.8063959999999</v>
      </c>
      <c r="AD26" s="130"/>
      <c r="AE26" s="130"/>
      <c r="AF26" s="130"/>
      <c r="AG26" s="130"/>
      <c r="AH26" s="130"/>
      <c r="AI26" s="130"/>
      <c r="AJ26" s="130"/>
      <c r="AK26" s="130"/>
      <c r="AL26" s="130"/>
      <c r="AM26" s="130"/>
      <c r="AN26" s="130"/>
      <c r="AO26" s="130"/>
      <c r="AP26" s="130"/>
    </row>
    <row r="27" spans="1:42" ht="15" thickBot="1" x14ac:dyDescent="0.4">
      <c r="A27" s="142" t="s">
        <v>1298</v>
      </c>
      <c r="B27" s="145">
        <v>1750.5045170000001</v>
      </c>
      <c r="C27" s="145">
        <v>1769.038452</v>
      </c>
      <c r="D27" s="145">
        <v>1821.5664059999999</v>
      </c>
      <c r="E27" s="145">
        <v>1880.332275</v>
      </c>
      <c r="F27" s="145">
        <v>1854.0230710000001</v>
      </c>
      <c r="G27" s="145">
        <v>1786.849121</v>
      </c>
      <c r="H27" s="145">
        <v>1891.814087</v>
      </c>
      <c r="I27" s="145">
        <v>2150.2944339999999</v>
      </c>
      <c r="J27" s="145">
        <v>1857.7299800000001</v>
      </c>
      <c r="K27" s="145">
        <v>1895.611328</v>
      </c>
      <c r="L27" s="145">
        <v>1780.3999020000001</v>
      </c>
      <c r="M27" s="145">
        <v>1971.012817</v>
      </c>
      <c r="N27" s="145">
        <v>1842.1796879999999</v>
      </c>
      <c r="O27" s="145">
        <v>1798.903564</v>
      </c>
      <c r="P27" s="145">
        <v>1780.8820800000001</v>
      </c>
      <c r="Q27" s="145">
        <v>1802.4898679999999</v>
      </c>
      <c r="R27" s="145">
        <v>1768.4959719999999</v>
      </c>
      <c r="S27" s="145">
        <v>1826.177124</v>
      </c>
      <c r="T27" s="145">
        <v>1787.1202390000001</v>
      </c>
      <c r="U27" s="145">
        <v>1796.3420410000001</v>
      </c>
      <c r="V27" s="145">
        <v>1969.204712</v>
      </c>
      <c r="W27" s="145">
        <v>1963.689697</v>
      </c>
      <c r="X27" s="145">
        <v>1857.6845699999999</v>
      </c>
      <c r="Y27" s="145">
        <v>1788.6572269999999</v>
      </c>
      <c r="Z27" s="145">
        <v>1853.5108640000001</v>
      </c>
      <c r="AD27" s="130"/>
      <c r="AE27" s="130"/>
      <c r="AF27" s="130"/>
      <c r="AG27" s="130"/>
      <c r="AH27" s="130"/>
      <c r="AI27" s="130"/>
      <c r="AJ27" s="130"/>
      <c r="AK27" s="130"/>
      <c r="AL27" s="130"/>
      <c r="AM27" s="130"/>
      <c r="AN27" s="130"/>
      <c r="AO27" s="130"/>
      <c r="AP27" s="130"/>
    </row>
    <row r="28" spans="1:42" ht="21" customHeight="1" x14ac:dyDescent="0.35">
      <c r="A28" s="277" t="s">
        <v>1299</v>
      </c>
      <c r="B28" s="277"/>
      <c r="C28" s="277"/>
      <c r="D28" s="277"/>
      <c r="E28" s="277"/>
      <c r="F28" s="277"/>
      <c r="G28" s="277"/>
      <c r="H28" s="277"/>
      <c r="I28" s="277"/>
      <c r="J28" s="277"/>
      <c r="K28" s="277"/>
      <c r="L28" s="277"/>
      <c r="M28" s="277"/>
      <c r="N28" s="277"/>
    </row>
    <row r="29" spans="1:42" x14ac:dyDescent="0.35">
      <c r="A29" s="278" t="s">
        <v>1300</v>
      </c>
      <c r="B29" s="278"/>
      <c r="C29" s="278"/>
      <c r="D29" s="278"/>
      <c r="E29" s="278"/>
      <c r="F29" s="278"/>
      <c r="G29" s="278"/>
      <c r="H29" s="278"/>
      <c r="I29" s="278"/>
      <c r="J29" s="278"/>
      <c r="K29" s="278"/>
      <c r="L29" s="278"/>
      <c r="M29" s="278"/>
      <c r="N29" s="278"/>
    </row>
    <row r="30" spans="1:42" ht="18" customHeight="1" x14ac:dyDescent="0.35">
      <c r="A30" s="279" t="s">
        <v>1301</v>
      </c>
      <c r="B30" s="279"/>
      <c r="C30" s="279"/>
      <c r="D30" s="279"/>
      <c r="E30" s="279"/>
      <c r="F30" s="279"/>
      <c r="G30" s="279"/>
      <c r="H30" s="279"/>
      <c r="I30" s="279"/>
      <c r="J30" s="279"/>
      <c r="K30" s="279"/>
      <c r="L30" s="279"/>
      <c r="M30" s="279"/>
      <c r="N30" s="200"/>
    </row>
    <row r="31" spans="1:42" x14ac:dyDescent="0.35">
      <c r="A31" s="141" t="s">
        <v>1302</v>
      </c>
    </row>
    <row r="32" spans="1:42" x14ac:dyDescent="0.35">
      <c r="A32" s="140" t="s">
        <v>1303</v>
      </c>
    </row>
    <row r="33" spans="1:1" x14ac:dyDescent="0.35">
      <c r="A33" s="125"/>
    </row>
  </sheetData>
  <mergeCells count="3">
    <mergeCell ref="A28:N28"/>
    <mergeCell ref="A29:N29"/>
    <mergeCell ref="A30:M30"/>
  </mergeCells>
  <hyperlinks>
    <hyperlink ref="A32" r:id="rId1" display="http://www.eia.gov/forecasts/aeo/pdf/nerc_map.pdf" xr:uid="{6ADA9BD7-B722-4FC2-A272-8D5F6C506D44}"/>
  </hyperlinks>
  <pageMargins left="0.25" right="0.25" top="0.75" bottom="0.75" header="0.3" footer="0.3"/>
  <pageSetup scale="45" fitToHeight="0" orientation="portrait"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4D9DE-8341-4120-BB97-7692A8D01478}">
  <dimension ref="A1:AJ528"/>
  <sheetViews>
    <sheetView workbookViewId="0">
      <selection activeCell="G538" sqref="G538"/>
    </sheetView>
  </sheetViews>
  <sheetFormatPr defaultRowHeight="14.5" x14ac:dyDescent="0.35"/>
  <cols>
    <col min="1" max="1" width="20.26953125" customWidth="1"/>
    <col min="2" max="2" width="14.1796875" customWidth="1"/>
    <col min="3" max="3" width="10.453125" customWidth="1"/>
    <col min="4" max="4" width="10.7265625" customWidth="1"/>
    <col min="5" max="5" width="12.7265625" customWidth="1"/>
    <col min="6" max="6" width="11.7265625" customWidth="1"/>
    <col min="7" max="7" width="50.54296875" customWidth="1"/>
  </cols>
  <sheetData>
    <row r="1" spans="1:36" x14ac:dyDescent="0.35">
      <c r="A1" t="s">
        <v>1304</v>
      </c>
      <c r="C1" t="s">
        <v>1305</v>
      </c>
    </row>
    <row r="2" spans="1:36" x14ac:dyDescent="0.35">
      <c r="A2" t="s">
        <v>1306</v>
      </c>
      <c r="B2" t="s">
        <v>1307</v>
      </c>
      <c r="C2" t="s">
        <v>1308</v>
      </c>
      <c r="D2" t="s">
        <v>1309</v>
      </c>
      <c r="E2" t="s">
        <v>916</v>
      </c>
      <c r="F2" t="s">
        <v>1310</v>
      </c>
      <c r="G2" t="s">
        <v>1311</v>
      </c>
      <c r="H2" t="s">
        <v>1312</v>
      </c>
      <c r="I2" t="s">
        <v>1313</v>
      </c>
      <c r="J2" t="s">
        <v>1314</v>
      </c>
      <c r="K2" t="s">
        <v>1315</v>
      </c>
      <c r="L2" t="s">
        <v>1316</v>
      </c>
      <c r="M2" t="s">
        <v>1317</v>
      </c>
      <c r="N2" t="s">
        <v>1318</v>
      </c>
      <c r="O2" t="s">
        <v>1319</v>
      </c>
      <c r="P2" t="s">
        <v>1320</v>
      </c>
      <c r="Q2" t="s">
        <v>1321</v>
      </c>
      <c r="R2" t="s">
        <v>1322</v>
      </c>
      <c r="S2" t="s">
        <v>1323</v>
      </c>
      <c r="T2" t="s">
        <v>1324</v>
      </c>
      <c r="U2" t="s">
        <v>1325</v>
      </c>
      <c r="V2" t="s">
        <v>1326</v>
      </c>
      <c r="W2" t="s">
        <v>1327</v>
      </c>
      <c r="X2" t="s">
        <v>1328</v>
      </c>
      <c r="Y2" t="s">
        <v>1329</v>
      </c>
      <c r="Z2" t="s">
        <v>1330</v>
      </c>
      <c r="AA2" t="s">
        <v>1331</v>
      </c>
      <c r="AB2" t="s">
        <v>1332</v>
      </c>
      <c r="AC2" t="s">
        <v>1333</v>
      </c>
      <c r="AD2" t="s">
        <v>1334</v>
      </c>
      <c r="AE2" t="s">
        <v>1335</v>
      </c>
      <c r="AF2" t="s">
        <v>1336</v>
      </c>
      <c r="AG2" t="s">
        <v>1337</v>
      </c>
      <c r="AH2" t="s">
        <v>1338</v>
      </c>
      <c r="AI2" t="s">
        <v>1339</v>
      </c>
      <c r="AJ2" t="s">
        <v>1340</v>
      </c>
    </row>
    <row r="3" spans="1:36" x14ac:dyDescent="0.35">
      <c r="A3" t="s">
        <v>1341</v>
      </c>
      <c r="B3" t="s">
        <v>1342</v>
      </c>
      <c r="C3" t="s">
        <v>1343</v>
      </c>
      <c r="D3">
        <v>30</v>
      </c>
      <c r="E3" t="s">
        <v>1344</v>
      </c>
      <c r="F3" t="s">
        <v>1345</v>
      </c>
      <c r="G3" t="s">
        <v>1346</v>
      </c>
      <c r="H3">
        <v>7912.0196032074391</v>
      </c>
      <c r="I3">
        <v>7443.663802958381</v>
      </c>
      <c r="J3">
        <v>6975.3080027093238</v>
      </c>
      <c r="K3">
        <v>6506.9522024602666</v>
      </c>
      <c r="L3">
        <v>6038.5964022112094</v>
      </c>
      <c r="M3">
        <v>5570.2406019621521</v>
      </c>
      <c r="N3">
        <v>5101.8848017130949</v>
      </c>
      <c r="O3">
        <v>4633.5290014640377</v>
      </c>
      <c r="P3">
        <v>4165.1732012149778</v>
      </c>
      <c r="Q3">
        <v>4114.4366074125946</v>
      </c>
      <c r="R3">
        <v>4063.700013610212</v>
      </c>
      <c r="S3">
        <v>4012.9634198078288</v>
      </c>
      <c r="T3">
        <v>3962.2268260054461</v>
      </c>
      <c r="U3">
        <v>3911.4902322030634</v>
      </c>
      <c r="V3">
        <v>3860.7536384006803</v>
      </c>
      <c r="W3">
        <v>3810.0170445982976</v>
      </c>
      <c r="X3">
        <v>3759.2804507959145</v>
      </c>
      <c r="Y3">
        <v>3708.5438569935318</v>
      </c>
      <c r="Z3">
        <v>3657.8072631911486</v>
      </c>
      <c r="AA3">
        <v>3607.070669388766</v>
      </c>
      <c r="AB3">
        <v>3556.3340755863828</v>
      </c>
      <c r="AC3">
        <v>3505.5974817840001</v>
      </c>
      <c r="AD3">
        <v>3454.860887981617</v>
      </c>
      <c r="AE3">
        <v>3404.1242941792343</v>
      </c>
      <c r="AF3">
        <v>3353.3877003768512</v>
      </c>
      <c r="AG3">
        <v>3302.6511065744685</v>
      </c>
      <c r="AH3">
        <v>3251.9145127720853</v>
      </c>
      <c r="AI3">
        <v>3201.1779189697027</v>
      </c>
      <c r="AJ3">
        <v>3150.4413251673172</v>
      </c>
    </row>
    <row r="4" spans="1:36" x14ac:dyDescent="0.35">
      <c r="A4" t="s">
        <v>1347</v>
      </c>
      <c r="B4" t="s">
        <v>1342</v>
      </c>
      <c r="C4" t="s">
        <v>1348</v>
      </c>
      <c r="D4">
        <v>30</v>
      </c>
      <c r="E4" t="s">
        <v>1344</v>
      </c>
      <c r="F4" t="s">
        <v>1345</v>
      </c>
      <c r="G4" t="s">
        <v>1346</v>
      </c>
      <c r="H4">
        <v>7912.0196032074391</v>
      </c>
      <c r="I4">
        <v>7570.5052874643379</v>
      </c>
      <c r="J4">
        <v>7228.9909717212377</v>
      </c>
      <c r="K4">
        <v>6887.4766559781374</v>
      </c>
      <c r="L4">
        <v>6545.9623402350362</v>
      </c>
      <c r="M4">
        <v>6204.4480244919359</v>
      </c>
      <c r="N4">
        <v>5862.9337087488357</v>
      </c>
      <c r="O4">
        <v>5521.4193930057354</v>
      </c>
      <c r="P4">
        <v>5179.905077262637</v>
      </c>
      <c r="Q4">
        <v>5143.6646531180777</v>
      </c>
      <c r="R4">
        <v>5107.4242289735184</v>
      </c>
      <c r="S4">
        <v>5071.1838048289583</v>
      </c>
      <c r="T4">
        <v>5034.943380684399</v>
      </c>
      <c r="U4">
        <v>4998.7029565398389</v>
      </c>
      <c r="V4">
        <v>4962.4625323952796</v>
      </c>
      <c r="W4">
        <v>4926.2221082507203</v>
      </c>
      <c r="X4">
        <v>4889.9816841061602</v>
      </c>
      <c r="Y4">
        <v>4853.7412599616009</v>
      </c>
      <c r="Z4">
        <v>4817.5008358170408</v>
      </c>
      <c r="AA4">
        <v>4781.2604116724815</v>
      </c>
      <c r="AB4">
        <v>4745.0199875279213</v>
      </c>
      <c r="AC4">
        <v>4708.7795633833621</v>
      </c>
      <c r="AD4">
        <v>4672.5391392388028</v>
      </c>
      <c r="AE4">
        <v>4636.2987150942427</v>
      </c>
      <c r="AF4">
        <v>4600.0582909496834</v>
      </c>
      <c r="AG4">
        <v>4563.8178668051232</v>
      </c>
      <c r="AH4">
        <v>4527.577442660564</v>
      </c>
      <c r="AI4">
        <v>4491.3370185160047</v>
      </c>
      <c r="AJ4">
        <v>4455.0965943714518</v>
      </c>
    </row>
    <row r="5" spans="1:36" x14ac:dyDescent="0.35">
      <c r="A5" t="s">
        <v>1349</v>
      </c>
      <c r="B5" t="s">
        <v>1342</v>
      </c>
      <c r="C5" t="s">
        <v>1350</v>
      </c>
      <c r="D5">
        <v>30</v>
      </c>
      <c r="E5" t="s">
        <v>1344</v>
      </c>
      <c r="F5" t="s">
        <v>1345</v>
      </c>
      <c r="G5" t="s">
        <v>1346</v>
      </c>
      <c r="H5">
        <v>7912.0196032074391</v>
      </c>
      <c r="I5">
        <v>7912.0196032074391</v>
      </c>
      <c r="J5">
        <v>7912.0196032074391</v>
      </c>
      <c r="K5">
        <v>7912.0196032074391</v>
      </c>
      <c r="L5">
        <v>7912.0196032074391</v>
      </c>
      <c r="M5">
        <v>7912.0196032074391</v>
      </c>
      <c r="N5">
        <v>7912.0196032074391</v>
      </c>
      <c r="O5">
        <v>7912.0196032074391</v>
      </c>
      <c r="P5">
        <v>7912.0196032074391</v>
      </c>
      <c r="Q5">
        <v>7912.0196032074391</v>
      </c>
      <c r="R5">
        <v>7912.0196032074391</v>
      </c>
      <c r="S5">
        <v>7912.0196032074391</v>
      </c>
      <c r="T5">
        <v>7912.0196032074391</v>
      </c>
      <c r="U5">
        <v>7912.0196032074391</v>
      </c>
      <c r="V5">
        <v>7912.0196032074391</v>
      </c>
      <c r="W5">
        <v>7912.0196032074391</v>
      </c>
      <c r="X5">
        <v>7912.0196032074391</v>
      </c>
      <c r="Y5">
        <v>7912.0196032074391</v>
      </c>
      <c r="Z5">
        <v>7912.0196032074391</v>
      </c>
      <c r="AA5">
        <v>7912.0196032074391</v>
      </c>
      <c r="AB5">
        <v>7912.0196032074391</v>
      </c>
      <c r="AC5">
        <v>7912.0196032074391</v>
      </c>
      <c r="AD5">
        <v>7912.0196032074391</v>
      </c>
      <c r="AE5">
        <v>7912.0196032074391</v>
      </c>
      <c r="AF5">
        <v>7912.0196032074391</v>
      </c>
      <c r="AG5">
        <v>7912.0196032074391</v>
      </c>
      <c r="AH5">
        <v>7912.0196032074391</v>
      </c>
      <c r="AI5">
        <v>7912.0196032074391</v>
      </c>
      <c r="AJ5">
        <v>7912.0196032074391</v>
      </c>
    </row>
    <row r="6" spans="1:36" x14ac:dyDescent="0.35">
      <c r="A6" t="s">
        <v>1351</v>
      </c>
      <c r="B6" t="s">
        <v>1342</v>
      </c>
      <c r="C6" t="s">
        <v>1343</v>
      </c>
      <c r="D6">
        <v>30</v>
      </c>
      <c r="E6" t="s">
        <v>1344</v>
      </c>
      <c r="F6" t="s">
        <v>1352</v>
      </c>
      <c r="G6" t="s">
        <v>1353</v>
      </c>
      <c r="H6">
        <v>7912.0196032074391</v>
      </c>
      <c r="I6">
        <v>7443.663802958381</v>
      </c>
      <c r="J6">
        <v>6975.3080027093238</v>
      </c>
      <c r="K6">
        <v>6506.9522024602666</v>
      </c>
      <c r="L6">
        <v>6038.5964022112094</v>
      </c>
      <c r="M6">
        <v>5570.2406019621521</v>
      </c>
      <c r="N6">
        <v>5101.8848017130949</v>
      </c>
      <c r="O6">
        <v>4633.5290014640377</v>
      </c>
      <c r="P6">
        <v>4165.1732012149778</v>
      </c>
      <c r="Q6">
        <v>4114.4366074125946</v>
      </c>
      <c r="R6">
        <v>4063.700013610212</v>
      </c>
      <c r="S6">
        <v>4012.9634198078288</v>
      </c>
      <c r="T6">
        <v>3962.2268260054461</v>
      </c>
      <c r="U6">
        <v>3911.4902322030634</v>
      </c>
      <c r="V6">
        <v>3860.7536384006803</v>
      </c>
      <c r="W6">
        <v>3810.0170445982976</v>
      </c>
      <c r="X6">
        <v>3759.2804507959145</v>
      </c>
      <c r="Y6">
        <v>3708.5438569935318</v>
      </c>
      <c r="Z6">
        <v>3657.8072631911486</v>
      </c>
      <c r="AA6">
        <v>3607.070669388766</v>
      </c>
      <c r="AB6">
        <v>3556.3340755863828</v>
      </c>
      <c r="AC6">
        <v>3505.5974817840001</v>
      </c>
      <c r="AD6">
        <v>3454.860887981617</v>
      </c>
      <c r="AE6">
        <v>3404.1242941792343</v>
      </c>
      <c r="AF6">
        <v>3353.3877003768512</v>
      </c>
      <c r="AG6">
        <v>3302.6511065744685</v>
      </c>
      <c r="AH6">
        <v>3251.9145127720853</v>
      </c>
      <c r="AI6">
        <v>3201.1779189697027</v>
      </c>
      <c r="AJ6">
        <v>3150.4413251673172</v>
      </c>
    </row>
    <row r="7" spans="1:36" x14ac:dyDescent="0.35">
      <c r="A7" t="s">
        <v>1354</v>
      </c>
      <c r="B7" t="s">
        <v>1342</v>
      </c>
      <c r="C7" t="s">
        <v>1348</v>
      </c>
      <c r="D7">
        <v>30</v>
      </c>
      <c r="E7" t="s">
        <v>1344</v>
      </c>
      <c r="F7" t="s">
        <v>1352</v>
      </c>
      <c r="G7" t="s">
        <v>1353</v>
      </c>
      <c r="H7">
        <v>7912.0196032074391</v>
      </c>
      <c r="I7">
        <v>7570.5052874643379</v>
      </c>
      <c r="J7">
        <v>7228.9909717212377</v>
      </c>
      <c r="K7">
        <v>6887.4766559781374</v>
      </c>
      <c r="L7">
        <v>6545.9623402350362</v>
      </c>
      <c r="M7">
        <v>6204.4480244919359</v>
      </c>
      <c r="N7">
        <v>5862.9337087488357</v>
      </c>
      <c r="O7">
        <v>5521.4193930057354</v>
      </c>
      <c r="P7">
        <v>5179.905077262637</v>
      </c>
      <c r="Q7">
        <v>5143.6646531180777</v>
      </c>
      <c r="R7">
        <v>5107.4242289735184</v>
      </c>
      <c r="S7">
        <v>5071.1838048289583</v>
      </c>
      <c r="T7">
        <v>5034.943380684399</v>
      </c>
      <c r="U7">
        <v>4998.7029565398389</v>
      </c>
      <c r="V7">
        <v>4962.4625323952796</v>
      </c>
      <c r="W7">
        <v>4926.2221082507203</v>
      </c>
      <c r="X7">
        <v>4889.9816841061602</v>
      </c>
      <c r="Y7">
        <v>4853.7412599616009</v>
      </c>
      <c r="Z7">
        <v>4817.5008358170408</v>
      </c>
      <c r="AA7">
        <v>4781.2604116724815</v>
      </c>
      <c r="AB7">
        <v>4745.0199875279213</v>
      </c>
      <c r="AC7">
        <v>4708.7795633833621</v>
      </c>
      <c r="AD7">
        <v>4672.5391392388028</v>
      </c>
      <c r="AE7">
        <v>4636.2987150942427</v>
      </c>
      <c r="AF7">
        <v>4600.0582909496834</v>
      </c>
      <c r="AG7">
        <v>4563.8178668051232</v>
      </c>
      <c r="AH7">
        <v>4527.577442660564</v>
      </c>
      <c r="AI7">
        <v>4491.3370185160047</v>
      </c>
      <c r="AJ7">
        <v>4455.0965943714518</v>
      </c>
    </row>
    <row r="8" spans="1:36" x14ac:dyDescent="0.35">
      <c r="A8" t="s">
        <v>1355</v>
      </c>
      <c r="B8" t="s">
        <v>1342</v>
      </c>
      <c r="C8" t="s">
        <v>1350</v>
      </c>
      <c r="D8">
        <v>30</v>
      </c>
      <c r="E8" t="s">
        <v>1344</v>
      </c>
      <c r="F8" t="s">
        <v>1352</v>
      </c>
      <c r="G8" t="s">
        <v>1353</v>
      </c>
      <c r="H8">
        <v>7912.0196032074391</v>
      </c>
      <c r="I8">
        <v>7912.0196032074391</v>
      </c>
      <c r="J8">
        <v>7912.0196032074391</v>
      </c>
      <c r="K8">
        <v>7912.0196032074391</v>
      </c>
      <c r="L8">
        <v>7912.0196032074391</v>
      </c>
      <c r="M8">
        <v>7912.0196032074391</v>
      </c>
      <c r="N8">
        <v>7912.0196032074391</v>
      </c>
      <c r="O8">
        <v>7912.0196032074391</v>
      </c>
      <c r="P8">
        <v>7912.0196032074391</v>
      </c>
      <c r="Q8">
        <v>7912.0196032074391</v>
      </c>
      <c r="R8">
        <v>7912.0196032074391</v>
      </c>
      <c r="S8">
        <v>7912.0196032074391</v>
      </c>
      <c r="T8">
        <v>7912.0196032074391</v>
      </c>
      <c r="U8">
        <v>7912.0196032074391</v>
      </c>
      <c r="V8">
        <v>7912.0196032074391</v>
      </c>
      <c r="W8">
        <v>7912.0196032074391</v>
      </c>
      <c r="X8">
        <v>7912.0196032074391</v>
      </c>
      <c r="Y8">
        <v>7912.0196032074391</v>
      </c>
      <c r="Z8">
        <v>7912.0196032074391</v>
      </c>
      <c r="AA8">
        <v>7912.0196032074391</v>
      </c>
      <c r="AB8">
        <v>7912.0196032074391</v>
      </c>
      <c r="AC8">
        <v>7912.0196032074391</v>
      </c>
      <c r="AD8">
        <v>7912.0196032074391</v>
      </c>
      <c r="AE8">
        <v>7912.0196032074391</v>
      </c>
      <c r="AF8">
        <v>7912.0196032074391</v>
      </c>
      <c r="AG8">
        <v>7912.0196032074391</v>
      </c>
      <c r="AH8">
        <v>7912.0196032074391</v>
      </c>
      <c r="AI8">
        <v>7912.0196032074391</v>
      </c>
      <c r="AJ8">
        <v>7912.0196032074391</v>
      </c>
    </row>
    <row r="9" spans="1:36" x14ac:dyDescent="0.35">
      <c r="A9" t="s">
        <v>1356</v>
      </c>
      <c r="B9" t="s">
        <v>1342</v>
      </c>
      <c r="C9" t="s">
        <v>1343</v>
      </c>
      <c r="D9">
        <v>30</v>
      </c>
      <c r="E9" t="s">
        <v>1344</v>
      </c>
      <c r="F9" t="s">
        <v>1357</v>
      </c>
      <c r="G9" t="s">
        <v>1358</v>
      </c>
      <c r="H9">
        <v>7912.0196032074391</v>
      </c>
      <c r="I9">
        <v>7443.663802958381</v>
      </c>
      <c r="J9">
        <v>6975.3080027093238</v>
      </c>
      <c r="K9">
        <v>6506.9522024602666</v>
      </c>
      <c r="L9">
        <v>6038.5964022112094</v>
      </c>
      <c r="M9">
        <v>5570.2406019621521</v>
      </c>
      <c r="N9">
        <v>5101.8848017130949</v>
      </c>
      <c r="O9">
        <v>4633.5290014640377</v>
      </c>
      <c r="P9">
        <v>4165.1732012149778</v>
      </c>
      <c r="Q9">
        <v>4114.4366074125946</v>
      </c>
      <c r="R9">
        <v>4063.700013610212</v>
      </c>
      <c r="S9">
        <v>4012.9634198078288</v>
      </c>
      <c r="T9">
        <v>3962.2268260054461</v>
      </c>
      <c r="U9">
        <v>3911.4902322030634</v>
      </c>
      <c r="V9">
        <v>3860.7536384006803</v>
      </c>
      <c r="W9">
        <v>3810.0170445982976</v>
      </c>
      <c r="X9">
        <v>3759.2804507959145</v>
      </c>
      <c r="Y9">
        <v>3708.5438569935318</v>
      </c>
      <c r="Z9">
        <v>3657.8072631911486</v>
      </c>
      <c r="AA9">
        <v>3607.070669388766</v>
      </c>
      <c r="AB9">
        <v>3556.3340755863828</v>
      </c>
      <c r="AC9">
        <v>3505.5974817840001</v>
      </c>
      <c r="AD9">
        <v>3454.860887981617</v>
      </c>
      <c r="AE9">
        <v>3404.1242941792343</v>
      </c>
      <c r="AF9">
        <v>3353.3877003768512</v>
      </c>
      <c r="AG9">
        <v>3302.6511065744685</v>
      </c>
      <c r="AH9">
        <v>3251.9145127720853</v>
      </c>
      <c r="AI9">
        <v>3201.1779189697027</v>
      </c>
      <c r="AJ9">
        <v>3150.4413251673172</v>
      </c>
    </row>
    <row r="10" spans="1:36" x14ac:dyDescent="0.35">
      <c r="A10" t="s">
        <v>1359</v>
      </c>
      <c r="B10" t="s">
        <v>1342</v>
      </c>
      <c r="C10" t="s">
        <v>1348</v>
      </c>
      <c r="D10">
        <v>30</v>
      </c>
      <c r="E10" t="s">
        <v>1344</v>
      </c>
      <c r="F10" t="s">
        <v>1357</v>
      </c>
      <c r="G10" t="s">
        <v>1358</v>
      </c>
      <c r="H10">
        <v>7912.0196032074391</v>
      </c>
      <c r="I10">
        <v>7570.5052874643379</v>
      </c>
      <c r="J10">
        <v>7228.9909717212377</v>
      </c>
      <c r="K10">
        <v>6887.4766559781374</v>
      </c>
      <c r="L10">
        <v>6545.9623402350362</v>
      </c>
      <c r="M10">
        <v>6204.4480244919359</v>
      </c>
      <c r="N10">
        <v>5862.9337087488357</v>
      </c>
      <c r="O10">
        <v>5521.4193930057354</v>
      </c>
      <c r="P10">
        <v>5179.905077262637</v>
      </c>
      <c r="Q10">
        <v>5143.6646531180777</v>
      </c>
      <c r="R10">
        <v>5107.4242289735184</v>
      </c>
      <c r="S10">
        <v>5071.1838048289583</v>
      </c>
      <c r="T10">
        <v>5034.943380684399</v>
      </c>
      <c r="U10">
        <v>4998.7029565398389</v>
      </c>
      <c r="V10">
        <v>4962.4625323952796</v>
      </c>
      <c r="W10">
        <v>4926.2221082507203</v>
      </c>
      <c r="X10">
        <v>4889.9816841061602</v>
      </c>
      <c r="Y10">
        <v>4853.7412599616009</v>
      </c>
      <c r="Z10">
        <v>4817.5008358170408</v>
      </c>
      <c r="AA10">
        <v>4781.2604116724815</v>
      </c>
      <c r="AB10">
        <v>4745.0199875279213</v>
      </c>
      <c r="AC10">
        <v>4708.7795633833621</v>
      </c>
      <c r="AD10">
        <v>4672.5391392388028</v>
      </c>
      <c r="AE10">
        <v>4636.2987150942427</v>
      </c>
      <c r="AF10">
        <v>4600.0582909496834</v>
      </c>
      <c r="AG10">
        <v>4563.8178668051232</v>
      </c>
      <c r="AH10">
        <v>4527.577442660564</v>
      </c>
      <c r="AI10">
        <v>4491.3370185160047</v>
      </c>
      <c r="AJ10">
        <v>4455.0965943714518</v>
      </c>
    </row>
    <row r="11" spans="1:36" x14ac:dyDescent="0.35">
      <c r="A11" t="s">
        <v>1360</v>
      </c>
      <c r="B11" t="s">
        <v>1342</v>
      </c>
      <c r="C11" t="s">
        <v>1350</v>
      </c>
      <c r="D11">
        <v>30</v>
      </c>
      <c r="E11" t="s">
        <v>1344</v>
      </c>
      <c r="F11" t="s">
        <v>1357</v>
      </c>
      <c r="G11" t="s">
        <v>1358</v>
      </c>
      <c r="H11">
        <v>7912.0196032074391</v>
      </c>
      <c r="I11">
        <v>7912.0196032074391</v>
      </c>
      <c r="J11">
        <v>7912.0196032074391</v>
      </c>
      <c r="K11">
        <v>7912.0196032074391</v>
      </c>
      <c r="L11">
        <v>7912.0196032074391</v>
      </c>
      <c r="M11">
        <v>7912.0196032074391</v>
      </c>
      <c r="N11">
        <v>7912.0196032074391</v>
      </c>
      <c r="O11">
        <v>7912.0196032074391</v>
      </c>
      <c r="P11">
        <v>7912.0196032074391</v>
      </c>
      <c r="Q11">
        <v>7912.0196032074391</v>
      </c>
      <c r="R11">
        <v>7912.0196032074391</v>
      </c>
      <c r="S11">
        <v>7912.0196032074391</v>
      </c>
      <c r="T11">
        <v>7912.0196032074391</v>
      </c>
      <c r="U11">
        <v>7912.0196032074391</v>
      </c>
      <c r="V11">
        <v>7912.0196032074391</v>
      </c>
      <c r="W11">
        <v>7912.0196032074391</v>
      </c>
      <c r="X11">
        <v>7912.0196032074391</v>
      </c>
      <c r="Y11">
        <v>7912.0196032074391</v>
      </c>
      <c r="Z11">
        <v>7912.0196032074391</v>
      </c>
      <c r="AA11">
        <v>7912.0196032074391</v>
      </c>
      <c r="AB11">
        <v>7912.0196032074391</v>
      </c>
      <c r="AC11">
        <v>7912.0196032074391</v>
      </c>
      <c r="AD11">
        <v>7912.0196032074391</v>
      </c>
      <c r="AE11">
        <v>7912.0196032074391</v>
      </c>
      <c r="AF11">
        <v>7912.0196032074391</v>
      </c>
      <c r="AG11">
        <v>7912.0196032074391</v>
      </c>
      <c r="AH11">
        <v>7912.0196032074391</v>
      </c>
      <c r="AI11">
        <v>7912.0196032074391</v>
      </c>
      <c r="AJ11">
        <v>7912.0196032074391</v>
      </c>
    </row>
    <row r="12" spans="1:36" x14ac:dyDescent="0.35">
      <c r="A12" t="s">
        <v>1361</v>
      </c>
      <c r="B12" t="s">
        <v>1342</v>
      </c>
      <c r="C12" t="s">
        <v>1343</v>
      </c>
      <c r="D12">
        <v>30</v>
      </c>
      <c r="E12" t="s">
        <v>1362</v>
      </c>
      <c r="F12" t="s">
        <v>1363</v>
      </c>
      <c r="G12" t="s">
        <v>1364</v>
      </c>
      <c r="H12">
        <v>5493.2472722188113</v>
      </c>
      <c r="I12">
        <v>5086.3063545707191</v>
      </c>
      <c r="J12">
        <v>4846.1824804249818</v>
      </c>
      <c r="K12">
        <v>4678.5633018482695</v>
      </c>
      <c r="L12">
        <v>4208.0103565204508</v>
      </c>
      <c r="M12">
        <v>3763.8043609100014</v>
      </c>
      <c r="N12">
        <v>3336.9353480386576</v>
      </c>
      <c r="O12">
        <v>3264.6893091563625</v>
      </c>
      <c r="P12">
        <v>3201.94383126809</v>
      </c>
      <c r="Q12">
        <v>3117.8664386249166</v>
      </c>
      <c r="R12">
        <v>3046.8906224857997</v>
      </c>
      <c r="S12">
        <v>2985.6730262090978</v>
      </c>
      <c r="T12">
        <v>2931.9861866602009</v>
      </c>
      <c r="U12">
        <v>2884.2750593950282</v>
      </c>
      <c r="V12">
        <v>2852.3719245703505</v>
      </c>
      <c r="W12">
        <v>2822.7352786641341</v>
      </c>
      <c r="X12">
        <v>2795.0836260366023</v>
      </c>
      <c r="Y12">
        <v>2769.1836989342719</v>
      </c>
      <c r="Z12">
        <v>2744.84036843788</v>
      </c>
      <c r="AA12">
        <v>2721.888661915686</v>
      </c>
      <c r="AB12">
        <v>2700.1879978508587</v>
      </c>
      <c r="AC12">
        <v>2679.6173076184891</v>
      </c>
      <c r="AD12">
        <v>2660.0724855054045</v>
      </c>
      <c r="AE12">
        <v>2641.4625083055157</v>
      </c>
      <c r="AF12">
        <v>2623.7074396831481</v>
      </c>
      <c r="AG12">
        <v>2606.7375432234053</v>
      </c>
      <c r="AH12">
        <v>2590.4907324519772</v>
      </c>
      <c r="AI12">
        <v>2574.9117947542081</v>
      </c>
      <c r="AJ12">
        <v>2559.9516152941696</v>
      </c>
    </row>
    <row r="13" spans="1:36" x14ac:dyDescent="0.35">
      <c r="A13" t="s">
        <v>1365</v>
      </c>
      <c r="B13" t="s">
        <v>1342</v>
      </c>
      <c r="C13" t="s">
        <v>1348</v>
      </c>
      <c r="D13">
        <v>30</v>
      </c>
      <c r="E13" t="s">
        <v>1362</v>
      </c>
      <c r="F13" t="s">
        <v>1363</v>
      </c>
      <c r="G13" t="s">
        <v>1364</v>
      </c>
      <c r="H13">
        <v>6252.4766015531568</v>
      </c>
      <c r="I13">
        <v>6049.298946976709</v>
      </c>
      <c r="J13">
        <v>5905.0969017421139</v>
      </c>
      <c r="K13">
        <v>5794.1397243895353</v>
      </c>
      <c r="L13">
        <v>5704.4130169275859</v>
      </c>
      <c r="M13">
        <v>5629.3642172049676</v>
      </c>
      <c r="N13">
        <v>5207.7542613138739</v>
      </c>
      <c r="O13">
        <v>4794.3036877029836</v>
      </c>
      <c r="P13">
        <v>4387.2588860791238</v>
      </c>
      <c r="Q13">
        <v>3954.964956646158</v>
      </c>
      <c r="R13">
        <v>3534.0053565734711</v>
      </c>
      <c r="S13">
        <v>3478.8168004271774</v>
      </c>
      <c r="T13">
        <v>3430.2079692646912</v>
      </c>
      <c r="U13">
        <v>3386.8417865142433</v>
      </c>
      <c r="V13">
        <v>3357.7542732995662</v>
      </c>
      <c r="W13">
        <v>3330.6676075882633</v>
      </c>
      <c r="X13">
        <v>3305.3374347564404</v>
      </c>
      <c r="Y13">
        <v>3281.5608650755444</v>
      </c>
      <c r="Z13">
        <v>3259.1678259534451</v>
      </c>
      <c r="AA13">
        <v>3238.013855468666</v>
      </c>
      <c r="AB13">
        <v>3217.9762219657382</v>
      </c>
      <c r="AC13">
        <v>3198.9487132261083</v>
      </c>
      <c r="AD13">
        <v>3180.8394190940558</v>
      </c>
      <c r="AE13">
        <v>3163.5686249713131</v>
      </c>
      <c r="AF13">
        <v>3147.0659292307605</v>
      </c>
      <c r="AG13">
        <v>3131.2693562667905</v>
      </c>
      <c r="AH13">
        <v>3116.124247808269</v>
      </c>
      <c r="AI13">
        <v>3101.5817107566763</v>
      </c>
      <c r="AJ13">
        <v>3087.5981737112902</v>
      </c>
    </row>
    <row r="14" spans="1:36" x14ac:dyDescent="0.35">
      <c r="A14" t="s">
        <v>1366</v>
      </c>
      <c r="B14" t="s">
        <v>1342</v>
      </c>
      <c r="C14" t="s">
        <v>1350</v>
      </c>
      <c r="D14">
        <v>30</v>
      </c>
      <c r="E14" t="s">
        <v>1362</v>
      </c>
      <c r="F14" t="s">
        <v>1363</v>
      </c>
      <c r="G14" t="s">
        <v>1364</v>
      </c>
      <c r="H14">
        <v>7592.292960737338</v>
      </c>
      <c r="I14">
        <v>7555.2278899172252</v>
      </c>
      <c r="J14">
        <v>7521.4576152463505</v>
      </c>
      <c r="K14">
        <v>7490.4634929268068</v>
      </c>
      <c r="L14">
        <v>7461.8389674205628</v>
      </c>
      <c r="M14">
        <v>7435.2598586367531</v>
      </c>
      <c r="N14">
        <v>7410.4634077465953</v>
      </c>
      <c r="O14">
        <v>7387.2340859892684</v>
      </c>
      <c r="P14">
        <v>6844.3527263319884</v>
      </c>
      <c r="Q14">
        <v>6261.9670734951042</v>
      </c>
      <c r="R14">
        <v>5688.5559096511633</v>
      </c>
      <c r="S14">
        <v>5121.9004194244781</v>
      </c>
      <c r="T14">
        <v>4560.5070905017574</v>
      </c>
      <c r="U14">
        <v>4003.3242223556554</v>
      </c>
      <c r="V14">
        <v>3979.0052829741712</v>
      </c>
      <c r="W14">
        <v>3956.3034745110795</v>
      </c>
      <c r="X14">
        <v>3935.0247767341575</v>
      </c>
      <c r="Y14">
        <v>3915.0076539414931</v>
      </c>
      <c r="Z14">
        <v>3896.1161811018264</v>
      </c>
      <c r="AA14">
        <v>3878.2352765002752</v>
      </c>
      <c r="AB14">
        <v>3861.2660452527571</v>
      </c>
      <c r="AC14">
        <v>3845.1235619319123</v>
      </c>
      <c r="AD14">
        <v>3829.7340988494957</v>
      </c>
      <c r="AE14">
        <v>3815.0329086822971</v>
      </c>
      <c r="AF14">
        <v>3800.9636701286213</v>
      </c>
      <c r="AG14">
        <v>3787.4760487967933</v>
      </c>
      <c r="AH14">
        <v>3774.5260298112762</v>
      </c>
      <c r="AI14">
        <v>3762.0737004385837</v>
      </c>
      <c r="AJ14">
        <v>3750.0838044308034</v>
      </c>
    </row>
    <row r="15" spans="1:36" x14ac:dyDescent="0.35">
      <c r="A15" t="s">
        <v>1367</v>
      </c>
      <c r="B15" t="s">
        <v>1342</v>
      </c>
      <c r="C15" t="s">
        <v>1343</v>
      </c>
      <c r="D15">
        <v>30</v>
      </c>
      <c r="E15" t="s">
        <v>1362</v>
      </c>
      <c r="F15" t="s">
        <v>1345</v>
      </c>
      <c r="G15" t="s">
        <v>1368</v>
      </c>
      <c r="H15">
        <v>5340.2579952325432</v>
      </c>
      <c r="I15">
        <v>4944.6506308638009</v>
      </c>
      <c r="J15">
        <v>4711.2142460822824</v>
      </c>
      <c r="K15">
        <v>4548.2634160302305</v>
      </c>
      <c r="L15">
        <v>4090.8155950050027</v>
      </c>
      <c r="M15">
        <v>3658.9808837445294</v>
      </c>
      <c r="N15">
        <v>3244.0004328853943</v>
      </c>
      <c r="O15">
        <v>3173.7663283768852</v>
      </c>
      <c r="P15">
        <v>3112.768473871763</v>
      </c>
      <c r="Q15">
        <v>3031.0326282597443</v>
      </c>
      <c r="R15">
        <v>2962.0334902465024</v>
      </c>
      <c r="S15">
        <v>2902.5208329018601</v>
      </c>
      <c r="T15">
        <v>2850.3291686968159</v>
      </c>
      <c r="U15">
        <v>2803.9468028506017</v>
      </c>
      <c r="V15">
        <v>2772.9322806894993</v>
      </c>
      <c r="W15">
        <v>2744.1210522855058</v>
      </c>
      <c r="X15">
        <v>2717.239382808134</v>
      </c>
      <c r="Y15">
        <v>2692.0608783635557</v>
      </c>
      <c r="Z15">
        <v>2668.3953991241947</v>
      </c>
      <c r="AA15">
        <v>2646.0829615499952</v>
      </c>
      <c r="AB15">
        <v>2624.9866427913621</v>
      </c>
      <c r="AC15">
        <v>2604.9889220219197</v>
      </c>
      <c r="AD15">
        <v>2585.9883543773926</v>
      </c>
      <c r="AE15">
        <v>2567.8965775005918</v>
      </c>
      <c r="AF15">
        <v>2550.6360941673338</v>
      </c>
      <c r="AG15">
        <v>2534.1388309932831</v>
      </c>
      <c r="AH15">
        <v>2518.3444754033958</v>
      </c>
      <c r="AI15">
        <v>2503.1994778135781</v>
      </c>
      <c r="AJ15">
        <v>2488.6558320749441</v>
      </c>
    </row>
    <row r="16" spans="1:36" x14ac:dyDescent="0.35">
      <c r="A16" t="s">
        <v>1369</v>
      </c>
      <c r="B16" t="s">
        <v>1342</v>
      </c>
      <c r="C16" t="s">
        <v>1348</v>
      </c>
      <c r="D16">
        <v>30</v>
      </c>
      <c r="E16" t="s">
        <v>1362</v>
      </c>
      <c r="F16" t="s">
        <v>1345</v>
      </c>
      <c r="G16" t="s">
        <v>1368</v>
      </c>
      <c r="H16">
        <v>6078.3425561845506</v>
      </c>
      <c r="I16">
        <v>5880.8234185293204</v>
      </c>
      <c r="J16">
        <v>5740.6375921017134</v>
      </c>
      <c r="K16">
        <v>5632.7705472705575</v>
      </c>
      <c r="L16">
        <v>5545.5427095309187</v>
      </c>
      <c r="M16">
        <v>5472.5840066184965</v>
      </c>
      <c r="N16">
        <v>5062.7161551814588</v>
      </c>
      <c r="O16">
        <v>4660.7804051811663</v>
      </c>
      <c r="P16">
        <v>4265.07192855426</v>
      </c>
      <c r="Q16">
        <v>3844.8174534398181</v>
      </c>
      <c r="R16">
        <v>3435.581886222416</v>
      </c>
      <c r="S16">
        <v>3381.9304137901358</v>
      </c>
      <c r="T16">
        <v>3334.6752895050358</v>
      </c>
      <c r="U16">
        <v>3292.516799548639</v>
      </c>
      <c r="V16">
        <v>3264.2394039550163</v>
      </c>
      <c r="W16">
        <v>3237.907088906592</v>
      </c>
      <c r="X16">
        <v>3213.2823736391265</v>
      </c>
      <c r="Y16">
        <v>3190.1681335966837</v>
      </c>
      <c r="Z16">
        <v>3168.3987309352965</v>
      </c>
      <c r="AA16">
        <v>3147.8339167442459</v>
      </c>
      <c r="AB16">
        <v>3128.3542854291877</v>
      </c>
      <c r="AC16">
        <v>3109.8566182265799</v>
      </c>
      <c r="AD16">
        <v>3092.2517766983037</v>
      </c>
      <c r="AE16">
        <v>3075.4619310140629</v>
      </c>
      <c r="AF16">
        <v>3059.4187860521156</v>
      </c>
      <c r="AG16">
        <v>3044.0622509748246</v>
      </c>
      <c r="AH16">
        <v>3029.3389979355047</v>
      </c>
      <c r="AI16">
        <v>3015.2013533913823</v>
      </c>
      <c r="AJ16">
        <v>3001.6072981035932</v>
      </c>
    </row>
    <row r="17" spans="1:36" x14ac:dyDescent="0.35">
      <c r="A17" t="s">
        <v>1370</v>
      </c>
      <c r="B17" t="s">
        <v>1342</v>
      </c>
      <c r="C17" t="s">
        <v>1350</v>
      </c>
      <c r="D17">
        <v>30</v>
      </c>
      <c r="E17" t="s">
        <v>1362</v>
      </c>
      <c r="F17" t="s">
        <v>1345</v>
      </c>
      <c r="G17" t="s">
        <v>1368</v>
      </c>
      <c r="H17">
        <v>7380.8445008330391</v>
      </c>
      <c r="I17">
        <v>7344.8116176483472</v>
      </c>
      <c r="J17">
        <v>7311.9819530632822</v>
      </c>
      <c r="K17">
        <v>7281.8510544740693</v>
      </c>
      <c r="L17">
        <v>7254.0236749504957</v>
      </c>
      <c r="M17">
        <v>7228.1848365041387</v>
      </c>
      <c r="N17">
        <v>7204.0789867719868</v>
      </c>
      <c r="O17">
        <v>7181.4965839032402</v>
      </c>
      <c r="P17">
        <v>6653.734722033827</v>
      </c>
      <c r="Q17">
        <v>6087.5687171358613</v>
      </c>
      <c r="R17">
        <v>5530.1274140404403</v>
      </c>
      <c r="S17">
        <v>4979.2534186339635</v>
      </c>
      <c r="T17">
        <v>4433.4951269732992</v>
      </c>
      <c r="U17">
        <v>3891.829997000289</v>
      </c>
      <c r="V17">
        <v>3868.1883545323149</v>
      </c>
      <c r="W17">
        <v>3846.118719420153</v>
      </c>
      <c r="X17">
        <v>3825.4327257354926</v>
      </c>
      <c r="Y17">
        <v>3805.9730507871768</v>
      </c>
      <c r="Z17">
        <v>3787.6077608172964</v>
      </c>
      <c r="AA17">
        <v>3770.2247675659778</v>
      </c>
      <c r="AB17">
        <v>3753.7281696041518</v>
      </c>
      <c r="AC17">
        <v>3738.0352588785408</v>
      </c>
      <c r="AD17">
        <v>3723.0743033375734</v>
      </c>
      <c r="AE17">
        <v>3708.7827730321233</v>
      </c>
      <c r="AF17">
        <v>3695.1052336101261</v>
      </c>
      <c r="AG17">
        <v>3681.9932354478801</v>
      </c>
      <c r="AH17">
        <v>3669.403872356887</v>
      </c>
      <c r="AI17">
        <v>3657.298340290703</v>
      </c>
      <c r="AJ17">
        <v>3645.6424916884557</v>
      </c>
    </row>
    <row r="18" spans="1:36" x14ac:dyDescent="0.35">
      <c r="A18" t="s">
        <v>1371</v>
      </c>
      <c r="B18" t="s">
        <v>1342</v>
      </c>
      <c r="C18" t="s">
        <v>1343</v>
      </c>
      <c r="D18">
        <v>30</v>
      </c>
      <c r="E18" t="s">
        <v>1362</v>
      </c>
      <c r="F18" t="s">
        <v>1352</v>
      </c>
      <c r="G18" t="s">
        <v>1372</v>
      </c>
      <c r="H18">
        <v>5571.8792375900994</v>
      </c>
      <c r="I18">
        <v>5159.1132782271916</v>
      </c>
      <c r="J18">
        <v>4915.5521416474157</v>
      </c>
      <c r="K18">
        <v>4745.5337643134008</v>
      </c>
      <c r="L18">
        <v>4268.2451017350695</v>
      </c>
      <c r="M18">
        <v>3817.6805642055465</v>
      </c>
      <c r="N18">
        <v>3384.7013553123738</v>
      </c>
      <c r="O18">
        <v>3311.4211331579845</v>
      </c>
      <c r="P18">
        <v>3247.7775078975819</v>
      </c>
      <c r="Q18">
        <v>3162.4966354711119</v>
      </c>
      <c r="R18">
        <v>3090.5047076586752</v>
      </c>
      <c r="S18">
        <v>3028.4109160132598</v>
      </c>
      <c r="T18">
        <v>2973.9555346073571</v>
      </c>
      <c r="U18">
        <v>2925.5614561247639</v>
      </c>
      <c r="V18">
        <v>2893.2017639764927</v>
      </c>
      <c r="W18">
        <v>2863.1408235395829</v>
      </c>
      <c r="X18">
        <v>2835.0932587696147</v>
      </c>
      <c r="Y18">
        <v>2808.822697589389</v>
      </c>
      <c r="Z18">
        <v>2784.130795887223</v>
      </c>
      <c r="AA18">
        <v>2760.8505853947017</v>
      </c>
      <c r="AB18">
        <v>2738.8392672209106</v>
      </c>
      <c r="AC18">
        <v>2717.9742205790853</v>
      </c>
      <c r="AD18">
        <v>2698.1495658567851</v>
      </c>
      <c r="AE18">
        <v>2679.2730602921756</v>
      </c>
      <c r="AF18">
        <v>2661.2639914686533</v>
      </c>
      <c r="AG18">
        <v>2644.05118167817</v>
      </c>
      <c r="AH18">
        <v>2627.5716574967796</v>
      </c>
      <c r="AI18">
        <v>2611.7697628350115</v>
      </c>
      <c r="AJ18">
        <v>2596.5954959073051</v>
      </c>
    </row>
    <row r="19" spans="1:36" x14ac:dyDescent="0.35">
      <c r="A19" t="s">
        <v>1373</v>
      </c>
      <c r="B19" t="s">
        <v>1342</v>
      </c>
      <c r="C19" t="s">
        <v>1348</v>
      </c>
      <c r="D19">
        <v>30</v>
      </c>
      <c r="E19" t="s">
        <v>1362</v>
      </c>
      <c r="F19" t="s">
        <v>1352</v>
      </c>
      <c r="G19" t="s">
        <v>1372</v>
      </c>
      <c r="H19">
        <v>6341.9764716464624</v>
      </c>
      <c r="I19">
        <v>6135.8903983546597</v>
      </c>
      <c r="J19">
        <v>5989.6243104553369</v>
      </c>
      <c r="K19">
        <v>5877.0787171787379</v>
      </c>
      <c r="L19">
        <v>5786.0677066481849</v>
      </c>
      <c r="M19">
        <v>5709.944589182579</v>
      </c>
      <c r="N19">
        <v>5282.2996062510529</v>
      </c>
      <c r="O19">
        <v>4862.9308612138802</v>
      </c>
      <c r="P19">
        <v>4450.059465713347</v>
      </c>
      <c r="Q19">
        <v>4011.5775104282534</v>
      </c>
      <c r="R19">
        <v>3584.5921962862817</v>
      </c>
      <c r="S19">
        <v>3528.6135897543822</v>
      </c>
      <c r="T19">
        <v>3479.3090574735006</v>
      </c>
      <c r="U19">
        <v>3435.322120848647</v>
      </c>
      <c r="V19">
        <v>3405.8181847812707</v>
      </c>
      <c r="W19">
        <v>3378.3438112116369</v>
      </c>
      <c r="X19">
        <v>3352.6509868486155</v>
      </c>
      <c r="Y19">
        <v>3328.5341611147542</v>
      </c>
      <c r="Z19">
        <v>3305.8204897003202</v>
      </c>
      <c r="AA19">
        <v>3284.3638476532756</v>
      </c>
      <c r="AB19">
        <v>3264.0392859440672</v>
      </c>
      <c r="AC19">
        <v>3244.7393727983986</v>
      </c>
      <c r="AD19">
        <v>3226.3709785048022</v>
      </c>
      <c r="AE19">
        <v>3208.8529471718571</v>
      </c>
      <c r="AF19">
        <v>3192.1139902228106</v>
      </c>
      <c r="AG19">
        <v>3176.0913559711266</v>
      </c>
      <c r="AH19">
        <v>3160.7294991960375</v>
      </c>
      <c r="AI19">
        <v>3145.9787507180945</v>
      </c>
      <c r="AJ19">
        <v>3131.7949847930554</v>
      </c>
    </row>
    <row r="20" spans="1:36" x14ac:dyDescent="0.35">
      <c r="A20" t="s">
        <v>1374</v>
      </c>
      <c r="B20" t="s">
        <v>1342</v>
      </c>
      <c r="C20" t="s">
        <v>1350</v>
      </c>
      <c r="D20">
        <v>30</v>
      </c>
      <c r="E20" t="s">
        <v>1362</v>
      </c>
      <c r="F20" t="s">
        <v>1352</v>
      </c>
      <c r="G20" t="s">
        <v>1372</v>
      </c>
      <c r="H20">
        <v>7700.9713427452944</v>
      </c>
      <c r="I20">
        <v>7663.3756543072313</v>
      </c>
      <c r="J20">
        <v>7629.1221029550688</v>
      </c>
      <c r="K20">
        <v>7597.6842840816098</v>
      </c>
      <c r="L20">
        <v>7568.649987844914</v>
      </c>
      <c r="M20">
        <v>7541.6904885372451</v>
      </c>
      <c r="N20">
        <v>7516.5391469251781</v>
      </c>
      <c r="O20">
        <v>7492.9772190554713</v>
      </c>
      <c r="P20">
        <v>6942.3248501885428</v>
      </c>
      <c r="Q20">
        <v>6351.6027577509658</v>
      </c>
      <c r="R20">
        <v>5769.9836511344138</v>
      </c>
      <c r="S20">
        <v>5195.216895645116</v>
      </c>
      <c r="T20">
        <v>4625.7875813098844</v>
      </c>
      <c r="U20">
        <v>4060.6290403263183</v>
      </c>
      <c r="V20">
        <v>4035.9619732138763</v>
      </c>
      <c r="W20">
        <v>4012.9352085789887</v>
      </c>
      <c r="X20">
        <v>3991.351954471831</v>
      </c>
      <c r="Y20">
        <v>3971.0482360789993</v>
      </c>
      <c r="Z20">
        <v>3951.8864653386718</v>
      </c>
      <c r="AA20">
        <v>3933.7494540305879</v>
      </c>
      <c r="AB20">
        <v>3916.5373094523288</v>
      </c>
      <c r="AC20">
        <v>3900.1638866207873</v>
      </c>
      <c r="AD20">
        <v>3884.5540165545667</v>
      </c>
      <c r="AE20">
        <v>3869.6425084556408</v>
      </c>
      <c r="AF20">
        <v>3855.3717105978621</v>
      </c>
      <c r="AG20">
        <v>3841.6911777208538</v>
      </c>
      <c r="AH20">
        <v>3828.5556753933333</v>
      </c>
      <c r="AI20">
        <v>3815.9251800131083</v>
      </c>
      <c r="AJ20">
        <v>3803.7637701200447</v>
      </c>
    </row>
    <row r="21" spans="1:36" x14ac:dyDescent="0.35">
      <c r="A21" t="s">
        <v>1375</v>
      </c>
      <c r="B21" t="s">
        <v>1342</v>
      </c>
      <c r="C21" t="s">
        <v>1343</v>
      </c>
      <c r="D21">
        <v>30</v>
      </c>
      <c r="E21" t="s">
        <v>1362</v>
      </c>
      <c r="F21" t="s">
        <v>1376</v>
      </c>
      <c r="G21" t="s">
        <v>1377</v>
      </c>
      <c r="H21">
        <v>5974.4514848207846</v>
      </c>
      <c r="I21">
        <v>5531.8628418661347</v>
      </c>
      <c r="J21">
        <v>5270.7042919612595</v>
      </c>
      <c r="K21">
        <v>5088.4018839474165</v>
      </c>
      <c r="L21">
        <v>4576.6288413749307</v>
      </c>
      <c r="M21">
        <v>4093.5107023336182</v>
      </c>
      <c r="N21">
        <v>3629.2484472779479</v>
      </c>
      <c r="O21">
        <v>3550.673579289285</v>
      </c>
      <c r="P21">
        <v>3482.4316745252281</v>
      </c>
      <c r="Q21">
        <v>3390.9892738669187</v>
      </c>
      <c r="R21">
        <v>3313.795940800378</v>
      </c>
      <c r="S21">
        <v>3247.215625305068</v>
      </c>
      <c r="T21">
        <v>3188.8258461958217</v>
      </c>
      <c r="U21">
        <v>3136.935301391185</v>
      </c>
      <c r="V21">
        <v>3102.2376100102897</v>
      </c>
      <c r="W21">
        <v>3070.0047516595391</v>
      </c>
      <c r="X21">
        <v>3039.9308395842477</v>
      </c>
      <c r="Y21">
        <v>3011.7620953206688</v>
      </c>
      <c r="Z21">
        <v>2985.2863161691039</v>
      </c>
      <c r="AA21">
        <v>2960.3240056975728</v>
      </c>
      <c r="AB21">
        <v>2936.7222759630845</v>
      </c>
      <c r="AC21">
        <v>2914.3498584199529</v>
      </c>
      <c r="AD21">
        <v>2893.0928909090399</v>
      </c>
      <c r="AE21">
        <v>2872.8524785462646</v>
      </c>
      <c r="AF21">
        <v>2853.5422546111113</v>
      </c>
      <c r="AG21">
        <v>2835.085719697734</v>
      </c>
      <c r="AH21">
        <v>2817.4156873714314</v>
      </c>
      <c r="AI21">
        <v>2800.4720667945671</v>
      </c>
      <c r="AJ21">
        <v>2784.2013083830475</v>
      </c>
    </row>
    <row r="22" spans="1:36" x14ac:dyDescent="0.35">
      <c r="A22" t="s">
        <v>1378</v>
      </c>
      <c r="B22" t="s">
        <v>1342</v>
      </c>
      <c r="C22" t="s">
        <v>1348</v>
      </c>
      <c r="D22">
        <v>30</v>
      </c>
      <c r="E22" t="s">
        <v>1362</v>
      </c>
      <c r="F22" t="s">
        <v>1376</v>
      </c>
      <c r="G22" t="s">
        <v>1377</v>
      </c>
      <c r="H22">
        <v>6800.188732386644</v>
      </c>
      <c r="I22">
        <v>6579.212881261923</v>
      </c>
      <c r="J22">
        <v>6422.379010222654</v>
      </c>
      <c r="K22">
        <v>6301.7018627105872</v>
      </c>
      <c r="L22">
        <v>6204.1152293382802</v>
      </c>
      <c r="M22">
        <v>6122.4921371983583</v>
      </c>
      <c r="N22">
        <v>5663.9495985885833</v>
      </c>
      <c r="O22">
        <v>5214.2811019258124</v>
      </c>
      <c r="P22">
        <v>4771.5794837616577</v>
      </c>
      <c r="Q22">
        <v>4301.416796272365</v>
      </c>
      <c r="R22">
        <v>3843.5814891262144</v>
      </c>
      <c r="S22">
        <v>3783.5585031364772</v>
      </c>
      <c r="T22">
        <v>3730.6915376545971</v>
      </c>
      <c r="U22">
        <v>3683.5265496259526</v>
      </c>
      <c r="V22">
        <v>3651.8909409843318</v>
      </c>
      <c r="W22">
        <v>3622.4314632673104</v>
      </c>
      <c r="X22">
        <v>3594.8823641910953</v>
      </c>
      <c r="Y22">
        <v>3569.0231259031798</v>
      </c>
      <c r="Z22">
        <v>3544.6683759302628</v>
      </c>
      <c r="AA22">
        <v>3521.6615676621182</v>
      </c>
      <c r="AB22">
        <v>3499.8685499667527</v>
      </c>
      <c r="AC22">
        <v>3479.1741302605783</v>
      </c>
      <c r="AD22">
        <v>3459.4785267098814</v>
      </c>
      <c r="AE22">
        <v>3440.6948182506258</v>
      </c>
      <c r="AF22">
        <v>3422.7465054769655</v>
      </c>
      <c r="AG22">
        <v>3405.5661802167901</v>
      </c>
      <c r="AH22">
        <v>3389.0944168446895</v>
      </c>
      <c r="AI22">
        <v>3373.2778875139761</v>
      </c>
      <c r="AJ22">
        <v>3358.0694730253986</v>
      </c>
    </row>
    <row r="23" spans="1:36" x14ac:dyDescent="0.35">
      <c r="A23" t="s">
        <v>1379</v>
      </c>
      <c r="B23" t="s">
        <v>1342</v>
      </c>
      <c r="C23" t="s">
        <v>1350</v>
      </c>
      <c r="D23">
        <v>30</v>
      </c>
      <c r="E23" t="s">
        <v>1362</v>
      </c>
      <c r="F23" t="s">
        <v>1376</v>
      </c>
      <c r="G23" t="s">
        <v>1377</v>
      </c>
      <c r="H23">
        <v>8257.3721430524874</v>
      </c>
      <c r="I23">
        <v>8217.0600604946158</v>
      </c>
      <c r="J23">
        <v>8180.3315870602319</v>
      </c>
      <c r="K23">
        <v>8146.6222901766268</v>
      </c>
      <c r="L23">
        <v>8115.4903580578539</v>
      </c>
      <c r="M23">
        <v>8086.5828956186788</v>
      </c>
      <c r="N23">
        <v>8059.6143050772716</v>
      </c>
      <c r="O23">
        <v>8034.3500991244036</v>
      </c>
      <c r="P23">
        <v>7443.912828387728</v>
      </c>
      <c r="Q23">
        <v>6810.5106087408376</v>
      </c>
      <c r="R23">
        <v>6186.8691589365581</v>
      </c>
      <c r="S23">
        <v>5570.5749781547529</v>
      </c>
      <c r="T23">
        <v>4960.0040616173756</v>
      </c>
      <c r="U23">
        <v>4354.0123551665429</v>
      </c>
      <c r="V23">
        <v>4327.563073635265</v>
      </c>
      <c r="W23">
        <v>4302.8726132262527</v>
      </c>
      <c r="X23">
        <v>4279.7298799268483</v>
      </c>
      <c r="Y23">
        <v>4257.9593685784203</v>
      </c>
      <c r="Z23">
        <v>4237.4129585922547</v>
      </c>
      <c r="AA23">
        <v>4217.9657009388011</v>
      </c>
      <c r="AB23">
        <v>4199.5099421063542</v>
      </c>
      <c r="AC23">
        <v>4181.9534393330769</v>
      </c>
      <c r="AD23">
        <v>4165.2158128084802</v>
      </c>
      <c r="AE23">
        <v>4149.2268826428499</v>
      </c>
      <c r="AF23">
        <v>4133.9251167053981</v>
      </c>
      <c r="AG23">
        <v>4119.2560784623956</v>
      </c>
      <c r="AH23">
        <v>4105.1715400275507</v>
      </c>
      <c r="AI23">
        <v>4091.6284843436597</v>
      </c>
      <c r="AJ23">
        <v>4078.5883291016871</v>
      </c>
    </row>
    <row r="24" spans="1:36" x14ac:dyDescent="0.35">
      <c r="A24" t="s">
        <v>1380</v>
      </c>
      <c r="B24" t="s">
        <v>1342</v>
      </c>
      <c r="C24" t="s">
        <v>1343</v>
      </c>
      <c r="D24">
        <v>30</v>
      </c>
      <c r="E24" t="s">
        <v>1362</v>
      </c>
      <c r="F24" t="s">
        <v>1381</v>
      </c>
      <c r="G24" t="s">
        <v>1382</v>
      </c>
      <c r="H24">
        <v>6284.7004795388721</v>
      </c>
      <c r="I24">
        <v>5819.1284216126496</v>
      </c>
      <c r="J24">
        <v>5544.4080792128862</v>
      </c>
      <c r="K24">
        <v>5352.6389251597784</v>
      </c>
      <c r="L24">
        <v>4814.2898781271961</v>
      </c>
      <c r="M24">
        <v>4306.083703503873</v>
      </c>
      <c r="N24">
        <v>3817.7126052610392</v>
      </c>
      <c r="O24">
        <v>3735.0574363544015</v>
      </c>
      <c r="P24">
        <v>3663.271835200344</v>
      </c>
      <c r="Q24">
        <v>3567.080817075584</v>
      </c>
      <c r="R24">
        <v>3485.8790260113433</v>
      </c>
      <c r="S24">
        <v>3415.8411591091385</v>
      </c>
      <c r="T24">
        <v>3354.4193426794359</v>
      </c>
      <c r="U24">
        <v>3299.834134021</v>
      </c>
      <c r="V24">
        <v>3263.3346044606383</v>
      </c>
      <c r="W24">
        <v>3229.4279612836872</v>
      </c>
      <c r="X24">
        <v>3197.7922417733625</v>
      </c>
      <c r="Y24">
        <v>3168.1606958275365</v>
      </c>
      <c r="Z24">
        <v>3140.3100338760974</v>
      </c>
      <c r="AA24">
        <v>3114.0514465159163</v>
      </c>
      <c r="AB24">
        <v>3089.2240632573084</v>
      </c>
      <c r="AC24">
        <v>3065.6898525636329</v>
      </c>
      <c r="AD24">
        <v>3043.3289653657303</v>
      </c>
      <c r="AE24">
        <v>3022.037628556538</v>
      </c>
      <c r="AF24">
        <v>3001.7245971925595</v>
      </c>
      <c r="AG24">
        <v>2982.3096023320068</v>
      </c>
      <c r="AH24">
        <v>2963.7220206103516</v>
      </c>
      <c r="AI24">
        <v>2945.8985459975379</v>
      </c>
      <c r="AJ24">
        <v>2928.782857191869</v>
      </c>
    </row>
    <row r="25" spans="1:36" x14ac:dyDescent="0.35">
      <c r="A25" t="s">
        <v>1383</v>
      </c>
      <c r="B25" t="s">
        <v>1342</v>
      </c>
      <c r="C25" t="s">
        <v>1348</v>
      </c>
      <c r="D25">
        <v>30</v>
      </c>
      <c r="E25" t="s">
        <v>1362</v>
      </c>
      <c r="F25" t="s">
        <v>1381</v>
      </c>
      <c r="G25" t="s">
        <v>1382</v>
      </c>
      <c r="H25">
        <v>7153.3176397188799</v>
      </c>
      <c r="I25">
        <v>6920.8665451109355</v>
      </c>
      <c r="J25">
        <v>6755.8883699352255</v>
      </c>
      <c r="K25">
        <v>6628.9447015285095</v>
      </c>
      <c r="L25">
        <v>6526.2903705592762</v>
      </c>
      <c r="M25">
        <v>6440.4286569918868</v>
      </c>
      <c r="N25">
        <v>5958.0742924533033</v>
      </c>
      <c r="O25">
        <v>5485.0547401960739</v>
      </c>
      <c r="P25">
        <v>5019.3640527564348</v>
      </c>
      <c r="Q25">
        <v>4524.7861918504768</v>
      </c>
      <c r="R25">
        <v>4043.1758671852872</v>
      </c>
      <c r="S25">
        <v>3980.0359184477329</v>
      </c>
      <c r="T25">
        <v>3924.4237329829716</v>
      </c>
      <c r="U25">
        <v>3874.8094335427609</v>
      </c>
      <c r="V25">
        <v>3841.5309724433914</v>
      </c>
      <c r="W25">
        <v>3810.5417283468291</v>
      </c>
      <c r="X25">
        <v>3781.561979512564</v>
      </c>
      <c r="Y25">
        <v>3754.3598994802651</v>
      </c>
      <c r="Z25">
        <v>3728.740470199376</v>
      </c>
      <c r="AA25">
        <v>3704.5387190381534</v>
      </c>
      <c r="AB25">
        <v>3681.614064479767</v>
      </c>
      <c r="AC25">
        <v>3659.8451052931964</v>
      </c>
      <c r="AD25">
        <v>3639.1268488156352</v>
      </c>
      <c r="AE25">
        <v>3619.3676066287694</v>
      </c>
      <c r="AF25">
        <v>3600.4871097908117</v>
      </c>
      <c r="AG25">
        <v>3582.4147349372338</v>
      </c>
      <c r="AH25">
        <v>3565.0875086440901</v>
      </c>
      <c r="AI25">
        <v>3548.4497748219119</v>
      </c>
      <c r="AJ25">
        <v>3532.4515316851357</v>
      </c>
    </row>
    <row r="26" spans="1:36" x14ac:dyDescent="0.35">
      <c r="A26" t="s">
        <v>1384</v>
      </c>
      <c r="B26" t="s">
        <v>1342</v>
      </c>
      <c r="C26" t="s">
        <v>1350</v>
      </c>
      <c r="D26">
        <v>30</v>
      </c>
      <c r="E26" t="s">
        <v>1362</v>
      </c>
      <c r="F26" t="s">
        <v>1381</v>
      </c>
      <c r="G26" t="s">
        <v>1382</v>
      </c>
      <c r="H26">
        <v>8686.171269193972</v>
      </c>
      <c r="I26">
        <v>8643.7659855021902</v>
      </c>
      <c r="J26">
        <v>8605.1301268820098</v>
      </c>
      <c r="K26">
        <v>8569.6704348976527</v>
      </c>
      <c r="L26">
        <v>8536.9217044665984</v>
      </c>
      <c r="M26">
        <v>8506.5131906422539</v>
      </c>
      <c r="N26">
        <v>8478.1442174990225</v>
      </c>
      <c r="O26">
        <v>8451.5679913015192</v>
      </c>
      <c r="P26">
        <v>7830.4697587012015</v>
      </c>
      <c r="Q26">
        <v>7164.175455388824</v>
      </c>
      <c r="R26">
        <v>6508.1487027656185</v>
      </c>
      <c r="S26">
        <v>5859.8508292444931</v>
      </c>
      <c r="T26">
        <v>5217.5734589635576</v>
      </c>
      <c r="U26">
        <v>4580.1130012708163</v>
      </c>
      <c r="V26">
        <v>4552.2902782328156</v>
      </c>
      <c r="W26">
        <v>4526.3176212605786</v>
      </c>
      <c r="X26">
        <v>4501.9731820771458</v>
      </c>
      <c r="Y26">
        <v>4479.0720316840334</v>
      </c>
      <c r="Z26">
        <v>4457.4587321580575</v>
      </c>
      <c r="AA26">
        <v>4437.0015714787141</v>
      </c>
      <c r="AB26">
        <v>4417.5874635677947</v>
      </c>
      <c r="AC26">
        <v>4399.1192874404842</v>
      </c>
      <c r="AD26">
        <v>4381.5123394068296</v>
      </c>
      <c r="AE26">
        <v>4364.6932243846995</v>
      </c>
      <c r="AF26">
        <v>4348.5968624447714</v>
      </c>
      <c r="AG26">
        <v>4333.1660453357144</v>
      </c>
      <c r="AH26">
        <v>4318.3501060597464</v>
      </c>
      <c r="AI26">
        <v>4304.1036993168746</v>
      </c>
      <c r="AJ26">
        <v>4290.3864688988015</v>
      </c>
    </row>
    <row r="27" spans="1:36" x14ac:dyDescent="0.35">
      <c r="A27" t="s">
        <v>1385</v>
      </c>
      <c r="B27" t="s">
        <v>1342</v>
      </c>
      <c r="C27" t="s">
        <v>1343</v>
      </c>
      <c r="D27">
        <v>30</v>
      </c>
      <c r="E27" t="s">
        <v>1362</v>
      </c>
      <c r="F27" t="s">
        <v>1386</v>
      </c>
      <c r="G27" t="s">
        <v>1387</v>
      </c>
      <c r="H27">
        <v>6062.9924514920986</v>
      </c>
      <c r="I27">
        <v>5613.8445942639064</v>
      </c>
      <c r="J27">
        <v>5348.8157287666736</v>
      </c>
      <c r="K27">
        <v>5163.8115613019672</v>
      </c>
      <c r="L27">
        <v>4644.4541015488785</v>
      </c>
      <c r="M27">
        <v>4154.1761724637699</v>
      </c>
      <c r="N27">
        <v>3683.0335164987009</v>
      </c>
      <c r="O27">
        <v>3603.2943053792997</v>
      </c>
      <c r="P27">
        <v>3534.0410562961997</v>
      </c>
      <c r="Q27">
        <v>3441.2433965986447</v>
      </c>
      <c r="R27">
        <v>3362.9061202429252</v>
      </c>
      <c r="S27">
        <v>3295.3391841495923</v>
      </c>
      <c r="T27">
        <v>3236.0840748046367</v>
      </c>
      <c r="U27">
        <v>3183.4245446681775</v>
      </c>
      <c r="V27">
        <v>3148.2125333688386</v>
      </c>
      <c r="W27">
        <v>3115.5020526407106</v>
      </c>
      <c r="X27">
        <v>3084.9823375061255</v>
      </c>
      <c r="Y27">
        <v>3056.3961725715099</v>
      </c>
      <c r="Z27">
        <v>3029.5280290760406</v>
      </c>
      <c r="AA27">
        <v>3004.1957497388389</v>
      </c>
      <c r="AB27">
        <v>2980.2443401115347</v>
      </c>
      <c r="AC27">
        <v>2957.540203405656</v>
      </c>
      <c r="AD27">
        <v>2935.9681470376145</v>
      </c>
      <c r="AE27">
        <v>2915.4279456988811</v>
      </c>
      <c r="AF27">
        <v>2895.831569638377</v>
      </c>
      <c r="AG27">
        <v>2877.1015216319197</v>
      </c>
      <c r="AH27">
        <v>2859.1696174264694</v>
      </c>
      <c r="AI27">
        <v>2841.9747683660544</v>
      </c>
      <c r="AJ27">
        <v>2825.4629813917627</v>
      </c>
    </row>
    <row r="28" spans="1:36" x14ac:dyDescent="0.35">
      <c r="A28" t="s">
        <v>1388</v>
      </c>
      <c r="B28" t="s">
        <v>1342</v>
      </c>
      <c r="C28" t="s">
        <v>1348</v>
      </c>
      <c r="D28">
        <v>30</v>
      </c>
      <c r="E28" t="s">
        <v>1362</v>
      </c>
      <c r="F28" t="s">
        <v>1386</v>
      </c>
      <c r="G28" t="s">
        <v>1387</v>
      </c>
      <c r="H28">
        <v>6900.9670540133502</v>
      </c>
      <c r="I28">
        <v>6676.7161413687263</v>
      </c>
      <c r="J28">
        <v>6517.5580188161466</v>
      </c>
      <c r="K28">
        <v>6395.0925591065152</v>
      </c>
      <c r="L28">
        <v>6296.0596434888757</v>
      </c>
      <c r="M28">
        <v>6213.2269737869319</v>
      </c>
      <c r="N28">
        <v>5747.8887379577118</v>
      </c>
      <c r="O28">
        <v>5291.5562560959979</v>
      </c>
      <c r="P28">
        <v>4842.293871496443</v>
      </c>
      <c r="Q28">
        <v>4365.1634185589</v>
      </c>
      <c r="R28">
        <v>3900.5430575889009</v>
      </c>
      <c r="S28">
        <v>3839.6305719859556</v>
      </c>
      <c r="T28">
        <v>3785.9800973720121</v>
      </c>
      <c r="U28">
        <v>3738.1161930325529</v>
      </c>
      <c r="V28">
        <v>3706.0116097724763</v>
      </c>
      <c r="W28">
        <v>3676.1155310986046</v>
      </c>
      <c r="X28">
        <v>3648.1582134537948</v>
      </c>
      <c r="Y28">
        <v>3621.9157020557132</v>
      </c>
      <c r="Z28">
        <v>3597.2000744508637</v>
      </c>
      <c r="AA28">
        <v>3573.8522340488257</v>
      </c>
      <c r="AB28">
        <v>3551.736255818339</v>
      </c>
      <c r="AC28">
        <v>3530.7351732765505</v>
      </c>
      <c r="AD28">
        <v>3510.7477632965915</v>
      </c>
      <c r="AE28">
        <v>3491.6856635212744</v>
      </c>
      <c r="AF28">
        <v>3473.4712658577096</v>
      </c>
      <c r="AG28">
        <v>3456.0363860528601</v>
      </c>
      <c r="AH28">
        <v>3439.3203789255681</v>
      </c>
      <c r="AI28">
        <v>3423.2695840230349</v>
      </c>
      <c r="AJ28">
        <v>3407.8356625902638</v>
      </c>
    </row>
    <row r="29" spans="1:36" x14ac:dyDescent="0.35">
      <c r="A29" t="s">
        <v>1389</v>
      </c>
      <c r="B29" t="s">
        <v>1342</v>
      </c>
      <c r="C29" t="s">
        <v>1350</v>
      </c>
      <c r="D29">
        <v>30</v>
      </c>
      <c r="E29" t="s">
        <v>1362</v>
      </c>
      <c r="F29" t="s">
        <v>1386</v>
      </c>
      <c r="G29" t="s">
        <v>1387</v>
      </c>
      <c r="H29">
        <v>8379.7455817376904</v>
      </c>
      <c r="I29">
        <v>8338.8362494706907</v>
      </c>
      <c r="J29">
        <v>8301.5634106990456</v>
      </c>
      <c r="K29">
        <v>8267.3545394346456</v>
      </c>
      <c r="L29">
        <v>8235.7611717692962</v>
      </c>
      <c r="M29">
        <v>8206.4253126573767</v>
      </c>
      <c r="N29">
        <v>8179.0571513062969</v>
      </c>
      <c r="O29">
        <v>8153.418541739592</v>
      </c>
      <c r="P29">
        <v>7554.2309585297189</v>
      </c>
      <c r="Q29">
        <v>6911.4418183105345</v>
      </c>
      <c r="R29">
        <v>6278.5579098554372</v>
      </c>
      <c r="S29">
        <v>5653.1304760963812</v>
      </c>
      <c r="T29">
        <v>5033.5110102717044</v>
      </c>
      <c r="U29">
        <v>4418.5384953117928</v>
      </c>
      <c r="V29">
        <v>4391.6971820427234</v>
      </c>
      <c r="W29">
        <v>4366.6408549100925</v>
      </c>
      <c r="X29">
        <v>4343.1552047088244</v>
      </c>
      <c r="Y29">
        <v>4321.0619545626842</v>
      </c>
      <c r="Z29">
        <v>4300.2112099836913</v>
      </c>
      <c r="AA29">
        <v>4280.4755828308043</v>
      </c>
      <c r="AB29">
        <v>4261.746310905276</v>
      </c>
      <c r="AC29">
        <v>4243.9295992834132</v>
      </c>
      <c r="AD29">
        <v>4226.9438485989804</v>
      </c>
      <c r="AE29">
        <v>4210.7179920126318</v>
      </c>
      <c r="AF29">
        <v>4195.1894995752409</v>
      </c>
      <c r="AG29">
        <v>4180.3031586721509</v>
      </c>
      <c r="AH29">
        <v>4166.0098544674347</v>
      </c>
      <c r="AI29">
        <v>4152.2660155603708</v>
      </c>
      <c r="AJ29">
        <v>4139.0326161671055</v>
      </c>
    </row>
    <row r="30" spans="1:36" x14ac:dyDescent="0.35">
      <c r="A30" t="s">
        <v>1390</v>
      </c>
      <c r="B30" t="s">
        <v>1342</v>
      </c>
      <c r="C30" t="s">
        <v>1343</v>
      </c>
      <c r="D30">
        <v>30</v>
      </c>
      <c r="E30" t="s">
        <v>1362</v>
      </c>
      <c r="F30" t="s">
        <v>1391</v>
      </c>
      <c r="G30" t="s">
        <v>1392</v>
      </c>
      <c r="H30">
        <v>6411.0986739212849</v>
      </c>
      <c r="I30">
        <v>5936.1630887193378</v>
      </c>
      <c r="J30">
        <v>5655.9174935807168</v>
      </c>
      <c r="K30">
        <v>5460.2914390484502</v>
      </c>
      <c r="L30">
        <v>4911.1151761082656</v>
      </c>
      <c r="M30">
        <v>4392.6880156515035</v>
      </c>
      <c r="N30">
        <v>3894.4947263039735</v>
      </c>
      <c r="O30">
        <v>3810.1771920476613</v>
      </c>
      <c r="P30">
        <v>3736.9477477597616</v>
      </c>
      <c r="Q30">
        <v>3638.8220707479909</v>
      </c>
      <c r="R30">
        <v>3555.9871836719644</v>
      </c>
      <c r="S30">
        <v>3484.5408407525342</v>
      </c>
      <c r="T30">
        <v>3421.8836143527469</v>
      </c>
      <c r="U30">
        <v>3366.2004729173455</v>
      </c>
      <c r="V30">
        <v>3328.9668816669609</v>
      </c>
      <c r="W30">
        <v>3294.3782850909261</v>
      </c>
      <c r="X30">
        <v>3262.1064009563233</v>
      </c>
      <c r="Y30">
        <v>3231.8789357258161</v>
      </c>
      <c r="Z30">
        <v>3203.4680542124238</v>
      </c>
      <c r="AA30">
        <v>3176.6815100831927</v>
      </c>
      <c r="AB30">
        <v>3151.3547741811976</v>
      </c>
      <c r="AC30">
        <v>3127.3471541209015</v>
      </c>
      <c r="AD30">
        <v>3104.536694327765</v>
      </c>
      <c r="AE30">
        <v>3082.8170717145308</v>
      </c>
      <c r="AF30">
        <v>3062.0954891758456</v>
      </c>
      <c r="AG30">
        <v>3042.2901256080631</v>
      </c>
      <c r="AH30">
        <v>3023.3285837473891</v>
      </c>
      <c r="AI30">
        <v>3005.1465597454294</v>
      </c>
      <c r="AJ30">
        <v>2987.6867344821508</v>
      </c>
    </row>
    <row r="31" spans="1:36" x14ac:dyDescent="0.35">
      <c r="A31" t="s">
        <v>1393</v>
      </c>
      <c r="B31" t="s">
        <v>1342</v>
      </c>
      <c r="C31" t="s">
        <v>1348</v>
      </c>
      <c r="D31">
        <v>30</v>
      </c>
      <c r="E31" t="s">
        <v>1362</v>
      </c>
      <c r="F31" t="s">
        <v>1391</v>
      </c>
      <c r="G31" t="s">
        <v>1392</v>
      </c>
      <c r="H31">
        <v>7297.1854158105343</v>
      </c>
      <c r="I31">
        <v>7060.0594314243835</v>
      </c>
      <c r="J31">
        <v>6891.7631776715689</v>
      </c>
      <c r="K31">
        <v>6762.2663138775206</v>
      </c>
      <c r="L31">
        <v>6657.5474967687433</v>
      </c>
      <c r="M31">
        <v>6569.9588922658768</v>
      </c>
      <c r="N31">
        <v>6077.9034052475045</v>
      </c>
      <c r="O31">
        <v>5595.3706529639821</v>
      </c>
      <c r="P31">
        <v>5120.3138882684243</v>
      </c>
      <c r="Q31">
        <v>4615.7889980969239</v>
      </c>
      <c r="R31">
        <v>4124.4924073582988</v>
      </c>
      <c r="S31">
        <v>4060.0825684836782</v>
      </c>
      <c r="T31">
        <v>4003.3519395316871</v>
      </c>
      <c r="U31">
        <v>3952.7398217543355</v>
      </c>
      <c r="V31">
        <v>3918.7920462881525</v>
      </c>
      <c r="W31">
        <v>3887.1794983369909</v>
      </c>
      <c r="X31">
        <v>3857.6170235938357</v>
      </c>
      <c r="Y31">
        <v>3829.867806506672</v>
      </c>
      <c r="Z31">
        <v>3803.7330594890018</v>
      </c>
      <c r="AA31">
        <v>3779.0447055853679</v>
      </c>
      <c r="AB31">
        <v>3755.6589480865182</v>
      </c>
      <c r="AC31">
        <v>3733.4520575186475</v>
      </c>
      <c r="AD31">
        <v>3712.3171564509776</v>
      </c>
      <c r="AE31">
        <v>3692.1605608285217</v>
      </c>
      <c r="AF31">
        <v>3672.9004495476343</v>
      </c>
      <c r="AG31">
        <v>3654.4645362132246</v>
      </c>
      <c r="AH31">
        <v>3636.7887387143073</v>
      </c>
      <c r="AI31">
        <v>3619.8164031430742</v>
      </c>
      <c r="AJ31">
        <v>3603.4963081582182</v>
      </c>
    </row>
    <row r="32" spans="1:36" x14ac:dyDescent="0.35">
      <c r="A32" t="s">
        <v>1394</v>
      </c>
      <c r="B32" t="s">
        <v>1342</v>
      </c>
      <c r="C32" t="s">
        <v>1350</v>
      </c>
      <c r="D32">
        <v>30</v>
      </c>
      <c r="E32" t="s">
        <v>1362</v>
      </c>
      <c r="F32" t="s">
        <v>1391</v>
      </c>
      <c r="G32" t="s">
        <v>1392</v>
      </c>
      <c r="H32">
        <v>8860.8680841047226</v>
      </c>
      <c r="I32">
        <v>8817.6098874720956</v>
      </c>
      <c r="J32">
        <v>8778.1970609733962</v>
      </c>
      <c r="K32">
        <v>8742.0241506153907</v>
      </c>
      <c r="L32">
        <v>8708.6168600818255</v>
      </c>
      <c r="M32">
        <v>8677.5966836168136</v>
      </c>
      <c r="N32">
        <v>8648.6571801221453</v>
      </c>
      <c r="O32">
        <v>8621.5464559020493</v>
      </c>
      <c r="P32">
        <v>7987.9565355390723</v>
      </c>
      <c r="Q32">
        <v>7308.2617536963116</v>
      </c>
      <c r="R32">
        <v>6639.040849201102</v>
      </c>
      <c r="S32">
        <v>5977.7044834685648</v>
      </c>
      <c r="T32">
        <v>5322.5095787324235</v>
      </c>
      <c r="U32">
        <v>4672.228485831879</v>
      </c>
      <c r="V32">
        <v>4643.8462084441517</v>
      </c>
      <c r="W32">
        <v>4617.3512490067742</v>
      </c>
      <c r="X32">
        <v>4592.5171027572123</v>
      </c>
      <c r="Y32">
        <v>4569.1552928984556</v>
      </c>
      <c r="Z32">
        <v>4547.1074989210065</v>
      </c>
      <c r="AA32">
        <v>4526.2387936119449</v>
      </c>
      <c r="AB32">
        <v>4506.4343169937947</v>
      </c>
      <c r="AC32">
        <v>4487.5946198389556</v>
      </c>
      <c r="AD32">
        <v>4469.6335571643212</v>
      </c>
      <c r="AE32">
        <v>4452.4761817259005</v>
      </c>
      <c r="AF32">
        <v>4436.0559723012184</v>
      </c>
      <c r="AG32">
        <v>4420.3148336893109</v>
      </c>
      <c r="AH32">
        <v>4405.2009902053533</v>
      </c>
      <c r="AI32">
        <v>4390.6680987310192</v>
      </c>
      <c r="AJ32">
        <v>4376.6750269770782</v>
      </c>
    </row>
    <row r="33" spans="1:36" x14ac:dyDescent="0.35">
      <c r="A33" t="s">
        <v>1395</v>
      </c>
      <c r="B33" t="s">
        <v>1342</v>
      </c>
      <c r="C33" t="s">
        <v>1343</v>
      </c>
      <c r="D33">
        <v>30</v>
      </c>
      <c r="E33" t="s">
        <v>1362</v>
      </c>
      <c r="F33" t="s">
        <v>1357</v>
      </c>
      <c r="G33" t="s">
        <v>1396</v>
      </c>
      <c r="P33">
        <v>5512.0167894839378</v>
      </c>
      <c r="Q33">
        <v>4840.697694763131</v>
      </c>
      <c r="R33">
        <v>4462.9496155986353</v>
      </c>
      <c r="S33">
        <v>4206.1041908904008</v>
      </c>
      <c r="T33">
        <v>4014.2399114891523</v>
      </c>
      <c r="U33">
        <v>3862.5382636326108</v>
      </c>
      <c r="V33">
        <v>3531.5499473831769</v>
      </c>
      <c r="W33">
        <v>3314.0578126795249</v>
      </c>
      <c r="X33">
        <v>3154.6251792155267</v>
      </c>
      <c r="Y33">
        <v>3030.0698444331078</v>
      </c>
      <c r="Z33">
        <v>2928.6043585782249</v>
      </c>
      <c r="AA33">
        <v>2843.4615176883931</v>
      </c>
      <c r="AB33">
        <v>2770.4174458737934</v>
      </c>
      <c r="AC33">
        <v>2706.668495344471</v>
      </c>
      <c r="AD33">
        <v>2650.2652616757664</v>
      </c>
      <c r="AE33">
        <v>2599.7999340626779</v>
      </c>
      <c r="AF33">
        <v>2554.2254684634349</v>
      </c>
      <c r="AG33">
        <v>2512.7426123899863</v>
      </c>
      <c r="AH33">
        <v>2474.7288380686628</v>
      </c>
      <c r="AI33">
        <v>2439.6900036851698</v>
      </c>
      <c r="AJ33">
        <v>2407.2283123291018</v>
      </c>
    </row>
    <row r="34" spans="1:36" x14ac:dyDescent="0.35">
      <c r="A34" t="s">
        <v>1397</v>
      </c>
      <c r="B34" t="s">
        <v>1342</v>
      </c>
      <c r="C34" t="s">
        <v>1348</v>
      </c>
      <c r="D34">
        <v>30</v>
      </c>
      <c r="E34" t="s">
        <v>1362</v>
      </c>
      <c r="F34" t="s">
        <v>1357</v>
      </c>
      <c r="G34" t="s">
        <v>1396</v>
      </c>
      <c r="P34">
        <v>7989.7277739562005</v>
      </c>
      <c r="Q34">
        <v>6864.2207307176022</v>
      </c>
      <c r="R34">
        <v>6037.6042943280172</v>
      </c>
      <c r="S34">
        <v>5758.7797033701881</v>
      </c>
      <c r="T34">
        <v>5548.2481276490171</v>
      </c>
      <c r="U34">
        <v>5380.3440165026987</v>
      </c>
      <c r="V34">
        <v>5009.2632485982704</v>
      </c>
      <c r="W34">
        <v>4761.604515582676</v>
      </c>
      <c r="X34">
        <v>4577.9692440078225</v>
      </c>
      <c r="Y34">
        <v>4433.1979988462399</v>
      </c>
      <c r="Z34">
        <v>4314.3731347740177</v>
      </c>
      <c r="AA34">
        <v>4214.0199946276371</v>
      </c>
      <c r="AB34">
        <v>4127.4415148880689</v>
      </c>
      <c r="AC34">
        <v>4051.502772077426</v>
      </c>
      <c r="AD34">
        <v>3984.0121136525327</v>
      </c>
      <c r="AE34">
        <v>3923.3802367397316</v>
      </c>
      <c r="AF34">
        <v>3868.419404911715</v>
      </c>
      <c r="AG34">
        <v>3818.2202730572349</v>
      </c>
      <c r="AH34">
        <v>3772.0717293080243</v>
      </c>
      <c r="AI34">
        <v>3729.4076780608098</v>
      </c>
      <c r="AJ34">
        <v>3689.7706750423667</v>
      </c>
    </row>
    <row r="35" spans="1:36" x14ac:dyDescent="0.35">
      <c r="A35" t="s">
        <v>1398</v>
      </c>
      <c r="B35" t="s">
        <v>1342</v>
      </c>
      <c r="C35" t="s">
        <v>1350</v>
      </c>
      <c r="D35">
        <v>30</v>
      </c>
      <c r="E35" t="s">
        <v>1362</v>
      </c>
      <c r="F35" t="s">
        <v>1357</v>
      </c>
      <c r="G35" t="s">
        <v>1396</v>
      </c>
      <c r="P35">
        <v>12503.108126132236</v>
      </c>
      <c r="Q35">
        <v>11187.199494305933</v>
      </c>
      <c r="R35">
        <v>10160.048734983689</v>
      </c>
      <c r="S35">
        <v>9256.4063772707959</v>
      </c>
      <c r="T35">
        <v>8420.8778709686903</v>
      </c>
      <c r="U35">
        <v>7628.2875942191058</v>
      </c>
      <c r="V35">
        <v>7232.7581705493658</v>
      </c>
      <c r="W35">
        <v>6964.6265334984428</v>
      </c>
      <c r="X35">
        <v>6763.5120346370877</v>
      </c>
      <c r="Y35">
        <v>6603.5082056094279</v>
      </c>
      <c r="Z35">
        <v>6471.1836355166279</v>
      </c>
      <c r="AA35">
        <v>6358.7040091189838</v>
      </c>
      <c r="AB35">
        <v>6261.1139388168494</v>
      </c>
      <c r="AC35">
        <v>6175.0864765367915</v>
      </c>
      <c r="AD35">
        <v>6098.2838447835929</v>
      </c>
      <c r="AE35">
        <v>6029.0029893931651</v>
      </c>
      <c r="AF35">
        <v>5965.9660376817446</v>
      </c>
      <c r="AG35">
        <v>5908.1906929307679</v>
      </c>
      <c r="AH35">
        <v>5854.906085040443</v>
      </c>
      <c r="AI35">
        <v>5805.496781834162</v>
      </c>
      <c r="AJ35">
        <v>5759.463763274649</v>
      </c>
    </row>
    <row r="36" spans="1:36" x14ac:dyDescent="0.35">
      <c r="A36" t="s">
        <v>1399</v>
      </c>
      <c r="B36" t="s">
        <v>1342</v>
      </c>
      <c r="C36" t="s">
        <v>1343</v>
      </c>
      <c r="D36">
        <v>30</v>
      </c>
      <c r="E36" t="s">
        <v>1362</v>
      </c>
      <c r="F36" t="s">
        <v>1400</v>
      </c>
      <c r="G36" t="s">
        <v>1401</v>
      </c>
      <c r="P36">
        <v>5864.720071861032</v>
      </c>
      <c r="Q36">
        <v>5150.4444542515257</v>
      </c>
      <c r="R36">
        <v>4748.5251128194432</v>
      </c>
      <c r="S36">
        <v>4475.2446222801718</v>
      </c>
      <c r="T36">
        <v>4271.1032969274547</v>
      </c>
      <c r="U36">
        <v>4109.6946505498063</v>
      </c>
      <c r="V36">
        <v>3757.5269748823489</v>
      </c>
      <c r="W36">
        <v>3526.1180460931946</v>
      </c>
      <c r="X36">
        <v>3356.4836070815704</v>
      </c>
      <c r="Y36">
        <v>3223.9581428968927</v>
      </c>
      <c r="Z36">
        <v>3116.0001857283514</v>
      </c>
      <c r="AA36">
        <v>3025.4091458490307</v>
      </c>
      <c r="AB36">
        <v>2947.6909603371537</v>
      </c>
      <c r="AC36">
        <v>2879.8629284456028</v>
      </c>
      <c r="AD36">
        <v>2819.8504749827575</v>
      </c>
      <c r="AE36">
        <v>2766.15609636198</v>
      </c>
      <c r="AF36">
        <v>2717.6653403693886</v>
      </c>
      <c r="AG36">
        <v>2673.5281766504431</v>
      </c>
      <c r="AH36">
        <v>2633.0819429605799</v>
      </c>
      <c r="AI36">
        <v>2595.8011216422369</v>
      </c>
      <c r="AJ36">
        <v>2561.2621942456512</v>
      </c>
    </row>
    <row r="37" spans="1:36" x14ac:dyDescent="0.35">
      <c r="A37" t="s">
        <v>1402</v>
      </c>
      <c r="B37" t="s">
        <v>1342</v>
      </c>
      <c r="C37" t="s">
        <v>1348</v>
      </c>
      <c r="D37">
        <v>30</v>
      </c>
      <c r="E37" t="s">
        <v>1362</v>
      </c>
      <c r="F37" t="s">
        <v>1400</v>
      </c>
      <c r="G37" t="s">
        <v>1401</v>
      </c>
      <c r="P37">
        <v>8500.9751880024214</v>
      </c>
      <c r="Q37">
        <v>7303.4489432501705</v>
      </c>
      <c r="R37">
        <v>6423.9389328897159</v>
      </c>
      <c r="S37">
        <v>6127.2729065890044</v>
      </c>
      <c r="T37">
        <v>5903.2697854981043</v>
      </c>
      <c r="U37">
        <v>5724.6219425783902</v>
      </c>
      <c r="V37">
        <v>5329.7964243111501</v>
      </c>
      <c r="W37">
        <v>5066.290451333799</v>
      </c>
      <c r="X37">
        <v>4870.904649283375</v>
      </c>
      <c r="Y37">
        <v>4716.869769548488</v>
      </c>
      <c r="Z37">
        <v>4590.4416406159608</v>
      </c>
      <c r="AA37">
        <v>4483.6669851265642</v>
      </c>
      <c r="AB37">
        <v>4391.5485071104904</v>
      </c>
      <c r="AC37">
        <v>4310.750610735382</v>
      </c>
      <c r="AD37">
        <v>4238.9413945473452</v>
      </c>
      <c r="AE37">
        <v>4174.4296673336312</v>
      </c>
      <c r="AF37">
        <v>4115.9520802107172</v>
      </c>
      <c r="AG37">
        <v>4062.5408602602788</v>
      </c>
      <c r="AH37">
        <v>4013.4393285766537</v>
      </c>
      <c r="AI37">
        <v>3968.0453572277279</v>
      </c>
      <c r="AJ37">
        <v>3925.8720108649786</v>
      </c>
    </row>
    <row r="38" spans="1:36" x14ac:dyDescent="0.35">
      <c r="A38" t="s">
        <v>1403</v>
      </c>
      <c r="B38" t="s">
        <v>1342</v>
      </c>
      <c r="C38" t="s">
        <v>1350</v>
      </c>
      <c r="D38">
        <v>30</v>
      </c>
      <c r="E38" t="s">
        <v>1362</v>
      </c>
      <c r="F38" t="s">
        <v>1400</v>
      </c>
      <c r="G38" t="s">
        <v>1401</v>
      </c>
      <c r="P38">
        <v>13303.157760164167</v>
      </c>
      <c r="Q38">
        <v>11903.046897533843</v>
      </c>
      <c r="R38">
        <v>10810.170620425106</v>
      </c>
      <c r="S38">
        <v>9848.7059096306875</v>
      </c>
      <c r="T38">
        <v>8959.7135207436859</v>
      </c>
      <c r="U38">
        <v>8116.4069096348694</v>
      </c>
      <c r="V38">
        <v>7695.5683781870885</v>
      </c>
      <c r="W38">
        <v>7410.2795874351541</v>
      </c>
      <c r="X38">
        <v>7196.2961146109983</v>
      </c>
      <c r="Y38">
        <v>7026.0538933633516</v>
      </c>
      <c r="Z38">
        <v>6885.2621694676927</v>
      </c>
      <c r="AA38">
        <v>6765.5852794042567</v>
      </c>
      <c r="AB38">
        <v>6661.7505293421864</v>
      </c>
      <c r="AC38">
        <v>6570.2183250335338</v>
      </c>
      <c r="AD38">
        <v>6488.5013271012167</v>
      </c>
      <c r="AE38">
        <v>6414.7871648388755</v>
      </c>
      <c r="AF38">
        <v>6347.7165879339182</v>
      </c>
      <c r="AG38">
        <v>6286.2443262438373</v>
      </c>
      <c r="AH38">
        <v>6229.5501730955039</v>
      </c>
      <c r="AI38">
        <v>6176.9793379223447</v>
      </c>
      <c r="AJ38">
        <v>6128.0006487628916</v>
      </c>
    </row>
    <row r="39" spans="1:36" x14ac:dyDescent="0.35">
      <c r="A39" t="s">
        <v>1404</v>
      </c>
      <c r="B39" t="s">
        <v>1342</v>
      </c>
      <c r="C39" t="s">
        <v>1343</v>
      </c>
      <c r="D39">
        <v>30</v>
      </c>
      <c r="E39" t="s">
        <v>1362</v>
      </c>
      <c r="F39" t="s">
        <v>1405</v>
      </c>
      <c r="G39" t="s">
        <v>1406</v>
      </c>
      <c r="P39">
        <v>6033.9595965485569</v>
      </c>
      <c r="Q39">
        <v>5299.0719346800415</v>
      </c>
      <c r="R39">
        <v>4885.5542855031545</v>
      </c>
      <c r="S39">
        <v>4604.3877040393527</v>
      </c>
      <c r="T39">
        <v>4394.3553700928651</v>
      </c>
      <c r="U39">
        <v>4228.288907717445</v>
      </c>
      <c r="V39">
        <v>3865.9586740236232</v>
      </c>
      <c r="W39">
        <v>3627.8719014475109</v>
      </c>
      <c r="X39">
        <v>3453.3423874112859</v>
      </c>
      <c r="Y39">
        <v>3316.9926181464625</v>
      </c>
      <c r="Z39">
        <v>3205.9192503919612</v>
      </c>
      <c r="AA39">
        <v>3112.7141482067409</v>
      </c>
      <c r="AB39">
        <v>3032.7530888103815</v>
      </c>
      <c r="AC39">
        <v>2962.967669947474</v>
      </c>
      <c r="AD39">
        <v>2901.2234473261701</v>
      </c>
      <c r="AE39">
        <v>2845.979678565222</v>
      </c>
      <c r="AF39">
        <v>2796.0896486578472</v>
      </c>
      <c r="AG39">
        <v>2750.678714397191</v>
      </c>
      <c r="AH39">
        <v>2709.0653658589858</v>
      </c>
      <c r="AI39">
        <v>2670.7086746357977</v>
      </c>
      <c r="AJ39">
        <v>2635.1729267204091</v>
      </c>
    </row>
    <row r="40" spans="1:36" x14ac:dyDescent="0.35">
      <c r="A40" t="s">
        <v>1407</v>
      </c>
      <c r="B40" t="s">
        <v>1342</v>
      </c>
      <c r="C40" t="s">
        <v>1348</v>
      </c>
      <c r="D40">
        <v>30</v>
      </c>
      <c r="E40" t="s">
        <v>1362</v>
      </c>
      <c r="F40" t="s">
        <v>1405</v>
      </c>
      <c r="G40" t="s">
        <v>1406</v>
      </c>
      <c r="P40">
        <v>8746.2894914005537</v>
      </c>
      <c r="Q40">
        <v>7514.206025915536</v>
      </c>
      <c r="R40">
        <v>6609.3158409376956</v>
      </c>
      <c r="S40">
        <v>6304.0888659104348</v>
      </c>
      <c r="T40">
        <v>6073.6216558941333</v>
      </c>
      <c r="U40">
        <v>5889.8185291012305</v>
      </c>
      <c r="V40">
        <v>5483.5992558482985</v>
      </c>
      <c r="W40">
        <v>5212.4893527984204</v>
      </c>
      <c r="X40">
        <v>5011.4653227996341</v>
      </c>
      <c r="Y40">
        <v>4852.9854949788996</v>
      </c>
      <c r="Z40">
        <v>4722.9088987309724</v>
      </c>
      <c r="AA40">
        <v>4613.0530910851912</v>
      </c>
      <c r="AB40">
        <v>4518.276314150271</v>
      </c>
      <c r="AC40">
        <v>4435.1467380586746</v>
      </c>
      <c r="AD40">
        <v>4361.2653857905107</v>
      </c>
      <c r="AE40">
        <v>4294.8921730345091</v>
      </c>
      <c r="AF40">
        <v>4234.7270533660821</v>
      </c>
      <c r="AG40">
        <v>4179.774425822171</v>
      </c>
      <c r="AH40">
        <v>4129.2559920998065</v>
      </c>
      <c r="AI40">
        <v>4082.5519961429209</v>
      </c>
      <c r="AJ40">
        <v>4039.1616440149724</v>
      </c>
    </row>
    <row r="41" spans="1:36" x14ac:dyDescent="0.35">
      <c r="A41" t="s">
        <v>1408</v>
      </c>
      <c r="B41" t="s">
        <v>1342</v>
      </c>
      <c r="C41" t="s">
        <v>1350</v>
      </c>
      <c r="D41">
        <v>30</v>
      </c>
      <c r="E41" t="s">
        <v>1362</v>
      </c>
      <c r="F41" t="s">
        <v>1405</v>
      </c>
      <c r="G41" t="s">
        <v>1406</v>
      </c>
      <c r="P41">
        <v>13687.049628567844</v>
      </c>
      <c r="Q41">
        <v>12246.535438436153</v>
      </c>
      <c r="R41">
        <v>11122.122004095059</v>
      </c>
      <c r="S41">
        <v>10132.912067486825</v>
      </c>
      <c r="T41">
        <v>9218.2657691519507</v>
      </c>
      <c r="U41">
        <v>8350.6238100934406</v>
      </c>
      <c r="V41">
        <v>7917.6409425330312</v>
      </c>
      <c r="W41">
        <v>7624.1194852874632</v>
      </c>
      <c r="X41">
        <v>7403.9610691182688</v>
      </c>
      <c r="Y41">
        <v>7228.8061447220653</v>
      </c>
      <c r="Z41">
        <v>7083.9515262949808</v>
      </c>
      <c r="AA41">
        <v>6960.8210760979982</v>
      </c>
      <c r="AB41">
        <v>6853.9899884382003</v>
      </c>
      <c r="AC41">
        <v>6759.816448122433</v>
      </c>
      <c r="AD41">
        <v>6675.7412728533409</v>
      </c>
      <c r="AE41">
        <v>6599.8999836336261</v>
      </c>
      <c r="AF41">
        <v>6530.8939717607282</v>
      </c>
      <c r="AG41">
        <v>6467.6478108046213</v>
      </c>
      <c r="AH41">
        <v>6409.3175681894891</v>
      </c>
      <c r="AI41">
        <v>6355.2296056690629</v>
      </c>
      <c r="AJ41">
        <v>6304.8376731381068</v>
      </c>
    </row>
    <row r="42" spans="1:36" x14ac:dyDescent="0.35">
      <c r="A42" t="s">
        <v>1361</v>
      </c>
      <c r="B42" t="s">
        <v>1342</v>
      </c>
      <c r="C42" t="s">
        <v>1343</v>
      </c>
      <c r="D42">
        <v>30</v>
      </c>
      <c r="E42" t="s">
        <v>1362</v>
      </c>
      <c r="F42" t="s">
        <v>1409</v>
      </c>
      <c r="G42" t="s">
        <v>1410</v>
      </c>
      <c r="P42">
        <v>6220.1357570845867</v>
      </c>
      <c r="Q42">
        <v>5462.5734495854904</v>
      </c>
      <c r="R42">
        <v>5036.2968082002953</v>
      </c>
      <c r="S42">
        <v>4746.4548615072854</v>
      </c>
      <c r="T42">
        <v>4529.9421409358883</v>
      </c>
      <c r="U42">
        <v>4358.7517705305509</v>
      </c>
      <c r="V42">
        <v>3985.2419801874098</v>
      </c>
      <c r="W42">
        <v>3739.8089364071589</v>
      </c>
      <c r="X42">
        <v>3559.8943076740925</v>
      </c>
      <c r="Y42">
        <v>3419.3375145624777</v>
      </c>
      <c r="Z42">
        <v>3304.8369734260127</v>
      </c>
      <c r="AA42">
        <v>3208.7561587931546</v>
      </c>
      <c r="AB42">
        <v>3126.3279381238644</v>
      </c>
      <c r="AC42">
        <v>3054.389338158112</v>
      </c>
      <c r="AD42">
        <v>2990.7400585937999</v>
      </c>
      <c r="AE42">
        <v>2933.7916835069036</v>
      </c>
      <c r="AF42">
        <v>2882.3622416427306</v>
      </c>
      <c r="AG42">
        <v>2835.5501486993212</v>
      </c>
      <c r="AH42">
        <v>2792.6528296986248</v>
      </c>
      <c r="AI42">
        <v>2753.1127259275881</v>
      </c>
      <c r="AJ42">
        <v>2716.4804865283863</v>
      </c>
    </row>
    <row r="43" spans="1:36" x14ac:dyDescent="0.35">
      <c r="A43" t="s">
        <v>1365</v>
      </c>
      <c r="B43" t="s">
        <v>1342</v>
      </c>
      <c r="C43" t="s">
        <v>1348</v>
      </c>
      <c r="D43">
        <v>30</v>
      </c>
      <c r="E43" t="s">
        <v>1362</v>
      </c>
      <c r="F43" t="s">
        <v>1409</v>
      </c>
      <c r="G43" t="s">
        <v>1410</v>
      </c>
      <c r="P43">
        <v>9016.1541171656809</v>
      </c>
      <c r="Q43">
        <v>7746.0548817226645</v>
      </c>
      <c r="R43">
        <v>6813.2446309846018</v>
      </c>
      <c r="S43">
        <v>6498.5999138852994</v>
      </c>
      <c r="T43">
        <v>6261.0218069237199</v>
      </c>
      <c r="U43">
        <v>6071.5474133086263</v>
      </c>
      <c r="V43">
        <v>5652.7944330541732</v>
      </c>
      <c r="W43">
        <v>5373.3193754092317</v>
      </c>
      <c r="X43">
        <v>5166.0929066267827</v>
      </c>
      <c r="Y43">
        <v>5002.723103741836</v>
      </c>
      <c r="Z43">
        <v>4868.6330604045233</v>
      </c>
      <c r="AA43">
        <v>4755.3876638674765</v>
      </c>
      <c r="AB43">
        <v>4657.6866139925105</v>
      </c>
      <c r="AC43">
        <v>4571.9922012996485</v>
      </c>
      <c r="AD43">
        <v>4495.831055868528</v>
      </c>
      <c r="AE43">
        <v>4427.4098764098981</v>
      </c>
      <c r="AF43">
        <v>4365.3883711595736</v>
      </c>
      <c r="AG43">
        <v>4308.740228523453</v>
      </c>
      <c r="AH43">
        <v>4256.6630916897711</v>
      </c>
      <c r="AI43">
        <v>4208.5181351853507</v>
      </c>
      <c r="AJ43">
        <v>4163.7889325863698</v>
      </c>
    </row>
    <row r="44" spans="1:36" x14ac:dyDescent="0.35">
      <c r="A44" t="s">
        <v>1366</v>
      </c>
      <c r="B44" t="s">
        <v>1342</v>
      </c>
      <c r="C44" t="s">
        <v>1350</v>
      </c>
      <c r="D44">
        <v>30</v>
      </c>
      <c r="E44" t="s">
        <v>1362</v>
      </c>
      <c r="F44" t="s">
        <v>1409</v>
      </c>
      <c r="G44" t="s">
        <v>1410</v>
      </c>
      <c r="P44">
        <v>14109.360163800315</v>
      </c>
      <c r="Q44">
        <v>12624.399264527756</v>
      </c>
      <c r="R44">
        <v>11465.292240947821</v>
      </c>
      <c r="S44">
        <v>10445.560482699622</v>
      </c>
      <c r="T44">
        <v>9502.6929992041169</v>
      </c>
      <c r="U44">
        <v>8608.2801285036585</v>
      </c>
      <c r="V44">
        <v>8161.9376929646878</v>
      </c>
      <c r="W44">
        <v>7859.3597038851249</v>
      </c>
      <c r="X44">
        <v>7632.4084730827899</v>
      </c>
      <c r="Y44">
        <v>7451.8491428352281</v>
      </c>
      <c r="Z44">
        <v>7302.525074338685</v>
      </c>
      <c r="AA44">
        <v>7175.5953753886879</v>
      </c>
      <c r="AB44">
        <v>7065.4681611552041</v>
      </c>
      <c r="AC44">
        <v>6968.3888629729818</v>
      </c>
      <c r="AD44">
        <v>6881.7195817647334</v>
      </c>
      <c r="AE44">
        <v>6803.5382976757191</v>
      </c>
      <c r="AF44">
        <v>6732.4030523400688</v>
      </c>
      <c r="AG44">
        <v>6667.2053804539228</v>
      </c>
      <c r="AH44">
        <v>6607.0754061647049</v>
      </c>
      <c r="AI44">
        <v>6551.3186479097631</v>
      </c>
      <c r="AJ44">
        <v>6499.371892672134</v>
      </c>
    </row>
    <row r="45" spans="1:36" x14ac:dyDescent="0.35">
      <c r="A45" t="s">
        <v>1367</v>
      </c>
      <c r="B45" t="s">
        <v>1342</v>
      </c>
      <c r="C45" t="s">
        <v>1343</v>
      </c>
      <c r="D45">
        <v>30</v>
      </c>
      <c r="E45" t="s">
        <v>1362</v>
      </c>
      <c r="F45" t="s">
        <v>1411</v>
      </c>
      <c r="G45" t="s">
        <v>1412</v>
      </c>
      <c r="P45">
        <v>6477.9109267456279</v>
      </c>
      <c r="Q45">
        <v>5688.9537065615705</v>
      </c>
      <c r="R45">
        <v>5245.0112458608301</v>
      </c>
      <c r="S45">
        <v>4943.1576728940308</v>
      </c>
      <c r="T45">
        <v>4717.6722372289569</v>
      </c>
      <c r="U45">
        <v>4539.3872675778484</v>
      </c>
      <c r="V45">
        <v>4150.3985431080609</v>
      </c>
      <c r="W45">
        <v>3894.794293542524</v>
      </c>
      <c r="X45">
        <v>3707.4236335882342</v>
      </c>
      <c r="Y45">
        <v>3561.0419096305077</v>
      </c>
      <c r="Z45">
        <v>3441.7961879574204</v>
      </c>
      <c r="AA45">
        <v>3341.7335238158525</v>
      </c>
      <c r="AB45">
        <v>3255.8894383724191</v>
      </c>
      <c r="AC45">
        <v>3180.9694680839957</v>
      </c>
      <c r="AD45">
        <v>3114.6824003111019</v>
      </c>
      <c r="AE45">
        <v>3055.3739631194612</v>
      </c>
      <c r="AF45">
        <v>3001.8131812871566</v>
      </c>
      <c r="AG45">
        <v>2953.0611077589379</v>
      </c>
      <c r="AH45">
        <v>2908.3861199562743</v>
      </c>
      <c r="AI45">
        <v>2867.2073767382462</v>
      </c>
      <c r="AJ45">
        <v>2829.0571230421419</v>
      </c>
    </row>
    <row r="46" spans="1:36" x14ac:dyDescent="0.35">
      <c r="A46" t="s">
        <v>1369</v>
      </c>
      <c r="B46" t="s">
        <v>1342</v>
      </c>
      <c r="C46" t="s">
        <v>1348</v>
      </c>
      <c r="D46">
        <v>30</v>
      </c>
      <c r="E46" t="s">
        <v>1362</v>
      </c>
      <c r="F46" t="s">
        <v>1411</v>
      </c>
      <c r="G46" t="s">
        <v>1412</v>
      </c>
      <c r="P46">
        <v>9389.8019390454592</v>
      </c>
      <c r="Q46">
        <v>8067.06723197478</v>
      </c>
      <c r="R46">
        <v>7095.5993923505293</v>
      </c>
      <c r="S46">
        <v>6767.91518522148</v>
      </c>
      <c r="T46">
        <v>6520.4912721212258</v>
      </c>
      <c r="U46">
        <v>6323.1647134050636</v>
      </c>
      <c r="V46">
        <v>5887.0577874997725</v>
      </c>
      <c r="W46">
        <v>5596.0007198095336</v>
      </c>
      <c r="X46">
        <v>5380.1863612054312</v>
      </c>
      <c r="Y46">
        <v>5210.0461391655817</v>
      </c>
      <c r="Z46">
        <v>5070.3992455087346</v>
      </c>
      <c r="AA46">
        <v>4952.4606658573002</v>
      </c>
      <c r="AB46">
        <v>4850.7106909076283</v>
      </c>
      <c r="AC46">
        <v>4761.4649318841803</v>
      </c>
      <c r="AD46">
        <v>4682.1475761839811</v>
      </c>
      <c r="AE46">
        <v>4610.8908187486077</v>
      </c>
      <c r="AF46">
        <v>4546.2989334618105</v>
      </c>
      <c r="AG46">
        <v>4487.303256884511</v>
      </c>
      <c r="AH46">
        <v>4433.0679498562995</v>
      </c>
      <c r="AI46">
        <v>4382.9276892837115</v>
      </c>
      <c r="AJ46">
        <v>4336.3448728204357</v>
      </c>
    </row>
    <row r="47" spans="1:36" x14ac:dyDescent="0.35">
      <c r="A47" t="s">
        <v>1370</v>
      </c>
      <c r="B47" t="s">
        <v>1342</v>
      </c>
      <c r="C47" t="s">
        <v>1350</v>
      </c>
      <c r="D47">
        <v>30</v>
      </c>
      <c r="E47" t="s">
        <v>1362</v>
      </c>
      <c r="F47" t="s">
        <v>1411</v>
      </c>
      <c r="G47" t="s">
        <v>1412</v>
      </c>
      <c r="P47">
        <v>14694.080933283514</v>
      </c>
      <c r="Q47">
        <v>13147.58014241136</v>
      </c>
      <c r="R47">
        <v>11940.437368000568</v>
      </c>
      <c r="S47">
        <v>10878.445896669104</v>
      </c>
      <c r="T47">
        <v>9896.504068828599</v>
      </c>
      <c r="U47">
        <v>8965.0249077522822</v>
      </c>
      <c r="V47">
        <v>8500.185248485519</v>
      </c>
      <c r="W47">
        <v>8185.0677872318201</v>
      </c>
      <c r="X47">
        <v>7948.7110099149013</v>
      </c>
      <c r="Y47">
        <v>7760.6690399571235</v>
      </c>
      <c r="Z47">
        <v>7605.1566130023402</v>
      </c>
      <c r="AA47">
        <v>7472.9668592537591</v>
      </c>
      <c r="AB47">
        <v>7358.2756239461951</v>
      </c>
      <c r="AC47">
        <v>7257.1731222286226</v>
      </c>
      <c r="AD47">
        <v>7166.9121384814871</v>
      </c>
      <c r="AE47">
        <v>7085.4908273830752</v>
      </c>
      <c r="AF47">
        <v>7011.4076940733994</v>
      </c>
      <c r="AG47">
        <v>6943.5080409989832</v>
      </c>
      <c r="AH47">
        <v>6880.8861817158131</v>
      </c>
      <c r="AI47">
        <v>6822.8186979294624</v>
      </c>
      <c r="AJ47">
        <v>6768.7190941951021</v>
      </c>
    </row>
    <row r="48" spans="1:36" x14ac:dyDescent="0.35">
      <c r="A48" t="s">
        <v>1371</v>
      </c>
      <c r="B48" t="s">
        <v>1342</v>
      </c>
      <c r="C48" t="s">
        <v>1343</v>
      </c>
      <c r="D48">
        <v>30</v>
      </c>
      <c r="E48" t="s">
        <v>1362</v>
      </c>
      <c r="F48" t="s">
        <v>1413</v>
      </c>
      <c r="G48" t="s">
        <v>1414</v>
      </c>
      <c r="P48">
        <v>7216.930332610832</v>
      </c>
      <c r="Q48">
        <v>6337.9665723556091</v>
      </c>
      <c r="R48">
        <v>5843.3778463166454</v>
      </c>
      <c r="S48">
        <v>5507.0878995045778</v>
      </c>
      <c r="T48">
        <v>5255.8783745019191</v>
      </c>
      <c r="U48">
        <v>5057.2540976039545</v>
      </c>
      <c r="V48">
        <v>4623.8882895394909</v>
      </c>
      <c r="W48">
        <v>4339.1240186267787</v>
      </c>
      <c r="X48">
        <v>4130.3775399107517</v>
      </c>
      <c r="Y48">
        <v>3967.2961065252402</v>
      </c>
      <c r="Z48">
        <v>3834.4466839871043</v>
      </c>
      <c r="AA48">
        <v>3722.9684237251327</v>
      </c>
      <c r="AB48">
        <v>3627.330973040077</v>
      </c>
      <c r="AC48">
        <v>3543.8639126131193</v>
      </c>
      <c r="AD48">
        <v>3470.0147122691515</v>
      </c>
      <c r="AE48">
        <v>3403.9401798020685</v>
      </c>
      <c r="AF48">
        <v>3344.2690910792294</v>
      </c>
      <c r="AG48">
        <v>3289.9552890084965</v>
      </c>
      <c r="AH48">
        <v>3240.1834451397208</v>
      </c>
      <c r="AI48">
        <v>3194.3069731904361</v>
      </c>
      <c r="AJ48">
        <v>3151.804346776431</v>
      </c>
    </row>
    <row r="49" spans="1:36" x14ac:dyDescent="0.35">
      <c r="A49" t="s">
        <v>1373</v>
      </c>
      <c r="B49" t="s">
        <v>1342</v>
      </c>
      <c r="C49" t="s">
        <v>1348</v>
      </c>
      <c r="D49">
        <v>30</v>
      </c>
      <c r="E49" t="s">
        <v>1362</v>
      </c>
      <c r="F49" t="s">
        <v>1413</v>
      </c>
      <c r="G49" t="s">
        <v>1414</v>
      </c>
      <c r="P49">
        <v>10461.018573509895</v>
      </c>
      <c r="Q49">
        <v>8987.38246888906</v>
      </c>
      <c r="R49">
        <v>7905.0866139525415</v>
      </c>
      <c r="S49">
        <v>7540.0190319538306</v>
      </c>
      <c r="T49">
        <v>7264.3683902577404</v>
      </c>
      <c r="U49">
        <v>7044.5302737747679</v>
      </c>
      <c r="V49">
        <v>6558.6709060239227</v>
      </c>
      <c r="W49">
        <v>6234.4092157912637</v>
      </c>
      <c r="X49">
        <v>5993.9740223243398</v>
      </c>
      <c r="Y49">
        <v>5804.4236836469199</v>
      </c>
      <c r="Z49">
        <v>5648.8455115505894</v>
      </c>
      <c r="AA49">
        <v>5517.4521277037484</v>
      </c>
      <c r="AB49">
        <v>5404.0941994320128</v>
      </c>
      <c r="AC49">
        <v>5304.6670347025001</v>
      </c>
      <c r="AD49">
        <v>5216.300907977592</v>
      </c>
      <c r="AE49">
        <v>5136.915035418242</v>
      </c>
      <c r="AF49">
        <v>5064.9543725803687</v>
      </c>
      <c r="AG49">
        <v>4999.2281895816504</v>
      </c>
      <c r="AH49">
        <v>4938.8056327822405</v>
      </c>
      <c r="AI49">
        <v>4882.9451014202377</v>
      </c>
      <c r="AJ49">
        <v>4831.0480153620574</v>
      </c>
    </row>
    <row r="50" spans="1:36" x14ac:dyDescent="0.35">
      <c r="A50" t="s">
        <v>1374</v>
      </c>
      <c r="B50" t="s">
        <v>1342</v>
      </c>
      <c r="C50" t="s">
        <v>1350</v>
      </c>
      <c r="D50">
        <v>30</v>
      </c>
      <c r="E50" t="s">
        <v>1362</v>
      </c>
      <c r="F50" t="s">
        <v>1413</v>
      </c>
      <c r="G50" t="s">
        <v>1414</v>
      </c>
      <c r="P50">
        <v>16370.425496124932</v>
      </c>
      <c r="Q50">
        <v>14647.495345102636</v>
      </c>
      <c r="R50">
        <v>13302.638007679221</v>
      </c>
      <c r="S50">
        <v>12119.491433852201</v>
      </c>
      <c r="T50">
        <v>11025.526758675054</v>
      </c>
      <c r="U50">
        <v>9987.781718592576</v>
      </c>
      <c r="V50">
        <v>9469.911673374052</v>
      </c>
      <c r="W50">
        <v>9118.8447022011642</v>
      </c>
      <c r="X50">
        <v>8855.5236582222969</v>
      </c>
      <c r="Y50">
        <v>8646.029370096936</v>
      </c>
      <c r="Z50">
        <v>8472.7756222390963</v>
      </c>
      <c r="AA50">
        <v>8325.5051747490907</v>
      </c>
      <c r="AB50">
        <v>8197.7296584553133</v>
      </c>
      <c r="AC50">
        <v>8085.0931528413284</v>
      </c>
      <c r="AD50">
        <v>7984.5347947236105</v>
      </c>
      <c r="AE50">
        <v>7893.8247927247612</v>
      </c>
      <c r="AF50">
        <v>7811.2899163621014</v>
      </c>
      <c r="AG50">
        <v>7735.6440886677601</v>
      </c>
      <c r="AH50">
        <v>7665.8781826967797</v>
      </c>
      <c r="AI50">
        <v>7601.1862938388595</v>
      </c>
      <c r="AJ50">
        <v>7540.9147402144699</v>
      </c>
    </row>
    <row r="51" spans="1:36" x14ac:dyDescent="0.35">
      <c r="A51" t="s">
        <v>1375</v>
      </c>
      <c r="B51" t="s">
        <v>1342</v>
      </c>
      <c r="C51" t="s">
        <v>1343</v>
      </c>
      <c r="D51">
        <v>30</v>
      </c>
      <c r="E51" t="s">
        <v>1362</v>
      </c>
      <c r="F51" t="s">
        <v>1415</v>
      </c>
      <c r="G51" t="s">
        <v>1416</v>
      </c>
      <c r="P51">
        <v>7842.3824900909085</v>
      </c>
      <c r="Q51">
        <v>6887.2436149478444</v>
      </c>
      <c r="R51">
        <v>6349.7916066003527</v>
      </c>
      <c r="S51">
        <v>5984.3572709283917</v>
      </c>
      <c r="T51">
        <v>5711.3766802337832</v>
      </c>
      <c r="U51">
        <v>5495.5389283331097</v>
      </c>
      <c r="V51">
        <v>5024.6155706648042</v>
      </c>
      <c r="W51">
        <v>4715.1723696883091</v>
      </c>
      <c r="X51">
        <v>4488.3348901764102</v>
      </c>
      <c r="Y51">
        <v>4311.1202469949403</v>
      </c>
      <c r="Z51">
        <v>4166.7573312706572</v>
      </c>
      <c r="AA51">
        <v>4045.6178612623817</v>
      </c>
      <c r="AB51">
        <v>3941.6919771255193</v>
      </c>
      <c r="AC51">
        <v>3850.9913989665206</v>
      </c>
      <c r="AD51">
        <v>3770.7419700707283</v>
      </c>
      <c r="AE51">
        <v>3698.9410690355021</v>
      </c>
      <c r="AF51">
        <v>3634.0986204773776</v>
      </c>
      <c r="AG51">
        <v>3575.0776658355376</v>
      </c>
      <c r="AH51">
        <v>3520.9925859014174</v>
      </c>
      <c r="AI51">
        <v>3471.140140484742</v>
      </c>
      <c r="AJ51">
        <v>3424.9541231135358</v>
      </c>
    </row>
    <row r="52" spans="1:36" x14ac:dyDescent="0.35">
      <c r="A52" t="s">
        <v>1378</v>
      </c>
      <c r="B52" t="s">
        <v>1342</v>
      </c>
      <c r="C52" t="s">
        <v>1348</v>
      </c>
      <c r="D52">
        <v>30</v>
      </c>
      <c r="E52" t="s">
        <v>1362</v>
      </c>
      <c r="F52" t="s">
        <v>1415</v>
      </c>
      <c r="G52" t="s">
        <v>1416</v>
      </c>
      <c r="P52">
        <v>11367.618243036664</v>
      </c>
      <c r="Q52">
        <v>9766.2699281521072</v>
      </c>
      <c r="R52">
        <v>8590.1773756251478</v>
      </c>
      <c r="S52">
        <v>8193.4716350046219</v>
      </c>
      <c r="T52">
        <v>7893.9317810242437</v>
      </c>
      <c r="U52">
        <v>7655.0414320806212</v>
      </c>
      <c r="V52">
        <v>7127.075239189503</v>
      </c>
      <c r="W52">
        <v>6774.7116585218537</v>
      </c>
      <c r="X52">
        <v>6513.4392464578395</v>
      </c>
      <c r="Y52">
        <v>6307.4616027586726</v>
      </c>
      <c r="Z52">
        <v>6138.400244078679</v>
      </c>
      <c r="AA52">
        <v>5995.6197573683967</v>
      </c>
      <c r="AB52">
        <v>5872.4377532239951</v>
      </c>
      <c r="AC52">
        <v>5764.393651072347</v>
      </c>
      <c r="AD52">
        <v>5668.3693794785931</v>
      </c>
      <c r="AE52">
        <v>5582.1035494846619</v>
      </c>
      <c r="AF52">
        <v>5503.9065220396624</v>
      </c>
      <c r="AG52">
        <v>5432.4842376290289</v>
      </c>
      <c r="AH52">
        <v>5366.8250193276035</v>
      </c>
      <c r="AI52">
        <v>5306.1234059999069</v>
      </c>
      <c r="AJ52">
        <v>5249.7287092214201</v>
      </c>
    </row>
    <row r="53" spans="1:36" x14ac:dyDescent="0.35">
      <c r="A53" t="s">
        <v>1379</v>
      </c>
      <c r="B53" t="s">
        <v>1342</v>
      </c>
      <c r="C53" t="s">
        <v>1350</v>
      </c>
      <c r="D53">
        <v>30</v>
      </c>
      <c r="E53" t="s">
        <v>1362</v>
      </c>
      <c r="F53" t="s">
        <v>1415</v>
      </c>
      <c r="G53" t="s">
        <v>1416</v>
      </c>
      <c r="P53">
        <v>17789.161303230201</v>
      </c>
      <c r="Q53">
        <v>15916.914179308425</v>
      </c>
      <c r="R53">
        <v>14455.50545145961</v>
      </c>
      <c r="S53">
        <v>13169.821956621028</v>
      </c>
      <c r="T53">
        <v>11981.049239534395</v>
      </c>
      <c r="U53">
        <v>10853.368393613986</v>
      </c>
      <c r="V53">
        <v>10290.617366540531</v>
      </c>
      <c r="W53">
        <v>9909.1253621063806</v>
      </c>
      <c r="X53">
        <v>9622.9838801510086</v>
      </c>
      <c r="Y53">
        <v>9395.3337330378581</v>
      </c>
      <c r="Z53">
        <v>9207.065036580143</v>
      </c>
      <c r="AA53">
        <v>9047.0314947397783</v>
      </c>
      <c r="AB53">
        <v>8908.1823014091224</v>
      </c>
      <c r="AC53">
        <v>8785.7841390028971</v>
      </c>
      <c r="AD53">
        <v>8676.5110572660051</v>
      </c>
      <c r="AE53">
        <v>8577.939688063645</v>
      </c>
      <c r="AF53">
        <v>8488.2518955168434</v>
      </c>
      <c r="AG53">
        <v>8406.0504013474929</v>
      </c>
      <c r="AH53">
        <v>8330.2381597282583</v>
      </c>
      <c r="AI53">
        <v>8259.9396405026528</v>
      </c>
      <c r="AJ53">
        <v>8194.4448404894465</v>
      </c>
    </row>
    <row r="54" spans="1:36" x14ac:dyDescent="0.35">
      <c r="A54" t="s">
        <v>1417</v>
      </c>
      <c r="B54" t="s">
        <v>1342</v>
      </c>
      <c r="C54" t="s">
        <v>1343</v>
      </c>
      <c r="D54">
        <v>30</v>
      </c>
      <c r="E54" t="s">
        <v>1418</v>
      </c>
      <c r="F54" t="s">
        <v>1363</v>
      </c>
      <c r="G54" t="s">
        <v>1419</v>
      </c>
      <c r="H54">
        <v>1482.6832803021205</v>
      </c>
      <c r="I54">
        <v>1610.9046644782707</v>
      </c>
      <c r="J54">
        <v>1533.570638746058</v>
      </c>
      <c r="K54">
        <v>1456.236613013845</v>
      </c>
      <c r="L54">
        <v>1378.9025872816319</v>
      </c>
      <c r="M54">
        <v>1301.5685615494185</v>
      </c>
      <c r="N54">
        <v>1224.2345358172054</v>
      </c>
      <c r="O54">
        <v>1146.9005100849922</v>
      </c>
      <c r="P54">
        <v>1069.5664843527793</v>
      </c>
      <c r="Q54">
        <v>992.23245862056592</v>
      </c>
      <c r="R54">
        <v>914.89843288835289</v>
      </c>
      <c r="S54">
        <v>837.56440715613974</v>
      </c>
      <c r="T54">
        <v>760.23038142392636</v>
      </c>
      <c r="U54">
        <v>682.89635569171378</v>
      </c>
      <c r="V54">
        <v>674.87451529002556</v>
      </c>
      <c r="W54">
        <v>666.85267488833733</v>
      </c>
      <c r="X54">
        <v>658.83083448664922</v>
      </c>
      <c r="Y54">
        <v>650.80899408496111</v>
      </c>
      <c r="Z54">
        <v>642.78715368327289</v>
      </c>
      <c r="AA54">
        <v>634.76531328158478</v>
      </c>
      <c r="AB54">
        <v>626.74347287989656</v>
      </c>
      <c r="AC54">
        <v>618.72163247820833</v>
      </c>
      <c r="AD54">
        <v>610.69979207652023</v>
      </c>
      <c r="AE54">
        <v>602.67795167483212</v>
      </c>
      <c r="AF54">
        <v>594.65611127314389</v>
      </c>
      <c r="AG54">
        <v>586.63427087145567</v>
      </c>
      <c r="AH54">
        <v>578.61243046976756</v>
      </c>
      <c r="AI54">
        <v>570.59059006807934</v>
      </c>
      <c r="AJ54">
        <v>562.568749666391</v>
      </c>
    </row>
    <row r="55" spans="1:36" x14ac:dyDescent="0.35">
      <c r="A55" t="s">
        <v>1420</v>
      </c>
      <c r="B55" t="s">
        <v>1342</v>
      </c>
      <c r="C55" t="s">
        <v>1348</v>
      </c>
      <c r="D55">
        <v>30</v>
      </c>
      <c r="E55" t="s">
        <v>1418</v>
      </c>
      <c r="F55" t="s">
        <v>1363</v>
      </c>
      <c r="G55" t="s">
        <v>1419</v>
      </c>
      <c r="H55">
        <v>1482.6832803021205</v>
      </c>
      <c r="I55">
        <v>1610.9046644782707</v>
      </c>
      <c r="J55">
        <v>1551.2727044066685</v>
      </c>
      <c r="K55">
        <v>1491.6407443350658</v>
      </c>
      <c r="L55">
        <v>1432.0087842634634</v>
      </c>
      <c r="M55">
        <v>1372.376824191861</v>
      </c>
      <c r="N55">
        <v>1312.7448641202586</v>
      </c>
      <c r="O55">
        <v>1253.112904048656</v>
      </c>
      <c r="P55">
        <v>1193.4809439770536</v>
      </c>
      <c r="Q55">
        <v>1133.8489839054512</v>
      </c>
      <c r="R55">
        <v>1074.217023833849</v>
      </c>
      <c r="S55">
        <v>1014.5850637622466</v>
      </c>
      <c r="T55">
        <v>954.95310369064418</v>
      </c>
      <c r="U55">
        <v>895.32114361904189</v>
      </c>
      <c r="V55">
        <v>881.15949109055327</v>
      </c>
      <c r="W55">
        <v>866.99783856206466</v>
      </c>
      <c r="X55">
        <v>852.83618603357615</v>
      </c>
      <c r="Y55">
        <v>838.67453350508754</v>
      </c>
      <c r="Z55">
        <v>824.51288097659892</v>
      </c>
      <c r="AA55">
        <v>810.35122844811031</v>
      </c>
      <c r="AB55">
        <v>796.18957591962192</v>
      </c>
      <c r="AC55">
        <v>782.02792339113319</v>
      </c>
      <c r="AD55">
        <v>767.86627086264468</v>
      </c>
      <c r="AE55">
        <v>753.70461833415618</v>
      </c>
      <c r="AF55">
        <v>739.54296580566745</v>
      </c>
      <c r="AG55">
        <v>725.38131327717895</v>
      </c>
      <c r="AH55">
        <v>711.21966074869022</v>
      </c>
      <c r="AI55">
        <v>697.05800822020171</v>
      </c>
      <c r="AJ55">
        <v>682.89635569171378</v>
      </c>
    </row>
    <row r="56" spans="1:36" x14ac:dyDescent="0.35">
      <c r="A56" t="s">
        <v>1421</v>
      </c>
      <c r="B56" t="s">
        <v>1342</v>
      </c>
      <c r="C56" t="s">
        <v>1350</v>
      </c>
      <c r="D56">
        <v>30</v>
      </c>
      <c r="E56" t="s">
        <v>1418</v>
      </c>
      <c r="F56" t="s">
        <v>1363</v>
      </c>
      <c r="G56" t="s">
        <v>1419</v>
      </c>
      <c r="H56">
        <v>1482.6832803021205</v>
      </c>
      <c r="I56">
        <v>1610.9046644782707</v>
      </c>
      <c r="J56">
        <v>1575.7665332950637</v>
      </c>
      <c r="K56">
        <v>1540.6284021118565</v>
      </c>
      <c r="L56">
        <v>1505.4902709286494</v>
      </c>
      <c r="M56">
        <v>1470.3521397454424</v>
      </c>
      <c r="N56">
        <v>1435.214008562235</v>
      </c>
      <c r="O56">
        <v>1400.0758773790278</v>
      </c>
      <c r="P56">
        <v>1364.9377461958204</v>
      </c>
      <c r="Q56">
        <v>1329.7996150126132</v>
      </c>
      <c r="R56">
        <v>1294.6614838294058</v>
      </c>
      <c r="S56">
        <v>1259.5233526461986</v>
      </c>
      <c r="T56">
        <v>1224.385221462991</v>
      </c>
      <c r="U56">
        <v>1189.2470902797832</v>
      </c>
      <c r="V56">
        <v>1169.6520271690672</v>
      </c>
      <c r="W56">
        <v>1150.0569640583512</v>
      </c>
      <c r="X56">
        <v>1130.4619009476351</v>
      </c>
      <c r="Y56">
        <v>1110.8668378369191</v>
      </c>
      <c r="Z56">
        <v>1091.2717747262031</v>
      </c>
      <c r="AA56">
        <v>1071.6767116154872</v>
      </c>
      <c r="AB56">
        <v>1052.0816485047712</v>
      </c>
      <c r="AC56">
        <v>1032.4865853940551</v>
      </c>
      <c r="AD56">
        <v>1012.891522283339</v>
      </c>
      <c r="AE56">
        <v>993.29645917262303</v>
      </c>
      <c r="AF56">
        <v>973.70139606190708</v>
      </c>
      <c r="AG56">
        <v>954.10633295119101</v>
      </c>
      <c r="AH56">
        <v>934.51126984047494</v>
      </c>
      <c r="AI56">
        <v>914.91620672975898</v>
      </c>
      <c r="AJ56">
        <v>895.32114361904189</v>
      </c>
    </row>
    <row r="57" spans="1:36" x14ac:dyDescent="0.35">
      <c r="A57" t="s">
        <v>1422</v>
      </c>
      <c r="B57" t="s">
        <v>1342</v>
      </c>
      <c r="C57" t="s">
        <v>1343</v>
      </c>
      <c r="D57">
        <v>30</v>
      </c>
      <c r="E57" t="s">
        <v>1418</v>
      </c>
      <c r="F57" t="s">
        <v>1345</v>
      </c>
      <c r="G57" t="s">
        <v>1423</v>
      </c>
      <c r="H57">
        <v>1482.6832803021205</v>
      </c>
      <c r="I57">
        <v>1610.9046644782707</v>
      </c>
      <c r="J57">
        <v>1533.570638746058</v>
      </c>
      <c r="K57">
        <v>1456.236613013845</v>
      </c>
      <c r="L57">
        <v>1378.9025872816319</v>
      </c>
      <c r="M57">
        <v>1301.5685615494185</v>
      </c>
      <c r="N57">
        <v>1224.2345358172054</v>
      </c>
      <c r="O57">
        <v>1146.9005100849922</v>
      </c>
      <c r="P57">
        <v>1069.5664843527793</v>
      </c>
      <c r="Q57">
        <v>992.23245862056592</v>
      </c>
      <c r="R57">
        <v>914.89843288835289</v>
      </c>
      <c r="S57">
        <v>837.56440715613974</v>
      </c>
      <c r="T57">
        <v>760.23038142392636</v>
      </c>
      <c r="U57">
        <v>682.89635569171378</v>
      </c>
      <c r="V57">
        <v>674.87451529002556</v>
      </c>
      <c r="W57">
        <v>666.85267488833733</v>
      </c>
      <c r="X57">
        <v>658.83083448664922</v>
      </c>
      <c r="Y57">
        <v>650.80899408496111</v>
      </c>
      <c r="Z57">
        <v>642.78715368327289</v>
      </c>
      <c r="AA57">
        <v>634.76531328158478</v>
      </c>
      <c r="AB57">
        <v>626.74347287989656</v>
      </c>
      <c r="AC57">
        <v>618.72163247820833</v>
      </c>
      <c r="AD57">
        <v>610.69979207652023</v>
      </c>
      <c r="AE57">
        <v>602.67795167483212</v>
      </c>
      <c r="AF57">
        <v>594.65611127314389</v>
      </c>
      <c r="AG57">
        <v>586.63427087145567</v>
      </c>
      <c r="AH57">
        <v>578.61243046976756</v>
      </c>
      <c r="AI57">
        <v>570.59059006807934</v>
      </c>
      <c r="AJ57">
        <v>562.568749666391</v>
      </c>
    </row>
    <row r="58" spans="1:36" x14ac:dyDescent="0.35">
      <c r="A58" t="s">
        <v>1424</v>
      </c>
      <c r="B58" t="s">
        <v>1342</v>
      </c>
      <c r="C58" t="s">
        <v>1348</v>
      </c>
      <c r="D58">
        <v>30</v>
      </c>
      <c r="E58" t="s">
        <v>1418</v>
      </c>
      <c r="F58" t="s">
        <v>1345</v>
      </c>
      <c r="G58" t="s">
        <v>1423</v>
      </c>
      <c r="H58">
        <v>1482.6832803021205</v>
      </c>
      <c r="I58">
        <v>1610.9046644782707</v>
      </c>
      <c r="J58">
        <v>1551.2727044066685</v>
      </c>
      <c r="K58">
        <v>1491.6407443350658</v>
      </c>
      <c r="L58">
        <v>1432.0087842634634</v>
      </c>
      <c r="M58">
        <v>1372.376824191861</v>
      </c>
      <c r="N58">
        <v>1312.7448641202586</v>
      </c>
      <c r="O58">
        <v>1253.112904048656</v>
      </c>
      <c r="P58">
        <v>1193.4809439770536</v>
      </c>
      <c r="Q58">
        <v>1133.8489839054512</v>
      </c>
      <c r="R58">
        <v>1074.217023833849</v>
      </c>
      <c r="S58">
        <v>1014.5850637622466</v>
      </c>
      <c r="T58">
        <v>954.95310369064418</v>
      </c>
      <c r="U58">
        <v>895.32114361904189</v>
      </c>
      <c r="V58">
        <v>881.15949109055327</v>
      </c>
      <c r="W58">
        <v>866.99783856206466</v>
      </c>
      <c r="X58">
        <v>852.83618603357615</v>
      </c>
      <c r="Y58">
        <v>838.67453350508754</v>
      </c>
      <c r="Z58">
        <v>824.51288097659892</v>
      </c>
      <c r="AA58">
        <v>810.35122844811031</v>
      </c>
      <c r="AB58">
        <v>796.18957591962192</v>
      </c>
      <c r="AC58">
        <v>782.02792339113319</v>
      </c>
      <c r="AD58">
        <v>767.86627086264468</v>
      </c>
      <c r="AE58">
        <v>753.70461833415618</v>
      </c>
      <c r="AF58">
        <v>739.54296580566745</v>
      </c>
      <c r="AG58">
        <v>725.38131327717895</v>
      </c>
      <c r="AH58">
        <v>711.21966074869022</v>
      </c>
      <c r="AI58">
        <v>697.05800822020171</v>
      </c>
      <c r="AJ58">
        <v>682.89635569171378</v>
      </c>
    </row>
    <row r="59" spans="1:36" x14ac:dyDescent="0.35">
      <c r="A59" t="s">
        <v>1425</v>
      </c>
      <c r="B59" t="s">
        <v>1342</v>
      </c>
      <c r="C59" t="s">
        <v>1350</v>
      </c>
      <c r="D59">
        <v>30</v>
      </c>
      <c r="E59" t="s">
        <v>1418</v>
      </c>
      <c r="F59" t="s">
        <v>1345</v>
      </c>
      <c r="G59" t="s">
        <v>1423</v>
      </c>
      <c r="H59">
        <v>1482.6832803021205</v>
      </c>
      <c r="I59">
        <v>1610.9046644782707</v>
      </c>
      <c r="J59">
        <v>1575.7665332950637</v>
      </c>
      <c r="K59">
        <v>1540.6284021118565</v>
      </c>
      <c r="L59">
        <v>1505.4902709286494</v>
      </c>
      <c r="M59">
        <v>1470.3521397454424</v>
      </c>
      <c r="N59">
        <v>1435.214008562235</v>
      </c>
      <c r="O59">
        <v>1400.0758773790278</v>
      </c>
      <c r="P59">
        <v>1364.9377461958204</v>
      </c>
      <c r="Q59">
        <v>1329.7996150126132</v>
      </c>
      <c r="R59">
        <v>1294.6614838294058</v>
      </c>
      <c r="S59">
        <v>1259.5233526461986</v>
      </c>
      <c r="T59">
        <v>1224.385221462991</v>
      </c>
      <c r="U59">
        <v>1189.2470902797832</v>
      </c>
      <c r="V59">
        <v>1169.6520271690672</v>
      </c>
      <c r="W59">
        <v>1150.0569640583512</v>
      </c>
      <c r="X59">
        <v>1130.4619009476351</v>
      </c>
      <c r="Y59">
        <v>1110.8668378369191</v>
      </c>
      <c r="Z59">
        <v>1091.2717747262031</v>
      </c>
      <c r="AA59">
        <v>1071.6767116154872</v>
      </c>
      <c r="AB59">
        <v>1052.0816485047712</v>
      </c>
      <c r="AC59">
        <v>1032.4865853940551</v>
      </c>
      <c r="AD59">
        <v>1012.891522283339</v>
      </c>
      <c r="AE59">
        <v>993.29645917262303</v>
      </c>
      <c r="AF59">
        <v>973.70139606190708</v>
      </c>
      <c r="AG59">
        <v>954.10633295119101</v>
      </c>
      <c r="AH59">
        <v>934.51126984047494</v>
      </c>
      <c r="AI59">
        <v>914.91620672975898</v>
      </c>
      <c r="AJ59">
        <v>895.32114361904189</v>
      </c>
    </row>
    <row r="60" spans="1:36" x14ac:dyDescent="0.35">
      <c r="A60" t="s">
        <v>1426</v>
      </c>
      <c r="B60" t="s">
        <v>1342</v>
      </c>
      <c r="C60" t="s">
        <v>1343</v>
      </c>
      <c r="D60">
        <v>30</v>
      </c>
      <c r="E60" t="s">
        <v>1418</v>
      </c>
      <c r="F60" t="s">
        <v>1352</v>
      </c>
      <c r="G60" t="s">
        <v>1427</v>
      </c>
      <c r="H60">
        <v>1482.6832803021205</v>
      </c>
      <c r="I60">
        <v>1610.9046644782707</v>
      </c>
      <c r="J60">
        <v>1533.570638746058</v>
      </c>
      <c r="K60">
        <v>1456.236613013845</v>
      </c>
      <c r="L60">
        <v>1378.9025872816319</v>
      </c>
      <c r="M60">
        <v>1301.5685615494185</v>
      </c>
      <c r="N60">
        <v>1224.2345358172054</v>
      </c>
      <c r="O60">
        <v>1146.9005100849922</v>
      </c>
      <c r="P60">
        <v>1069.5664843527793</v>
      </c>
      <c r="Q60">
        <v>992.23245862056592</v>
      </c>
      <c r="R60">
        <v>914.89843288835289</v>
      </c>
      <c r="S60">
        <v>837.56440715613974</v>
      </c>
      <c r="T60">
        <v>760.23038142392636</v>
      </c>
      <c r="U60">
        <v>682.89635569171378</v>
      </c>
      <c r="V60">
        <v>674.87451529002556</v>
      </c>
      <c r="W60">
        <v>666.85267488833733</v>
      </c>
      <c r="X60">
        <v>658.83083448664922</v>
      </c>
      <c r="Y60">
        <v>650.80899408496111</v>
      </c>
      <c r="Z60">
        <v>642.78715368327289</v>
      </c>
      <c r="AA60">
        <v>634.76531328158478</v>
      </c>
      <c r="AB60">
        <v>626.74347287989656</v>
      </c>
      <c r="AC60">
        <v>618.72163247820833</v>
      </c>
      <c r="AD60">
        <v>610.69979207652023</v>
      </c>
      <c r="AE60">
        <v>602.67795167483212</v>
      </c>
      <c r="AF60">
        <v>594.65611127314389</v>
      </c>
      <c r="AG60">
        <v>586.63427087145567</v>
      </c>
      <c r="AH60">
        <v>578.61243046976756</v>
      </c>
      <c r="AI60">
        <v>570.59059006807934</v>
      </c>
      <c r="AJ60">
        <v>562.568749666391</v>
      </c>
    </row>
    <row r="61" spans="1:36" x14ac:dyDescent="0.35">
      <c r="A61" t="s">
        <v>1428</v>
      </c>
      <c r="B61" t="s">
        <v>1342</v>
      </c>
      <c r="C61" t="s">
        <v>1348</v>
      </c>
      <c r="D61">
        <v>30</v>
      </c>
      <c r="E61" t="s">
        <v>1418</v>
      </c>
      <c r="F61" t="s">
        <v>1352</v>
      </c>
      <c r="G61" t="s">
        <v>1427</v>
      </c>
      <c r="H61">
        <v>1482.6832803021205</v>
      </c>
      <c r="I61">
        <v>1610.9046644782707</v>
      </c>
      <c r="J61">
        <v>1551.2727044066685</v>
      </c>
      <c r="K61">
        <v>1491.6407443350658</v>
      </c>
      <c r="L61">
        <v>1432.0087842634634</v>
      </c>
      <c r="M61">
        <v>1372.376824191861</v>
      </c>
      <c r="N61">
        <v>1312.7448641202586</v>
      </c>
      <c r="O61">
        <v>1253.112904048656</v>
      </c>
      <c r="P61">
        <v>1193.4809439770536</v>
      </c>
      <c r="Q61">
        <v>1133.8489839054512</v>
      </c>
      <c r="R61">
        <v>1074.217023833849</v>
      </c>
      <c r="S61">
        <v>1014.5850637622466</v>
      </c>
      <c r="T61">
        <v>954.95310369064418</v>
      </c>
      <c r="U61">
        <v>895.32114361904189</v>
      </c>
      <c r="V61">
        <v>881.15949109055327</v>
      </c>
      <c r="W61">
        <v>866.99783856206466</v>
      </c>
      <c r="X61">
        <v>852.83618603357615</v>
      </c>
      <c r="Y61">
        <v>838.67453350508754</v>
      </c>
      <c r="Z61">
        <v>824.51288097659892</v>
      </c>
      <c r="AA61">
        <v>810.35122844811031</v>
      </c>
      <c r="AB61">
        <v>796.18957591962192</v>
      </c>
      <c r="AC61">
        <v>782.02792339113319</v>
      </c>
      <c r="AD61">
        <v>767.86627086264468</v>
      </c>
      <c r="AE61">
        <v>753.70461833415618</v>
      </c>
      <c r="AF61">
        <v>739.54296580566745</v>
      </c>
      <c r="AG61">
        <v>725.38131327717895</v>
      </c>
      <c r="AH61">
        <v>711.21966074869022</v>
      </c>
      <c r="AI61">
        <v>697.05800822020171</v>
      </c>
      <c r="AJ61">
        <v>682.89635569171378</v>
      </c>
    </row>
    <row r="62" spans="1:36" x14ac:dyDescent="0.35">
      <c r="A62" t="s">
        <v>1429</v>
      </c>
      <c r="B62" t="s">
        <v>1342</v>
      </c>
      <c r="C62" t="s">
        <v>1350</v>
      </c>
      <c r="D62">
        <v>30</v>
      </c>
      <c r="E62" t="s">
        <v>1418</v>
      </c>
      <c r="F62" t="s">
        <v>1352</v>
      </c>
      <c r="G62" t="s">
        <v>1427</v>
      </c>
      <c r="H62">
        <v>1482.6832803021205</v>
      </c>
      <c r="I62">
        <v>1610.9046644782707</v>
      </c>
      <c r="J62">
        <v>1575.7665332950637</v>
      </c>
      <c r="K62">
        <v>1540.6284021118565</v>
      </c>
      <c r="L62">
        <v>1505.4902709286494</v>
      </c>
      <c r="M62">
        <v>1470.3521397454424</v>
      </c>
      <c r="N62">
        <v>1435.214008562235</v>
      </c>
      <c r="O62">
        <v>1400.0758773790278</v>
      </c>
      <c r="P62">
        <v>1364.9377461958204</v>
      </c>
      <c r="Q62">
        <v>1329.7996150126132</v>
      </c>
      <c r="R62">
        <v>1294.6614838294058</v>
      </c>
      <c r="S62">
        <v>1259.5233526461986</v>
      </c>
      <c r="T62">
        <v>1224.385221462991</v>
      </c>
      <c r="U62">
        <v>1189.2470902797832</v>
      </c>
      <c r="V62">
        <v>1169.6520271690672</v>
      </c>
      <c r="W62">
        <v>1150.0569640583512</v>
      </c>
      <c r="X62">
        <v>1130.4619009476351</v>
      </c>
      <c r="Y62">
        <v>1110.8668378369191</v>
      </c>
      <c r="Z62">
        <v>1091.2717747262031</v>
      </c>
      <c r="AA62">
        <v>1071.6767116154872</v>
      </c>
      <c r="AB62">
        <v>1052.0816485047712</v>
      </c>
      <c r="AC62">
        <v>1032.4865853940551</v>
      </c>
      <c r="AD62">
        <v>1012.891522283339</v>
      </c>
      <c r="AE62">
        <v>993.29645917262303</v>
      </c>
      <c r="AF62">
        <v>973.70139606190708</v>
      </c>
      <c r="AG62">
        <v>954.10633295119101</v>
      </c>
      <c r="AH62">
        <v>934.51126984047494</v>
      </c>
      <c r="AI62">
        <v>914.91620672975898</v>
      </c>
      <c r="AJ62">
        <v>895.32114361904189</v>
      </c>
    </row>
    <row r="63" spans="1:36" x14ac:dyDescent="0.35">
      <c r="A63" t="s">
        <v>1430</v>
      </c>
      <c r="B63" t="s">
        <v>1342</v>
      </c>
      <c r="C63" t="s">
        <v>1343</v>
      </c>
      <c r="D63">
        <v>30</v>
      </c>
      <c r="E63" t="s">
        <v>1418</v>
      </c>
      <c r="F63" t="s">
        <v>1376</v>
      </c>
      <c r="G63" t="s">
        <v>1431</v>
      </c>
      <c r="H63">
        <v>1482.6832803021205</v>
      </c>
      <c r="I63">
        <v>1610.9046644782707</v>
      </c>
      <c r="J63">
        <v>1533.570638746058</v>
      </c>
      <c r="K63">
        <v>1456.236613013845</v>
      </c>
      <c r="L63">
        <v>1378.9025872816319</v>
      </c>
      <c r="M63">
        <v>1301.5685615494185</v>
      </c>
      <c r="N63">
        <v>1224.2345358172054</v>
      </c>
      <c r="O63">
        <v>1146.9005100849922</v>
      </c>
      <c r="P63">
        <v>1069.5664843527793</v>
      </c>
      <c r="Q63">
        <v>992.23245862056592</v>
      </c>
      <c r="R63">
        <v>914.89843288835289</v>
      </c>
      <c r="S63">
        <v>837.56440715613974</v>
      </c>
      <c r="T63">
        <v>760.23038142392636</v>
      </c>
      <c r="U63">
        <v>682.89635569171378</v>
      </c>
      <c r="V63">
        <v>674.87451529002556</v>
      </c>
      <c r="W63">
        <v>666.85267488833733</v>
      </c>
      <c r="X63">
        <v>658.83083448664922</v>
      </c>
      <c r="Y63">
        <v>650.80899408496111</v>
      </c>
      <c r="Z63">
        <v>642.78715368327289</v>
      </c>
      <c r="AA63">
        <v>634.76531328158478</v>
      </c>
      <c r="AB63">
        <v>626.74347287989656</v>
      </c>
      <c r="AC63">
        <v>618.72163247820833</v>
      </c>
      <c r="AD63">
        <v>610.69979207652023</v>
      </c>
      <c r="AE63">
        <v>602.67795167483212</v>
      </c>
      <c r="AF63">
        <v>594.65611127314389</v>
      </c>
      <c r="AG63">
        <v>586.63427087145567</v>
      </c>
      <c r="AH63">
        <v>578.61243046976756</v>
      </c>
      <c r="AI63">
        <v>570.59059006807934</v>
      </c>
      <c r="AJ63">
        <v>562.568749666391</v>
      </c>
    </row>
    <row r="64" spans="1:36" x14ac:dyDescent="0.35">
      <c r="A64" t="s">
        <v>1432</v>
      </c>
      <c r="B64" t="s">
        <v>1342</v>
      </c>
      <c r="C64" t="s">
        <v>1348</v>
      </c>
      <c r="D64">
        <v>30</v>
      </c>
      <c r="E64" t="s">
        <v>1418</v>
      </c>
      <c r="F64" t="s">
        <v>1376</v>
      </c>
      <c r="G64" t="s">
        <v>1431</v>
      </c>
      <c r="H64">
        <v>1482.6832803021205</v>
      </c>
      <c r="I64">
        <v>1610.9046644782707</v>
      </c>
      <c r="J64">
        <v>1551.2727044066685</v>
      </c>
      <c r="K64">
        <v>1491.6407443350658</v>
      </c>
      <c r="L64">
        <v>1432.0087842634634</v>
      </c>
      <c r="M64">
        <v>1372.376824191861</v>
      </c>
      <c r="N64">
        <v>1312.7448641202586</v>
      </c>
      <c r="O64">
        <v>1253.112904048656</v>
      </c>
      <c r="P64">
        <v>1193.4809439770536</v>
      </c>
      <c r="Q64">
        <v>1133.8489839054512</v>
      </c>
      <c r="R64">
        <v>1074.217023833849</v>
      </c>
      <c r="S64">
        <v>1014.5850637622466</v>
      </c>
      <c r="T64">
        <v>954.95310369064418</v>
      </c>
      <c r="U64">
        <v>895.32114361904189</v>
      </c>
      <c r="V64">
        <v>881.15949109055327</v>
      </c>
      <c r="W64">
        <v>866.99783856206466</v>
      </c>
      <c r="X64">
        <v>852.83618603357615</v>
      </c>
      <c r="Y64">
        <v>838.67453350508754</v>
      </c>
      <c r="Z64">
        <v>824.51288097659892</v>
      </c>
      <c r="AA64">
        <v>810.35122844811031</v>
      </c>
      <c r="AB64">
        <v>796.18957591962192</v>
      </c>
      <c r="AC64">
        <v>782.02792339113319</v>
      </c>
      <c r="AD64">
        <v>767.86627086264468</v>
      </c>
      <c r="AE64">
        <v>753.70461833415618</v>
      </c>
      <c r="AF64">
        <v>739.54296580566745</v>
      </c>
      <c r="AG64">
        <v>725.38131327717895</v>
      </c>
      <c r="AH64">
        <v>711.21966074869022</v>
      </c>
      <c r="AI64">
        <v>697.05800822020171</v>
      </c>
      <c r="AJ64">
        <v>682.89635569171378</v>
      </c>
    </row>
    <row r="65" spans="1:36" x14ac:dyDescent="0.35">
      <c r="A65" t="s">
        <v>1433</v>
      </c>
      <c r="B65" t="s">
        <v>1342</v>
      </c>
      <c r="C65" t="s">
        <v>1350</v>
      </c>
      <c r="D65">
        <v>30</v>
      </c>
      <c r="E65" t="s">
        <v>1418</v>
      </c>
      <c r="F65" t="s">
        <v>1376</v>
      </c>
      <c r="G65" t="s">
        <v>1431</v>
      </c>
      <c r="H65">
        <v>1482.6832803021205</v>
      </c>
      <c r="I65">
        <v>1610.9046644782707</v>
      </c>
      <c r="J65">
        <v>1575.7665332950637</v>
      </c>
      <c r="K65">
        <v>1540.6284021118565</v>
      </c>
      <c r="L65">
        <v>1505.4902709286494</v>
      </c>
      <c r="M65">
        <v>1470.3521397454424</v>
      </c>
      <c r="N65">
        <v>1435.214008562235</v>
      </c>
      <c r="O65">
        <v>1400.0758773790278</v>
      </c>
      <c r="P65">
        <v>1364.9377461958204</v>
      </c>
      <c r="Q65">
        <v>1329.7996150126132</v>
      </c>
      <c r="R65">
        <v>1294.6614838294058</v>
      </c>
      <c r="S65">
        <v>1259.5233526461986</v>
      </c>
      <c r="T65">
        <v>1224.385221462991</v>
      </c>
      <c r="U65">
        <v>1189.2470902797832</v>
      </c>
      <c r="V65">
        <v>1169.6520271690672</v>
      </c>
      <c r="W65">
        <v>1150.0569640583512</v>
      </c>
      <c r="X65">
        <v>1130.4619009476351</v>
      </c>
      <c r="Y65">
        <v>1110.8668378369191</v>
      </c>
      <c r="Z65">
        <v>1091.2717747262031</v>
      </c>
      <c r="AA65">
        <v>1071.6767116154872</v>
      </c>
      <c r="AB65">
        <v>1052.0816485047712</v>
      </c>
      <c r="AC65">
        <v>1032.4865853940551</v>
      </c>
      <c r="AD65">
        <v>1012.891522283339</v>
      </c>
      <c r="AE65">
        <v>993.29645917262303</v>
      </c>
      <c r="AF65">
        <v>973.70139606190708</v>
      </c>
      <c r="AG65">
        <v>954.10633295119101</v>
      </c>
      <c r="AH65">
        <v>934.51126984047494</v>
      </c>
      <c r="AI65">
        <v>914.91620672975898</v>
      </c>
      <c r="AJ65">
        <v>895.32114361904189</v>
      </c>
    </row>
    <row r="66" spans="1:36" x14ac:dyDescent="0.35">
      <c r="A66" t="s">
        <v>1434</v>
      </c>
      <c r="B66" t="s">
        <v>1342</v>
      </c>
      <c r="C66" t="s">
        <v>1343</v>
      </c>
      <c r="D66">
        <v>30</v>
      </c>
      <c r="E66" t="s">
        <v>1418</v>
      </c>
      <c r="F66" t="s">
        <v>1381</v>
      </c>
      <c r="G66" t="s">
        <v>1435</v>
      </c>
      <c r="H66">
        <v>1482.6832803021205</v>
      </c>
      <c r="I66">
        <v>1610.9046644782707</v>
      </c>
      <c r="J66">
        <v>1533.570638746058</v>
      </c>
      <c r="K66">
        <v>1456.236613013845</v>
      </c>
      <c r="L66">
        <v>1378.9025872816319</v>
      </c>
      <c r="M66">
        <v>1301.5685615494185</v>
      </c>
      <c r="N66">
        <v>1224.2345358172054</v>
      </c>
      <c r="O66">
        <v>1146.9005100849922</v>
      </c>
      <c r="P66">
        <v>1069.5664843527793</v>
      </c>
      <c r="Q66">
        <v>992.23245862056592</v>
      </c>
      <c r="R66">
        <v>914.89843288835289</v>
      </c>
      <c r="S66">
        <v>837.56440715613974</v>
      </c>
      <c r="T66">
        <v>760.23038142392636</v>
      </c>
      <c r="U66">
        <v>682.89635569171378</v>
      </c>
      <c r="V66">
        <v>674.87451529002556</v>
      </c>
      <c r="W66">
        <v>666.85267488833733</v>
      </c>
      <c r="X66">
        <v>658.83083448664922</v>
      </c>
      <c r="Y66">
        <v>650.80899408496111</v>
      </c>
      <c r="Z66">
        <v>642.78715368327289</v>
      </c>
      <c r="AA66">
        <v>634.76531328158478</v>
      </c>
      <c r="AB66">
        <v>626.74347287989656</v>
      </c>
      <c r="AC66">
        <v>618.72163247820833</v>
      </c>
      <c r="AD66">
        <v>610.69979207652023</v>
      </c>
      <c r="AE66">
        <v>602.67795167483212</v>
      </c>
      <c r="AF66">
        <v>594.65611127314389</v>
      </c>
      <c r="AG66">
        <v>586.63427087145567</v>
      </c>
      <c r="AH66">
        <v>578.61243046976756</v>
      </c>
      <c r="AI66">
        <v>570.59059006807934</v>
      </c>
      <c r="AJ66">
        <v>562.568749666391</v>
      </c>
    </row>
    <row r="67" spans="1:36" x14ac:dyDescent="0.35">
      <c r="A67" t="s">
        <v>1436</v>
      </c>
      <c r="B67" t="s">
        <v>1342</v>
      </c>
      <c r="C67" t="s">
        <v>1348</v>
      </c>
      <c r="D67">
        <v>30</v>
      </c>
      <c r="E67" t="s">
        <v>1418</v>
      </c>
      <c r="F67" t="s">
        <v>1381</v>
      </c>
      <c r="G67" t="s">
        <v>1435</v>
      </c>
      <c r="H67">
        <v>1482.6832803021205</v>
      </c>
      <c r="I67">
        <v>1610.9046644782707</v>
      </c>
      <c r="J67">
        <v>1551.2727044066685</v>
      </c>
      <c r="K67">
        <v>1491.6407443350658</v>
      </c>
      <c r="L67">
        <v>1432.0087842634634</v>
      </c>
      <c r="M67">
        <v>1372.376824191861</v>
      </c>
      <c r="N67">
        <v>1312.7448641202586</v>
      </c>
      <c r="O67">
        <v>1253.112904048656</v>
      </c>
      <c r="P67">
        <v>1193.4809439770536</v>
      </c>
      <c r="Q67">
        <v>1133.8489839054512</v>
      </c>
      <c r="R67">
        <v>1074.217023833849</v>
      </c>
      <c r="S67">
        <v>1014.5850637622466</v>
      </c>
      <c r="T67">
        <v>954.95310369064418</v>
      </c>
      <c r="U67">
        <v>895.32114361904189</v>
      </c>
      <c r="V67">
        <v>881.15949109055327</v>
      </c>
      <c r="W67">
        <v>866.99783856206466</v>
      </c>
      <c r="X67">
        <v>852.83618603357615</v>
      </c>
      <c r="Y67">
        <v>838.67453350508754</v>
      </c>
      <c r="Z67">
        <v>824.51288097659892</v>
      </c>
      <c r="AA67">
        <v>810.35122844811031</v>
      </c>
      <c r="AB67">
        <v>796.18957591962192</v>
      </c>
      <c r="AC67">
        <v>782.02792339113319</v>
      </c>
      <c r="AD67">
        <v>767.86627086264468</v>
      </c>
      <c r="AE67">
        <v>753.70461833415618</v>
      </c>
      <c r="AF67">
        <v>739.54296580566745</v>
      </c>
      <c r="AG67">
        <v>725.38131327717895</v>
      </c>
      <c r="AH67">
        <v>711.21966074869022</v>
      </c>
      <c r="AI67">
        <v>697.05800822020171</v>
      </c>
      <c r="AJ67">
        <v>682.89635569171378</v>
      </c>
    </row>
    <row r="68" spans="1:36" x14ac:dyDescent="0.35">
      <c r="A68" t="s">
        <v>1437</v>
      </c>
      <c r="B68" t="s">
        <v>1342</v>
      </c>
      <c r="C68" t="s">
        <v>1350</v>
      </c>
      <c r="D68">
        <v>30</v>
      </c>
      <c r="E68" t="s">
        <v>1418</v>
      </c>
      <c r="F68" t="s">
        <v>1381</v>
      </c>
      <c r="G68" t="s">
        <v>1435</v>
      </c>
      <c r="H68">
        <v>1482.6832803021205</v>
      </c>
      <c r="I68">
        <v>1610.9046644782707</v>
      </c>
      <c r="J68">
        <v>1575.7665332950637</v>
      </c>
      <c r="K68">
        <v>1540.6284021118565</v>
      </c>
      <c r="L68">
        <v>1505.4902709286494</v>
      </c>
      <c r="M68">
        <v>1470.3521397454424</v>
      </c>
      <c r="N68">
        <v>1435.214008562235</v>
      </c>
      <c r="O68">
        <v>1400.0758773790278</v>
      </c>
      <c r="P68">
        <v>1364.9377461958204</v>
      </c>
      <c r="Q68">
        <v>1329.7996150126132</v>
      </c>
      <c r="R68">
        <v>1294.6614838294058</v>
      </c>
      <c r="S68">
        <v>1259.5233526461986</v>
      </c>
      <c r="T68">
        <v>1224.385221462991</v>
      </c>
      <c r="U68">
        <v>1189.2470902797832</v>
      </c>
      <c r="V68">
        <v>1169.6520271690672</v>
      </c>
      <c r="W68">
        <v>1150.0569640583512</v>
      </c>
      <c r="X68">
        <v>1130.4619009476351</v>
      </c>
      <c r="Y68">
        <v>1110.8668378369191</v>
      </c>
      <c r="Z68">
        <v>1091.2717747262031</v>
      </c>
      <c r="AA68">
        <v>1071.6767116154872</v>
      </c>
      <c r="AB68">
        <v>1052.0816485047712</v>
      </c>
      <c r="AC68">
        <v>1032.4865853940551</v>
      </c>
      <c r="AD68">
        <v>1012.891522283339</v>
      </c>
      <c r="AE68">
        <v>993.29645917262303</v>
      </c>
      <c r="AF68">
        <v>973.70139606190708</v>
      </c>
      <c r="AG68">
        <v>954.10633295119101</v>
      </c>
      <c r="AH68">
        <v>934.51126984047494</v>
      </c>
      <c r="AI68">
        <v>914.91620672975898</v>
      </c>
      <c r="AJ68">
        <v>895.32114361904189</v>
      </c>
    </row>
    <row r="69" spans="1:36" x14ac:dyDescent="0.35">
      <c r="A69" t="s">
        <v>1438</v>
      </c>
      <c r="B69" t="s">
        <v>1342</v>
      </c>
      <c r="C69" t="s">
        <v>1343</v>
      </c>
      <c r="D69">
        <v>30</v>
      </c>
      <c r="E69" t="s">
        <v>1418</v>
      </c>
      <c r="F69" t="s">
        <v>1386</v>
      </c>
      <c r="G69" t="s">
        <v>1439</v>
      </c>
      <c r="H69">
        <v>1482.6832803021205</v>
      </c>
      <c r="I69">
        <v>1610.9046644782707</v>
      </c>
      <c r="J69">
        <v>1533.570638746058</v>
      </c>
      <c r="K69">
        <v>1456.236613013845</v>
      </c>
      <c r="L69">
        <v>1378.9025872816319</v>
      </c>
      <c r="M69">
        <v>1301.5685615494185</v>
      </c>
      <c r="N69">
        <v>1224.2345358172054</v>
      </c>
      <c r="O69">
        <v>1146.9005100849922</v>
      </c>
      <c r="P69">
        <v>1069.5664843527793</v>
      </c>
      <c r="Q69">
        <v>992.23245862056592</v>
      </c>
      <c r="R69">
        <v>914.89843288835289</v>
      </c>
      <c r="S69">
        <v>837.56440715613974</v>
      </c>
      <c r="T69">
        <v>760.23038142392636</v>
      </c>
      <c r="U69">
        <v>682.89635569171378</v>
      </c>
      <c r="V69">
        <v>674.87451529002556</v>
      </c>
      <c r="W69">
        <v>666.85267488833733</v>
      </c>
      <c r="X69">
        <v>658.83083448664922</v>
      </c>
      <c r="Y69">
        <v>650.80899408496111</v>
      </c>
      <c r="Z69">
        <v>642.78715368327289</v>
      </c>
      <c r="AA69">
        <v>634.76531328158478</v>
      </c>
      <c r="AB69">
        <v>626.74347287989656</v>
      </c>
      <c r="AC69">
        <v>618.72163247820833</v>
      </c>
      <c r="AD69">
        <v>610.69979207652023</v>
      </c>
      <c r="AE69">
        <v>602.67795167483212</v>
      </c>
      <c r="AF69">
        <v>594.65611127314389</v>
      </c>
      <c r="AG69">
        <v>586.63427087145567</v>
      </c>
      <c r="AH69">
        <v>578.61243046976756</v>
      </c>
      <c r="AI69">
        <v>570.59059006807934</v>
      </c>
      <c r="AJ69">
        <v>562.568749666391</v>
      </c>
    </row>
    <row r="70" spans="1:36" x14ac:dyDescent="0.35">
      <c r="A70" t="s">
        <v>1440</v>
      </c>
      <c r="B70" t="s">
        <v>1342</v>
      </c>
      <c r="C70" t="s">
        <v>1348</v>
      </c>
      <c r="D70">
        <v>30</v>
      </c>
      <c r="E70" t="s">
        <v>1418</v>
      </c>
      <c r="F70" t="s">
        <v>1386</v>
      </c>
      <c r="G70" t="s">
        <v>1439</v>
      </c>
      <c r="H70">
        <v>1482.6832803021205</v>
      </c>
      <c r="I70">
        <v>1610.9046644782707</v>
      </c>
      <c r="J70">
        <v>1551.2727044066685</v>
      </c>
      <c r="K70">
        <v>1491.6407443350658</v>
      </c>
      <c r="L70">
        <v>1432.0087842634634</v>
      </c>
      <c r="M70">
        <v>1372.376824191861</v>
      </c>
      <c r="N70">
        <v>1312.7448641202586</v>
      </c>
      <c r="O70">
        <v>1253.112904048656</v>
      </c>
      <c r="P70">
        <v>1193.4809439770536</v>
      </c>
      <c r="Q70">
        <v>1133.8489839054512</v>
      </c>
      <c r="R70">
        <v>1074.217023833849</v>
      </c>
      <c r="S70">
        <v>1014.5850637622466</v>
      </c>
      <c r="T70">
        <v>954.95310369064418</v>
      </c>
      <c r="U70">
        <v>895.32114361904189</v>
      </c>
      <c r="V70">
        <v>881.15949109055327</v>
      </c>
      <c r="W70">
        <v>866.99783856206466</v>
      </c>
      <c r="X70">
        <v>852.83618603357615</v>
      </c>
      <c r="Y70">
        <v>838.67453350508754</v>
      </c>
      <c r="Z70">
        <v>824.51288097659892</v>
      </c>
      <c r="AA70">
        <v>810.35122844811031</v>
      </c>
      <c r="AB70">
        <v>796.18957591962192</v>
      </c>
      <c r="AC70">
        <v>782.02792339113319</v>
      </c>
      <c r="AD70">
        <v>767.86627086264468</v>
      </c>
      <c r="AE70">
        <v>753.70461833415618</v>
      </c>
      <c r="AF70">
        <v>739.54296580566745</v>
      </c>
      <c r="AG70">
        <v>725.38131327717895</v>
      </c>
      <c r="AH70">
        <v>711.21966074869022</v>
      </c>
      <c r="AI70">
        <v>697.05800822020171</v>
      </c>
      <c r="AJ70">
        <v>682.89635569171378</v>
      </c>
    </row>
    <row r="71" spans="1:36" x14ac:dyDescent="0.35">
      <c r="A71" t="s">
        <v>1441</v>
      </c>
      <c r="B71" t="s">
        <v>1342</v>
      </c>
      <c r="C71" t="s">
        <v>1350</v>
      </c>
      <c r="D71">
        <v>30</v>
      </c>
      <c r="E71" t="s">
        <v>1418</v>
      </c>
      <c r="F71" t="s">
        <v>1386</v>
      </c>
      <c r="G71" t="s">
        <v>1439</v>
      </c>
      <c r="H71">
        <v>1482.6832803021205</v>
      </c>
      <c r="I71">
        <v>1610.9046644782707</v>
      </c>
      <c r="J71">
        <v>1575.7665332950637</v>
      </c>
      <c r="K71">
        <v>1540.6284021118565</v>
      </c>
      <c r="L71">
        <v>1505.4902709286494</v>
      </c>
      <c r="M71">
        <v>1470.3521397454424</v>
      </c>
      <c r="N71">
        <v>1435.214008562235</v>
      </c>
      <c r="O71">
        <v>1400.0758773790278</v>
      </c>
      <c r="P71">
        <v>1364.9377461958204</v>
      </c>
      <c r="Q71">
        <v>1329.7996150126132</v>
      </c>
      <c r="R71">
        <v>1294.6614838294058</v>
      </c>
      <c r="S71">
        <v>1259.5233526461986</v>
      </c>
      <c r="T71">
        <v>1224.385221462991</v>
      </c>
      <c r="U71">
        <v>1189.2470902797832</v>
      </c>
      <c r="V71">
        <v>1169.6520271690672</v>
      </c>
      <c r="W71">
        <v>1150.0569640583512</v>
      </c>
      <c r="X71">
        <v>1130.4619009476351</v>
      </c>
      <c r="Y71">
        <v>1110.8668378369191</v>
      </c>
      <c r="Z71">
        <v>1091.2717747262031</v>
      </c>
      <c r="AA71">
        <v>1071.6767116154872</v>
      </c>
      <c r="AB71">
        <v>1052.0816485047712</v>
      </c>
      <c r="AC71">
        <v>1032.4865853940551</v>
      </c>
      <c r="AD71">
        <v>1012.891522283339</v>
      </c>
      <c r="AE71">
        <v>993.29645917262303</v>
      </c>
      <c r="AF71">
        <v>973.70139606190708</v>
      </c>
      <c r="AG71">
        <v>954.10633295119101</v>
      </c>
      <c r="AH71">
        <v>934.51126984047494</v>
      </c>
      <c r="AI71">
        <v>914.91620672975898</v>
      </c>
      <c r="AJ71">
        <v>895.32114361904189</v>
      </c>
    </row>
    <row r="72" spans="1:36" x14ac:dyDescent="0.35">
      <c r="A72" t="s">
        <v>1442</v>
      </c>
      <c r="B72" t="s">
        <v>1342</v>
      </c>
      <c r="C72" t="s">
        <v>1343</v>
      </c>
      <c r="D72">
        <v>30</v>
      </c>
      <c r="E72" t="s">
        <v>1418</v>
      </c>
      <c r="F72" t="s">
        <v>1391</v>
      </c>
      <c r="G72" t="s">
        <v>1443</v>
      </c>
      <c r="H72">
        <v>1482.6832803021205</v>
      </c>
      <c r="I72">
        <v>1610.9046644782707</v>
      </c>
      <c r="J72">
        <v>1533.570638746058</v>
      </c>
      <c r="K72">
        <v>1456.236613013845</v>
      </c>
      <c r="L72">
        <v>1378.9025872816319</v>
      </c>
      <c r="M72">
        <v>1301.5685615494185</v>
      </c>
      <c r="N72">
        <v>1224.2345358172054</v>
      </c>
      <c r="O72">
        <v>1146.9005100849922</v>
      </c>
      <c r="P72">
        <v>1069.5664843527793</v>
      </c>
      <c r="Q72">
        <v>992.23245862056592</v>
      </c>
      <c r="R72">
        <v>914.89843288835289</v>
      </c>
      <c r="S72">
        <v>837.56440715613974</v>
      </c>
      <c r="T72">
        <v>760.23038142392636</v>
      </c>
      <c r="U72">
        <v>682.89635569171378</v>
      </c>
      <c r="V72">
        <v>674.87451529002556</v>
      </c>
      <c r="W72">
        <v>666.85267488833733</v>
      </c>
      <c r="X72">
        <v>658.83083448664922</v>
      </c>
      <c r="Y72">
        <v>650.80899408496111</v>
      </c>
      <c r="Z72">
        <v>642.78715368327289</v>
      </c>
      <c r="AA72">
        <v>634.76531328158478</v>
      </c>
      <c r="AB72">
        <v>626.74347287989656</v>
      </c>
      <c r="AC72">
        <v>618.72163247820833</v>
      </c>
      <c r="AD72">
        <v>610.69979207652023</v>
      </c>
      <c r="AE72">
        <v>602.67795167483212</v>
      </c>
      <c r="AF72">
        <v>594.65611127314389</v>
      </c>
      <c r="AG72">
        <v>586.63427087145567</v>
      </c>
      <c r="AH72">
        <v>578.61243046976756</v>
      </c>
      <c r="AI72">
        <v>570.59059006807934</v>
      </c>
      <c r="AJ72">
        <v>562.568749666391</v>
      </c>
    </row>
    <row r="73" spans="1:36" x14ac:dyDescent="0.35">
      <c r="A73" t="s">
        <v>1444</v>
      </c>
      <c r="B73" t="s">
        <v>1342</v>
      </c>
      <c r="C73" t="s">
        <v>1348</v>
      </c>
      <c r="D73">
        <v>30</v>
      </c>
      <c r="E73" t="s">
        <v>1418</v>
      </c>
      <c r="F73" t="s">
        <v>1391</v>
      </c>
      <c r="G73" t="s">
        <v>1443</v>
      </c>
      <c r="H73">
        <v>1482.6832803021205</v>
      </c>
      <c r="I73">
        <v>1610.9046644782707</v>
      </c>
      <c r="J73">
        <v>1551.2727044066685</v>
      </c>
      <c r="K73">
        <v>1491.6407443350658</v>
      </c>
      <c r="L73">
        <v>1432.0087842634634</v>
      </c>
      <c r="M73">
        <v>1372.376824191861</v>
      </c>
      <c r="N73">
        <v>1312.7448641202586</v>
      </c>
      <c r="O73">
        <v>1253.112904048656</v>
      </c>
      <c r="P73">
        <v>1193.4809439770536</v>
      </c>
      <c r="Q73">
        <v>1133.8489839054512</v>
      </c>
      <c r="R73">
        <v>1074.217023833849</v>
      </c>
      <c r="S73">
        <v>1014.5850637622466</v>
      </c>
      <c r="T73">
        <v>954.95310369064418</v>
      </c>
      <c r="U73">
        <v>895.32114361904189</v>
      </c>
      <c r="V73">
        <v>881.15949109055327</v>
      </c>
      <c r="W73">
        <v>866.99783856206466</v>
      </c>
      <c r="X73">
        <v>852.83618603357615</v>
      </c>
      <c r="Y73">
        <v>838.67453350508754</v>
      </c>
      <c r="Z73">
        <v>824.51288097659892</v>
      </c>
      <c r="AA73">
        <v>810.35122844811031</v>
      </c>
      <c r="AB73">
        <v>796.18957591962192</v>
      </c>
      <c r="AC73">
        <v>782.02792339113319</v>
      </c>
      <c r="AD73">
        <v>767.86627086264468</v>
      </c>
      <c r="AE73">
        <v>753.70461833415618</v>
      </c>
      <c r="AF73">
        <v>739.54296580566745</v>
      </c>
      <c r="AG73">
        <v>725.38131327717895</v>
      </c>
      <c r="AH73">
        <v>711.21966074869022</v>
      </c>
      <c r="AI73">
        <v>697.05800822020171</v>
      </c>
      <c r="AJ73">
        <v>682.89635569171378</v>
      </c>
    </row>
    <row r="74" spans="1:36" x14ac:dyDescent="0.35">
      <c r="A74" t="s">
        <v>1445</v>
      </c>
      <c r="B74" t="s">
        <v>1342</v>
      </c>
      <c r="C74" t="s">
        <v>1350</v>
      </c>
      <c r="D74">
        <v>30</v>
      </c>
      <c r="E74" t="s">
        <v>1418</v>
      </c>
      <c r="F74" t="s">
        <v>1391</v>
      </c>
      <c r="G74" t="s">
        <v>1443</v>
      </c>
      <c r="H74">
        <v>1482.6832803021205</v>
      </c>
      <c r="I74">
        <v>1610.9046644782707</v>
      </c>
      <c r="J74">
        <v>1575.7665332950637</v>
      </c>
      <c r="K74">
        <v>1540.6284021118565</v>
      </c>
      <c r="L74">
        <v>1505.4902709286494</v>
      </c>
      <c r="M74">
        <v>1470.3521397454424</v>
      </c>
      <c r="N74">
        <v>1435.214008562235</v>
      </c>
      <c r="O74">
        <v>1400.0758773790278</v>
      </c>
      <c r="P74">
        <v>1364.9377461958204</v>
      </c>
      <c r="Q74">
        <v>1329.7996150126132</v>
      </c>
      <c r="R74">
        <v>1294.6614838294058</v>
      </c>
      <c r="S74">
        <v>1259.5233526461986</v>
      </c>
      <c r="T74">
        <v>1224.385221462991</v>
      </c>
      <c r="U74">
        <v>1189.2470902797832</v>
      </c>
      <c r="V74">
        <v>1169.6520271690672</v>
      </c>
      <c r="W74">
        <v>1150.0569640583512</v>
      </c>
      <c r="X74">
        <v>1130.4619009476351</v>
      </c>
      <c r="Y74">
        <v>1110.8668378369191</v>
      </c>
      <c r="Z74">
        <v>1091.2717747262031</v>
      </c>
      <c r="AA74">
        <v>1071.6767116154872</v>
      </c>
      <c r="AB74">
        <v>1052.0816485047712</v>
      </c>
      <c r="AC74">
        <v>1032.4865853940551</v>
      </c>
      <c r="AD74">
        <v>1012.891522283339</v>
      </c>
      <c r="AE74">
        <v>993.29645917262303</v>
      </c>
      <c r="AF74">
        <v>973.70139606190708</v>
      </c>
      <c r="AG74">
        <v>954.10633295119101</v>
      </c>
      <c r="AH74">
        <v>934.51126984047494</v>
      </c>
      <c r="AI74">
        <v>914.91620672975898</v>
      </c>
      <c r="AJ74">
        <v>895.32114361904189</v>
      </c>
    </row>
    <row r="75" spans="1:36" x14ac:dyDescent="0.35">
      <c r="A75" t="s">
        <v>1446</v>
      </c>
      <c r="B75" t="s">
        <v>1342</v>
      </c>
      <c r="C75" t="s">
        <v>1343</v>
      </c>
      <c r="D75">
        <v>30</v>
      </c>
      <c r="E75" t="s">
        <v>1418</v>
      </c>
      <c r="F75" t="s">
        <v>1357</v>
      </c>
      <c r="G75" t="s">
        <v>1447</v>
      </c>
      <c r="H75">
        <v>1482.6832803021205</v>
      </c>
      <c r="I75">
        <v>1610.9046644782707</v>
      </c>
      <c r="J75">
        <v>1533.570638746058</v>
      </c>
      <c r="K75">
        <v>1456.236613013845</v>
      </c>
      <c r="L75">
        <v>1378.9025872816319</v>
      </c>
      <c r="M75">
        <v>1301.5685615494185</v>
      </c>
      <c r="N75">
        <v>1224.2345358172054</v>
      </c>
      <c r="O75">
        <v>1146.9005100849922</v>
      </c>
      <c r="P75">
        <v>1069.5664843527793</v>
      </c>
      <c r="Q75">
        <v>992.23245862056592</v>
      </c>
      <c r="R75">
        <v>914.89843288835289</v>
      </c>
      <c r="S75">
        <v>837.56440715613974</v>
      </c>
      <c r="T75">
        <v>760.23038142392636</v>
      </c>
      <c r="U75">
        <v>682.89635569171378</v>
      </c>
      <c r="V75">
        <v>674.87451529002556</v>
      </c>
      <c r="W75">
        <v>666.85267488833733</v>
      </c>
      <c r="X75">
        <v>658.83083448664922</v>
      </c>
      <c r="Y75">
        <v>650.80899408496111</v>
      </c>
      <c r="Z75">
        <v>642.78715368327289</v>
      </c>
      <c r="AA75">
        <v>634.76531328158478</v>
      </c>
      <c r="AB75">
        <v>626.74347287989656</v>
      </c>
      <c r="AC75">
        <v>618.72163247820833</v>
      </c>
      <c r="AD75">
        <v>610.69979207652023</v>
      </c>
      <c r="AE75">
        <v>602.67795167483212</v>
      </c>
      <c r="AF75">
        <v>594.65611127314389</v>
      </c>
      <c r="AG75">
        <v>586.63427087145567</v>
      </c>
      <c r="AH75">
        <v>578.61243046976756</v>
      </c>
      <c r="AI75">
        <v>570.59059006807934</v>
      </c>
      <c r="AJ75">
        <v>562.568749666391</v>
      </c>
    </row>
    <row r="76" spans="1:36" x14ac:dyDescent="0.35">
      <c r="A76" t="s">
        <v>1448</v>
      </c>
      <c r="B76" t="s">
        <v>1342</v>
      </c>
      <c r="C76" t="s">
        <v>1348</v>
      </c>
      <c r="D76">
        <v>30</v>
      </c>
      <c r="E76" t="s">
        <v>1418</v>
      </c>
      <c r="F76" t="s">
        <v>1357</v>
      </c>
      <c r="G76" t="s">
        <v>1447</v>
      </c>
      <c r="H76">
        <v>1482.6832803021205</v>
      </c>
      <c r="I76">
        <v>1610.9046644782707</v>
      </c>
      <c r="J76">
        <v>1551.2727044066685</v>
      </c>
      <c r="K76">
        <v>1491.6407443350658</v>
      </c>
      <c r="L76">
        <v>1432.0087842634634</v>
      </c>
      <c r="M76">
        <v>1372.376824191861</v>
      </c>
      <c r="N76">
        <v>1312.7448641202586</v>
      </c>
      <c r="O76">
        <v>1253.112904048656</v>
      </c>
      <c r="P76">
        <v>1193.4809439770536</v>
      </c>
      <c r="Q76">
        <v>1133.8489839054512</v>
      </c>
      <c r="R76">
        <v>1074.217023833849</v>
      </c>
      <c r="S76">
        <v>1014.5850637622466</v>
      </c>
      <c r="T76">
        <v>954.95310369064418</v>
      </c>
      <c r="U76">
        <v>895.32114361904189</v>
      </c>
      <c r="V76">
        <v>881.15949109055327</v>
      </c>
      <c r="W76">
        <v>866.99783856206466</v>
      </c>
      <c r="X76">
        <v>852.83618603357615</v>
      </c>
      <c r="Y76">
        <v>838.67453350508754</v>
      </c>
      <c r="Z76">
        <v>824.51288097659892</v>
      </c>
      <c r="AA76">
        <v>810.35122844811031</v>
      </c>
      <c r="AB76">
        <v>796.18957591962192</v>
      </c>
      <c r="AC76">
        <v>782.02792339113319</v>
      </c>
      <c r="AD76">
        <v>767.86627086264468</v>
      </c>
      <c r="AE76">
        <v>753.70461833415618</v>
      </c>
      <c r="AF76">
        <v>739.54296580566745</v>
      </c>
      <c r="AG76">
        <v>725.38131327717895</v>
      </c>
      <c r="AH76">
        <v>711.21966074869022</v>
      </c>
      <c r="AI76">
        <v>697.05800822020171</v>
      </c>
      <c r="AJ76">
        <v>682.89635569171378</v>
      </c>
    </row>
    <row r="77" spans="1:36" x14ac:dyDescent="0.35">
      <c r="A77" t="s">
        <v>1449</v>
      </c>
      <c r="B77" t="s">
        <v>1342</v>
      </c>
      <c r="C77" t="s">
        <v>1350</v>
      </c>
      <c r="D77">
        <v>30</v>
      </c>
      <c r="E77" t="s">
        <v>1418</v>
      </c>
      <c r="F77" t="s">
        <v>1357</v>
      </c>
      <c r="G77" t="s">
        <v>1447</v>
      </c>
      <c r="H77">
        <v>1482.6832803021205</v>
      </c>
      <c r="I77">
        <v>1610.9046644782707</v>
      </c>
      <c r="J77">
        <v>1575.7665332950637</v>
      </c>
      <c r="K77">
        <v>1540.6284021118565</v>
      </c>
      <c r="L77">
        <v>1505.4902709286494</v>
      </c>
      <c r="M77">
        <v>1470.3521397454424</v>
      </c>
      <c r="N77">
        <v>1435.214008562235</v>
      </c>
      <c r="O77">
        <v>1400.0758773790278</v>
      </c>
      <c r="P77">
        <v>1364.9377461958204</v>
      </c>
      <c r="Q77">
        <v>1329.7996150126132</v>
      </c>
      <c r="R77">
        <v>1294.6614838294058</v>
      </c>
      <c r="S77">
        <v>1259.5233526461986</v>
      </c>
      <c r="T77">
        <v>1224.385221462991</v>
      </c>
      <c r="U77">
        <v>1189.2470902797832</v>
      </c>
      <c r="V77">
        <v>1169.6520271690672</v>
      </c>
      <c r="W77">
        <v>1150.0569640583512</v>
      </c>
      <c r="X77">
        <v>1130.4619009476351</v>
      </c>
      <c r="Y77">
        <v>1110.8668378369191</v>
      </c>
      <c r="Z77">
        <v>1091.2717747262031</v>
      </c>
      <c r="AA77">
        <v>1071.6767116154872</v>
      </c>
      <c r="AB77">
        <v>1052.0816485047712</v>
      </c>
      <c r="AC77">
        <v>1032.4865853940551</v>
      </c>
      <c r="AD77">
        <v>1012.891522283339</v>
      </c>
      <c r="AE77">
        <v>993.29645917262303</v>
      </c>
      <c r="AF77">
        <v>973.70139606190708</v>
      </c>
      <c r="AG77">
        <v>954.10633295119101</v>
      </c>
      <c r="AH77">
        <v>934.51126984047494</v>
      </c>
      <c r="AI77">
        <v>914.91620672975898</v>
      </c>
      <c r="AJ77">
        <v>895.32114361904189</v>
      </c>
    </row>
    <row r="78" spans="1:36" x14ac:dyDescent="0.35">
      <c r="A78" t="s">
        <v>1450</v>
      </c>
      <c r="B78" t="s">
        <v>1342</v>
      </c>
      <c r="C78" t="s">
        <v>1343</v>
      </c>
      <c r="D78">
        <v>30</v>
      </c>
      <c r="E78" t="s">
        <v>1418</v>
      </c>
      <c r="F78" t="s">
        <v>1400</v>
      </c>
      <c r="G78" t="s">
        <v>1451</v>
      </c>
      <c r="H78">
        <v>1482.6832803021205</v>
      </c>
      <c r="I78">
        <v>1610.9046644782707</v>
      </c>
      <c r="J78">
        <v>1533.570638746058</v>
      </c>
      <c r="K78">
        <v>1456.236613013845</v>
      </c>
      <c r="L78">
        <v>1378.9025872816319</v>
      </c>
      <c r="M78">
        <v>1301.5685615494185</v>
      </c>
      <c r="N78">
        <v>1224.2345358172054</v>
      </c>
      <c r="O78">
        <v>1146.9005100849922</v>
      </c>
      <c r="P78">
        <v>1069.5664843527793</v>
      </c>
      <c r="Q78">
        <v>992.23245862056592</v>
      </c>
      <c r="R78">
        <v>914.89843288835289</v>
      </c>
      <c r="S78">
        <v>837.56440715613974</v>
      </c>
      <c r="T78">
        <v>760.23038142392636</v>
      </c>
      <c r="U78">
        <v>682.89635569171378</v>
      </c>
      <c r="V78">
        <v>674.87451529002556</v>
      </c>
      <c r="W78">
        <v>666.85267488833733</v>
      </c>
      <c r="X78">
        <v>658.83083448664922</v>
      </c>
      <c r="Y78">
        <v>650.80899408496111</v>
      </c>
      <c r="Z78">
        <v>642.78715368327289</v>
      </c>
      <c r="AA78">
        <v>634.76531328158478</v>
      </c>
      <c r="AB78">
        <v>626.74347287989656</v>
      </c>
      <c r="AC78">
        <v>618.72163247820833</v>
      </c>
      <c r="AD78">
        <v>610.69979207652023</v>
      </c>
      <c r="AE78">
        <v>602.67795167483212</v>
      </c>
      <c r="AF78">
        <v>594.65611127314389</v>
      </c>
      <c r="AG78">
        <v>586.63427087145567</v>
      </c>
      <c r="AH78">
        <v>578.61243046976756</v>
      </c>
      <c r="AI78">
        <v>570.59059006807934</v>
      </c>
      <c r="AJ78">
        <v>562.568749666391</v>
      </c>
    </row>
    <row r="79" spans="1:36" x14ac:dyDescent="0.35">
      <c r="A79" t="s">
        <v>1452</v>
      </c>
      <c r="B79" t="s">
        <v>1342</v>
      </c>
      <c r="C79" t="s">
        <v>1348</v>
      </c>
      <c r="D79">
        <v>30</v>
      </c>
      <c r="E79" t="s">
        <v>1418</v>
      </c>
      <c r="F79" t="s">
        <v>1400</v>
      </c>
      <c r="G79" t="s">
        <v>1451</v>
      </c>
      <c r="H79">
        <v>1482.6832803021205</v>
      </c>
      <c r="I79">
        <v>1610.9046644782707</v>
      </c>
      <c r="J79">
        <v>1551.2727044066685</v>
      </c>
      <c r="K79">
        <v>1491.6407443350658</v>
      </c>
      <c r="L79">
        <v>1432.0087842634634</v>
      </c>
      <c r="M79">
        <v>1372.376824191861</v>
      </c>
      <c r="N79">
        <v>1312.7448641202586</v>
      </c>
      <c r="O79">
        <v>1253.112904048656</v>
      </c>
      <c r="P79">
        <v>1193.4809439770536</v>
      </c>
      <c r="Q79">
        <v>1133.8489839054512</v>
      </c>
      <c r="R79">
        <v>1074.217023833849</v>
      </c>
      <c r="S79">
        <v>1014.5850637622466</v>
      </c>
      <c r="T79">
        <v>954.95310369064418</v>
      </c>
      <c r="U79">
        <v>895.32114361904189</v>
      </c>
      <c r="V79">
        <v>881.15949109055327</v>
      </c>
      <c r="W79">
        <v>866.99783856206466</v>
      </c>
      <c r="X79">
        <v>852.83618603357615</v>
      </c>
      <c r="Y79">
        <v>838.67453350508754</v>
      </c>
      <c r="Z79">
        <v>824.51288097659892</v>
      </c>
      <c r="AA79">
        <v>810.35122844811031</v>
      </c>
      <c r="AB79">
        <v>796.18957591962192</v>
      </c>
      <c r="AC79">
        <v>782.02792339113319</v>
      </c>
      <c r="AD79">
        <v>767.86627086264468</v>
      </c>
      <c r="AE79">
        <v>753.70461833415618</v>
      </c>
      <c r="AF79">
        <v>739.54296580566745</v>
      </c>
      <c r="AG79">
        <v>725.38131327717895</v>
      </c>
      <c r="AH79">
        <v>711.21966074869022</v>
      </c>
      <c r="AI79">
        <v>697.05800822020171</v>
      </c>
      <c r="AJ79">
        <v>682.89635569171378</v>
      </c>
    </row>
    <row r="80" spans="1:36" x14ac:dyDescent="0.35">
      <c r="A80" t="s">
        <v>1453</v>
      </c>
      <c r="B80" t="s">
        <v>1342</v>
      </c>
      <c r="C80" t="s">
        <v>1350</v>
      </c>
      <c r="D80">
        <v>30</v>
      </c>
      <c r="E80" t="s">
        <v>1418</v>
      </c>
      <c r="F80" t="s">
        <v>1400</v>
      </c>
      <c r="G80" t="s">
        <v>1451</v>
      </c>
      <c r="H80">
        <v>1482.6832803021205</v>
      </c>
      <c r="I80">
        <v>1610.9046644782707</v>
      </c>
      <c r="J80">
        <v>1575.7665332950637</v>
      </c>
      <c r="K80">
        <v>1540.6284021118565</v>
      </c>
      <c r="L80">
        <v>1505.4902709286494</v>
      </c>
      <c r="M80">
        <v>1470.3521397454424</v>
      </c>
      <c r="N80">
        <v>1435.214008562235</v>
      </c>
      <c r="O80">
        <v>1400.0758773790278</v>
      </c>
      <c r="P80">
        <v>1364.9377461958204</v>
      </c>
      <c r="Q80">
        <v>1329.7996150126132</v>
      </c>
      <c r="R80">
        <v>1294.6614838294058</v>
      </c>
      <c r="S80">
        <v>1259.5233526461986</v>
      </c>
      <c r="T80">
        <v>1224.385221462991</v>
      </c>
      <c r="U80">
        <v>1189.2470902797832</v>
      </c>
      <c r="V80">
        <v>1169.6520271690672</v>
      </c>
      <c r="W80">
        <v>1150.0569640583512</v>
      </c>
      <c r="X80">
        <v>1130.4619009476351</v>
      </c>
      <c r="Y80">
        <v>1110.8668378369191</v>
      </c>
      <c r="Z80">
        <v>1091.2717747262031</v>
      </c>
      <c r="AA80">
        <v>1071.6767116154872</v>
      </c>
      <c r="AB80">
        <v>1052.0816485047712</v>
      </c>
      <c r="AC80">
        <v>1032.4865853940551</v>
      </c>
      <c r="AD80">
        <v>1012.891522283339</v>
      </c>
      <c r="AE80">
        <v>993.29645917262303</v>
      </c>
      <c r="AF80">
        <v>973.70139606190708</v>
      </c>
      <c r="AG80">
        <v>954.10633295119101</v>
      </c>
      <c r="AH80">
        <v>934.51126984047494</v>
      </c>
      <c r="AI80">
        <v>914.91620672975898</v>
      </c>
      <c r="AJ80">
        <v>895.32114361904189</v>
      </c>
    </row>
    <row r="81" spans="1:36" x14ac:dyDescent="0.35">
      <c r="A81" t="s">
        <v>1454</v>
      </c>
      <c r="B81" t="s">
        <v>1342</v>
      </c>
      <c r="C81" t="s">
        <v>1343</v>
      </c>
      <c r="D81">
        <v>30</v>
      </c>
      <c r="E81" t="s">
        <v>1418</v>
      </c>
      <c r="F81" t="s">
        <v>1405</v>
      </c>
      <c r="G81" t="s">
        <v>1455</v>
      </c>
      <c r="H81">
        <v>1482.6832803021205</v>
      </c>
      <c r="I81">
        <v>1610.9046644782707</v>
      </c>
      <c r="J81">
        <v>1533.570638746058</v>
      </c>
      <c r="K81">
        <v>1456.236613013845</v>
      </c>
      <c r="L81">
        <v>1378.9025872816319</v>
      </c>
      <c r="M81">
        <v>1301.5685615494185</v>
      </c>
      <c r="N81">
        <v>1224.2345358172054</v>
      </c>
      <c r="O81">
        <v>1146.9005100849922</v>
      </c>
      <c r="P81">
        <v>1069.5664843527793</v>
      </c>
      <c r="Q81">
        <v>992.23245862056592</v>
      </c>
      <c r="R81">
        <v>914.89843288835289</v>
      </c>
      <c r="S81">
        <v>837.56440715613974</v>
      </c>
      <c r="T81">
        <v>760.23038142392636</v>
      </c>
      <c r="U81">
        <v>682.89635569171378</v>
      </c>
      <c r="V81">
        <v>674.87451529002556</v>
      </c>
      <c r="W81">
        <v>666.85267488833733</v>
      </c>
      <c r="X81">
        <v>658.83083448664922</v>
      </c>
      <c r="Y81">
        <v>650.80899408496111</v>
      </c>
      <c r="Z81">
        <v>642.78715368327289</v>
      </c>
      <c r="AA81">
        <v>634.76531328158478</v>
      </c>
      <c r="AB81">
        <v>626.74347287989656</v>
      </c>
      <c r="AC81">
        <v>618.72163247820833</v>
      </c>
      <c r="AD81">
        <v>610.69979207652023</v>
      </c>
      <c r="AE81">
        <v>602.67795167483212</v>
      </c>
      <c r="AF81">
        <v>594.65611127314389</v>
      </c>
      <c r="AG81">
        <v>586.63427087145567</v>
      </c>
      <c r="AH81">
        <v>578.61243046976756</v>
      </c>
      <c r="AI81">
        <v>570.59059006807934</v>
      </c>
      <c r="AJ81">
        <v>562.568749666391</v>
      </c>
    </row>
    <row r="82" spans="1:36" x14ac:dyDescent="0.35">
      <c r="A82" t="s">
        <v>1456</v>
      </c>
      <c r="B82" t="s">
        <v>1342</v>
      </c>
      <c r="C82" t="s">
        <v>1348</v>
      </c>
      <c r="D82">
        <v>30</v>
      </c>
      <c r="E82" t="s">
        <v>1418</v>
      </c>
      <c r="F82" t="s">
        <v>1405</v>
      </c>
      <c r="G82" t="s">
        <v>1455</v>
      </c>
      <c r="H82">
        <v>1482.6832803021205</v>
      </c>
      <c r="I82">
        <v>1610.9046644782707</v>
      </c>
      <c r="J82">
        <v>1551.2727044066685</v>
      </c>
      <c r="K82">
        <v>1491.6407443350658</v>
      </c>
      <c r="L82">
        <v>1432.0087842634634</v>
      </c>
      <c r="M82">
        <v>1372.376824191861</v>
      </c>
      <c r="N82">
        <v>1312.7448641202586</v>
      </c>
      <c r="O82">
        <v>1253.112904048656</v>
      </c>
      <c r="P82">
        <v>1193.4809439770536</v>
      </c>
      <c r="Q82">
        <v>1133.8489839054512</v>
      </c>
      <c r="R82">
        <v>1074.217023833849</v>
      </c>
      <c r="S82">
        <v>1014.5850637622466</v>
      </c>
      <c r="T82">
        <v>954.95310369064418</v>
      </c>
      <c r="U82">
        <v>895.32114361904189</v>
      </c>
      <c r="V82">
        <v>881.15949109055327</v>
      </c>
      <c r="W82">
        <v>866.99783856206466</v>
      </c>
      <c r="X82">
        <v>852.83618603357615</v>
      </c>
      <c r="Y82">
        <v>838.67453350508754</v>
      </c>
      <c r="Z82">
        <v>824.51288097659892</v>
      </c>
      <c r="AA82">
        <v>810.35122844811031</v>
      </c>
      <c r="AB82">
        <v>796.18957591962192</v>
      </c>
      <c r="AC82">
        <v>782.02792339113319</v>
      </c>
      <c r="AD82">
        <v>767.86627086264468</v>
      </c>
      <c r="AE82">
        <v>753.70461833415618</v>
      </c>
      <c r="AF82">
        <v>739.54296580566745</v>
      </c>
      <c r="AG82">
        <v>725.38131327717895</v>
      </c>
      <c r="AH82">
        <v>711.21966074869022</v>
      </c>
      <c r="AI82">
        <v>697.05800822020171</v>
      </c>
      <c r="AJ82">
        <v>682.89635569171378</v>
      </c>
    </row>
    <row r="83" spans="1:36" x14ac:dyDescent="0.35">
      <c r="A83" t="s">
        <v>1457</v>
      </c>
      <c r="B83" t="s">
        <v>1342</v>
      </c>
      <c r="C83" t="s">
        <v>1350</v>
      </c>
      <c r="D83">
        <v>30</v>
      </c>
      <c r="E83" t="s">
        <v>1418</v>
      </c>
      <c r="F83" t="s">
        <v>1405</v>
      </c>
      <c r="G83" t="s">
        <v>1455</v>
      </c>
      <c r="H83">
        <v>1482.6832803021205</v>
      </c>
      <c r="I83">
        <v>1610.9046644782707</v>
      </c>
      <c r="J83">
        <v>1575.7665332950637</v>
      </c>
      <c r="K83">
        <v>1540.6284021118565</v>
      </c>
      <c r="L83">
        <v>1505.4902709286494</v>
      </c>
      <c r="M83">
        <v>1470.3521397454424</v>
      </c>
      <c r="N83">
        <v>1435.214008562235</v>
      </c>
      <c r="O83">
        <v>1400.0758773790278</v>
      </c>
      <c r="P83">
        <v>1364.9377461958204</v>
      </c>
      <c r="Q83">
        <v>1329.7996150126132</v>
      </c>
      <c r="R83">
        <v>1294.6614838294058</v>
      </c>
      <c r="S83">
        <v>1259.5233526461986</v>
      </c>
      <c r="T83">
        <v>1224.385221462991</v>
      </c>
      <c r="U83">
        <v>1189.2470902797832</v>
      </c>
      <c r="V83">
        <v>1169.6520271690672</v>
      </c>
      <c r="W83">
        <v>1150.0569640583512</v>
      </c>
      <c r="X83">
        <v>1130.4619009476351</v>
      </c>
      <c r="Y83">
        <v>1110.8668378369191</v>
      </c>
      <c r="Z83">
        <v>1091.2717747262031</v>
      </c>
      <c r="AA83">
        <v>1071.6767116154872</v>
      </c>
      <c r="AB83">
        <v>1052.0816485047712</v>
      </c>
      <c r="AC83">
        <v>1032.4865853940551</v>
      </c>
      <c r="AD83">
        <v>1012.891522283339</v>
      </c>
      <c r="AE83">
        <v>993.29645917262303</v>
      </c>
      <c r="AF83">
        <v>973.70139606190708</v>
      </c>
      <c r="AG83">
        <v>954.10633295119101</v>
      </c>
      <c r="AH83">
        <v>934.51126984047494</v>
      </c>
      <c r="AI83">
        <v>914.91620672975898</v>
      </c>
      <c r="AJ83">
        <v>895.32114361904189</v>
      </c>
    </row>
    <row r="84" spans="1:36" x14ac:dyDescent="0.35">
      <c r="A84" t="s">
        <v>1458</v>
      </c>
      <c r="B84" t="s">
        <v>1342</v>
      </c>
      <c r="C84" t="s">
        <v>1343</v>
      </c>
      <c r="D84">
        <v>30</v>
      </c>
      <c r="E84" t="s">
        <v>1459</v>
      </c>
      <c r="F84" t="s">
        <v>1363</v>
      </c>
      <c r="G84" t="s">
        <v>1460</v>
      </c>
      <c r="H84">
        <v>1665.7865833821902</v>
      </c>
      <c r="I84">
        <v>1777.1999298005069</v>
      </c>
      <c r="J84">
        <v>1658.6961184438392</v>
      </c>
      <c r="K84">
        <v>1544.2437353547416</v>
      </c>
      <c r="L84">
        <v>1503.7294526789253</v>
      </c>
      <c r="M84">
        <v>1463.2151700031093</v>
      </c>
      <c r="N84">
        <v>1422.700887327293</v>
      </c>
      <c r="O84">
        <v>1382.186604651477</v>
      </c>
      <c r="P84">
        <v>1341.6723219756607</v>
      </c>
      <c r="Q84">
        <v>1325.0977082026961</v>
      </c>
      <c r="R84">
        <v>1308.5230944297311</v>
      </c>
      <c r="S84">
        <v>1291.9484806567768</v>
      </c>
      <c r="T84">
        <v>1275.3738668838123</v>
      </c>
      <c r="U84">
        <v>1258.7992531108473</v>
      </c>
      <c r="V84">
        <v>1242.2246393378828</v>
      </c>
      <c r="W84">
        <v>1225.6500255649178</v>
      </c>
      <c r="X84">
        <v>1209.075411791953</v>
      </c>
      <c r="Y84">
        <v>1192.5007980189882</v>
      </c>
      <c r="Z84">
        <v>1175.9261842460235</v>
      </c>
      <c r="AA84">
        <v>1159.3515704730683</v>
      </c>
      <c r="AB84">
        <v>1142.7769567001046</v>
      </c>
      <c r="AC84">
        <v>1126.2023429271419</v>
      </c>
      <c r="AD84">
        <v>1109.627729154178</v>
      </c>
      <c r="AE84">
        <v>1093.0531153812144</v>
      </c>
      <c r="AF84">
        <v>1076.4785016082508</v>
      </c>
      <c r="AG84">
        <v>1059.9038878352869</v>
      </c>
      <c r="AH84">
        <v>1043.3292740623242</v>
      </c>
      <c r="AI84">
        <v>1026.7546602893606</v>
      </c>
      <c r="AJ84">
        <v>1010.1800465163969</v>
      </c>
    </row>
    <row r="85" spans="1:36" x14ac:dyDescent="0.35">
      <c r="A85" t="s">
        <v>1461</v>
      </c>
      <c r="B85" t="s">
        <v>1342</v>
      </c>
      <c r="C85" t="s">
        <v>1348</v>
      </c>
      <c r="D85">
        <v>30</v>
      </c>
      <c r="E85" t="s">
        <v>1459</v>
      </c>
      <c r="F85" t="s">
        <v>1363</v>
      </c>
      <c r="G85" t="s">
        <v>1460</v>
      </c>
      <c r="H85">
        <v>1665.7865833821902</v>
      </c>
      <c r="I85">
        <v>1786.3135537720393</v>
      </c>
      <c r="J85">
        <v>1676.0948551167523</v>
      </c>
      <c r="K85">
        <v>1569.0990734589152</v>
      </c>
      <c r="L85">
        <v>1536.8699034844901</v>
      </c>
      <c r="M85">
        <v>1504.6407335100548</v>
      </c>
      <c r="N85">
        <v>1472.4115635356297</v>
      </c>
      <c r="O85">
        <v>1440.1823935612049</v>
      </c>
      <c r="P85">
        <v>1407.9532235867798</v>
      </c>
      <c r="Q85">
        <v>1393.300972420019</v>
      </c>
      <c r="R85">
        <v>1378.6487212532579</v>
      </c>
      <c r="S85">
        <v>1363.9964700864864</v>
      </c>
      <c r="T85">
        <v>1349.3442189197256</v>
      </c>
      <c r="U85">
        <v>1334.6919677529645</v>
      </c>
      <c r="V85">
        <v>1320.0397165862037</v>
      </c>
      <c r="W85">
        <v>1305.3874654194426</v>
      </c>
      <c r="X85">
        <v>1290.7352142526818</v>
      </c>
      <c r="Y85">
        <v>1276.0829630859207</v>
      </c>
      <c r="Z85">
        <v>1261.4307119191492</v>
      </c>
      <c r="AA85">
        <v>1246.7784607523884</v>
      </c>
      <c r="AB85">
        <v>1232.1262095856273</v>
      </c>
      <c r="AC85">
        <v>1217.4739584188665</v>
      </c>
      <c r="AD85">
        <v>1202.8217072521054</v>
      </c>
      <c r="AE85">
        <v>1188.1694560853446</v>
      </c>
      <c r="AF85">
        <v>1173.5172049185733</v>
      </c>
      <c r="AG85">
        <v>1158.8649537518195</v>
      </c>
      <c r="AH85">
        <v>1144.2127025850566</v>
      </c>
      <c r="AI85">
        <v>1129.5604514182946</v>
      </c>
      <c r="AJ85">
        <v>1114.9082002515315</v>
      </c>
    </row>
    <row r="86" spans="1:36" x14ac:dyDescent="0.35">
      <c r="A86" t="s">
        <v>1462</v>
      </c>
      <c r="B86" t="s">
        <v>1342</v>
      </c>
      <c r="C86" t="s">
        <v>1350</v>
      </c>
      <c r="D86">
        <v>30</v>
      </c>
      <c r="E86" t="s">
        <v>1459</v>
      </c>
      <c r="F86" t="s">
        <v>1363</v>
      </c>
      <c r="G86" t="s">
        <v>1460</v>
      </c>
      <c r="H86">
        <v>1665.7865833821902</v>
      </c>
      <c r="I86">
        <v>1809.6113559411617</v>
      </c>
      <c r="J86">
        <v>1720.5724774396324</v>
      </c>
      <c r="K86">
        <v>1632.6385339201561</v>
      </c>
      <c r="L86">
        <v>1621.5891840994777</v>
      </c>
      <c r="M86">
        <v>1610.5398342788103</v>
      </c>
      <c r="N86">
        <v>1599.490484458132</v>
      </c>
      <c r="O86">
        <v>1588.4411346374541</v>
      </c>
      <c r="P86">
        <v>1577.391784816776</v>
      </c>
      <c r="Q86">
        <v>1566.343731428004</v>
      </c>
      <c r="R86">
        <v>1555.2956780392428</v>
      </c>
      <c r="S86">
        <v>1544.2476246504709</v>
      </c>
      <c r="T86">
        <v>1533.1995712617097</v>
      </c>
      <c r="U86">
        <v>1522.1515178729378</v>
      </c>
      <c r="V86">
        <v>1511.1034644841766</v>
      </c>
      <c r="W86">
        <v>1500.0554110954047</v>
      </c>
      <c r="X86">
        <v>1489.0073577066435</v>
      </c>
      <c r="Y86">
        <v>1477.9593043178716</v>
      </c>
      <c r="Z86">
        <v>1466.9112509291103</v>
      </c>
      <c r="AA86">
        <v>1455.8631975403382</v>
      </c>
      <c r="AB86">
        <v>1444.815144151577</v>
      </c>
      <c r="AC86">
        <v>1433.767090762816</v>
      </c>
      <c r="AD86">
        <v>1422.7190373740441</v>
      </c>
      <c r="AE86">
        <v>1411.6709839852829</v>
      </c>
      <c r="AF86">
        <v>1400.6229305965107</v>
      </c>
      <c r="AG86">
        <v>1389.5748772077495</v>
      </c>
      <c r="AH86">
        <v>1378.5268238189778</v>
      </c>
      <c r="AI86">
        <v>1367.4787704302166</v>
      </c>
      <c r="AJ86">
        <v>1356.4307170414445</v>
      </c>
    </row>
    <row r="87" spans="1:36" x14ac:dyDescent="0.35">
      <c r="A87" t="s">
        <v>1463</v>
      </c>
      <c r="B87" t="s">
        <v>1342</v>
      </c>
      <c r="C87" t="s">
        <v>1343</v>
      </c>
      <c r="D87">
        <v>30</v>
      </c>
      <c r="E87" t="s">
        <v>1459</v>
      </c>
      <c r="F87" t="s">
        <v>1345</v>
      </c>
      <c r="G87" t="s">
        <v>1464</v>
      </c>
      <c r="H87">
        <v>1665.7865833821902</v>
      </c>
      <c r="I87">
        <v>1777.1999298005069</v>
      </c>
      <c r="J87">
        <v>1658.6961184438392</v>
      </c>
      <c r="K87">
        <v>1544.2437353547416</v>
      </c>
      <c r="L87">
        <v>1503.7294526789253</v>
      </c>
      <c r="M87">
        <v>1463.2151700031093</v>
      </c>
      <c r="N87">
        <v>1422.700887327293</v>
      </c>
      <c r="O87">
        <v>1382.186604651477</v>
      </c>
      <c r="P87">
        <v>1341.6723219756607</v>
      </c>
      <c r="Q87">
        <v>1325.0977082026961</v>
      </c>
      <c r="R87">
        <v>1308.5230944297311</v>
      </c>
      <c r="S87">
        <v>1291.9484806567768</v>
      </c>
      <c r="T87">
        <v>1275.3738668838123</v>
      </c>
      <c r="U87">
        <v>1258.7992531108473</v>
      </c>
      <c r="V87">
        <v>1242.2246393378828</v>
      </c>
      <c r="W87">
        <v>1225.6500255649178</v>
      </c>
      <c r="X87">
        <v>1209.075411791953</v>
      </c>
      <c r="Y87">
        <v>1192.5007980189882</v>
      </c>
      <c r="Z87">
        <v>1175.9261842460235</v>
      </c>
      <c r="AA87">
        <v>1159.3515704730683</v>
      </c>
      <c r="AB87">
        <v>1142.7769567001046</v>
      </c>
      <c r="AC87">
        <v>1126.2023429271419</v>
      </c>
      <c r="AD87">
        <v>1109.627729154178</v>
      </c>
      <c r="AE87">
        <v>1093.0531153812144</v>
      </c>
      <c r="AF87">
        <v>1076.4785016082508</v>
      </c>
      <c r="AG87">
        <v>1059.9038878352869</v>
      </c>
      <c r="AH87">
        <v>1043.3292740623242</v>
      </c>
      <c r="AI87">
        <v>1026.7546602893606</v>
      </c>
      <c r="AJ87">
        <v>1010.1800465163969</v>
      </c>
    </row>
    <row r="88" spans="1:36" x14ac:dyDescent="0.35">
      <c r="A88" t="s">
        <v>1465</v>
      </c>
      <c r="B88" t="s">
        <v>1342</v>
      </c>
      <c r="C88" t="s">
        <v>1348</v>
      </c>
      <c r="D88">
        <v>30</v>
      </c>
      <c r="E88" t="s">
        <v>1459</v>
      </c>
      <c r="F88" t="s">
        <v>1345</v>
      </c>
      <c r="G88" t="s">
        <v>1464</v>
      </c>
      <c r="H88">
        <v>1665.7865833821902</v>
      </c>
      <c r="I88">
        <v>1786.3135537720393</v>
      </c>
      <c r="J88">
        <v>1676.0948551167523</v>
      </c>
      <c r="K88">
        <v>1569.0990734589152</v>
      </c>
      <c r="L88">
        <v>1536.8699034844901</v>
      </c>
      <c r="M88">
        <v>1504.6407335100548</v>
      </c>
      <c r="N88">
        <v>1472.4115635356297</v>
      </c>
      <c r="O88">
        <v>1440.1823935612049</v>
      </c>
      <c r="P88">
        <v>1407.9532235867798</v>
      </c>
      <c r="Q88">
        <v>1393.300972420019</v>
      </c>
      <c r="R88">
        <v>1378.6487212532579</v>
      </c>
      <c r="S88">
        <v>1363.9964700864864</v>
      </c>
      <c r="T88">
        <v>1349.3442189197256</v>
      </c>
      <c r="U88">
        <v>1334.6919677529645</v>
      </c>
      <c r="V88">
        <v>1320.0397165862037</v>
      </c>
      <c r="W88">
        <v>1305.3874654194426</v>
      </c>
      <c r="X88">
        <v>1290.7352142526818</v>
      </c>
      <c r="Y88">
        <v>1276.0829630859207</v>
      </c>
      <c r="Z88">
        <v>1261.4307119191492</v>
      </c>
      <c r="AA88">
        <v>1246.7784607523884</v>
      </c>
      <c r="AB88">
        <v>1232.1262095856273</v>
      </c>
      <c r="AC88">
        <v>1217.4739584188665</v>
      </c>
      <c r="AD88">
        <v>1202.8217072521054</v>
      </c>
      <c r="AE88">
        <v>1188.1694560853446</v>
      </c>
      <c r="AF88">
        <v>1173.5172049185733</v>
      </c>
      <c r="AG88">
        <v>1158.8649537518195</v>
      </c>
      <c r="AH88">
        <v>1144.2127025850566</v>
      </c>
      <c r="AI88">
        <v>1129.5604514182946</v>
      </c>
      <c r="AJ88">
        <v>1114.9082002515315</v>
      </c>
    </row>
    <row r="89" spans="1:36" x14ac:dyDescent="0.35">
      <c r="A89" t="s">
        <v>1466</v>
      </c>
      <c r="B89" t="s">
        <v>1342</v>
      </c>
      <c r="C89" t="s">
        <v>1350</v>
      </c>
      <c r="D89">
        <v>30</v>
      </c>
      <c r="E89" t="s">
        <v>1459</v>
      </c>
      <c r="F89" t="s">
        <v>1345</v>
      </c>
      <c r="G89" t="s">
        <v>1464</v>
      </c>
      <c r="H89">
        <v>1665.7865833821902</v>
      </c>
      <c r="I89">
        <v>1809.6113559411617</v>
      </c>
      <c r="J89">
        <v>1720.5724774396324</v>
      </c>
      <c r="K89">
        <v>1632.6385339201561</v>
      </c>
      <c r="L89">
        <v>1621.5891840994777</v>
      </c>
      <c r="M89">
        <v>1610.5398342788103</v>
      </c>
      <c r="N89">
        <v>1599.490484458132</v>
      </c>
      <c r="O89">
        <v>1588.4411346374541</v>
      </c>
      <c r="P89">
        <v>1577.391784816776</v>
      </c>
      <c r="Q89">
        <v>1566.343731428004</v>
      </c>
      <c r="R89">
        <v>1555.2956780392428</v>
      </c>
      <c r="S89">
        <v>1544.2476246504709</v>
      </c>
      <c r="T89">
        <v>1533.1995712617097</v>
      </c>
      <c r="U89">
        <v>1522.1515178729378</v>
      </c>
      <c r="V89">
        <v>1511.1034644841766</v>
      </c>
      <c r="W89">
        <v>1500.0554110954047</v>
      </c>
      <c r="X89">
        <v>1489.0073577066435</v>
      </c>
      <c r="Y89">
        <v>1477.9593043178716</v>
      </c>
      <c r="Z89">
        <v>1466.9112509291103</v>
      </c>
      <c r="AA89">
        <v>1455.8631975403382</v>
      </c>
      <c r="AB89">
        <v>1444.815144151577</v>
      </c>
      <c r="AC89">
        <v>1433.767090762816</v>
      </c>
      <c r="AD89">
        <v>1422.7190373740441</v>
      </c>
      <c r="AE89">
        <v>1411.6709839852829</v>
      </c>
      <c r="AF89">
        <v>1400.6229305965107</v>
      </c>
      <c r="AG89">
        <v>1389.5748772077495</v>
      </c>
      <c r="AH89">
        <v>1378.5268238189778</v>
      </c>
      <c r="AI89">
        <v>1367.4787704302166</v>
      </c>
      <c r="AJ89">
        <v>1356.4307170414445</v>
      </c>
    </row>
    <row r="90" spans="1:36" x14ac:dyDescent="0.35">
      <c r="A90" t="s">
        <v>1467</v>
      </c>
      <c r="B90" t="s">
        <v>1342</v>
      </c>
      <c r="C90" t="s">
        <v>1343</v>
      </c>
      <c r="D90">
        <v>30</v>
      </c>
      <c r="E90" t="s">
        <v>1459</v>
      </c>
      <c r="F90" t="s">
        <v>1352</v>
      </c>
      <c r="G90" t="s">
        <v>1468</v>
      </c>
      <c r="H90">
        <v>1665.7865833821902</v>
      </c>
      <c r="I90">
        <v>1777.1999298005069</v>
      </c>
      <c r="J90">
        <v>1658.6961184438392</v>
      </c>
      <c r="K90">
        <v>1544.2437353547416</v>
      </c>
      <c r="L90">
        <v>1503.7294526789253</v>
      </c>
      <c r="M90">
        <v>1463.2151700031093</v>
      </c>
      <c r="N90">
        <v>1422.700887327293</v>
      </c>
      <c r="O90">
        <v>1382.186604651477</v>
      </c>
      <c r="P90">
        <v>1341.6723219756607</v>
      </c>
      <c r="Q90">
        <v>1325.0977082026961</v>
      </c>
      <c r="R90">
        <v>1308.5230944297311</v>
      </c>
      <c r="S90">
        <v>1291.9484806567768</v>
      </c>
      <c r="T90">
        <v>1275.3738668838123</v>
      </c>
      <c r="U90">
        <v>1258.7992531108473</v>
      </c>
      <c r="V90">
        <v>1242.2246393378828</v>
      </c>
      <c r="W90">
        <v>1225.6500255649178</v>
      </c>
      <c r="X90">
        <v>1209.075411791953</v>
      </c>
      <c r="Y90">
        <v>1192.5007980189882</v>
      </c>
      <c r="Z90">
        <v>1175.9261842460235</v>
      </c>
      <c r="AA90">
        <v>1159.3515704730683</v>
      </c>
      <c r="AB90">
        <v>1142.7769567001046</v>
      </c>
      <c r="AC90">
        <v>1126.2023429271419</v>
      </c>
      <c r="AD90">
        <v>1109.627729154178</v>
      </c>
      <c r="AE90">
        <v>1093.0531153812144</v>
      </c>
      <c r="AF90">
        <v>1076.4785016082508</v>
      </c>
      <c r="AG90">
        <v>1059.9038878352869</v>
      </c>
      <c r="AH90">
        <v>1043.3292740623242</v>
      </c>
      <c r="AI90">
        <v>1026.7546602893606</v>
      </c>
      <c r="AJ90">
        <v>1010.1800465163969</v>
      </c>
    </row>
    <row r="91" spans="1:36" x14ac:dyDescent="0.35">
      <c r="A91" t="s">
        <v>1469</v>
      </c>
      <c r="B91" t="s">
        <v>1342</v>
      </c>
      <c r="C91" t="s">
        <v>1348</v>
      </c>
      <c r="D91">
        <v>30</v>
      </c>
      <c r="E91" t="s">
        <v>1459</v>
      </c>
      <c r="F91" t="s">
        <v>1352</v>
      </c>
      <c r="G91" t="s">
        <v>1468</v>
      </c>
      <c r="H91">
        <v>1665.7865833821902</v>
      </c>
      <c r="I91">
        <v>1786.3135537720393</v>
      </c>
      <c r="J91">
        <v>1676.0948551167523</v>
      </c>
      <c r="K91">
        <v>1569.0990734589152</v>
      </c>
      <c r="L91">
        <v>1536.8699034844901</v>
      </c>
      <c r="M91">
        <v>1504.6407335100548</v>
      </c>
      <c r="N91">
        <v>1472.4115635356297</v>
      </c>
      <c r="O91">
        <v>1440.1823935612049</v>
      </c>
      <c r="P91">
        <v>1407.9532235867798</v>
      </c>
      <c r="Q91">
        <v>1393.300972420019</v>
      </c>
      <c r="R91">
        <v>1378.6487212532579</v>
      </c>
      <c r="S91">
        <v>1363.9964700864864</v>
      </c>
      <c r="T91">
        <v>1349.3442189197256</v>
      </c>
      <c r="U91">
        <v>1334.6919677529645</v>
      </c>
      <c r="V91">
        <v>1320.0397165862037</v>
      </c>
      <c r="W91">
        <v>1305.3874654194426</v>
      </c>
      <c r="X91">
        <v>1290.7352142526818</v>
      </c>
      <c r="Y91">
        <v>1276.0829630859207</v>
      </c>
      <c r="Z91">
        <v>1261.4307119191492</v>
      </c>
      <c r="AA91">
        <v>1246.7784607523884</v>
      </c>
      <c r="AB91">
        <v>1232.1262095856273</v>
      </c>
      <c r="AC91">
        <v>1217.4739584188665</v>
      </c>
      <c r="AD91">
        <v>1202.8217072521054</v>
      </c>
      <c r="AE91">
        <v>1188.1694560853446</v>
      </c>
      <c r="AF91">
        <v>1173.5172049185733</v>
      </c>
      <c r="AG91">
        <v>1158.8649537518195</v>
      </c>
      <c r="AH91">
        <v>1144.2127025850566</v>
      </c>
      <c r="AI91">
        <v>1129.5604514182946</v>
      </c>
      <c r="AJ91">
        <v>1114.9082002515315</v>
      </c>
    </row>
    <row r="92" spans="1:36" x14ac:dyDescent="0.35">
      <c r="A92" t="s">
        <v>1470</v>
      </c>
      <c r="B92" t="s">
        <v>1342</v>
      </c>
      <c r="C92" t="s">
        <v>1350</v>
      </c>
      <c r="D92">
        <v>30</v>
      </c>
      <c r="E92" t="s">
        <v>1459</v>
      </c>
      <c r="F92" t="s">
        <v>1352</v>
      </c>
      <c r="G92" t="s">
        <v>1468</v>
      </c>
      <c r="H92">
        <v>1665.7865833821902</v>
      </c>
      <c r="I92">
        <v>1809.6113559411617</v>
      </c>
      <c r="J92">
        <v>1720.5724774396324</v>
      </c>
      <c r="K92">
        <v>1632.6385339201561</v>
      </c>
      <c r="L92">
        <v>1621.5891840994777</v>
      </c>
      <c r="M92">
        <v>1610.5398342788103</v>
      </c>
      <c r="N92">
        <v>1599.490484458132</v>
      </c>
      <c r="O92">
        <v>1588.4411346374541</v>
      </c>
      <c r="P92">
        <v>1577.391784816776</v>
      </c>
      <c r="Q92">
        <v>1566.343731428004</v>
      </c>
      <c r="R92">
        <v>1555.2956780392428</v>
      </c>
      <c r="S92">
        <v>1544.2476246504709</v>
      </c>
      <c r="T92">
        <v>1533.1995712617097</v>
      </c>
      <c r="U92">
        <v>1522.1515178729378</v>
      </c>
      <c r="V92">
        <v>1511.1034644841766</v>
      </c>
      <c r="W92">
        <v>1500.0554110954047</v>
      </c>
      <c r="X92">
        <v>1489.0073577066435</v>
      </c>
      <c r="Y92">
        <v>1477.9593043178716</v>
      </c>
      <c r="Z92">
        <v>1466.9112509291103</v>
      </c>
      <c r="AA92">
        <v>1455.8631975403382</v>
      </c>
      <c r="AB92">
        <v>1444.815144151577</v>
      </c>
      <c r="AC92">
        <v>1433.767090762816</v>
      </c>
      <c r="AD92">
        <v>1422.7190373740441</v>
      </c>
      <c r="AE92">
        <v>1411.6709839852829</v>
      </c>
      <c r="AF92">
        <v>1400.6229305965107</v>
      </c>
      <c r="AG92">
        <v>1389.5748772077495</v>
      </c>
      <c r="AH92">
        <v>1378.5268238189778</v>
      </c>
      <c r="AI92">
        <v>1367.4787704302166</v>
      </c>
      <c r="AJ92">
        <v>1356.4307170414445</v>
      </c>
    </row>
    <row r="93" spans="1:36" x14ac:dyDescent="0.35">
      <c r="A93" t="s">
        <v>1471</v>
      </c>
      <c r="B93" t="s">
        <v>1342</v>
      </c>
      <c r="C93" t="s">
        <v>1343</v>
      </c>
      <c r="D93">
        <v>30</v>
      </c>
      <c r="E93" t="s">
        <v>1459</v>
      </c>
      <c r="F93" t="s">
        <v>1376</v>
      </c>
      <c r="G93" t="s">
        <v>1472</v>
      </c>
      <c r="H93">
        <v>1665.7865833821902</v>
      </c>
      <c r="I93">
        <v>1777.1999298005069</v>
      </c>
      <c r="J93">
        <v>1658.6961184438392</v>
      </c>
      <c r="K93">
        <v>1544.2437353547416</v>
      </c>
      <c r="L93">
        <v>1503.7294526789253</v>
      </c>
      <c r="M93">
        <v>1463.2151700031093</v>
      </c>
      <c r="N93">
        <v>1422.700887327293</v>
      </c>
      <c r="O93">
        <v>1382.186604651477</v>
      </c>
      <c r="P93">
        <v>1341.6723219756607</v>
      </c>
      <c r="Q93">
        <v>1325.0977082026961</v>
      </c>
      <c r="R93">
        <v>1308.5230944297311</v>
      </c>
      <c r="S93">
        <v>1291.9484806567768</v>
      </c>
      <c r="T93">
        <v>1275.3738668838123</v>
      </c>
      <c r="U93">
        <v>1258.7992531108473</v>
      </c>
      <c r="V93">
        <v>1242.2246393378828</v>
      </c>
      <c r="W93">
        <v>1225.6500255649178</v>
      </c>
      <c r="X93">
        <v>1209.075411791953</v>
      </c>
      <c r="Y93">
        <v>1192.5007980189882</v>
      </c>
      <c r="Z93">
        <v>1175.9261842460235</v>
      </c>
      <c r="AA93">
        <v>1159.3515704730683</v>
      </c>
      <c r="AB93">
        <v>1142.7769567001046</v>
      </c>
      <c r="AC93">
        <v>1126.2023429271419</v>
      </c>
      <c r="AD93">
        <v>1109.627729154178</v>
      </c>
      <c r="AE93">
        <v>1093.0531153812144</v>
      </c>
      <c r="AF93">
        <v>1076.4785016082508</v>
      </c>
      <c r="AG93">
        <v>1059.9038878352869</v>
      </c>
      <c r="AH93">
        <v>1043.3292740623242</v>
      </c>
      <c r="AI93">
        <v>1026.7546602893606</v>
      </c>
      <c r="AJ93">
        <v>1010.1800465163969</v>
      </c>
    </row>
    <row r="94" spans="1:36" x14ac:dyDescent="0.35">
      <c r="A94" t="s">
        <v>1473</v>
      </c>
      <c r="B94" t="s">
        <v>1342</v>
      </c>
      <c r="C94" t="s">
        <v>1348</v>
      </c>
      <c r="D94">
        <v>30</v>
      </c>
      <c r="E94" t="s">
        <v>1459</v>
      </c>
      <c r="F94" t="s">
        <v>1376</v>
      </c>
      <c r="G94" t="s">
        <v>1472</v>
      </c>
      <c r="H94">
        <v>1665.7865833821902</v>
      </c>
      <c r="I94">
        <v>1786.3135537720393</v>
      </c>
      <c r="J94">
        <v>1676.0948551167523</v>
      </c>
      <c r="K94">
        <v>1569.0990734589152</v>
      </c>
      <c r="L94">
        <v>1536.8699034844901</v>
      </c>
      <c r="M94">
        <v>1504.6407335100548</v>
      </c>
      <c r="N94">
        <v>1472.4115635356297</v>
      </c>
      <c r="O94">
        <v>1440.1823935612049</v>
      </c>
      <c r="P94">
        <v>1407.9532235867798</v>
      </c>
      <c r="Q94">
        <v>1393.300972420019</v>
      </c>
      <c r="R94">
        <v>1378.6487212532579</v>
      </c>
      <c r="S94">
        <v>1363.9964700864864</v>
      </c>
      <c r="T94">
        <v>1349.3442189197256</v>
      </c>
      <c r="U94">
        <v>1334.6919677529645</v>
      </c>
      <c r="V94">
        <v>1320.0397165862037</v>
      </c>
      <c r="W94">
        <v>1305.3874654194426</v>
      </c>
      <c r="X94">
        <v>1290.7352142526818</v>
      </c>
      <c r="Y94">
        <v>1276.0829630859207</v>
      </c>
      <c r="Z94">
        <v>1261.4307119191492</v>
      </c>
      <c r="AA94">
        <v>1246.7784607523884</v>
      </c>
      <c r="AB94">
        <v>1232.1262095856273</v>
      </c>
      <c r="AC94">
        <v>1217.4739584188665</v>
      </c>
      <c r="AD94">
        <v>1202.8217072521054</v>
      </c>
      <c r="AE94">
        <v>1188.1694560853446</v>
      </c>
      <c r="AF94">
        <v>1173.5172049185733</v>
      </c>
      <c r="AG94">
        <v>1158.8649537518195</v>
      </c>
      <c r="AH94">
        <v>1144.2127025850566</v>
      </c>
      <c r="AI94">
        <v>1129.5604514182946</v>
      </c>
      <c r="AJ94">
        <v>1114.9082002515315</v>
      </c>
    </row>
    <row r="95" spans="1:36" x14ac:dyDescent="0.35">
      <c r="A95" t="s">
        <v>1474</v>
      </c>
      <c r="B95" t="s">
        <v>1342</v>
      </c>
      <c r="C95" t="s">
        <v>1350</v>
      </c>
      <c r="D95">
        <v>30</v>
      </c>
      <c r="E95" t="s">
        <v>1459</v>
      </c>
      <c r="F95" t="s">
        <v>1376</v>
      </c>
      <c r="G95" t="s">
        <v>1472</v>
      </c>
      <c r="H95">
        <v>1665.7865833821902</v>
      </c>
      <c r="I95">
        <v>1809.6113559411617</v>
      </c>
      <c r="J95">
        <v>1720.5724774396324</v>
      </c>
      <c r="K95">
        <v>1632.6385339201561</v>
      </c>
      <c r="L95">
        <v>1621.5891840994777</v>
      </c>
      <c r="M95">
        <v>1610.5398342788103</v>
      </c>
      <c r="N95">
        <v>1599.490484458132</v>
      </c>
      <c r="O95">
        <v>1588.4411346374541</v>
      </c>
      <c r="P95">
        <v>1577.391784816776</v>
      </c>
      <c r="Q95">
        <v>1566.343731428004</v>
      </c>
      <c r="R95">
        <v>1555.2956780392428</v>
      </c>
      <c r="S95">
        <v>1544.2476246504709</v>
      </c>
      <c r="T95">
        <v>1533.1995712617097</v>
      </c>
      <c r="U95">
        <v>1522.1515178729378</v>
      </c>
      <c r="V95">
        <v>1511.1034644841766</v>
      </c>
      <c r="W95">
        <v>1500.0554110954047</v>
      </c>
      <c r="X95">
        <v>1489.0073577066435</v>
      </c>
      <c r="Y95">
        <v>1477.9593043178716</v>
      </c>
      <c r="Z95">
        <v>1466.9112509291103</v>
      </c>
      <c r="AA95">
        <v>1455.8631975403382</v>
      </c>
      <c r="AB95">
        <v>1444.815144151577</v>
      </c>
      <c r="AC95">
        <v>1433.767090762816</v>
      </c>
      <c r="AD95">
        <v>1422.7190373740441</v>
      </c>
      <c r="AE95">
        <v>1411.6709839852829</v>
      </c>
      <c r="AF95">
        <v>1400.6229305965107</v>
      </c>
      <c r="AG95">
        <v>1389.5748772077495</v>
      </c>
      <c r="AH95">
        <v>1378.5268238189778</v>
      </c>
      <c r="AI95">
        <v>1367.4787704302166</v>
      </c>
      <c r="AJ95">
        <v>1356.4307170414445</v>
      </c>
    </row>
    <row r="96" spans="1:36" x14ac:dyDescent="0.35">
      <c r="A96" t="s">
        <v>1475</v>
      </c>
      <c r="B96" t="s">
        <v>1342</v>
      </c>
      <c r="C96" t="s">
        <v>1343</v>
      </c>
      <c r="D96">
        <v>30</v>
      </c>
      <c r="E96" t="s">
        <v>1459</v>
      </c>
      <c r="F96" t="s">
        <v>1381</v>
      </c>
      <c r="G96" t="s">
        <v>1476</v>
      </c>
      <c r="H96">
        <v>1665.7865833821902</v>
      </c>
      <c r="I96">
        <v>1777.1999298005069</v>
      </c>
      <c r="J96">
        <v>1658.6961184438392</v>
      </c>
      <c r="K96">
        <v>1544.2437353547416</v>
      </c>
      <c r="L96">
        <v>1503.7294526789253</v>
      </c>
      <c r="M96">
        <v>1463.2151700031093</v>
      </c>
      <c r="N96">
        <v>1422.700887327293</v>
      </c>
      <c r="O96">
        <v>1382.186604651477</v>
      </c>
      <c r="P96">
        <v>1341.6723219756607</v>
      </c>
      <c r="Q96">
        <v>1325.0977082026961</v>
      </c>
      <c r="R96">
        <v>1308.5230944297311</v>
      </c>
      <c r="S96">
        <v>1291.9484806567768</v>
      </c>
      <c r="T96">
        <v>1275.3738668838123</v>
      </c>
      <c r="U96">
        <v>1258.7992531108473</v>
      </c>
      <c r="V96">
        <v>1242.2246393378828</v>
      </c>
      <c r="W96">
        <v>1225.6500255649178</v>
      </c>
      <c r="X96">
        <v>1209.075411791953</v>
      </c>
      <c r="Y96">
        <v>1192.5007980189882</v>
      </c>
      <c r="Z96">
        <v>1175.9261842460235</v>
      </c>
      <c r="AA96">
        <v>1159.3515704730683</v>
      </c>
      <c r="AB96">
        <v>1142.7769567001046</v>
      </c>
      <c r="AC96">
        <v>1126.2023429271419</v>
      </c>
      <c r="AD96">
        <v>1109.627729154178</v>
      </c>
      <c r="AE96">
        <v>1093.0531153812144</v>
      </c>
      <c r="AF96">
        <v>1076.4785016082508</v>
      </c>
      <c r="AG96">
        <v>1059.9038878352869</v>
      </c>
      <c r="AH96">
        <v>1043.3292740623242</v>
      </c>
      <c r="AI96">
        <v>1026.7546602893606</v>
      </c>
      <c r="AJ96">
        <v>1010.1800465163969</v>
      </c>
    </row>
    <row r="97" spans="1:36" x14ac:dyDescent="0.35">
      <c r="A97" t="s">
        <v>1477</v>
      </c>
      <c r="B97" t="s">
        <v>1342</v>
      </c>
      <c r="C97" t="s">
        <v>1348</v>
      </c>
      <c r="D97">
        <v>30</v>
      </c>
      <c r="E97" t="s">
        <v>1459</v>
      </c>
      <c r="F97" t="s">
        <v>1381</v>
      </c>
      <c r="G97" t="s">
        <v>1476</v>
      </c>
      <c r="H97">
        <v>1665.7865833821902</v>
      </c>
      <c r="I97">
        <v>1786.3135537720393</v>
      </c>
      <c r="J97">
        <v>1676.0948551167523</v>
      </c>
      <c r="K97">
        <v>1569.0990734589152</v>
      </c>
      <c r="L97">
        <v>1536.8699034844901</v>
      </c>
      <c r="M97">
        <v>1504.6407335100548</v>
      </c>
      <c r="N97">
        <v>1472.4115635356297</v>
      </c>
      <c r="O97">
        <v>1440.1823935612049</v>
      </c>
      <c r="P97">
        <v>1407.9532235867798</v>
      </c>
      <c r="Q97">
        <v>1393.300972420019</v>
      </c>
      <c r="R97">
        <v>1378.6487212532579</v>
      </c>
      <c r="S97">
        <v>1363.9964700864864</v>
      </c>
      <c r="T97">
        <v>1349.3442189197256</v>
      </c>
      <c r="U97">
        <v>1334.6919677529645</v>
      </c>
      <c r="V97">
        <v>1320.0397165862037</v>
      </c>
      <c r="W97">
        <v>1305.3874654194426</v>
      </c>
      <c r="X97">
        <v>1290.7352142526818</v>
      </c>
      <c r="Y97">
        <v>1276.0829630859207</v>
      </c>
      <c r="Z97">
        <v>1261.4307119191492</v>
      </c>
      <c r="AA97">
        <v>1246.7784607523884</v>
      </c>
      <c r="AB97">
        <v>1232.1262095856273</v>
      </c>
      <c r="AC97">
        <v>1217.4739584188665</v>
      </c>
      <c r="AD97">
        <v>1202.8217072521054</v>
      </c>
      <c r="AE97">
        <v>1188.1694560853446</v>
      </c>
      <c r="AF97">
        <v>1173.5172049185733</v>
      </c>
      <c r="AG97">
        <v>1158.8649537518195</v>
      </c>
      <c r="AH97">
        <v>1144.2127025850566</v>
      </c>
      <c r="AI97">
        <v>1129.5604514182946</v>
      </c>
      <c r="AJ97">
        <v>1114.9082002515315</v>
      </c>
    </row>
    <row r="98" spans="1:36" x14ac:dyDescent="0.35">
      <c r="A98" t="s">
        <v>1478</v>
      </c>
      <c r="B98" t="s">
        <v>1342</v>
      </c>
      <c r="C98" t="s">
        <v>1350</v>
      </c>
      <c r="D98">
        <v>30</v>
      </c>
      <c r="E98" t="s">
        <v>1459</v>
      </c>
      <c r="F98" t="s">
        <v>1381</v>
      </c>
      <c r="G98" t="s">
        <v>1476</v>
      </c>
      <c r="H98">
        <v>1665.7865833821902</v>
      </c>
      <c r="I98">
        <v>1809.6113559411617</v>
      </c>
      <c r="J98">
        <v>1720.5724774396324</v>
      </c>
      <c r="K98">
        <v>1632.6385339201561</v>
      </c>
      <c r="L98">
        <v>1621.5891840994777</v>
      </c>
      <c r="M98">
        <v>1610.5398342788103</v>
      </c>
      <c r="N98">
        <v>1599.490484458132</v>
      </c>
      <c r="O98">
        <v>1588.4411346374541</v>
      </c>
      <c r="P98">
        <v>1577.391784816776</v>
      </c>
      <c r="Q98">
        <v>1566.343731428004</v>
      </c>
      <c r="R98">
        <v>1555.2956780392428</v>
      </c>
      <c r="S98">
        <v>1544.2476246504709</v>
      </c>
      <c r="T98">
        <v>1533.1995712617097</v>
      </c>
      <c r="U98">
        <v>1522.1515178729378</v>
      </c>
      <c r="V98">
        <v>1511.1034644841766</v>
      </c>
      <c r="W98">
        <v>1500.0554110954047</v>
      </c>
      <c r="X98">
        <v>1489.0073577066435</v>
      </c>
      <c r="Y98">
        <v>1477.9593043178716</v>
      </c>
      <c r="Z98">
        <v>1466.9112509291103</v>
      </c>
      <c r="AA98">
        <v>1455.8631975403382</v>
      </c>
      <c r="AB98">
        <v>1444.815144151577</v>
      </c>
      <c r="AC98">
        <v>1433.767090762816</v>
      </c>
      <c r="AD98">
        <v>1422.7190373740441</v>
      </c>
      <c r="AE98">
        <v>1411.6709839852829</v>
      </c>
      <c r="AF98">
        <v>1400.6229305965107</v>
      </c>
      <c r="AG98">
        <v>1389.5748772077495</v>
      </c>
      <c r="AH98">
        <v>1378.5268238189778</v>
      </c>
      <c r="AI98">
        <v>1367.4787704302166</v>
      </c>
      <c r="AJ98">
        <v>1356.4307170414445</v>
      </c>
    </row>
    <row r="99" spans="1:36" x14ac:dyDescent="0.35">
      <c r="A99" t="s">
        <v>1479</v>
      </c>
      <c r="B99" t="s">
        <v>1342</v>
      </c>
      <c r="C99" t="s">
        <v>1343</v>
      </c>
      <c r="D99">
        <v>30</v>
      </c>
      <c r="E99" t="s">
        <v>1459</v>
      </c>
      <c r="F99" t="s">
        <v>1386</v>
      </c>
      <c r="G99" t="s">
        <v>1480</v>
      </c>
      <c r="H99">
        <v>1665.7865833821902</v>
      </c>
      <c r="I99">
        <v>1777.1999298005069</v>
      </c>
      <c r="J99">
        <v>1658.6961184438392</v>
      </c>
      <c r="K99">
        <v>1544.2437353547416</v>
      </c>
      <c r="L99">
        <v>1503.7294526789253</v>
      </c>
      <c r="M99">
        <v>1463.2151700031093</v>
      </c>
      <c r="N99">
        <v>1422.700887327293</v>
      </c>
      <c r="O99">
        <v>1382.186604651477</v>
      </c>
      <c r="P99">
        <v>1341.6723219756607</v>
      </c>
      <c r="Q99">
        <v>1325.0977082026961</v>
      </c>
      <c r="R99">
        <v>1308.5230944297311</v>
      </c>
      <c r="S99">
        <v>1291.9484806567768</v>
      </c>
      <c r="T99">
        <v>1275.3738668838123</v>
      </c>
      <c r="U99">
        <v>1258.7992531108473</v>
      </c>
      <c r="V99">
        <v>1242.2246393378828</v>
      </c>
      <c r="W99">
        <v>1225.6500255649178</v>
      </c>
      <c r="X99">
        <v>1209.075411791953</v>
      </c>
      <c r="Y99">
        <v>1192.5007980189882</v>
      </c>
      <c r="Z99">
        <v>1175.9261842460235</v>
      </c>
      <c r="AA99">
        <v>1159.3515704730683</v>
      </c>
      <c r="AB99">
        <v>1142.7769567001046</v>
      </c>
      <c r="AC99">
        <v>1126.2023429271419</v>
      </c>
      <c r="AD99">
        <v>1109.627729154178</v>
      </c>
      <c r="AE99">
        <v>1093.0531153812144</v>
      </c>
      <c r="AF99">
        <v>1076.4785016082508</v>
      </c>
      <c r="AG99">
        <v>1059.9038878352869</v>
      </c>
      <c r="AH99">
        <v>1043.3292740623242</v>
      </c>
      <c r="AI99">
        <v>1026.7546602893606</v>
      </c>
      <c r="AJ99">
        <v>1010.1800465163969</v>
      </c>
    </row>
    <row r="100" spans="1:36" x14ac:dyDescent="0.35">
      <c r="A100" t="s">
        <v>1481</v>
      </c>
      <c r="B100" t="s">
        <v>1342</v>
      </c>
      <c r="C100" t="s">
        <v>1348</v>
      </c>
      <c r="D100">
        <v>30</v>
      </c>
      <c r="E100" t="s">
        <v>1459</v>
      </c>
      <c r="F100" t="s">
        <v>1386</v>
      </c>
      <c r="G100" t="s">
        <v>1480</v>
      </c>
      <c r="H100">
        <v>1665.7865833821902</v>
      </c>
      <c r="I100">
        <v>1786.3135537720393</v>
      </c>
      <c r="J100">
        <v>1676.0948551167523</v>
      </c>
      <c r="K100">
        <v>1569.0990734589152</v>
      </c>
      <c r="L100">
        <v>1536.8699034844901</v>
      </c>
      <c r="M100">
        <v>1504.6407335100548</v>
      </c>
      <c r="N100">
        <v>1472.4115635356297</v>
      </c>
      <c r="O100">
        <v>1440.1823935612049</v>
      </c>
      <c r="P100">
        <v>1407.9532235867798</v>
      </c>
      <c r="Q100">
        <v>1393.300972420019</v>
      </c>
      <c r="R100">
        <v>1378.6487212532579</v>
      </c>
      <c r="S100">
        <v>1363.9964700864864</v>
      </c>
      <c r="T100">
        <v>1349.3442189197256</v>
      </c>
      <c r="U100">
        <v>1334.6919677529645</v>
      </c>
      <c r="V100">
        <v>1320.0397165862037</v>
      </c>
      <c r="W100">
        <v>1305.3874654194426</v>
      </c>
      <c r="X100">
        <v>1290.7352142526818</v>
      </c>
      <c r="Y100">
        <v>1276.0829630859207</v>
      </c>
      <c r="Z100">
        <v>1261.4307119191492</v>
      </c>
      <c r="AA100">
        <v>1246.7784607523884</v>
      </c>
      <c r="AB100">
        <v>1232.1262095856273</v>
      </c>
      <c r="AC100">
        <v>1217.4739584188665</v>
      </c>
      <c r="AD100">
        <v>1202.8217072521054</v>
      </c>
      <c r="AE100">
        <v>1188.1694560853446</v>
      </c>
      <c r="AF100">
        <v>1173.5172049185733</v>
      </c>
      <c r="AG100">
        <v>1158.8649537518195</v>
      </c>
      <c r="AH100">
        <v>1144.2127025850566</v>
      </c>
      <c r="AI100">
        <v>1129.5604514182946</v>
      </c>
      <c r="AJ100">
        <v>1114.9082002515315</v>
      </c>
    </row>
    <row r="101" spans="1:36" x14ac:dyDescent="0.35">
      <c r="A101" t="s">
        <v>1482</v>
      </c>
      <c r="B101" t="s">
        <v>1342</v>
      </c>
      <c r="C101" t="s">
        <v>1350</v>
      </c>
      <c r="D101">
        <v>30</v>
      </c>
      <c r="E101" t="s">
        <v>1459</v>
      </c>
      <c r="F101" t="s">
        <v>1386</v>
      </c>
      <c r="G101" t="s">
        <v>1480</v>
      </c>
      <c r="H101">
        <v>1665.7865833821902</v>
      </c>
      <c r="I101">
        <v>1809.6113559411617</v>
      </c>
      <c r="J101">
        <v>1720.5724774396324</v>
      </c>
      <c r="K101">
        <v>1632.6385339201561</v>
      </c>
      <c r="L101">
        <v>1621.5891840994777</v>
      </c>
      <c r="M101">
        <v>1610.5398342788103</v>
      </c>
      <c r="N101">
        <v>1599.490484458132</v>
      </c>
      <c r="O101">
        <v>1588.4411346374541</v>
      </c>
      <c r="P101">
        <v>1577.391784816776</v>
      </c>
      <c r="Q101">
        <v>1566.343731428004</v>
      </c>
      <c r="R101">
        <v>1555.2956780392428</v>
      </c>
      <c r="S101">
        <v>1544.2476246504709</v>
      </c>
      <c r="T101">
        <v>1533.1995712617097</v>
      </c>
      <c r="U101">
        <v>1522.1515178729378</v>
      </c>
      <c r="V101">
        <v>1511.1034644841766</v>
      </c>
      <c r="W101">
        <v>1500.0554110954047</v>
      </c>
      <c r="X101">
        <v>1489.0073577066435</v>
      </c>
      <c r="Y101">
        <v>1477.9593043178716</v>
      </c>
      <c r="Z101">
        <v>1466.9112509291103</v>
      </c>
      <c r="AA101">
        <v>1455.8631975403382</v>
      </c>
      <c r="AB101">
        <v>1444.815144151577</v>
      </c>
      <c r="AC101">
        <v>1433.767090762816</v>
      </c>
      <c r="AD101">
        <v>1422.7190373740441</v>
      </c>
      <c r="AE101">
        <v>1411.6709839852829</v>
      </c>
      <c r="AF101">
        <v>1400.6229305965107</v>
      </c>
      <c r="AG101">
        <v>1389.5748772077495</v>
      </c>
      <c r="AH101">
        <v>1378.5268238189778</v>
      </c>
      <c r="AI101">
        <v>1367.4787704302166</v>
      </c>
      <c r="AJ101">
        <v>1356.4307170414445</v>
      </c>
    </row>
    <row r="102" spans="1:36" x14ac:dyDescent="0.35">
      <c r="A102" t="s">
        <v>1483</v>
      </c>
      <c r="B102" t="s">
        <v>1342</v>
      </c>
      <c r="C102" t="s">
        <v>1343</v>
      </c>
      <c r="D102">
        <v>30</v>
      </c>
      <c r="E102" t="s">
        <v>1459</v>
      </c>
      <c r="F102" t="s">
        <v>1391</v>
      </c>
      <c r="G102" t="s">
        <v>1484</v>
      </c>
      <c r="H102">
        <v>1665.7865833821902</v>
      </c>
      <c r="I102">
        <v>1777.1999298005069</v>
      </c>
      <c r="J102">
        <v>1658.6961184438392</v>
      </c>
      <c r="K102">
        <v>1544.2437353547416</v>
      </c>
      <c r="L102">
        <v>1503.7294526789253</v>
      </c>
      <c r="M102">
        <v>1463.2151700031093</v>
      </c>
      <c r="N102">
        <v>1422.700887327293</v>
      </c>
      <c r="O102">
        <v>1382.186604651477</v>
      </c>
      <c r="P102">
        <v>1341.6723219756607</v>
      </c>
      <c r="Q102">
        <v>1325.0977082026961</v>
      </c>
      <c r="R102">
        <v>1308.5230944297311</v>
      </c>
      <c r="S102">
        <v>1291.9484806567768</v>
      </c>
      <c r="T102">
        <v>1275.3738668838123</v>
      </c>
      <c r="U102">
        <v>1258.7992531108473</v>
      </c>
      <c r="V102">
        <v>1242.2246393378828</v>
      </c>
      <c r="W102">
        <v>1225.6500255649178</v>
      </c>
      <c r="X102">
        <v>1209.075411791953</v>
      </c>
      <c r="Y102">
        <v>1192.5007980189882</v>
      </c>
      <c r="Z102">
        <v>1175.9261842460235</v>
      </c>
      <c r="AA102">
        <v>1159.3515704730683</v>
      </c>
      <c r="AB102">
        <v>1142.7769567001046</v>
      </c>
      <c r="AC102">
        <v>1126.2023429271419</v>
      </c>
      <c r="AD102">
        <v>1109.627729154178</v>
      </c>
      <c r="AE102">
        <v>1093.0531153812144</v>
      </c>
      <c r="AF102">
        <v>1076.4785016082508</v>
      </c>
      <c r="AG102">
        <v>1059.9038878352869</v>
      </c>
      <c r="AH102">
        <v>1043.3292740623242</v>
      </c>
      <c r="AI102">
        <v>1026.7546602893606</v>
      </c>
      <c r="AJ102">
        <v>1010.1800465163969</v>
      </c>
    </row>
    <row r="103" spans="1:36" x14ac:dyDescent="0.35">
      <c r="A103" t="s">
        <v>1485</v>
      </c>
      <c r="B103" t="s">
        <v>1342</v>
      </c>
      <c r="C103" t="s">
        <v>1348</v>
      </c>
      <c r="D103">
        <v>30</v>
      </c>
      <c r="E103" t="s">
        <v>1459</v>
      </c>
      <c r="F103" t="s">
        <v>1391</v>
      </c>
      <c r="G103" t="s">
        <v>1484</v>
      </c>
      <c r="H103">
        <v>1665.7865833821902</v>
      </c>
      <c r="I103">
        <v>1795.2370526972948</v>
      </c>
      <c r="J103">
        <v>1693.1306257922363</v>
      </c>
      <c r="K103">
        <v>1593.4358887096005</v>
      </c>
      <c r="L103">
        <v>1569.3189904854144</v>
      </c>
      <c r="M103">
        <v>1545.202092261218</v>
      </c>
      <c r="N103">
        <v>1521.0851940370212</v>
      </c>
      <c r="O103">
        <v>1496.9682958128246</v>
      </c>
      <c r="P103">
        <v>1472.8513975886283</v>
      </c>
      <c r="Q103">
        <v>1454.9542377217801</v>
      </c>
      <c r="R103">
        <v>1437.0570778549215</v>
      </c>
      <c r="S103">
        <v>1419.1599179880627</v>
      </c>
      <c r="T103">
        <v>1401.2627581212146</v>
      </c>
      <c r="U103">
        <v>1383.3655982543562</v>
      </c>
      <c r="V103">
        <v>1365.4684383874974</v>
      </c>
      <c r="W103">
        <v>1347.5712785206495</v>
      </c>
      <c r="X103">
        <v>1329.6741186537909</v>
      </c>
      <c r="Y103">
        <v>1311.7769587869323</v>
      </c>
      <c r="Z103">
        <v>1293.8797989200841</v>
      </c>
      <c r="AA103">
        <v>1275.9826390532253</v>
      </c>
      <c r="AB103">
        <v>1258.0854791863669</v>
      </c>
      <c r="AC103">
        <v>1240.1883193195081</v>
      </c>
      <c r="AD103">
        <v>1222.2911594526602</v>
      </c>
      <c r="AE103">
        <v>1204.3939995858013</v>
      </c>
      <c r="AF103">
        <v>1186.4968397189427</v>
      </c>
      <c r="AG103">
        <v>1168.5996798520948</v>
      </c>
      <c r="AH103">
        <v>1150.7025199852426</v>
      </c>
      <c r="AI103">
        <v>1132.8053601183869</v>
      </c>
      <c r="AJ103">
        <v>1114.9082002515315</v>
      </c>
    </row>
    <row r="104" spans="1:36" x14ac:dyDescent="0.35">
      <c r="A104" t="s">
        <v>1486</v>
      </c>
      <c r="B104" t="s">
        <v>1342</v>
      </c>
      <c r="C104" t="s">
        <v>1350</v>
      </c>
      <c r="D104">
        <v>30</v>
      </c>
      <c r="E104" t="s">
        <v>1459</v>
      </c>
      <c r="F104" t="s">
        <v>1391</v>
      </c>
      <c r="G104" t="s">
        <v>1484</v>
      </c>
      <c r="H104">
        <v>1665.7865833821902</v>
      </c>
      <c r="I104">
        <v>1809.6113559411617</v>
      </c>
      <c r="J104">
        <v>1720.5724774396324</v>
      </c>
      <c r="K104">
        <v>1632.6385339201561</v>
      </c>
      <c r="L104">
        <v>1621.5891840994777</v>
      </c>
      <c r="M104">
        <v>1610.5398342788103</v>
      </c>
      <c r="N104">
        <v>1599.490484458132</v>
      </c>
      <c r="O104">
        <v>1588.4411346374541</v>
      </c>
      <c r="P104">
        <v>1577.391784816776</v>
      </c>
      <c r="Q104">
        <v>1566.343731428004</v>
      </c>
      <c r="R104">
        <v>1555.2956780392428</v>
      </c>
      <c r="S104">
        <v>1544.2476246504709</v>
      </c>
      <c r="T104">
        <v>1533.1995712617097</v>
      </c>
      <c r="U104">
        <v>1522.1515178729378</v>
      </c>
      <c r="V104">
        <v>1511.1034644841766</v>
      </c>
      <c r="W104">
        <v>1500.0554110954047</v>
      </c>
      <c r="X104">
        <v>1489.0073577066435</v>
      </c>
      <c r="Y104">
        <v>1477.9593043178716</v>
      </c>
      <c r="Z104">
        <v>1466.9112509291103</v>
      </c>
      <c r="AA104">
        <v>1455.8631975403382</v>
      </c>
      <c r="AB104">
        <v>1444.815144151577</v>
      </c>
      <c r="AC104">
        <v>1433.767090762816</v>
      </c>
      <c r="AD104">
        <v>1422.7190373740441</v>
      </c>
      <c r="AE104">
        <v>1411.6709839852829</v>
      </c>
      <c r="AF104">
        <v>1400.6229305965107</v>
      </c>
      <c r="AG104">
        <v>1389.5748772077495</v>
      </c>
      <c r="AH104">
        <v>1378.5268238189778</v>
      </c>
      <c r="AI104">
        <v>1367.4787704302166</v>
      </c>
      <c r="AJ104">
        <v>1356.4307170414445</v>
      </c>
    </row>
    <row r="105" spans="1:36" x14ac:dyDescent="0.35">
      <c r="A105" t="s">
        <v>1487</v>
      </c>
      <c r="B105" t="s">
        <v>1342</v>
      </c>
      <c r="C105" t="s">
        <v>1343</v>
      </c>
      <c r="D105">
        <v>30</v>
      </c>
      <c r="E105" t="s">
        <v>1459</v>
      </c>
      <c r="F105" t="s">
        <v>1357</v>
      </c>
      <c r="G105" t="s">
        <v>1488</v>
      </c>
      <c r="H105">
        <v>1803.2096453683753</v>
      </c>
      <c r="I105">
        <v>1915.6221545194821</v>
      </c>
      <c r="J105">
        <v>1778.6625141854718</v>
      </c>
      <c r="K105">
        <v>1646.9127697068484</v>
      </c>
      <c r="L105">
        <v>1594.8138111530022</v>
      </c>
      <c r="M105">
        <v>1542.714852599167</v>
      </c>
      <c r="N105">
        <v>1490.6158940453211</v>
      </c>
      <c r="O105">
        <v>1438.5169354914858</v>
      </c>
      <c r="P105">
        <v>1386.4179769376399</v>
      </c>
      <c r="Q105">
        <v>1369.0715586201209</v>
      </c>
      <c r="R105">
        <v>1351.7251403025914</v>
      </c>
      <c r="S105">
        <v>1334.3787219850722</v>
      </c>
      <c r="T105">
        <v>1317.0323036675427</v>
      </c>
      <c r="U105">
        <v>1299.6858853500237</v>
      </c>
      <c r="V105">
        <v>1282.339467032494</v>
      </c>
      <c r="W105">
        <v>1264.993048714975</v>
      </c>
      <c r="X105">
        <v>1247.6466303974453</v>
      </c>
      <c r="Y105">
        <v>1230.3002120799263</v>
      </c>
      <c r="Z105">
        <v>1212.9537937623966</v>
      </c>
      <c r="AA105">
        <v>1195.6073754448776</v>
      </c>
      <c r="AB105">
        <v>1178.2609571273479</v>
      </c>
      <c r="AC105">
        <v>1160.9145388098298</v>
      </c>
      <c r="AD105">
        <v>1143.5681204923055</v>
      </c>
      <c r="AE105">
        <v>1126.2217021747811</v>
      </c>
      <c r="AF105">
        <v>1108.8752838572568</v>
      </c>
      <c r="AG105">
        <v>1091.5288655397324</v>
      </c>
      <c r="AH105">
        <v>1074.1824472222081</v>
      </c>
      <c r="AI105">
        <v>1056.8360289046836</v>
      </c>
      <c r="AJ105">
        <v>1039.4896105871594</v>
      </c>
    </row>
    <row r="106" spans="1:36" x14ac:dyDescent="0.35">
      <c r="A106" t="s">
        <v>1489</v>
      </c>
      <c r="B106" t="s">
        <v>1342</v>
      </c>
      <c r="C106" t="s">
        <v>1348</v>
      </c>
      <c r="D106">
        <v>30</v>
      </c>
      <c r="E106" t="s">
        <v>1459</v>
      </c>
      <c r="F106" t="s">
        <v>1357</v>
      </c>
      <c r="G106" t="s">
        <v>1488</v>
      </c>
      <c r="H106">
        <v>1803.2096453683753</v>
      </c>
      <c r="I106">
        <v>1936.2929641853975</v>
      </c>
      <c r="J106">
        <v>1818.1249690022184</v>
      </c>
      <c r="K106">
        <v>1703.2877051593421</v>
      </c>
      <c r="L106">
        <v>1669.9803917563379</v>
      </c>
      <c r="M106">
        <v>1636.6730783533233</v>
      </c>
      <c r="N106">
        <v>1603.3657649503193</v>
      </c>
      <c r="O106">
        <v>1570.0584515473047</v>
      </c>
      <c r="P106">
        <v>1536.7511381443007</v>
      </c>
      <c r="Q106">
        <v>1520.8763793782166</v>
      </c>
      <c r="R106">
        <v>1505.0016206121327</v>
      </c>
      <c r="S106">
        <v>1489.1268618460485</v>
      </c>
      <c r="T106">
        <v>1473.2521030799751</v>
      </c>
      <c r="U106">
        <v>1457.3773443138912</v>
      </c>
      <c r="V106">
        <v>1441.502585547807</v>
      </c>
      <c r="W106">
        <v>1425.6278267817229</v>
      </c>
      <c r="X106">
        <v>1409.7530680156387</v>
      </c>
      <c r="Y106">
        <v>1393.8783092495548</v>
      </c>
      <c r="Z106">
        <v>1378.0035504834707</v>
      </c>
      <c r="AA106">
        <v>1362.1287917173865</v>
      </c>
      <c r="AB106">
        <v>1346.2540329513026</v>
      </c>
      <c r="AC106">
        <v>1330.379274185229</v>
      </c>
      <c r="AD106">
        <v>1314.504515419145</v>
      </c>
      <c r="AE106">
        <v>1298.6297566530609</v>
      </c>
      <c r="AF106">
        <v>1282.7549978869768</v>
      </c>
      <c r="AG106">
        <v>1266.8802391208928</v>
      </c>
      <c r="AH106">
        <v>1251.0054803548087</v>
      </c>
      <c r="AI106">
        <v>1235.1307215887248</v>
      </c>
      <c r="AJ106">
        <v>1219.2559628226406</v>
      </c>
    </row>
    <row r="107" spans="1:36" x14ac:dyDescent="0.35">
      <c r="A107" t="s">
        <v>1490</v>
      </c>
      <c r="B107" t="s">
        <v>1342</v>
      </c>
      <c r="C107" t="s">
        <v>1350</v>
      </c>
      <c r="D107">
        <v>30</v>
      </c>
      <c r="E107" t="s">
        <v>1459</v>
      </c>
      <c r="F107" t="s">
        <v>1357</v>
      </c>
      <c r="G107" t="s">
        <v>1488</v>
      </c>
      <c r="H107">
        <v>1803.2096453683753</v>
      </c>
      <c r="I107">
        <v>1957.5017019723796</v>
      </c>
      <c r="J107">
        <v>1858.6143775046339</v>
      </c>
      <c r="K107">
        <v>1761.1297173056528</v>
      </c>
      <c r="L107">
        <v>1747.103074618082</v>
      </c>
      <c r="M107">
        <v>1733.0764319305115</v>
      </c>
      <c r="N107">
        <v>1719.0497892429303</v>
      </c>
      <c r="O107">
        <v>1705.0231465553595</v>
      </c>
      <c r="P107">
        <v>1690.996503867789</v>
      </c>
      <c r="Q107">
        <v>1679.2797002140207</v>
      </c>
      <c r="R107">
        <v>1667.5628965602525</v>
      </c>
      <c r="S107">
        <v>1655.846092906484</v>
      </c>
      <c r="T107">
        <v>1644.129289252716</v>
      </c>
      <c r="U107">
        <v>1632.4124855989478</v>
      </c>
      <c r="V107">
        <v>1620.6956819451691</v>
      </c>
      <c r="W107">
        <v>1608.9788782914006</v>
      </c>
      <c r="X107">
        <v>1597.2620746376324</v>
      </c>
      <c r="Y107">
        <v>1585.5452709838642</v>
      </c>
      <c r="Z107">
        <v>1573.8284673300957</v>
      </c>
      <c r="AA107">
        <v>1562.1116636763277</v>
      </c>
      <c r="AB107">
        <v>1550.3948600225594</v>
      </c>
      <c r="AC107">
        <v>1538.678056368791</v>
      </c>
      <c r="AD107">
        <v>1526.9612527150227</v>
      </c>
      <c r="AE107">
        <v>1515.2444490612547</v>
      </c>
      <c r="AF107">
        <v>1503.5276454074865</v>
      </c>
      <c r="AG107">
        <v>1491.8108417537073</v>
      </c>
      <c r="AH107">
        <v>1480.0940380999393</v>
      </c>
      <c r="AI107">
        <v>1468.3772344461711</v>
      </c>
      <c r="AJ107">
        <v>1456.6604307924026</v>
      </c>
    </row>
    <row r="108" spans="1:36" x14ac:dyDescent="0.35">
      <c r="A108" t="s">
        <v>1491</v>
      </c>
      <c r="B108" t="s">
        <v>1342</v>
      </c>
      <c r="C108" t="s">
        <v>1343</v>
      </c>
      <c r="D108">
        <v>30</v>
      </c>
      <c r="E108" t="s">
        <v>1459</v>
      </c>
      <c r="F108" t="s">
        <v>1400</v>
      </c>
      <c r="G108" t="s">
        <v>1492</v>
      </c>
      <c r="H108">
        <v>1735.2745158554371</v>
      </c>
      <c r="I108">
        <v>1866.462985356269</v>
      </c>
      <c r="J108">
        <v>1756.1450772260914</v>
      </c>
      <c r="K108">
        <v>1648.7125673784928</v>
      </c>
      <c r="L108">
        <v>1619.8585845528416</v>
      </c>
      <c r="M108">
        <v>1591.00460172719</v>
      </c>
      <c r="N108">
        <v>1562.150618901549</v>
      </c>
      <c r="O108">
        <v>1533.2966360758974</v>
      </c>
      <c r="P108">
        <v>1504.4426532502457</v>
      </c>
      <c r="Q108">
        <v>1485.9265180317248</v>
      </c>
      <c r="R108">
        <v>1467.410382813204</v>
      </c>
      <c r="S108">
        <v>1448.8942475946831</v>
      </c>
      <c r="T108">
        <v>1430.3781123761621</v>
      </c>
      <c r="U108">
        <v>1411.8619771576411</v>
      </c>
      <c r="V108">
        <v>1393.3458419391202</v>
      </c>
      <c r="W108">
        <v>1374.829706720599</v>
      </c>
      <c r="X108">
        <v>1356.313571502078</v>
      </c>
      <c r="Y108">
        <v>1337.7974362835571</v>
      </c>
      <c r="Z108">
        <v>1319.2813010650361</v>
      </c>
      <c r="AA108">
        <v>1300.7651658465152</v>
      </c>
      <c r="AB108">
        <v>1282.2490306279942</v>
      </c>
      <c r="AC108">
        <v>1263.7328954094733</v>
      </c>
      <c r="AD108">
        <v>1245.2167601909521</v>
      </c>
      <c r="AE108">
        <v>1226.7006249724311</v>
      </c>
      <c r="AF108">
        <v>1208.1844897539102</v>
      </c>
      <c r="AG108">
        <v>1189.6683545353892</v>
      </c>
      <c r="AH108">
        <v>1171.1522193168682</v>
      </c>
      <c r="AI108">
        <v>1152.6360840983482</v>
      </c>
      <c r="AJ108">
        <v>1134.1199488798261</v>
      </c>
    </row>
    <row r="109" spans="1:36" x14ac:dyDescent="0.35">
      <c r="A109" t="s">
        <v>1493</v>
      </c>
      <c r="B109" t="s">
        <v>1342</v>
      </c>
      <c r="C109" t="s">
        <v>1348</v>
      </c>
      <c r="D109">
        <v>30</v>
      </c>
      <c r="E109" t="s">
        <v>1459</v>
      </c>
      <c r="F109" t="s">
        <v>1400</v>
      </c>
      <c r="G109" t="s">
        <v>1492</v>
      </c>
      <c r="H109">
        <v>1735.2745158554371</v>
      </c>
      <c r="I109">
        <v>1870.7681174303507</v>
      </c>
      <c r="J109">
        <v>1764.3639657311635</v>
      </c>
      <c r="K109">
        <v>1660.4538366714423</v>
      </c>
      <c r="L109">
        <v>1635.513610276781</v>
      </c>
      <c r="M109">
        <v>1610.5733838821091</v>
      </c>
      <c r="N109">
        <v>1585.6331574874478</v>
      </c>
      <c r="O109">
        <v>1560.6929310927865</v>
      </c>
      <c r="P109">
        <v>1535.7527046981143</v>
      </c>
      <c r="Q109">
        <v>1519.9645301178127</v>
      </c>
      <c r="R109">
        <v>1504.1763555375112</v>
      </c>
      <c r="S109">
        <v>1488.3881809572097</v>
      </c>
      <c r="T109">
        <v>1472.6000063769081</v>
      </c>
      <c r="U109">
        <v>1456.8118317966066</v>
      </c>
      <c r="V109">
        <v>1441.0236572163049</v>
      </c>
      <c r="W109">
        <v>1425.2354826359931</v>
      </c>
      <c r="X109">
        <v>1409.4473080556916</v>
      </c>
      <c r="Y109">
        <v>1393.6591334753898</v>
      </c>
      <c r="Z109">
        <v>1377.8709588950883</v>
      </c>
      <c r="AA109">
        <v>1362.0827843147867</v>
      </c>
      <c r="AB109">
        <v>1346.2946097344852</v>
      </c>
      <c r="AC109">
        <v>1330.5064351541837</v>
      </c>
      <c r="AD109">
        <v>1314.7182605738822</v>
      </c>
      <c r="AE109">
        <v>1298.9300859935699</v>
      </c>
      <c r="AF109">
        <v>1283.1419114132684</v>
      </c>
      <c r="AG109">
        <v>1267.3537368329669</v>
      </c>
      <c r="AH109">
        <v>1251.5655622526651</v>
      </c>
      <c r="AI109">
        <v>1235.7773876723636</v>
      </c>
      <c r="AJ109">
        <v>1219.9892130920621</v>
      </c>
    </row>
    <row r="110" spans="1:36" x14ac:dyDescent="0.35">
      <c r="A110" t="s">
        <v>1494</v>
      </c>
      <c r="B110" t="s">
        <v>1342</v>
      </c>
      <c r="C110" t="s">
        <v>1350</v>
      </c>
      <c r="D110">
        <v>30</v>
      </c>
      <c r="E110" t="s">
        <v>1459</v>
      </c>
      <c r="F110" t="s">
        <v>1400</v>
      </c>
      <c r="G110" t="s">
        <v>1492</v>
      </c>
      <c r="H110">
        <v>1735.2745158554371</v>
      </c>
      <c r="I110">
        <v>1889.7385315022855</v>
      </c>
      <c r="J110">
        <v>1800.5802107775951</v>
      </c>
      <c r="K110">
        <v>1712.1913295949221</v>
      </c>
      <c r="L110">
        <v>1704.4969341747469</v>
      </c>
      <c r="M110">
        <v>1696.8025387545717</v>
      </c>
      <c r="N110">
        <v>1689.1081433343968</v>
      </c>
      <c r="O110">
        <v>1681.4137479142216</v>
      </c>
      <c r="P110">
        <v>1673.7193524940569</v>
      </c>
      <c r="Q110">
        <v>1661.6772042282112</v>
      </c>
      <c r="R110">
        <v>1649.6350559623761</v>
      </c>
      <c r="S110">
        <v>1637.5929076965306</v>
      </c>
      <c r="T110">
        <v>1625.5507594306953</v>
      </c>
      <c r="U110">
        <v>1613.5086111648604</v>
      </c>
      <c r="V110">
        <v>1601.4664628990147</v>
      </c>
      <c r="W110">
        <v>1589.4243146331794</v>
      </c>
      <c r="X110">
        <v>1577.3821663673339</v>
      </c>
      <c r="Y110">
        <v>1565.3400181014988</v>
      </c>
      <c r="Z110">
        <v>1553.2978698356637</v>
      </c>
      <c r="AA110">
        <v>1541.255721569818</v>
      </c>
      <c r="AB110">
        <v>1529.2135733039831</v>
      </c>
      <c r="AC110">
        <v>1517.1714250381372</v>
      </c>
      <c r="AD110">
        <v>1505.1292767723021</v>
      </c>
      <c r="AE110">
        <v>1493.0871285064673</v>
      </c>
      <c r="AF110">
        <v>1481.0449802406213</v>
      </c>
      <c r="AG110">
        <v>1469.0028319747864</v>
      </c>
      <c r="AH110">
        <v>1456.9606837089407</v>
      </c>
      <c r="AI110">
        <v>1444.9185354431056</v>
      </c>
      <c r="AJ110">
        <v>1432.8763871772705</v>
      </c>
    </row>
    <row r="111" spans="1:36" x14ac:dyDescent="0.35">
      <c r="A111" t="s">
        <v>1495</v>
      </c>
      <c r="B111" t="s">
        <v>1342</v>
      </c>
      <c r="C111" t="s">
        <v>1343</v>
      </c>
      <c r="D111">
        <v>30</v>
      </c>
      <c r="E111" t="s">
        <v>1459</v>
      </c>
      <c r="F111" t="s">
        <v>1405</v>
      </c>
      <c r="G111" t="s">
        <v>1496</v>
      </c>
      <c r="H111">
        <v>2334.7858587763239</v>
      </c>
      <c r="I111">
        <v>2470.8283572652799</v>
      </c>
      <c r="J111">
        <v>2280.4466044400101</v>
      </c>
      <c r="K111">
        <v>2097.9590776521995</v>
      </c>
      <c r="L111">
        <v>2019.0168172774986</v>
      </c>
      <c r="M111">
        <v>1940.0745569027868</v>
      </c>
      <c r="N111">
        <v>1861.1322965280858</v>
      </c>
      <c r="O111">
        <v>1782.190036153374</v>
      </c>
      <c r="P111">
        <v>1703.2477757786726</v>
      </c>
      <c r="Q111">
        <v>1681.3137705544075</v>
      </c>
      <c r="R111">
        <v>1659.3797653301424</v>
      </c>
      <c r="S111">
        <v>1637.4457601058878</v>
      </c>
      <c r="T111">
        <v>1615.5117548816227</v>
      </c>
      <c r="U111">
        <v>1593.5777496573576</v>
      </c>
      <c r="V111">
        <v>1571.6437444331029</v>
      </c>
      <c r="W111">
        <v>1549.7097392088378</v>
      </c>
      <c r="X111">
        <v>1527.7757339845728</v>
      </c>
      <c r="Y111">
        <v>1505.8417287603181</v>
      </c>
      <c r="Z111">
        <v>1483.907723536053</v>
      </c>
      <c r="AA111">
        <v>1461.9737183117879</v>
      </c>
      <c r="AB111">
        <v>1440.0397130875331</v>
      </c>
      <c r="AC111">
        <v>1418.105707863268</v>
      </c>
      <c r="AD111">
        <v>1396.1717026390029</v>
      </c>
      <c r="AE111">
        <v>1374.2376974147483</v>
      </c>
      <c r="AF111">
        <v>1352.3036921904832</v>
      </c>
      <c r="AG111">
        <v>1330.3696869662181</v>
      </c>
      <c r="AH111">
        <v>1308.4356817419634</v>
      </c>
      <c r="AI111">
        <v>1286.5016765176983</v>
      </c>
      <c r="AJ111">
        <v>1264.5676712934332</v>
      </c>
    </row>
    <row r="112" spans="1:36" x14ac:dyDescent="0.35">
      <c r="A112" t="s">
        <v>1497</v>
      </c>
      <c r="B112" t="s">
        <v>1342</v>
      </c>
      <c r="C112" t="s">
        <v>1348</v>
      </c>
      <c r="D112">
        <v>30</v>
      </c>
      <c r="E112" t="s">
        <v>1459</v>
      </c>
      <c r="F112" t="s">
        <v>1405</v>
      </c>
      <c r="G112" t="s">
        <v>1496</v>
      </c>
      <c r="H112">
        <v>2334.7858587763239</v>
      </c>
      <c r="I112">
        <v>2490.2187260363703</v>
      </c>
      <c r="J112">
        <v>2317.4645811848236</v>
      </c>
      <c r="K112">
        <v>2150.8419015733803</v>
      </c>
      <c r="L112">
        <v>2089.5272491723917</v>
      </c>
      <c r="M112">
        <v>2028.2125967714142</v>
      </c>
      <c r="N112">
        <v>1966.8979443704256</v>
      </c>
      <c r="O112">
        <v>1905.5832919694476</v>
      </c>
      <c r="P112">
        <v>1844.2686395684593</v>
      </c>
      <c r="Q112">
        <v>1825.2240695273199</v>
      </c>
      <c r="R112">
        <v>1806.17949948617</v>
      </c>
      <c r="S112">
        <v>1787.1349294450199</v>
      </c>
      <c r="T112">
        <v>1768.0903594038703</v>
      </c>
      <c r="U112">
        <v>1749.0457893627308</v>
      </c>
      <c r="V112">
        <v>1730.0012193215809</v>
      </c>
      <c r="W112">
        <v>1710.9566492804311</v>
      </c>
      <c r="X112">
        <v>1691.912079239281</v>
      </c>
      <c r="Y112">
        <v>1672.8675091981418</v>
      </c>
      <c r="Z112">
        <v>1653.8229391569919</v>
      </c>
      <c r="AA112">
        <v>1634.778369115842</v>
      </c>
      <c r="AB112">
        <v>1615.7337990747026</v>
      </c>
      <c r="AC112">
        <v>1596.6892290335527</v>
      </c>
      <c r="AD112">
        <v>1577.6446589924028</v>
      </c>
      <c r="AE112">
        <v>1558.6000889512527</v>
      </c>
      <c r="AF112">
        <v>1539.5555189101135</v>
      </c>
      <c r="AG112">
        <v>1520.5109488689636</v>
      </c>
      <c r="AH112">
        <v>1501.4663788278137</v>
      </c>
      <c r="AI112">
        <v>1482.4218087866743</v>
      </c>
      <c r="AJ112">
        <v>1463.3772387455244</v>
      </c>
    </row>
    <row r="113" spans="1:36" x14ac:dyDescent="0.35">
      <c r="A113" t="s">
        <v>1498</v>
      </c>
      <c r="B113" t="s">
        <v>1342</v>
      </c>
      <c r="C113" t="s">
        <v>1350</v>
      </c>
      <c r="D113">
        <v>30</v>
      </c>
      <c r="E113" t="s">
        <v>1459</v>
      </c>
      <c r="F113" t="s">
        <v>1405</v>
      </c>
      <c r="G113" t="s">
        <v>1496</v>
      </c>
      <c r="H113">
        <v>2334.7858587763239</v>
      </c>
      <c r="I113">
        <v>2534.5084473008778</v>
      </c>
      <c r="J113">
        <v>2402.0176854170518</v>
      </c>
      <c r="K113">
        <v>2271.6320504765526</v>
      </c>
      <c r="L113">
        <v>2250.5807810433066</v>
      </c>
      <c r="M113">
        <v>2229.5295116100492</v>
      </c>
      <c r="N113">
        <v>2208.4782421767914</v>
      </c>
      <c r="O113">
        <v>2187.4269727435349</v>
      </c>
      <c r="P113">
        <v>2166.3757033102775</v>
      </c>
      <c r="Q113">
        <v>2151.4336861415195</v>
      </c>
      <c r="R113">
        <v>2136.4916689727515</v>
      </c>
      <c r="S113">
        <v>2121.5496518039827</v>
      </c>
      <c r="T113">
        <v>2106.6076346352252</v>
      </c>
      <c r="U113">
        <v>2091.6656174664568</v>
      </c>
      <c r="V113">
        <v>2076.7236002976883</v>
      </c>
      <c r="W113">
        <v>2061.7815831289304</v>
      </c>
      <c r="X113">
        <v>2046.8395659601617</v>
      </c>
      <c r="Y113">
        <v>2031.8975487913933</v>
      </c>
      <c r="Z113">
        <v>2016.9555316226356</v>
      </c>
      <c r="AA113">
        <v>2002.0135144538669</v>
      </c>
      <c r="AB113">
        <v>1987.0714972851092</v>
      </c>
      <c r="AC113">
        <v>1972.1294801163408</v>
      </c>
      <c r="AD113">
        <v>1957.1874629475724</v>
      </c>
      <c r="AE113">
        <v>1942.2454457788144</v>
      </c>
      <c r="AF113">
        <v>1927.303428610046</v>
      </c>
      <c r="AG113">
        <v>1912.3614114412778</v>
      </c>
      <c r="AH113">
        <v>1897.4193942725199</v>
      </c>
      <c r="AI113">
        <v>1882.4773771037512</v>
      </c>
      <c r="AJ113">
        <v>1867.535359934983</v>
      </c>
    </row>
    <row r="114" spans="1:36" x14ac:dyDescent="0.35">
      <c r="A114" t="s">
        <v>1499</v>
      </c>
      <c r="B114" t="s">
        <v>1342</v>
      </c>
      <c r="C114" t="s">
        <v>1343</v>
      </c>
      <c r="D114">
        <v>30</v>
      </c>
      <c r="E114" t="s">
        <v>1500</v>
      </c>
      <c r="F114" t="s">
        <v>1501</v>
      </c>
      <c r="G114" t="s">
        <v>1502</v>
      </c>
      <c r="H114">
        <v>8291.660442472079</v>
      </c>
      <c r="I114">
        <v>6708.5891216871123</v>
      </c>
      <c r="J114">
        <v>4999.0302426833487</v>
      </c>
      <c r="K114">
        <v>4285.8553909536186</v>
      </c>
      <c r="L114">
        <v>3769.5455176820724</v>
      </c>
      <c r="M114">
        <v>3321.4345512935229</v>
      </c>
      <c r="N114">
        <v>3039.6303426180884</v>
      </c>
      <c r="O114">
        <v>2751.8601403945177</v>
      </c>
      <c r="P114">
        <v>2456.9416827093214</v>
      </c>
      <c r="Q114">
        <v>2285.3262428411758</v>
      </c>
      <c r="R114">
        <v>2212.9734708073238</v>
      </c>
      <c r="S114">
        <v>2140.4701111197023</v>
      </c>
      <c r="T114">
        <v>2067.810796749694</v>
      </c>
      <c r="U114">
        <v>1994.9899025570421</v>
      </c>
      <c r="V114">
        <v>1922.0015295846222</v>
      </c>
      <c r="W114">
        <v>1848.8394881923402</v>
      </c>
      <c r="X114">
        <v>1775.4972799288207</v>
      </c>
      <c r="Y114">
        <v>1701.9680780292904</v>
      </c>
      <c r="Z114">
        <v>1628.2447064166147</v>
      </c>
      <c r="AA114">
        <v>1578.6083387349536</v>
      </c>
      <c r="AB114">
        <v>1528.853192690764</v>
      </c>
      <c r="AC114">
        <v>1478.9745281313249</v>
      </c>
      <c r="AD114">
        <v>1428.9673492796653</v>
      </c>
      <c r="AE114">
        <v>1378.8263872676312</v>
      </c>
      <c r="AF114">
        <v>1328.5460812168751</v>
      </c>
      <c r="AG114">
        <v>1278.1205577249602</v>
      </c>
      <c r="AH114">
        <v>1234.3487850992724</v>
      </c>
      <c r="AI114">
        <v>1221.880615552815</v>
      </c>
      <c r="AJ114">
        <v>1209.4124460063579</v>
      </c>
    </row>
    <row r="115" spans="1:36" x14ac:dyDescent="0.35">
      <c r="A115" t="s">
        <v>1503</v>
      </c>
      <c r="B115" t="s">
        <v>1342</v>
      </c>
      <c r="C115" t="s">
        <v>1348</v>
      </c>
      <c r="D115">
        <v>30</v>
      </c>
      <c r="E115" t="s">
        <v>1500</v>
      </c>
      <c r="F115" t="s">
        <v>1501</v>
      </c>
      <c r="G115" t="s">
        <v>1502</v>
      </c>
      <c r="H115">
        <v>8291.660442472079</v>
      </c>
      <c r="I115">
        <v>8064.5805399004657</v>
      </c>
      <c r="J115">
        <v>7188.695733629037</v>
      </c>
      <c r="K115">
        <v>6361.3169238860546</v>
      </c>
      <c r="L115">
        <v>5876.256958601597</v>
      </c>
      <c r="M115">
        <v>5391.1969933171395</v>
      </c>
      <c r="N115">
        <v>4906.1370280326837</v>
      </c>
      <c r="O115">
        <v>4421.0770627482261</v>
      </c>
      <c r="P115">
        <v>3931.1066923349144</v>
      </c>
      <c r="Q115">
        <v>3656.521988545881</v>
      </c>
      <c r="R115">
        <v>3540.7575532917185</v>
      </c>
      <c r="S115">
        <v>3424.752177791524</v>
      </c>
      <c r="T115">
        <v>3308.4972747995107</v>
      </c>
      <c r="U115">
        <v>3191.9838440912681</v>
      </c>
      <c r="V115">
        <v>3075.2024473353949</v>
      </c>
      <c r="W115">
        <v>2958.143181107745</v>
      </c>
      <c r="X115">
        <v>2840.7956478861133</v>
      </c>
      <c r="Y115">
        <v>2723.1489248468647</v>
      </c>
      <c r="Z115">
        <v>2605.1915302665834</v>
      </c>
      <c r="AA115">
        <v>2525.7733419759256</v>
      </c>
      <c r="AB115">
        <v>2446.1651083052225</v>
      </c>
      <c r="AC115">
        <v>2366.35924501012</v>
      </c>
      <c r="AD115">
        <v>2286.3477588474648</v>
      </c>
      <c r="AE115">
        <v>2206.1222196282097</v>
      </c>
      <c r="AF115">
        <v>2125.6737299470005</v>
      </c>
      <c r="AG115">
        <v>2044.9928923599361</v>
      </c>
      <c r="AH115">
        <v>1974.9580561588357</v>
      </c>
      <c r="AI115">
        <v>1955.0089848845039</v>
      </c>
      <c r="AJ115">
        <v>1935.0599136101723</v>
      </c>
    </row>
    <row r="116" spans="1:36" x14ac:dyDescent="0.35">
      <c r="A116" t="s">
        <v>1504</v>
      </c>
      <c r="B116" t="s">
        <v>1342</v>
      </c>
      <c r="C116" t="s">
        <v>1350</v>
      </c>
      <c r="D116">
        <v>30</v>
      </c>
      <c r="E116" t="s">
        <v>1500</v>
      </c>
      <c r="F116" t="s">
        <v>1501</v>
      </c>
      <c r="G116" t="s">
        <v>1502</v>
      </c>
      <c r="H116">
        <v>8291.660442472079</v>
      </c>
      <c r="I116">
        <v>8321.5052296672075</v>
      </c>
      <c r="J116">
        <v>7575.0911176115587</v>
      </c>
      <c r="K116">
        <v>6863.7402316838616</v>
      </c>
      <c r="L116">
        <v>6513.107970404335</v>
      </c>
      <c r="M116">
        <v>6162.4757091248084</v>
      </c>
      <c r="N116">
        <v>5811.84344784528</v>
      </c>
      <c r="O116">
        <v>5461.2111865657535</v>
      </c>
      <c r="P116">
        <v>5110.438700035389</v>
      </c>
      <c r="Q116">
        <v>4753.4785851096449</v>
      </c>
      <c r="R116">
        <v>4602.9848192792342</v>
      </c>
      <c r="S116">
        <v>4452.1778311289809</v>
      </c>
      <c r="T116">
        <v>4301.0464572393639</v>
      </c>
      <c r="U116">
        <v>4149.5789973186484</v>
      </c>
      <c r="V116">
        <v>3997.7631815360137</v>
      </c>
      <c r="W116">
        <v>3845.5861354400681</v>
      </c>
      <c r="X116">
        <v>3693.0343422519477</v>
      </c>
      <c r="Y116">
        <v>3540.0936023009244</v>
      </c>
      <c r="Z116">
        <v>3386.748989346559</v>
      </c>
      <c r="AA116">
        <v>3283.505344568704</v>
      </c>
      <c r="AB116">
        <v>3180.0146407967895</v>
      </c>
      <c r="AC116">
        <v>3076.2670185131556</v>
      </c>
      <c r="AD116">
        <v>2972.2520865017045</v>
      </c>
      <c r="AE116">
        <v>2867.958885516673</v>
      </c>
      <c r="AF116">
        <v>2763.3758489311008</v>
      </c>
      <c r="AG116">
        <v>2658.4907600679171</v>
      </c>
      <c r="AH116">
        <v>2567.4454730064867</v>
      </c>
      <c r="AI116">
        <v>2541.5116803498554</v>
      </c>
      <c r="AJ116">
        <v>2515.5778876932241</v>
      </c>
    </row>
    <row r="117" spans="1:36" x14ac:dyDescent="0.35">
      <c r="A117" t="s">
        <v>1505</v>
      </c>
      <c r="B117" t="s">
        <v>1342</v>
      </c>
      <c r="C117" t="s">
        <v>1343</v>
      </c>
      <c r="D117">
        <v>30</v>
      </c>
      <c r="E117" t="s">
        <v>1500</v>
      </c>
      <c r="F117" t="s">
        <v>1506</v>
      </c>
      <c r="G117" t="s">
        <v>1507</v>
      </c>
      <c r="H117">
        <v>6225.9086060556428</v>
      </c>
      <c r="I117">
        <v>5037.237479390873</v>
      </c>
      <c r="J117">
        <v>4152.2315232804476</v>
      </c>
      <c r="K117">
        <v>3494.1166948374598</v>
      </c>
      <c r="L117">
        <v>3105.9785148679794</v>
      </c>
      <c r="M117">
        <v>2771.4935568334331</v>
      </c>
      <c r="N117">
        <v>2575.3059047797847</v>
      </c>
      <c r="O117">
        <v>2375.7159465793652</v>
      </c>
      <c r="P117">
        <v>2172.0696403120173</v>
      </c>
      <c r="Q117">
        <v>2018.5206930949066</v>
      </c>
      <c r="R117">
        <v>1952.7198730009179</v>
      </c>
      <c r="S117">
        <v>1886.7802808621898</v>
      </c>
      <c r="T117">
        <v>1820.6969707650526</v>
      </c>
      <c r="U117">
        <v>1754.4647589364959</v>
      </c>
      <c r="V117">
        <v>1688.0782092712254</v>
      </c>
      <c r="W117">
        <v>1621.5316177889304</v>
      </c>
      <c r="X117">
        <v>1554.8189959283825</v>
      </c>
      <c r="Y117">
        <v>1487.9340525755158</v>
      </c>
      <c r="Z117">
        <v>1420.8701747121177</v>
      </c>
      <c r="AA117">
        <v>1375.494602453728</v>
      </c>
      <c r="AB117">
        <v>1330.0076679271453</v>
      </c>
      <c r="AC117">
        <v>1284.404926937759</v>
      </c>
      <c r="AD117">
        <v>1238.6816956269679</v>
      </c>
      <c r="AE117">
        <v>1192.8330340958212</v>
      </c>
      <c r="AF117">
        <v>1146.8537286672424</v>
      </c>
      <c r="AG117">
        <v>1100.7382726529468</v>
      </c>
      <c r="AH117">
        <v>1068.9384596689645</v>
      </c>
      <c r="AI117">
        <v>1056.0596830464467</v>
      </c>
      <c r="AJ117">
        <v>1043.1809064239292</v>
      </c>
    </row>
    <row r="118" spans="1:36" x14ac:dyDescent="0.35">
      <c r="A118" t="s">
        <v>1508</v>
      </c>
      <c r="B118" t="s">
        <v>1342</v>
      </c>
      <c r="C118" t="s">
        <v>1348</v>
      </c>
      <c r="D118">
        <v>30</v>
      </c>
      <c r="E118" t="s">
        <v>1500</v>
      </c>
      <c r="F118" t="s">
        <v>1506</v>
      </c>
      <c r="G118" t="s">
        <v>1507</v>
      </c>
      <c r="H118">
        <v>6225.9086060556428</v>
      </c>
      <c r="I118">
        <v>6055.4025018209422</v>
      </c>
      <c r="J118">
        <v>5397.8781502923321</v>
      </c>
      <c r="K118">
        <v>4776.761301931725</v>
      </c>
      <c r="L118">
        <v>4412.6862702517055</v>
      </c>
      <c r="M118">
        <v>4048.6112385716856</v>
      </c>
      <c r="N118">
        <v>3684.5362068916661</v>
      </c>
      <c r="O118">
        <v>3320.4611752116462</v>
      </c>
      <c r="P118">
        <v>2956.3861435316262</v>
      </c>
      <c r="Q118">
        <v>2911.9847877582702</v>
      </c>
      <c r="R118">
        <v>2812.8716216915041</v>
      </c>
      <c r="S118">
        <v>2713.758455624738</v>
      </c>
      <c r="T118">
        <v>2614.64528955797</v>
      </c>
      <c r="U118">
        <v>2515.5321234912035</v>
      </c>
      <c r="V118">
        <v>2416.4189574244365</v>
      </c>
      <c r="W118">
        <v>2317.3057913576708</v>
      </c>
      <c r="X118">
        <v>2270.0357340554388</v>
      </c>
      <c r="Y118">
        <v>2172.3837167602528</v>
      </c>
      <c r="Z118">
        <v>2074.4704550796914</v>
      </c>
      <c r="AA118">
        <v>2035.26237474492</v>
      </c>
      <c r="AB118">
        <v>1996.0542944101487</v>
      </c>
      <c r="AC118">
        <v>1956.8462140753775</v>
      </c>
      <c r="AD118">
        <v>1917.638133740606</v>
      </c>
      <c r="AE118">
        <v>1878.4300534058348</v>
      </c>
      <c r="AF118">
        <v>1839.2219730710633</v>
      </c>
      <c r="AG118">
        <v>1800.0138927362918</v>
      </c>
      <c r="AH118">
        <v>1760.8058124015206</v>
      </c>
      <c r="AI118">
        <v>1721.5977320667494</v>
      </c>
      <c r="AJ118">
        <v>1682.3896517319779</v>
      </c>
    </row>
    <row r="119" spans="1:36" x14ac:dyDescent="0.35">
      <c r="A119" t="s">
        <v>1509</v>
      </c>
      <c r="B119" t="s">
        <v>1342</v>
      </c>
      <c r="C119" t="s">
        <v>1350</v>
      </c>
      <c r="D119">
        <v>30</v>
      </c>
      <c r="E119" t="s">
        <v>1500</v>
      </c>
      <c r="F119" t="s">
        <v>1506</v>
      </c>
      <c r="G119" t="s">
        <v>1507</v>
      </c>
      <c r="H119">
        <v>6225.9086060556428</v>
      </c>
      <c r="I119">
        <v>6530.9459529062024</v>
      </c>
      <c r="J119">
        <v>5998.8362912200191</v>
      </c>
      <c r="K119">
        <v>5433.1197035326031</v>
      </c>
      <c r="L119">
        <v>5153.0619868556651</v>
      </c>
      <c r="M119">
        <v>4873.004270178727</v>
      </c>
      <c r="N119">
        <v>4592.946553501788</v>
      </c>
      <c r="O119">
        <v>4312.8888368248499</v>
      </c>
      <c r="P119">
        <v>4088.8426634832999</v>
      </c>
      <c r="Q119">
        <v>4000.3444250133871</v>
      </c>
      <c r="R119">
        <v>3911.8461865434747</v>
      </c>
      <c r="S119">
        <v>3823.3479480735623</v>
      </c>
      <c r="T119">
        <v>3734.8497096036494</v>
      </c>
      <c r="U119">
        <v>3646.351471133737</v>
      </c>
      <c r="V119">
        <v>3557.8532326638247</v>
      </c>
      <c r="W119">
        <v>3469.3549941939123</v>
      </c>
      <c r="X119">
        <v>3380.8567557239994</v>
      </c>
      <c r="Y119">
        <v>3292.358517254087</v>
      </c>
      <c r="Z119">
        <v>3203.8602787841746</v>
      </c>
      <c r="AA119">
        <v>3115.3620403142618</v>
      </c>
      <c r="AB119">
        <v>3026.8638018443494</v>
      </c>
      <c r="AC119">
        <v>2938.365563374437</v>
      </c>
      <c r="AD119">
        <v>2849.8673249045241</v>
      </c>
      <c r="AE119">
        <v>2761.3690864346122</v>
      </c>
      <c r="AF119">
        <v>2672.8708479646994</v>
      </c>
      <c r="AG119">
        <v>2584.3726094947865</v>
      </c>
      <c r="AH119">
        <v>2495.8743710248746</v>
      </c>
      <c r="AI119">
        <v>2407.3761325549617</v>
      </c>
      <c r="AJ119">
        <v>2318.8778940850498</v>
      </c>
    </row>
    <row r="120" spans="1:36" x14ac:dyDescent="0.35">
      <c r="A120" t="s">
        <v>1510</v>
      </c>
      <c r="B120" t="s">
        <v>1342</v>
      </c>
      <c r="C120" t="s">
        <v>1343</v>
      </c>
      <c r="D120">
        <v>30</v>
      </c>
      <c r="E120" t="s">
        <v>1500</v>
      </c>
      <c r="F120" t="s">
        <v>1511</v>
      </c>
      <c r="G120" t="s">
        <v>1512</v>
      </c>
      <c r="H120">
        <v>4042.3620426706452</v>
      </c>
      <c r="I120">
        <v>3388.6983717909538</v>
      </c>
      <c r="J120">
        <v>3058.2302661121666</v>
      </c>
      <c r="K120">
        <v>2679.5922331649458</v>
      </c>
      <c r="L120">
        <v>2446.5842128897334</v>
      </c>
      <c r="M120">
        <v>2213.5761926145206</v>
      </c>
      <c r="N120">
        <v>1980.5681723393077</v>
      </c>
      <c r="O120">
        <v>1747.5601520640953</v>
      </c>
      <c r="P120">
        <v>1677.5545781547041</v>
      </c>
      <c r="Q120">
        <v>1578.8338380545854</v>
      </c>
      <c r="R120">
        <v>1547.9427591386575</v>
      </c>
      <c r="S120">
        <v>1517.0057345905227</v>
      </c>
      <c r="T120">
        <v>1486.0211268820265</v>
      </c>
      <c r="U120">
        <v>1454.9872197328566</v>
      </c>
      <c r="V120">
        <v>1423.9022133187425</v>
      </c>
      <c r="W120">
        <v>1392.7642191254497</v>
      </c>
      <c r="X120">
        <v>1361.5712544176802</v>
      </c>
      <c r="Y120">
        <v>1330.3212362887978</v>
      </c>
      <c r="Z120">
        <v>1299.0119752538562</v>
      </c>
      <c r="AA120">
        <v>1284.4467332148711</v>
      </c>
      <c r="AB120">
        <v>1269.8804046101288</v>
      </c>
      <c r="AC120">
        <v>1255.3129460774583</v>
      </c>
      <c r="AD120">
        <v>1240.7443119162801</v>
      </c>
      <c r="AE120">
        <v>1226.1744539278163</v>
      </c>
      <c r="AF120">
        <v>1211.6033212420286</v>
      </c>
      <c r="AG120">
        <v>1197.0308601299555</v>
      </c>
      <c r="AH120">
        <v>1173.301804018033</v>
      </c>
      <c r="AI120">
        <v>1157.3385141674473</v>
      </c>
      <c r="AJ120">
        <v>1141.3752243168622</v>
      </c>
    </row>
    <row r="121" spans="1:36" x14ac:dyDescent="0.35">
      <c r="A121" t="s">
        <v>1513</v>
      </c>
      <c r="B121" t="s">
        <v>1342</v>
      </c>
      <c r="C121" t="s">
        <v>1348</v>
      </c>
      <c r="D121">
        <v>30</v>
      </c>
      <c r="E121" t="s">
        <v>1500</v>
      </c>
      <c r="F121" t="s">
        <v>1511</v>
      </c>
      <c r="G121" t="s">
        <v>1512</v>
      </c>
      <c r="H121">
        <v>4042.3620426706452</v>
      </c>
      <c r="I121">
        <v>3931.6557269480527</v>
      </c>
      <c r="J121">
        <v>3557.6878629287066</v>
      </c>
      <c r="K121">
        <v>3202.3158312967098</v>
      </c>
      <c r="L121">
        <v>3016.3575074232226</v>
      </c>
      <c r="M121">
        <v>2830.3991835497359</v>
      </c>
      <c r="N121">
        <v>2644.4408596762487</v>
      </c>
      <c r="O121">
        <v>2458.4825358027615</v>
      </c>
      <c r="P121">
        <v>2371.6407679069839</v>
      </c>
      <c r="Q121">
        <v>2330.976387445492</v>
      </c>
      <c r="R121">
        <v>2290.3120069840011</v>
      </c>
      <c r="S121">
        <v>2249.6476265225092</v>
      </c>
      <c r="T121">
        <v>2208.9832460610182</v>
      </c>
      <c r="U121">
        <v>2168.3188655995264</v>
      </c>
      <c r="V121">
        <v>2127.6544851380354</v>
      </c>
      <c r="W121">
        <v>2086.990104676544</v>
      </c>
      <c r="X121">
        <v>2046.3257242150526</v>
      </c>
      <c r="Y121">
        <v>2005.6613437535611</v>
      </c>
      <c r="Z121">
        <v>1964.9969632920699</v>
      </c>
      <c r="AA121">
        <v>1924.3325828305785</v>
      </c>
      <c r="AB121">
        <v>1883.6682023690871</v>
      </c>
      <c r="AC121">
        <v>1843.0038219075957</v>
      </c>
      <c r="AD121">
        <v>1802.3394414461043</v>
      </c>
      <c r="AE121">
        <v>1761.6750609846126</v>
      </c>
      <c r="AF121">
        <v>1721.0106805231212</v>
      </c>
      <c r="AG121">
        <v>1680.3463000616298</v>
      </c>
      <c r="AH121">
        <v>1680.3463000616298</v>
      </c>
      <c r="AI121">
        <v>1680.3463000616298</v>
      </c>
      <c r="AJ121">
        <v>1680.3463000616298</v>
      </c>
    </row>
    <row r="122" spans="1:36" x14ac:dyDescent="0.35">
      <c r="A122" t="s">
        <v>1514</v>
      </c>
      <c r="B122" t="s">
        <v>1342</v>
      </c>
      <c r="C122" t="s">
        <v>1350</v>
      </c>
      <c r="D122">
        <v>30</v>
      </c>
      <c r="E122" t="s">
        <v>1500</v>
      </c>
      <c r="F122" t="s">
        <v>1511</v>
      </c>
      <c r="G122" t="s">
        <v>1512</v>
      </c>
      <c r="H122">
        <v>4042.3620426706452</v>
      </c>
      <c r="I122">
        <v>4056.912015594186</v>
      </c>
      <c r="J122">
        <v>3743.1202588715223</v>
      </c>
      <c r="K122">
        <v>3441.651041682645</v>
      </c>
      <c r="L122">
        <v>3318.4256463447919</v>
      </c>
      <c r="M122">
        <v>3195.2002510069392</v>
      </c>
      <c r="N122">
        <v>3071.9748556690861</v>
      </c>
      <c r="O122">
        <v>2948.749460331233</v>
      </c>
      <c r="P122">
        <v>2845.9689214883806</v>
      </c>
      <c r="Q122">
        <v>2797.1716649345908</v>
      </c>
      <c r="R122">
        <v>2748.374408380801</v>
      </c>
      <c r="S122">
        <v>2699.5771518270117</v>
      </c>
      <c r="T122">
        <v>2650.7798952732219</v>
      </c>
      <c r="U122">
        <v>2601.9826387194321</v>
      </c>
      <c r="V122">
        <v>2553.1853821656423</v>
      </c>
      <c r="W122">
        <v>2504.3881256118525</v>
      </c>
      <c r="X122">
        <v>2455.5908690580632</v>
      </c>
      <c r="Y122">
        <v>2406.7936125042734</v>
      </c>
      <c r="Z122">
        <v>2357.996355950484</v>
      </c>
      <c r="AA122">
        <v>2309.1990993966942</v>
      </c>
      <c r="AB122">
        <v>2260.401842842904</v>
      </c>
      <c r="AC122">
        <v>2211.6045862891146</v>
      </c>
      <c r="AD122">
        <v>2162.8073297353249</v>
      </c>
      <c r="AE122">
        <v>2114.0100731815355</v>
      </c>
      <c r="AF122">
        <v>2065.2128166277457</v>
      </c>
      <c r="AG122">
        <v>2016.4155600739562</v>
      </c>
      <c r="AH122">
        <v>2016.4155600739562</v>
      </c>
      <c r="AI122">
        <v>2016.4155600739562</v>
      </c>
      <c r="AJ122">
        <v>2016.4155600739562</v>
      </c>
    </row>
    <row r="123" spans="1:36" x14ac:dyDescent="0.35">
      <c r="A123" t="s">
        <v>1515</v>
      </c>
      <c r="B123" t="s">
        <v>1342</v>
      </c>
      <c r="C123" t="s">
        <v>1343</v>
      </c>
      <c r="D123">
        <v>30</v>
      </c>
      <c r="E123" t="s">
        <v>1500</v>
      </c>
      <c r="F123" t="s">
        <v>1516</v>
      </c>
      <c r="G123" t="s">
        <v>1517</v>
      </c>
      <c r="H123">
        <v>3217.8415751301068</v>
      </c>
      <c r="I123">
        <v>2603.4805858251416</v>
      </c>
      <c r="J123">
        <v>2161.1401861076138</v>
      </c>
      <c r="K123">
        <v>1749.6569647795254</v>
      </c>
      <c r="L123">
        <v>1709.1382143307058</v>
      </c>
      <c r="M123">
        <v>1668.6194638818863</v>
      </c>
      <c r="N123">
        <v>1628.1007134330669</v>
      </c>
      <c r="O123">
        <v>1587.5819629842472</v>
      </c>
      <c r="P123">
        <v>1547.0632125354277</v>
      </c>
      <c r="Q123">
        <v>1506.5444620866083</v>
      </c>
      <c r="R123">
        <v>1491.4790174657423</v>
      </c>
      <c r="S123">
        <v>1476.4135728448762</v>
      </c>
      <c r="T123">
        <v>1461.3481282240102</v>
      </c>
      <c r="U123">
        <v>1446.2826836031441</v>
      </c>
      <c r="V123">
        <v>1431.2172389822776</v>
      </c>
      <c r="W123">
        <v>1416.1517943614117</v>
      </c>
      <c r="X123">
        <v>1401.0863497405455</v>
      </c>
      <c r="Y123">
        <v>1386.0209051196796</v>
      </c>
      <c r="Z123">
        <v>1370.9554604988132</v>
      </c>
      <c r="AA123">
        <v>1355.8900158779468</v>
      </c>
      <c r="AB123">
        <v>1340.8245712570808</v>
      </c>
      <c r="AC123">
        <v>1325.7591266362147</v>
      </c>
      <c r="AD123">
        <v>1310.6936820153487</v>
      </c>
      <c r="AE123">
        <v>1295.6282373944825</v>
      </c>
      <c r="AF123">
        <v>1280.5627927736164</v>
      </c>
      <c r="AG123">
        <v>1265.4973481527502</v>
      </c>
      <c r="AH123">
        <v>1250.431903531884</v>
      </c>
      <c r="AI123">
        <v>1235.3664589110181</v>
      </c>
      <c r="AJ123">
        <v>1232.2539533785286</v>
      </c>
    </row>
    <row r="124" spans="1:36" x14ac:dyDescent="0.35">
      <c r="A124" t="s">
        <v>1518</v>
      </c>
      <c r="B124" t="s">
        <v>1342</v>
      </c>
      <c r="C124" t="s">
        <v>1348</v>
      </c>
      <c r="D124">
        <v>30</v>
      </c>
      <c r="E124" t="s">
        <v>1500</v>
      </c>
      <c r="F124" t="s">
        <v>1516</v>
      </c>
      <c r="G124" t="s">
        <v>1517</v>
      </c>
      <c r="H124">
        <v>3217.8415751301068</v>
      </c>
      <c r="I124">
        <v>3129.7160233855425</v>
      </c>
      <c r="J124">
        <v>2706.2403786625837</v>
      </c>
      <c r="K124">
        <v>2309.5471935089736</v>
      </c>
      <c r="L124">
        <v>2256.0624429165323</v>
      </c>
      <c r="M124">
        <v>2202.5776923240901</v>
      </c>
      <c r="N124">
        <v>2149.0929417316484</v>
      </c>
      <c r="O124">
        <v>2095.6081911392066</v>
      </c>
      <c r="P124">
        <v>2042.1234405467649</v>
      </c>
      <c r="Q124">
        <v>1988.6386899543227</v>
      </c>
      <c r="R124">
        <v>1968.7523030547798</v>
      </c>
      <c r="S124">
        <v>1948.8659161552364</v>
      </c>
      <c r="T124">
        <v>1928.9795292556935</v>
      </c>
      <c r="U124">
        <v>1909.0931423561501</v>
      </c>
      <c r="V124">
        <v>1889.2067554566065</v>
      </c>
      <c r="W124">
        <v>1869.3203685570636</v>
      </c>
      <c r="X124">
        <v>1849.4339816575202</v>
      </c>
      <c r="Y124">
        <v>1829.5475947579771</v>
      </c>
      <c r="Z124">
        <v>1809.6612078584333</v>
      </c>
      <c r="AA124">
        <v>1789.7748209588897</v>
      </c>
      <c r="AB124">
        <v>1769.8884340593468</v>
      </c>
      <c r="AC124">
        <v>1750.0020471598034</v>
      </c>
      <c r="AD124">
        <v>1730.1156602602605</v>
      </c>
      <c r="AE124">
        <v>1710.2292733607171</v>
      </c>
      <c r="AF124">
        <v>1690.3428864611735</v>
      </c>
      <c r="AG124">
        <v>1670.4564995616302</v>
      </c>
      <c r="AH124">
        <v>1650.570112662087</v>
      </c>
      <c r="AI124">
        <v>1630.6837257625439</v>
      </c>
      <c r="AJ124">
        <v>1626.5752184596579</v>
      </c>
    </row>
    <row r="125" spans="1:36" x14ac:dyDescent="0.35">
      <c r="A125" t="s">
        <v>1519</v>
      </c>
      <c r="B125" t="s">
        <v>1342</v>
      </c>
      <c r="C125" t="s">
        <v>1350</v>
      </c>
      <c r="D125">
        <v>30</v>
      </c>
      <c r="E125" t="s">
        <v>1500</v>
      </c>
      <c r="F125" t="s">
        <v>1516</v>
      </c>
      <c r="G125" t="s">
        <v>1517</v>
      </c>
      <c r="H125">
        <v>3217.8415751301068</v>
      </c>
      <c r="I125">
        <v>3229.4237905022496</v>
      </c>
      <c r="J125">
        <v>3006.1760433720701</v>
      </c>
      <c r="K125">
        <v>2790.2097968754915</v>
      </c>
      <c r="L125">
        <v>2717.3947905394875</v>
      </c>
      <c r="M125">
        <v>2644.5797842034835</v>
      </c>
      <c r="N125">
        <v>2571.7647778674796</v>
      </c>
      <c r="O125">
        <v>2498.9497715314751</v>
      </c>
      <c r="P125">
        <v>2426.1347651954716</v>
      </c>
      <c r="Q125">
        <v>2386.3664279451873</v>
      </c>
      <c r="R125">
        <v>2362.5027636657355</v>
      </c>
      <c r="S125">
        <v>2338.6390993862833</v>
      </c>
      <c r="T125">
        <v>2314.775435106832</v>
      </c>
      <c r="U125">
        <v>2290.9117708273798</v>
      </c>
      <c r="V125">
        <v>2267.048106547928</v>
      </c>
      <c r="W125">
        <v>2243.1844422684762</v>
      </c>
      <c r="X125">
        <v>2219.3207779890245</v>
      </c>
      <c r="Y125">
        <v>2195.4571137095722</v>
      </c>
      <c r="Z125">
        <v>2171.5934494301196</v>
      </c>
      <c r="AA125">
        <v>2147.7297851506678</v>
      </c>
      <c r="AB125">
        <v>2123.866120871216</v>
      </c>
      <c r="AC125">
        <v>2100.0024565917638</v>
      </c>
      <c r="AD125">
        <v>2076.1387923123125</v>
      </c>
      <c r="AE125">
        <v>2052.2751280328603</v>
      </c>
      <c r="AF125">
        <v>2028.4114637534083</v>
      </c>
      <c r="AG125">
        <v>2004.5477994739563</v>
      </c>
      <c r="AH125">
        <v>1980.6841351945045</v>
      </c>
      <c r="AI125">
        <v>1956.8204709150527</v>
      </c>
      <c r="AJ125">
        <v>1951.8902621515892</v>
      </c>
    </row>
    <row r="126" spans="1:36" x14ac:dyDescent="0.35">
      <c r="A126" t="s">
        <v>1520</v>
      </c>
      <c r="B126" t="s">
        <v>1342</v>
      </c>
      <c r="C126" t="s">
        <v>1343</v>
      </c>
      <c r="D126">
        <v>30</v>
      </c>
      <c r="E126" t="s">
        <v>1500</v>
      </c>
      <c r="F126" t="s">
        <v>1521</v>
      </c>
      <c r="G126" t="s">
        <v>1522</v>
      </c>
      <c r="H126">
        <v>8291.660442472079</v>
      </c>
      <c r="I126">
        <v>6708.5891216871123</v>
      </c>
      <c r="J126">
        <v>4999.0302426833487</v>
      </c>
      <c r="K126">
        <v>4285.8553909536186</v>
      </c>
      <c r="L126">
        <v>3769.5455176820724</v>
      </c>
      <c r="M126">
        <v>3321.4345512935229</v>
      </c>
      <c r="N126">
        <v>3039.6303426180884</v>
      </c>
      <c r="O126">
        <v>2751.8601403945177</v>
      </c>
      <c r="P126">
        <v>2456.9416827093214</v>
      </c>
      <c r="Q126">
        <v>2285.3262428411758</v>
      </c>
      <c r="R126">
        <v>2212.9734708073238</v>
      </c>
      <c r="S126">
        <v>2140.4701111197023</v>
      </c>
      <c r="T126">
        <v>2067.810796749694</v>
      </c>
      <c r="U126">
        <v>1994.9899025570421</v>
      </c>
      <c r="V126">
        <v>1922.0015295846222</v>
      </c>
      <c r="W126">
        <v>1848.8394881923402</v>
      </c>
      <c r="X126">
        <v>1775.4972799288207</v>
      </c>
      <c r="Y126">
        <v>1701.9680780292904</v>
      </c>
      <c r="Z126">
        <v>1628.2447064166147</v>
      </c>
      <c r="AA126">
        <v>1578.6083387349536</v>
      </c>
      <c r="AB126">
        <v>1528.853192690764</v>
      </c>
      <c r="AC126">
        <v>1478.9745281313249</v>
      </c>
      <c r="AD126">
        <v>1428.9673492796653</v>
      </c>
      <c r="AE126">
        <v>1378.8263872676312</v>
      </c>
      <c r="AF126">
        <v>1328.5460812168751</v>
      </c>
      <c r="AG126">
        <v>1278.1205577249602</v>
      </c>
      <c r="AH126">
        <v>1234.3487850992724</v>
      </c>
      <c r="AI126">
        <v>1221.880615552815</v>
      </c>
      <c r="AJ126">
        <v>1209.4124460063579</v>
      </c>
    </row>
    <row r="127" spans="1:36" x14ac:dyDescent="0.35">
      <c r="A127" t="s">
        <v>1523</v>
      </c>
      <c r="B127" t="s">
        <v>1342</v>
      </c>
      <c r="C127" t="s">
        <v>1348</v>
      </c>
      <c r="D127">
        <v>30</v>
      </c>
      <c r="E127" t="s">
        <v>1500</v>
      </c>
      <c r="F127" t="s">
        <v>1521</v>
      </c>
      <c r="G127" t="s">
        <v>1522</v>
      </c>
      <c r="H127">
        <v>8291.660442472079</v>
      </c>
      <c r="I127">
        <v>8064.5805399004657</v>
      </c>
      <c r="J127">
        <v>7188.695733629037</v>
      </c>
      <c r="K127">
        <v>6361.3169238860546</v>
      </c>
      <c r="L127">
        <v>5876.256958601597</v>
      </c>
      <c r="M127">
        <v>5391.1969933171395</v>
      </c>
      <c r="N127">
        <v>4906.1370280326837</v>
      </c>
      <c r="O127">
        <v>4421.0770627482261</v>
      </c>
      <c r="P127">
        <v>3931.1066923349144</v>
      </c>
      <c r="Q127">
        <v>3656.521988545881</v>
      </c>
      <c r="R127">
        <v>3540.7575532917185</v>
      </c>
      <c r="S127">
        <v>3424.752177791524</v>
      </c>
      <c r="T127">
        <v>3308.4972747995107</v>
      </c>
      <c r="U127">
        <v>3191.9838440912681</v>
      </c>
      <c r="V127">
        <v>3075.2024473353949</v>
      </c>
      <c r="W127">
        <v>2958.143181107745</v>
      </c>
      <c r="X127">
        <v>2840.7956478861133</v>
      </c>
      <c r="Y127">
        <v>2723.1489248468647</v>
      </c>
      <c r="Z127">
        <v>2605.1915302665834</v>
      </c>
      <c r="AA127">
        <v>2525.7733419759256</v>
      </c>
      <c r="AB127">
        <v>2446.1651083052225</v>
      </c>
      <c r="AC127">
        <v>2366.35924501012</v>
      </c>
      <c r="AD127">
        <v>2286.3477588474648</v>
      </c>
      <c r="AE127">
        <v>2206.1222196282097</v>
      </c>
      <c r="AF127">
        <v>2125.6737299470005</v>
      </c>
      <c r="AG127">
        <v>2044.9928923599361</v>
      </c>
      <c r="AH127">
        <v>1974.9580561588357</v>
      </c>
      <c r="AI127">
        <v>1955.0089848845039</v>
      </c>
      <c r="AJ127">
        <v>1935.0599136101723</v>
      </c>
    </row>
    <row r="128" spans="1:36" x14ac:dyDescent="0.35">
      <c r="A128" t="s">
        <v>1524</v>
      </c>
      <c r="B128" t="s">
        <v>1342</v>
      </c>
      <c r="C128" t="s">
        <v>1350</v>
      </c>
      <c r="D128">
        <v>30</v>
      </c>
      <c r="E128" t="s">
        <v>1500</v>
      </c>
      <c r="F128" t="s">
        <v>1521</v>
      </c>
      <c r="G128" t="s">
        <v>1522</v>
      </c>
      <c r="H128">
        <v>8291.660442472079</v>
      </c>
      <c r="I128">
        <v>8321.5052296672075</v>
      </c>
      <c r="J128">
        <v>7575.0911176115587</v>
      </c>
      <c r="K128">
        <v>6863.7402316838616</v>
      </c>
      <c r="L128">
        <v>6513.107970404335</v>
      </c>
      <c r="M128">
        <v>6162.4757091248084</v>
      </c>
      <c r="N128">
        <v>5811.84344784528</v>
      </c>
      <c r="O128">
        <v>5461.2111865657535</v>
      </c>
      <c r="P128">
        <v>5110.438700035389</v>
      </c>
      <c r="Q128">
        <v>4753.4785851096449</v>
      </c>
      <c r="R128">
        <v>4602.9848192792342</v>
      </c>
      <c r="S128">
        <v>4452.1778311289809</v>
      </c>
      <c r="T128">
        <v>4301.0464572393639</v>
      </c>
      <c r="U128">
        <v>4149.5789973186484</v>
      </c>
      <c r="V128">
        <v>3997.7631815360137</v>
      </c>
      <c r="W128">
        <v>3845.5861354400681</v>
      </c>
      <c r="X128">
        <v>3693.0343422519477</v>
      </c>
      <c r="Y128">
        <v>3540.0936023009244</v>
      </c>
      <c r="Z128">
        <v>3386.748989346559</v>
      </c>
      <c r="AA128">
        <v>3283.505344568704</v>
      </c>
      <c r="AB128">
        <v>3180.0146407967895</v>
      </c>
      <c r="AC128">
        <v>3076.2670185131556</v>
      </c>
      <c r="AD128">
        <v>2972.2520865017045</v>
      </c>
      <c r="AE128">
        <v>2867.958885516673</v>
      </c>
      <c r="AF128">
        <v>2763.3758489311008</v>
      </c>
      <c r="AG128">
        <v>2658.4907600679171</v>
      </c>
      <c r="AH128">
        <v>2567.4454730064867</v>
      </c>
      <c r="AI128">
        <v>2541.5116803498554</v>
      </c>
      <c r="AJ128">
        <v>2515.5778876932241</v>
      </c>
    </row>
    <row r="129" spans="1:36" x14ac:dyDescent="0.35">
      <c r="A129" t="s">
        <v>1525</v>
      </c>
      <c r="B129" t="s">
        <v>1342</v>
      </c>
      <c r="C129" t="s">
        <v>1343</v>
      </c>
      <c r="D129">
        <v>30</v>
      </c>
      <c r="E129" t="s">
        <v>1500</v>
      </c>
      <c r="F129" t="s">
        <v>1526</v>
      </c>
      <c r="G129" t="s">
        <v>1527</v>
      </c>
      <c r="H129">
        <v>6225.9086060556428</v>
      </c>
      <c r="I129">
        <v>5037.237479390873</v>
      </c>
      <c r="J129">
        <v>4152.2315232804476</v>
      </c>
      <c r="K129">
        <v>3494.1166948374598</v>
      </c>
      <c r="L129">
        <v>3105.9785148679794</v>
      </c>
      <c r="M129">
        <v>2771.4935568334331</v>
      </c>
      <c r="N129">
        <v>2575.3059047797847</v>
      </c>
      <c r="O129">
        <v>2375.7159465793652</v>
      </c>
      <c r="P129">
        <v>2172.0696403120173</v>
      </c>
      <c r="Q129">
        <v>2018.5206930949066</v>
      </c>
      <c r="R129">
        <v>1952.7198730009179</v>
      </c>
      <c r="S129">
        <v>1886.7802808621898</v>
      </c>
      <c r="T129">
        <v>1820.6969707650526</v>
      </c>
      <c r="U129">
        <v>1754.4647589364959</v>
      </c>
      <c r="V129">
        <v>1688.0782092712254</v>
      </c>
      <c r="W129">
        <v>1621.5316177889304</v>
      </c>
      <c r="X129">
        <v>1554.8189959283825</v>
      </c>
      <c r="Y129">
        <v>1487.9340525755158</v>
      </c>
      <c r="Z129">
        <v>1420.8701747121177</v>
      </c>
      <c r="AA129">
        <v>1375.494602453728</v>
      </c>
      <c r="AB129">
        <v>1330.0076679271453</v>
      </c>
      <c r="AC129">
        <v>1284.404926937759</v>
      </c>
      <c r="AD129">
        <v>1238.6816956269679</v>
      </c>
      <c r="AE129">
        <v>1192.8330340958212</v>
      </c>
      <c r="AF129">
        <v>1146.8537286672424</v>
      </c>
      <c r="AG129">
        <v>1100.7382726529468</v>
      </c>
      <c r="AH129">
        <v>1068.9384596689645</v>
      </c>
      <c r="AI129">
        <v>1056.0596830464467</v>
      </c>
      <c r="AJ129">
        <v>1043.1809064239292</v>
      </c>
    </row>
    <row r="130" spans="1:36" x14ac:dyDescent="0.35">
      <c r="A130" t="s">
        <v>1528</v>
      </c>
      <c r="B130" t="s">
        <v>1342</v>
      </c>
      <c r="C130" t="s">
        <v>1348</v>
      </c>
      <c r="D130">
        <v>30</v>
      </c>
      <c r="E130" t="s">
        <v>1500</v>
      </c>
      <c r="F130" t="s">
        <v>1526</v>
      </c>
      <c r="G130" t="s">
        <v>1527</v>
      </c>
      <c r="H130">
        <v>6225.9086060556428</v>
      </c>
      <c r="I130">
        <v>6055.4025018209422</v>
      </c>
      <c r="J130">
        <v>5397.8781502923321</v>
      </c>
      <c r="K130">
        <v>4776.761301931725</v>
      </c>
      <c r="L130">
        <v>4412.6862702517055</v>
      </c>
      <c r="M130">
        <v>4048.6112385716856</v>
      </c>
      <c r="N130">
        <v>3684.5362068916661</v>
      </c>
      <c r="O130">
        <v>3320.4611752116462</v>
      </c>
      <c r="P130">
        <v>2956.3861435316262</v>
      </c>
      <c r="Q130">
        <v>2911.9847877582702</v>
      </c>
      <c r="R130">
        <v>2812.8716216915041</v>
      </c>
      <c r="S130">
        <v>2713.758455624738</v>
      </c>
      <c r="T130">
        <v>2614.64528955797</v>
      </c>
      <c r="U130">
        <v>2515.5321234912035</v>
      </c>
      <c r="V130">
        <v>2416.4189574244365</v>
      </c>
      <c r="W130">
        <v>2317.3057913576708</v>
      </c>
      <c r="X130">
        <v>2270.0357340554388</v>
      </c>
      <c r="Y130">
        <v>2172.3837167602528</v>
      </c>
      <c r="Z130">
        <v>2074.4704550796914</v>
      </c>
      <c r="AA130">
        <v>2035.26237474492</v>
      </c>
      <c r="AB130">
        <v>1996.0542944101487</v>
      </c>
      <c r="AC130">
        <v>1956.8462140753775</v>
      </c>
      <c r="AD130">
        <v>1917.638133740606</v>
      </c>
      <c r="AE130">
        <v>1878.4300534058348</v>
      </c>
      <c r="AF130">
        <v>1839.2219730710633</v>
      </c>
      <c r="AG130">
        <v>1800.0138927362918</v>
      </c>
      <c r="AH130">
        <v>1760.8058124015206</v>
      </c>
      <c r="AI130">
        <v>1721.5977320667494</v>
      </c>
      <c r="AJ130">
        <v>1682.3896517319779</v>
      </c>
    </row>
    <row r="131" spans="1:36" x14ac:dyDescent="0.35">
      <c r="A131" t="s">
        <v>1529</v>
      </c>
      <c r="B131" t="s">
        <v>1342</v>
      </c>
      <c r="C131" t="s">
        <v>1350</v>
      </c>
      <c r="D131">
        <v>30</v>
      </c>
      <c r="E131" t="s">
        <v>1500</v>
      </c>
      <c r="F131" t="s">
        <v>1526</v>
      </c>
      <c r="G131" t="s">
        <v>1527</v>
      </c>
      <c r="H131">
        <v>6225.9086060556428</v>
      </c>
      <c r="I131">
        <v>6530.9459529062024</v>
      </c>
      <c r="J131">
        <v>5998.8362912200191</v>
      </c>
      <c r="K131">
        <v>5433.1197035326031</v>
      </c>
      <c r="L131">
        <v>5153.0619868556651</v>
      </c>
      <c r="M131">
        <v>4873.004270178727</v>
      </c>
      <c r="N131">
        <v>4592.946553501788</v>
      </c>
      <c r="O131">
        <v>4312.8888368248499</v>
      </c>
      <c r="P131">
        <v>4088.8426634832999</v>
      </c>
      <c r="Q131">
        <v>4000.3444250133871</v>
      </c>
      <c r="R131">
        <v>3911.8461865434747</v>
      </c>
      <c r="S131">
        <v>3823.3479480735623</v>
      </c>
      <c r="T131">
        <v>3734.8497096036494</v>
      </c>
      <c r="U131">
        <v>3646.351471133737</v>
      </c>
      <c r="V131">
        <v>3557.8532326638247</v>
      </c>
      <c r="W131">
        <v>3469.3549941939123</v>
      </c>
      <c r="X131">
        <v>3380.8567557239994</v>
      </c>
      <c r="Y131">
        <v>3292.358517254087</v>
      </c>
      <c r="Z131">
        <v>3203.8602787841746</v>
      </c>
      <c r="AA131">
        <v>3115.3620403142618</v>
      </c>
      <c r="AB131">
        <v>3026.8638018443494</v>
      </c>
      <c r="AC131">
        <v>2938.365563374437</v>
      </c>
      <c r="AD131">
        <v>2849.8673249045241</v>
      </c>
      <c r="AE131">
        <v>2761.3690864346122</v>
      </c>
      <c r="AF131">
        <v>2672.8708479646994</v>
      </c>
      <c r="AG131">
        <v>2584.3726094947865</v>
      </c>
      <c r="AH131">
        <v>2495.8743710248746</v>
      </c>
      <c r="AI131">
        <v>2407.3761325549617</v>
      </c>
      <c r="AJ131">
        <v>2318.8778940850498</v>
      </c>
    </row>
    <row r="132" spans="1:36" x14ac:dyDescent="0.35">
      <c r="A132" t="s">
        <v>1530</v>
      </c>
      <c r="B132" t="s">
        <v>1342</v>
      </c>
      <c r="C132" t="s">
        <v>1343</v>
      </c>
      <c r="D132">
        <v>30</v>
      </c>
      <c r="E132" t="s">
        <v>1500</v>
      </c>
      <c r="F132" t="s">
        <v>1531</v>
      </c>
      <c r="G132" t="s">
        <v>1532</v>
      </c>
      <c r="H132">
        <v>4042.3620426706452</v>
      </c>
      <c r="I132">
        <v>3388.6983717909538</v>
      </c>
      <c r="J132">
        <v>3058.2302661121666</v>
      </c>
      <c r="K132">
        <v>2679.5922331649458</v>
      </c>
      <c r="L132">
        <v>2446.5842128897334</v>
      </c>
      <c r="M132">
        <v>2213.5761926145206</v>
      </c>
      <c r="N132">
        <v>1980.5681723393077</v>
      </c>
      <c r="O132">
        <v>1747.5601520640953</v>
      </c>
      <c r="P132">
        <v>1677.5545781547041</v>
      </c>
      <c r="Q132">
        <v>1578.8338380545854</v>
      </c>
      <c r="R132">
        <v>1547.9427591386575</v>
      </c>
      <c r="S132">
        <v>1517.0057345905227</v>
      </c>
      <c r="T132">
        <v>1486.0211268820265</v>
      </c>
      <c r="U132">
        <v>1454.9872197328566</v>
      </c>
      <c r="V132">
        <v>1423.9022133187425</v>
      </c>
      <c r="W132">
        <v>1392.7642191254497</v>
      </c>
      <c r="X132">
        <v>1361.5712544176802</v>
      </c>
      <c r="Y132">
        <v>1330.3212362887978</v>
      </c>
      <c r="Z132">
        <v>1299.0119752538562</v>
      </c>
      <c r="AA132">
        <v>1284.4467332148711</v>
      </c>
      <c r="AB132">
        <v>1269.8804046101288</v>
      </c>
      <c r="AC132">
        <v>1255.3129460774583</v>
      </c>
      <c r="AD132">
        <v>1240.7443119162801</v>
      </c>
      <c r="AE132">
        <v>1226.1744539278163</v>
      </c>
      <c r="AF132">
        <v>1211.6033212420286</v>
      </c>
      <c r="AG132">
        <v>1197.0308601299555</v>
      </c>
      <c r="AH132">
        <v>1173.301804018033</v>
      </c>
      <c r="AI132">
        <v>1157.3385141674473</v>
      </c>
      <c r="AJ132">
        <v>1141.3752243168622</v>
      </c>
    </row>
    <row r="133" spans="1:36" x14ac:dyDescent="0.35">
      <c r="A133" t="s">
        <v>1533</v>
      </c>
      <c r="B133" t="s">
        <v>1342</v>
      </c>
      <c r="C133" t="s">
        <v>1348</v>
      </c>
      <c r="D133">
        <v>30</v>
      </c>
      <c r="E133" t="s">
        <v>1500</v>
      </c>
      <c r="F133" t="s">
        <v>1531</v>
      </c>
      <c r="G133" t="s">
        <v>1532</v>
      </c>
      <c r="H133">
        <v>4042.3620426706452</v>
      </c>
      <c r="I133">
        <v>3931.6557269480527</v>
      </c>
      <c r="J133">
        <v>3557.6878629287066</v>
      </c>
      <c r="K133">
        <v>3202.3158312967098</v>
      </c>
      <c r="L133">
        <v>3016.3575074232226</v>
      </c>
      <c r="M133">
        <v>2830.3991835497359</v>
      </c>
      <c r="N133">
        <v>2644.4408596762487</v>
      </c>
      <c r="O133">
        <v>2458.4825358027615</v>
      </c>
      <c r="P133">
        <v>2371.6407679069839</v>
      </c>
      <c r="Q133">
        <v>2330.976387445492</v>
      </c>
      <c r="R133">
        <v>2290.3120069840011</v>
      </c>
      <c r="S133">
        <v>2249.6476265225092</v>
      </c>
      <c r="T133">
        <v>2208.9832460610182</v>
      </c>
      <c r="U133">
        <v>2168.3188655995264</v>
      </c>
      <c r="V133">
        <v>2127.6544851380354</v>
      </c>
      <c r="W133">
        <v>2086.990104676544</v>
      </c>
      <c r="X133">
        <v>2046.3257242150526</v>
      </c>
      <c r="Y133">
        <v>2005.6613437535611</v>
      </c>
      <c r="Z133">
        <v>1964.9969632920699</v>
      </c>
      <c r="AA133">
        <v>1924.3325828305785</v>
      </c>
      <c r="AB133">
        <v>1883.6682023690871</v>
      </c>
      <c r="AC133">
        <v>1843.0038219075957</v>
      </c>
      <c r="AD133">
        <v>1802.3394414461043</v>
      </c>
      <c r="AE133">
        <v>1761.6750609846126</v>
      </c>
      <c r="AF133">
        <v>1721.0106805231212</v>
      </c>
      <c r="AG133">
        <v>1680.3463000616298</v>
      </c>
      <c r="AH133">
        <v>1680.3463000616298</v>
      </c>
      <c r="AI133">
        <v>1680.3463000616298</v>
      </c>
      <c r="AJ133">
        <v>1680.3463000616298</v>
      </c>
    </row>
    <row r="134" spans="1:36" x14ac:dyDescent="0.35">
      <c r="A134" t="s">
        <v>1534</v>
      </c>
      <c r="B134" t="s">
        <v>1342</v>
      </c>
      <c r="C134" t="s">
        <v>1350</v>
      </c>
      <c r="D134">
        <v>30</v>
      </c>
      <c r="E134" t="s">
        <v>1500</v>
      </c>
      <c r="F134" t="s">
        <v>1531</v>
      </c>
      <c r="G134" t="s">
        <v>1532</v>
      </c>
      <c r="H134">
        <v>4042.3620426706452</v>
      </c>
      <c r="I134">
        <v>4056.912015594186</v>
      </c>
      <c r="J134">
        <v>3743.1202588715223</v>
      </c>
      <c r="K134">
        <v>3441.651041682645</v>
      </c>
      <c r="L134">
        <v>3318.4256463447919</v>
      </c>
      <c r="M134">
        <v>3195.2002510069392</v>
      </c>
      <c r="N134">
        <v>3071.9748556690861</v>
      </c>
      <c r="O134">
        <v>2948.749460331233</v>
      </c>
      <c r="P134">
        <v>2845.9689214883806</v>
      </c>
      <c r="Q134">
        <v>2797.1716649345908</v>
      </c>
      <c r="R134">
        <v>2748.374408380801</v>
      </c>
      <c r="S134">
        <v>2699.5771518270117</v>
      </c>
      <c r="T134">
        <v>2650.7798952732219</v>
      </c>
      <c r="U134">
        <v>2601.9826387194321</v>
      </c>
      <c r="V134">
        <v>2553.1853821656423</v>
      </c>
      <c r="W134">
        <v>2504.3881256118525</v>
      </c>
      <c r="X134">
        <v>2455.5908690580632</v>
      </c>
      <c r="Y134">
        <v>2406.7936125042734</v>
      </c>
      <c r="Z134">
        <v>2357.996355950484</v>
      </c>
      <c r="AA134">
        <v>2309.1990993966942</v>
      </c>
      <c r="AB134">
        <v>2260.401842842904</v>
      </c>
      <c r="AC134">
        <v>2211.6045862891146</v>
      </c>
      <c r="AD134">
        <v>2162.8073297353249</v>
      </c>
      <c r="AE134">
        <v>2114.0100731815355</v>
      </c>
      <c r="AF134">
        <v>2065.2128166277457</v>
      </c>
      <c r="AG134">
        <v>2016.4155600739562</v>
      </c>
      <c r="AH134">
        <v>2016.4155600739562</v>
      </c>
      <c r="AI134">
        <v>2016.4155600739562</v>
      </c>
      <c r="AJ134">
        <v>2016.4155600739562</v>
      </c>
    </row>
    <row r="135" spans="1:36" x14ac:dyDescent="0.35">
      <c r="A135" t="s">
        <v>1535</v>
      </c>
      <c r="B135" t="s">
        <v>1342</v>
      </c>
      <c r="C135" t="s">
        <v>1343</v>
      </c>
      <c r="D135">
        <v>30</v>
      </c>
      <c r="E135" t="s">
        <v>1500</v>
      </c>
      <c r="F135" t="s">
        <v>1536</v>
      </c>
      <c r="G135" t="s">
        <v>1537</v>
      </c>
      <c r="H135">
        <v>3217.8415751301068</v>
      </c>
      <c r="I135">
        <v>2603.4805858251416</v>
      </c>
      <c r="J135">
        <v>2161.1401861076138</v>
      </c>
      <c r="K135">
        <v>1749.6569647795254</v>
      </c>
      <c r="L135">
        <v>1709.1382143307058</v>
      </c>
      <c r="M135">
        <v>1668.6194638818863</v>
      </c>
      <c r="N135">
        <v>1628.1007134330669</v>
      </c>
      <c r="O135">
        <v>1587.5819629842472</v>
      </c>
      <c r="P135">
        <v>1547.0632125354277</v>
      </c>
      <c r="Q135">
        <v>1506.5444620866083</v>
      </c>
      <c r="R135">
        <v>1491.4790174657423</v>
      </c>
      <c r="S135">
        <v>1476.4135728448762</v>
      </c>
      <c r="T135">
        <v>1461.3481282240102</v>
      </c>
      <c r="U135">
        <v>1446.2826836031441</v>
      </c>
      <c r="V135">
        <v>1431.2172389822776</v>
      </c>
      <c r="W135">
        <v>1416.1517943614117</v>
      </c>
      <c r="X135">
        <v>1401.0863497405455</v>
      </c>
      <c r="Y135">
        <v>1386.0209051196796</v>
      </c>
      <c r="Z135">
        <v>1370.9554604988132</v>
      </c>
      <c r="AA135">
        <v>1355.8900158779468</v>
      </c>
      <c r="AB135">
        <v>1340.8245712570808</v>
      </c>
      <c r="AC135">
        <v>1325.7591266362147</v>
      </c>
      <c r="AD135">
        <v>1310.6936820153487</v>
      </c>
      <c r="AE135">
        <v>1295.6282373944825</v>
      </c>
      <c r="AF135">
        <v>1280.5627927736164</v>
      </c>
      <c r="AG135">
        <v>1265.4973481527502</v>
      </c>
      <c r="AH135">
        <v>1250.431903531884</v>
      </c>
      <c r="AI135">
        <v>1235.3664589110181</v>
      </c>
      <c r="AJ135">
        <v>1232.2539533785286</v>
      </c>
    </row>
    <row r="136" spans="1:36" x14ac:dyDescent="0.35">
      <c r="A136" t="s">
        <v>1538</v>
      </c>
      <c r="B136" t="s">
        <v>1342</v>
      </c>
      <c r="C136" t="s">
        <v>1348</v>
      </c>
      <c r="D136">
        <v>30</v>
      </c>
      <c r="E136" t="s">
        <v>1500</v>
      </c>
      <c r="F136" t="s">
        <v>1536</v>
      </c>
      <c r="G136" t="s">
        <v>1537</v>
      </c>
      <c r="H136">
        <v>3217.8415751301068</v>
      </c>
      <c r="I136">
        <v>3129.7160233855425</v>
      </c>
      <c r="J136">
        <v>2706.2403786625837</v>
      </c>
      <c r="K136">
        <v>2309.5471935089736</v>
      </c>
      <c r="L136">
        <v>2256.0624429165323</v>
      </c>
      <c r="M136">
        <v>2202.5776923240901</v>
      </c>
      <c r="N136">
        <v>2149.0929417316484</v>
      </c>
      <c r="O136">
        <v>2095.6081911392066</v>
      </c>
      <c r="P136">
        <v>2042.1234405467649</v>
      </c>
      <c r="Q136">
        <v>1988.6386899543227</v>
      </c>
      <c r="R136">
        <v>1968.7523030547798</v>
      </c>
      <c r="S136">
        <v>1948.8659161552364</v>
      </c>
      <c r="T136">
        <v>1928.9795292556935</v>
      </c>
      <c r="U136">
        <v>1909.0931423561501</v>
      </c>
      <c r="V136">
        <v>1889.2067554566065</v>
      </c>
      <c r="W136">
        <v>1869.3203685570636</v>
      </c>
      <c r="X136">
        <v>1849.4339816575202</v>
      </c>
      <c r="Y136">
        <v>1829.5475947579771</v>
      </c>
      <c r="Z136">
        <v>1809.6612078584333</v>
      </c>
      <c r="AA136">
        <v>1789.7748209588897</v>
      </c>
      <c r="AB136">
        <v>1769.8884340593468</v>
      </c>
      <c r="AC136">
        <v>1750.0020471598034</v>
      </c>
      <c r="AD136">
        <v>1730.1156602602605</v>
      </c>
      <c r="AE136">
        <v>1710.2292733607171</v>
      </c>
      <c r="AF136">
        <v>1690.3428864611735</v>
      </c>
      <c r="AG136">
        <v>1670.4564995616302</v>
      </c>
      <c r="AH136">
        <v>1650.570112662087</v>
      </c>
      <c r="AI136">
        <v>1630.6837257625439</v>
      </c>
      <c r="AJ136">
        <v>1626.5752184596579</v>
      </c>
    </row>
    <row r="137" spans="1:36" x14ac:dyDescent="0.35">
      <c r="A137" t="s">
        <v>1539</v>
      </c>
      <c r="B137" t="s">
        <v>1342</v>
      </c>
      <c r="C137" t="s">
        <v>1350</v>
      </c>
      <c r="D137">
        <v>30</v>
      </c>
      <c r="E137" t="s">
        <v>1500</v>
      </c>
      <c r="F137" t="s">
        <v>1536</v>
      </c>
      <c r="G137" t="s">
        <v>1537</v>
      </c>
      <c r="H137">
        <v>3217.8415751301068</v>
      </c>
      <c r="I137">
        <v>3229.4237905022496</v>
      </c>
      <c r="J137">
        <v>3006.1760433720701</v>
      </c>
      <c r="K137">
        <v>2790.2097968754915</v>
      </c>
      <c r="L137">
        <v>2717.3947905394875</v>
      </c>
      <c r="M137">
        <v>2644.5797842034835</v>
      </c>
      <c r="N137">
        <v>2571.7647778674796</v>
      </c>
      <c r="O137">
        <v>2498.9497715314751</v>
      </c>
      <c r="P137">
        <v>2426.1347651954716</v>
      </c>
      <c r="Q137">
        <v>2386.3664279451873</v>
      </c>
      <c r="R137">
        <v>2362.5027636657355</v>
      </c>
      <c r="S137">
        <v>2338.6390993862833</v>
      </c>
      <c r="T137">
        <v>2314.775435106832</v>
      </c>
      <c r="U137">
        <v>2290.9117708273798</v>
      </c>
      <c r="V137">
        <v>2267.048106547928</v>
      </c>
      <c r="W137">
        <v>2243.1844422684762</v>
      </c>
      <c r="X137">
        <v>2219.3207779890245</v>
      </c>
      <c r="Y137">
        <v>2195.4571137095722</v>
      </c>
      <c r="Z137">
        <v>2171.5934494301196</v>
      </c>
      <c r="AA137">
        <v>2147.7297851506678</v>
      </c>
      <c r="AB137">
        <v>2123.866120871216</v>
      </c>
      <c r="AC137">
        <v>2100.0024565917638</v>
      </c>
      <c r="AD137">
        <v>2076.1387923123125</v>
      </c>
      <c r="AE137">
        <v>2052.2751280328603</v>
      </c>
      <c r="AF137">
        <v>2028.4114637534083</v>
      </c>
      <c r="AG137">
        <v>2004.5477994739563</v>
      </c>
      <c r="AH137">
        <v>1980.6841351945045</v>
      </c>
      <c r="AI137">
        <v>1956.8204709150527</v>
      </c>
      <c r="AJ137">
        <v>1951.8902621515892</v>
      </c>
    </row>
    <row r="138" spans="1:36" x14ac:dyDescent="0.35">
      <c r="A138" t="s">
        <v>1540</v>
      </c>
      <c r="B138" t="s">
        <v>1342</v>
      </c>
      <c r="C138" t="s">
        <v>1343</v>
      </c>
      <c r="D138">
        <v>30</v>
      </c>
      <c r="E138" t="s">
        <v>1500</v>
      </c>
      <c r="F138" t="s">
        <v>1541</v>
      </c>
      <c r="G138" t="s">
        <v>1542</v>
      </c>
      <c r="H138">
        <v>8291.660442472079</v>
      </c>
      <c r="I138">
        <v>6708.5891216871123</v>
      </c>
      <c r="J138">
        <v>4999.0302426833487</v>
      </c>
      <c r="K138">
        <v>4285.8553909536186</v>
      </c>
      <c r="L138">
        <v>3769.5455176820724</v>
      </c>
      <c r="M138">
        <v>3321.4345512935229</v>
      </c>
      <c r="N138">
        <v>3039.6303426180884</v>
      </c>
      <c r="O138">
        <v>2751.8601403945177</v>
      </c>
      <c r="P138">
        <v>2456.9416827093214</v>
      </c>
      <c r="Q138">
        <v>2285.3262428411758</v>
      </c>
      <c r="R138">
        <v>2212.9734708073238</v>
      </c>
      <c r="S138">
        <v>2140.4701111197023</v>
      </c>
      <c r="T138">
        <v>2067.810796749694</v>
      </c>
      <c r="U138">
        <v>1994.9899025570421</v>
      </c>
      <c r="V138">
        <v>1922.0015295846222</v>
      </c>
      <c r="W138">
        <v>1848.8394881923402</v>
      </c>
      <c r="X138">
        <v>1775.4972799288207</v>
      </c>
      <c r="Y138">
        <v>1701.9680780292904</v>
      </c>
      <c r="Z138">
        <v>1628.2447064166147</v>
      </c>
      <c r="AA138">
        <v>1578.6083387349536</v>
      </c>
      <c r="AB138">
        <v>1528.853192690764</v>
      </c>
      <c r="AC138">
        <v>1478.9745281313249</v>
      </c>
      <c r="AD138">
        <v>1428.9673492796653</v>
      </c>
      <c r="AE138">
        <v>1378.8263872676312</v>
      </c>
      <c r="AF138">
        <v>1328.5460812168751</v>
      </c>
      <c r="AG138">
        <v>1278.1205577249602</v>
      </c>
      <c r="AH138">
        <v>1234.3487850992724</v>
      </c>
      <c r="AI138">
        <v>1221.880615552815</v>
      </c>
      <c r="AJ138">
        <v>1209.4124460063579</v>
      </c>
    </row>
    <row r="139" spans="1:36" x14ac:dyDescent="0.35">
      <c r="A139" t="s">
        <v>1543</v>
      </c>
      <c r="B139" t="s">
        <v>1342</v>
      </c>
      <c r="C139" t="s">
        <v>1348</v>
      </c>
      <c r="D139">
        <v>30</v>
      </c>
      <c r="E139" t="s">
        <v>1500</v>
      </c>
      <c r="F139" t="s">
        <v>1541</v>
      </c>
      <c r="G139" t="s">
        <v>1542</v>
      </c>
      <c r="H139">
        <v>8291.660442472079</v>
      </c>
      <c r="I139">
        <v>8064.5805399004657</v>
      </c>
      <c r="J139">
        <v>7188.695733629037</v>
      </c>
      <c r="K139">
        <v>6361.3169238860546</v>
      </c>
      <c r="L139">
        <v>5876.256958601597</v>
      </c>
      <c r="M139">
        <v>5391.1969933171395</v>
      </c>
      <c r="N139">
        <v>4906.1370280326837</v>
      </c>
      <c r="O139">
        <v>4421.0770627482261</v>
      </c>
      <c r="P139">
        <v>3931.1066923349144</v>
      </c>
      <c r="Q139">
        <v>3656.521988545881</v>
      </c>
      <c r="R139">
        <v>3540.7575532917185</v>
      </c>
      <c r="S139">
        <v>3424.752177791524</v>
      </c>
      <c r="T139">
        <v>3308.4972747995107</v>
      </c>
      <c r="U139">
        <v>3191.9838440912681</v>
      </c>
      <c r="V139">
        <v>3075.2024473353949</v>
      </c>
      <c r="W139">
        <v>2958.143181107745</v>
      </c>
      <c r="X139">
        <v>2840.7956478861133</v>
      </c>
      <c r="Y139">
        <v>2723.1489248468647</v>
      </c>
      <c r="Z139">
        <v>2605.1915302665834</v>
      </c>
      <c r="AA139">
        <v>2525.7733419759256</v>
      </c>
      <c r="AB139">
        <v>2446.1651083052225</v>
      </c>
      <c r="AC139">
        <v>2366.35924501012</v>
      </c>
      <c r="AD139">
        <v>2286.3477588474648</v>
      </c>
      <c r="AE139">
        <v>2206.1222196282097</v>
      </c>
      <c r="AF139">
        <v>2125.6737299470005</v>
      </c>
      <c r="AG139">
        <v>2044.9928923599361</v>
      </c>
      <c r="AH139">
        <v>1974.9580561588357</v>
      </c>
      <c r="AI139">
        <v>1955.0089848845039</v>
      </c>
      <c r="AJ139">
        <v>1935.0599136101723</v>
      </c>
    </row>
    <row r="140" spans="1:36" x14ac:dyDescent="0.35">
      <c r="A140" t="s">
        <v>1544</v>
      </c>
      <c r="B140" t="s">
        <v>1342</v>
      </c>
      <c r="C140" t="s">
        <v>1350</v>
      </c>
      <c r="D140">
        <v>30</v>
      </c>
      <c r="E140" t="s">
        <v>1500</v>
      </c>
      <c r="F140" t="s">
        <v>1541</v>
      </c>
      <c r="G140" t="s">
        <v>1542</v>
      </c>
      <c r="H140">
        <v>8291.660442472079</v>
      </c>
      <c r="I140">
        <v>8321.5052296672075</v>
      </c>
      <c r="J140">
        <v>7575.0911176115587</v>
      </c>
      <c r="K140">
        <v>6863.7402316838616</v>
      </c>
      <c r="L140">
        <v>6513.107970404335</v>
      </c>
      <c r="M140">
        <v>6162.4757091248084</v>
      </c>
      <c r="N140">
        <v>5811.84344784528</v>
      </c>
      <c r="O140">
        <v>5461.2111865657535</v>
      </c>
      <c r="P140">
        <v>5110.438700035389</v>
      </c>
      <c r="Q140">
        <v>4753.4785851096449</v>
      </c>
      <c r="R140">
        <v>4602.9848192792342</v>
      </c>
      <c r="S140">
        <v>4452.1778311289809</v>
      </c>
      <c r="T140">
        <v>4301.0464572393639</v>
      </c>
      <c r="U140">
        <v>4149.5789973186484</v>
      </c>
      <c r="V140">
        <v>3997.7631815360137</v>
      </c>
      <c r="W140">
        <v>3845.5861354400681</v>
      </c>
      <c r="X140">
        <v>3693.0343422519477</v>
      </c>
      <c r="Y140">
        <v>3540.0936023009244</v>
      </c>
      <c r="Z140">
        <v>3386.748989346559</v>
      </c>
      <c r="AA140">
        <v>3283.505344568704</v>
      </c>
      <c r="AB140">
        <v>3180.0146407967895</v>
      </c>
      <c r="AC140">
        <v>3076.2670185131556</v>
      </c>
      <c r="AD140">
        <v>2972.2520865017045</v>
      </c>
      <c r="AE140">
        <v>2867.958885516673</v>
      </c>
      <c r="AF140">
        <v>2763.3758489311008</v>
      </c>
      <c r="AG140">
        <v>2658.4907600679171</v>
      </c>
      <c r="AH140">
        <v>2567.4454730064867</v>
      </c>
      <c r="AI140">
        <v>2541.5116803498554</v>
      </c>
      <c r="AJ140">
        <v>2515.5778876932241</v>
      </c>
    </row>
    <row r="141" spans="1:36" x14ac:dyDescent="0.35">
      <c r="A141" t="s">
        <v>1545</v>
      </c>
      <c r="B141" t="s">
        <v>1342</v>
      </c>
      <c r="C141" t="s">
        <v>1343</v>
      </c>
      <c r="D141">
        <v>30</v>
      </c>
      <c r="E141" t="s">
        <v>1500</v>
      </c>
      <c r="F141" t="s">
        <v>1546</v>
      </c>
      <c r="G141" t="s">
        <v>1547</v>
      </c>
      <c r="H141">
        <v>6225.9086060556428</v>
      </c>
      <c r="I141">
        <v>5037.237479390873</v>
      </c>
      <c r="J141">
        <v>4152.2315232804476</v>
      </c>
      <c r="K141">
        <v>3494.1166948374598</v>
      </c>
      <c r="L141">
        <v>3105.9785148679794</v>
      </c>
      <c r="M141">
        <v>2771.4935568334331</v>
      </c>
      <c r="N141">
        <v>2575.3059047797847</v>
      </c>
      <c r="O141">
        <v>2375.7159465793652</v>
      </c>
      <c r="P141">
        <v>2172.0696403120173</v>
      </c>
      <c r="Q141">
        <v>2018.5206930949066</v>
      </c>
      <c r="R141">
        <v>1952.7198730009179</v>
      </c>
      <c r="S141">
        <v>1886.7802808621898</v>
      </c>
      <c r="T141">
        <v>1820.6969707650526</v>
      </c>
      <c r="U141">
        <v>1754.4647589364959</v>
      </c>
      <c r="V141">
        <v>1688.0782092712254</v>
      </c>
      <c r="W141">
        <v>1621.5316177889304</v>
      </c>
      <c r="X141">
        <v>1554.8189959283825</v>
      </c>
      <c r="Y141">
        <v>1487.9340525755158</v>
      </c>
      <c r="Z141">
        <v>1420.8701747121177</v>
      </c>
      <c r="AA141">
        <v>1375.494602453728</v>
      </c>
      <c r="AB141">
        <v>1330.0076679271453</v>
      </c>
      <c r="AC141">
        <v>1284.404926937759</v>
      </c>
      <c r="AD141">
        <v>1238.6816956269679</v>
      </c>
      <c r="AE141">
        <v>1192.8330340958212</v>
      </c>
      <c r="AF141">
        <v>1146.8537286672424</v>
      </c>
      <c r="AG141">
        <v>1100.7382726529468</v>
      </c>
      <c r="AH141">
        <v>1068.9384596689645</v>
      </c>
      <c r="AI141">
        <v>1056.0596830464467</v>
      </c>
      <c r="AJ141">
        <v>1043.1809064239292</v>
      </c>
    </row>
    <row r="142" spans="1:36" x14ac:dyDescent="0.35">
      <c r="A142" t="s">
        <v>1548</v>
      </c>
      <c r="B142" t="s">
        <v>1342</v>
      </c>
      <c r="C142" t="s">
        <v>1348</v>
      </c>
      <c r="D142">
        <v>30</v>
      </c>
      <c r="E142" t="s">
        <v>1500</v>
      </c>
      <c r="F142" t="s">
        <v>1546</v>
      </c>
      <c r="G142" t="s">
        <v>1547</v>
      </c>
      <c r="H142">
        <v>6225.9086060556428</v>
      </c>
      <c r="I142">
        <v>6055.4025018209422</v>
      </c>
      <c r="J142">
        <v>5397.8781502923321</v>
      </c>
      <c r="K142">
        <v>4776.761301931725</v>
      </c>
      <c r="L142">
        <v>4412.6862702517055</v>
      </c>
      <c r="M142">
        <v>4048.6112385716856</v>
      </c>
      <c r="N142">
        <v>3684.5362068916661</v>
      </c>
      <c r="O142">
        <v>3320.4611752116462</v>
      </c>
      <c r="P142">
        <v>2956.3861435316262</v>
      </c>
      <c r="Q142">
        <v>2911.9847877582702</v>
      </c>
      <c r="R142">
        <v>2812.8716216915041</v>
      </c>
      <c r="S142">
        <v>2713.758455624738</v>
      </c>
      <c r="T142">
        <v>2614.64528955797</v>
      </c>
      <c r="U142">
        <v>2515.5321234912035</v>
      </c>
      <c r="V142">
        <v>2416.4189574244365</v>
      </c>
      <c r="W142">
        <v>2317.3057913576708</v>
      </c>
      <c r="X142">
        <v>2270.0357340554388</v>
      </c>
      <c r="Y142">
        <v>2172.3837167602528</v>
      </c>
      <c r="Z142">
        <v>2074.4704550796914</v>
      </c>
      <c r="AA142">
        <v>2035.26237474492</v>
      </c>
      <c r="AB142">
        <v>1996.0542944101487</v>
      </c>
      <c r="AC142">
        <v>1956.8462140753775</v>
      </c>
      <c r="AD142">
        <v>1917.638133740606</v>
      </c>
      <c r="AE142">
        <v>1878.4300534058348</v>
      </c>
      <c r="AF142">
        <v>1839.2219730710633</v>
      </c>
      <c r="AG142">
        <v>1800.0138927362918</v>
      </c>
      <c r="AH142">
        <v>1760.8058124015206</v>
      </c>
      <c r="AI142">
        <v>1721.5977320667494</v>
      </c>
      <c r="AJ142">
        <v>1682.3896517319779</v>
      </c>
    </row>
    <row r="143" spans="1:36" x14ac:dyDescent="0.35">
      <c r="A143" t="s">
        <v>1549</v>
      </c>
      <c r="B143" t="s">
        <v>1342</v>
      </c>
      <c r="C143" t="s">
        <v>1350</v>
      </c>
      <c r="D143">
        <v>30</v>
      </c>
      <c r="E143" t="s">
        <v>1500</v>
      </c>
      <c r="F143" t="s">
        <v>1546</v>
      </c>
      <c r="G143" t="s">
        <v>1547</v>
      </c>
      <c r="H143">
        <v>6225.9086060556428</v>
      </c>
      <c r="I143">
        <v>6530.9459529062024</v>
      </c>
      <c r="J143">
        <v>5998.8362912200191</v>
      </c>
      <c r="K143">
        <v>5433.1197035326031</v>
      </c>
      <c r="L143">
        <v>5153.0619868556651</v>
      </c>
      <c r="M143">
        <v>4873.004270178727</v>
      </c>
      <c r="N143">
        <v>4592.946553501788</v>
      </c>
      <c r="O143">
        <v>4312.8888368248499</v>
      </c>
      <c r="P143">
        <v>4088.8426634832999</v>
      </c>
      <c r="Q143">
        <v>4000.3444250133871</v>
      </c>
      <c r="R143">
        <v>3911.8461865434747</v>
      </c>
      <c r="S143">
        <v>3823.3479480735623</v>
      </c>
      <c r="T143">
        <v>3734.8497096036494</v>
      </c>
      <c r="U143">
        <v>3646.351471133737</v>
      </c>
      <c r="V143">
        <v>3557.8532326638247</v>
      </c>
      <c r="W143">
        <v>3469.3549941939123</v>
      </c>
      <c r="X143">
        <v>3380.8567557239994</v>
      </c>
      <c r="Y143">
        <v>3292.358517254087</v>
      </c>
      <c r="Z143">
        <v>3203.8602787841746</v>
      </c>
      <c r="AA143">
        <v>3115.3620403142618</v>
      </c>
      <c r="AB143">
        <v>3026.8638018443494</v>
      </c>
      <c r="AC143">
        <v>2938.365563374437</v>
      </c>
      <c r="AD143">
        <v>2849.8673249045241</v>
      </c>
      <c r="AE143">
        <v>2761.3690864346122</v>
      </c>
      <c r="AF143">
        <v>2672.8708479646994</v>
      </c>
      <c r="AG143">
        <v>2584.3726094947865</v>
      </c>
      <c r="AH143">
        <v>2495.8743710248746</v>
      </c>
      <c r="AI143">
        <v>2407.3761325549617</v>
      </c>
      <c r="AJ143">
        <v>2318.8778940850498</v>
      </c>
    </row>
    <row r="144" spans="1:36" x14ac:dyDescent="0.35">
      <c r="A144" t="s">
        <v>1550</v>
      </c>
      <c r="B144" t="s">
        <v>1342</v>
      </c>
      <c r="C144" t="s">
        <v>1343</v>
      </c>
      <c r="D144">
        <v>30</v>
      </c>
      <c r="E144" t="s">
        <v>1500</v>
      </c>
      <c r="F144" t="s">
        <v>1551</v>
      </c>
      <c r="G144" t="s">
        <v>1552</v>
      </c>
      <c r="H144">
        <v>4042.3620426706452</v>
      </c>
      <c r="I144">
        <v>3388.6983717909538</v>
      </c>
      <c r="J144">
        <v>3058.2302661121666</v>
      </c>
      <c r="K144">
        <v>2679.5922331649458</v>
      </c>
      <c r="L144">
        <v>2446.5842128897334</v>
      </c>
      <c r="M144">
        <v>2213.5761926145206</v>
      </c>
      <c r="N144">
        <v>1980.5681723393077</v>
      </c>
      <c r="O144">
        <v>1747.5601520640953</v>
      </c>
      <c r="P144">
        <v>1677.5545781547041</v>
      </c>
      <c r="Q144">
        <v>1578.8338380545854</v>
      </c>
      <c r="R144">
        <v>1547.9427591386575</v>
      </c>
      <c r="S144">
        <v>1517.0057345905227</v>
      </c>
      <c r="T144">
        <v>1486.0211268820265</v>
      </c>
      <c r="U144">
        <v>1454.9872197328566</v>
      </c>
      <c r="V144">
        <v>1423.9022133187425</v>
      </c>
      <c r="W144">
        <v>1392.7642191254497</v>
      </c>
      <c r="X144">
        <v>1361.5712544176802</v>
      </c>
      <c r="Y144">
        <v>1330.3212362887978</v>
      </c>
      <c r="Z144">
        <v>1299.0119752538562</v>
      </c>
      <c r="AA144">
        <v>1284.4467332148711</v>
      </c>
      <c r="AB144">
        <v>1269.8804046101288</v>
      </c>
      <c r="AC144">
        <v>1255.3129460774583</v>
      </c>
      <c r="AD144">
        <v>1240.7443119162801</v>
      </c>
      <c r="AE144">
        <v>1226.1744539278163</v>
      </c>
      <c r="AF144">
        <v>1211.6033212420286</v>
      </c>
      <c r="AG144">
        <v>1197.0308601299555</v>
      </c>
      <c r="AH144">
        <v>1173.301804018033</v>
      </c>
      <c r="AI144">
        <v>1157.3385141674473</v>
      </c>
      <c r="AJ144">
        <v>1141.3752243168622</v>
      </c>
    </row>
    <row r="145" spans="1:36" x14ac:dyDescent="0.35">
      <c r="A145" t="s">
        <v>1553</v>
      </c>
      <c r="B145" t="s">
        <v>1342</v>
      </c>
      <c r="C145" t="s">
        <v>1348</v>
      </c>
      <c r="D145">
        <v>30</v>
      </c>
      <c r="E145" t="s">
        <v>1500</v>
      </c>
      <c r="F145" t="s">
        <v>1551</v>
      </c>
      <c r="G145" t="s">
        <v>1552</v>
      </c>
      <c r="H145">
        <v>4042.3620426706452</v>
      </c>
      <c r="I145">
        <v>3931.6557269480527</v>
      </c>
      <c r="J145">
        <v>3557.6878629287066</v>
      </c>
      <c r="K145">
        <v>3202.3158312967098</v>
      </c>
      <c r="L145">
        <v>3016.3575074232226</v>
      </c>
      <c r="M145">
        <v>2830.3991835497359</v>
      </c>
      <c r="N145">
        <v>2644.4408596762487</v>
      </c>
      <c r="O145">
        <v>2458.4825358027615</v>
      </c>
      <c r="P145">
        <v>2371.6407679069839</v>
      </c>
      <c r="Q145">
        <v>2330.976387445492</v>
      </c>
      <c r="R145">
        <v>2290.3120069840011</v>
      </c>
      <c r="S145">
        <v>2249.6476265225092</v>
      </c>
      <c r="T145">
        <v>2208.9832460610182</v>
      </c>
      <c r="U145">
        <v>2168.3188655995264</v>
      </c>
      <c r="V145">
        <v>2127.6544851380354</v>
      </c>
      <c r="W145">
        <v>2086.990104676544</v>
      </c>
      <c r="X145">
        <v>2046.3257242150526</v>
      </c>
      <c r="Y145">
        <v>2005.6613437535611</v>
      </c>
      <c r="Z145">
        <v>1964.9969632920699</v>
      </c>
      <c r="AA145">
        <v>1924.3325828305785</v>
      </c>
      <c r="AB145">
        <v>1883.6682023690871</v>
      </c>
      <c r="AC145">
        <v>1843.0038219075957</v>
      </c>
      <c r="AD145">
        <v>1802.3394414461043</v>
      </c>
      <c r="AE145">
        <v>1761.6750609846126</v>
      </c>
      <c r="AF145">
        <v>1721.0106805231212</v>
      </c>
      <c r="AG145">
        <v>1680.3463000616298</v>
      </c>
      <c r="AH145">
        <v>1680.3463000616298</v>
      </c>
      <c r="AI145">
        <v>1680.3463000616298</v>
      </c>
      <c r="AJ145">
        <v>1680.3463000616298</v>
      </c>
    </row>
    <row r="146" spans="1:36" x14ac:dyDescent="0.35">
      <c r="A146" t="s">
        <v>1554</v>
      </c>
      <c r="B146" t="s">
        <v>1342</v>
      </c>
      <c r="C146" t="s">
        <v>1350</v>
      </c>
      <c r="D146">
        <v>30</v>
      </c>
      <c r="E146" t="s">
        <v>1500</v>
      </c>
      <c r="F146" t="s">
        <v>1551</v>
      </c>
      <c r="G146" t="s">
        <v>1552</v>
      </c>
      <c r="H146">
        <v>4042.3620426706452</v>
      </c>
      <c r="I146">
        <v>4056.912015594186</v>
      </c>
      <c r="J146">
        <v>3743.1202588715223</v>
      </c>
      <c r="K146">
        <v>3441.651041682645</v>
      </c>
      <c r="L146">
        <v>3318.4256463447919</v>
      </c>
      <c r="M146">
        <v>3195.2002510069392</v>
      </c>
      <c r="N146">
        <v>3071.9748556690861</v>
      </c>
      <c r="O146">
        <v>2948.749460331233</v>
      </c>
      <c r="P146">
        <v>2845.9689214883806</v>
      </c>
      <c r="Q146">
        <v>2797.1716649345908</v>
      </c>
      <c r="R146">
        <v>2748.374408380801</v>
      </c>
      <c r="S146">
        <v>2699.5771518270117</v>
      </c>
      <c r="T146">
        <v>2650.7798952732219</v>
      </c>
      <c r="U146">
        <v>2601.9826387194321</v>
      </c>
      <c r="V146">
        <v>2553.1853821656423</v>
      </c>
      <c r="W146">
        <v>2504.3881256118525</v>
      </c>
      <c r="X146">
        <v>2455.5908690580632</v>
      </c>
      <c r="Y146">
        <v>2406.7936125042734</v>
      </c>
      <c r="Z146">
        <v>2357.996355950484</v>
      </c>
      <c r="AA146">
        <v>2309.1990993966942</v>
      </c>
      <c r="AB146">
        <v>2260.401842842904</v>
      </c>
      <c r="AC146">
        <v>2211.6045862891146</v>
      </c>
      <c r="AD146">
        <v>2162.8073297353249</v>
      </c>
      <c r="AE146">
        <v>2114.0100731815355</v>
      </c>
      <c r="AF146">
        <v>2065.2128166277457</v>
      </c>
      <c r="AG146">
        <v>2016.4155600739562</v>
      </c>
      <c r="AH146">
        <v>2016.4155600739562</v>
      </c>
      <c r="AI146">
        <v>2016.4155600739562</v>
      </c>
      <c r="AJ146">
        <v>2016.4155600739562</v>
      </c>
    </row>
    <row r="147" spans="1:36" x14ac:dyDescent="0.35">
      <c r="A147" t="s">
        <v>1555</v>
      </c>
      <c r="B147" t="s">
        <v>1342</v>
      </c>
      <c r="C147" t="s">
        <v>1343</v>
      </c>
      <c r="D147">
        <v>30</v>
      </c>
      <c r="E147" t="s">
        <v>1500</v>
      </c>
      <c r="F147" t="s">
        <v>1556</v>
      </c>
      <c r="G147" t="s">
        <v>1557</v>
      </c>
      <c r="H147">
        <v>3217.8415751301068</v>
      </c>
      <c r="I147">
        <v>2603.4805858251416</v>
      </c>
      <c r="J147">
        <v>2161.1401861076138</v>
      </c>
      <c r="K147">
        <v>1749.6569647795254</v>
      </c>
      <c r="L147">
        <v>1709.1382143307058</v>
      </c>
      <c r="M147">
        <v>1668.6194638818863</v>
      </c>
      <c r="N147">
        <v>1628.1007134330669</v>
      </c>
      <c r="O147">
        <v>1587.5819629842472</v>
      </c>
      <c r="P147">
        <v>1547.0632125354277</v>
      </c>
      <c r="Q147">
        <v>1506.5444620866083</v>
      </c>
      <c r="R147">
        <v>1491.4790174657423</v>
      </c>
      <c r="S147">
        <v>1476.4135728448762</v>
      </c>
      <c r="T147">
        <v>1461.3481282240102</v>
      </c>
      <c r="U147">
        <v>1446.2826836031441</v>
      </c>
      <c r="V147">
        <v>1431.2172389822776</v>
      </c>
      <c r="W147">
        <v>1416.1517943614117</v>
      </c>
      <c r="X147">
        <v>1401.0863497405455</v>
      </c>
      <c r="Y147">
        <v>1386.0209051196796</v>
      </c>
      <c r="Z147">
        <v>1370.9554604988132</v>
      </c>
      <c r="AA147">
        <v>1355.8900158779468</v>
      </c>
      <c r="AB147">
        <v>1340.8245712570808</v>
      </c>
      <c r="AC147">
        <v>1325.7591266362147</v>
      </c>
      <c r="AD147">
        <v>1310.6936820153487</v>
      </c>
      <c r="AE147">
        <v>1295.6282373944825</v>
      </c>
      <c r="AF147">
        <v>1280.5627927736164</v>
      </c>
      <c r="AG147">
        <v>1265.4973481527502</v>
      </c>
      <c r="AH147">
        <v>1250.431903531884</v>
      </c>
      <c r="AI147">
        <v>1235.3664589110181</v>
      </c>
      <c r="AJ147">
        <v>1232.2539533785286</v>
      </c>
    </row>
    <row r="148" spans="1:36" x14ac:dyDescent="0.35">
      <c r="A148" t="s">
        <v>1558</v>
      </c>
      <c r="B148" t="s">
        <v>1342</v>
      </c>
      <c r="C148" t="s">
        <v>1348</v>
      </c>
      <c r="D148">
        <v>30</v>
      </c>
      <c r="E148" t="s">
        <v>1500</v>
      </c>
      <c r="F148" t="s">
        <v>1556</v>
      </c>
      <c r="G148" t="s">
        <v>1557</v>
      </c>
      <c r="H148">
        <v>3217.8415751301068</v>
      </c>
      <c r="I148">
        <v>3129.7160233855425</v>
      </c>
      <c r="J148">
        <v>2706.2403786625837</v>
      </c>
      <c r="K148">
        <v>2309.5471935089736</v>
      </c>
      <c r="L148">
        <v>2256.0624429165323</v>
      </c>
      <c r="M148">
        <v>2202.5776923240901</v>
      </c>
      <c r="N148">
        <v>2149.0929417316484</v>
      </c>
      <c r="O148">
        <v>2095.6081911392066</v>
      </c>
      <c r="P148">
        <v>2042.1234405467649</v>
      </c>
      <c r="Q148">
        <v>1988.6386899543227</v>
      </c>
      <c r="R148">
        <v>1968.7523030547798</v>
      </c>
      <c r="S148">
        <v>1948.8659161552364</v>
      </c>
      <c r="T148">
        <v>1928.9795292556935</v>
      </c>
      <c r="U148">
        <v>1909.0931423561501</v>
      </c>
      <c r="V148">
        <v>1889.2067554566065</v>
      </c>
      <c r="W148">
        <v>1869.3203685570636</v>
      </c>
      <c r="X148">
        <v>1849.4339816575202</v>
      </c>
      <c r="Y148">
        <v>1829.5475947579771</v>
      </c>
      <c r="Z148">
        <v>1809.6612078584333</v>
      </c>
      <c r="AA148">
        <v>1789.7748209588897</v>
      </c>
      <c r="AB148">
        <v>1769.8884340593468</v>
      </c>
      <c r="AC148">
        <v>1750.0020471598034</v>
      </c>
      <c r="AD148">
        <v>1730.1156602602605</v>
      </c>
      <c r="AE148">
        <v>1710.2292733607171</v>
      </c>
      <c r="AF148">
        <v>1690.3428864611735</v>
      </c>
      <c r="AG148">
        <v>1670.4564995616302</v>
      </c>
      <c r="AH148">
        <v>1650.570112662087</v>
      </c>
      <c r="AI148">
        <v>1630.6837257625439</v>
      </c>
      <c r="AJ148">
        <v>1626.5752184596579</v>
      </c>
    </row>
    <row r="149" spans="1:36" x14ac:dyDescent="0.35">
      <c r="A149" t="s">
        <v>1559</v>
      </c>
      <c r="B149" t="s">
        <v>1342</v>
      </c>
      <c r="C149" t="s">
        <v>1350</v>
      </c>
      <c r="D149">
        <v>30</v>
      </c>
      <c r="E149" t="s">
        <v>1500</v>
      </c>
      <c r="F149" t="s">
        <v>1556</v>
      </c>
      <c r="G149" t="s">
        <v>1557</v>
      </c>
      <c r="H149">
        <v>3217.8415751301068</v>
      </c>
      <c r="I149">
        <v>3229.4237905022496</v>
      </c>
      <c r="J149">
        <v>3006.1760433720701</v>
      </c>
      <c r="K149">
        <v>2790.2097968754915</v>
      </c>
      <c r="L149">
        <v>2717.3947905394875</v>
      </c>
      <c r="M149">
        <v>2644.5797842034835</v>
      </c>
      <c r="N149">
        <v>2571.7647778674796</v>
      </c>
      <c r="O149">
        <v>2498.9497715314751</v>
      </c>
      <c r="P149">
        <v>2426.1347651954716</v>
      </c>
      <c r="Q149">
        <v>2386.3664279451873</v>
      </c>
      <c r="R149">
        <v>2362.5027636657355</v>
      </c>
      <c r="S149">
        <v>2338.6390993862833</v>
      </c>
      <c r="T149">
        <v>2314.775435106832</v>
      </c>
      <c r="U149">
        <v>2290.9117708273798</v>
      </c>
      <c r="V149">
        <v>2267.048106547928</v>
      </c>
      <c r="W149">
        <v>2243.1844422684762</v>
      </c>
      <c r="X149">
        <v>2219.3207779890245</v>
      </c>
      <c r="Y149">
        <v>2195.4571137095722</v>
      </c>
      <c r="Z149">
        <v>2171.5934494301196</v>
      </c>
      <c r="AA149">
        <v>2147.7297851506678</v>
      </c>
      <c r="AB149">
        <v>2123.866120871216</v>
      </c>
      <c r="AC149">
        <v>2100.0024565917638</v>
      </c>
      <c r="AD149">
        <v>2076.1387923123125</v>
      </c>
      <c r="AE149">
        <v>2052.2751280328603</v>
      </c>
      <c r="AF149">
        <v>2028.4114637534083</v>
      </c>
      <c r="AG149">
        <v>2004.5477994739563</v>
      </c>
      <c r="AH149">
        <v>1980.6841351945045</v>
      </c>
      <c r="AI149">
        <v>1956.8204709150527</v>
      </c>
      <c r="AJ149">
        <v>1951.8902621515892</v>
      </c>
    </row>
    <row r="150" spans="1:36" x14ac:dyDescent="0.35">
      <c r="A150" t="s">
        <v>1560</v>
      </c>
      <c r="B150" t="s">
        <v>1342</v>
      </c>
      <c r="C150" t="s">
        <v>1343</v>
      </c>
      <c r="D150">
        <v>30</v>
      </c>
      <c r="E150" t="s">
        <v>1500</v>
      </c>
      <c r="F150" t="s">
        <v>1561</v>
      </c>
      <c r="G150" t="s">
        <v>1562</v>
      </c>
      <c r="H150">
        <v>8291.660442472079</v>
      </c>
      <c r="I150">
        <v>6708.5891216871123</v>
      </c>
      <c r="J150">
        <v>4999.0302426833487</v>
      </c>
      <c r="K150">
        <v>4285.8553909536186</v>
      </c>
      <c r="L150">
        <v>3769.5455176820724</v>
      </c>
      <c r="M150">
        <v>3321.4345512935229</v>
      </c>
      <c r="N150">
        <v>3039.6303426180884</v>
      </c>
      <c r="O150">
        <v>2751.8601403945177</v>
      </c>
      <c r="P150">
        <v>2456.9416827093214</v>
      </c>
      <c r="Q150">
        <v>2285.3262428411758</v>
      </c>
      <c r="R150">
        <v>2212.9734708073238</v>
      </c>
      <c r="S150">
        <v>2140.4701111197023</v>
      </c>
      <c r="T150">
        <v>2067.810796749694</v>
      </c>
      <c r="U150">
        <v>1994.9899025570421</v>
      </c>
      <c r="V150">
        <v>1922.0015295846222</v>
      </c>
      <c r="W150">
        <v>1848.8394881923402</v>
      </c>
      <c r="X150">
        <v>1775.4972799288207</v>
      </c>
      <c r="Y150">
        <v>1701.9680780292904</v>
      </c>
      <c r="Z150">
        <v>1628.2447064166147</v>
      </c>
      <c r="AA150">
        <v>1578.6083387349536</v>
      </c>
      <c r="AB150">
        <v>1528.853192690764</v>
      </c>
      <c r="AC150">
        <v>1478.9745281313249</v>
      </c>
      <c r="AD150">
        <v>1428.9673492796653</v>
      </c>
      <c r="AE150">
        <v>1378.8263872676312</v>
      </c>
      <c r="AF150">
        <v>1328.5460812168751</v>
      </c>
      <c r="AG150">
        <v>1278.1205577249602</v>
      </c>
      <c r="AH150">
        <v>1234.3487850992724</v>
      </c>
      <c r="AI150">
        <v>1221.880615552815</v>
      </c>
      <c r="AJ150">
        <v>1209.4124460063579</v>
      </c>
    </row>
    <row r="151" spans="1:36" x14ac:dyDescent="0.35">
      <c r="A151" t="s">
        <v>1563</v>
      </c>
      <c r="B151" t="s">
        <v>1342</v>
      </c>
      <c r="C151" t="s">
        <v>1348</v>
      </c>
      <c r="D151">
        <v>30</v>
      </c>
      <c r="E151" t="s">
        <v>1500</v>
      </c>
      <c r="F151" t="s">
        <v>1561</v>
      </c>
      <c r="G151" t="s">
        <v>1562</v>
      </c>
      <c r="H151">
        <v>8291.660442472079</v>
      </c>
      <c r="I151">
        <v>8064.5805399004657</v>
      </c>
      <c r="J151">
        <v>7188.695733629037</v>
      </c>
      <c r="K151">
        <v>6361.3169238860546</v>
      </c>
      <c r="L151">
        <v>5876.256958601597</v>
      </c>
      <c r="M151">
        <v>5391.1969933171395</v>
      </c>
      <c r="N151">
        <v>4906.1370280326837</v>
      </c>
      <c r="O151">
        <v>4421.0770627482261</v>
      </c>
      <c r="P151">
        <v>3931.1066923349144</v>
      </c>
      <c r="Q151">
        <v>3656.521988545881</v>
      </c>
      <c r="R151">
        <v>3540.7575532917185</v>
      </c>
      <c r="S151">
        <v>3424.752177791524</v>
      </c>
      <c r="T151">
        <v>3308.4972747995107</v>
      </c>
      <c r="U151">
        <v>3191.9838440912681</v>
      </c>
      <c r="V151">
        <v>3075.2024473353949</v>
      </c>
      <c r="W151">
        <v>2958.143181107745</v>
      </c>
      <c r="X151">
        <v>2840.7956478861133</v>
      </c>
      <c r="Y151">
        <v>2723.1489248468647</v>
      </c>
      <c r="Z151">
        <v>2605.1915302665834</v>
      </c>
      <c r="AA151">
        <v>2525.7733419759256</v>
      </c>
      <c r="AB151">
        <v>2446.1651083052225</v>
      </c>
      <c r="AC151">
        <v>2366.35924501012</v>
      </c>
      <c r="AD151">
        <v>2286.3477588474648</v>
      </c>
      <c r="AE151">
        <v>2206.1222196282097</v>
      </c>
      <c r="AF151">
        <v>2125.6737299470005</v>
      </c>
      <c r="AG151">
        <v>2044.9928923599361</v>
      </c>
      <c r="AH151">
        <v>1974.9580561588357</v>
      </c>
      <c r="AI151">
        <v>1955.0089848845039</v>
      </c>
      <c r="AJ151">
        <v>1935.0599136101723</v>
      </c>
    </row>
    <row r="152" spans="1:36" x14ac:dyDescent="0.35">
      <c r="A152" t="s">
        <v>1564</v>
      </c>
      <c r="B152" t="s">
        <v>1342</v>
      </c>
      <c r="C152" t="s">
        <v>1350</v>
      </c>
      <c r="D152">
        <v>30</v>
      </c>
      <c r="E152" t="s">
        <v>1500</v>
      </c>
      <c r="F152" t="s">
        <v>1561</v>
      </c>
      <c r="G152" t="s">
        <v>1562</v>
      </c>
      <c r="H152">
        <v>8291.660442472079</v>
      </c>
      <c r="I152">
        <v>8321.5052296672075</v>
      </c>
      <c r="J152">
        <v>7575.0911176115587</v>
      </c>
      <c r="K152">
        <v>6863.7402316838616</v>
      </c>
      <c r="L152">
        <v>6513.107970404335</v>
      </c>
      <c r="M152">
        <v>6162.4757091248084</v>
      </c>
      <c r="N152">
        <v>5811.84344784528</v>
      </c>
      <c r="O152">
        <v>5461.2111865657535</v>
      </c>
      <c r="P152">
        <v>5110.438700035389</v>
      </c>
      <c r="Q152">
        <v>4753.4785851096449</v>
      </c>
      <c r="R152">
        <v>4602.9848192792342</v>
      </c>
      <c r="S152">
        <v>4452.1778311289809</v>
      </c>
      <c r="T152">
        <v>4301.0464572393639</v>
      </c>
      <c r="U152">
        <v>4149.5789973186484</v>
      </c>
      <c r="V152">
        <v>3997.7631815360137</v>
      </c>
      <c r="W152">
        <v>3845.5861354400681</v>
      </c>
      <c r="X152">
        <v>3693.0343422519477</v>
      </c>
      <c r="Y152">
        <v>3540.0936023009244</v>
      </c>
      <c r="Z152">
        <v>3386.748989346559</v>
      </c>
      <c r="AA152">
        <v>3283.505344568704</v>
      </c>
      <c r="AB152">
        <v>3180.0146407967895</v>
      </c>
      <c r="AC152">
        <v>3076.2670185131556</v>
      </c>
      <c r="AD152">
        <v>2972.2520865017045</v>
      </c>
      <c r="AE152">
        <v>2867.958885516673</v>
      </c>
      <c r="AF152">
        <v>2763.3758489311008</v>
      </c>
      <c r="AG152">
        <v>2658.4907600679171</v>
      </c>
      <c r="AH152">
        <v>2567.4454730064867</v>
      </c>
      <c r="AI152">
        <v>2541.5116803498554</v>
      </c>
      <c r="AJ152">
        <v>2515.5778876932241</v>
      </c>
    </row>
    <row r="153" spans="1:36" x14ac:dyDescent="0.35">
      <c r="A153" t="s">
        <v>1565</v>
      </c>
      <c r="B153" t="s">
        <v>1342</v>
      </c>
      <c r="C153" t="s">
        <v>1343</v>
      </c>
      <c r="D153">
        <v>30</v>
      </c>
      <c r="E153" t="s">
        <v>1500</v>
      </c>
      <c r="F153" t="s">
        <v>1566</v>
      </c>
      <c r="G153" t="s">
        <v>1567</v>
      </c>
      <c r="H153">
        <v>6225.9086060556428</v>
      </c>
      <c r="I153">
        <v>5037.237479390873</v>
      </c>
      <c r="J153">
        <v>4152.2315232804476</v>
      </c>
      <c r="K153">
        <v>3494.1166948374598</v>
      </c>
      <c r="L153">
        <v>3105.9785148679794</v>
      </c>
      <c r="M153">
        <v>2771.4935568334331</v>
      </c>
      <c r="N153">
        <v>2575.3059047797847</v>
      </c>
      <c r="O153">
        <v>2375.7159465793652</v>
      </c>
      <c r="P153">
        <v>2172.0696403120173</v>
      </c>
      <c r="Q153">
        <v>2018.5206930949066</v>
      </c>
      <c r="R153">
        <v>1952.7198730009179</v>
      </c>
      <c r="S153">
        <v>1886.7802808621898</v>
      </c>
      <c r="T153">
        <v>1820.6969707650526</v>
      </c>
      <c r="U153">
        <v>1754.4647589364959</v>
      </c>
      <c r="V153">
        <v>1688.0782092712254</v>
      </c>
      <c r="W153">
        <v>1621.5316177889304</v>
      </c>
      <c r="X153">
        <v>1554.8189959283825</v>
      </c>
      <c r="Y153">
        <v>1487.9340525755158</v>
      </c>
      <c r="Z153">
        <v>1420.8701747121177</v>
      </c>
      <c r="AA153">
        <v>1375.494602453728</v>
      </c>
      <c r="AB153">
        <v>1330.0076679271453</v>
      </c>
      <c r="AC153">
        <v>1284.404926937759</v>
      </c>
      <c r="AD153">
        <v>1238.6816956269679</v>
      </c>
      <c r="AE153">
        <v>1192.8330340958212</v>
      </c>
      <c r="AF153">
        <v>1146.8537286672424</v>
      </c>
      <c r="AG153">
        <v>1100.7382726529468</v>
      </c>
      <c r="AH153">
        <v>1068.9384596689645</v>
      </c>
      <c r="AI153">
        <v>1056.0596830464467</v>
      </c>
      <c r="AJ153">
        <v>1043.1809064239292</v>
      </c>
    </row>
    <row r="154" spans="1:36" x14ac:dyDescent="0.35">
      <c r="A154" t="s">
        <v>1568</v>
      </c>
      <c r="B154" t="s">
        <v>1342</v>
      </c>
      <c r="C154" t="s">
        <v>1348</v>
      </c>
      <c r="D154">
        <v>30</v>
      </c>
      <c r="E154" t="s">
        <v>1500</v>
      </c>
      <c r="F154" t="s">
        <v>1566</v>
      </c>
      <c r="G154" t="s">
        <v>1567</v>
      </c>
      <c r="H154">
        <v>6225.9086060556428</v>
      </c>
      <c r="I154">
        <v>6055.4025018209422</v>
      </c>
      <c r="J154">
        <v>5427.2842105434111</v>
      </c>
      <c r="K154">
        <v>4832.7728452671126</v>
      </c>
      <c r="L154">
        <v>4496.703585254787</v>
      </c>
      <c r="M154">
        <v>4160.6343252424613</v>
      </c>
      <c r="N154">
        <v>3824.5650652301351</v>
      </c>
      <c r="O154">
        <v>3488.495805217809</v>
      </c>
      <c r="P154">
        <v>3340.60686068319</v>
      </c>
      <c r="Q154">
        <v>3220.7421579454599</v>
      </c>
      <c r="R154">
        <v>3100.8774552077302</v>
      </c>
      <c r="S154">
        <v>2981.0127524700006</v>
      </c>
      <c r="T154">
        <v>2861.1480497322714</v>
      </c>
      <c r="U154">
        <v>2741.2833469945417</v>
      </c>
      <c r="V154">
        <v>2621.4186442568121</v>
      </c>
      <c r="W154">
        <v>2501.5539415190824</v>
      </c>
      <c r="X154">
        <v>2381.6892387813532</v>
      </c>
      <c r="Y154">
        <v>2261.8245360436231</v>
      </c>
      <c r="Z154">
        <v>2134.0398010782701</v>
      </c>
      <c r="AA154">
        <v>2094.8317207434989</v>
      </c>
      <c r="AB154">
        <v>2055.6236404087276</v>
      </c>
      <c r="AC154">
        <v>2016.4155600739562</v>
      </c>
      <c r="AD154">
        <v>1977.2074797391845</v>
      </c>
      <c r="AE154">
        <v>1937.9993994044132</v>
      </c>
      <c r="AF154">
        <v>1898.791319069642</v>
      </c>
      <c r="AG154">
        <v>1859.5832387348705</v>
      </c>
      <c r="AH154">
        <v>1820.3751584000993</v>
      </c>
      <c r="AI154">
        <v>1781.1670780653278</v>
      </c>
      <c r="AJ154">
        <v>1741.9589977305563</v>
      </c>
    </row>
    <row r="155" spans="1:36" x14ac:dyDescent="0.35">
      <c r="A155" t="s">
        <v>1569</v>
      </c>
      <c r="B155" t="s">
        <v>1342</v>
      </c>
      <c r="C155" t="s">
        <v>1350</v>
      </c>
      <c r="D155">
        <v>30</v>
      </c>
      <c r="E155" t="s">
        <v>1500</v>
      </c>
      <c r="F155" t="s">
        <v>1566</v>
      </c>
      <c r="G155" t="s">
        <v>1567</v>
      </c>
      <c r="H155">
        <v>6225.9086060556428</v>
      </c>
      <c r="I155">
        <v>6530.9459529062024</v>
      </c>
      <c r="J155">
        <v>5998.8362912200191</v>
      </c>
      <c r="K155">
        <v>5489.1312468679907</v>
      </c>
      <c r="L155">
        <v>5265.0850735264403</v>
      </c>
      <c r="M155">
        <v>5055.6019014520907</v>
      </c>
      <c r="N155">
        <v>4816.9927268433394</v>
      </c>
      <c r="O155">
        <v>4535.0445467831514</v>
      </c>
      <c r="P155">
        <v>4342.7889188881472</v>
      </c>
      <c r="Q155">
        <v>4186.9648053290985</v>
      </c>
      <c r="R155">
        <v>4031.1406917700492</v>
      </c>
      <c r="S155">
        <v>3875.3165782110013</v>
      </c>
      <c r="T155">
        <v>3719.4924646519526</v>
      </c>
      <c r="U155">
        <v>3563.6683510929042</v>
      </c>
      <c r="V155">
        <v>3407.8442375338559</v>
      </c>
      <c r="W155">
        <v>3252.0201239748071</v>
      </c>
      <c r="X155">
        <v>3096.1960104157583</v>
      </c>
      <c r="Y155">
        <v>2940.3718968567105</v>
      </c>
      <c r="Z155">
        <v>2774.2517414017511</v>
      </c>
      <c r="AA155">
        <v>2723.281236966548</v>
      </c>
      <c r="AB155">
        <v>2672.3107325313454</v>
      </c>
      <c r="AC155">
        <v>2621.3402280961427</v>
      </c>
      <c r="AD155">
        <v>2570.3697236609396</v>
      </c>
      <c r="AE155">
        <v>2519.3992192257369</v>
      </c>
      <c r="AF155">
        <v>2468.4287147905343</v>
      </c>
      <c r="AG155">
        <v>2417.4582103553321</v>
      </c>
      <c r="AH155">
        <v>2366.4877059201285</v>
      </c>
      <c r="AI155">
        <v>2315.5172014849263</v>
      </c>
      <c r="AJ155">
        <v>2264.5466970497237</v>
      </c>
    </row>
    <row r="156" spans="1:36" x14ac:dyDescent="0.35">
      <c r="A156" t="s">
        <v>1570</v>
      </c>
      <c r="B156" t="s">
        <v>1342</v>
      </c>
      <c r="C156" t="s">
        <v>1343</v>
      </c>
      <c r="D156">
        <v>30</v>
      </c>
      <c r="E156" t="s">
        <v>1500</v>
      </c>
      <c r="F156" t="s">
        <v>1571</v>
      </c>
      <c r="G156" t="s">
        <v>1572</v>
      </c>
      <c r="H156">
        <v>4042.3620426706452</v>
      </c>
      <c r="I156">
        <v>3388.6983717909538</v>
      </c>
      <c r="J156">
        <v>3058.2302661121666</v>
      </c>
      <c r="K156">
        <v>2679.5922331649458</v>
      </c>
      <c r="L156">
        <v>2446.5842128897334</v>
      </c>
      <c r="M156">
        <v>2213.5761926145206</v>
      </c>
      <c r="N156">
        <v>1980.5681723393077</v>
      </c>
      <c r="O156">
        <v>1747.5601520640953</v>
      </c>
      <c r="P156">
        <v>1677.5545781547041</v>
      </c>
      <c r="Q156">
        <v>1578.8338380545854</v>
      </c>
      <c r="R156">
        <v>1547.9427591386575</v>
      </c>
      <c r="S156">
        <v>1517.0057345905227</v>
      </c>
      <c r="T156">
        <v>1486.0211268820265</v>
      </c>
      <c r="U156">
        <v>1454.9872197328566</v>
      </c>
      <c r="V156">
        <v>1423.9022133187425</v>
      </c>
      <c r="W156">
        <v>1392.7642191254497</v>
      </c>
      <c r="X156">
        <v>1361.5712544176802</v>
      </c>
      <c r="Y156">
        <v>1330.3212362887978</v>
      </c>
      <c r="Z156">
        <v>1299.0119752538562</v>
      </c>
      <c r="AA156">
        <v>1284.4467332148711</v>
      </c>
      <c r="AB156">
        <v>1269.8804046101288</v>
      </c>
      <c r="AC156">
        <v>1255.3129460774583</v>
      </c>
      <c r="AD156">
        <v>1240.7443119162801</v>
      </c>
      <c r="AE156">
        <v>1226.1744539278163</v>
      </c>
      <c r="AF156">
        <v>1211.6033212420286</v>
      </c>
      <c r="AG156">
        <v>1197.0308601299555</v>
      </c>
      <c r="AH156">
        <v>1173.301804018033</v>
      </c>
      <c r="AI156">
        <v>1157.3385141674473</v>
      </c>
      <c r="AJ156">
        <v>1141.3752243168622</v>
      </c>
    </row>
    <row r="157" spans="1:36" x14ac:dyDescent="0.35">
      <c r="A157" t="s">
        <v>1573</v>
      </c>
      <c r="B157" t="s">
        <v>1342</v>
      </c>
      <c r="C157" t="s">
        <v>1348</v>
      </c>
      <c r="D157">
        <v>30</v>
      </c>
      <c r="E157" t="s">
        <v>1500</v>
      </c>
      <c r="F157" t="s">
        <v>1571</v>
      </c>
      <c r="G157" t="s">
        <v>1572</v>
      </c>
      <c r="H157">
        <v>4042.3620426706452</v>
      </c>
      <c r="I157">
        <v>3931.6557269480527</v>
      </c>
      <c r="J157">
        <v>3557.6878629287066</v>
      </c>
      <c r="K157">
        <v>3202.3158312967098</v>
      </c>
      <c r="L157">
        <v>3016.3575074232226</v>
      </c>
      <c r="M157">
        <v>2830.3991835497359</v>
      </c>
      <c r="N157">
        <v>2644.4408596762487</v>
      </c>
      <c r="O157">
        <v>2458.4825358027615</v>
      </c>
      <c r="P157">
        <v>2371.6407679069839</v>
      </c>
      <c r="Q157">
        <v>2330.976387445492</v>
      </c>
      <c r="R157">
        <v>2290.3120069840011</v>
      </c>
      <c r="S157">
        <v>2249.6476265225092</v>
      </c>
      <c r="T157">
        <v>2208.9832460610182</v>
      </c>
      <c r="U157">
        <v>2168.3188655995264</v>
      </c>
      <c r="V157">
        <v>2127.6544851380354</v>
      </c>
      <c r="W157">
        <v>2086.990104676544</v>
      </c>
      <c r="X157">
        <v>2046.3257242150526</v>
      </c>
      <c r="Y157">
        <v>2005.6613437535611</v>
      </c>
      <c r="Z157">
        <v>1964.9969632920699</v>
      </c>
      <c r="AA157">
        <v>1924.3325828305785</v>
      </c>
      <c r="AB157">
        <v>1883.6682023690871</v>
      </c>
      <c r="AC157">
        <v>1843.0038219075957</v>
      </c>
      <c r="AD157">
        <v>1802.3394414461043</v>
      </c>
      <c r="AE157">
        <v>1761.6750609846126</v>
      </c>
      <c r="AF157">
        <v>1721.0106805231212</v>
      </c>
      <c r="AG157">
        <v>1680.3463000616298</v>
      </c>
      <c r="AH157">
        <v>1680.3463000616298</v>
      </c>
      <c r="AI157">
        <v>1680.3463000616298</v>
      </c>
      <c r="AJ157">
        <v>1680.3463000616298</v>
      </c>
    </row>
    <row r="158" spans="1:36" x14ac:dyDescent="0.35">
      <c r="A158" t="s">
        <v>1574</v>
      </c>
      <c r="B158" t="s">
        <v>1342</v>
      </c>
      <c r="C158" t="s">
        <v>1350</v>
      </c>
      <c r="D158">
        <v>30</v>
      </c>
      <c r="E158" t="s">
        <v>1500</v>
      </c>
      <c r="F158" t="s">
        <v>1571</v>
      </c>
      <c r="G158" t="s">
        <v>1572</v>
      </c>
      <c r="H158">
        <v>4042.3620426706452</v>
      </c>
      <c r="I158">
        <v>4056.912015594186</v>
      </c>
      <c r="J158">
        <v>3743.1202588715223</v>
      </c>
      <c r="K158">
        <v>3441.651041682645</v>
      </c>
      <c r="L158">
        <v>3318.4256463447919</v>
      </c>
      <c r="M158">
        <v>3195.2002510069392</v>
      </c>
      <c r="N158">
        <v>3071.9748556690861</v>
      </c>
      <c r="O158">
        <v>2948.749460331233</v>
      </c>
      <c r="P158">
        <v>2845.9689214883806</v>
      </c>
      <c r="Q158">
        <v>2797.1716649345908</v>
      </c>
      <c r="R158">
        <v>2748.374408380801</v>
      </c>
      <c r="S158">
        <v>2699.5771518270117</v>
      </c>
      <c r="T158">
        <v>2650.7798952732219</v>
      </c>
      <c r="U158">
        <v>2601.9826387194321</v>
      </c>
      <c r="V158">
        <v>2553.1853821656423</v>
      </c>
      <c r="W158">
        <v>2504.3881256118525</v>
      </c>
      <c r="X158">
        <v>2455.5908690580632</v>
      </c>
      <c r="Y158">
        <v>2406.7936125042734</v>
      </c>
      <c r="Z158">
        <v>2357.996355950484</v>
      </c>
      <c r="AA158">
        <v>2309.1990993966942</v>
      </c>
      <c r="AB158">
        <v>2260.401842842904</v>
      </c>
      <c r="AC158">
        <v>2211.6045862891146</v>
      </c>
      <c r="AD158">
        <v>2162.8073297353249</v>
      </c>
      <c r="AE158">
        <v>2114.0100731815355</v>
      </c>
      <c r="AF158">
        <v>2065.2128166277457</v>
      </c>
      <c r="AG158">
        <v>2016.4155600739562</v>
      </c>
      <c r="AH158">
        <v>2016.4155600739562</v>
      </c>
      <c r="AI158">
        <v>2016.4155600739562</v>
      </c>
      <c r="AJ158">
        <v>2016.4155600739562</v>
      </c>
    </row>
    <row r="159" spans="1:36" x14ac:dyDescent="0.35">
      <c r="A159" t="s">
        <v>1575</v>
      </c>
      <c r="B159" t="s">
        <v>1342</v>
      </c>
      <c r="C159" t="s">
        <v>1343</v>
      </c>
      <c r="D159">
        <v>30</v>
      </c>
      <c r="E159" t="s">
        <v>1500</v>
      </c>
      <c r="F159" t="s">
        <v>1576</v>
      </c>
      <c r="G159" t="s">
        <v>1577</v>
      </c>
      <c r="H159">
        <v>3217.8415751301068</v>
      </c>
      <c r="I159">
        <v>2603.4805858251416</v>
      </c>
      <c r="J159">
        <v>2161.1401861076138</v>
      </c>
      <c r="K159">
        <v>1749.6569647795254</v>
      </c>
      <c r="L159">
        <v>1709.1382143307058</v>
      </c>
      <c r="M159">
        <v>1668.6194638818863</v>
      </c>
      <c r="N159">
        <v>1628.1007134330669</v>
      </c>
      <c r="O159">
        <v>1587.5819629842472</v>
      </c>
      <c r="P159">
        <v>1547.0632125354277</v>
      </c>
      <c r="Q159">
        <v>1506.5444620866083</v>
      </c>
      <c r="R159">
        <v>1491.4790174657423</v>
      </c>
      <c r="S159">
        <v>1476.4135728448762</v>
      </c>
      <c r="T159">
        <v>1461.3481282240102</v>
      </c>
      <c r="U159">
        <v>1446.2826836031441</v>
      </c>
      <c r="V159">
        <v>1431.2172389822776</v>
      </c>
      <c r="W159">
        <v>1416.1517943614117</v>
      </c>
      <c r="X159">
        <v>1401.0863497405455</v>
      </c>
      <c r="Y159">
        <v>1386.0209051196796</v>
      </c>
      <c r="Z159">
        <v>1370.9554604988132</v>
      </c>
      <c r="AA159">
        <v>1355.8900158779468</v>
      </c>
      <c r="AB159">
        <v>1340.8245712570808</v>
      </c>
      <c r="AC159">
        <v>1325.7591266362147</v>
      </c>
      <c r="AD159">
        <v>1310.6936820153487</v>
      </c>
      <c r="AE159">
        <v>1295.6282373944825</v>
      </c>
      <c r="AF159">
        <v>1280.5627927736164</v>
      </c>
      <c r="AG159">
        <v>1265.4973481527502</v>
      </c>
      <c r="AH159">
        <v>1250.431903531884</v>
      </c>
      <c r="AI159">
        <v>1235.3664589110181</v>
      </c>
      <c r="AJ159">
        <v>1232.2539533785286</v>
      </c>
    </row>
    <row r="160" spans="1:36" x14ac:dyDescent="0.35">
      <c r="A160" t="s">
        <v>1578</v>
      </c>
      <c r="B160" t="s">
        <v>1342</v>
      </c>
      <c r="C160" t="s">
        <v>1348</v>
      </c>
      <c r="D160">
        <v>30</v>
      </c>
      <c r="E160" t="s">
        <v>1500</v>
      </c>
      <c r="F160" t="s">
        <v>1576</v>
      </c>
      <c r="G160" t="s">
        <v>1577</v>
      </c>
      <c r="H160">
        <v>3217.8415751301068</v>
      </c>
      <c r="I160">
        <v>3129.7160233855425</v>
      </c>
      <c r="J160">
        <v>2706.2403786625837</v>
      </c>
      <c r="K160">
        <v>2309.5471935089736</v>
      </c>
      <c r="L160">
        <v>2256.0624429165323</v>
      </c>
      <c r="M160">
        <v>2202.5776923240901</v>
      </c>
      <c r="N160">
        <v>2149.0929417316484</v>
      </c>
      <c r="O160">
        <v>2095.6081911392066</v>
      </c>
      <c r="P160">
        <v>2042.1234405467649</v>
      </c>
      <c r="Q160">
        <v>1988.6386899543227</v>
      </c>
      <c r="R160">
        <v>1968.7523030547798</v>
      </c>
      <c r="S160">
        <v>1948.8659161552364</v>
      </c>
      <c r="T160">
        <v>1928.9795292556935</v>
      </c>
      <c r="U160">
        <v>1909.0931423561501</v>
      </c>
      <c r="V160">
        <v>1889.2067554566065</v>
      </c>
      <c r="W160">
        <v>1869.3203685570636</v>
      </c>
      <c r="X160">
        <v>1849.4339816575202</v>
      </c>
      <c r="Y160">
        <v>1829.5475947579771</v>
      </c>
      <c r="Z160">
        <v>1809.6612078584333</v>
      </c>
      <c r="AA160">
        <v>1789.7748209588897</v>
      </c>
      <c r="AB160">
        <v>1769.8884340593468</v>
      </c>
      <c r="AC160">
        <v>1750.0020471598034</v>
      </c>
      <c r="AD160">
        <v>1730.1156602602605</v>
      </c>
      <c r="AE160">
        <v>1710.2292733607171</v>
      </c>
      <c r="AF160">
        <v>1690.3428864611735</v>
      </c>
      <c r="AG160">
        <v>1670.4564995616302</v>
      </c>
      <c r="AH160">
        <v>1650.570112662087</v>
      </c>
      <c r="AI160">
        <v>1630.6837257625439</v>
      </c>
      <c r="AJ160">
        <v>1626.5752184596579</v>
      </c>
    </row>
    <row r="161" spans="1:36" x14ac:dyDescent="0.35">
      <c r="A161" t="s">
        <v>1579</v>
      </c>
      <c r="B161" t="s">
        <v>1342</v>
      </c>
      <c r="C161" t="s">
        <v>1350</v>
      </c>
      <c r="D161">
        <v>30</v>
      </c>
      <c r="E161" t="s">
        <v>1500</v>
      </c>
      <c r="F161" t="s">
        <v>1576</v>
      </c>
      <c r="G161" t="s">
        <v>1577</v>
      </c>
      <c r="H161">
        <v>3217.8415751301068</v>
      </c>
      <c r="I161">
        <v>3229.4237905022496</v>
      </c>
      <c r="J161">
        <v>3006.1760433720701</v>
      </c>
      <c r="K161">
        <v>2790.2097968754915</v>
      </c>
      <c r="L161">
        <v>2717.3947905394875</v>
      </c>
      <c r="M161">
        <v>2644.5797842034835</v>
      </c>
      <c r="N161">
        <v>2571.7647778674796</v>
      </c>
      <c r="O161">
        <v>2498.9497715314751</v>
      </c>
      <c r="P161">
        <v>2426.1347651954716</v>
      </c>
      <c r="Q161">
        <v>2386.3664279451873</v>
      </c>
      <c r="R161">
        <v>2362.5027636657355</v>
      </c>
      <c r="S161">
        <v>2338.6390993862833</v>
      </c>
      <c r="T161">
        <v>2314.775435106832</v>
      </c>
      <c r="U161">
        <v>2290.9117708273798</v>
      </c>
      <c r="V161">
        <v>2267.048106547928</v>
      </c>
      <c r="W161">
        <v>2243.1844422684762</v>
      </c>
      <c r="X161">
        <v>2219.3207779890245</v>
      </c>
      <c r="Y161">
        <v>2195.4571137095722</v>
      </c>
      <c r="Z161">
        <v>2171.5934494301196</v>
      </c>
      <c r="AA161">
        <v>2147.7297851506678</v>
      </c>
      <c r="AB161">
        <v>2123.866120871216</v>
      </c>
      <c r="AC161">
        <v>2100.0024565917638</v>
      </c>
      <c r="AD161">
        <v>2076.1387923123125</v>
      </c>
      <c r="AE161">
        <v>2052.2751280328603</v>
      </c>
      <c r="AF161">
        <v>2028.4114637534083</v>
      </c>
      <c r="AG161">
        <v>2004.5477994739563</v>
      </c>
      <c r="AH161">
        <v>1980.6841351945045</v>
      </c>
      <c r="AI161">
        <v>1956.8204709150527</v>
      </c>
      <c r="AJ161">
        <v>1951.8902621515892</v>
      </c>
    </row>
    <row r="162" spans="1:36" x14ac:dyDescent="0.35">
      <c r="A162" t="s">
        <v>1580</v>
      </c>
      <c r="B162" t="s">
        <v>1342</v>
      </c>
      <c r="C162" t="s">
        <v>1343</v>
      </c>
      <c r="D162">
        <v>30</v>
      </c>
      <c r="E162" t="s">
        <v>1500</v>
      </c>
      <c r="F162" t="s">
        <v>1581</v>
      </c>
      <c r="G162" t="s">
        <v>1582</v>
      </c>
      <c r="H162">
        <v>8291.660442472079</v>
      </c>
      <c r="I162">
        <v>6708.5891216871123</v>
      </c>
      <c r="J162">
        <v>4999.0302426833487</v>
      </c>
      <c r="K162">
        <v>4285.8553909536186</v>
      </c>
      <c r="L162">
        <v>3769.5455176820724</v>
      </c>
      <c r="M162">
        <v>3321.4345512935229</v>
      </c>
      <c r="N162">
        <v>3039.6303426180884</v>
      </c>
      <c r="O162">
        <v>2751.8601403945177</v>
      </c>
      <c r="P162">
        <v>2456.9416827093214</v>
      </c>
      <c r="Q162">
        <v>2285.3262428411758</v>
      </c>
      <c r="R162">
        <v>2212.9734708073238</v>
      </c>
      <c r="S162">
        <v>2140.4701111197023</v>
      </c>
      <c r="T162">
        <v>2067.810796749694</v>
      </c>
      <c r="U162">
        <v>1994.9899025570421</v>
      </c>
      <c r="V162">
        <v>1922.0015295846222</v>
      </c>
      <c r="W162">
        <v>1848.8394881923402</v>
      </c>
      <c r="X162">
        <v>1775.4972799288207</v>
      </c>
      <c r="Y162">
        <v>1701.9680780292904</v>
      </c>
      <c r="Z162">
        <v>1628.2447064166147</v>
      </c>
      <c r="AA162">
        <v>1578.6083387349536</v>
      </c>
      <c r="AB162">
        <v>1528.853192690764</v>
      </c>
      <c r="AC162">
        <v>1478.9745281313249</v>
      </c>
      <c r="AD162">
        <v>1428.9673492796653</v>
      </c>
      <c r="AE162">
        <v>1378.8263872676312</v>
      </c>
      <c r="AF162">
        <v>1328.5460812168751</v>
      </c>
      <c r="AG162">
        <v>1278.1205577249602</v>
      </c>
      <c r="AH162">
        <v>1234.3487850992724</v>
      </c>
      <c r="AI162">
        <v>1221.880615552815</v>
      </c>
      <c r="AJ162">
        <v>1209.4124460063579</v>
      </c>
    </row>
    <row r="163" spans="1:36" x14ac:dyDescent="0.35">
      <c r="A163" t="s">
        <v>1583</v>
      </c>
      <c r="B163" t="s">
        <v>1342</v>
      </c>
      <c r="C163" t="s">
        <v>1348</v>
      </c>
      <c r="D163">
        <v>30</v>
      </c>
      <c r="E163" t="s">
        <v>1500</v>
      </c>
      <c r="F163" t="s">
        <v>1581</v>
      </c>
      <c r="G163" t="s">
        <v>1582</v>
      </c>
      <c r="H163">
        <v>8291.660442472079</v>
      </c>
      <c r="I163">
        <v>8064.5805399004657</v>
      </c>
      <c r="J163">
        <v>7188.695733629037</v>
      </c>
      <c r="K163">
        <v>6361.3169238860546</v>
      </c>
      <c r="L163">
        <v>5876.256958601597</v>
      </c>
      <c r="M163">
        <v>5391.1969933171395</v>
      </c>
      <c r="N163">
        <v>4906.1370280326837</v>
      </c>
      <c r="O163">
        <v>4421.0770627482261</v>
      </c>
      <c r="P163">
        <v>3931.1066923349144</v>
      </c>
      <c r="Q163">
        <v>3656.521988545881</v>
      </c>
      <c r="R163">
        <v>3540.7575532917185</v>
      </c>
      <c r="S163">
        <v>3424.752177791524</v>
      </c>
      <c r="T163">
        <v>3308.4972747995107</v>
      </c>
      <c r="U163">
        <v>3191.9838440912681</v>
      </c>
      <c r="V163">
        <v>3075.2024473353949</v>
      </c>
      <c r="W163">
        <v>2958.143181107745</v>
      </c>
      <c r="X163">
        <v>2840.7956478861133</v>
      </c>
      <c r="Y163">
        <v>2723.1489248468647</v>
      </c>
      <c r="Z163">
        <v>2605.1915302665834</v>
      </c>
      <c r="AA163">
        <v>2525.7733419759256</v>
      </c>
      <c r="AB163">
        <v>2446.1651083052225</v>
      </c>
      <c r="AC163">
        <v>2366.35924501012</v>
      </c>
      <c r="AD163">
        <v>2286.3477588474648</v>
      </c>
      <c r="AE163">
        <v>2206.1222196282097</v>
      </c>
      <c r="AF163">
        <v>2125.6737299470005</v>
      </c>
      <c r="AG163">
        <v>2044.9928923599361</v>
      </c>
      <c r="AH163">
        <v>1974.9580561588357</v>
      </c>
      <c r="AI163">
        <v>1955.0089848845039</v>
      </c>
      <c r="AJ163">
        <v>1935.0599136101723</v>
      </c>
    </row>
    <row r="164" spans="1:36" x14ac:dyDescent="0.35">
      <c r="A164" t="s">
        <v>1584</v>
      </c>
      <c r="B164" t="s">
        <v>1342</v>
      </c>
      <c r="C164" t="s">
        <v>1350</v>
      </c>
      <c r="D164">
        <v>30</v>
      </c>
      <c r="E164" t="s">
        <v>1500</v>
      </c>
      <c r="F164" t="s">
        <v>1581</v>
      </c>
      <c r="G164" t="s">
        <v>1582</v>
      </c>
      <c r="H164">
        <v>8291.660442472079</v>
      </c>
      <c r="I164">
        <v>8321.5052296672075</v>
      </c>
      <c r="J164">
        <v>7575.0911176115587</v>
      </c>
      <c r="K164">
        <v>6863.7402316838616</v>
      </c>
      <c r="L164">
        <v>6513.107970404335</v>
      </c>
      <c r="M164">
        <v>6162.4757091248084</v>
      </c>
      <c r="N164">
        <v>5811.84344784528</v>
      </c>
      <c r="O164">
        <v>5461.2111865657535</v>
      </c>
      <c r="P164">
        <v>5110.438700035389</v>
      </c>
      <c r="Q164">
        <v>4753.4785851096449</v>
      </c>
      <c r="R164">
        <v>4602.9848192792342</v>
      </c>
      <c r="S164">
        <v>4452.1778311289809</v>
      </c>
      <c r="T164">
        <v>4301.0464572393639</v>
      </c>
      <c r="U164">
        <v>4149.5789973186484</v>
      </c>
      <c r="V164">
        <v>3997.7631815360137</v>
      </c>
      <c r="W164">
        <v>3845.5861354400681</v>
      </c>
      <c r="X164">
        <v>3693.0343422519477</v>
      </c>
      <c r="Y164">
        <v>3540.0936023009244</v>
      </c>
      <c r="Z164">
        <v>3386.748989346559</v>
      </c>
      <c r="AA164">
        <v>3283.505344568704</v>
      </c>
      <c r="AB164">
        <v>3180.0146407967895</v>
      </c>
      <c r="AC164">
        <v>3076.2670185131556</v>
      </c>
      <c r="AD164">
        <v>2972.2520865017045</v>
      </c>
      <c r="AE164">
        <v>2867.958885516673</v>
      </c>
      <c r="AF164">
        <v>2763.3758489311008</v>
      </c>
      <c r="AG164">
        <v>2658.4907600679171</v>
      </c>
      <c r="AH164">
        <v>2567.4454730064867</v>
      </c>
      <c r="AI164">
        <v>2541.5116803498554</v>
      </c>
      <c r="AJ164">
        <v>2515.5778876932241</v>
      </c>
    </row>
    <row r="165" spans="1:36" x14ac:dyDescent="0.35">
      <c r="A165" t="s">
        <v>1585</v>
      </c>
      <c r="B165" t="s">
        <v>1342</v>
      </c>
      <c r="C165" t="s">
        <v>1343</v>
      </c>
      <c r="D165">
        <v>30</v>
      </c>
      <c r="E165" t="s">
        <v>1500</v>
      </c>
      <c r="F165" t="s">
        <v>1586</v>
      </c>
      <c r="G165" t="s">
        <v>1587</v>
      </c>
      <c r="H165">
        <v>6225.9086060556428</v>
      </c>
      <c r="I165">
        <v>5037.237479390873</v>
      </c>
      <c r="J165">
        <v>4152.2315232804476</v>
      </c>
      <c r="K165">
        <v>3494.1166948374598</v>
      </c>
      <c r="L165">
        <v>3105.9785148679794</v>
      </c>
      <c r="M165">
        <v>2771.4935568334331</v>
      </c>
      <c r="N165">
        <v>2575.3059047797847</v>
      </c>
      <c r="O165">
        <v>2375.7159465793652</v>
      </c>
      <c r="P165">
        <v>2172.0696403120173</v>
      </c>
      <c r="Q165">
        <v>2018.5206930949066</v>
      </c>
      <c r="R165">
        <v>1952.7198730009179</v>
      </c>
      <c r="S165">
        <v>1886.7802808621898</v>
      </c>
      <c r="T165">
        <v>1820.6969707650526</v>
      </c>
      <c r="U165">
        <v>1754.4647589364959</v>
      </c>
      <c r="V165">
        <v>1688.0782092712254</v>
      </c>
      <c r="W165">
        <v>1621.5316177889304</v>
      </c>
      <c r="X165">
        <v>1554.8189959283825</v>
      </c>
      <c r="Y165">
        <v>1487.9340525755158</v>
      </c>
      <c r="Z165">
        <v>1420.8701747121177</v>
      </c>
      <c r="AA165">
        <v>1375.494602453728</v>
      </c>
      <c r="AB165">
        <v>1330.0076679271453</v>
      </c>
      <c r="AC165">
        <v>1284.404926937759</v>
      </c>
      <c r="AD165">
        <v>1238.6816956269679</v>
      </c>
      <c r="AE165">
        <v>1192.8330340958212</v>
      </c>
      <c r="AF165">
        <v>1146.8537286672424</v>
      </c>
      <c r="AG165">
        <v>1100.7382726529468</v>
      </c>
      <c r="AH165">
        <v>1068.9384596689645</v>
      </c>
      <c r="AI165">
        <v>1056.0596830464467</v>
      </c>
      <c r="AJ165">
        <v>1043.1809064239292</v>
      </c>
    </row>
    <row r="166" spans="1:36" x14ac:dyDescent="0.35">
      <c r="A166" t="s">
        <v>1588</v>
      </c>
      <c r="B166" t="s">
        <v>1342</v>
      </c>
      <c r="C166" t="s">
        <v>1348</v>
      </c>
      <c r="D166">
        <v>30</v>
      </c>
      <c r="E166" t="s">
        <v>1500</v>
      </c>
      <c r="F166" t="s">
        <v>1586</v>
      </c>
      <c r="G166" t="s">
        <v>1587</v>
      </c>
      <c r="H166">
        <v>6225.9086060556428</v>
      </c>
      <c r="I166">
        <v>6055.4025018209422</v>
      </c>
      <c r="J166">
        <v>5397.8781502923321</v>
      </c>
      <c r="K166">
        <v>4776.761301931725</v>
      </c>
      <c r="L166">
        <v>4412.6862702517055</v>
      </c>
      <c r="M166">
        <v>4048.6112385716856</v>
      </c>
      <c r="N166">
        <v>3684.5362068916661</v>
      </c>
      <c r="O166">
        <v>3320.4611752116462</v>
      </c>
      <c r="P166">
        <v>2956.3861435316262</v>
      </c>
      <c r="Q166">
        <v>2911.9847877582702</v>
      </c>
      <c r="R166">
        <v>2812.8716216915041</v>
      </c>
      <c r="S166">
        <v>2713.758455624738</v>
      </c>
      <c r="T166">
        <v>2614.64528955797</v>
      </c>
      <c r="U166">
        <v>2515.5321234912035</v>
      </c>
      <c r="V166">
        <v>2416.4189574244365</v>
      </c>
      <c r="W166">
        <v>2317.3057913576708</v>
      </c>
      <c r="X166">
        <v>2270.0357340554388</v>
      </c>
      <c r="Y166">
        <v>2172.3837167602528</v>
      </c>
      <c r="Z166">
        <v>2074.4704550796914</v>
      </c>
      <c r="AA166">
        <v>2035.26237474492</v>
      </c>
      <c r="AB166">
        <v>1996.0542944101487</v>
      </c>
      <c r="AC166">
        <v>1956.8462140753775</v>
      </c>
      <c r="AD166">
        <v>1917.638133740606</v>
      </c>
      <c r="AE166">
        <v>1878.4300534058348</v>
      </c>
      <c r="AF166">
        <v>1839.2219730710633</v>
      </c>
      <c r="AG166">
        <v>1800.0138927362918</v>
      </c>
      <c r="AH166">
        <v>1760.8058124015206</v>
      </c>
      <c r="AI166">
        <v>1721.5977320667494</v>
      </c>
      <c r="AJ166">
        <v>1682.3896517319779</v>
      </c>
    </row>
    <row r="167" spans="1:36" x14ac:dyDescent="0.35">
      <c r="A167" t="s">
        <v>1589</v>
      </c>
      <c r="B167" t="s">
        <v>1342</v>
      </c>
      <c r="C167" t="s">
        <v>1350</v>
      </c>
      <c r="D167">
        <v>30</v>
      </c>
      <c r="E167" t="s">
        <v>1500</v>
      </c>
      <c r="F167" t="s">
        <v>1586</v>
      </c>
      <c r="G167" t="s">
        <v>1587</v>
      </c>
      <c r="H167">
        <v>6225.9086060556428</v>
      </c>
      <c r="I167">
        <v>6530.9459529062024</v>
      </c>
      <c r="J167">
        <v>5998.8362912200191</v>
      </c>
      <c r="K167">
        <v>5433.1197035326031</v>
      </c>
      <c r="L167">
        <v>5153.0619868556651</v>
      </c>
      <c r="M167">
        <v>4873.004270178727</v>
      </c>
      <c r="N167">
        <v>4592.946553501788</v>
      </c>
      <c r="O167">
        <v>4312.8888368248499</v>
      </c>
      <c r="P167">
        <v>4088.8426634832999</v>
      </c>
      <c r="Q167">
        <v>4000.3444250133871</v>
      </c>
      <c r="R167">
        <v>3911.8461865434747</v>
      </c>
      <c r="S167">
        <v>3823.3479480735623</v>
      </c>
      <c r="T167">
        <v>3734.8497096036494</v>
      </c>
      <c r="U167">
        <v>3646.351471133737</v>
      </c>
      <c r="V167">
        <v>3557.8532326638247</v>
      </c>
      <c r="W167">
        <v>3469.3549941939123</v>
      </c>
      <c r="X167">
        <v>3380.8567557239994</v>
      </c>
      <c r="Y167">
        <v>3292.358517254087</v>
      </c>
      <c r="Z167">
        <v>3203.8602787841746</v>
      </c>
      <c r="AA167">
        <v>3115.3620403142618</v>
      </c>
      <c r="AB167">
        <v>3026.8638018443494</v>
      </c>
      <c r="AC167">
        <v>2938.365563374437</v>
      </c>
      <c r="AD167">
        <v>2849.8673249045241</v>
      </c>
      <c r="AE167">
        <v>2761.3690864346122</v>
      </c>
      <c r="AF167">
        <v>2672.8708479646994</v>
      </c>
      <c r="AG167">
        <v>2584.3726094947865</v>
      </c>
      <c r="AH167">
        <v>2495.8743710248746</v>
      </c>
      <c r="AI167">
        <v>2407.3761325549617</v>
      </c>
      <c r="AJ167">
        <v>2318.8778940850498</v>
      </c>
    </row>
    <row r="168" spans="1:36" x14ac:dyDescent="0.35">
      <c r="A168" t="s">
        <v>1590</v>
      </c>
      <c r="B168" t="s">
        <v>1342</v>
      </c>
      <c r="C168" t="s">
        <v>1343</v>
      </c>
      <c r="D168">
        <v>30</v>
      </c>
      <c r="E168" t="s">
        <v>1500</v>
      </c>
      <c r="F168" t="s">
        <v>1591</v>
      </c>
      <c r="G168" t="s">
        <v>1592</v>
      </c>
      <c r="H168">
        <v>4042.3620426706452</v>
      </c>
      <c r="I168">
        <v>3388.6983717909538</v>
      </c>
      <c r="J168">
        <v>3058.2302661121666</v>
      </c>
      <c r="K168">
        <v>2679.5922331649458</v>
      </c>
      <c r="L168">
        <v>2446.5842128897334</v>
      </c>
      <c r="M168">
        <v>2213.5761926145206</v>
      </c>
      <c r="N168">
        <v>1980.5681723393077</v>
      </c>
      <c r="O168">
        <v>1747.5601520640953</v>
      </c>
      <c r="P168">
        <v>1677.5545781547041</v>
      </c>
      <c r="Q168">
        <v>1578.8338380545854</v>
      </c>
      <c r="R168">
        <v>1547.9427591386575</v>
      </c>
      <c r="S168">
        <v>1517.0057345905227</v>
      </c>
      <c r="T168">
        <v>1486.0211268820265</v>
      </c>
      <c r="U168">
        <v>1454.9872197328566</v>
      </c>
      <c r="V168">
        <v>1423.9022133187425</v>
      </c>
      <c r="W168">
        <v>1392.7642191254497</v>
      </c>
      <c r="X168">
        <v>1361.5712544176802</v>
      </c>
      <c r="Y168">
        <v>1330.3212362887978</v>
      </c>
      <c r="Z168">
        <v>1299.0119752538562</v>
      </c>
      <c r="AA168">
        <v>1284.4467332148711</v>
      </c>
      <c r="AB168">
        <v>1269.8804046101288</v>
      </c>
      <c r="AC168">
        <v>1255.3129460774583</v>
      </c>
      <c r="AD168">
        <v>1240.7443119162801</v>
      </c>
      <c r="AE168">
        <v>1226.1744539278163</v>
      </c>
      <c r="AF168">
        <v>1211.6033212420286</v>
      </c>
      <c r="AG168">
        <v>1197.0308601299555</v>
      </c>
      <c r="AH168">
        <v>1173.301804018033</v>
      </c>
      <c r="AI168">
        <v>1157.3385141674473</v>
      </c>
      <c r="AJ168">
        <v>1141.3752243168622</v>
      </c>
    </row>
    <row r="169" spans="1:36" x14ac:dyDescent="0.35">
      <c r="A169" t="s">
        <v>1593</v>
      </c>
      <c r="B169" t="s">
        <v>1342</v>
      </c>
      <c r="C169" t="s">
        <v>1348</v>
      </c>
      <c r="D169">
        <v>30</v>
      </c>
      <c r="E169" t="s">
        <v>1500</v>
      </c>
      <c r="F169" t="s">
        <v>1591</v>
      </c>
      <c r="G169" t="s">
        <v>1592</v>
      </c>
      <c r="H169">
        <v>4042.3620426706452</v>
      </c>
      <c r="I169">
        <v>3931.6557269480527</v>
      </c>
      <c r="J169">
        <v>3557.6878629287066</v>
      </c>
      <c r="K169">
        <v>3202.3158312967098</v>
      </c>
      <c r="L169">
        <v>3016.3575074232226</v>
      </c>
      <c r="M169">
        <v>2830.3991835497359</v>
      </c>
      <c r="N169">
        <v>2644.4408596762487</v>
      </c>
      <c r="O169">
        <v>2458.4825358027615</v>
      </c>
      <c r="P169">
        <v>2371.6407679069839</v>
      </c>
      <c r="Q169">
        <v>2330.976387445492</v>
      </c>
      <c r="R169">
        <v>2290.3120069840011</v>
      </c>
      <c r="S169">
        <v>2249.6476265225092</v>
      </c>
      <c r="T169">
        <v>2208.9832460610182</v>
      </c>
      <c r="U169">
        <v>2168.3188655995264</v>
      </c>
      <c r="V169">
        <v>2127.6544851380354</v>
      </c>
      <c r="W169">
        <v>2086.990104676544</v>
      </c>
      <c r="X169">
        <v>2046.3257242150526</v>
      </c>
      <c r="Y169">
        <v>2005.6613437535611</v>
      </c>
      <c r="Z169">
        <v>1964.9969632920699</v>
      </c>
      <c r="AA169">
        <v>1924.3325828305785</v>
      </c>
      <c r="AB169">
        <v>1883.6682023690871</v>
      </c>
      <c r="AC169">
        <v>1843.0038219075957</v>
      </c>
      <c r="AD169">
        <v>1802.3394414461043</v>
      </c>
      <c r="AE169">
        <v>1761.6750609846126</v>
      </c>
      <c r="AF169">
        <v>1721.0106805231212</v>
      </c>
      <c r="AG169">
        <v>1680.3463000616298</v>
      </c>
      <c r="AH169">
        <v>1680.3463000616298</v>
      </c>
      <c r="AI169">
        <v>1680.3463000616298</v>
      </c>
      <c r="AJ169">
        <v>1680.3463000616298</v>
      </c>
    </row>
    <row r="170" spans="1:36" x14ac:dyDescent="0.35">
      <c r="A170" t="s">
        <v>1594</v>
      </c>
      <c r="B170" t="s">
        <v>1342</v>
      </c>
      <c r="C170" t="s">
        <v>1350</v>
      </c>
      <c r="D170">
        <v>30</v>
      </c>
      <c r="E170" t="s">
        <v>1500</v>
      </c>
      <c r="F170" t="s">
        <v>1591</v>
      </c>
      <c r="G170" t="s">
        <v>1592</v>
      </c>
      <c r="H170">
        <v>4042.3620426706452</v>
      </c>
      <c r="I170">
        <v>4056.912015594186</v>
      </c>
      <c r="J170">
        <v>3743.1202588715223</v>
      </c>
      <c r="K170">
        <v>3441.651041682645</v>
      </c>
      <c r="L170">
        <v>3318.4256463447919</v>
      </c>
      <c r="M170">
        <v>3195.2002510069392</v>
      </c>
      <c r="N170">
        <v>3071.9748556690861</v>
      </c>
      <c r="O170">
        <v>2948.749460331233</v>
      </c>
      <c r="P170">
        <v>2845.9689214883806</v>
      </c>
      <c r="Q170">
        <v>2797.1716649345908</v>
      </c>
      <c r="R170">
        <v>2748.374408380801</v>
      </c>
      <c r="S170">
        <v>2699.5771518270117</v>
      </c>
      <c r="T170">
        <v>2650.7798952732219</v>
      </c>
      <c r="U170">
        <v>2601.9826387194321</v>
      </c>
      <c r="V170">
        <v>2553.1853821656423</v>
      </c>
      <c r="W170">
        <v>2504.3881256118525</v>
      </c>
      <c r="X170">
        <v>2455.5908690580632</v>
      </c>
      <c r="Y170">
        <v>2406.7936125042734</v>
      </c>
      <c r="Z170">
        <v>2357.996355950484</v>
      </c>
      <c r="AA170">
        <v>2309.1990993966942</v>
      </c>
      <c r="AB170">
        <v>2260.401842842904</v>
      </c>
      <c r="AC170">
        <v>2211.6045862891146</v>
      </c>
      <c r="AD170">
        <v>2162.8073297353249</v>
      </c>
      <c r="AE170">
        <v>2114.0100731815355</v>
      </c>
      <c r="AF170">
        <v>2065.2128166277457</v>
      </c>
      <c r="AG170">
        <v>2016.4155600739562</v>
      </c>
      <c r="AH170">
        <v>2016.4155600739562</v>
      </c>
      <c r="AI170">
        <v>2016.4155600739562</v>
      </c>
      <c r="AJ170">
        <v>2016.4155600739562</v>
      </c>
    </row>
    <row r="171" spans="1:36" x14ac:dyDescent="0.35">
      <c r="A171" t="s">
        <v>1595</v>
      </c>
      <c r="B171" t="s">
        <v>1342</v>
      </c>
      <c r="C171" t="s">
        <v>1343</v>
      </c>
      <c r="D171">
        <v>30</v>
      </c>
      <c r="E171" t="s">
        <v>1500</v>
      </c>
      <c r="F171" t="s">
        <v>1596</v>
      </c>
      <c r="G171" t="s">
        <v>1597</v>
      </c>
      <c r="H171">
        <v>3217.8415751301068</v>
      </c>
      <c r="I171">
        <v>2603.4805858251416</v>
      </c>
      <c r="J171">
        <v>2161.1401861076138</v>
      </c>
      <c r="K171">
        <v>1749.6569647795254</v>
      </c>
      <c r="L171">
        <v>1709.1382143307058</v>
      </c>
      <c r="M171">
        <v>1668.6194638818863</v>
      </c>
      <c r="N171">
        <v>1628.1007134330669</v>
      </c>
      <c r="O171">
        <v>1587.5819629842472</v>
      </c>
      <c r="P171">
        <v>1547.0632125354277</v>
      </c>
      <c r="Q171">
        <v>1506.5444620866083</v>
      </c>
      <c r="R171">
        <v>1491.4790174657423</v>
      </c>
      <c r="S171">
        <v>1476.4135728448762</v>
      </c>
      <c r="T171">
        <v>1461.3481282240102</v>
      </c>
      <c r="U171">
        <v>1446.2826836031441</v>
      </c>
      <c r="V171">
        <v>1431.2172389822776</v>
      </c>
      <c r="W171">
        <v>1416.1517943614117</v>
      </c>
      <c r="X171">
        <v>1401.0863497405455</v>
      </c>
      <c r="Y171">
        <v>1386.0209051196796</v>
      </c>
      <c r="Z171">
        <v>1370.9554604988132</v>
      </c>
      <c r="AA171">
        <v>1355.8900158779468</v>
      </c>
      <c r="AB171">
        <v>1340.8245712570808</v>
      </c>
      <c r="AC171">
        <v>1325.7591266362147</v>
      </c>
      <c r="AD171">
        <v>1310.6936820153487</v>
      </c>
      <c r="AE171">
        <v>1295.6282373944825</v>
      </c>
      <c r="AF171">
        <v>1280.5627927736164</v>
      </c>
      <c r="AG171">
        <v>1265.4973481527502</v>
      </c>
      <c r="AH171">
        <v>1250.431903531884</v>
      </c>
      <c r="AI171">
        <v>1235.3664589110181</v>
      </c>
      <c r="AJ171">
        <v>1232.2539533785286</v>
      </c>
    </row>
    <row r="172" spans="1:36" x14ac:dyDescent="0.35">
      <c r="A172" t="s">
        <v>1598</v>
      </c>
      <c r="B172" t="s">
        <v>1342</v>
      </c>
      <c r="C172" t="s">
        <v>1348</v>
      </c>
      <c r="D172">
        <v>30</v>
      </c>
      <c r="E172" t="s">
        <v>1500</v>
      </c>
      <c r="F172" t="s">
        <v>1596</v>
      </c>
      <c r="G172" t="s">
        <v>1597</v>
      </c>
      <c r="H172">
        <v>3217.8415751301068</v>
      </c>
      <c r="I172">
        <v>3129.7160233855425</v>
      </c>
      <c r="J172">
        <v>2706.2403786625837</v>
      </c>
      <c r="K172">
        <v>2309.5471935089736</v>
      </c>
      <c r="L172">
        <v>2256.0624429165323</v>
      </c>
      <c r="M172">
        <v>2202.5776923240901</v>
      </c>
      <c r="N172">
        <v>2149.0929417316484</v>
      </c>
      <c r="O172">
        <v>2095.6081911392066</v>
      </c>
      <c r="P172">
        <v>2042.1234405467649</v>
      </c>
      <c r="Q172">
        <v>1988.6386899543227</v>
      </c>
      <c r="R172">
        <v>1968.7523030547798</v>
      </c>
      <c r="S172">
        <v>1948.8659161552364</v>
      </c>
      <c r="T172">
        <v>1928.9795292556935</v>
      </c>
      <c r="U172">
        <v>1909.0931423561501</v>
      </c>
      <c r="V172">
        <v>1889.2067554566065</v>
      </c>
      <c r="W172">
        <v>1869.3203685570636</v>
      </c>
      <c r="X172">
        <v>1849.4339816575202</v>
      </c>
      <c r="Y172">
        <v>1829.5475947579771</v>
      </c>
      <c r="Z172">
        <v>1809.6612078584333</v>
      </c>
      <c r="AA172">
        <v>1789.7748209588897</v>
      </c>
      <c r="AB172">
        <v>1769.8884340593468</v>
      </c>
      <c r="AC172">
        <v>1750.0020471598034</v>
      </c>
      <c r="AD172">
        <v>1730.1156602602605</v>
      </c>
      <c r="AE172">
        <v>1710.2292733607171</v>
      </c>
      <c r="AF172">
        <v>1690.3428864611735</v>
      </c>
      <c r="AG172">
        <v>1670.4564995616302</v>
      </c>
      <c r="AH172">
        <v>1650.570112662087</v>
      </c>
      <c r="AI172">
        <v>1630.6837257625439</v>
      </c>
      <c r="AJ172">
        <v>1626.5752184596579</v>
      </c>
    </row>
    <row r="173" spans="1:36" x14ac:dyDescent="0.35">
      <c r="A173" t="s">
        <v>1599</v>
      </c>
      <c r="B173" t="s">
        <v>1342</v>
      </c>
      <c r="C173" t="s">
        <v>1350</v>
      </c>
      <c r="D173">
        <v>30</v>
      </c>
      <c r="E173" t="s">
        <v>1500</v>
      </c>
      <c r="F173" t="s">
        <v>1596</v>
      </c>
      <c r="G173" t="s">
        <v>1597</v>
      </c>
      <c r="H173">
        <v>3217.8415751301068</v>
      </c>
      <c r="I173">
        <v>3229.4237905022496</v>
      </c>
      <c r="J173">
        <v>3006.1760433720701</v>
      </c>
      <c r="K173">
        <v>2790.2097968754915</v>
      </c>
      <c r="L173">
        <v>2717.3947905394875</v>
      </c>
      <c r="M173">
        <v>2644.5797842034835</v>
      </c>
      <c r="N173">
        <v>2571.7647778674796</v>
      </c>
      <c r="O173">
        <v>2498.9497715314751</v>
      </c>
      <c r="P173">
        <v>2426.1347651954716</v>
      </c>
      <c r="Q173">
        <v>2386.3664279451873</v>
      </c>
      <c r="R173">
        <v>2362.5027636657355</v>
      </c>
      <c r="S173">
        <v>2338.6390993862833</v>
      </c>
      <c r="T173">
        <v>2314.775435106832</v>
      </c>
      <c r="U173">
        <v>2290.9117708273798</v>
      </c>
      <c r="V173">
        <v>2267.048106547928</v>
      </c>
      <c r="W173">
        <v>2243.1844422684762</v>
      </c>
      <c r="X173">
        <v>2219.3207779890245</v>
      </c>
      <c r="Y173">
        <v>2195.4571137095722</v>
      </c>
      <c r="Z173">
        <v>2171.5934494301196</v>
      </c>
      <c r="AA173">
        <v>2147.7297851506678</v>
      </c>
      <c r="AB173">
        <v>2123.866120871216</v>
      </c>
      <c r="AC173">
        <v>2100.0024565917638</v>
      </c>
      <c r="AD173">
        <v>2076.1387923123125</v>
      </c>
      <c r="AE173">
        <v>2052.2751280328603</v>
      </c>
      <c r="AF173">
        <v>2028.4114637534083</v>
      </c>
      <c r="AG173">
        <v>2004.5477994739563</v>
      </c>
      <c r="AH173">
        <v>1980.6841351945045</v>
      </c>
      <c r="AI173">
        <v>1956.8204709150527</v>
      </c>
      <c r="AJ173">
        <v>1951.8902621515892</v>
      </c>
    </row>
    <row r="174" spans="1:36" x14ac:dyDescent="0.35">
      <c r="A174" t="s">
        <v>1600</v>
      </c>
      <c r="B174" t="s">
        <v>1342</v>
      </c>
      <c r="C174" t="s">
        <v>1343</v>
      </c>
      <c r="D174">
        <v>30</v>
      </c>
      <c r="E174" t="s">
        <v>1500</v>
      </c>
      <c r="F174" t="s">
        <v>1601</v>
      </c>
      <c r="G174" t="s">
        <v>1602</v>
      </c>
      <c r="H174">
        <v>8291.660442472079</v>
      </c>
      <c r="I174">
        <v>6708.5891216871123</v>
      </c>
      <c r="J174">
        <v>4999.0302426833487</v>
      </c>
      <c r="K174">
        <v>4285.8553909536186</v>
      </c>
      <c r="L174">
        <v>3769.5455176820724</v>
      </c>
      <c r="M174">
        <v>3321.4345512935229</v>
      </c>
      <c r="N174">
        <v>3039.6303426180884</v>
      </c>
      <c r="O174">
        <v>2751.8601403945177</v>
      </c>
      <c r="P174">
        <v>2456.9416827093214</v>
      </c>
      <c r="Q174">
        <v>2285.3262428411758</v>
      </c>
      <c r="R174">
        <v>2212.9734708073238</v>
      </c>
      <c r="S174">
        <v>2140.4701111197023</v>
      </c>
      <c r="T174">
        <v>2067.810796749694</v>
      </c>
      <c r="U174">
        <v>1994.9899025570421</v>
      </c>
      <c r="V174">
        <v>1922.0015295846222</v>
      </c>
      <c r="W174">
        <v>1848.8394881923402</v>
      </c>
      <c r="X174">
        <v>1775.4972799288207</v>
      </c>
      <c r="Y174">
        <v>1701.9680780292904</v>
      </c>
      <c r="Z174">
        <v>1628.2447064166147</v>
      </c>
      <c r="AA174">
        <v>1578.6083387349536</v>
      </c>
      <c r="AB174">
        <v>1528.853192690764</v>
      </c>
      <c r="AC174">
        <v>1478.9745281313249</v>
      </c>
      <c r="AD174">
        <v>1428.9673492796653</v>
      </c>
      <c r="AE174">
        <v>1378.8263872676312</v>
      </c>
      <c r="AF174">
        <v>1328.5460812168751</v>
      </c>
      <c r="AG174">
        <v>1278.1205577249602</v>
      </c>
      <c r="AH174">
        <v>1234.3487850992724</v>
      </c>
      <c r="AI174">
        <v>1221.880615552815</v>
      </c>
      <c r="AJ174">
        <v>1209.4124460063579</v>
      </c>
    </row>
    <row r="175" spans="1:36" x14ac:dyDescent="0.35">
      <c r="A175" t="s">
        <v>1603</v>
      </c>
      <c r="B175" t="s">
        <v>1342</v>
      </c>
      <c r="C175" t="s">
        <v>1348</v>
      </c>
      <c r="D175">
        <v>30</v>
      </c>
      <c r="E175" t="s">
        <v>1500</v>
      </c>
      <c r="F175" t="s">
        <v>1601</v>
      </c>
      <c r="G175" t="s">
        <v>1602</v>
      </c>
      <c r="H175">
        <v>8291.660442472079</v>
      </c>
      <c r="I175">
        <v>8064.5805399004657</v>
      </c>
      <c r="J175">
        <v>7188.695733629037</v>
      </c>
      <c r="K175">
        <v>6361.3169238860546</v>
      </c>
      <c r="L175">
        <v>5876.256958601597</v>
      </c>
      <c r="M175">
        <v>5391.1969933171395</v>
      </c>
      <c r="N175">
        <v>4906.1370280326837</v>
      </c>
      <c r="O175">
        <v>4421.0770627482261</v>
      </c>
      <c r="P175">
        <v>3931.1066923349144</v>
      </c>
      <c r="Q175">
        <v>3656.521988545881</v>
      </c>
      <c r="R175">
        <v>3540.7575532917185</v>
      </c>
      <c r="S175">
        <v>3424.752177791524</v>
      </c>
      <c r="T175">
        <v>3308.4972747995107</v>
      </c>
      <c r="U175">
        <v>3191.9838440912681</v>
      </c>
      <c r="V175">
        <v>3075.2024473353949</v>
      </c>
      <c r="W175">
        <v>2958.143181107745</v>
      </c>
      <c r="X175">
        <v>2840.7956478861133</v>
      </c>
      <c r="Y175">
        <v>2723.1489248468647</v>
      </c>
      <c r="Z175">
        <v>2605.1915302665834</v>
      </c>
      <c r="AA175">
        <v>2525.7733419759256</v>
      </c>
      <c r="AB175">
        <v>2446.1651083052225</v>
      </c>
      <c r="AC175">
        <v>2366.35924501012</v>
      </c>
      <c r="AD175">
        <v>2286.3477588474648</v>
      </c>
      <c r="AE175">
        <v>2206.1222196282097</v>
      </c>
      <c r="AF175">
        <v>2125.6737299470005</v>
      </c>
      <c r="AG175">
        <v>2044.9928923599361</v>
      </c>
      <c r="AH175">
        <v>1974.9580561588357</v>
      </c>
      <c r="AI175">
        <v>1955.0089848845039</v>
      </c>
      <c r="AJ175">
        <v>1935.0599136101723</v>
      </c>
    </row>
    <row r="176" spans="1:36" x14ac:dyDescent="0.35">
      <c r="A176" t="s">
        <v>1604</v>
      </c>
      <c r="B176" t="s">
        <v>1342</v>
      </c>
      <c r="C176" t="s">
        <v>1350</v>
      </c>
      <c r="D176">
        <v>30</v>
      </c>
      <c r="E176" t="s">
        <v>1500</v>
      </c>
      <c r="F176" t="s">
        <v>1601</v>
      </c>
      <c r="G176" t="s">
        <v>1602</v>
      </c>
      <c r="H176">
        <v>8291.660442472079</v>
      </c>
      <c r="I176">
        <v>8321.5052296672075</v>
      </c>
      <c r="J176">
        <v>7575.0911176115587</v>
      </c>
      <c r="K176">
        <v>6863.7402316838616</v>
      </c>
      <c r="L176">
        <v>6513.107970404335</v>
      </c>
      <c r="M176">
        <v>6162.4757091248084</v>
      </c>
      <c r="N176">
        <v>5811.84344784528</v>
      </c>
      <c r="O176">
        <v>5461.2111865657535</v>
      </c>
      <c r="P176">
        <v>5110.438700035389</v>
      </c>
      <c r="Q176">
        <v>4753.4785851096449</v>
      </c>
      <c r="R176">
        <v>4602.9848192792342</v>
      </c>
      <c r="S176">
        <v>4452.1778311289809</v>
      </c>
      <c r="T176">
        <v>4301.0464572393639</v>
      </c>
      <c r="U176">
        <v>4149.5789973186484</v>
      </c>
      <c r="V176">
        <v>3997.7631815360137</v>
      </c>
      <c r="W176">
        <v>3845.5861354400681</v>
      </c>
      <c r="X176">
        <v>3693.0343422519477</v>
      </c>
      <c r="Y176">
        <v>3540.0936023009244</v>
      </c>
      <c r="Z176">
        <v>3386.748989346559</v>
      </c>
      <c r="AA176">
        <v>3283.505344568704</v>
      </c>
      <c r="AB176">
        <v>3180.0146407967895</v>
      </c>
      <c r="AC176">
        <v>3076.2670185131556</v>
      </c>
      <c r="AD176">
        <v>2972.2520865017045</v>
      </c>
      <c r="AE176">
        <v>2867.958885516673</v>
      </c>
      <c r="AF176">
        <v>2763.3758489311008</v>
      </c>
      <c r="AG176">
        <v>2658.4907600679171</v>
      </c>
      <c r="AH176">
        <v>2567.4454730064867</v>
      </c>
      <c r="AI176">
        <v>2541.5116803498554</v>
      </c>
      <c r="AJ176">
        <v>2515.5778876932241</v>
      </c>
    </row>
    <row r="177" spans="1:36" x14ac:dyDescent="0.35">
      <c r="A177" t="s">
        <v>1605</v>
      </c>
      <c r="B177" t="s">
        <v>1342</v>
      </c>
      <c r="C177" t="s">
        <v>1343</v>
      </c>
      <c r="D177">
        <v>30</v>
      </c>
      <c r="E177" t="s">
        <v>1500</v>
      </c>
      <c r="F177" t="s">
        <v>1606</v>
      </c>
      <c r="G177" t="s">
        <v>1607</v>
      </c>
      <c r="H177">
        <v>6225.9086060556428</v>
      </c>
      <c r="I177">
        <v>5037.237479390873</v>
      </c>
      <c r="J177">
        <v>4152.2315232804476</v>
      </c>
      <c r="K177">
        <v>3494.1166948374598</v>
      </c>
      <c r="L177">
        <v>3105.9785148679794</v>
      </c>
      <c r="M177">
        <v>2771.4935568334331</v>
      </c>
      <c r="N177">
        <v>2575.3059047797847</v>
      </c>
      <c r="O177">
        <v>2375.7159465793652</v>
      </c>
      <c r="P177">
        <v>2172.0696403120173</v>
      </c>
      <c r="Q177">
        <v>2018.5206930949066</v>
      </c>
      <c r="R177">
        <v>1952.7198730009179</v>
      </c>
      <c r="S177">
        <v>1886.7802808621898</v>
      </c>
      <c r="T177">
        <v>1820.6969707650526</v>
      </c>
      <c r="U177">
        <v>1754.4647589364959</v>
      </c>
      <c r="V177">
        <v>1688.0782092712254</v>
      </c>
      <c r="W177">
        <v>1621.5316177889304</v>
      </c>
      <c r="X177">
        <v>1554.8189959283825</v>
      </c>
      <c r="Y177">
        <v>1487.9340525755158</v>
      </c>
      <c r="Z177">
        <v>1420.8701747121177</v>
      </c>
      <c r="AA177">
        <v>1375.494602453728</v>
      </c>
      <c r="AB177">
        <v>1330.0076679271453</v>
      </c>
      <c r="AC177">
        <v>1284.404926937759</v>
      </c>
      <c r="AD177">
        <v>1238.6816956269679</v>
      </c>
      <c r="AE177">
        <v>1192.8330340958212</v>
      </c>
      <c r="AF177">
        <v>1146.8537286672424</v>
      </c>
      <c r="AG177">
        <v>1100.7382726529468</v>
      </c>
      <c r="AH177">
        <v>1068.9384596689645</v>
      </c>
      <c r="AI177">
        <v>1056.0596830464467</v>
      </c>
      <c r="AJ177">
        <v>1043.1809064239292</v>
      </c>
    </row>
    <row r="178" spans="1:36" x14ac:dyDescent="0.35">
      <c r="A178" t="s">
        <v>1608</v>
      </c>
      <c r="B178" t="s">
        <v>1342</v>
      </c>
      <c r="C178" t="s">
        <v>1348</v>
      </c>
      <c r="D178">
        <v>30</v>
      </c>
      <c r="E178" t="s">
        <v>1500</v>
      </c>
      <c r="F178" t="s">
        <v>1606</v>
      </c>
      <c r="G178" t="s">
        <v>1607</v>
      </c>
      <c r="H178">
        <v>6225.9086060556428</v>
      </c>
      <c r="I178">
        <v>6055.4025018209422</v>
      </c>
      <c r="J178">
        <v>5397.8781502923321</v>
      </c>
      <c r="K178">
        <v>4776.761301931725</v>
      </c>
      <c r="L178">
        <v>4412.6862702517055</v>
      </c>
      <c r="M178">
        <v>4048.6112385716856</v>
      </c>
      <c r="N178">
        <v>3684.5362068916661</v>
      </c>
      <c r="O178">
        <v>3320.4611752116462</v>
      </c>
      <c r="P178">
        <v>2956.3861435316262</v>
      </c>
      <c r="Q178">
        <v>2911.9847877582702</v>
      </c>
      <c r="R178">
        <v>2812.8716216915041</v>
      </c>
      <c r="S178">
        <v>2713.758455624738</v>
      </c>
      <c r="T178">
        <v>2614.64528955797</v>
      </c>
      <c r="U178">
        <v>2515.5321234912035</v>
      </c>
      <c r="V178">
        <v>2416.4189574244365</v>
      </c>
      <c r="W178">
        <v>2317.3057913576708</v>
      </c>
      <c r="X178">
        <v>2270.0357340554388</v>
      </c>
      <c r="Y178">
        <v>2172.3837167602528</v>
      </c>
      <c r="Z178">
        <v>2074.4704550796914</v>
      </c>
      <c r="AA178">
        <v>2035.26237474492</v>
      </c>
      <c r="AB178">
        <v>1996.0542944101487</v>
      </c>
      <c r="AC178">
        <v>1956.8462140753775</v>
      </c>
      <c r="AD178">
        <v>1917.638133740606</v>
      </c>
      <c r="AE178">
        <v>1878.4300534058348</v>
      </c>
      <c r="AF178">
        <v>1839.2219730710633</v>
      </c>
      <c r="AG178">
        <v>1800.0138927362918</v>
      </c>
      <c r="AH178">
        <v>1760.8058124015206</v>
      </c>
      <c r="AI178">
        <v>1721.5977320667494</v>
      </c>
      <c r="AJ178">
        <v>1682.3896517319779</v>
      </c>
    </row>
    <row r="179" spans="1:36" x14ac:dyDescent="0.35">
      <c r="A179" t="s">
        <v>1609</v>
      </c>
      <c r="B179" t="s">
        <v>1342</v>
      </c>
      <c r="C179" t="s">
        <v>1350</v>
      </c>
      <c r="D179">
        <v>30</v>
      </c>
      <c r="E179" t="s">
        <v>1500</v>
      </c>
      <c r="F179" t="s">
        <v>1606</v>
      </c>
      <c r="G179" t="s">
        <v>1607</v>
      </c>
      <c r="H179">
        <v>6225.9086060556428</v>
      </c>
      <c r="I179">
        <v>6530.9459529062024</v>
      </c>
      <c r="J179">
        <v>5998.8362912200191</v>
      </c>
      <c r="K179">
        <v>5433.1197035326031</v>
      </c>
      <c r="L179">
        <v>5153.0619868556651</v>
      </c>
      <c r="M179">
        <v>4873.004270178727</v>
      </c>
      <c r="N179">
        <v>4592.946553501788</v>
      </c>
      <c r="O179">
        <v>4312.8888368248499</v>
      </c>
      <c r="P179">
        <v>4088.8426634832999</v>
      </c>
      <c r="Q179">
        <v>4000.3444250133871</v>
      </c>
      <c r="R179">
        <v>3911.8461865434747</v>
      </c>
      <c r="S179">
        <v>3823.3479480735623</v>
      </c>
      <c r="T179">
        <v>3734.8497096036494</v>
      </c>
      <c r="U179">
        <v>3646.351471133737</v>
      </c>
      <c r="V179">
        <v>3557.8532326638247</v>
      </c>
      <c r="W179">
        <v>3469.3549941939123</v>
      </c>
      <c r="X179">
        <v>3380.8567557239994</v>
      </c>
      <c r="Y179">
        <v>3292.358517254087</v>
      </c>
      <c r="Z179">
        <v>3203.8602787841746</v>
      </c>
      <c r="AA179">
        <v>3115.3620403142618</v>
      </c>
      <c r="AB179">
        <v>3026.8638018443494</v>
      </c>
      <c r="AC179">
        <v>2938.365563374437</v>
      </c>
      <c r="AD179">
        <v>2849.8673249045241</v>
      </c>
      <c r="AE179">
        <v>2761.3690864346122</v>
      </c>
      <c r="AF179">
        <v>2672.8708479646994</v>
      </c>
      <c r="AG179">
        <v>2584.3726094947865</v>
      </c>
      <c r="AH179">
        <v>2495.8743710248746</v>
      </c>
      <c r="AI179">
        <v>2407.3761325549617</v>
      </c>
      <c r="AJ179">
        <v>2318.8778940850498</v>
      </c>
    </row>
    <row r="180" spans="1:36" x14ac:dyDescent="0.35">
      <c r="A180" t="s">
        <v>1610</v>
      </c>
      <c r="B180" t="s">
        <v>1342</v>
      </c>
      <c r="C180" t="s">
        <v>1343</v>
      </c>
      <c r="D180">
        <v>30</v>
      </c>
      <c r="E180" t="s">
        <v>1500</v>
      </c>
      <c r="F180" t="s">
        <v>1611</v>
      </c>
      <c r="G180" t="s">
        <v>1612</v>
      </c>
      <c r="H180">
        <v>4042.3620426706452</v>
      </c>
      <c r="I180">
        <v>3388.6983717909538</v>
      </c>
      <c r="J180">
        <v>3058.2302661121666</v>
      </c>
      <c r="K180">
        <v>2679.5922331649458</v>
      </c>
      <c r="L180">
        <v>2446.5842128897334</v>
      </c>
      <c r="M180">
        <v>2213.5761926145206</v>
      </c>
      <c r="N180">
        <v>1980.5681723393077</v>
      </c>
      <c r="O180">
        <v>1747.5601520640953</v>
      </c>
      <c r="P180">
        <v>1677.5545781547041</v>
      </c>
      <c r="Q180">
        <v>1578.8338380545854</v>
      </c>
      <c r="R180">
        <v>1547.9427591386575</v>
      </c>
      <c r="S180">
        <v>1517.0057345905227</v>
      </c>
      <c r="T180">
        <v>1486.0211268820265</v>
      </c>
      <c r="U180">
        <v>1454.9872197328566</v>
      </c>
      <c r="V180">
        <v>1423.9022133187425</v>
      </c>
      <c r="W180">
        <v>1392.7642191254497</v>
      </c>
      <c r="X180">
        <v>1361.5712544176802</v>
      </c>
      <c r="Y180">
        <v>1330.3212362887978</v>
      </c>
      <c r="Z180">
        <v>1299.0119752538562</v>
      </c>
      <c r="AA180">
        <v>1284.4467332148711</v>
      </c>
      <c r="AB180">
        <v>1269.8804046101288</v>
      </c>
      <c r="AC180">
        <v>1255.3129460774583</v>
      </c>
      <c r="AD180">
        <v>1240.7443119162801</v>
      </c>
      <c r="AE180">
        <v>1226.1744539278163</v>
      </c>
      <c r="AF180">
        <v>1211.6033212420286</v>
      </c>
      <c r="AG180">
        <v>1197.0308601299555</v>
      </c>
      <c r="AH180">
        <v>1173.301804018033</v>
      </c>
      <c r="AI180">
        <v>1157.3385141674473</v>
      </c>
      <c r="AJ180">
        <v>1141.3752243168622</v>
      </c>
    </row>
    <row r="181" spans="1:36" x14ac:dyDescent="0.35">
      <c r="A181" t="s">
        <v>1613</v>
      </c>
      <c r="B181" t="s">
        <v>1342</v>
      </c>
      <c r="C181" t="s">
        <v>1348</v>
      </c>
      <c r="D181">
        <v>30</v>
      </c>
      <c r="E181" t="s">
        <v>1500</v>
      </c>
      <c r="F181" t="s">
        <v>1611</v>
      </c>
      <c r="G181" t="s">
        <v>1612</v>
      </c>
      <c r="H181">
        <v>4042.3620426706452</v>
      </c>
      <c r="I181">
        <v>3931.6557269480527</v>
      </c>
      <c r="J181">
        <v>3557.6878629287066</v>
      </c>
      <c r="K181">
        <v>3202.3158312967098</v>
      </c>
      <c r="L181">
        <v>3016.3575074232226</v>
      </c>
      <c r="M181">
        <v>2830.3991835497359</v>
      </c>
      <c r="N181">
        <v>2644.4408596762487</v>
      </c>
      <c r="O181">
        <v>2458.4825358027615</v>
      </c>
      <c r="P181">
        <v>2371.6407679069839</v>
      </c>
      <c r="Q181">
        <v>2330.976387445492</v>
      </c>
      <c r="R181">
        <v>2290.3120069840011</v>
      </c>
      <c r="S181">
        <v>2249.6476265225092</v>
      </c>
      <c r="T181">
        <v>2208.9832460610182</v>
      </c>
      <c r="U181">
        <v>2168.3188655995264</v>
      </c>
      <c r="V181">
        <v>2127.6544851380354</v>
      </c>
      <c r="W181">
        <v>2086.990104676544</v>
      </c>
      <c r="X181">
        <v>2046.3257242150526</v>
      </c>
      <c r="Y181">
        <v>2005.6613437535611</v>
      </c>
      <c r="Z181">
        <v>1964.9969632920699</v>
      </c>
      <c r="AA181">
        <v>1924.3325828305785</v>
      </c>
      <c r="AB181">
        <v>1883.6682023690871</v>
      </c>
      <c r="AC181">
        <v>1843.0038219075957</v>
      </c>
      <c r="AD181">
        <v>1802.3394414461043</v>
      </c>
      <c r="AE181">
        <v>1761.6750609846126</v>
      </c>
      <c r="AF181">
        <v>1721.0106805231212</v>
      </c>
      <c r="AG181">
        <v>1680.3463000616298</v>
      </c>
      <c r="AH181">
        <v>1680.3463000616298</v>
      </c>
      <c r="AI181">
        <v>1680.3463000616298</v>
      </c>
      <c r="AJ181">
        <v>1680.3463000616298</v>
      </c>
    </row>
    <row r="182" spans="1:36" x14ac:dyDescent="0.35">
      <c r="A182" t="s">
        <v>1614</v>
      </c>
      <c r="B182" t="s">
        <v>1342</v>
      </c>
      <c r="C182" t="s">
        <v>1350</v>
      </c>
      <c r="D182">
        <v>30</v>
      </c>
      <c r="E182" t="s">
        <v>1500</v>
      </c>
      <c r="F182" t="s">
        <v>1611</v>
      </c>
      <c r="G182" t="s">
        <v>1612</v>
      </c>
      <c r="H182">
        <v>4042.3620426706452</v>
      </c>
      <c r="I182">
        <v>4056.912015594186</v>
      </c>
      <c r="J182">
        <v>3743.1202588715223</v>
      </c>
      <c r="K182">
        <v>3441.651041682645</v>
      </c>
      <c r="L182">
        <v>3318.4256463447919</v>
      </c>
      <c r="M182">
        <v>3195.2002510069392</v>
      </c>
      <c r="N182">
        <v>3071.9748556690861</v>
      </c>
      <c r="O182">
        <v>2948.749460331233</v>
      </c>
      <c r="P182">
        <v>2845.9689214883806</v>
      </c>
      <c r="Q182">
        <v>2797.1716649345908</v>
      </c>
      <c r="R182">
        <v>2748.374408380801</v>
      </c>
      <c r="S182">
        <v>2699.5771518270117</v>
      </c>
      <c r="T182">
        <v>2650.7798952732219</v>
      </c>
      <c r="U182">
        <v>2601.9826387194321</v>
      </c>
      <c r="V182">
        <v>2553.1853821656423</v>
      </c>
      <c r="W182">
        <v>2504.3881256118525</v>
      </c>
      <c r="X182">
        <v>2455.5908690580632</v>
      </c>
      <c r="Y182">
        <v>2406.7936125042734</v>
      </c>
      <c r="Z182">
        <v>2357.996355950484</v>
      </c>
      <c r="AA182">
        <v>2309.1990993966942</v>
      </c>
      <c r="AB182">
        <v>2260.401842842904</v>
      </c>
      <c r="AC182">
        <v>2211.6045862891146</v>
      </c>
      <c r="AD182">
        <v>2162.8073297353249</v>
      </c>
      <c r="AE182">
        <v>2114.0100731815355</v>
      </c>
      <c r="AF182">
        <v>2065.2128166277457</v>
      </c>
      <c r="AG182">
        <v>2016.4155600739562</v>
      </c>
      <c r="AH182">
        <v>2016.4155600739562</v>
      </c>
      <c r="AI182">
        <v>2016.4155600739562</v>
      </c>
      <c r="AJ182">
        <v>2016.4155600739562</v>
      </c>
    </row>
    <row r="183" spans="1:36" x14ac:dyDescent="0.35">
      <c r="A183" t="s">
        <v>1615</v>
      </c>
      <c r="B183" t="s">
        <v>1342</v>
      </c>
      <c r="C183" t="s">
        <v>1343</v>
      </c>
      <c r="D183">
        <v>30</v>
      </c>
      <c r="E183" t="s">
        <v>1500</v>
      </c>
      <c r="F183" t="s">
        <v>1616</v>
      </c>
      <c r="G183" t="s">
        <v>1617</v>
      </c>
      <c r="H183">
        <v>3217.8415751301068</v>
      </c>
      <c r="I183">
        <v>2603.4805858251416</v>
      </c>
      <c r="J183">
        <v>2161.1401861076138</v>
      </c>
      <c r="K183">
        <v>1749.6569647795254</v>
      </c>
      <c r="L183">
        <v>1709.1382143307058</v>
      </c>
      <c r="M183">
        <v>1668.6194638818863</v>
      </c>
      <c r="N183">
        <v>1628.1007134330669</v>
      </c>
      <c r="O183">
        <v>1587.5819629842472</v>
      </c>
      <c r="P183">
        <v>1547.0632125354277</v>
      </c>
      <c r="Q183">
        <v>1506.5444620866083</v>
      </c>
      <c r="R183">
        <v>1491.4790174657423</v>
      </c>
      <c r="S183">
        <v>1476.4135728448762</v>
      </c>
      <c r="T183">
        <v>1461.3481282240102</v>
      </c>
      <c r="U183">
        <v>1446.2826836031441</v>
      </c>
      <c r="V183">
        <v>1431.2172389822776</v>
      </c>
      <c r="W183">
        <v>1416.1517943614117</v>
      </c>
      <c r="X183">
        <v>1401.0863497405455</v>
      </c>
      <c r="Y183">
        <v>1386.0209051196796</v>
      </c>
      <c r="Z183">
        <v>1370.9554604988132</v>
      </c>
      <c r="AA183">
        <v>1355.8900158779468</v>
      </c>
      <c r="AB183">
        <v>1340.8245712570808</v>
      </c>
      <c r="AC183">
        <v>1325.7591266362147</v>
      </c>
      <c r="AD183">
        <v>1310.6936820153487</v>
      </c>
      <c r="AE183">
        <v>1295.6282373944825</v>
      </c>
      <c r="AF183">
        <v>1280.5627927736164</v>
      </c>
      <c r="AG183">
        <v>1265.4973481527502</v>
      </c>
      <c r="AH183">
        <v>1250.431903531884</v>
      </c>
      <c r="AI183">
        <v>1235.3664589110181</v>
      </c>
      <c r="AJ183">
        <v>1232.2539533785286</v>
      </c>
    </row>
    <row r="184" spans="1:36" x14ac:dyDescent="0.35">
      <c r="A184" t="s">
        <v>1618</v>
      </c>
      <c r="B184" t="s">
        <v>1342</v>
      </c>
      <c r="C184" t="s">
        <v>1348</v>
      </c>
      <c r="D184">
        <v>30</v>
      </c>
      <c r="E184" t="s">
        <v>1500</v>
      </c>
      <c r="F184" t="s">
        <v>1616</v>
      </c>
      <c r="G184" t="s">
        <v>1617</v>
      </c>
      <c r="H184">
        <v>3217.8415751301068</v>
      </c>
      <c r="I184">
        <v>3129.7160233855425</v>
      </c>
      <c r="J184">
        <v>2706.2403786625837</v>
      </c>
      <c r="K184">
        <v>2309.5471935089736</v>
      </c>
      <c r="L184">
        <v>2256.0624429165323</v>
      </c>
      <c r="M184">
        <v>2202.5776923240901</v>
      </c>
      <c r="N184">
        <v>2149.0929417316484</v>
      </c>
      <c r="O184">
        <v>2095.6081911392066</v>
      </c>
      <c r="P184">
        <v>2042.1234405467649</v>
      </c>
      <c r="Q184">
        <v>1988.6386899543227</v>
      </c>
      <c r="R184">
        <v>1968.7523030547798</v>
      </c>
      <c r="S184">
        <v>1948.8659161552364</v>
      </c>
      <c r="T184">
        <v>1928.9795292556935</v>
      </c>
      <c r="U184">
        <v>1909.0931423561501</v>
      </c>
      <c r="V184">
        <v>1889.2067554566065</v>
      </c>
      <c r="W184">
        <v>1869.3203685570636</v>
      </c>
      <c r="X184">
        <v>1849.4339816575202</v>
      </c>
      <c r="Y184">
        <v>1829.5475947579771</v>
      </c>
      <c r="Z184">
        <v>1809.6612078584333</v>
      </c>
      <c r="AA184">
        <v>1789.7748209588897</v>
      </c>
      <c r="AB184">
        <v>1769.8884340593468</v>
      </c>
      <c r="AC184">
        <v>1750.0020471598034</v>
      </c>
      <c r="AD184">
        <v>1730.1156602602605</v>
      </c>
      <c r="AE184">
        <v>1710.2292733607171</v>
      </c>
      <c r="AF184">
        <v>1690.3428864611735</v>
      </c>
      <c r="AG184">
        <v>1670.4564995616302</v>
      </c>
      <c r="AH184">
        <v>1650.570112662087</v>
      </c>
      <c r="AI184">
        <v>1630.6837257625439</v>
      </c>
      <c r="AJ184">
        <v>1626.5752184596579</v>
      </c>
    </row>
    <row r="185" spans="1:36" x14ac:dyDescent="0.35">
      <c r="A185" t="s">
        <v>1619</v>
      </c>
      <c r="B185" t="s">
        <v>1342</v>
      </c>
      <c r="C185" t="s">
        <v>1350</v>
      </c>
      <c r="D185">
        <v>30</v>
      </c>
      <c r="E185" t="s">
        <v>1500</v>
      </c>
      <c r="F185" t="s">
        <v>1616</v>
      </c>
      <c r="G185" t="s">
        <v>1617</v>
      </c>
      <c r="H185">
        <v>3217.8415751301068</v>
      </c>
      <c r="I185">
        <v>3229.4237905022496</v>
      </c>
      <c r="J185">
        <v>3006.1760433720701</v>
      </c>
      <c r="K185">
        <v>2790.2097968754915</v>
      </c>
      <c r="L185">
        <v>2717.3947905394875</v>
      </c>
      <c r="M185">
        <v>2644.5797842034835</v>
      </c>
      <c r="N185">
        <v>2571.7647778674796</v>
      </c>
      <c r="O185">
        <v>2498.9497715314751</v>
      </c>
      <c r="P185">
        <v>2426.1347651954716</v>
      </c>
      <c r="Q185">
        <v>2386.3664279451873</v>
      </c>
      <c r="R185">
        <v>2362.5027636657355</v>
      </c>
      <c r="S185">
        <v>2338.6390993862833</v>
      </c>
      <c r="T185">
        <v>2314.775435106832</v>
      </c>
      <c r="U185">
        <v>2290.9117708273798</v>
      </c>
      <c r="V185">
        <v>2267.048106547928</v>
      </c>
      <c r="W185">
        <v>2243.1844422684762</v>
      </c>
      <c r="X185">
        <v>2219.3207779890245</v>
      </c>
      <c r="Y185">
        <v>2195.4571137095722</v>
      </c>
      <c r="Z185">
        <v>2171.5934494301196</v>
      </c>
      <c r="AA185">
        <v>2147.7297851506678</v>
      </c>
      <c r="AB185">
        <v>2123.866120871216</v>
      </c>
      <c r="AC185">
        <v>2100.0024565917638</v>
      </c>
      <c r="AD185">
        <v>2076.1387923123125</v>
      </c>
      <c r="AE185">
        <v>2052.2751280328603</v>
      </c>
      <c r="AF185">
        <v>2028.4114637534083</v>
      </c>
      <c r="AG185">
        <v>2004.5477994739563</v>
      </c>
      <c r="AH185">
        <v>1980.6841351945045</v>
      </c>
      <c r="AI185">
        <v>1956.8204709150527</v>
      </c>
      <c r="AJ185">
        <v>1951.8902621515892</v>
      </c>
    </row>
    <row r="186" spans="1:36" x14ac:dyDescent="0.35">
      <c r="A186" t="s">
        <v>1620</v>
      </c>
      <c r="B186" t="s">
        <v>1342</v>
      </c>
      <c r="C186" t="s">
        <v>1343</v>
      </c>
      <c r="D186">
        <v>30</v>
      </c>
      <c r="E186" t="s">
        <v>1500</v>
      </c>
      <c r="F186" t="s">
        <v>1621</v>
      </c>
      <c r="G186" t="s">
        <v>1622</v>
      </c>
      <c r="H186">
        <v>8291.660442472079</v>
      </c>
      <c r="I186">
        <v>6708.5891216871123</v>
      </c>
      <c r="J186">
        <v>4999.0302426833487</v>
      </c>
      <c r="K186">
        <v>4285.8553909536186</v>
      </c>
      <c r="L186">
        <v>3769.5455176820724</v>
      </c>
      <c r="M186">
        <v>3321.4345512935229</v>
      </c>
      <c r="N186">
        <v>3039.6303426180884</v>
      </c>
      <c r="O186">
        <v>2751.8601403945177</v>
      </c>
      <c r="P186">
        <v>2456.9416827093214</v>
      </c>
      <c r="Q186">
        <v>2285.3262428411758</v>
      </c>
      <c r="R186">
        <v>2212.9734708073238</v>
      </c>
      <c r="S186">
        <v>2140.4701111197023</v>
      </c>
      <c r="T186">
        <v>2067.810796749694</v>
      </c>
      <c r="U186">
        <v>1994.9899025570421</v>
      </c>
      <c r="V186">
        <v>1922.0015295846222</v>
      </c>
      <c r="W186">
        <v>1848.8394881923402</v>
      </c>
      <c r="X186">
        <v>1775.4972799288207</v>
      </c>
      <c r="Y186">
        <v>1701.9680780292904</v>
      </c>
      <c r="Z186">
        <v>1628.2447064166147</v>
      </c>
      <c r="AA186">
        <v>1578.6083387349536</v>
      </c>
      <c r="AB186">
        <v>1528.853192690764</v>
      </c>
      <c r="AC186">
        <v>1478.9745281313249</v>
      </c>
      <c r="AD186">
        <v>1428.9673492796653</v>
      </c>
      <c r="AE186">
        <v>1378.8263872676312</v>
      </c>
      <c r="AF186">
        <v>1328.5460812168751</v>
      </c>
      <c r="AG186">
        <v>1278.1205577249602</v>
      </c>
      <c r="AH186">
        <v>1234.3487850992724</v>
      </c>
      <c r="AI186">
        <v>1221.880615552815</v>
      </c>
      <c r="AJ186">
        <v>1209.4124460063579</v>
      </c>
    </row>
    <row r="187" spans="1:36" x14ac:dyDescent="0.35">
      <c r="A187" t="s">
        <v>1623</v>
      </c>
      <c r="B187" t="s">
        <v>1342</v>
      </c>
      <c r="C187" t="s">
        <v>1348</v>
      </c>
      <c r="D187">
        <v>30</v>
      </c>
      <c r="E187" t="s">
        <v>1500</v>
      </c>
      <c r="F187" t="s">
        <v>1621</v>
      </c>
      <c r="G187" t="s">
        <v>1622</v>
      </c>
      <c r="H187">
        <v>8291.660442472079</v>
      </c>
      <c r="I187">
        <v>8064.5805399004657</v>
      </c>
      <c r="J187">
        <v>7188.695733629037</v>
      </c>
      <c r="K187">
        <v>6361.3169238860546</v>
      </c>
      <c r="L187">
        <v>5876.256958601597</v>
      </c>
      <c r="M187">
        <v>5391.1969933171395</v>
      </c>
      <c r="N187">
        <v>4906.1370280326837</v>
      </c>
      <c r="O187">
        <v>4421.0770627482261</v>
      </c>
      <c r="P187">
        <v>3931.1066923349144</v>
      </c>
      <c r="Q187">
        <v>3656.521988545881</v>
      </c>
      <c r="R187">
        <v>3540.7575532917185</v>
      </c>
      <c r="S187">
        <v>3424.752177791524</v>
      </c>
      <c r="T187">
        <v>3308.4972747995107</v>
      </c>
      <c r="U187">
        <v>3191.9838440912681</v>
      </c>
      <c r="V187">
        <v>3075.2024473353949</v>
      </c>
      <c r="W187">
        <v>2958.143181107745</v>
      </c>
      <c r="X187">
        <v>2840.7956478861133</v>
      </c>
      <c r="Y187">
        <v>2723.1489248468647</v>
      </c>
      <c r="Z187">
        <v>2605.1915302665834</v>
      </c>
      <c r="AA187">
        <v>2525.7733419759256</v>
      </c>
      <c r="AB187">
        <v>2446.1651083052225</v>
      </c>
      <c r="AC187">
        <v>2366.35924501012</v>
      </c>
      <c r="AD187">
        <v>2286.3477588474648</v>
      </c>
      <c r="AE187">
        <v>2206.1222196282097</v>
      </c>
      <c r="AF187">
        <v>2125.6737299470005</v>
      </c>
      <c r="AG187">
        <v>2044.9928923599361</v>
      </c>
      <c r="AH187">
        <v>1974.9580561588357</v>
      </c>
      <c r="AI187">
        <v>1955.0089848845039</v>
      </c>
      <c r="AJ187">
        <v>1935.0599136101723</v>
      </c>
    </row>
    <row r="188" spans="1:36" x14ac:dyDescent="0.35">
      <c r="A188" t="s">
        <v>1624</v>
      </c>
      <c r="B188" t="s">
        <v>1342</v>
      </c>
      <c r="C188" t="s">
        <v>1350</v>
      </c>
      <c r="D188">
        <v>30</v>
      </c>
      <c r="E188" t="s">
        <v>1500</v>
      </c>
      <c r="F188" t="s">
        <v>1621</v>
      </c>
      <c r="G188" t="s">
        <v>1622</v>
      </c>
      <c r="H188">
        <v>8291.660442472079</v>
      </c>
      <c r="I188">
        <v>8321.5052296672075</v>
      </c>
      <c r="J188">
        <v>7575.0911176115587</v>
      </c>
      <c r="K188">
        <v>6863.7402316838616</v>
      </c>
      <c r="L188">
        <v>6513.107970404335</v>
      </c>
      <c r="M188">
        <v>6162.4757091248084</v>
      </c>
      <c r="N188">
        <v>5811.84344784528</v>
      </c>
      <c r="O188">
        <v>5461.2111865657535</v>
      </c>
      <c r="P188">
        <v>5110.438700035389</v>
      </c>
      <c r="Q188">
        <v>4753.4785851096449</v>
      </c>
      <c r="R188">
        <v>4602.9848192792342</v>
      </c>
      <c r="S188">
        <v>4452.1778311289809</v>
      </c>
      <c r="T188">
        <v>4301.0464572393639</v>
      </c>
      <c r="U188">
        <v>4149.5789973186484</v>
      </c>
      <c r="V188">
        <v>3997.7631815360137</v>
      </c>
      <c r="W188">
        <v>3845.5861354400681</v>
      </c>
      <c r="X188">
        <v>3693.0343422519477</v>
      </c>
      <c r="Y188">
        <v>3540.0936023009244</v>
      </c>
      <c r="Z188">
        <v>3386.748989346559</v>
      </c>
      <c r="AA188">
        <v>3283.505344568704</v>
      </c>
      <c r="AB188">
        <v>3180.0146407967895</v>
      </c>
      <c r="AC188">
        <v>3076.2670185131556</v>
      </c>
      <c r="AD188">
        <v>2972.2520865017045</v>
      </c>
      <c r="AE188">
        <v>2867.958885516673</v>
      </c>
      <c r="AF188">
        <v>2763.3758489311008</v>
      </c>
      <c r="AG188">
        <v>2658.4907600679171</v>
      </c>
      <c r="AH188">
        <v>2567.4454730064867</v>
      </c>
      <c r="AI188">
        <v>2541.5116803498554</v>
      </c>
      <c r="AJ188">
        <v>2515.5778876932241</v>
      </c>
    </row>
    <row r="189" spans="1:36" x14ac:dyDescent="0.35">
      <c r="A189" t="s">
        <v>1625</v>
      </c>
      <c r="B189" t="s">
        <v>1342</v>
      </c>
      <c r="C189" t="s">
        <v>1343</v>
      </c>
      <c r="D189">
        <v>30</v>
      </c>
      <c r="E189" t="s">
        <v>1500</v>
      </c>
      <c r="F189" t="s">
        <v>1626</v>
      </c>
      <c r="G189" t="s">
        <v>1627</v>
      </c>
      <c r="H189">
        <v>6225.9086060556428</v>
      </c>
      <c r="I189">
        <v>5037.237479390873</v>
      </c>
      <c r="J189">
        <v>4152.2315232804476</v>
      </c>
      <c r="K189">
        <v>3494.1166948374598</v>
      </c>
      <c r="L189">
        <v>3105.9785148679794</v>
      </c>
      <c r="M189">
        <v>2771.4935568334331</v>
      </c>
      <c r="N189">
        <v>2575.3059047797847</v>
      </c>
      <c r="O189">
        <v>2375.7159465793652</v>
      </c>
      <c r="P189">
        <v>2172.0696403120173</v>
      </c>
      <c r="Q189">
        <v>2018.5206930949066</v>
      </c>
      <c r="R189">
        <v>1952.7198730009179</v>
      </c>
      <c r="S189">
        <v>1886.7802808621898</v>
      </c>
      <c r="T189">
        <v>1820.6969707650526</v>
      </c>
      <c r="U189">
        <v>1754.4647589364959</v>
      </c>
      <c r="V189">
        <v>1688.0782092712254</v>
      </c>
      <c r="W189">
        <v>1621.5316177889304</v>
      </c>
      <c r="X189">
        <v>1554.8189959283825</v>
      </c>
      <c r="Y189">
        <v>1487.9340525755158</v>
      </c>
      <c r="Z189">
        <v>1420.8701747121177</v>
      </c>
      <c r="AA189">
        <v>1375.494602453728</v>
      </c>
      <c r="AB189">
        <v>1330.0076679271453</v>
      </c>
      <c r="AC189">
        <v>1284.404926937759</v>
      </c>
      <c r="AD189">
        <v>1238.6816956269679</v>
      </c>
      <c r="AE189">
        <v>1192.8330340958212</v>
      </c>
      <c r="AF189">
        <v>1146.8537286672424</v>
      </c>
      <c r="AG189">
        <v>1100.7382726529468</v>
      </c>
      <c r="AH189">
        <v>1068.9384596689645</v>
      </c>
      <c r="AI189">
        <v>1056.0596830464467</v>
      </c>
      <c r="AJ189">
        <v>1043.1809064239292</v>
      </c>
    </row>
    <row r="190" spans="1:36" x14ac:dyDescent="0.35">
      <c r="A190" t="s">
        <v>1628</v>
      </c>
      <c r="B190" t="s">
        <v>1342</v>
      </c>
      <c r="C190" t="s">
        <v>1348</v>
      </c>
      <c r="D190">
        <v>30</v>
      </c>
      <c r="E190" t="s">
        <v>1500</v>
      </c>
      <c r="F190" t="s">
        <v>1626</v>
      </c>
      <c r="G190" t="s">
        <v>1627</v>
      </c>
      <c r="H190">
        <v>6225.9086060556428</v>
      </c>
      <c r="I190">
        <v>6055.4025018209422</v>
      </c>
      <c r="J190">
        <v>5397.8781502923321</v>
      </c>
      <c r="K190">
        <v>4776.761301931725</v>
      </c>
      <c r="L190">
        <v>4412.6862702517055</v>
      </c>
      <c r="M190">
        <v>4048.6112385716856</v>
      </c>
      <c r="N190">
        <v>3684.5362068916661</v>
      </c>
      <c r="O190">
        <v>3320.4611752116462</v>
      </c>
      <c r="P190">
        <v>2956.3861435316262</v>
      </c>
      <c r="Q190">
        <v>2911.9847877582702</v>
      </c>
      <c r="R190">
        <v>2812.8716216915041</v>
      </c>
      <c r="S190">
        <v>2713.758455624738</v>
      </c>
      <c r="T190">
        <v>2614.64528955797</v>
      </c>
      <c r="U190">
        <v>2515.5321234912035</v>
      </c>
      <c r="V190">
        <v>2416.4189574244365</v>
      </c>
      <c r="W190">
        <v>2317.3057913576708</v>
      </c>
      <c r="X190">
        <v>2270.0357340554388</v>
      </c>
      <c r="Y190">
        <v>2172.3837167602528</v>
      </c>
      <c r="Z190">
        <v>2074.4704550796914</v>
      </c>
      <c r="AA190">
        <v>2035.26237474492</v>
      </c>
      <c r="AB190">
        <v>1996.0542944101487</v>
      </c>
      <c r="AC190">
        <v>1956.8462140753775</v>
      </c>
      <c r="AD190">
        <v>1917.638133740606</v>
      </c>
      <c r="AE190">
        <v>1878.4300534058348</v>
      </c>
      <c r="AF190">
        <v>1839.2219730710633</v>
      </c>
      <c r="AG190">
        <v>1800.0138927362918</v>
      </c>
      <c r="AH190">
        <v>1760.8058124015206</v>
      </c>
      <c r="AI190">
        <v>1721.5977320667494</v>
      </c>
      <c r="AJ190">
        <v>1682.3896517319779</v>
      </c>
    </row>
    <row r="191" spans="1:36" x14ac:dyDescent="0.35">
      <c r="A191" t="s">
        <v>1629</v>
      </c>
      <c r="B191" t="s">
        <v>1342</v>
      </c>
      <c r="C191" t="s">
        <v>1350</v>
      </c>
      <c r="D191">
        <v>30</v>
      </c>
      <c r="E191" t="s">
        <v>1500</v>
      </c>
      <c r="F191" t="s">
        <v>1626</v>
      </c>
      <c r="G191" t="s">
        <v>1627</v>
      </c>
      <c r="H191">
        <v>6225.9086060556428</v>
      </c>
      <c r="I191">
        <v>6530.9459529062024</v>
      </c>
      <c r="J191">
        <v>5998.8362912200191</v>
      </c>
      <c r="K191">
        <v>5433.1197035326031</v>
      </c>
      <c r="L191">
        <v>5153.0619868556651</v>
      </c>
      <c r="M191">
        <v>4873.004270178727</v>
      </c>
      <c r="N191">
        <v>4592.946553501788</v>
      </c>
      <c r="O191">
        <v>4312.8888368248499</v>
      </c>
      <c r="P191">
        <v>4088.8426634832999</v>
      </c>
      <c r="Q191">
        <v>4000.3444250133871</v>
      </c>
      <c r="R191">
        <v>3911.8461865434747</v>
      </c>
      <c r="S191">
        <v>3823.3479480735623</v>
      </c>
      <c r="T191">
        <v>3734.8497096036494</v>
      </c>
      <c r="U191">
        <v>3646.351471133737</v>
      </c>
      <c r="V191">
        <v>3557.8532326638247</v>
      </c>
      <c r="W191">
        <v>3469.3549941939123</v>
      </c>
      <c r="X191">
        <v>3380.8567557239994</v>
      </c>
      <c r="Y191">
        <v>3292.358517254087</v>
      </c>
      <c r="Z191">
        <v>3203.8602787841746</v>
      </c>
      <c r="AA191">
        <v>3115.3620403142618</v>
      </c>
      <c r="AB191">
        <v>3026.8638018443494</v>
      </c>
      <c r="AC191">
        <v>2938.365563374437</v>
      </c>
      <c r="AD191">
        <v>2849.8673249045241</v>
      </c>
      <c r="AE191">
        <v>2761.3690864346122</v>
      </c>
      <c r="AF191">
        <v>2672.8708479646994</v>
      </c>
      <c r="AG191">
        <v>2584.3726094947865</v>
      </c>
      <c r="AH191">
        <v>2495.8743710248746</v>
      </c>
      <c r="AI191">
        <v>2407.3761325549617</v>
      </c>
      <c r="AJ191">
        <v>2318.8778940850498</v>
      </c>
    </row>
    <row r="192" spans="1:36" x14ac:dyDescent="0.35">
      <c r="A192" t="s">
        <v>1630</v>
      </c>
      <c r="B192" t="s">
        <v>1342</v>
      </c>
      <c r="C192" t="s">
        <v>1343</v>
      </c>
      <c r="D192">
        <v>30</v>
      </c>
      <c r="E192" t="s">
        <v>1500</v>
      </c>
      <c r="F192" t="s">
        <v>1631</v>
      </c>
      <c r="G192" t="s">
        <v>1632</v>
      </c>
      <c r="H192">
        <v>4042.3620426706452</v>
      </c>
      <c r="I192">
        <v>3388.6983717909538</v>
      </c>
      <c r="J192">
        <v>3058.2302661121666</v>
      </c>
      <c r="K192">
        <v>2679.5922331649458</v>
      </c>
      <c r="L192">
        <v>2446.5842128897334</v>
      </c>
      <c r="M192">
        <v>2213.5761926145206</v>
      </c>
      <c r="N192">
        <v>1980.5681723393077</v>
      </c>
      <c r="O192">
        <v>1747.5601520640953</v>
      </c>
      <c r="P192">
        <v>1677.5545781547041</v>
      </c>
      <c r="Q192">
        <v>1578.8338380545854</v>
      </c>
      <c r="R192">
        <v>1547.9427591386575</v>
      </c>
      <c r="S192">
        <v>1517.0057345905227</v>
      </c>
      <c r="T192">
        <v>1486.0211268820265</v>
      </c>
      <c r="U192">
        <v>1454.9872197328566</v>
      </c>
      <c r="V192">
        <v>1423.9022133187425</v>
      </c>
      <c r="W192">
        <v>1392.7642191254497</v>
      </c>
      <c r="X192">
        <v>1361.5712544176802</v>
      </c>
      <c r="Y192">
        <v>1330.3212362887978</v>
      </c>
      <c r="Z192">
        <v>1299.0119752538562</v>
      </c>
      <c r="AA192">
        <v>1284.4467332148711</v>
      </c>
      <c r="AB192">
        <v>1269.8804046101288</v>
      </c>
      <c r="AC192">
        <v>1255.3129460774583</v>
      </c>
      <c r="AD192">
        <v>1240.7443119162801</v>
      </c>
      <c r="AE192">
        <v>1226.1744539278163</v>
      </c>
      <c r="AF192">
        <v>1211.6033212420286</v>
      </c>
      <c r="AG192">
        <v>1197.0308601299555</v>
      </c>
      <c r="AH192">
        <v>1173.301804018033</v>
      </c>
      <c r="AI192">
        <v>1157.3385141674473</v>
      </c>
      <c r="AJ192">
        <v>1141.3752243168622</v>
      </c>
    </row>
    <row r="193" spans="1:36" x14ac:dyDescent="0.35">
      <c r="A193" t="s">
        <v>1633</v>
      </c>
      <c r="B193" t="s">
        <v>1342</v>
      </c>
      <c r="C193" t="s">
        <v>1348</v>
      </c>
      <c r="D193">
        <v>30</v>
      </c>
      <c r="E193" t="s">
        <v>1500</v>
      </c>
      <c r="F193" t="s">
        <v>1631</v>
      </c>
      <c r="G193" t="s">
        <v>1632</v>
      </c>
      <c r="H193">
        <v>4042.3620426706452</v>
      </c>
      <c r="I193">
        <v>3931.6557269480527</v>
      </c>
      <c r="J193">
        <v>3557.6878629287066</v>
      </c>
      <c r="K193">
        <v>3202.3158312967098</v>
      </c>
      <c r="L193">
        <v>3016.3575074232226</v>
      </c>
      <c r="M193">
        <v>2830.3991835497359</v>
      </c>
      <c r="N193">
        <v>2644.4408596762487</v>
      </c>
      <c r="O193">
        <v>2458.4825358027615</v>
      </c>
      <c r="P193">
        <v>2371.6407679069839</v>
      </c>
      <c r="Q193">
        <v>2330.976387445492</v>
      </c>
      <c r="R193">
        <v>2290.3120069840011</v>
      </c>
      <c r="S193">
        <v>2249.6476265225092</v>
      </c>
      <c r="T193">
        <v>2208.9832460610182</v>
      </c>
      <c r="U193">
        <v>2168.3188655995264</v>
      </c>
      <c r="V193">
        <v>2127.6544851380354</v>
      </c>
      <c r="W193">
        <v>2086.990104676544</v>
      </c>
      <c r="X193">
        <v>2046.3257242150526</v>
      </c>
      <c r="Y193">
        <v>2005.6613437535611</v>
      </c>
      <c r="Z193">
        <v>1964.9969632920699</v>
      </c>
      <c r="AA193">
        <v>1924.3325828305785</v>
      </c>
      <c r="AB193">
        <v>1883.6682023690871</v>
      </c>
      <c r="AC193">
        <v>1843.0038219075957</v>
      </c>
      <c r="AD193">
        <v>1802.3394414461043</v>
      </c>
      <c r="AE193">
        <v>1761.6750609846126</v>
      </c>
      <c r="AF193">
        <v>1721.0106805231212</v>
      </c>
      <c r="AG193">
        <v>1680.3463000616298</v>
      </c>
      <c r="AH193">
        <v>1680.3463000616298</v>
      </c>
      <c r="AI193">
        <v>1680.3463000616298</v>
      </c>
      <c r="AJ193">
        <v>1680.3463000616298</v>
      </c>
    </row>
    <row r="194" spans="1:36" x14ac:dyDescent="0.35">
      <c r="A194" t="s">
        <v>1634</v>
      </c>
      <c r="B194" t="s">
        <v>1342</v>
      </c>
      <c r="C194" t="s">
        <v>1350</v>
      </c>
      <c r="D194">
        <v>30</v>
      </c>
      <c r="E194" t="s">
        <v>1500</v>
      </c>
      <c r="F194" t="s">
        <v>1631</v>
      </c>
      <c r="G194" t="s">
        <v>1632</v>
      </c>
      <c r="H194">
        <v>4042.3620426706452</v>
      </c>
      <c r="I194">
        <v>4056.912015594186</v>
      </c>
      <c r="J194">
        <v>3743.1202588715223</v>
      </c>
      <c r="K194">
        <v>3441.651041682645</v>
      </c>
      <c r="L194">
        <v>3318.4256463447919</v>
      </c>
      <c r="M194">
        <v>3195.2002510069392</v>
      </c>
      <c r="N194">
        <v>3071.9748556690861</v>
      </c>
      <c r="O194">
        <v>2948.749460331233</v>
      </c>
      <c r="P194">
        <v>2845.9689214883806</v>
      </c>
      <c r="Q194">
        <v>2797.1716649345908</v>
      </c>
      <c r="R194">
        <v>2748.374408380801</v>
      </c>
      <c r="S194">
        <v>2699.5771518270117</v>
      </c>
      <c r="T194">
        <v>2650.7798952732219</v>
      </c>
      <c r="U194">
        <v>2601.9826387194321</v>
      </c>
      <c r="V194">
        <v>2553.1853821656423</v>
      </c>
      <c r="W194">
        <v>2504.3881256118525</v>
      </c>
      <c r="X194">
        <v>2455.5908690580632</v>
      </c>
      <c r="Y194">
        <v>2406.7936125042734</v>
      </c>
      <c r="Z194">
        <v>2357.996355950484</v>
      </c>
      <c r="AA194">
        <v>2309.1990993966942</v>
      </c>
      <c r="AB194">
        <v>2260.401842842904</v>
      </c>
      <c r="AC194">
        <v>2211.6045862891146</v>
      </c>
      <c r="AD194">
        <v>2162.8073297353249</v>
      </c>
      <c r="AE194">
        <v>2114.0100731815355</v>
      </c>
      <c r="AF194">
        <v>2065.2128166277457</v>
      </c>
      <c r="AG194">
        <v>2016.4155600739562</v>
      </c>
      <c r="AH194">
        <v>2016.4155600739562</v>
      </c>
      <c r="AI194">
        <v>2016.4155600739562</v>
      </c>
      <c r="AJ194">
        <v>2016.4155600739562</v>
      </c>
    </row>
    <row r="195" spans="1:36" x14ac:dyDescent="0.35">
      <c r="A195" t="s">
        <v>1635</v>
      </c>
      <c r="B195" t="s">
        <v>1342</v>
      </c>
      <c r="C195" t="s">
        <v>1343</v>
      </c>
      <c r="D195">
        <v>30</v>
      </c>
      <c r="E195" t="s">
        <v>1500</v>
      </c>
      <c r="F195" t="s">
        <v>1636</v>
      </c>
      <c r="G195" t="s">
        <v>1637</v>
      </c>
      <c r="H195">
        <v>3217.8415751301068</v>
      </c>
      <c r="I195">
        <v>2603.4805858251416</v>
      </c>
      <c r="J195">
        <v>2161.1401861076138</v>
      </c>
      <c r="K195">
        <v>1749.6569647795254</v>
      </c>
      <c r="L195">
        <v>1709.1382143307058</v>
      </c>
      <c r="M195">
        <v>1668.6194638818863</v>
      </c>
      <c r="N195">
        <v>1628.1007134330669</v>
      </c>
      <c r="O195">
        <v>1587.5819629842472</v>
      </c>
      <c r="P195">
        <v>1547.0632125354277</v>
      </c>
      <c r="Q195">
        <v>1506.5444620866083</v>
      </c>
      <c r="R195">
        <v>1491.4790174657423</v>
      </c>
      <c r="S195">
        <v>1476.4135728448762</v>
      </c>
      <c r="T195">
        <v>1461.3481282240102</v>
      </c>
      <c r="U195">
        <v>1446.2826836031441</v>
      </c>
      <c r="V195">
        <v>1431.2172389822776</v>
      </c>
      <c r="W195">
        <v>1416.1517943614117</v>
      </c>
      <c r="X195">
        <v>1401.0863497405455</v>
      </c>
      <c r="Y195">
        <v>1386.0209051196796</v>
      </c>
      <c r="Z195">
        <v>1370.9554604988132</v>
      </c>
      <c r="AA195">
        <v>1355.8900158779468</v>
      </c>
      <c r="AB195">
        <v>1340.8245712570808</v>
      </c>
      <c r="AC195">
        <v>1325.7591266362147</v>
      </c>
      <c r="AD195">
        <v>1310.6936820153487</v>
      </c>
      <c r="AE195">
        <v>1295.6282373944825</v>
      </c>
      <c r="AF195">
        <v>1280.5627927736164</v>
      </c>
      <c r="AG195">
        <v>1265.4973481527502</v>
      </c>
      <c r="AH195">
        <v>1250.431903531884</v>
      </c>
      <c r="AI195">
        <v>1235.3664589110181</v>
      </c>
      <c r="AJ195">
        <v>1232.2539533785286</v>
      </c>
    </row>
    <row r="196" spans="1:36" x14ac:dyDescent="0.35">
      <c r="A196" t="s">
        <v>1638</v>
      </c>
      <c r="B196" t="s">
        <v>1342</v>
      </c>
      <c r="C196" t="s">
        <v>1348</v>
      </c>
      <c r="D196">
        <v>30</v>
      </c>
      <c r="E196" t="s">
        <v>1500</v>
      </c>
      <c r="F196" t="s">
        <v>1636</v>
      </c>
      <c r="G196" t="s">
        <v>1637</v>
      </c>
      <c r="H196">
        <v>3217.8415751301068</v>
      </c>
      <c r="I196">
        <v>3129.7160233855425</v>
      </c>
      <c r="J196">
        <v>2706.2403786625837</v>
      </c>
      <c r="K196">
        <v>2309.5471935089736</v>
      </c>
      <c r="L196">
        <v>2256.0624429165323</v>
      </c>
      <c r="M196">
        <v>2202.5776923240901</v>
      </c>
      <c r="N196">
        <v>2149.0929417316484</v>
      </c>
      <c r="O196">
        <v>2095.6081911392066</v>
      </c>
      <c r="P196">
        <v>2042.1234405467649</v>
      </c>
      <c r="Q196">
        <v>1988.6386899543227</v>
      </c>
      <c r="R196">
        <v>1968.7523030547798</v>
      </c>
      <c r="S196">
        <v>1948.8659161552364</v>
      </c>
      <c r="T196">
        <v>1928.9795292556935</v>
      </c>
      <c r="U196">
        <v>1909.0931423561501</v>
      </c>
      <c r="V196">
        <v>1889.2067554566065</v>
      </c>
      <c r="W196">
        <v>1869.3203685570636</v>
      </c>
      <c r="X196">
        <v>1849.4339816575202</v>
      </c>
      <c r="Y196">
        <v>1829.5475947579771</v>
      </c>
      <c r="Z196">
        <v>1809.6612078584333</v>
      </c>
      <c r="AA196">
        <v>1789.7748209588897</v>
      </c>
      <c r="AB196">
        <v>1769.8884340593468</v>
      </c>
      <c r="AC196">
        <v>1750.0020471598034</v>
      </c>
      <c r="AD196">
        <v>1730.1156602602605</v>
      </c>
      <c r="AE196">
        <v>1710.2292733607171</v>
      </c>
      <c r="AF196">
        <v>1690.3428864611735</v>
      </c>
      <c r="AG196">
        <v>1670.4564995616302</v>
      </c>
      <c r="AH196">
        <v>1650.570112662087</v>
      </c>
      <c r="AI196">
        <v>1630.6837257625439</v>
      </c>
      <c r="AJ196">
        <v>1626.5752184596579</v>
      </c>
    </row>
    <row r="197" spans="1:36" x14ac:dyDescent="0.35">
      <c r="A197" t="s">
        <v>1639</v>
      </c>
      <c r="B197" t="s">
        <v>1342</v>
      </c>
      <c r="C197" t="s">
        <v>1350</v>
      </c>
      <c r="D197">
        <v>30</v>
      </c>
      <c r="E197" t="s">
        <v>1500</v>
      </c>
      <c r="F197" t="s">
        <v>1636</v>
      </c>
      <c r="G197" t="s">
        <v>1637</v>
      </c>
      <c r="H197">
        <v>3217.8415751301068</v>
      </c>
      <c r="I197">
        <v>3229.4237905022496</v>
      </c>
      <c r="J197">
        <v>3006.1760433720701</v>
      </c>
      <c r="K197">
        <v>2790.2097968754915</v>
      </c>
      <c r="L197">
        <v>2717.3947905394875</v>
      </c>
      <c r="M197">
        <v>2644.5797842034835</v>
      </c>
      <c r="N197">
        <v>2571.7647778674796</v>
      </c>
      <c r="O197">
        <v>2498.9497715314751</v>
      </c>
      <c r="P197">
        <v>2426.1347651954716</v>
      </c>
      <c r="Q197">
        <v>2386.3664279451873</v>
      </c>
      <c r="R197">
        <v>2362.5027636657355</v>
      </c>
      <c r="S197">
        <v>2338.6390993862833</v>
      </c>
      <c r="T197">
        <v>2314.775435106832</v>
      </c>
      <c r="U197">
        <v>2290.9117708273798</v>
      </c>
      <c r="V197">
        <v>2267.048106547928</v>
      </c>
      <c r="W197">
        <v>2243.1844422684762</v>
      </c>
      <c r="X197">
        <v>2219.3207779890245</v>
      </c>
      <c r="Y197">
        <v>2195.4571137095722</v>
      </c>
      <c r="Z197">
        <v>2171.5934494301196</v>
      </c>
      <c r="AA197">
        <v>2147.7297851506678</v>
      </c>
      <c r="AB197">
        <v>2123.866120871216</v>
      </c>
      <c r="AC197">
        <v>2100.0024565917638</v>
      </c>
      <c r="AD197">
        <v>2076.1387923123125</v>
      </c>
      <c r="AE197">
        <v>2052.2751280328603</v>
      </c>
      <c r="AF197">
        <v>2028.4114637534083</v>
      </c>
      <c r="AG197">
        <v>2004.5477994739563</v>
      </c>
      <c r="AH197">
        <v>1980.6841351945045</v>
      </c>
      <c r="AI197">
        <v>1956.8204709150527</v>
      </c>
      <c r="AJ197">
        <v>1951.8902621515892</v>
      </c>
    </row>
    <row r="198" spans="1:36" x14ac:dyDescent="0.35">
      <c r="A198" t="s">
        <v>1640</v>
      </c>
      <c r="B198" t="s">
        <v>1342</v>
      </c>
      <c r="C198" t="s">
        <v>1343</v>
      </c>
      <c r="D198">
        <v>30</v>
      </c>
      <c r="E198" t="s">
        <v>1500</v>
      </c>
      <c r="F198" t="s">
        <v>1641</v>
      </c>
      <c r="G198" t="s">
        <v>1642</v>
      </c>
      <c r="H198">
        <v>8291.660442472079</v>
      </c>
      <c r="I198">
        <v>6708.5891216871123</v>
      </c>
      <c r="J198">
        <v>4999.0302426833487</v>
      </c>
      <c r="K198">
        <v>4285.8553909536186</v>
      </c>
      <c r="L198">
        <v>3769.5455176820724</v>
      </c>
      <c r="M198">
        <v>3321.4345512935229</v>
      </c>
      <c r="N198">
        <v>3039.6303426180884</v>
      </c>
      <c r="O198">
        <v>2751.8601403945177</v>
      </c>
      <c r="P198">
        <v>2456.9416827093214</v>
      </c>
      <c r="Q198">
        <v>2285.3262428411758</v>
      </c>
      <c r="R198">
        <v>2212.9734708073238</v>
      </c>
      <c r="S198">
        <v>2140.4701111197023</v>
      </c>
      <c r="T198">
        <v>2067.810796749694</v>
      </c>
      <c r="U198">
        <v>1994.9899025570421</v>
      </c>
      <c r="V198">
        <v>1922.0015295846222</v>
      </c>
      <c r="W198">
        <v>1848.8394881923402</v>
      </c>
      <c r="X198">
        <v>1775.4972799288207</v>
      </c>
      <c r="Y198">
        <v>1701.9680780292904</v>
      </c>
      <c r="Z198">
        <v>1628.2447064166147</v>
      </c>
      <c r="AA198">
        <v>1578.6083387349536</v>
      </c>
      <c r="AB198">
        <v>1528.853192690764</v>
      </c>
      <c r="AC198">
        <v>1478.9745281313249</v>
      </c>
      <c r="AD198">
        <v>1428.9673492796653</v>
      </c>
      <c r="AE198">
        <v>1378.8263872676312</v>
      </c>
      <c r="AF198">
        <v>1328.5460812168751</v>
      </c>
      <c r="AG198">
        <v>1278.1205577249602</v>
      </c>
      <c r="AH198">
        <v>1234.3487850992724</v>
      </c>
      <c r="AI198">
        <v>1221.880615552815</v>
      </c>
      <c r="AJ198">
        <v>1209.4124460063579</v>
      </c>
    </row>
    <row r="199" spans="1:36" x14ac:dyDescent="0.35">
      <c r="A199" t="s">
        <v>1643</v>
      </c>
      <c r="B199" t="s">
        <v>1342</v>
      </c>
      <c r="C199" t="s">
        <v>1348</v>
      </c>
      <c r="D199">
        <v>30</v>
      </c>
      <c r="E199" t="s">
        <v>1500</v>
      </c>
      <c r="F199" t="s">
        <v>1641</v>
      </c>
      <c r="G199" t="s">
        <v>1642</v>
      </c>
      <c r="H199">
        <v>8291.660442472079</v>
      </c>
      <c r="I199">
        <v>8064.5805399004657</v>
      </c>
      <c r="J199">
        <v>7188.695733629037</v>
      </c>
      <c r="K199">
        <v>6361.3169238860546</v>
      </c>
      <c r="L199">
        <v>5876.256958601597</v>
      </c>
      <c r="M199">
        <v>5391.1969933171395</v>
      </c>
      <c r="N199">
        <v>4906.1370280326837</v>
      </c>
      <c r="O199">
        <v>4421.0770627482261</v>
      </c>
      <c r="P199">
        <v>3931.1066923349144</v>
      </c>
      <c r="Q199">
        <v>3656.521988545881</v>
      </c>
      <c r="R199">
        <v>3540.7575532917185</v>
      </c>
      <c r="S199">
        <v>3424.752177791524</v>
      </c>
      <c r="T199">
        <v>3308.4972747995107</v>
      </c>
      <c r="U199">
        <v>3191.9838440912681</v>
      </c>
      <c r="V199">
        <v>3075.2024473353949</v>
      </c>
      <c r="W199">
        <v>2958.143181107745</v>
      </c>
      <c r="X199">
        <v>2840.7956478861133</v>
      </c>
      <c r="Y199">
        <v>2723.1489248468647</v>
      </c>
      <c r="Z199">
        <v>2605.1915302665834</v>
      </c>
      <c r="AA199">
        <v>2525.7733419759256</v>
      </c>
      <c r="AB199">
        <v>2446.1651083052225</v>
      </c>
      <c r="AC199">
        <v>2366.35924501012</v>
      </c>
      <c r="AD199">
        <v>2286.3477588474648</v>
      </c>
      <c r="AE199">
        <v>2206.1222196282097</v>
      </c>
      <c r="AF199">
        <v>2125.6737299470005</v>
      </c>
      <c r="AG199">
        <v>2044.9928923599361</v>
      </c>
      <c r="AH199">
        <v>1974.9580561588357</v>
      </c>
      <c r="AI199">
        <v>1955.0089848845039</v>
      </c>
      <c r="AJ199">
        <v>1935.0599136101723</v>
      </c>
    </row>
    <row r="200" spans="1:36" x14ac:dyDescent="0.35">
      <c r="A200" t="s">
        <v>1644</v>
      </c>
      <c r="B200" t="s">
        <v>1342</v>
      </c>
      <c r="C200" t="s">
        <v>1350</v>
      </c>
      <c r="D200">
        <v>30</v>
      </c>
      <c r="E200" t="s">
        <v>1500</v>
      </c>
      <c r="F200" t="s">
        <v>1641</v>
      </c>
      <c r="G200" t="s">
        <v>1642</v>
      </c>
      <c r="H200">
        <v>8291.660442472079</v>
      </c>
      <c r="I200">
        <v>8321.5052296672075</v>
      </c>
      <c r="J200">
        <v>7575.0911176115587</v>
      </c>
      <c r="K200">
        <v>6863.7402316838616</v>
      </c>
      <c r="L200">
        <v>6513.107970404335</v>
      </c>
      <c r="M200">
        <v>6162.4757091248084</v>
      </c>
      <c r="N200">
        <v>5811.84344784528</v>
      </c>
      <c r="O200">
        <v>5461.2111865657535</v>
      </c>
      <c r="P200">
        <v>5110.438700035389</v>
      </c>
      <c r="Q200">
        <v>4753.4785851096449</v>
      </c>
      <c r="R200">
        <v>4602.9848192792342</v>
      </c>
      <c r="S200">
        <v>4452.1778311289809</v>
      </c>
      <c r="T200">
        <v>4301.0464572393639</v>
      </c>
      <c r="U200">
        <v>4149.5789973186484</v>
      </c>
      <c r="V200">
        <v>3997.7631815360137</v>
      </c>
      <c r="W200">
        <v>3845.5861354400681</v>
      </c>
      <c r="X200">
        <v>3693.0343422519477</v>
      </c>
      <c r="Y200">
        <v>3540.0936023009244</v>
      </c>
      <c r="Z200">
        <v>3386.748989346559</v>
      </c>
      <c r="AA200">
        <v>3283.505344568704</v>
      </c>
      <c r="AB200">
        <v>3180.0146407967895</v>
      </c>
      <c r="AC200">
        <v>3076.2670185131556</v>
      </c>
      <c r="AD200">
        <v>2972.2520865017045</v>
      </c>
      <c r="AE200">
        <v>2867.958885516673</v>
      </c>
      <c r="AF200">
        <v>2763.3758489311008</v>
      </c>
      <c r="AG200">
        <v>2658.4907600679171</v>
      </c>
      <c r="AH200">
        <v>2567.4454730064867</v>
      </c>
      <c r="AI200">
        <v>2541.5116803498554</v>
      </c>
      <c r="AJ200">
        <v>2515.5778876932241</v>
      </c>
    </row>
    <row r="201" spans="1:36" x14ac:dyDescent="0.35">
      <c r="A201" t="s">
        <v>1645</v>
      </c>
      <c r="B201" t="s">
        <v>1342</v>
      </c>
      <c r="C201" t="s">
        <v>1343</v>
      </c>
      <c r="D201">
        <v>30</v>
      </c>
      <c r="E201" t="s">
        <v>1500</v>
      </c>
      <c r="F201" t="s">
        <v>1646</v>
      </c>
      <c r="G201" t="s">
        <v>1647</v>
      </c>
      <c r="H201">
        <v>6225.9086060556428</v>
      </c>
      <c r="I201">
        <v>5037.237479390873</v>
      </c>
      <c r="J201">
        <v>4152.2315232804476</v>
      </c>
      <c r="K201">
        <v>3494.1166948374598</v>
      </c>
      <c r="L201">
        <v>3105.9785148679794</v>
      </c>
      <c r="M201">
        <v>2771.4935568334331</v>
      </c>
      <c r="N201">
        <v>2575.3059047797847</v>
      </c>
      <c r="O201">
        <v>2375.7159465793652</v>
      </c>
      <c r="P201">
        <v>2172.0696403120173</v>
      </c>
      <c r="Q201">
        <v>2018.5206930949066</v>
      </c>
      <c r="R201">
        <v>1952.7198730009179</v>
      </c>
      <c r="S201">
        <v>1886.7802808621898</v>
      </c>
      <c r="T201">
        <v>1820.6969707650526</v>
      </c>
      <c r="U201">
        <v>1754.4647589364959</v>
      </c>
      <c r="V201">
        <v>1688.0782092712254</v>
      </c>
      <c r="W201">
        <v>1621.5316177889304</v>
      </c>
      <c r="X201">
        <v>1554.8189959283825</v>
      </c>
      <c r="Y201">
        <v>1487.9340525755158</v>
      </c>
      <c r="Z201">
        <v>1420.8701747121177</v>
      </c>
      <c r="AA201">
        <v>1375.494602453728</v>
      </c>
      <c r="AB201">
        <v>1330.0076679271453</v>
      </c>
      <c r="AC201">
        <v>1284.404926937759</v>
      </c>
      <c r="AD201">
        <v>1238.6816956269679</v>
      </c>
      <c r="AE201">
        <v>1192.8330340958212</v>
      </c>
      <c r="AF201">
        <v>1146.8537286672424</v>
      </c>
      <c r="AG201">
        <v>1100.7382726529468</v>
      </c>
      <c r="AH201">
        <v>1068.9384596689645</v>
      </c>
      <c r="AI201">
        <v>1056.0596830464467</v>
      </c>
      <c r="AJ201">
        <v>1043.1809064239292</v>
      </c>
    </row>
    <row r="202" spans="1:36" x14ac:dyDescent="0.35">
      <c r="A202" t="s">
        <v>1648</v>
      </c>
      <c r="B202" t="s">
        <v>1342</v>
      </c>
      <c r="C202" t="s">
        <v>1348</v>
      </c>
      <c r="D202">
        <v>30</v>
      </c>
      <c r="E202" t="s">
        <v>1500</v>
      </c>
      <c r="F202" t="s">
        <v>1646</v>
      </c>
      <c r="G202" t="s">
        <v>1647</v>
      </c>
      <c r="H202">
        <v>6225.9086060556428</v>
      </c>
      <c r="I202">
        <v>6055.4025018209422</v>
      </c>
      <c r="J202">
        <v>5397.8781502923321</v>
      </c>
      <c r="K202">
        <v>4776.761301931725</v>
      </c>
      <c r="L202">
        <v>4412.6862702517055</v>
      </c>
      <c r="M202">
        <v>4048.6112385716856</v>
      </c>
      <c r="N202">
        <v>3684.5362068916661</v>
      </c>
      <c r="O202">
        <v>3320.4611752116462</v>
      </c>
      <c r="P202">
        <v>2956.3861435316262</v>
      </c>
      <c r="Q202">
        <v>2911.9847877582702</v>
      </c>
      <c r="R202">
        <v>2812.8716216915041</v>
      </c>
      <c r="S202">
        <v>2713.758455624738</v>
      </c>
      <c r="T202">
        <v>2614.64528955797</v>
      </c>
      <c r="U202">
        <v>2515.5321234912035</v>
      </c>
      <c r="V202">
        <v>2416.4189574244365</v>
      </c>
      <c r="W202">
        <v>2317.3057913576708</v>
      </c>
      <c r="X202">
        <v>2270.0357340554388</v>
      </c>
      <c r="Y202">
        <v>2172.3837167602528</v>
      </c>
      <c r="Z202">
        <v>2074.4704550796914</v>
      </c>
      <c r="AA202">
        <v>2035.26237474492</v>
      </c>
      <c r="AB202">
        <v>1996.0542944101487</v>
      </c>
      <c r="AC202">
        <v>1956.8462140753775</v>
      </c>
      <c r="AD202">
        <v>1917.638133740606</v>
      </c>
      <c r="AE202">
        <v>1878.4300534058348</v>
      </c>
      <c r="AF202">
        <v>1839.2219730710633</v>
      </c>
      <c r="AG202">
        <v>1800.0138927362918</v>
      </c>
      <c r="AH202">
        <v>1760.8058124015206</v>
      </c>
      <c r="AI202">
        <v>1721.5977320667494</v>
      </c>
      <c r="AJ202">
        <v>1682.3896517319779</v>
      </c>
    </row>
    <row r="203" spans="1:36" x14ac:dyDescent="0.35">
      <c r="A203" t="s">
        <v>1649</v>
      </c>
      <c r="B203" t="s">
        <v>1342</v>
      </c>
      <c r="C203" t="s">
        <v>1350</v>
      </c>
      <c r="D203">
        <v>30</v>
      </c>
      <c r="E203" t="s">
        <v>1500</v>
      </c>
      <c r="F203" t="s">
        <v>1646</v>
      </c>
      <c r="G203" t="s">
        <v>1647</v>
      </c>
      <c r="H203">
        <v>6225.9086060556428</v>
      </c>
      <c r="I203">
        <v>6530.9459529062024</v>
      </c>
      <c r="J203">
        <v>5998.8362912200191</v>
      </c>
      <c r="K203">
        <v>5433.1197035326031</v>
      </c>
      <c r="L203">
        <v>5153.0619868556651</v>
      </c>
      <c r="M203">
        <v>4873.004270178727</v>
      </c>
      <c r="N203">
        <v>4592.946553501788</v>
      </c>
      <c r="O203">
        <v>4312.8888368248499</v>
      </c>
      <c r="P203">
        <v>4088.8426634832999</v>
      </c>
      <c r="Q203">
        <v>4000.3444250133871</v>
      </c>
      <c r="R203">
        <v>3911.8461865434747</v>
      </c>
      <c r="S203">
        <v>3823.3479480735623</v>
      </c>
      <c r="T203">
        <v>3734.8497096036494</v>
      </c>
      <c r="U203">
        <v>3646.351471133737</v>
      </c>
      <c r="V203">
        <v>3557.8532326638247</v>
      </c>
      <c r="W203">
        <v>3469.3549941939123</v>
      </c>
      <c r="X203">
        <v>3380.8567557239994</v>
      </c>
      <c r="Y203">
        <v>3292.358517254087</v>
      </c>
      <c r="Z203">
        <v>3203.8602787841746</v>
      </c>
      <c r="AA203">
        <v>3115.3620403142618</v>
      </c>
      <c r="AB203">
        <v>3026.8638018443494</v>
      </c>
      <c r="AC203">
        <v>2938.365563374437</v>
      </c>
      <c r="AD203">
        <v>2849.8673249045241</v>
      </c>
      <c r="AE203">
        <v>2761.3690864346122</v>
      </c>
      <c r="AF203">
        <v>2672.8708479646994</v>
      </c>
      <c r="AG203">
        <v>2584.3726094947865</v>
      </c>
      <c r="AH203">
        <v>2495.8743710248746</v>
      </c>
      <c r="AI203">
        <v>2407.3761325549617</v>
      </c>
      <c r="AJ203">
        <v>2318.8778940850498</v>
      </c>
    </row>
    <row r="204" spans="1:36" x14ac:dyDescent="0.35">
      <c r="A204" t="s">
        <v>1650</v>
      </c>
      <c r="B204" t="s">
        <v>1342</v>
      </c>
      <c r="C204" t="s">
        <v>1343</v>
      </c>
      <c r="D204">
        <v>30</v>
      </c>
      <c r="E204" t="s">
        <v>1500</v>
      </c>
      <c r="F204" t="s">
        <v>1651</v>
      </c>
      <c r="G204" t="s">
        <v>1652</v>
      </c>
      <c r="H204">
        <v>4042.3620426706452</v>
      </c>
      <c r="I204">
        <v>3388.6983717909538</v>
      </c>
      <c r="J204">
        <v>3058.2302661121666</v>
      </c>
      <c r="K204">
        <v>2679.5922331649458</v>
      </c>
      <c r="L204">
        <v>2446.5842128897334</v>
      </c>
      <c r="M204">
        <v>2213.5761926145206</v>
      </c>
      <c r="N204">
        <v>1980.5681723393077</v>
      </c>
      <c r="O204">
        <v>1747.5601520640953</v>
      </c>
      <c r="P204">
        <v>1677.5545781547041</v>
      </c>
      <c r="Q204">
        <v>1578.8338380545854</v>
      </c>
      <c r="R204">
        <v>1547.9427591386575</v>
      </c>
      <c r="S204">
        <v>1517.0057345905227</v>
      </c>
      <c r="T204">
        <v>1486.0211268820265</v>
      </c>
      <c r="U204">
        <v>1454.9872197328566</v>
      </c>
      <c r="V204">
        <v>1423.9022133187425</v>
      </c>
      <c r="W204">
        <v>1392.7642191254497</v>
      </c>
      <c r="X204">
        <v>1361.5712544176802</v>
      </c>
      <c r="Y204">
        <v>1330.3212362887978</v>
      </c>
      <c r="Z204">
        <v>1299.0119752538562</v>
      </c>
      <c r="AA204">
        <v>1284.4467332148711</v>
      </c>
      <c r="AB204">
        <v>1269.8804046101288</v>
      </c>
      <c r="AC204">
        <v>1255.3129460774583</v>
      </c>
      <c r="AD204">
        <v>1240.7443119162801</v>
      </c>
      <c r="AE204">
        <v>1226.1744539278163</v>
      </c>
      <c r="AF204">
        <v>1211.6033212420286</v>
      </c>
      <c r="AG204">
        <v>1197.0308601299555</v>
      </c>
      <c r="AH204">
        <v>1173.301804018033</v>
      </c>
      <c r="AI204">
        <v>1157.3385141674473</v>
      </c>
      <c r="AJ204">
        <v>1141.3752243168622</v>
      </c>
    </row>
    <row r="205" spans="1:36" x14ac:dyDescent="0.35">
      <c r="A205" t="s">
        <v>1653</v>
      </c>
      <c r="B205" t="s">
        <v>1342</v>
      </c>
      <c r="C205" t="s">
        <v>1348</v>
      </c>
      <c r="D205">
        <v>30</v>
      </c>
      <c r="E205" t="s">
        <v>1500</v>
      </c>
      <c r="F205" t="s">
        <v>1651</v>
      </c>
      <c r="G205" t="s">
        <v>1652</v>
      </c>
      <c r="H205">
        <v>4042.3620426706452</v>
      </c>
      <c r="I205">
        <v>3931.6557269480527</v>
      </c>
      <c r="J205">
        <v>3557.6878629287066</v>
      </c>
      <c r="K205">
        <v>3202.3158312967098</v>
      </c>
      <c r="L205">
        <v>3016.3575074232226</v>
      </c>
      <c r="M205">
        <v>2830.3991835497359</v>
      </c>
      <c r="N205">
        <v>2644.4408596762487</v>
      </c>
      <c r="O205">
        <v>2458.4825358027615</v>
      </c>
      <c r="P205">
        <v>2371.6407679069839</v>
      </c>
      <c r="Q205">
        <v>2330.976387445492</v>
      </c>
      <c r="R205">
        <v>2290.3120069840011</v>
      </c>
      <c r="S205">
        <v>2249.6476265225092</v>
      </c>
      <c r="T205">
        <v>2208.9832460610182</v>
      </c>
      <c r="U205">
        <v>2168.3188655995264</v>
      </c>
      <c r="V205">
        <v>2127.6544851380354</v>
      </c>
      <c r="W205">
        <v>2086.990104676544</v>
      </c>
      <c r="X205">
        <v>2046.3257242150526</v>
      </c>
      <c r="Y205">
        <v>2005.6613437535611</v>
      </c>
      <c r="Z205">
        <v>1964.9969632920699</v>
      </c>
      <c r="AA205">
        <v>1924.3325828305785</v>
      </c>
      <c r="AB205">
        <v>1883.6682023690871</v>
      </c>
      <c r="AC205">
        <v>1843.0038219075957</v>
      </c>
      <c r="AD205">
        <v>1802.3394414461043</v>
      </c>
      <c r="AE205">
        <v>1761.6750609846126</v>
      </c>
      <c r="AF205">
        <v>1721.0106805231212</v>
      </c>
      <c r="AG205">
        <v>1680.3463000616298</v>
      </c>
      <c r="AH205">
        <v>1680.3463000616298</v>
      </c>
      <c r="AI205">
        <v>1680.3463000616298</v>
      </c>
      <c r="AJ205">
        <v>1680.3463000616298</v>
      </c>
    </row>
    <row r="206" spans="1:36" x14ac:dyDescent="0.35">
      <c r="A206" t="s">
        <v>1654</v>
      </c>
      <c r="B206" t="s">
        <v>1342</v>
      </c>
      <c r="C206" t="s">
        <v>1350</v>
      </c>
      <c r="D206">
        <v>30</v>
      </c>
      <c r="E206" t="s">
        <v>1500</v>
      </c>
      <c r="F206" t="s">
        <v>1651</v>
      </c>
      <c r="G206" t="s">
        <v>1652</v>
      </c>
      <c r="H206">
        <v>4042.3620426706452</v>
      </c>
      <c r="I206">
        <v>4056.912015594186</v>
      </c>
      <c r="J206">
        <v>3743.1202588715223</v>
      </c>
      <c r="K206">
        <v>3441.651041682645</v>
      </c>
      <c r="L206">
        <v>3318.4256463447919</v>
      </c>
      <c r="M206">
        <v>3195.2002510069392</v>
      </c>
      <c r="N206">
        <v>3071.9748556690861</v>
      </c>
      <c r="O206">
        <v>2948.749460331233</v>
      </c>
      <c r="P206">
        <v>2845.9689214883806</v>
      </c>
      <c r="Q206">
        <v>2797.1716649345908</v>
      </c>
      <c r="R206">
        <v>2748.374408380801</v>
      </c>
      <c r="S206">
        <v>2699.5771518270117</v>
      </c>
      <c r="T206">
        <v>2650.7798952732219</v>
      </c>
      <c r="U206">
        <v>2601.9826387194321</v>
      </c>
      <c r="V206">
        <v>2553.1853821656423</v>
      </c>
      <c r="W206">
        <v>2504.3881256118525</v>
      </c>
      <c r="X206">
        <v>2455.5908690580632</v>
      </c>
      <c r="Y206">
        <v>2406.7936125042734</v>
      </c>
      <c r="Z206">
        <v>2357.996355950484</v>
      </c>
      <c r="AA206">
        <v>2309.1990993966942</v>
      </c>
      <c r="AB206">
        <v>2260.401842842904</v>
      </c>
      <c r="AC206">
        <v>2211.6045862891146</v>
      </c>
      <c r="AD206">
        <v>2162.8073297353249</v>
      </c>
      <c r="AE206">
        <v>2114.0100731815355</v>
      </c>
      <c r="AF206">
        <v>2065.2128166277457</v>
      </c>
      <c r="AG206">
        <v>2016.4155600739562</v>
      </c>
      <c r="AH206">
        <v>2016.4155600739562</v>
      </c>
      <c r="AI206">
        <v>2016.4155600739562</v>
      </c>
      <c r="AJ206">
        <v>2016.4155600739562</v>
      </c>
    </row>
    <row r="207" spans="1:36" x14ac:dyDescent="0.35">
      <c r="A207" t="s">
        <v>1655</v>
      </c>
      <c r="B207" t="s">
        <v>1342</v>
      </c>
      <c r="C207" t="s">
        <v>1343</v>
      </c>
      <c r="D207">
        <v>30</v>
      </c>
      <c r="E207" t="s">
        <v>1500</v>
      </c>
      <c r="F207" t="s">
        <v>1656</v>
      </c>
      <c r="G207" t="s">
        <v>1657</v>
      </c>
      <c r="H207">
        <v>3217.8415751301068</v>
      </c>
      <c r="I207">
        <v>2603.4805858251416</v>
      </c>
      <c r="J207">
        <v>2161.1401861076138</v>
      </c>
      <c r="K207">
        <v>1749.6569647795254</v>
      </c>
      <c r="L207">
        <v>1709.1382143307058</v>
      </c>
      <c r="M207">
        <v>1668.6194638818863</v>
      </c>
      <c r="N207">
        <v>1628.1007134330669</v>
      </c>
      <c r="O207">
        <v>1587.5819629842472</v>
      </c>
      <c r="P207">
        <v>1547.0632125354277</v>
      </c>
      <c r="Q207">
        <v>1506.5444620866083</v>
      </c>
      <c r="R207">
        <v>1491.4790174657423</v>
      </c>
      <c r="S207">
        <v>1476.4135728448762</v>
      </c>
      <c r="T207">
        <v>1461.3481282240102</v>
      </c>
      <c r="U207">
        <v>1446.2826836031441</v>
      </c>
      <c r="V207">
        <v>1431.2172389822776</v>
      </c>
      <c r="W207">
        <v>1416.1517943614117</v>
      </c>
      <c r="X207">
        <v>1401.0863497405455</v>
      </c>
      <c r="Y207">
        <v>1386.0209051196796</v>
      </c>
      <c r="Z207">
        <v>1370.9554604988132</v>
      </c>
      <c r="AA207">
        <v>1355.8900158779468</v>
      </c>
      <c r="AB207">
        <v>1340.8245712570808</v>
      </c>
      <c r="AC207">
        <v>1325.7591266362147</v>
      </c>
      <c r="AD207">
        <v>1310.6936820153487</v>
      </c>
      <c r="AE207">
        <v>1295.6282373944825</v>
      </c>
      <c r="AF207">
        <v>1280.5627927736164</v>
      </c>
      <c r="AG207">
        <v>1265.4973481527502</v>
      </c>
      <c r="AH207">
        <v>1250.431903531884</v>
      </c>
      <c r="AI207">
        <v>1235.3664589110181</v>
      </c>
      <c r="AJ207">
        <v>1232.2539533785286</v>
      </c>
    </row>
    <row r="208" spans="1:36" x14ac:dyDescent="0.35">
      <c r="A208" t="s">
        <v>1658</v>
      </c>
      <c r="B208" t="s">
        <v>1342</v>
      </c>
      <c r="C208" t="s">
        <v>1348</v>
      </c>
      <c r="D208">
        <v>30</v>
      </c>
      <c r="E208" t="s">
        <v>1500</v>
      </c>
      <c r="F208" t="s">
        <v>1656</v>
      </c>
      <c r="G208" t="s">
        <v>1657</v>
      </c>
      <c r="H208">
        <v>3217.8415751301068</v>
      </c>
      <c r="I208">
        <v>3129.7160233855425</v>
      </c>
      <c r="J208">
        <v>2706.2403786625837</v>
      </c>
      <c r="K208">
        <v>2309.5471935089736</v>
      </c>
      <c r="L208">
        <v>2256.0624429165323</v>
      </c>
      <c r="M208">
        <v>2202.5776923240901</v>
      </c>
      <c r="N208">
        <v>2149.0929417316484</v>
      </c>
      <c r="O208">
        <v>2095.6081911392066</v>
      </c>
      <c r="P208">
        <v>2042.1234405467649</v>
      </c>
      <c r="Q208">
        <v>1988.6386899543227</v>
      </c>
      <c r="R208">
        <v>1968.7523030547798</v>
      </c>
      <c r="S208">
        <v>1948.8659161552364</v>
      </c>
      <c r="T208">
        <v>1928.9795292556935</v>
      </c>
      <c r="U208">
        <v>1909.0931423561501</v>
      </c>
      <c r="V208">
        <v>1889.2067554566065</v>
      </c>
      <c r="W208">
        <v>1869.3203685570636</v>
      </c>
      <c r="X208">
        <v>1849.4339816575202</v>
      </c>
      <c r="Y208">
        <v>1829.5475947579771</v>
      </c>
      <c r="Z208">
        <v>1809.6612078584333</v>
      </c>
      <c r="AA208">
        <v>1789.7748209588897</v>
      </c>
      <c r="AB208">
        <v>1769.8884340593468</v>
      </c>
      <c r="AC208">
        <v>1750.0020471598034</v>
      </c>
      <c r="AD208">
        <v>1730.1156602602605</v>
      </c>
      <c r="AE208">
        <v>1710.2292733607171</v>
      </c>
      <c r="AF208">
        <v>1690.3428864611735</v>
      </c>
      <c r="AG208">
        <v>1670.4564995616302</v>
      </c>
      <c r="AH208">
        <v>1650.570112662087</v>
      </c>
      <c r="AI208">
        <v>1630.6837257625439</v>
      </c>
      <c r="AJ208">
        <v>1626.5752184596579</v>
      </c>
    </row>
    <row r="209" spans="1:36" x14ac:dyDescent="0.35">
      <c r="A209" t="s">
        <v>1659</v>
      </c>
      <c r="B209" t="s">
        <v>1342</v>
      </c>
      <c r="C209" t="s">
        <v>1350</v>
      </c>
      <c r="D209">
        <v>30</v>
      </c>
      <c r="E209" t="s">
        <v>1500</v>
      </c>
      <c r="F209" t="s">
        <v>1656</v>
      </c>
      <c r="G209" t="s">
        <v>1657</v>
      </c>
      <c r="H209">
        <v>3217.8415751301068</v>
      </c>
      <c r="I209">
        <v>3229.4237905022496</v>
      </c>
      <c r="J209">
        <v>3006.1760433720701</v>
      </c>
      <c r="K209">
        <v>2790.2097968754915</v>
      </c>
      <c r="L209">
        <v>2717.3947905394875</v>
      </c>
      <c r="M209">
        <v>2644.5797842034835</v>
      </c>
      <c r="N209">
        <v>2571.7647778674796</v>
      </c>
      <c r="O209">
        <v>2498.9497715314751</v>
      </c>
      <c r="P209">
        <v>2426.1347651954716</v>
      </c>
      <c r="Q209">
        <v>2386.3664279451873</v>
      </c>
      <c r="R209">
        <v>2362.5027636657355</v>
      </c>
      <c r="S209">
        <v>2338.6390993862833</v>
      </c>
      <c r="T209">
        <v>2314.775435106832</v>
      </c>
      <c r="U209">
        <v>2290.9117708273798</v>
      </c>
      <c r="V209">
        <v>2267.048106547928</v>
      </c>
      <c r="W209">
        <v>2243.1844422684762</v>
      </c>
      <c r="X209">
        <v>2219.3207779890245</v>
      </c>
      <c r="Y209">
        <v>2195.4571137095722</v>
      </c>
      <c r="Z209">
        <v>2171.5934494301196</v>
      </c>
      <c r="AA209">
        <v>2147.7297851506678</v>
      </c>
      <c r="AB209">
        <v>2123.866120871216</v>
      </c>
      <c r="AC209">
        <v>2100.0024565917638</v>
      </c>
      <c r="AD209">
        <v>2076.1387923123125</v>
      </c>
      <c r="AE209">
        <v>2052.2751280328603</v>
      </c>
      <c r="AF209">
        <v>2028.4114637534083</v>
      </c>
      <c r="AG209">
        <v>2004.5477994739563</v>
      </c>
      <c r="AH209">
        <v>1980.6841351945045</v>
      </c>
      <c r="AI209">
        <v>1956.8204709150527</v>
      </c>
      <c r="AJ209">
        <v>1951.8902621515892</v>
      </c>
    </row>
    <row r="210" spans="1:36" x14ac:dyDescent="0.35">
      <c r="A210" t="s">
        <v>1660</v>
      </c>
      <c r="B210" t="s">
        <v>1342</v>
      </c>
      <c r="C210" t="s">
        <v>1343</v>
      </c>
      <c r="D210">
        <v>30</v>
      </c>
      <c r="E210" t="s">
        <v>1500</v>
      </c>
      <c r="F210" t="s">
        <v>1661</v>
      </c>
      <c r="G210" t="s">
        <v>1662</v>
      </c>
      <c r="H210">
        <v>8291.660442472079</v>
      </c>
      <c r="I210">
        <v>6708.5891216871123</v>
      </c>
      <c r="J210">
        <v>4999.0302426833487</v>
      </c>
      <c r="K210">
        <v>4285.8553909536186</v>
      </c>
      <c r="L210">
        <v>3769.5455176820724</v>
      </c>
      <c r="M210">
        <v>3321.4345512935229</v>
      </c>
      <c r="N210">
        <v>3039.6303426180884</v>
      </c>
      <c r="O210">
        <v>2751.8601403945177</v>
      </c>
      <c r="P210">
        <v>2456.9416827093214</v>
      </c>
      <c r="Q210">
        <v>2285.3262428411758</v>
      </c>
      <c r="R210">
        <v>2212.9734708073238</v>
      </c>
      <c r="S210">
        <v>2140.4701111197023</v>
      </c>
      <c r="T210">
        <v>2067.810796749694</v>
      </c>
      <c r="U210">
        <v>1994.9899025570421</v>
      </c>
      <c r="V210">
        <v>1922.0015295846222</v>
      </c>
      <c r="W210">
        <v>1848.8394881923402</v>
      </c>
      <c r="X210">
        <v>1775.4972799288207</v>
      </c>
      <c r="Y210">
        <v>1701.9680780292904</v>
      </c>
      <c r="Z210">
        <v>1628.2447064166147</v>
      </c>
      <c r="AA210">
        <v>1578.6083387349536</v>
      </c>
      <c r="AB210">
        <v>1528.853192690764</v>
      </c>
      <c r="AC210">
        <v>1478.9745281313249</v>
      </c>
      <c r="AD210">
        <v>1428.9673492796653</v>
      </c>
      <c r="AE210">
        <v>1378.8263872676312</v>
      </c>
      <c r="AF210">
        <v>1328.5460812168751</v>
      </c>
      <c r="AG210">
        <v>1278.1205577249602</v>
      </c>
      <c r="AH210">
        <v>1234.3487850992724</v>
      </c>
      <c r="AI210">
        <v>1221.880615552815</v>
      </c>
      <c r="AJ210">
        <v>1209.4124460063579</v>
      </c>
    </row>
    <row r="211" spans="1:36" x14ac:dyDescent="0.35">
      <c r="A211" t="s">
        <v>1663</v>
      </c>
      <c r="B211" t="s">
        <v>1342</v>
      </c>
      <c r="C211" t="s">
        <v>1348</v>
      </c>
      <c r="D211">
        <v>30</v>
      </c>
      <c r="E211" t="s">
        <v>1500</v>
      </c>
      <c r="F211" t="s">
        <v>1661</v>
      </c>
      <c r="G211" t="s">
        <v>1662</v>
      </c>
      <c r="H211">
        <v>8291.660442472079</v>
      </c>
      <c r="I211">
        <v>8064.5805399004657</v>
      </c>
      <c r="J211">
        <v>7188.695733629037</v>
      </c>
      <c r="K211">
        <v>6361.3169238860546</v>
      </c>
      <c r="L211">
        <v>5876.256958601597</v>
      </c>
      <c r="M211">
        <v>5391.1969933171395</v>
      </c>
      <c r="N211">
        <v>4906.1370280326837</v>
      </c>
      <c r="O211">
        <v>4421.0770627482261</v>
      </c>
      <c r="P211">
        <v>3931.1066923349144</v>
      </c>
      <c r="Q211">
        <v>3656.521988545881</v>
      </c>
      <c r="R211">
        <v>3540.7575532917185</v>
      </c>
      <c r="S211">
        <v>3424.752177791524</v>
      </c>
      <c r="T211">
        <v>3308.4972747995107</v>
      </c>
      <c r="U211">
        <v>3191.9838440912681</v>
      </c>
      <c r="V211">
        <v>3075.2024473353949</v>
      </c>
      <c r="W211">
        <v>2958.143181107745</v>
      </c>
      <c r="X211">
        <v>2840.7956478861133</v>
      </c>
      <c r="Y211">
        <v>2723.1489248468647</v>
      </c>
      <c r="Z211">
        <v>2605.1915302665834</v>
      </c>
      <c r="AA211">
        <v>2525.7733419759256</v>
      </c>
      <c r="AB211">
        <v>2446.1651083052225</v>
      </c>
      <c r="AC211">
        <v>2366.35924501012</v>
      </c>
      <c r="AD211">
        <v>2286.3477588474648</v>
      </c>
      <c r="AE211">
        <v>2206.1222196282097</v>
      </c>
      <c r="AF211">
        <v>2125.6737299470005</v>
      </c>
      <c r="AG211">
        <v>2044.9928923599361</v>
      </c>
      <c r="AH211">
        <v>1974.9580561588357</v>
      </c>
      <c r="AI211">
        <v>1955.0089848845039</v>
      </c>
      <c r="AJ211">
        <v>1935.0599136101723</v>
      </c>
    </row>
    <row r="212" spans="1:36" x14ac:dyDescent="0.35">
      <c r="A212" t="s">
        <v>1664</v>
      </c>
      <c r="B212" t="s">
        <v>1342</v>
      </c>
      <c r="C212" t="s">
        <v>1350</v>
      </c>
      <c r="D212">
        <v>30</v>
      </c>
      <c r="E212" t="s">
        <v>1500</v>
      </c>
      <c r="F212" t="s">
        <v>1661</v>
      </c>
      <c r="G212" t="s">
        <v>1662</v>
      </c>
      <c r="H212">
        <v>8291.660442472079</v>
      </c>
      <c r="I212">
        <v>8321.5052296672075</v>
      </c>
      <c r="J212">
        <v>7575.0911176115587</v>
      </c>
      <c r="K212">
        <v>6863.7402316838616</v>
      </c>
      <c r="L212">
        <v>6513.107970404335</v>
      </c>
      <c r="M212">
        <v>6162.4757091248084</v>
      </c>
      <c r="N212">
        <v>5811.84344784528</v>
      </c>
      <c r="O212">
        <v>5461.2111865657535</v>
      </c>
      <c r="P212">
        <v>5110.438700035389</v>
      </c>
      <c r="Q212">
        <v>4753.4785851096449</v>
      </c>
      <c r="R212">
        <v>4602.9848192792342</v>
      </c>
      <c r="S212">
        <v>4452.1778311289809</v>
      </c>
      <c r="T212">
        <v>4301.0464572393639</v>
      </c>
      <c r="U212">
        <v>4149.5789973186484</v>
      </c>
      <c r="V212">
        <v>3997.7631815360137</v>
      </c>
      <c r="W212">
        <v>3845.5861354400681</v>
      </c>
      <c r="X212">
        <v>3693.0343422519477</v>
      </c>
      <c r="Y212">
        <v>3540.0936023009244</v>
      </c>
      <c r="Z212">
        <v>3386.748989346559</v>
      </c>
      <c r="AA212">
        <v>3283.505344568704</v>
      </c>
      <c r="AB212">
        <v>3180.0146407967895</v>
      </c>
      <c r="AC212">
        <v>3076.2670185131556</v>
      </c>
      <c r="AD212">
        <v>2972.2520865017045</v>
      </c>
      <c r="AE212">
        <v>2867.958885516673</v>
      </c>
      <c r="AF212">
        <v>2763.3758489311008</v>
      </c>
      <c r="AG212">
        <v>2658.4907600679171</v>
      </c>
      <c r="AH212">
        <v>2567.4454730064867</v>
      </c>
      <c r="AI212">
        <v>2541.5116803498554</v>
      </c>
      <c r="AJ212">
        <v>2515.5778876932241</v>
      </c>
    </row>
    <row r="213" spans="1:36" x14ac:dyDescent="0.35">
      <c r="A213" t="s">
        <v>1665</v>
      </c>
      <c r="B213" t="s">
        <v>1342</v>
      </c>
      <c r="C213" t="s">
        <v>1343</v>
      </c>
      <c r="D213">
        <v>30</v>
      </c>
      <c r="E213" t="s">
        <v>1500</v>
      </c>
      <c r="F213" t="s">
        <v>1666</v>
      </c>
      <c r="G213" t="s">
        <v>1667</v>
      </c>
      <c r="H213">
        <v>6225.9086060556428</v>
      </c>
      <c r="I213">
        <v>5037.237479390873</v>
      </c>
      <c r="J213">
        <v>4152.2315232804476</v>
      </c>
      <c r="K213">
        <v>3494.1166948374598</v>
      </c>
      <c r="L213">
        <v>3105.9785148679794</v>
      </c>
      <c r="M213">
        <v>2771.4935568334331</v>
      </c>
      <c r="N213">
        <v>2575.3059047797847</v>
      </c>
      <c r="O213">
        <v>2375.7159465793652</v>
      </c>
      <c r="P213">
        <v>2172.0696403120173</v>
      </c>
      <c r="Q213">
        <v>2018.5206930949066</v>
      </c>
      <c r="R213">
        <v>1952.7198730009179</v>
      </c>
      <c r="S213">
        <v>1886.7802808621898</v>
      </c>
      <c r="T213">
        <v>1820.6969707650526</v>
      </c>
      <c r="U213">
        <v>1754.4647589364959</v>
      </c>
      <c r="V213">
        <v>1688.0782092712254</v>
      </c>
      <c r="W213">
        <v>1621.5316177889304</v>
      </c>
      <c r="X213">
        <v>1554.8189959283825</v>
      </c>
      <c r="Y213">
        <v>1487.9340525755158</v>
      </c>
      <c r="Z213">
        <v>1420.8701747121177</v>
      </c>
      <c r="AA213">
        <v>1375.494602453728</v>
      </c>
      <c r="AB213">
        <v>1330.0076679271453</v>
      </c>
      <c r="AC213">
        <v>1284.404926937759</v>
      </c>
      <c r="AD213">
        <v>1238.6816956269679</v>
      </c>
      <c r="AE213">
        <v>1192.8330340958212</v>
      </c>
      <c r="AF213">
        <v>1146.8537286672424</v>
      </c>
      <c r="AG213">
        <v>1100.7382726529468</v>
      </c>
      <c r="AH213">
        <v>1068.9384596689645</v>
      </c>
      <c r="AI213">
        <v>1056.0596830464467</v>
      </c>
      <c r="AJ213">
        <v>1043.1809064239292</v>
      </c>
    </row>
    <row r="214" spans="1:36" x14ac:dyDescent="0.35">
      <c r="A214" t="s">
        <v>1668</v>
      </c>
      <c r="B214" t="s">
        <v>1342</v>
      </c>
      <c r="C214" t="s">
        <v>1348</v>
      </c>
      <c r="D214">
        <v>30</v>
      </c>
      <c r="E214" t="s">
        <v>1500</v>
      </c>
      <c r="F214" t="s">
        <v>1666</v>
      </c>
      <c r="G214" t="s">
        <v>1667</v>
      </c>
      <c r="H214">
        <v>6225.9086060556428</v>
      </c>
      <c r="I214">
        <v>6055.4025018209422</v>
      </c>
      <c r="J214">
        <v>5397.8781502923321</v>
      </c>
      <c r="K214">
        <v>4776.761301931725</v>
      </c>
      <c r="L214">
        <v>4412.6862702517055</v>
      </c>
      <c r="M214">
        <v>4048.6112385716856</v>
      </c>
      <c r="N214">
        <v>3684.5362068916661</v>
      </c>
      <c r="O214">
        <v>3320.4611752116462</v>
      </c>
      <c r="P214">
        <v>2956.3861435316262</v>
      </c>
      <c r="Q214">
        <v>2911.9847877582702</v>
      </c>
      <c r="R214">
        <v>2812.8716216915041</v>
      </c>
      <c r="S214">
        <v>2713.758455624738</v>
      </c>
      <c r="T214">
        <v>2614.64528955797</v>
      </c>
      <c r="U214">
        <v>2515.5321234912035</v>
      </c>
      <c r="V214">
        <v>2416.4189574244365</v>
      </c>
      <c r="W214">
        <v>2317.3057913576708</v>
      </c>
      <c r="X214">
        <v>2270.0357340554388</v>
      </c>
      <c r="Y214">
        <v>2172.3837167602528</v>
      </c>
      <c r="Z214">
        <v>2074.4704550796914</v>
      </c>
      <c r="AA214">
        <v>2035.26237474492</v>
      </c>
      <c r="AB214">
        <v>1996.0542944101487</v>
      </c>
      <c r="AC214">
        <v>1956.8462140753775</v>
      </c>
      <c r="AD214">
        <v>1917.638133740606</v>
      </c>
      <c r="AE214">
        <v>1878.4300534058348</v>
      </c>
      <c r="AF214">
        <v>1839.2219730710633</v>
      </c>
      <c r="AG214">
        <v>1800.0138927362918</v>
      </c>
      <c r="AH214">
        <v>1760.8058124015206</v>
      </c>
      <c r="AI214">
        <v>1721.5977320667494</v>
      </c>
      <c r="AJ214">
        <v>1682.3896517319779</v>
      </c>
    </row>
    <row r="215" spans="1:36" x14ac:dyDescent="0.35">
      <c r="A215" t="s">
        <v>1669</v>
      </c>
      <c r="B215" t="s">
        <v>1342</v>
      </c>
      <c r="C215" t="s">
        <v>1350</v>
      </c>
      <c r="D215">
        <v>30</v>
      </c>
      <c r="E215" t="s">
        <v>1500</v>
      </c>
      <c r="F215" t="s">
        <v>1666</v>
      </c>
      <c r="G215" t="s">
        <v>1667</v>
      </c>
      <c r="H215">
        <v>6225.9086060556428</v>
      </c>
      <c r="I215">
        <v>6530.9459529062024</v>
      </c>
      <c r="J215">
        <v>5998.8362912200191</v>
      </c>
      <c r="K215">
        <v>5433.1197035326031</v>
      </c>
      <c r="L215">
        <v>5153.0619868556651</v>
      </c>
      <c r="M215">
        <v>4873.004270178727</v>
      </c>
      <c r="N215">
        <v>4592.946553501788</v>
      </c>
      <c r="O215">
        <v>4312.8888368248499</v>
      </c>
      <c r="P215">
        <v>4088.8426634832999</v>
      </c>
      <c r="Q215">
        <v>4000.3444250133871</v>
      </c>
      <c r="R215">
        <v>3911.8461865434747</v>
      </c>
      <c r="S215">
        <v>3823.3479480735623</v>
      </c>
      <c r="T215">
        <v>3734.8497096036494</v>
      </c>
      <c r="U215">
        <v>3646.351471133737</v>
      </c>
      <c r="V215">
        <v>3557.8532326638247</v>
      </c>
      <c r="W215">
        <v>3469.3549941939123</v>
      </c>
      <c r="X215">
        <v>3380.8567557239994</v>
      </c>
      <c r="Y215">
        <v>3292.358517254087</v>
      </c>
      <c r="Z215">
        <v>3203.8602787841746</v>
      </c>
      <c r="AA215">
        <v>3115.3620403142618</v>
      </c>
      <c r="AB215">
        <v>3026.8638018443494</v>
      </c>
      <c r="AC215">
        <v>2938.365563374437</v>
      </c>
      <c r="AD215">
        <v>2849.8673249045241</v>
      </c>
      <c r="AE215">
        <v>2761.3690864346122</v>
      </c>
      <c r="AF215">
        <v>2672.8708479646994</v>
      </c>
      <c r="AG215">
        <v>2584.3726094947865</v>
      </c>
      <c r="AH215">
        <v>2495.8743710248746</v>
      </c>
      <c r="AI215">
        <v>2407.3761325549617</v>
      </c>
      <c r="AJ215">
        <v>2318.8778940850498</v>
      </c>
    </row>
    <row r="216" spans="1:36" x14ac:dyDescent="0.35">
      <c r="A216" t="s">
        <v>1670</v>
      </c>
      <c r="B216" t="s">
        <v>1342</v>
      </c>
      <c r="C216" t="s">
        <v>1343</v>
      </c>
      <c r="D216">
        <v>30</v>
      </c>
      <c r="E216" t="s">
        <v>1500</v>
      </c>
      <c r="F216" t="s">
        <v>1671</v>
      </c>
      <c r="G216" t="s">
        <v>1672</v>
      </c>
      <c r="H216">
        <v>4042.3620426706452</v>
      </c>
      <c r="I216">
        <v>3388.6983717909538</v>
      </c>
      <c r="J216">
        <v>3058.2302661121666</v>
      </c>
      <c r="K216">
        <v>2679.5922331649458</v>
      </c>
      <c r="L216">
        <v>2446.5842128897334</v>
      </c>
      <c r="M216">
        <v>2213.5761926145206</v>
      </c>
      <c r="N216">
        <v>1980.5681723393077</v>
      </c>
      <c r="O216">
        <v>1747.5601520640953</v>
      </c>
      <c r="P216">
        <v>1677.5545781547041</v>
      </c>
      <c r="Q216">
        <v>1578.8338380545854</v>
      </c>
      <c r="R216">
        <v>1547.9427591386575</v>
      </c>
      <c r="S216">
        <v>1517.0057345905227</v>
      </c>
      <c r="T216">
        <v>1486.0211268820265</v>
      </c>
      <c r="U216">
        <v>1454.9872197328566</v>
      </c>
      <c r="V216">
        <v>1423.9022133187425</v>
      </c>
      <c r="W216">
        <v>1392.7642191254497</v>
      </c>
      <c r="X216">
        <v>1361.5712544176802</v>
      </c>
      <c r="Y216">
        <v>1330.3212362887978</v>
      </c>
      <c r="Z216">
        <v>1299.0119752538562</v>
      </c>
      <c r="AA216">
        <v>1284.4467332148711</v>
      </c>
      <c r="AB216">
        <v>1269.8804046101288</v>
      </c>
      <c r="AC216">
        <v>1255.3129460774583</v>
      </c>
      <c r="AD216">
        <v>1240.7443119162801</v>
      </c>
      <c r="AE216">
        <v>1226.1744539278163</v>
      </c>
      <c r="AF216">
        <v>1211.6033212420286</v>
      </c>
      <c r="AG216">
        <v>1197.0308601299555</v>
      </c>
      <c r="AH216">
        <v>1173.301804018033</v>
      </c>
      <c r="AI216">
        <v>1157.3385141674473</v>
      </c>
      <c r="AJ216">
        <v>1141.3752243168622</v>
      </c>
    </row>
    <row r="217" spans="1:36" x14ac:dyDescent="0.35">
      <c r="A217" t="s">
        <v>1673</v>
      </c>
      <c r="B217" t="s">
        <v>1342</v>
      </c>
      <c r="C217" t="s">
        <v>1348</v>
      </c>
      <c r="D217">
        <v>30</v>
      </c>
      <c r="E217" t="s">
        <v>1500</v>
      </c>
      <c r="F217" t="s">
        <v>1671</v>
      </c>
      <c r="G217" t="s">
        <v>1672</v>
      </c>
      <c r="H217">
        <v>4042.3620426706452</v>
      </c>
      <c r="I217">
        <v>3931.6557269480527</v>
      </c>
      <c r="J217">
        <v>3557.6878629287066</v>
      </c>
      <c r="K217">
        <v>3202.3158312967098</v>
      </c>
      <c r="L217">
        <v>3016.3575074232226</v>
      </c>
      <c r="M217">
        <v>2830.3991835497359</v>
      </c>
      <c r="N217">
        <v>2644.4408596762487</v>
      </c>
      <c r="O217">
        <v>2458.4825358027615</v>
      </c>
      <c r="P217">
        <v>2371.6407679069839</v>
      </c>
      <c r="Q217">
        <v>2330.976387445492</v>
      </c>
      <c r="R217">
        <v>2290.3120069840011</v>
      </c>
      <c r="S217">
        <v>2249.6476265225092</v>
      </c>
      <c r="T217">
        <v>2208.9832460610182</v>
      </c>
      <c r="U217">
        <v>2168.3188655995264</v>
      </c>
      <c r="V217">
        <v>2127.6544851380354</v>
      </c>
      <c r="W217">
        <v>2086.990104676544</v>
      </c>
      <c r="X217">
        <v>2046.3257242150526</v>
      </c>
      <c r="Y217">
        <v>2005.6613437535611</v>
      </c>
      <c r="Z217">
        <v>1964.9969632920699</v>
      </c>
      <c r="AA217">
        <v>1924.3325828305785</v>
      </c>
      <c r="AB217">
        <v>1883.6682023690871</v>
      </c>
      <c r="AC217">
        <v>1843.0038219075957</v>
      </c>
      <c r="AD217">
        <v>1802.3394414461043</v>
      </c>
      <c r="AE217">
        <v>1761.6750609846126</v>
      </c>
      <c r="AF217">
        <v>1721.0106805231212</v>
      </c>
      <c r="AG217">
        <v>1680.3463000616298</v>
      </c>
      <c r="AH217">
        <v>1680.3463000616298</v>
      </c>
      <c r="AI217">
        <v>1680.3463000616298</v>
      </c>
      <c r="AJ217">
        <v>1680.3463000616298</v>
      </c>
    </row>
    <row r="218" spans="1:36" x14ac:dyDescent="0.35">
      <c r="A218" t="s">
        <v>1674</v>
      </c>
      <c r="B218" t="s">
        <v>1342</v>
      </c>
      <c r="C218" t="s">
        <v>1350</v>
      </c>
      <c r="D218">
        <v>30</v>
      </c>
      <c r="E218" t="s">
        <v>1500</v>
      </c>
      <c r="F218" t="s">
        <v>1671</v>
      </c>
      <c r="G218" t="s">
        <v>1672</v>
      </c>
      <c r="H218">
        <v>4042.3620426706452</v>
      </c>
      <c r="I218">
        <v>4056.912015594186</v>
      </c>
      <c r="J218">
        <v>3743.1202588715223</v>
      </c>
      <c r="K218">
        <v>3441.651041682645</v>
      </c>
      <c r="L218">
        <v>3318.4256463447919</v>
      </c>
      <c r="M218">
        <v>3195.2002510069392</v>
      </c>
      <c r="N218">
        <v>3071.9748556690861</v>
      </c>
      <c r="O218">
        <v>2948.749460331233</v>
      </c>
      <c r="P218">
        <v>2845.9689214883806</v>
      </c>
      <c r="Q218">
        <v>2797.1716649345908</v>
      </c>
      <c r="R218">
        <v>2748.374408380801</v>
      </c>
      <c r="S218">
        <v>2699.5771518270117</v>
      </c>
      <c r="T218">
        <v>2650.7798952732219</v>
      </c>
      <c r="U218">
        <v>2601.9826387194321</v>
      </c>
      <c r="V218">
        <v>2553.1853821656423</v>
      </c>
      <c r="W218">
        <v>2504.3881256118525</v>
      </c>
      <c r="X218">
        <v>2455.5908690580632</v>
      </c>
      <c r="Y218">
        <v>2406.7936125042734</v>
      </c>
      <c r="Z218">
        <v>2357.996355950484</v>
      </c>
      <c r="AA218">
        <v>2309.1990993966942</v>
      </c>
      <c r="AB218">
        <v>2260.401842842904</v>
      </c>
      <c r="AC218">
        <v>2211.6045862891146</v>
      </c>
      <c r="AD218">
        <v>2162.8073297353249</v>
      </c>
      <c r="AE218">
        <v>2114.0100731815355</v>
      </c>
      <c r="AF218">
        <v>2065.2128166277457</v>
      </c>
      <c r="AG218">
        <v>2016.4155600739562</v>
      </c>
      <c r="AH218">
        <v>2016.4155600739562</v>
      </c>
      <c r="AI218">
        <v>2016.4155600739562</v>
      </c>
      <c r="AJ218">
        <v>2016.4155600739562</v>
      </c>
    </row>
    <row r="219" spans="1:36" x14ac:dyDescent="0.35">
      <c r="A219" t="s">
        <v>1675</v>
      </c>
      <c r="B219" t="s">
        <v>1342</v>
      </c>
      <c r="C219" t="s">
        <v>1343</v>
      </c>
      <c r="D219">
        <v>30</v>
      </c>
      <c r="E219" t="s">
        <v>1500</v>
      </c>
      <c r="F219" t="s">
        <v>1676</v>
      </c>
      <c r="G219" t="s">
        <v>1677</v>
      </c>
      <c r="H219">
        <v>3217.8415751301068</v>
      </c>
      <c r="I219">
        <v>2603.4805858251416</v>
      </c>
      <c r="J219">
        <v>2161.1401861076138</v>
      </c>
      <c r="K219">
        <v>1749.6569647795254</v>
      </c>
      <c r="L219">
        <v>1709.1382143307058</v>
      </c>
      <c r="M219">
        <v>1668.6194638818863</v>
      </c>
      <c r="N219">
        <v>1628.1007134330669</v>
      </c>
      <c r="O219">
        <v>1587.5819629842472</v>
      </c>
      <c r="P219">
        <v>1547.0632125354277</v>
      </c>
      <c r="Q219">
        <v>1506.5444620866083</v>
      </c>
      <c r="R219">
        <v>1491.4790174657423</v>
      </c>
      <c r="S219">
        <v>1476.4135728448762</v>
      </c>
      <c r="T219">
        <v>1461.3481282240102</v>
      </c>
      <c r="U219">
        <v>1446.2826836031441</v>
      </c>
      <c r="V219">
        <v>1431.2172389822776</v>
      </c>
      <c r="W219">
        <v>1416.1517943614117</v>
      </c>
      <c r="X219">
        <v>1401.0863497405455</v>
      </c>
      <c r="Y219">
        <v>1386.0209051196796</v>
      </c>
      <c r="Z219">
        <v>1370.9554604988132</v>
      </c>
      <c r="AA219">
        <v>1355.8900158779468</v>
      </c>
      <c r="AB219">
        <v>1340.8245712570808</v>
      </c>
      <c r="AC219">
        <v>1325.7591266362147</v>
      </c>
      <c r="AD219">
        <v>1310.6936820153487</v>
      </c>
      <c r="AE219">
        <v>1295.6282373944825</v>
      </c>
      <c r="AF219">
        <v>1280.5627927736164</v>
      </c>
      <c r="AG219">
        <v>1265.4973481527502</v>
      </c>
      <c r="AH219">
        <v>1250.431903531884</v>
      </c>
      <c r="AI219">
        <v>1235.3664589110181</v>
      </c>
      <c r="AJ219">
        <v>1232.2539533785286</v>
      </c>
    </row>
    <row r="220" spans="1:36" x14ac:dyDescent="0.35">
      <c r="A220" t="s">
        <v>1678</v>
      </c>
      <c r="B220" t="s">
        <v>1342</v>
      </c>
      <c r="C220" t="s">
        <v>1348</v>
      </c>
      <c r="D220">
        <v>30</v>
      </c>
      <c r="E220" t="s">
        <v>1500</v>
      </c>
      <c r="F220" t="s">
        <v>1676</v>
      </c>
      <c r="G220" t="s">
        <v>1677</v>
      </c>
      <c r="H220">
        <v>3217.8415751301068</v>
      </c>
      <c r="I220">
        <v>3129.7160233855425</v>
      </c>
      <c r="J220">
        <v>2706.2403786625837</v>
      </c>
      <c r="K220">
        <v>2309.5471935089736</v>
      </c>
      <c r="L220">
        <v>2256.0624429165323</v>
      </c>
      <c r="M220">
        <v>2202.5776923240901</v>
      </c>
      <c r="N220">
        <v>2149.0929417316484</v>
      </c>
      <c r="O220">
        <v>2095.6081911392066</v>
      </c>
      <c r="P220">
        <v>2042.1234405467649</v>
      </c>
      <c r="Q220">
        <v>1988.6386899543227</v>
      </c>
      <c r="R220">
        <v>1968.7523030547798</v>
      </c>
      <c r="S220">
        <v>1948.8659161552364</v>
      </c>
      <c r="T220">
        <v>1928.9795292556935</v>
      </c>
      <c r="U220">
        <v>1909.0931423561501</v>
      </c>
      <c r="V220">
        <v>1889.2067554566065</v>
      </c>
      <c r="W220">
        <v>1869.3203685570636</v>
      </c>
      <c r="X220">
        <v>1849.4339816575202</v>
      </c>
      <c r="Y220">
        <v>1829.5475947579771</v>
      </c>
      <c r="Z220">
        <v>1809.6612078584333</v>
      </c>
      <c r="AA220">
        <v>1789.7748209588897</v>
      </c>
      <c r="AB220">
        <v>1769.8884340593468</v>
      </c>
      <c r="AC220">
        <v>1750.0020471598034</v>
      </c>
      <c r="AD220">
        <v>1730.1156602602605</v>
      </c>
      <c r="AE220">
        <v>1710.2292733607171</v>
      </c>
      <c r="AF220">
        <v>1690.3428864611735</v>
      </c>
      <c r="AG220">
        <v>1670.4564995616302</v>
      </c>
      <c r="AH220">
        <v>1650.570112662087</v>
      </c>
      <c r="AI220">
        <v>1630.6837257625439</v>
      </c>
      <c r="AJ220">
        <v>1626.5752184596579</v>
      </c>
    </row>
    <row r="221" spans="1:36" x14ac:dyDescent="0.35">
      <c r="A221" t="s">
        <v>1679</v>
      </c>
      <c r="B221" t="s">
        <v>1342</v>
      </c>
      <c r="C221" t="s">
        <v>1350</v>
      </c>
      <c r="D221">
        <v>30</v>
      </c>
      <c r="E221" t="s">
        <v>1500</v>
      </c>
      <c r="F221" t="s">
        <v>1676</v>
      </c>
      <c r="G221" t="s">
        <v>1677</v>
      </c>
      <c r="H221">
        <v>3217.8415751301068</v>
      </c>
      <c r="I221">
        <v>3229.4237905022496</v>
      </c>
      <c r="J221">
        <v>3006.1760433720701</v>
      </c>
      <c r="K221">
        <v>2790.2097968754915</v>
      </c>
      <c r="L221">
        <v>2717.3947905394875</v>
      </c>
      <c r="M221">
        <v>2644.5797842034835</v>
      </c>
      <c r="N221">
        <v>2571.7647778674796</v>
      </c>
      <c r="O221">
        <v>2498.9497715314751</v>
      </c>
      <c r="P221">
        <v>2426.1347651954716</v>
      </c>
      <c r="Q221">
        <v>2386.3664279451873</v>
      </c>
      <c r="R221">
        <v>2362.5027636657355</v>
      </c>
      <c r="S221">
        <v>2338.6390993862833</v>
      </c>
      <c r="T221">
        <v>2314.775435106832</v>
      </c>
      <c r="U221">
        <v>2290.9117708273798</v>
      </c>
      <c r="V221">
        <v>2267.048106547928</v>
      </c>
      <c r="W221">
        <v>2243.1844422684762</v>
      </c>
      <c r="X221">
        <v>2219.3207779890245</v>
      </c>
      <c r="Y221">
        <v>2195.4571137095722</v>
      </c>
      <c r="Z221">
        <v>2171.5934494301196</v>
      </c>
      <c r="AA221">
        <v>2147.7297851506678</v>
      </c>
      <c r="AB221">
        <v>2123.866120871216</v>
      </c>
      <c r="AC221">
        <v>2100.0024565917638</v>
      </c>
      <c r="AD221">
        <v>2076.1387923123125</v>
      </c>
      <c r="AE221">
        <v>2052.2751280328603</v>
      </c>
      <c r="AF221">
        <v>2028.4114637534083</v>
      </c>
      <c r="AG221">
        <v>2004.5477994739563</v>
      </c>
      <c r="AH221">
        <v>1980.6841351945045</v>
      </c>
      <c r="AI221">
        <v>1956.8204709150527</v>
      </c>
      <c r="AJ221">
        <v>1951.8902621515892</v>
      </c>
    </row>
    <row r="222" spans="1:36" x14ac:dyDescent="0.35">
      <c r="A222" t="s">
        <v>1680</v>
      </c>
      <c r="B222" t="s">
        <v>1342</v>
      </c>
      <c r="C222" t="s">
        <v>1343</v>
      </c>
      <c r="D222">
        <v>30</v>
      </c>
      <c r="E222" t="s">
        <v>1500</v>
      </c>
      <c r="F222" t="s">
        <v>1681</v>
      </c>
      <c r="G222" t="s">
        <v>1682</v>
      </c>
      <c r="H222">
        <v>8291.660442472079</v>
      </c>
      <c r="I222">
        <v>6708.5891216871123</v>
      </c>
      <c r="J222">
        <v>4999.0302426833487</v>
      </c>
      <c r="K222">
        <v>4285.8553909536186</v>
      </c>
      <c r="L222">
        <v>3769.5455176820724</v>
      </c>
      <c r="M222">
        <v>3321.4345512935229</v>
      </c>
      <c r="N222">
        <v>3039.6303426180884</v>
      </c>
      <c r="O222">
        <v>2751.8601403945177</v>
      </c>
      <c r="P222">
        <v>2456.9416827093214</v>
      </c>
      <c r="Q222">
        <v>2285.3262428411758</v>
      </c>
      <c r="R222">
        <v>2212.9734708073238</v>
      </c>
      <c r="S222">
        <v>2140.4701111197023</v>
      </c>
      <c r="T222">
        <v>2067.810796749694</v>
      </c>
      <c r="U222">
        <v>1994.9899025570421</v>
      </c>
      <c r="V222">
        <v>1922.0015295846222</v>
      </c>
      <c r="W222">
        <v>1848.8394881923402</v>
      </c>
      <c r="X222">
        <v>1775.4972799288207</v>
      </c>
      <c r="Y222">
        <v>1701.9680780292904</v>
      </c>
      <c r="Z222">
        <v>1628.2447064166147</v>
      </c>
      <c r="AA222">
        <v>1578.6083387349536</v>
      </c>
      <c r="AB222">
        <v>1528.853192690764</v>
      </c>
      <c r="AC222">
        <v>1478.9745281313249</v>
      </c>
      <c r="AD222">
        <v>1428.9673492796653</v>
      </c>
      <c r="AE222">
        <v>1378.8263872676312</v>
      </c>
      <c r="AF222">
        <v>1328.5460812168751</v>
      </c>
      <c r="AG222">
        <v>1278.1205577249602</v>
      </c>
      <c r="AH222">
        <v>1234.3487850992724</v>
      </c>
      <c r="AI222">
        <v>1221.880615552815</v>
      </c>
      <c r="AJ222">
        <v>1209.4124460063579</v>
      </c>
    </row>
    <row r="223" spans="1:36" x14ac:dyDescent="0.35">
      <c r="A223" t="s">
        <v>1683</v>
      </c>
      <c r="B223" t="s">
        <v>1342</v>
      </c>
      <c r="C223" t="s">
        <v>1348</v>
      </c>
      <c r="D223">
        <v>30</v>
      </c>
      <c r="E223" t="s">
        <v>1500</v>
      </c>
      <c r="F223" t="s">
        <v>1681</v>
      </c>
      <c r="G223" t="s">
        <v>1682</v>
      </c>
      <c r="H223">
        <v>8291.660442472079</v>
      </c>
      <c r="I223">
        <v>8064.5805399004657</v>
      </c>
      <c r="J223">
        <v>7188.695733629037</v>
      </c>
      <c r="K223">
        <v>6361.3169238860546</v>
      </c>
      <c r="L223">
        <v>5876.256958601597</v>
      </c>
      <c r="M223">
        <v>5391.1969933171395</v>
      </c>
      <c r="N223">
        <v>4906.1370280326837</v>
      </c>
      <c r="O223">
        <v>4421.0770627482261</v>
      </c>
      <c r="P223">
        <v>3931.1066923349144</v>
      </c>
      <c r="Q223">
        <v>3656.521988545881</v>
      </c>
      <c r="R223">
        <v>3540.7575532917185</v>
      </c>
      <c r="S223">
        <v>3424.752177791524</v>
      </c>
      <c r="T223">
        <v>3308.4972747995107</v>
      </c>
      <c r="U223">
        <v>3191.9838440912681</v>
      </c>
      <c r="V223">
        <v>3075.2024473353949</v>
      </c>
      <c r="W223">
        <v>2958.143181107745</v>
      </c>
      <c r="X223">
        <v>2840.7956478861133</v>
      </c>
      <c r="Y223">
        <v>2723.1489248468647</v>
      </c>
      <c r="Z223">
        <v>2605.1915302665834</v>
      </c>
      <c r="AA223">
        <v>2525.7733419759256</v>
      </c>
      <c r="AB223">
        <v>2446.1651083052225</v>
      </c>
      <c r="AC223">
        <v>2366.35924501012</v>
      </c>
      <c r="AD223">
        <v>2286.3477588474648</v>
      </c>
      <c r="AE223">
        <v>2206.1222196282097</v>
      </c>
      <c r="AF223">
        <v>2125.6737299470005</v>
      </c>
      <c r="AG223">
        <v>2044.9928923599361</v>
      </c>
      <c r="AH223">
        <v>1974.9580561588357</v>
      </c>
      <c r="AI223">
        <v>1955.0089848845039</v>
      </c>
      <c r="AJ223">
        <v>1935.0599136101723</v>
      </c>
    </row>
    <row r="224" spans="1:36" x14ac:dyDescent="0.35">
      <c r="A224" t="s">
        <v>1684</v>
      </c>
      <c r="B224" t="s">
        <v>1342</v>
      </c>
      <c r="C224" t="s">
        <v>1350</v>
      </c>
      <c r="D224">
        <v>30</v>
      </c>
      <c r="E224" t="s">
        <v>1500</v>
      </c>
      <c r="F224" t="s">
        <v>1681</v>
      </c>
      <c r="G224" t="s">
        <v>1682</v>
      </c>
      <c r="H224">
        <v>8291.660442472079</v>
      </c>
      <c r="I224">
        <v>8321.5052296672075</v>
      </c>
      <c r="J224">
        <v>7575.0911176115587</v>
      </c>
      <c r="K224">
        <v>6863.7402316838616</v>
      </c>
      <c r="L224">
        <v>6513.107970404335</v>
      </c>
      <c r="M224">
        <v>6162.4757091248084</v>
      </c>
      <c r="N224">
        <v>5811.84344784528</v>
      </c>
      <c r="O224">
        <v>5461.2111865657535</v>
      </c>
      <c r="P224">
        <v>5110.438700035389</v>
      </c>
      <c r="Q224">
        <v>4753.4785851096449</v>
      </c>
      <c r="R224">
        <v>4602.9848192792342</v>
      </c>
      <c r="S224">
        <v>4452.1778311289809</v>
      </c>
      <c r="T224">
        <v>4301.0464572393639</v>
      </c>
      <c r="U224">
        <v>4149.5789973186484</v>
      </c>
      <c r="V224">
        <v>3997.7631815360137</v>
      </c>
      <c r="W224">
        <v>3845.5861354400681</v>
      </c>
      <c r="X224">
        <v>3693.0343422519477</v>
      </c>
      <c r="Y224">
        <v>3540.0936023009244</v>
      </c>
      <c r="Z224">
        <v>3386.748989346559</v>
      </c>
      <c r="AA224">
        <v>3283.505344568704</v>
      </c>
      <c r="AB224">
        <v>3180.0146407967895</v>
      </c>
      <c r="AC224">
        <v>3076.2670185131556</v>
      </c>
      <c r="AD224">
        <v>2972.2520865017045</v>
      </c>
      <c r="AE224">
        <v>2867.958885516673</v>
      </c>
      <c r="AF224">
        <v>2763.3758489311008</v>
      </c>
      <c r="AG224">
        <v>2658.4907600679171</v>
      </c>
      <c r="AH224">
        <v>2567.4454730064867</v>
      </c>
      <c r="AI224">
        <v>2541.5116803498554</v>
      </c>
      <c r="AJ224">
        <v>2515.5778876932241</v>
      </c>
    </row>
    <row r="225" spans="1:36" x14ac:dyDescent="0.35">
      <c r="A225" t="s">
        <v>1685</v>
      </c>
      <c r="B225" t="s">
        <v>1342</v>
      </c>
      <c r="C225" t="s">
        <v>1343</v>
      </c>
      <c r="D225">
        <v>30</v>
      </c>
      <c r="E225" t="s">
        <v>1500</v>
      </c>
      <c r="F225" t="s">
        <v>1686</v>
      </c>
      <c r="G225" t="s">
        <v>1687</v>
      </c>
      <c r="H225">
        <v>6225.9086060556428</v>
      </c>
      <c r="I225">
        <v>5037.237479390873</v>
      </c>
      <c r="J225">
        <v>4152.2315232804476</v>
      </c>
      <c r="K225">
        <v>3494.1166948374598</v>
      </c>
      <c r="L225">
        <v>3105.9785148679794</v>
      </c>
      <c r="M225">
        <v>2771.4935568334331</v>
      </c>
      <c r="N225">
        <v>2575.3059047797847</v>
      </c>
      <c r="O225">
        <v>2375.7159465793652</v>
      </c>
      <c r="P225">
        <v>2172.0696403120173</v>
      </c>
      <c r="Q225">
        <v>2018.5206930949066</v>
      </c>
      <c r="R225">
        <v>1952.7198730009179</v>
      </c>
      <c r="S225">
        <v>1886.7802808621898</v>
      </c>
      <c r="T225">
        <v>1820.6969707650526</v>
      </c>
      <c r="U225">
        <v>1754.4647589364959</v>
      </c>
      <c r="V225">
        <v>1688.0782092712254</v>
      </c>
      <c r="W225">
        <v>1621.5316177889304</v>
      </c>
      <c r="X225">
        <v>1554.8189959283825</v>
      </c>
      <c r="Y225">
        <v>1487.9340525755158</v>
      </c>
      <c r="Z225">
        <v>1420.8701747121177</v>
      </c>
      <c r="AA225">
        <v>1375.494602453728</v>
      </c>
      <c r="AB225">
        <v>1330.0076679271453</v>
      </c>
      <c r="AC225">
        <v>1284.404926937759</v>
      </c>
      <c r="AD225">
        <v>1238.6816956269679</v>
      </c>
      <c r="AE225">
        <v>1192.8330340958212</v>
      </c>
      <c r="AF225">
        <v>1146.8537286672424</v>
      </c>
      <c r="AG225">
        <v>1100.7382726529468</v>
      </c>
      <c r="AH225">
        <v>1068.9384596689645</v>
      </c>
      <c r="AI225">
        <v>1056.0596830464467</v>
      </c>
      <c r="AJ225">
        <v>1043.1809064239292</v>
      </c>
    </row>
    <row r="226" spans="1:36" x14ac:dyDescent="0.35">
      <c r="A226" t="s">
        <v>1688</v>
      </c>
      <c r="B226" t="s">
        <v>1342</v>
      </c>
      <c r="C226" t="s">
        <v>1348</v>
      </c>
      <c r="D226">
        <v>30</v>
      </c>
      <c r="E226" t="s">
        <v>1500</v>
      </c>
      <c r="F226" t="s">
        <v>1686</v>
      </c>
      <c r="G226" t="s">
        <v>1687</v>
      </c>
      <c r="H226">
        <v>6225.9086060556428</v>
      </c>
      <c r="I226">
        <v>6055.4025018209422</v>
      </c>
      <c r="J226">
        <v>5397.8781502923321</v>
      </c>
      <c r="K226">
        <v>4776.761301931725</v>
      </c>
      <c r="L226">
        <v>4412.6862702517055</v>
      </c>
      <c r="M226">
        <v>4048.6112385716856</v>
      </c>
      <c r="N226">
        <v>3684.5362068916661</v>
      </c>
      <c r="O226">
        <v>3320.4611752116462</v>
      </c>
      <c r="P226">
        <v>2956.3861435316262</v>
      </c>
      <c r="Q226">
        <v>2911.9847877582702</v>
      </c>
      <c r="R226">
        <v>2812.8716216915041</v>
      </c>
      <c r="S226">
        <v>2713.758455624738</v>
      </c>
      <c r="T226">
        <v>2614.64528955797</v>
      </c>
      <c r="U226">
        <v>2515.5321234912035</v>
      </c>
      <c r="V226">
        <v>2416.4189574244365</v>
      </c>
      <c r="W226">
        <v>2317.3057913576708</v>
      </c>
      <c r="X226">
        <v>2270.0357340554388</v>
      </c>
      <c r="Y226">
        <v>2172.3837167602528</v>
      </c>
      <c r="Z226">
        <v>2074.4704550796914</v>
      </c>
      <c r="AA226">
        <v>2035.26237474492</v>
      </c>
      <c r="AB226">
        <v>1996.0542944101487</v>
      </c>
      <c r="AC226">
        <v>1956.8462140753775</v>
      </c>
      <c r="AD226">
        <v>1917.638133740606</v>
      </c>
      <c r="AE226">
        <v>1878.4300534058348</v>
      </c>
      <c r="AF226">
        <v>1839.2219730710633</v>
      </c>
      <c r="AG226">
        <v>1800.0138927362918</v>
      </c>
      <c r="AH226">
        <v>1760.8058124015206</v>
      </c>
      <c r="AI226">
        <v>1721.5977320667494</v>
      </c>
      <c r="AJ226">
        <v>1682.3896517319779</v>
      </c>
    </row>
    <row r="227" spans="1:36" x14ac:dyDescent="0.35">
      <c r="A227" t="s">
        <v>1689</v>
      </c>
      <c r="B227" t="s">
        <v>1342</v>
      </c>
      <c r="C227" t="s">
        <v>1350</v>
      </c>
      <c r="D227">
        <v>30</v>
      </c>
      <c r="E227" t="s">
        <v>1500</v>
      </c>
      <c r="F227" t="s">
        <v>1686</v>
      </c>
      <c r="G227" t="s">
        <v>1687</v>
      </c>
      <c r="H227">
        <v>6225.9086060556428</v>
      </c>
      <c r="I227">
        <v>6530.9459529062024</v>
      </c>
      <c r="J227">
        <v>5998.8362912200191</v>
      </c>
      <c r="K227">
        <v>5433.1197035326031</v>
      </c>
      <c r="L227">
        <v>5153.0619868556651</v>
      </c>
      <c r="M227">
        <v>4873.004270178727</v>
      </c>
      <c r="N227">
        <v>4592.946553501788</v>
      </c>
      <c r="O227">
        <v>4312.8888368248499</v>
      </c>
      <c r="P227">
        <v>4088.8426634832999</v>
      </c>
      <c r="Q227">
        <v>4000.3444250133871</v>
      </c>
      <c r="R227">
        <v>3911.8461865434747</v>
      </c>
      <c r="S227">
        <v>3823.3479480735623</v>
      </c>
      <c r="T227">
        <v>3734.8497096036494</v>
      </c>
      <c r="U227">
        <v>3646.351471133737</v>
      </c>
      <c r="V227">
        <v>3557.8532326638247</v>
      </c>
      <c r="W227">
        <v>3469.3549941939123</v>
      </c>
      <c r="X227">
        <v>3380.8567557239994</v>
      </c>
      <c r="Y227">
        <v>3292.358517254087</v>
      </c>
      <c r="Z227">
        <v>3203.8602787841746</v>
      </c>
      <c r="AA227">
        <v>3115.3620403142618</v>
      </c>
      <c r="AB227">
        <v>3026.8638018443494</v>
      </c>
      <c r="AC227">
        <v>2938.365563374437</v>
      </c>
      <c r="AD227">
        <v>2849.8673249045241</v>
      </c>
      <c r="AE227">
        <v>2761.3690864346122</v>
      </c>
      <c r="AF227">
        <v>2672.8708479646994</v>
      </c>
      <c r="AG227">
        <v>2584.3726094947865</v>
      </c>
      <c r="AH227">
        <v>2495.8743710248746</v>
      </c>
      <c r="AI227">
        <v>2407.3761325549617</v>
      </c>
      <c r="AJ227">
        <v>2318.8778940850498</v>
      </c>
    </row>
    <row r="228" spans="1:36" x14ac:dyDescent="0.35">
      <c r="A228" t="s">
        <v>1690</v>
      </c>
      <c r="B228" t="s">
        <v>1342</v>
      </c>
      <c r="C228" t="s">
        <v>1343</v>
      </c>
      <c r="D228">
        <v>30</v>
      </c>
      <c r="E228" t="s">
        <v>1500</v>
      </c>
      <c r="F228" t="s">
        <v>1691</v>
      </c>
      <c r="G228" t="s">
        <v>1692</v>
      </c>
      <c r="H228">
        <v>4042.3620426706452</v>
      </c>
      <c r="I228">
        <v>3388.6983717909538</v>
      </c>
      <c r="J228">
        <v>3058.2302661121666</v>
      </c>
      <c r="K228">
        <v>2679.5922331649458</v>
      </c>
      <c r="L228">
        <v>2446.5842128897334</v>
      </c>
      <c r="M228">
        <v>2213.5761926145206</v>
      </c>
      <c r="N228">
        <v>1980.5681723393077</v>
      </c>
      <c r="O228">
        <v>1747.5601520640953</v>
      </c>
      <c r="P228">
        <v>1677.5545781547041</v>
      </c>
      <c r="Q228">
        <v>1578.8338380545854</v>
      </c>
      <c r="R228">
        <v>1547.9427591386575</v>
      </c>
      <c r="S228">
        <v>1517.0057345905227</v>
      </c>
      <c r="T228">
        <v>1486.0211268820265</v>
      </c>
      <c r="U228">
        <v>1454.9872197328566</v>
      </c>
      <c r="V228">
        <v>1423.9022133187425</v>
      </c>
      <c r="W228">
        <v>1392.7642191254497</v>
      </c>
      <c r="X228">
        <v>1361.5712544176802</v>
      </c>
      <c r="Y228">
        <v>1330.3212362887978</v>
      </c>
      <c r="Z228">
        <v>1299.0119752538562</v>
      </c>
      <c r="AA228">
        <v>1284.4467332148711</v>
      </c>
      <c r="AB228">
        <v>1269.8804046101288</v>
      </c>
      <c r="AC228">
        <v>1255.3129460774583</v>
      </c>
      <c r="AD228">
        <v>1240.7443119162801</v>
      </c>
      <c r="AE228">
        <v>1226.1744539278163</v>
      </c>
      <c r="AF228">
        <v>1211.6033212420286</v>
      </c>
      <c r="AG228">
        <v>1197.0308601299555</v>
      </c>
      <c r="AH228">
        <v>1173.301804018033</v>
      </c>
      <c r="AI228">
        <v>1157.3385141674473</v>
      </c>
      <c r="AJ228">
        <v>1141.3752243168622</v>
      </c>
    </row>
    <row r="229" spans="1:36" x14ac:dyDescent="0.35">
      <c r="A229" t="s">
        <v>1693</v>
      </c>
      <c r="B229" t="s">
        <v>1342</v>
      </c>
      <c r="C229" t="s">
        <v>1348</v>
      </c>
      <c r="D229">
        <v>30</v>
      </c>
      <c r="E229" t="s">
        <v>1500</v>
      </c>
      <c r="F229" t="s">
        <v>1691</v>
      </c>
      <c r="G229" t="s">
        <v>1692</v>
      </c>
      <c r="H229">
        <v>4042.3620426706452</v>
      </c>
      <c r="I229">
        <v>3931.6557269480527</v>
      </c>
      <c r="J229">
        <v>3557.6878629287066</v>
      </c>
      <c r="K229">
        <v>3202.3158312967098</v>
      </c>
      <c r="L229">
        <v>3016.3575074232226</v>
      </c>
      <c r="M229">
        <v>2830.3991835497359</v>
      </c>
      <c r="N229">
        <v>2644.4408596762487</v>
      </c>
      <c r="O229">
        <v>2458.4825358027615</v>
      </c>
      <c r="P229">
        <v>2371.6407679069839</v>
      </c>
      <c r="Q229">
        <v>2330.976387445492</v>
      </c>
      <c r="R229">
        <v>2290.3120069840011</v>
      </c>
      <c r="S229">
        <v>2249.6476265225092</v>
      </c>
      <c r="T229">
        <v>2208.9832460610182</v>
      </c>
      <c r="U229">
        <v>2168.3188655995264</v>
      </c>
      <c r="V229">
        <v>2127.6544851380354</v>
      </c>
      <c r="W229">
        <v>2086.990104676544</v>
      </c>
      <c r="X229">
        <v>2046.3257242150526</v>
      </c>
      <c r="Y229">
        <v>2005.6613437535611</v>
      </c>
      <c r="Z229">
        <v>1964.9969632920699</v>
      </c>
      <c r="AA229">
        <v>1924.3325828305785</v>
      </c>
      <c r="AB229">
        <v>1883.6682023690871</v>
      </c>
      <c r="AC229">
        <v>1843.0038219075957</v>
      </c>
      <c r="AD229">
        <v>1802.3394414461043</v>
      </c>
      <c r="AE229">
        <v>1761.6750609846126</v>
      </c>
      <c r="AF229">
        <v>1721.0106805231212</v>
      </c>
      <c r="AG229">
        <v>1680.3463000616298</v>
      </c>
      <c r="AH229">
        <v>1680.3463000616298</v>
      </c>
      <c r="AI229">
        <v>1680.3463000616298</v>
      </c>
      <c r="AJ229">
        <v>1680.3463000616298</v>
      </c>
    </row>
    <row r="230" spans="1:36" x14ac:dyDescent="0.35">
      <c r="A230" t="s">
        <v>1694</v>
      </c>
      <c r="B230" t="s">
        <v>1342</v>
      </c>
      <c r="C230" t="s">
        <v>1350</v>
      </c>
      <c r="D230">
        <v>30</v>
      </c>
      <c r="E230" t="s">
        <v>1500</v>
      </c>
      <c r="F230" t="s">
        <v>1691</v>
      </c>
      <c r="G230" t="s">
        <v>1692</v>
      </c>
      <c r="H230">
        <v>4042.3620426706452</v>
      </c>
      <c r="I230">
        <v>4056.912015594186</v>
      </c>
      <c r="J230">
        <v>3743.1202588715223</v>
      </c>
      <c r="K230">
        <v>3441.651041682645</v>
      </c>
      <c r="L230">
        <v>3318.4256463447919</v>
      </c>
      <c r="M230">
        <v>3195.2002510069392</v>
      </c>
      <c r="N230">
        <v>3071.9748556690861</v>
      </c>
      <c r="O230">
        <v>2948.749460331233</v>
      </c>
      <c r="P230">
        <v>2845.9689214883806</v>
      </c>
      <c r="Q230">
        <v>2797.1716649345908</v>
      </c>
      <c r="R230">
        <v>2748.374408380801</v>
      </c>
      <c r="S230">
        <v>2699.5771518270117</v>
      </c>
      <c r="T230">
        <v>2650.7798952732219</v>
      </c>
      <c r="U230">
        <v>2601.9826387194321</v>
      </c>
      <c r="V230">
        <v>2553.1853821656423</v>
      </c>
      <c r="W230">
        <v>2504.3881256118525</v>
      </c>
      <c r="X230">
        <v>2455.5908690580632</v>
      </c>
      <c r="Y230">
        <v>2406.7936125042734</v>
      </c>
      <c r="Z230">
        <v>2357.996355950484</v>
      </c>
      <c r="AA230">
        <v>2309.1990993966942</v>
      </c>
      <c r="AB230">
        <v>2260.401842842904</v>
      </c>
      <c r="AC230">
        <v>2211.6045862891146</v>
      </c>
      <c r="AD230">
        <v>2162.8073297353249</v>
      </c>
      <c r="AE230">
        <v>2114.0100731815355</v>
      </c>
      <c r="AF230">
        <v>2065.2128166277457</v>
      </c>
      <c r="AG230">
        <v>2016.4155600739562</v>
      </c>
      <c r="AH230">
        <v>2016.4155600739562</v>
      </c>
      <c r="AI230">
        <v>2016.4155600739562</v>
      </c>
      <c r="AJ230">
        <v>2016.4155600739562</v>
      </c>
    </row>
    <row r="231" spans="1:36" x14ac:dyDescent="0.35">
      <c r="A231" t="s">
        <v>1695</v>
      </c>
      <c r="B231" t="s">
        <v>1342</v>
      </c>
      <c r="C231" t="s">
        <v>1343</v>
      </c>
      <c r="D231">
        <v>30</v>
      </c>
      <c r="E231" t="s">
        <v>1500</v>
      </c>
      <c r="F231" t="s">
        <v>1696</v>
      </c>
      <c r="G231" t="s">
        <v>1697</v>
      </c>
      <c r="H231">
        <v>3217.8415751301068</v>
      </c>
      <c r="I231">
        <v>2603.4805858251416</v>
      </c>
      <c r="J231">
        <v>2161.1401861076138</v>
      </c>
      <c r="K231">
        <v>1749.6569647795254</v>
      </c>
      <c r="L231">
        <v>1709.1382143307058</v>
      </c>
      <c r="M231">
        <v>1668.6194638818863</v>
      </c>
      <c r="N231">
        <v>1628.1007134330669</v>
      </c>
      <c r="O231">
        <v>1587.5819629842472</v>
      </c>
      <c r="P231">
        <v>1547.0632125354277</v>
      </c>
      <c r="Q231">
        <v>1506.5444620866083</v>
      </c>
      <c r="R231">
        <v>1491.4790174657423</v>
      </c>
      <c r="S231">
        <v>1476.4135728448762</v>
      </c>
      <c r="T231">
        <v>1461.3481282240102</v>
      </c>
      <c r="U231">
        <v>1446.2826836031441</v>
      </c>
      <c r="V231">
        <v>1431.2172389822776</v>
      </c>
      <c r="W231">
        <v>1416.1517943614117</v>
      </c>
      <c r="X231">
        <v>1401.0863497405455</v>
      </c>
      <c r="Y231">
        <v>1386.0209051196796</v>
      </c>
      <c r="Z231">
        <v>1370.9554604988132</v>
      </c>
      <c r="AA231">
        <v>1355.8900158779468</v>
      </c>
      <c r="AB231">
        <v>1340.8245712570808</v>
      </c>
      <c r="AC231">
        <v>1325.7591266362147</v>
      </c>
      <c r="AD231">
        <v>1310.6936820153487</v>
      </c>
      <c r="AE231">
        <v>1295.6282373944825</v>
      </c>
      <c r="AF231">
        <v>1280.5627927736164</v>
      </c>
      <c r="AG231">
        <v>1265.4973481527502</v>
      </c>
      <c r="AH231">
        <v>1250.431903531884</v>
      </c>
      <c r="AI231">
        <v>1235.3664589110181</v>
      </c>
      <c r="AJ231">
        <v>1232.2539533785286</v>
      </c>
    </row>
    <row r="232" spans="1:36" x14ac:dyDescent="0.35">
      <c r="A232" t="s">
        <v>1698</v>
      </c>
      <c r="B232" t="s">
        <v>1342</v>
      </c>
      <c r="C232" t="s">
        <v>1348</v>
      </c>
      <c r="D232">
        <v>30</v>
      </c>
      <c r="E232" t="s">
        <v>1500</v>
      </c>
      <c r="F232" t="s">
        <v>1696</v>
      </c>
      <c r="G232" t="s">
        <v>1697</v>
      </c>
      <c r="H232">
        <v>3217.8415751301068</v>
      </c>
      <c r="I232">
        <v>3129.7160233855425</v>
      </c>
      <c r="J232">
        <v>2706.2403786625837</v>
      </c>
      <c r="K232">
        <v>2309.5471935089736</v>
      </c>
      <c r="L232">
        <v>2256.0624429165323</v>
      </c>
      <c r="M232">
        <v>2202.5776923240901</v>
      </c>
      <c r="N232">
        <v>2149.0929417316484</v>
      </c>
      <c r="O232">
        <v>2095.6081911392066</v>
      </c>
      <c r="P232">
        <v>2042.1234405467649</v>
      </c>
      <c r="Q232">
        <v>1988.6386899543227</v>
      </c>
      <c r="R232">
        <v>1968.7523030547798</v>
      </c>
      <c r="S232">
        <v>1948.8659161552364</v>
      </c>
      <c r="T232">
        <v>1928.9795292556935</v>
      </c>
      <c r="U232">
        <v>1909.0931423561501</v>
      </c>
      <c r="V232">
        <v>1889.2067554566065</v>
      </c>
      <c r="W232">
        <v>1869.3203685570636</v>
      </c>
      <c r="X232">
        <v>1849.4339816575202</v>
      </c>
      <c r="Y232">
        <v>1829.5475947579771</v>
      </c>
      <c r="Z232">
        <v>1809.6612078584333</v>
      </c>
      <c r="AA232">
        <v>1789.7748209588897</v>
      </c>
      <c r="AB232">
        <v>1769.8884340593468</v>
      </c>
      <c r="AC232">
        <v>1750.0020471598034</v>
      </c>
      <c r="AD232">
        <v>1730.1156602602605</v>
      </c>
      <c r="AE232">
        <v>1710.2292733607171</v>
      </c>
      <c r="AF232">
        <v>1690.3428864611735</v>
      </c>
      <c r="AG232">
        <v>1670.4564995616302</v>
      </c>
      <c r="AH232">
        <v>1650.570112662087</v>
      </c>
      <c r="AI232">
        <v>1630.6837257625439</v>
      </c>
      <c r="AJ232">
        <v>1626.5752184596579</v>
      </c>
    </row>
    <row r="233" spans="1:36" x14ac:dyDescent="0.35">
      <c r="A233" t="s">
        <v>1699</v>
      </c>
      <c r="B233" t="s">
        <v>1342</v>
      </c>
      <c r="C233" t="s">
        <v>1350</v>
      </c>
      <c r="D233">
        <v>30</v>
      </c>
      <c r="E233" t="s">
        <v>1500</v>
      </c>
      <c r="F233" t="s">
        <v>1696</v>
      </c>
      <c r="G233" t="s">
        <v>1697</v>
      </c>
      <c r="H233">
        <v>3217.8415751301068</v>
      </c>
      <c r="I233">
        <v>3229.4237905022496</v>
      </c>
      <c r="J233">
        <v>3006.1760433720701</v>
      </c>
      <c r="K233">
        <v>2790.2097968754915</v>
      </c>
      <c r="L233">
        <v>2717.3947905394875</v>
      </c>
      <c r="M233">
        <v>2644.5797842034835</v>
      </c>
      <c r="N233">
        <v>2571.7647778674796</v>
      </c>
      <c r="O233">
        <v>2498.9497715314751</v>
      </c>
      <c r="P233">
        <v>2426.1347651954716</v>
      </c>
      <c r="Q233">
        <v>2386.3664279451873</v>
      </c>
      <c r="R233">
        <v>2362.5027636657355</v>
      </c>
      <c r="S233">
        <v>2338.6390993862833</v>
      </c>
      <c r="T233">
        <v>2314.775435106832</v>
      </c>
      <c r="U233">
        <v>2290.9117708273798</v>
      </c>
      <c r="V233">
        <v>2267.048106547928</v>
      </c>
      <c r="W233">
        <v>2243.1844422684762</v>
      </c>
      <c r="X233">
        <v>2219.3207779890245</v>
      </c>
      <c r="Y233">
        <v>2195.4571137095722</v>
      </c>
      <c r="Z233">
        <v>2171.5934494301196</v>
      </c>
      <c r="AA233">
        <v>2147.7297851506678</v>
      </c>
      <c r="AB233">
        <v>2123.866120871216</v>
      </c>
      <c r="AC233">
        <v>2100.0024565917638</v>
      </c>
      <c r="AD233">
        <v>2076.1387923123125</v>
      </c>
      <c r="AE233">
        <v>2052.2751280328603</v>
      </c>
      <c r="AF233">
        <v>2028.4114637534083</v>
      </c>
      <c r="AG233">
        <v>2004.5477994739563</v>
      </c>
      <c r="AH233">
        <v>1980.6841351945045</v>
      </c>
      <c r="AI233">
        <v>1956.8204709150527</v>
      </c>
      <c r="AJ233">
        <v>1951.8902621515892</v>
      </c>
    </row>
    <row r="234" spans="1:36" x14ac:dyDescent="0.35">
      <c r="A234" t="s">
        <v>1700</v>
      </c>
      <c r="B234" t="s">
        <v>1342</v>
      </c>
      <c r="C234" t="s">
        <v>1343</v>
      </c>
      <c r="D234">
        <v>30</v>
      </c>
      <c r="E234" t="s">
        <v>1701</v>
      </c>
      <c r="F234" t="s">
        <v>1363</v>
      </c>
      <c r="G234" t="s">
        <v>1702</v>
      </c>
      <c r="H234">
        <v>2058.2954411795413</v>
      </c>
      <c r="I234">
        <v>1845.2278596640967</v>
      </c>
      <c r="J234">
        <v>1768.8932242233273</v>
      </c>
      <c r="K234">
        <v>1692.558588782558</v>
      </c>
      <c r="L234">
        <v>1616.2239533417883</v>
      </c>
      <c r="M234">
        <v>1539.8893179010188</v>
      </c>
      <c r="N234">
        <v>1463.5546824602495</v>
      </c>
      <c r="O234">
        <v>1387.2200470194798</v>
      </c>
      <c r="P234">
        <v>1310.8854115787103</v>
      </c>
      <c r="Q234">
        <v>1234.5507761379406</v>
      </c>
      <c r="R234">
        <v>1158.2161406971713</v>
      </c>
      <c r="S234">
        <v>1081.8815052564019</v>
      </c>
      <c r="T234">
        <v>1005.5468698156322</v>
      </c>
      <c r="U234">
        <v>929.21223437486162</v>
      </c>
      <c r="V234">
        <v>918.8578363359843</v>
      </c>
      <c r="W234">
        <v>908.50343829710687</v>
      </c>
      <c r="X234">
        <v>898.14904025822955</v>
      </c>
      <c r="Y234">
        <v>887.794642219352</v>
      </c>
      <c r="Z234">
        <v>877.44024418047468</v>
      </c>
      <c r="AA234">
        <v>867.08584614159724</v>
      </c>
      <c r="AB234">
        <v>856.73144810271981</v>
      </c>
      <c r="AC234">
        <v>846.37705006384238</v>
      </c>
      <c r="AD234">
        <v>836.02265202496505</v>
      </c>
      <c r="AE234">
        <v>825.66825398608773</v>
      </c>
      <c r="AF234">
        <v>815.31385594721019</v>
      </c>
      <c r="AG234">
        <v>804.95945790833287</v>
      </c>
      <c r="AH234">
        <v>794.60505986945543</v>
      </c>
      <c r="AI234">
        <v>784.25066183057811</v>
      </c>
      <c r="AJ234">
        <v>773.8962637917009</v>
      </c>
    </row>
    <row r="235" spans="1:36" x14ac:dyDescent="0.35">
      <c r="A235" t="s">
        <v>1703</v>
      </c>
      <c r="B235" t="s">
        <v>1342</v>
      </c>
      <c r="C235" t="s">
        <v>1348</v>
      </c>
      <c r="D235">
        <v>30</v>
      </c>
      <c r="E235" t="s">
        <v>1701</v>
      </c>
      <c r="F235" t="s">
        <v>1363</v>
      </c>
      <c r="G235" t="s">
        <v>1702</v>
      </c>
      <c r="H235">
        <v>2058.2954411795413</v>
      </c>
      <c r="I235">
        <v>1845.2278596640967</v>
      </c>
      <c r="J235">
        <v>1794.7388271671873</v>
      </c>
      <c r="K235">
        <v>1744.2497946702779</v>
      </c>
      <c r="L235">
        <v>1693.7607621733682</v>
      </c>
      <c r="M235">
        <v>1643.271729676459</v>
      </c>
      <c r="N235">
        <v>1592.7826971795494</v>
      </c>
      <c r="O235">
        <v>1542.2936646826399</v>
      </c>
      <c r="P235">
        <v>1491.8046321857303</v>
      </c>
      <c r="Q235">
        <v>1441.3155996888211</v>
      </c>
      <c r="R235">
        <v>1390.8265671919114</v>
      </c>
      <c r="S235">
        <v>1340.337534695002</v>
      </c>
      <c r="T235">
        <v>1289.8485021980925</v>
      </c>
      <c r="U235">
        <v>1239.359469701182</v>
      </c>
      <c r="V235">
        <v>1218.682987346094</v>
      </c>
      <c r="W235">
        <v>1198.0065049910061</v>
      </c>
      <c r="X235">
        <v>1177.3300226359181</v>
      </c>
      <c r="Y235">
        <v>1156.6535402808304</v>
      </c>
      <c r="Z235">
        <v>1135.9770579257422</v>
      </c>
      <c r="AA235">
        <v>1115.3005755706542</v>
      </c>
      <c r="AB235">
        <v>1094.6240932155665</v>
      </c>
      <c r="AC235">
        <v>1073.9476108604786</v>
      </c>
      <c r="AD235">
        <v>1053.2711285053906</v>
      </c>
      <c r="AE235">
        <v>1032.5946461503024</v>
      </c>
      <c r="AF235">
        <v>1011.9181637952145</v>
      </c>
      <c r="AG235">
        <v>991.24168144012651</v>
      </c>
      <c r="AH235">
        <v>970.56519908503844</v>
      </c>
      <c r="AI235">
        <v>949.88871672995037</v>
      </c>
      <c r="AJ235">
        <v>929.21223437486162</v>
      </c>
    </row>
    <row r="236" spans="1:36" x14ac:dyDescent="0.35">
      <c r="A236" t="s">
        <v>1704</v>
      </c>
      <c r="B236" t="s">
        <v>1342</v>
      </c>
      <c r="C236" t="s">
        <v>1350</v>
      </c>
      <c r="D236">
        <v>30</v>
      </c>
      <c r="E236" t="s">
        <v>1701</v>
      </c>
      <c r="F236" t="s">
        <v>1363</v>
      </c>
      <c r="G236" t="s">
        <v>1702</v>
      </c>
      <c r="H236">
        <v>2058.2954411795413</v>
      </c>
      <c r="I236">
        <v>1845.2278596640967</v>
      </c>
      <c r="J236">
        <v>1831.720277841571</v>
      </c>
      <c r="K236">
        <v>1818.2126960190451</v>
      </c>
      <c r="L236">
        <v>1804.7051141965194</v>
      </c>
      <c r="M236">
        <v>1791.1975323739937</v>
      </c>
      <c r="N236">
        <v>1777.689950551468</v>
      </c>
      <c r="O236">
        <v>1764.1823687289423</v>
      </c>
      <c r="P236">
        <v>1750.6747869064166</v>
      </c>
      <c r="Q236">
        <v>1737.1672050838906</v>
      </c>
      <c r="R236">
        <v>1723.6596232613649</v>
      </c>
      <c r="S236">
        <v>1710.1520414388392</v>
      </c>
      <c r="T236">
        <v>1696.6444596163133</v>
      </c>
      <c r="U236">
        <v>1683.1368777937876</v>
      </c>
      <c r="V236">
        <v>1653.5517172542804</v>
      </c>
      <c r="W236">
        <v>1623.9665567147736</v>
      </c>
      <c r="X236">
        <v>1594.3813961752667</v>
      </c>
      <c r="Y236">
        <v>1564.7962356357593</v>
      </c>
      <c r="Z236">
        <v>1535.2110750962524</v>
      </c>
      <c r="AA236">
        <v>1505.6259145567456</v>
      </c>
      <c r="AB236">
        <v>1476.0407540172384</v>
      </c>
      <c r="AC236">
        <v>1446.4555934777316</v>
      </c>
      <c r="AD236">
        <v>1416.8704329382244</v>
      </c>
      <c r="AE236">
        <v>1387.2852723987173</v>
      </c>
      <c r="AF236">
        <v>1357.7001118592104</v>
      </c>
      <c r="AG236">
        <v>1328.1149513197033</v>
      </c>
      <c r="AH236">
        <v>1298.5297907801964</v>
      </c>
      <c r="AI236">
        <v>1268.9446302406893</v>
      </c>
      <c r="AJ236">
        <v>1239.359469701182</v>
      </c>
    </row>
    <row r="237" spans="1:36" x14ac:dyDescent="0.35">
      <c r="A237" t="s">
        <v>1705</v>
      </c>
      <c r="B237" t="s">
        <v>1342</v>
      </c>
      <c r="C237" t="s">
        <v>1343</v>
      </c>
      <c r="D237">
        <v>30</v>
      </c>
      <c r="E237" t="s">
        <v>1701</v>
      </c>
      <c r="F237" t="s">
        <v>1345</v>
      </c>
      <c r="G237" t="s">
        <v>1706</v>
      </c>
      <c r="H237">
        <v>2058.2954411795413</v>
      </c>
      <c r="I237">
        <v>1845.2278596640967</v>
      </c>
      <c r="J237">
        <v>1768.8932242233273</v>
      </c>
      <c r="K237">
        <v>1692.558588782558</v>
      </c>
      <c r="L237">
        <v>1616.2239533417883</v>
      </c>
      <c r="M237">
        <v>1539.8893179010188</v>
      </c>
      <c r="N237">
        <v>1463.5546824602495</v>
      </c>
      <c r="O237">
        <v>1387.2200470194798</v>
      </c>
      <c r="P237">
        <v>1310.8854115787103</v>
      </c>
      <c r="Q237">
        <v>1234.5507761379406</v>
      </c>
      <c r="R237">
        <v>1158.2161406971713</v>
      </c>
      <c r="S237">
        <v>1081.8815052564019</v>
      </c>
      <c r="T237">
        <v>1005.5468698156322</v>
      </c>
      <c r="U237">
        <v>929.21223437486162</v>
      </c>
      <c r="V237">
        <v>918.8578363359843</v>
      </c>
      <c r="W237">
        <v>908.50343829710687</v>
      </c>
      <c r="X237">
        <v>898.14904025822955</v>
      </c>
      <c r="Y237">
        <v>887.794642219352</v>
      </c>
      <c r="Z237">
        <v>877.44024418047468</v>
      </c>
      <c r="AA237">
        <v>867.08584614159724</v>
      </c>
      <c r="AB237">
        <v>856.73144810271981</v>
      </c>
      <c r="AC237">
        <v>846.37705006384238</v>
      </c>
      <c r="AD237">
        <v>836.02265202496505</v>
      </c>
      <c r="AE237">
        <v>825.66825398608773</v>
      </c>
      <c r="AF237">
        <v>815.31385594721019</v>
      </c>
      <c r="AG237">
        <v>804.95945790833287</v>
      </c>
      <c r="AH237">
        <v>794.60505986945543</v>
      </c>
      <c r="AI237">
        <v>784.25066183057811</v>
      </c>
      <c r="AJ237">
        <v>773.8962637917009</v>
      </c>
    </row>
    <row r="238" spans="1:36" x14ac:dyDescent="0.35">
      <c r="A238" t="s">
        <v>1707</v>
      </c>
      <c r="B238" t="s">
        <v>1342</v>
      </c>
      <c r="C238" t="s">
        <v>1348</v>
      </c>
      <c r="D238">
        <v>30</v>
      </c>
      <c r="E238" t="s">
        <v>1701</v>
      </c>
      <c r="F238" t="s">
        <v>1345</v>
      </c>
      <c r="G238" t="s">
        <v>1706</v>
      </c>
      <c r="H238">
        <v>2058.2954411795413</v>
      </c>
      <c r="I238">
        <v>1845.2278596640967</v>
      </c>
      <c r="J238">
        <v>1794.7388271671873</v>
      </c>
      <c r="K238">
        <v>1744.2497946702779</v>
      </c>
      <c r="L238">
        <v>1693.7607621733682</v>
      </c>
      <c r="M238">
        <v>1643.271729676459</v>
      </c>
      <c r="N238">
        <v>1592.7826971795494</v>
      </c>
      <c r="O238">
        <v>1542.2936646826399</v>
      </c>
      <c r="P238">
        <v>1491.8046321857303</v>
      </c>
      <c r="Q238">
        <v>1441.3155996888211</v>
      </c>
      <c r="R238">
        <v>1390.8265671919114</v>
      </c>
      <c r="S238">
        <v>1340.337534695002</v>
      </c>
      <c r="T238">
        <v>1289.8485021980925</v>
      </c>
      <c r="U238">
        <v>1239.359469701182</v>
      </c>
      <c r="V238">
        <v>1218.682987346094</v>
      </c>
      <c r="W238">
        <v>1198.0065049910061</v>
      </c>
      <c r="X238">
        <v>1177.3300226359181</v>
      </c>
      <c r="Y238">
        <v>1156.6535402808304</v>
      </c>
      <c r="Z238">
        <v>1135.9770579257422</v>
      </c>
      <c r="AA238">
        <v>1115.3005755706542</v>
      </c>
      <c r="AB238">
        <v>1094.6240932155665</v>
      </c>
      <c r="AC238">
        <v>1073.9476108604786</v>
      </c>
      <c r="AD238">
        <v>1053.2711285053906</v>
      </c>
      <c r="AE238">
        <v>1032.5946461503024</v>
      </c>
      <c r="AF238">
        <v>1011.9181637952145</v>
      </c>
      <c r="AG238">
        <v>991.24168144012651</v>
      </c>
      <c r="AH238">
        <v>970.56519908503844</v>
      </c>
      <c r="AI238">
        <v>949.88871672995037</v>
      </c>
      <c r="AJ238">
        <v>929.21223437486162</v>
      </c>
    </row>
    <row r="239" spans="1:36" x14ac:dyDescent="0.35">
      <c r="A239" t="s">
        <v>1708</v>
      </c>
      <c r="B239" t="s">
        <v>1342</v>
      </c>
      <c r="C239" t="s">
        <v>1350</v>
      </c>
      <c r="D239">
        <v>30</v>
      </c>
      <c r="E239" t="s">
        <v>1701</v>
      </c>
      <c r="F239" t="s">
        <v>1345</v>
      </c>
      <c r="G239" t="s">
        <v>1706</v>
      </c>
      <c r="H239">
        <v>2058.2954411795413</v>
      </c>
      <c r="I239">
        <v>1845.2278596640967</v>
      </c>
      <c r="J239">
        <v>1831.720277841571</v>
      </c>
      <c r="K239">
        <v>1818.2126960190451</v>
      </c>
      <c r="L239">
        <v>1804.7051141965194</v>
      </c>
      <c r="M239">
        <v>1791.1975323739937</v>
      </c>
      <c r="N239">
        <v>1777.689950551468</v>
      </c>
      <c r="O239">
        <v>1764.1823687289423</v>
      </c>
      <c r="P239">
        <v>1750.6747869064166</v>
      </c>
      <c r="Q239">
        <v>1737.1672050838906</v>
      </c>
      <c r="R239">
        <v>1723.6596232613649</v>
      </c>
      <c r="S239">
        <v>1710.1520414388392</v>
      </c>
      <c r="T239">
        <v>1696.6444596163133</v>
      </c>
      <c r="U239">
        <v>1683.1368777937876</v>
      </c>
      <c r="V239">
        <v>1653.5517172542804</v>
      </c>
      <c r="W239">
        <v>1623.9665567147736</v>
      </c>
      <c r="X239">
        <v>1594.3813961752667</v>
      </c>
      <c r="Y239">
        <v>1564.7962356357593</v>
      </c>
      <c r="Z239">
        <v>1535.2110750962524</v>
      </c>
      <c r="AA239">
        <v>1505.6259145567456</v>
      </c>
      <c r="AB239">
        <v>1476.0407540172384</v>
      </c>
      <c r="AC239">
        <v>1446.4555934777316</v>
      </c>
      <c r="AD239">
        <v>1416.8704329382244</v>
      </c>
      <c r="AE239">
        <v>1387.2852723987173</v>
      </c>
      <c r="AF239">
        <v>1357.7001118592104</v>
      </c>
      <c r="AG239">
        <v>1328.1149513197033</v>
      </c>
      <c r="AH239">
        <v>1298.5297907801964</v>
      </c>
      <c r="AI239">
        <v>1268.9446302406893</v>
      </c>
      <c r="AJ239">
        <v>1239.359469701182</v>
      </c>
    </row>
    <row r="240" spans="1:36" x14ac:dyDescent="0.35">
      <c r="A240" t="s">
        <v>1709</v>
      </c>
      <c r="B240" t="s">
        <v>1342</v>
      </c>
      <c r="C240" t="s">
        <v>1343</v>
      </c>
      <c r="D240">
        <v>30</v>
      </c>
      <c r="E240" t="s">
        <v>1701</v>
      </c>
      <c r="F240" t="s">
        <v>1352</v>
      </c>
      <c r="G240" t="s">
        <v>1710</v>
      </c>
      <c r="H240">
        <v>2058.2954411795413</v>
      </c>
      <c r="I240">
        <v>1845.2278596640967</v>
      </c>
      <c r="J240">
        <v>1768.8932242233273</v>
      </c>
      <c r="K240">
        <v>1692.558588782558</v>
      </c>
      <c r="L240">
        <v>1616.2239533417883</v>
      </c>
      <c r="M240">
        <v>1539.8893179010188</v>
      </c>
      <c r="N240">
        <v>1463.5546824602495</v>
      </c>
      <c r="O240">
        <v>1387.2200470194798</v>
      </c>
      <c r="P240">
        <v>1310.8854115787103</v>
      </c>
      <c r="Q240">
        <v>1234.5507761379406</v>
      </c>
      <c r="R240">
        <v>1158.2161406971713</v>
      </c>
      <c r="S240">
        <v>1081.8815052564019</v>
      </c>
      <c r="T240">
        <v>1005.5468698156322</v>
      </c>
      <c r="U240">
        <v>929.21223437486162</v>
      </c>
      <c r="V240">
        <v>918.8578363359843</v>
      </c>
      <c r="W240">
        <v>908.50343829710687</v>
      </c>
      <c r="X240">
        <v>898.14904025822955</v>
      </c>
      <c r="Y240">
        <v>887.794642219352</v>
      </c>
      <c r="Z240">
        <v>877.44024418047468</v>
      </c>
      <c r="AA240">
        <v>867.08584614159724</v>
      </c>
      <c r="AB240">
        <v>856.73144810271981</v>
      </c>
      <c r="AC240">
        <v>846.37705006384238</v>
      </c>
      <c r="AD240">
        <v>836.02265202496505</v>
      </c>
      <c r="AE240">
        <v>825.66825398608773</v>
      </c>
      <c r="AF240">
        <v>815.31385594721019</v>
      </c>
      <c r="AG240">
        <v>804.95945790833287</v>
      </c>
      <c r="AH240">
        <v>794.60505986945543</v>
      </c>
      <c r="AI240">
        <v>784.25066183057811</v>
      </c>
      <c r="AJ240">
        <v>773.8962637917009</v>
      </c>
    </row>
    <row r="241" spans="1:36" x14ac:dyDescent="0.35">
      <c r="A241" t="s">
        <v>1711</v>
      </c>
      <c r="B241" t="s">
        <v>1342</v>
      </c>
      <c r="C241" t="s">
        <v>1348</v>
      </c>
      <c r="D241">
        <v>30</v>
      </c>
      <c r="E241" t="s">
        <v>1701</v>
      </c>
      <c r="F241" t="s">
        <v>1352</v>
      </c>
      <c r="G241" t="s">
        <v>1710</v>
      </c>
      <c r="H241">
        <v>2058.2954411795413</v>
      </c>
      <c r="I241">
        <v>1845.2278596640967</v>
      </c>
      <c r="J241">
        <v>1794.7388271671873</v>
      </c>
      <c r="K241">
        <v>1744.2497946702779</v>
      </c>
      <c r="L241">
        <v>1693.7607621733682</v>
      </c>
      <c r="M241">
        <v>1643.271729676459</v>
      </c>
      <c r="N241">
        <v>1592.7826971795494</v>
      </c>
      <c r="O241">
        <v>1542.2936646826399</v>
      </c>
      <c r="P241">
        <v>1491.8046321857303</v>
      </c>
      <c r="Q241">
        <v>1441.3155996888211</v>
      </c>
      <c r="R241">
        <v>1390.8265671919114</v>
      </c>
      <c r="S241">
        <v>1340.337534695002</v>
      </c>
      <c r="T241">
        <v>1289.8485021980925</v>
      </c>
      <c r="U241">
        <v>1239.359469701182</v>
      </c>
      <c r="V241">
        <v>1218.682987346094</v>
      </c>
      <c r="W241">
        <v>1198.0065049910061</v>
      </c>
      <c r="X241">
        <v>1177.3300226359181</v>
      </c>
      <c r="Y241">
        <v>1156.6535402808304</v>
      </c>
      <c r="Z241">
        <v>1135.9770579257422</v>
      </c>
      <c r="AA241">
        <v>1115.3005755706542</v>
      </c>
      <c r="AB241">
        <v>1094.6240932155665</v>
      </c>
      <c r="AC241">
        <v>1073.9476108604786</v>
      </c>
      <c r="AD241">
        <v>1053.2711285053906</v>
      </c>
      <c r="AE241">
        <v>1032.5946461503024</v>
      </c>
      <c r="AF241">
        <v>1011.9181637952145</v>
      </c>
      <c r="AG241">
        <v>991.24168144012651</v>
      </c>
      <c r="AH241">
        <v>970.56519908503844</v>
      </c>
      <c r="AI241">
        <v>949.88871672995037</v>
      </c>
      <c r="AJ241">
        <v>929.21223437486162</v>
      </c>
    </row>
    <row r="242" spans="1:36" x14ac:dyDescent="0.35">
      <c r="A242" t="s">
        <v>1712</v>
      </c>
      <c r="B242" t="s">
        <v>1342</v>
      </c>
      <c r="C242" t="s">
        <v>1350</v>
      </c>
      <c r="D242">
        <v>30</v>
      </c>
      <c r="E242" t="s">
        <v>1701</v>
      </c>
      <c r="F242" t="s">
        <v>1352</v>
      </c>
      <c r="G242" t="s">
        <v>1710</v>
      </c>
      <c r="H242">
        <v>2058.2954411795413</v>
      </c>
      <c r="I242">
        <v>1845.2278596640967</v>
      </c>
      <c r="J242">
        <v>1831.720277841571</v>
      </c>
      <c r="K242">
        <v>1818.2126960190451</v>
      </c>
      <c r="L242">
        <v>1804.7051141965194</v>
      </c>
      <c r="M242">
        <v>1791.1975323739937</v>
      </c>
      <c r="N242">
        <v>1777.689950551468</v>
      </c>
      <c r="O242">
        <v>1764.1823687289423</v>
      </c>
      <c r="P242">
        <v>1750.6747869064166</v>
      </c>
      <c r="Q242">
        <v>1737.1672050838906</v>
      </c>
      <c r="R242">
        <v>1723.6596232613649</v>
      </c>
      <c r="S242">
        <v>1710.1520414388392</v>
      </c>
      <c r="T242">
        <v>1696.6444596163133</v>
      </c>
      <c r="U242">
        <v>1683.1368777937876</v>
      </c>
      <c r="V242">
        <v>1653.5517172542804</v>
      </c>
      <c r="W242">
        <v>1623.9665567147736</v>
      </c>
      <c r="X242">
        <v>1594.3813961752667</v>
      </c>
      <c r="Y242">
        <v>1564.7962356357593</v>
      </c>
      <c r="Z242">
        <v>1535.2110750962524</v>
      </c>
      <c r="AA242">
        <v>1505.6259145567456</v>
      </c>
      <c r="AB242">
        <v>1476.0407540172384</v>
      </c>
      <c r="AC242">
        <v>1446.4555934777316</v>
      </c>
      <c r="AD242">
        <v>1416.8704329382244</v>
      </c>
      <c r="AE242">
        <v>1387.2852723987173</v>
      </c>
      <c r="AF242">
        <v>1357.7001118592104</v>
      </c>
      <c r="AG242">
        <v>1328.1149513197033</v>
      </c>
      <c r="AH242">
        <v>1298.5297907801964</v>
      </c>
      <c r="AI242">
        <v>1268.9446302406893</v>
      </c>
      <c r="AJ242">
        <v>1239.359469701182</v>
      </c>
    </row>
    <row r="243" spans="1:36" x14ac:dyDescent="0.35">
      <c r="A243" t="s">
        <v>1713</v>
      </c>
      <c r="B243" t="s">
        <v>1342</v>
      </c>
      <c r="C243" t="s">
        <v>1343</v>
      </c>
      <c r="D243">
        <v>30</v>
      </c>
      <c r="E243" t="s">
        <v>1701</v>
      </c>
      <c r="F243" t="s">
        <v>1376</v>
      </c>
      <c r="G243" t="s">
        <v>1714</v>
      </c>
      <c r="H243">
        <v>2058.2954411795413</v>
      </c>
      <c r="I243">
        <v>1845.2278596640967</v>
      </c>
      <c r="J243">
        <v>1768.8932242233273</v>
      </c>
      <c r="K243">
        <v>1692.558588782558</v>
      </c>
      <c r="L243">
        <v>1616.2239533417883</v>
      </c>
      <c r="M243">
        <v>1539.8893179010188</v>
      </c>
      <c r="N243">
        <v>1463.5546824602495</v>
      </c>
      <c r="O243">
        <v>1387.2200470194798</v>
      </c>
      <c r="P243">
        <v>1310.8854115787103</v>
      </c>
      <c r="Q243">
        <v>1234.5507761379406</v>
      </c>
      <c r="R243">
        <v>1158.2161406971713</v>
      </c>
      <c r="S243">
        <v>1081.8815052564019</v>
      </c>
      <c r="T243">
        <v>1005.5468698156322</v>
      </c>
      <c r="U243">
        <v>929.21223437486162</v>
      </c>
      <c r="V243">
        <v>918.8578363359843</v>
      </c>
      <c r="W243">
        <v>908.50343829710687</v>
      </c>
      <c r="X243">
        <v>898.14904025822955</v>
      </c>
      <c r="Y243">
        <v>887.794642219352</v>
      </c>
      <c r="Z243">
        <v>877.44024418047468</v>
      </c>
      <c r="AA243">
        <v>867.08584614159724</v>
      </c>
      <c r="AB243">
        <v>856.73144810271981</v>
      </c>
      <c r="AC243">
        <v>846.37705006384238</v>
      </c>
      <c r="AD243">
        <v>836.02265202496505</v>
      </c>
      <c r="AE243">
        <v>825.66825398608773</v>
      </c>
      <c r="AF243">
        <v>815.31385594721019</v>
      </c>
      <c r="AG243">
        <v>804.95945790833287</v>
      </c>
      <c r="AH243">
        <v>794.60505986945543</v>
      </c>
      <c r="AI243">
        <v>784.25066183057811</v>
      </c>
      <c r="AJ243">
        <v>773.8962637917009</v>
      </c>
    </row>
    <row r="244" spans="1:36" x14ac:dyDescent="0.35">
      <c r="A244" t="s">
        <v>1715</v>
      </c>
      <c r="B244" t="s">
        <v>1342</v>
      </c>
      <c r="C244" t="s">
        <v>1348</v>
      </c>
      <c r="D244">
        <v>30</v>
      </c>
      <c r="E244" t="s">
        <v>1701</v>
      </c>
      <c r="F244" t="s">
        <v>1376</v>
      </c>
      <c r="G244" t="s">
        <v>1714</v>
      </c>
      <c r="H244">
        <v>2058.2954411795413</v>
      </c>
      <c r="I244">
        <v>1845.2278596640967</v>
      </c>
      <c r="J244">
        <v>1794.7388271671873</v>
      </c>
      <c r="K244">
        <v>1744.2497946702779</v>
      </c>
      <c r="L244">
        <v>1693.7607621733682</v>
      </c>
      <c r="M244">
        <v>1643.271729676459</v>
      </c>
      <c r="N244">
        <v>1592.7826971795494</v>
      </c>
      <c r="O244">
        <v>1542.2936646826399</v>
      </c>
      <c r="P244">
        <v>1491.8046321857303</v>
      </c>
      <c r="Q244">
        <v>1441.3155996888211</v>
      </c>
      <c r="R244">
        <v>1390.8265671919114</v>
      </c>
      <c r="S244">
        <v>1340.337534695002</v>
      </c>
      <c r="T244">
        <v>1289.8485021980925</v>
      </c>
      <c r="U244">
        <v>1239.359469701182</v>
      </c>
      <c r="V244">
        <v>1218.682987346094</v>
      </c>
      <c r="W244">
        <v>1198.0065049910061</v>
      </c>
      <c r="X244">
        <v>1177.3300226359181</v>
      </c>
      <c r="Y244">
        <v>1156.6535402808304</v>
      </c>
      <c r="Z244">
        <v>1135.9770579257422</v>
      </c>
      <c r="AA244">
        <v>1115.3005755706542</v>
      </c>
      <c r="AB244">
        <v>1094.6240932155665</v>
      </c>
      <c r="AC244">
        <v>1073.9476108604786</v>
      </c>
      <c r="AD244">
        <v>1053.2711285053906</v>
      </c>
      <c r="AE244">
        <v>1032.5946461503024</v>
      </c>
      <c r="AF244">
        <v>1011.9181637952145</v>
      </c>
      <c r="AG244">
        <v>991.24168144012651</v>
      </c>
      <c r="AH244">
        <v>970.56519908503844</v>
      </c>
      <c r="AI244">
        <v>949.88871672995037</v>
      </c>
      <c r="AJ244">
        <v>929.21223437486162</v>
      </c>
    </row>
    <row r="245" spans="1:36" x14ac:dyDescent="0.35">
      <c r="A245" t="s">
        <v>1716</v>
      </c>
      <c r="B245" t="s">
        <v>1342</v>
      </c>
      <c r="C245" t="s">
        <v>1350</v>
      </c>
      <c r="D245">
        <v>30</v>
      </c>
      <c r="E245" t="s">
        <v>1701</v>
      </c>
      <c r="F245" t="s">
        <v>1376</v>
      </c>
      <c r="G245" t="s">
        <v>1714</v>
      </c>
      <c r="H245">
        <v>2058.2954411795413</v>
      </c>
      <c r="I245">
        <v>1845.2278596640967</v>
      </c>
      <c r="J245">
        <v>1831.720277841571</v>
      </c>
      <c r="K245">
        <v>1818.2126960190451</v>
      </c>
      <c r="L245">
        <v>1804.7051141965194</v>
      </c>
      <c r="M245">
        <v>1791.1975323739937</v>
      </c>
      <c r="N245">
        <v>1777.689950551468</v>
      </c>
      <c r="O245">
        <v>1764.1823687289423</v>
      </c>
      <c r="P245">
        <v>1750.6747869064166</v>
      </c>
      <c r="Q245">
        <v>1737.1672050838906</v>
      </c>
      <c r="R245">
        <v>1723.6596232613649</v>
      </c>
      <c r="S245">
        <v>1710.1520414388392</v>
      </c>
      <c r="T245">
        <v>1696.6444596163133</v>
      </c>
      <c r="U245">
        <v>1683.1368777937876</v>
      </c>
      <c r="V245">
        <v>1653.5517172542804</v>
      </c>
      <c r="W245">
        <v>1623.9665567147736</v>
      </c>
      <c r="X245">
        <v>1594.3813961752667</v>
      </c>
      <c r="Y245">
        <v>1564.7962356357593</v>
      </c>
      <c r="Z245">
        <v>1535.2110750962524</v>
      </c>
      <c r="AA245">
        <v>1505.6259145567456</v>
      </c>
      <c r="AB245">
        <v>1476.0407540172384</v>
      </c>
      <c r="AC245">
        <v>1446.4555934777316</v>
      </c>
      <c r="AD245">
        <v>1416.8704329382244</v>
      </c>
      <c r="AE245">
        <v>1387.2852723987173</v>
      </c>
      <c r="AF245">
        <v>1357.7001118592104</v>
      </c>
      <c r="AG245">
        <v>1328.1149513197033</v>
      </c>
      <c r="AH245">
        <v>1298.5297907801964</v>
      </c>
      <c r="AI245">
        <v>1268.9446302406893</v>
      </c>
      <c r="AJ245">
        <v>1239.359469701182</v>
      </c>
    </row>
    <row r="246" spans="1:36" x14ac:dyDescent="0.35">
      <c r="A246" t="s">
        <v>1717</v>
      </c>
      <c r="B246" t="s">
        <v>1342</v>
      </c>
      <c r="C246" t="s">
        <v>1343</v>
      </c>
      <c r="D246">
        <v>30</v>
      </c>
      <c r="E246" t="s">
        <v>1701</v>
      </c>
      <c r="F246" t="s">
        <v>1381</v>
      </c>
      <c r="G246" t="s">
        <v>1718</v>
      </c>
      <c r="H246">
        <v>2058.2954411795413</v>
      </c>
      <c r="I246">
        <v>1845.2278596640967</v>
      </c>
      <c r="J246">
        <v>1768.8932242233273</v>
      </c>
      <c r="K246">
        <v>1692.558588782558</v>
      </c>
      <c r="L246">
        <v>1616.2239533417883</v>
      </c>
      <c r="M246">
        <v>1539.8893179010188</v>
      </c>
      <c r="N246">
        <v>1463.5546824602495</v>
      </c>
      <c r="O246">
        <v>1387.2200470194798</v>
      </c>
      <c r="P246">
        <v>1310.8854115787103</v>
      </c>
      <c r="Q246">
        <v>1234.5507761379406</v>
      </c>
      <c r="R246">
        <v>1158.2161406971713</v>
      </c>
      <c r="S246">
        <v>1081.8815052564019</v>
      </c>
      <c r="T246">
        <v>1005.5468698156322</v>
      </c>
      <c r="U246">
        <v>929.21223437486162</v>
      </c>
      <c r="V246">
        <v>918.8578363359843</v>
      </c>
      <c r="W246">
        <v>908.50343829710687</v>
      </c>
      <c r="X246">
        <v>898.14904025822955</v>
      </c>
      <c r="Y246">
        <v>887.794642219352</v>
      </c>
      <c r="Z246">
        <v>877.44024418047468</v>
      </c>
      <c r="AA246">
        <v>867.08584614159724</v>
      </c>
      <c r="AB246">
        <v>856.73144810271981</v>
      </c>
      <c r="AC246">
        <v>846.37705006384238</v>
      </c>
      <c r="AD246">
        <v>836.02265202496505</v>
      </c>
      <c r="AE246">
        <v>825.66825398608773</v>
      </c>
      <c r="AF246">
        <v>815.31385594721019</v>
      </c>
      <c r="AG246">
        <v>804.95945790833287</v>
      </c>
      <c r="AH246">
        <v>794.60505986945543</v>
      </c>
      <c r="AI246">
        <v>784.25066183057811</v>
      </c>
      <c r="AJ246">
        <v>773.8962637917009</v>
      </c>
    </row>
    <row r="247" spans="1:36" x14ac:dyDescent="0.35">
      <c r="A247" t="s">
        <v>1719</v>
      </c>
      <c r="B247" t="s">
        <v>1342</v>
      </c>
      <c r="C247" t="s">
        <v>1348</v>
      </c>
      <c r="D247">
        <v>30</v>
      </c>
      <c r="E247" t="s">
        <v>1701</v>
      </c>
      <c r="F247" t="s">
        <v>1381</v>
      </c>
      <c r="G247" t="s">
        <v>1718</v>
      </c>
      <c r="H247">
        <v>2058.2954411795413</v>
      </c>
      <c r="I247">
        <v>1845.2278596640967</v>
      </c>
      <c r="J247">
        <v>1794.7388271671873</v>
      </c>
      <c r="K247">
        <v>1744.2497946702779</v>
      </c>
      <c r="L247">
        <v>1693.7607621733682</v>
      </c>
      <c r="M247">
        <v>1643.271729676459</v>
      </c>
      <c r="N247">
        <v>1592.7826971795494</v>
      </c>
      <c r="O247">
        <v>1542.2936646826399</v>
      </c>
      <c r="P247">
        <v>1491.8046321857303</v>
      </c>
      <c r="Q247">
        <v>1441.3155996888211</v>
      </c>
      <c r="R247">
        <v>1390.8265671919114</v>
      </c>
      <c r="S247">
        <v>1340.337534695002</v>
      </c>
      <c r="T247">
        <v>1289.8485021980925</v>
      </c>
      <c r="U247">
        <v>1239.359469701182</v>
      </c>
      <c r="V247">
        <v>1218.682987346094</v>
      </c>
      <c r="W247">
        <v>1198.0065049910061</v>
      </c>
      <c r="X247">
        <v>1177.3300226359181</v>
      </c>
      <c r="Y247">
        <v>1156.6535402808304</v>
      </c>
      <c r="Z247">
        <v>1135.9770579257422</v>
      </c>
      <c r="AA247">
        <v>1115.3005755706542</v>
      </c>
      <c r="AB247">
        <v>1094.6240932155665</v>
      </c>
      <c r="AC247">
        <v>1073.9476108604786</v>
      </c>
      <c r="AD247">
        <v>1053.2711285053906</v>
      </c>
      <c r="AE247">
        <v>1032.5946461503024</v>
      </c>
      <c r="AF247">
        <v>1011.9181637952145</v>
      </c>
      <c r="AG247">
        <v>991.24168144012651</v>
      </c>
      <c r="AH247">
        <v>970.56519908503844</v>
      </c>
      <c r="AI247">
        <v>949.88871672995037</v>
      </c>
      <c r="AJ247">
        <v>929.21223437486162</v>
      </c>
    </row>
    <row r="248" spans="1:36" x14ac:dyDescent="0.35">
      <c r="A248" t="s">
        <v>1720</v>
      </c>
      <c r="B248" t="s">
        <v>1342</v>
      </c>
      <c r="C248" t="s">
        <v>1350</v>
      </c>
      <c r="D248">
        <v>30</v>
      </c>
      <c r="E248" t="s">
        <v>1701</v>
      </c>
      <c r="F248" t="s">
        <v>1381</v>
      </c>
      <c r="G248" t="s">
        <v>1718</v>
      </c>
      <c r="H248">
        <v>2058.2954411795413</v>
      </c>
      <c r="I248">
        <v>1845.2278596640967</v>
      </c>
      <c r="J248">
        <v>1831.720277841571</v>
      </c>
      <c r="K248">
        <v>1818.2126960190451</v>
      </c>
      <c r="L248">
        <v>1804.7051141965194</v>
      </c>
      <c r="M248">
        <v>1791.1975323739937</v>
      </c>
      <c r="N248">
        <v>1777.689950551468</v>
      </c>
      <c r="O248">
        <v>1764.1823687289423</v>
      </c>
      <c r="P248">
        <v>1750.6747869064166</v>
      </c>
      <c r="Q248">
        <v>1737.1672050838906</v>
      </c>
      <c r="R248">
        <v>1723.6596232613649</v>
      </c>
      <c r="S248">
        <v>1710.1520414388392</v>
      </c>
      <c r="T248">
        <v>1696.6444596163133</v>
      </c>
      <c r="U248">
        <v>1683.1368777937876</v>
      </c>
      <c r="V248">
        <v>1653.5517172542804</v>
      </c>
      <c r="W248">
        <v>1623.9665567147736</v>
      </c>
      <c r="X248">
        <v>1594.3813961752667</v>
      </c>
      <c r="Y248">
        <v>1564.7962356357593</v>
      </c>
      <c r="Z248">
        <v>1535.2110750962524</v>
      </c>
      <c r="AA248">
        <v>1505.6259145567456</v>
      </c>
      <c r="AB248">
        <v>1476.0407540172384</v>
      </c>
      <c r="AC248">
        <v>1446.4555934777316</v>
      </c>
      <c r="AD248">
        <v>1416.8704329382244</v>
      </c>
      <c r="AE248">
        <v>1387.2852723987173</v>
      </c>
      <c r="AF248">
        <v>1357.7001118592104</v>
      </c>
      <c r="AG248">
        <v>1328.1149513197033</v>
      </c>
      <c r="AH248">
        <v>1298.5297907801964</v>
      </c>
      <c r="AI248">
        <v>1268.9446302406893</v>
      </c>
      <c r="AJ248">
        <v>1239.359469701182</v>
      </c>
    </row>
    <row r="249" spans="1:36" x14ac:dyDescent="0.35">
      <c r="A249" t="s">
        <v>1721</v>
      </c>
      <c r="B249" t="s">
        <v>1342</v>
      </c>
      <c r="C249" t="s">
        <v>1343</v>
      </c>
      <c r="D249">
        <v>30</v>
      </c>
      <c r="E249" t="s">
        <v>1701</v>
      </c>
      <c r="F249" t="s">
        <v>1386</v>
      </c>
      <c r="G249" t="s">
        <v>1722</v>
      </c>
      <c r="H249">
        <v>2058.2954411795413</v>
      </c>
      <c r="I249">
        <v>1845.2278596640967</v>
      </c>
      <c r="J249">
        <v>1768.8932242233273</v>
      </c>
      <c r="K249">
        <v>1692.558588782558</v>
      </c>
      <c r="L249">
        <v>1616.2239533417883</v>
      </c>
      <c r="M249">
        <v>1539.8893179010188</v>
      </c>
      <c r="N249">
        <v>1463.5546824602495</v>
      </c>
      <c r="O249">
        <v>1387.2200470194798</v>
      </c>
      <c r="P249">
        <v>1310.8854115787103</v>
      </c>
      <c r="Q249">
        <v>1234.5507761379406</v>
      </c>
      <c r="R249">
        <v>1158.2161406971713</v>
      </c>
      <c r="S249">
        <v>1081.8815052564019</v>
      </c>
      <c r="T249">
        <v>1005.5468698156322</v>
      </c>
      <c r="U249">
        <v>929.21223437486162</v>
      </c>
      <c r="V249">
        <v>918.8578363359843</v>
      </c>
      <c r="W249">
        <v>908.50343829710687</v>
      </c>
      <c r="X249">
        <v>898.14904025822955</v>
      </c>
      <c r="Y249">
        <v>887.794642219352</v>
      </c>
      <c r="Z249">
        <v>877.44024418047468</v>
      </c>
      <c r="AA249">
        <v>867.08584614159724</v>
      </c>
      <c r="AB249">
        <v>856.73144810271981</v>
      </c>
      <c r="AC249">
        <v>846.37705006384238</v>
      </c>
      <c r="AD249">
        <v>836.02265202496505</v>
      </c>
      <c r="AE249">
        <v>825.66825398608773</v>
      </c>
      <c r="AF249">
        <v>815.31385594721019</v>
      </c>
      <c r="AG249">
        <v>804.95945790833287</v>
      </c>
      <c r="AH249">
        <v>794.60505986945543</v>
      </c>
      <c r="AI249">
        <v>784.25066183057811</v>
      </c>
      <c r="AJ249">
        <v>773.8962637917009</v>
      </c>
    </row>
    <row r="250" spans="1:36" x14ac:dyDescent="0.35">
      <c r="A250" t="s">
        <v>1723</v>
      </c>
      <c r="B250" t="s">
        <v>1342</v>
      </c>
      <c r="C250" t="s">
        <v>1348</v>
      </c>
      <c r="D250">
        <v>30</v>
      </c>
      <c r="E250" t="s">
        <v>1701</v>
      </c>
      <c r="F250" t="s">
        <v>1386</v>
      </c>
      <c r="G250" t="s">
        <v>1722</v>
      </c>
      <c r="H250">
        <v>2058.2954411795413</v>
      </c>
      <c r="I250">
        <v>1845.2278596640967</v>
      </c>
      <c r="J250">
        <v>1794.7388271671873</v>
      </c>
      <c r="K250">
        <v>1744.2497946702779</v>
      </c>
      <c r="L250">
        <v>1693.7607621733682</v>
      </c>
      <c r="M250">
        <v>1643.271729676459</v>
      </c>
      <c r="N250">
        <v>1592.7826971795494</v>
      </c>
      <c r="O250">
        <v>1542.2936646826399</v>
      </c>
      <c r="P250">
        <v>1491.8046321857303</v>
      </c>
      <c r="Q250">
        <v>1441.3155996888211</v>
      </c>
      <c r="R250">
        <v>1390.8265671919114</v>
      </c>
      <c r="S250">
        <v>1340.337534695002</v>
      </c>
      <c r="T250">
        <v>1289.8485021980925</v>
      </c>
      <c r="U250">
        <v>1239.359469701182</v>
      </c>
      <c r="V250">
        <v>1218.682987346094</v>
      </c>
      <c r="W250">
        <v>1198.0065049910061</v>
      </c>
      <c r="X250">
        <v>1177.3300226359181</v>
      </c>
      <c r="Y250">
        <v>1156.6535402808304</v>
      </c>
      <c r="Z250">
        <v>1135.9770579257422</v>
      </c>
      <c r="AA250">
        <v>1115.3005755706542</v>
      </c>
      <c r="AB250">
        <v>1094.6240932155665</v>
      </c>
      <c r="AC250">
        <v>1073.9476108604786</v>
      </c>
      <c r="AD250">
        <v>1053.2711285053906</v>
      </c>
      <c r="AE250">
        <v>1032.5946461503024</v>
      </c>
      <c r="AF250">
        <v>1011.9181637952145</v>
      </c>
      <c r="AG250">
        <v>991.24168144012651</v>
      </c>
      <c r="AH250">
        <v>970.56519908503844</v>
      </c>
      <c r="AI250">
        <v>949.88871672995037</v>
      </c>
      <c r="AJ250">
        <v>929.21223437486162</v>
      </c>
    </row>
    <row r="251" spans="1:36" x14ac:dyDescent="0.35">
      <c r="A251" t="s">
        <v>1724</v>
      </c>
      <c r="B251" t="s">
        <v>1342</v>
      </c>
      <c r="C251" t="s">
        <v>1350</v>
      </c>
      <c r="D251">
        <v>30</v>
      </c>
      <c r="E251" t="s">
        <v>1701</v>
      </c>
      <c r="F251" t="s">
        <v>1386</v>
      </c>
      <c r="G251" t="s">
        <v>1722</v>
      </c>
      <c r="H251">
        <v>2058.2954411795413</v>
      </c>
      <c r="I251">
        <v>1845.2278596640967</v>
      </c>
      <c r="J251">
        <v>1831.720277841571</v>
      </c>
      <c r="K251">
        <v>1818.2126960190451</v>
      </c>
      <c r="L251">
        <v>1804.7051141965194</v>
      </c>
      <c r="M251">
        <v>1791.1975323739937</v>
      </c>
      <c r="N251">
        <v>1777.689950551468</v>
      </c>
      <c r="O251">
        <v>1764.1823687289423</v>
      </c>
      <c r="P251">
        <v>1750.6747869064166</v>
      </c>
      <c r="Q251">
        <v>1737.1672050838906</v>
      </c>
      <c r="R251">
        <v>1723.6596232613649</v>
      </c>
      <c r="S251">
        <v>1710.1520414388392</v>
      </c>
      <c r="T251">
        <v>1696.6444596163133</v>
      </c>
      <c r="U251">
        <v>1683.1368777937876</v>
      </c>
      <c r="V251">
        <v>1653.5517172542804</v>
      </c>
      <c r="W251">
        <v>1623.9665567147736</v>
      </c>
      <c r="X251">
        <v>1594.3813961752667</v>
      </c>
      <c r="Y251">
        <v>1564.7962356357593</v>
      </c>
      <c r="Z251">
        <v>1535.2110750962524</v>
      </c>
      <c r="AA251">
        <v>1505.6259145567456</v>
      </c>
      <c r="AB251">
        <v>1476.0407540172384</v>
      </c>
      <c r="AC251">
        <v>1446.4555934777316</v>
      </c>
      <c r="AD251">
        <v>1416.8704329382244</v>
      </c>
      <c r="AE251">
        <v>1387.2852723987173</v>
      </c>
      <c r="AF251">
        <v>1357.7001118592104</v>
      </c>
      <c r="AG251">
        <v>1328.1149513197033</v>
      </c>
      <c r="AH251">
        <v>1298.5297907801964</v>
      </c>
      <c r="AI251">
        <v>1268.9446302406893</v>
      </c>
      <c r="AJ251">
        <v>1239.359469701182</v>
      </c>
    </row>
    <row r="252" spans="1:36" x14ac:dyDescent="0.35">
      <c r="A252" t="s">
        <v>1725</v>
      </c>
      <c r="B252" t="s">
        <v>1342</v>
      </c>
      <c r="C252" t="s">
        <v>1343</v>
      </c>
      <c r="D252">
        <v>30</v>
      </c>
      <c r="E252" t="s">
        <v>1701</v>
      </c>
      <c r="F252" t="s">
        <v>1391</v>
      </c>
      <c r="G252" t="s">
        <v>1726</v>
      </c>
      <c r="H252">
        <v>2058.2954411795413</v>
      </c>
      <c r="I252">
        <v>1845.2278596640967</v>
      </c>
      <c r="J252">
        <v>1768.8932242233273</v>
      </c>
      <c r="K252">
        <v>1692.558588782558</v>
      </c>
      <c r="L252">
        <v>1616.2239533417883</v>
      </c>
      <c r="M252">
        <v>1539.8893179010188</v>
      </c>
      <c r="N252">
        <v>1463.5546824602495</v>
      </c>
      <c r="O252">
        <v>1387.2200470194798</v>
      </c>
      <c r="P252">
        <v>1310.8854115787103</v>
      </c>
      <c r="Q252">
        <v>1234.5507761379406</v>
      </c>
      <c r="R252">
        <v>1158.2161406971713</v>
      </c>
      <c r="S252">
        <v>1081.8815052564019</v>
      </c>
      <c r="T252">
        <v>1005.5468698156322</v>
      </c>
      <c r="U252">
        <v>929.21223437486162</v>
      </c>
      <c r="V252">
        <v>918.8578363359843</v>
      </c>
      <c r="W252">
        <v>908.50343829710687</v>
      </c>
      <c r="X252">
        <v>898.14904025822955</v>
      </c>
      <c r="Y252">
        <v>887.794642219352</v>
      </c>
      <c r="Z252">
        <v>877.44024418047468</v>
      </c>
      <c r="AA252">
        <v>867.08584614159724</v>
      </c>
      <c r="AB252">
        <v>856.73144810271981</v>
      </c>
      <c r="AC252">
        <v>846.37705006384238</v>
      </c>
      <c r="AD252">
        <v>836.02265202496505</v>
      </c>
      <c r="AE252">
        <v>825.66825398608773</v>
      </c>
      <c r="AF252">
        <v>815.31385594721019</v>
      </c>
      <c r="AG252">
        <v>804.95945790833287</v>
      </c>
      <c r="AH252">
        <v>794.60505986945543</v>
      </c>
      <c r="AI252">
        <v>784.25066183057811</v>
      </c>
      <c r="AJ252">
        <v>773.8962637917009</v>
      </c>
    </row>
    <row r="253" spans="1:36" x14ac:dyDescent="0.35">
      <c r="A253" t="s">
        <v>1727</v>
      </c>
      <c r="B253" t="s">
        <v>1342</v>
      </c>
      <c r="C253" t="s">
        <v>1348</v>
      </c>
      <c r="D253">
        <v>30</v>
      </c>
      <c r="E253" t="s">
        <v>1701</v>
      </c>
      <c r="F253" t="s">
        <v>1391</v>
      </c>
      <c r="G253" t="s">
        <v>1726</v>
      </c>
      <c r="H253">
        <v>2058.2954411795413</v>
      </c>
      <c r="I253">
        <v>1845.2278596640967</v>
      </c>
      <c r="J253">
        <v>1794.7388271671873</v>
      </c>
      <c r="K253">
        <v>1744.2497946702779</v>
      </c>
      <c r="L253">
        <v>1693.7607621733682</v>
      </c>
      <c r="M253">
        <v>1643.271729676459</v>
      </c>
      <c r="N253">
        <v>1592.7826971795494</v>
      </c>
      <c r="O253">
        <v>1542.2936646826399</v>
      </c>
      <c r="P253">
        <v>1491.8046321857303</v>
      </c>
      <c r="Q253">
        <v>1441.3155996888211</v>
      </c>
      <c r="R253">
        <v>1390.8265671919114</v>
      </c>
      <c r="S253">
        <v>1340.337534695002</v>
      </c>
      <c r="T253">
        <v>1289.8485021980925</v>
      </c>
      <c r="U253">
        <v>1239.359469701182</v>
      </c>
      <c r="V253">
        <v>1218.682987346094</v>
      </c>
      <c r="W253">
        <v>1198.0065049910061</v>
      </c>
      <c r="X253">
        <v>1177.3300226359181</v>
      </c>
      <c r="Y253">
        <v>1156.6535402808304</v>
      </c>
      <c r="Z253">
        <v>1135.9770579257422</v>
      </c>
      <c r="AA253">
        <v>1115.3005755706542</v>
      </c>
      <c r="AB253">
        <v>1094.6240932155665</v>
      </c>
      <c r="AC253">
        <v>1073.9476108604786</v>
      </c>
      <c r="AD253">
        <v>1053.2711285053906</v>
      </c>
      <c r="AE253">
        <v>1032.5946461503024</v>
      </c>
      <c r="AF253">
        <v>1011.9181637952145</v>
      </c>
      <c r="AG253">
        <v>991.24168144012651</v>
      </c>
      <c r="AH253">
        <v>970.56519908503844</v>
      </c>
      <c r="AI253">
        <v>949.88871672995037</v>
      </c>
      <c r="AJ253">
        <v>929.21223437486162</v>
      </c>
    </row>
    <row r="254" spans="1:36" x14ac:dyDescent="0.35">
      <c r="A254" t="s">
        <v>1728</v>
      </c>
      <c r="B254" t="s">
        <v>1342</v>
      </c>
      <c r="C254" t="s">
        <v>1350</v>
      </c>
      <c r="D254">
        <v>30</v>
      </c>
      <c r="E254" t="s">
        <v>1701</v>
      </c>
      <c r="F254" t="s">
        <v>1391</v>
      </c>
      <c r="G254" t="s">
        <v>1726</v>
      </c>
      <c r="H254">
        <v>2058.2954411795413</v>
      </c>
      <c r="I254">
        <v>1845.2278596640967</v>
      </c>
      <c r="J254">
        <v>1831.720277841571</v>
      </c>
      <c r="K254">
        <v>1818.2126960190451</v>
      </c>
      <c r="L254">
        <v>1804.7051141965194</v>
      </c>
      <c r="M254">
        <v>1791.1975323739937</v>
      </c>
      <c r="N254">
        <v>1777.689950551468</v>
      </c>
      <c r="O254">
        <v>1764.1823687289423</v>
      </c>
      <c r="P254">
        <v>1750.6747869064166</v>
      </c>
      <c r="Q254">
        <v>1737.1672050838906</v>
      </c>
      <c r="R254">
        <v>1723.6596232613649</v>
      </c>
      <c r="S254">
        <v>1710.1520414388392</v>
      </c>
      <c r="T254">
        <v>1696.6444596163133</v>
      </c>
      <c r="U254">
        <v>1683.1368777937876</v>
      </c>
      <c r="V254">
        <v>1653.5517172542804</v>
      </c>
      <c r="W254">
        <v>1623.9665567147736</v>
      </c>
      <c r="X254">
        <v>1594.3813961752667</v>
      </c>
      <c r="Y254">
        <v>1564.7962356357593</v>
      </c>
      <c r="Z254">
        <v>1535.2110750962524</v>
      </c>
      <c r="AA254">
        <v>1505.6259145567456</v>
      </c>
      <c r="AB254">
        <v>1476.0407540172384</v>
      </c>
      <c r="AC254">
        <v>1446.4555934777316</v>
      </c>
      <c r="AD254">
        <v>1416.8704329382244</v>
      </c>
      <c r="AE254">
        <v>1387.2852723987173</v>
      </c>
      <c r="AF254">
        <v>1357.7001118592104</v>
      </c>
      <c r="AG254">
        <v>1328.1149513197033</v>
      </c>
      <c r="AH254">
        <v>1298.5297907801964</v>
      </c>
      <c r="AI254">
        <v>1268.9446302406893</v>
      </c>
      <c r="AJ254">
        <v>1239.359469701182</v>
      </c>
    </row>
    <row r="255" spans="1:36" x14ac:dyDescent="0.35">
      <c r="A255" t="s">
        <v>1729</v>
      </c>
      <c r="B255" t="s">
        <v>1342</v>
      </c>
      <c r="C255" t="s">
        <v>1343</v>
      </c>
      <c r="D255">
        <v>30</v>
      </c>
      <c r="E255" t="s">
        <v>1701</v>
      </c>
      <c r="F255" t="s">
        <v>1357</v>
      </c>
      <c r="G255" t="s">
        <v>1730</v>
      </c>
      <c r="H255">
        <v>2058.2954411795413</v>
      </c>
      <c r="I255">
        <v>1845.2278596640967</v>
      </c>
      <c r="J255">
        <v>1768.8932242233273</v>
      </c>
      <c r="K255">
        <v>1692.558588782558</v>
      </c>
      <c r="L255">
        <v>1616.2239533417883</v>
      </c>
      <c r="M255">
        <v>1539.8893179010188</v>
      </c>
      <c r="N255">
        <v>1463.5546824602495</v>
      </c>
      <c r="O255">
        <v>1387.2200470194798</v>
      </c>
      <c r="P255">
        <v>1310.8854115787103</v>
      </c>
      <c r="Q255">
        <v>1234.5507761379406</v>
      </c>
      <c r="R255">
        <v>1158.2161406971713</v>
      </c>
      <c r="S255">
        <v>1081.8815052564019</v>
      </c>
      <c r="T255">
        <v>1005.5468698156322</v>
      </c>
      <c r="U255">
        <v>929.21223437486162</v>
      </c>
      <c r="V255">
        <v>918.8578363359843</v>
      </c>
      <c r="W255">
        <v>908.50343829710687</v>
      </c>
      <c r="X255">
        <v>898.14904025822955</v>
      </c>
      <c r="Y255">
        <v>887.794642219352</v>
      </c>
      <c r="Z255">
        <v>877.44024418047468</v>
      </c>
      <c r="AA255">
        <v>867.08584614159724</v>
      </c>
      <c r="AB255">
        <v>856.73144810271981</v>
      </c>
      <c r="AC255">
        <v>846.37705006384238</v>
      </c>
      <c r="AD255">
        <v>836.02265202496505</v>
      </c>
      <c r="AE255">
        <v>825.66825398608773</v>
      </c>
      <c r="AF255">
        <v>815.31385594721019</v>
      </c>
      <c r="AG255">
        <v>804.95945790833287</v>
      </c>
      <c r="AH255">
        <v>794.60505986945543</v>
      </c>
      <c r="AI255">
        <v>784.25066183057811</v>
      </c>
      <c r="AJ255">
        <v>773.8962637917009</v>
      </c>
    </row>
    <row r="256" spans="1:36" x14ac:dyDescent="0.35">
      <c r="A256" t="s">
        <v>1731</v>
      </c>
      <c r="B256" t="s">
        <v>1342</v>
      </c>
      <c r="C256" t="s">
        <v>1348</v>
      </c>
      <c r="D256">
        <v>30</v>
      </c>
      <c r="E256" t="s">
        <v>1701</v>
      </c>
      <c r="F256" t="s">
        <v>1357</v>
      </c>
      <c r="G256" t="s">
        <v>1730</v>
      </c>
      <c r="H256">
        <v>2058.2954411795413</v>
      </c>
      <c r="I256">
        <v>1845.2278596640967</v>
      </c>
      <c r="J256">
        <v>1794.7388271671873</v>
      </c>
      <c r="K256">
        <v>1744.2497946702779</v>
      </c>
      <c r="L256">
        <v>1693.7607621733682</v>
      </c>
      <c r="M256">
        <v>1643.271729676459</v>
      </c>
      <c r="N256">
        <v>1592.7826971795494</v>
      </c>
      <c r="O256">
        <v>1542.2936646826399</v>
      </c>
      <c r="P256">
        <v>1491.8046321857303</v>
      </c>
      <c r="Q256">
        <v>1441.3155996888211</v>
      </c>
      <c r="R256">
        <v>1390.8265671919114</v>
      </c>
      <c r="S256">
        <v>1340.337534695002</v>
      </c>
      <c r="T256">
        <v>1289.8485021980925</v>
      </c>
      <c r="U256">
        <v>1239.359469701182</v>
      </c>
      <c r="V256">
        <v>1218.682987346094</v>
      </c>
      <c r="W256">
        <v>1198.0065049910061</v>
      </c>
      <c r="X256">
        <v>1177.3300226359181</v>
      </c>
      <c r="Y256">
        <v>1156.6535402808304</v>
      </c>
      <c r="Z256">
        <v>1135.9770579257422</v>
      </c>
      <c r="AA256">
        <v>1115.3005755706542</v>
      </c>
      <c r="AB256">
        <v>1094.6240932155665</v>
      </c>
      <c r="AC256">
        <v>1073.9476108604786</v>
      </c>
      <c r="AD256">
        <v>1053.2711285053906</v>
      </c>
      <c r="AE256">
        <v>1032.5946461503024</v>
      </c>
      <c r="AF256">
        <v>1011.9181637952145</v>
      </c>
      <c r="AG256">
        <v>991.24168144012651</v>
      </c>
      <c r="AH256">
        <v>970.56519908503844</v>
      </c>
      <c r="AI256">
        <v>949.88871672995037</v>
      </c>
      <c r="AJ256">
        <v>929.21223437486162</v>
      </c>
    </row>
    <row r="257" spans="1:36" x14ac:dyDescent="0.35">
      <c r="A257" t="s">
        <v>1732</v>
      </c>
      <c r="B257" t="s">
        <v>1342</v>
      </c>
      <c r="C257" t="s">
        <v>1350</v>
      </c>
      <c r="D257">
        <v>30</v>
      </c>
      <c r="E257" t="s">
        <v>1701</v>
      </c>
      <c r="F257" t="s">
        <v>1357</v>
      </c>
      <c r="G257" t="s">
        <v>1730</v>
      </c>
      <c r="H257">
        <v>2058.2954411795413</v>
      </c>
      <c r="I257">
        <v>1845.2278596640967</v>
      </c>
      <c r="J257">
        <v>1831.720277841571</v>
      </c>
      <c r="K257">
        <v>1818.2126960190451</v>
      </c>
      <c r="L257">
        <v>1804.7051141965194</v>
      </c>
      <c r="M257">
        <v>1791.1975323739937</v>
      </c>
      <c r="N257">
        <v>1777.689950551468</v>
      </c>
      <c r="O257">
        <v>1764.1823687289423</v>
      </c>
      <c r="P257">
        <v>1750.6747869064166</v>
      </c>
      <c r="Q257">
        <v>1737.1672050838906</v>
      </c>
      <c r="R257">
        <v>1723.6596232613649</v>
      </c>
      <c r="S257">
        <v>1710.1520414388392</v>
      </c>
      <c r="T257">
        <v>1696.6444596163133</v>
      </c>
      <c r="U257">
        <v>1683.1368777937876</v>
      </c>
      <c r="V257">
        <v>1653.5517172542804</v>
      </c>
      <c r="W257">
        <v>1623.9665567147736</v>
      </c>
      <c r="X257">
        <v>1594.3813961752667</v>
      </c>
      <c r="Y257">
        <v>1564.7962356357593</v>
      </c>
      <c r="Z257">
        <v>1535.2110750962524</v>
      </c>
      <c r="AA257">
        <v>1505.6259145567456</v>
      </c>
      <c r="AB257">
        <v>1476.0407540172384</v>
      </c>
      <c r="AC257">
        <v>1446.4555934777316</v>
      </c>
      <c r="AD257">
        <v>1416.8704329382244</v>
      </c>
      <c r="AE257">
        <v>1387.2852723987173</v>
      </c>
      <c r="AF257">
        <v>1357.7001118592104</v>
      </c>
      <c r="AG257">
        <v>1328.1149513197033</v>
      </c>
      <c r="AH257">
        <v>1298.5297907801964</v>
      </c>
      <c r="AI257">
        <v>1268.9446302406893</v>
      </c>
      <c r="AJ257">
        <v>1239.359469701182</v>
      </c>
    </row>
    <row r="258" spans="1:36" x14ac:dyDescent="0.35">
      <c r="A258" t="s">
        <v>1733</v>
      </c>
      <c r="B258" t="s">
        <v>1342</v>
      </c>
      <c r="C258" t="s">
        <v>1343</v>
      </c>
      <c r="D258">
        <v>30</v>
      </c>
      <c r="E258" t="s">
        <v>1701</v>
      </c>
      <c r="F258" t="s">
        <v>1400</v>
      </c>
      <c r="G258" t="s">
        <v>1734</v>
      </c>
      <c r="H258">
        <v>2058.2954411795413</v>
      </c>
      <c r="I258">
        <v>1845.2278596640967</v>
      </c>
      <c r="J258">
        <v>1768.8932242233273</v>
      </c>
      <c r="K258">
        <v>1692.558588782558</v>
      </c>
      <c r="L258">
        <v>1616.2239533417883</v>
      </c>
      <c r="M258">
        <v>1539.8893179010188</v>
      </c>
      <c r="N258">
        <v>1463.5546824602495</v>
      </c>
      <c r="O258">
        <v>1387.2200470194798</v>
      </c>
      <c r="P258">
        <v>1310.8854115787103</v>
      </c>
      <c r="Q258">
        <v>1234.5507761379406</v>
      </c>
      <c r="R258">
        <v>1158.2161406971713</v>
      </c>
      <c r="S258">
        <v>1081.8815052564019</v>
      </c>
      <c r="T258">
        <v>1005.5468698156322</v>
      </c>
      <c r="U258">
        <v>929.21223437486162</v>
      </c>
      <c r="V258">
        <v>918.8578363359843</v>
      </c>
      <c r="W258">
        <v>908.50343829710687</v>
      </c>
      <c r="X258">
        <v>898.14904025822955</v>
      </c>
      <c r="Y258">
        <v>887.794642219352</v>
      </c>
      <c r="Z258">
        <v>877.44024418047468</v>
      </c>
      <c r="AA258">
        <v>867.08584614159724</v>
      </c>
      <c r="AB258">
        <v>856.73144810271981</v>
      </c>
      <c r="AC258">
        <v>846.37705006384238</v>
      </c>
      <c r="AD258">
        <v>836.02265202496505</v>
      </c>
      <c r="AE258">
        <v>825.66825398608773</v>
      </c>
      <c r="AF258">
        <v>815.31385594721019</v>
      </c>
      <c r="AG258">
        <v>804.95945790833287</v>
      </c>
      <c r="AH258">
        <v>794.60505986945543</v>
      </c>
      <c r="AI258">
        <v>784.25066183057811</v>
      </c>
      <c r="AJ258">
        <v>773.8962637917009</v>
      </c>
    </row>
    <row r="259" spans="1:36" x14ac:dyDescent="0.35">
      <c r="A259" t="s">
        <v>1735</v>
      </c>
      <c r="B259" t="s">
        <v>1342</v>
      </c>
      <c r="C259" t="s">
        <v>1348</v>
      </c>
      <c r="D259">
        <v>30</v>
      </c>
      <c r="E259" t="s">
        <v>1701</v>
      </c>
      <c r="F259" t="s">
        <v>1400</v>
      </c>
      <c r="G259" t="s">
        <v>1734</v>
      </c>
      <c r="H259">
        <v>2058.2954411795413</v>
      </c>
      <c r="I259">
        <v>1845.2278596640967</v>
      </c>
      <c r="J259">
        <v>1794.7388271671873</v>
      </c>
      <c r="K259">
        <v>1744.2497946702779</v>
      </c>
      <c r="L259">
        <v>1693.7607621733682</v>
      </c>
      <c r="M259">
        <v>1643.271729676459</v>
      </c>
      <c r="N259">
        <v>1592.7826971795494</v>
      </c>
      <c r="O259">
        <v>1542.2936646826399</v>
      </c>
      <c r="P259">
        <v>1491.8046321857303</v>
      </c>
      <c r="Q259">
        <v>1441.3155996888211</v>
      </c>
      <c r="R259">
        <v>1390.8265671919114</v>
      </c>
      <c r="S259">
        <v>1340.337534695002</v>
      </c>
      <c r="T259">
        <v>1289.8485021980925</v>
      </c>
      <c r="U259">
        <v>1239.359469701182</v>
      </c>
      <c r="V259">
        <v>1218.682987346094</v>
      </c>
      <c r="W259">
        <v>1198.0065049910061</v>
      </c>
      <c r="X259">
        <v>1177.3300226359181</v>
      </c>
      <c r="Y259">
        <v>1156.6535402808304</v>
      </c>
      <c r="Z259">
        <v>1135.9770579257422</v>
      </c>
      <c r="AA259">
        <v>1115.3005755706542</v>
      </c>
      <c r="AB259">
        <v>1094.6240932155665</v>
      </c>
      <c r="AC259">
        <v>1073.9476108604786</v>
      </c>
      <c r="AD259">
        <v>1053.2711285053906</v>
      </c>
      <c r="AE259">
        <v>1032.5946461503024</v>
      </c>
      <c r="AF259">
        <v>1011.9181637952145</v>
      </c>
      <c r="AG259">
        <v>991.24168144012651</v>
      </c>
      <c r="AH259">
        <v>970.56519908503844</v>
      </c>
      <c r="AI259">
        <v>949.88871672995037</v>
      </c>
      <c r="AJ259">
        <v>929.21223437486162</v>
      </c>
    </row>
    <row r="260" spans="1:36" x14ac:dyDescent="0.35">
      <c r="A260" t="s">
        <v>1736</v>
      </c>
      <c r="B260" t="s">
        <v>1342</v>
      </c>
      <c r="C260" t="s">
        <v>1350</v>
      </c>
      <c r="D260">
        <v>30</v>
      </c>
      <c r="E260" t="s">
        <v>1701</v>
      </c>
      <c r="F260" t="s">
        <v>1400</v>
      </c>
      <c r="G260" t="s">
        <v>1734</v>
      </c>
      <c r="H260">
        <v>2058.2954411795413</v>
      </c>
      <c r="I260">
        <v>1845.2278596640967</v>
      </c>
      <c r="J260">
        <v>1831.720277841571</v>
      </c>
      <c r="K260">
        <v>1818.2126960190451</v>
      </c>
      <c r="L260">
        <v>1804.7051141965194</v>
      </c>
      <c r="M260">
        <v>1791.1975323739937</v>
      </c>
      <c r="N260">
        <v>1777.689950551468</v>
      </c>
      <c r="O260">
        <v>1764.1823687289423</v>
      </c>
      <c r="P260">
        <v>1750.6747869064166</v>
      </c>
      <c r="Q260">
        <v>1737.1672050838906</v>
      </c>
      <c r="R260">
        <v>1723.6596232613649</v>
      </c>
      <c r="S260">
        <v>1710.1520414388392</v>
      </c>
      <c r="T260">
        <v>1696.6444596163133</v>
      </c>
      <c r="U260">
        <v>1683.1368777937876</v>
      </c>
      <c r="V260">
        <v>1653.5517172542804</v>
      </c>
      <c r="W260">
        <v>1623.9665567147736</v>
      </c>
      <c r="X260">
        <v>1594.3813961752667</v>
      </c>
      <c r="Y260">
        <v>1564.7962356357593</v>
      </c>
      <c r="Z260">
        <v>1535.2110750962524</v>
      </c>
      <c r="AA260">
        <v>1505.6259145567456</v>
      </c>
      <c r="AB260">
        <v>1476.0407540172384</v>
      </c>
      <c r="AC260">
        <v>1446.4555934777316</v>
      </c>
      <c r="AD260">
        <v>1416.8704329382244</v>
      </c>
      <c r="AE260">
        <v>1387.2852723987173</v>
      </c>
      <c r="AF260">
        <v>1357.7001118592104</v>
      </c>
      <c r="AG260">
        <v>1328.1149513197033</v>
      </c>
      <c r="AH260">
        <v>1298.5297907801964</v>
      </c>
      <c r="AI260">
        <v>1268.9446302406893</v>
      </c>
      <c r="AJ260">
        <v>1239.359469701182</v>
      </c>
    </row>
    <row r="261" spans="1:36" x14ac:dyDescent="0.35">
      <c r="A261" t="s">
        <v>1737</v>
      </c>
      <c r="B261" t="s">
        <v>1342</v>
      </c>
      <c r="C261" t="s">
        <v>1343</v>
      </c>
      <c r="D261">
        <v>30</v>
      </c>
      <c r="E261" t="s">
        <v>1701</v>
      </c>
      <c r="F261" t="s">
        <v>1405</v>
      </c>
      <c r="G261" t="s">
        <v>1738</v>
      </c>
      <c r="H261">
        <v>2058.2954411795413</v>
      </c>
      <c r="I261">
        <v>1845.2278596640967</v>
      </c>
      <c r="J261">
        <v>1768.8932242233273</v>
      </c>
      <c r="K261">
        <v>1692.558588782558</v>
      </c>
      <c r="L261">
        <v>1616.2239533417883</v>
      </c>
      <c r="M261">
        <v>1539.8893179010188</v>
      </c>
      <c r="N261">
        <v>1463.5546824602495</v>
      </c>
      <c r="O261">
        <v>1387.2200470194798</v>
      </c>
      <c r="P261">
        <v>1310.8854115787103</v>
      </c>
      <c r="Q261">
        <v>1234.5507761379406</v>
      </c>
      <c r="R261">
        <v>1158.2161406971713</v>
      </c>
      <c r="S261">
        <v>1081.8815052564019</v>
      </c>
      <c r="T261">
        <v>1005.5468698156322</v>
      </c>
      <c r="U261">
        <v>929.21223437486162</v>
      </c>
      <c r="V261">
        <v>918.8578363359843</v>
      </c>
      <c r="W261">
        <v>908.50343829710687</v>
      </c>
      <c r="X261">
        <v>898.14904025822955</v>
      </c>
      <c r="Y261">
        <v>887.794642219352</v>
      </c>
      <c r="Z261">
        <v>877.44024418047468</v>
      </c>
      <c r="AA261">
        <v>867.08584614159724</v>
      </c>
      <c r="AB261">
        <v>856.73144810271981</v>
      </c>
      <c r="AC261">
        <v>846.37705006384238</v>
      </c>
      <c r="AD261">
        <v>836.02265202496505</v>
      </c>
      <c r="AE261">
        <v>825.66825398608773</v>
      </c>
      <c r="AF261">
        <v>815.31385594721019</v>
      </c>
      <c r="AG261">
        <v>804.95945790833287</v>
      </c>
      <c r="AH261">
        <v>794.60505986945543</v>
      </c>
      <c r="AI261">
        <v>784.25066183057811</v>
      </c>
      <c r="AJ261">
        <v>773.8962637917009</v>
      </c>
    </row>
    <row r="262" spans="1:36" x14ac:dyDescent="0.35">
      <c r="A262" t="s">
        <v>1739</v>
      </c>
      <c r="B262" t="s">
        <v>1342</v>
      </c>
      <c r="C262" t="s">
        <v>1348</v>
      </c>
      <c r="D262">
        <v>30</v>
      </c>
      <c r="E262" t="s">
        <v>1701</v>
      </c>
      <c r="F262" t="s">
        <v>1405</v>
      </c>
      <c r="G262" t="s">
        <v>1738</v>
      </c>
      <c r="H262">
        <v>2058.2954411795413</v>
      </c>
      <c r="I262">
        <v>1845.2278596640967</v>
      </c>
      <c r="J262">
        <v>1794.7388271671873</v>
      </c>
      <c r="K262">
        <v>1744.2497946702779</v>
      </c>
      <c r="L262">
        <v>1693.7607621733682</v>
      </c>
      <c r="M262">
        <v>1643.271729676459</v>
      </c>
      <c r="N262">
        <v>1592.7826971795494</v>
      </c>
      <c r="O262">
        <v>1542.2936646826399</v>
      </c>
      <c r="P262">
        <v>1491.8046321857303</v>
      </c>
      <c r="Q262">
        <v>1441.3155996888211</v>
      </c>
      <c r="R262">
        <v>1390.8265671919114</v>
      </c>
      <c r="S262">
        <v>1340.337534695002</v>
      </c>
      <c r="T262">
        <v>1289.8485021980925</v>
      </c>
      <c r="U262">
        <v>1239.359469701182</v>
      </c>
      <c r="V262">
        <v>1218.682987346094</v>
      </c>
      <c r="W262">
        <v>1198.0065049910061</v>
      </c>
      <c r="X262">
        <v>1177.3300226359181</v>
      </c>
      <c r="Y262">
        <v>1156.6535402808304</v>
      </c>
      <c r="Z262">
        <v>1135.9770579257422</v>
      </c>
      <c r="AA262">
        <v>1115.3005755706542</v>
      </c>
      <c r="AB262">
        <v>1094.6240932155665</v>
      </c>
      <c r="AC262">
        <v>1073.9476108604786</v>
      </c>
      <c r="AD262">
        <v>1053.2711285053906</v>
      </c>
      <c r="AE262">
        <v>1032.5946461503024</v>
      </c>
      <c r="AF262">
        <v>1011.9181637952145</v>
      </c>
      <c r="AG262">
        <v>991.24168144012651</v>
      </c>
      <c r="AH262">
        <v>970.56519908503844</v>
      </c>
      <c r="AI262">
        <v>949.88871672995037</v>
      </c>
      <c r="AJ262">
        <v>929.21223437486162</v>
      </c>
    </row>
    <row r="263" spans="1:36" x14ac:dyDescent="0.35">
      <c r="A263" t="s">
        <v>1740</v>
      </c>
      <c r="B263" t="s">
        <v>1342</v>
      </c>
      <c r="C263" t="s">
        <v>1350</v>
      </c>
      <c r="D263">
        <v>30</v>
      </c>
      <c r="E263" t="s">
        <v>1701</v>
      </c>
      <c r="F263" t="s">
        <v>1405</v>
      </c>
      <c r="G263" t="s">
        <v>1738</v>
      </c>
      <c r="H263">
        <v>2058.2954411795413</v>
      </c>
      <c r="I263">
        <v>1845.2278596640967</v>
      </c>
      <c r="J263">
        <v>1831.720277841571</v>
      </c>
      <c r="K263">
        <v>1818.2126960190451</v>
      </c>
      <c r="L263">
        <v>1804.7051141965194</v>
      </c>
      <c r="M263">
        <v>1791.1975323739937</v>
      </c>
      <c r="N263">
        <v>1777.689950551468</v>
      </c>
      <c r="O263">
        <v>1764.1823687289423</v>
      </c>
      <c r="P263">
        <v>1750.6747869064166</v>
      </c>
      <c r="Q263">
        <v>1737.1672050838906</v>
      </c>
      <c r="R263">
        <v>1723.6596232613649</v>
      </c>
      <c r="S263">
        <v>1710.1520414388392</v>
      </c>
      <c r="T263">
        <v>1696.6444596163133</v>
      </c>
      <c r="U263">
        <v>1683.1368777937876</v>
      </c>
      <c r="V263">
        <v>1653.5517172542804</v>
      </c>
      <c r="W263">
        <v>1623.9665567147736</v>
      </c>
      <c r="X263">
        <v>1594.3813961752667</v>
      </c>
      <c r="Y263">
        <v>1564.7962356357593</v>
      </c>
      <c r="Z263">
        <v>1535.2110750962524</v>
      </c>
      <c r="AA263">
        <v>1505.6259145567456</v>
      </c>
      <c r="AB263">
        <v>1476.0407540172384</v>
      </c>
      <c r="AC263">
        <v>1446.4555934777316</v>
      </c>
      <c r="AD263">
        <v>1416.8704329382244</v>
      </c>
      <c r="AE263">
        <v>1387.2852723987173</v>
      </c>
      <c r="AF263">
        <v>1357.7001118592104</v>
      </c>
      <c r="AG263">
        <v>1328.1149513197033</v>
      </c>
      <c r="AH263">
        <v>1298.5297907801964</v>
      </c>
      <c r="AI263">
        <v>1268.9446302406893</v>
      </c>
      <c r="AJ263">
        <v>1239.359469701182</v>
      </c>
    </row>
    <row r="264" spans="1:36" x14ac:dyDescent="0.35">
      <c r="A264" t="s">
        <v>1741</v>
      </c>
      <c r="B264" t="s">
        <v>1342</v>
      </c>
      <c r="C264" t="s">
        <v>1343</v>
      </c>
      <c r="D264">
        <v>30</v>
      </c>
      <c r="E264" t="s">
        <v>1742</v>
      </c>
      <c r="F264" t="s">
        <v>1363</v>
      </c>
      <c r="G264" t="s">
        <v>1743</v>
      </c>
      <c r="H264">
        <v>3182.9957314709854</v>
      </c>
      <c r="I264">
        <v>2682.1846272586527</v>
      </c>
      <c r="J264">
        <v>2559.3420269772928</v>
      </c>
      <c r="K264">
        <v>2436.4994266959334</v>
      </c>
      <c r="L264">
        <v>2313.6568264145735</v>
      </c>
      <c r="M264">
        <v>2190.8142261332141</v>
      </c>
      <c r="N264">
        <v>2067.9716258518542</v>
      </c>
      <c r="O264">
        <v>1945.1290255704948</v>
      </c>
      <c r="P264">
        <v>1822.2864252891352</v>
      </c>
      <c r="Q264">
        <v>1699.4438250077756</v>
      </c>
      <c r="R264">
        <v>1576.6012247264159</v>
      </c>
      <c r="S264">
        <v>1453.7586244450563</v>
      </c>
      <c r="T264">
        <v>1330.9160241636966</v>
      </c>
      <c r="U264">
        <v>1208.0734238823359</v>
      </c>
      <c r="V264">
        <v>1190.3544479966863</v>
      </c>
      <c r="W264">
        <v>1172.6354721110367</v>
      </c>
      <c r="X264">
        <v>1154.9164962253874</v>
      </c>
      <c r="Y264">
        <v>1137.1975203397378</v>
      </c>
      <c r="Z264">
        <v>1119.4785444540883</v>
      </c>
      <c r="AA264">
        <v>1101.7595685684387</v>
      </c>
      <c r="AB264">
        <v>1084.0405926827891</v>
      </c>
      <c r="AC264">
        <v>1066.3216167971398</v>
      </c>
      <c r="AD264">
        <v>1048.6026409114902</v>
      </c>
      <c r="AE264">
        <v>1030.8836650258406</v>
      </c>
      <c r="AF264">
        <v>1013.1646891401911</v>
      </c>
      <c r="AG264">
        <v>995.44571325454172</v>
      </c>
      <c r="AH264">
        <v>977.72673736889226</v>
      </c>
      <c r="AI264">
        <v>960.0077614832428</v>
      </c>
      <c r="AJ264">
        <v>942.28878559759391</v>
      </c>
    </row>
    <row r="265" spans="1:36" x14ac:dyDescent="0.35">
      <c r="A265" t="s">
        <v>1744</v>
      </c>
      <c r="B265" t="s">
        <v>1342</v>
      </c>
      <c r="C265" t="s">
        <v>1348</v>
      </c>
      <c r="D265">
        <v>30</v>
      </c>
      <c r="E265" t="s">
        <v>1742</v>
      </c>
      <c r="F265" t="s">
        <v>1363</v>
      </c>
      <c r="G265" t="s">
        <v>1743</v>
      </c>
      <c r="H265">
        <v>3182.9957314709854</v>
      </c>
      <c r="I265">
        <v>2682.1846272586527</v>
      </c>
      <c r="J265">
        <v>2600.5763395800877</v>
      </c>
      <c r="K265">
        <v>2518.9680519015233</v>
      </c>
      <c r="L265">
        <v>2437.3597642229583</v>
      </c>
      <c r="M265">
        <v>2355.7514765443939</v>
      </c>
      <c r="N265">
        <v>2274.1431888658294</v>
      </c>
      <c r="O265">
        <v>2192.5349011872645</v>
      </c>
      <c r="P265">
        <v>2110.9266135087</v>
      </c>
      <c r="Q265">
        <v>2029.3183258301353</v>
      </c>
      <c r="R265">
        <v>1947.7100381515709</v>
      </c>
      <c r="S265">
        <v>1866.1017504730064</v>
      </c>
      <c r="T265">
        <v>1784.4934627944419</v>
      </c>
      <c r="U265">
        <v>1702.8851751158791</v>
      </c>
      <c r="V265">
        <v>1669.8977250336429</v>
      </c>
      <c r="W265">
        <v>1636.9102749514066</v>
      </c>
      <c r="X265">
        <v>1603.9228248691704</v>
      </c>
      <c r="Y265">
        <v>1570.9353747869341</v>
      </c>
      <c r="Z265">
        <v>1537.9479247046979</v>
      </c>
      <c r="AA265">
        <v>1504.9604746224616</v>
      </c>
      <c r="AB265">
        <v>1471.9730245402254</v>
      </c>
      <c r="AC265">
        <v>1438.9855744579891</v>
      </c>
      <c r="AD265">
        <v>1405.9981243757529</v>
      </c>
      <c r="AE265">
        <v>1373.0106742935166</v>
      </c>
      <c r="AF265">
        <v>1340.0232242112804</v>
      </c>
      <c r="AG265">
        <v>1307.0357741290441</v>
      </c>
      <c r="AH265">
        <v>1274.0483240468079</v>
      </c>
      <c r="AI265">
        <v>1241.0608739645716</v>
      </c>
      <c r="AJ265">
        <v>1208.0734238823359</v>
      </c>
    </row>
    <row r="266" spans="1:36" x14ac:dyDescent="0.35">
      <c r="A266" t="s">
        <v>1745</v>
      </c>
      <c r="B266" t="s">
        <v>1342</v>
      </c>
      <c r="C266" t="s">
        <v>1350</v>
      </c>
      <c r="D266">
        <v>30</v>
      </c>
      <c r="E266" t="s">
        <v>1742</v>
      </c>
      <c r="F266" t="s">
        <v>1363</v>
      </c>
      <c r="G266" t="s">
        <v>1743</v>
      </c>
      <c r="H266">
        <v>3182.9957314709854</v>
      </c>
      <c r="I266">
        <v>2682.1846272586527</v>
      </c>
      <c r="J266">
        <v>2659.2114918531179</v>
      </c>
      <c r="K266">
        <v>2636.2383564475831</v>
      </c>
      <c r="L266">
        <v>2613.2652210420483</v>
      </c>
      <c r="M266">
        <v>2590.2920856365135</v>
      </c>
      <c r="N266">
        <v>2567.3189502309792</v>
      </c>
      <c r="O266">
        <v>2544.3458148254444</v>
      </c>
      <c r="P266">
        <v>2521.3726794199097</v>
      </c>
      <c r="Q266">
        <v>2498.3995440143749</v>
      </c>
      <c r="R266">
        <v>2475.4264086088401</v>
      </c>
      <c r="S266">
        <v>2452.4532732033053</v>
      </c>
      <c r="T266">
        <v>2429.480137797771</v>
      </c>
      <c r="U266">
        <v>2406.5070023922358</v>
      </c>
      <c r="V266">
        <v>2359.5988805738116</v>
      </c>
      <c r="W266">
        <v>2312.6907587553878</v>
      </c>
      <c r="X266">
        <v>2265.7826369369636</v>
      </c>
      <c r="Y266">
        <v>2218.8745151185399</v>
      </c>
      <c r="Z266">
        <v>2171.9663933001157</v>
      </c>
      <c r="AA266">
        <v>2125.0582714816919</v>
      </c>
      <c r="AB266">
        <v>2078.1501496632682</v>
      </c>
      <c r="AC266">
        <v>2031.242027844844</v>
      </c>
      <c r="AD266">
        <v>1984.3339060264202</v>
      </c>
      <c r="AE266">
        <v>1937.4257842079965</v>
      </c>
      <c r="AF266">
        <v>1890.5176623895727</v>
      </c>
      <c r="AG266">
        <v>1843.609540571149</v>
      </c>
      <c r="AH266">
        <v>1796.7014187527252</v>
      </c>
      <c r="AI266">
        <v>1749.7932969343015</v>
      </c>
      <c r="AJ266">
        <v>1702.8851751158791</v>
      </c>
    </row>
    <row r="267" spans="1:36" x14ac:dyDescent="0.35">
      <c r="A267" t="s">
        <v>1746</v>
      </c>
      <c r="B267" t="s">
        <v>1342</v>
      </c>
      <c r="C267" t="s">
        <v>1343</v>
      </c>
      <c r="D267">
        <v>30</v>
      </c>
      <c r="E267" t="s">
        <v>1742</v>
      </c>
      <c r="F267" t="s">
        <v>1345</v>
      </c>
      <c r="G267" t="s">
        <v>1747</v>
      </c>
      <c r="H267">
        <v>3182.9957314709854</v>
      </c>
      <c r="I267">
        <v>2682.1846272586527</v>
      </c>
      <c r="J267">
        <v>2559.3420269772928</v>
      </c>
      <c r="K267">
        <v>2436.4994266959334</v>
      </c>
      <c r="L267">
        <v>2313.6568264145735</v>
      </c>
      <c r="M267">
        <v>2190.8142261332141</v>
      </c>
      <c r="N267">
        <v>2067.9716258518542</v>
      </c>
      <c r="O267">
        <v>1945.1290255704948</v>
      </c>
      <c r="P267">
        <v>1822.2864252891352</v>
      </c>
      <c r="Q267">
        <v>1699.4438250077756</v>
      </c>
      <c r="R267">
        <v>1576.6012247264159</v>
      </c>
      <c r="S267">
        <v>1453.7586244450563</v>
      </c>
      <c r="T267">
        <v>1330.9160241636966</v>
      </c>
      <c r="U267">
        <v>1208.0734238823359</v>
      </c>
      <c r="V267">
        <v>1190.3544479966863</v>
      </c>
      <c r="W267">
        <v>1172.6354721110367</v>
      </c>
      <c r="X267">
        <v>1154.9164962253874</v>
      </c>
      <c r="Y267">
        <v>1137.1975203397378</v>
      </c>
      <c r="Z267">
        <v>1119.4785444540883</v>
      </c>
      <c r="AA267">
        <v>1101.7595685684387</v>
      </c>
      <c r="AB267">
        <v>1084.0405926827891</v>
      </c>
      <c r="AC267">
        <v>1066.3216167971398</v>
      </c>
      <c r="AD267">
        <v>1048.6026409114902</v>
      </c>
      <c r="AE267">
        <v>1030.8836650258406</v>
      </c>
      <c r="AF267">
        <v>1013.1646891401911</v>
      </c>
      <c r="AG267">
        <v>995.44571325454172</v>
      </c>
      <c r="AH267">
        <v>977.72673736889226</v>
      </c>
      <c r="AI267">
        <v>960.0077614832428</v>
      </c>
      <c r="AJ267">
        <v>942.28878559759391</v>
      </c>
    </row>
    <row r="268" spans="1:36" x14ac:dyDescent="0.35">
      <c r="A268" t="s">
        <v>1748</v>
      </c>
      <c r="B268" t="s">
        <v>1342</v>
      </c>
      <c r="C268" t="s">
        <v>1348</v>
      </c>
      <c r="D268">
        <v>30</v>
      </c>
      <c r="E268" t="s">
        <v>1742</v>
      </c>
      <c r="F268" t="s">
        <v>1345</v>
      </c>
      <c r="G268" t="s">
        <v>1747</v>
      </c>
      <c r="H268">
        <v>3182.9957314709854</v>
      </c>
      <c r="I268">
        <v>2682.1846272586527</v>
      </c>
      <c r="J268">
        <v>2600.5763395800877</v>
      </c>
      <c r="K268">
        <v>2518.9680519015233</v>
      </c>
      <c r="L268">
        <v>2437.3597642229583</v>
      </c>
      <c r="M268">
        <v>2355.7514765443939</v>
      </c>
      <c r="N268">
        <v>2274.1431888658294</v>
      </c>
      <c r="O268">
        <v>2192.5349011872645</v>
      </c>
      <c r="P268">
        <v>2110.9266135087</v>
      </c>
      <c r="Q268">
        <v>2029.3183258301353</v>
      </c>
      <c r="R268">
        <v>1947.7100381515709</v>
      </c>
      <c r="S268">
        <v>1866.1017504730064</v>
      </c>
      <c r="T268">
        <v>1784.4934627944419</v>
      </c>
      <c r="U268">
        <v>1702.8851751158791</v>
      </c>
      <c r="V268">
        <v>1669.8977250336429</v>
      </c>
      <c r="W268">
        <v>1636.9102749514066</v>
      </c>
      <c r="X268">
        <v>1603.9228248691704</v>
      </c>
      <c r="Y268">
        <v>1570.9353747869341</v>
      </c>
      <c r="Z268">
        <v>1537.9479247046979</v>
      </c>
      <c r="AA268">
        <v>1504.9604746224616</v>
      </c>
      <c r="AB268">
        <v>1471.9730245402254</v>
      </c>
      <c r="AC268">
        <v>1438.9855744579891</v>
      </c>
      <c r="AD268">
        <v>1405.9981243757529</v>
      </c>
      <c r="AE268">
        <v>1373.0106742935166</v>
      </c>
      <c r="AF268">
        <v>1340.0232242112804</v>
      </c>
      <c r="AG268">
        <v>1307.0357741290441</v>
      </c>
      <c r="AH268">
        <v>1274.0483240468079</v>
      </c>
      <c r="AI268">
        <v>1241.0608739645716</v>
      </c>
      <c r="AJ268">
        <v>1208.0734238823359</v>
      </c>
    </row>
    <row r="269" spans="1:36" x14ac:dyDescent="0.35">
      <c r="A269" t="s">
        <v>1749</v>
      </c>
      <c r="B269" t="s">
        <v>1342</v>
      </c>
      <c r="C269" t="s">
        <v>1350</v>
      </c>
      <c r="D269">
        <v>30</v>
      </c>
      <c r="E269" t="s">
        <v>1742</v>
      </c>
      <c r="F269" t="s">
        <v>1345</v>
      </c>
      <c r="G269" t="s">
        <v>1747</v>
      </c>
      <c r="H269">
        <v>3182.9957314709854</v>
      </c>
      <c r="I269">
        <v>2682.1846272586527</v>
      </c>
      <c r="J269">
        <v>2659.2114918531179</v>
      </c>
      <c r="K269">
        <v>2636.2383564475831</v>
      </c>
      <c r="L269">
        <v>2613.2652210420483</v>
      </c>
      <c r="M269">
        <v>2590.2920856365135</v>
      </c>
      <c r="N269">
        <v>2567.3189502309792</v>
      </c>
      <c r="O269">
        <v>2544.3458148254444</v>
      </c>
      <c r="P269">
        <v>2521.3726794199097</v>
      </c>
      <c r="Q269">
        <v>2498.3995440143749</v>
      </c>
      <c r="R269">
        <v>2475.4264086088401</v>
      </c>
      <c r="S269">
        <v>2452.4532732033053</v>
      </c>
      <c r="T269">
        <v>2429.480137797771</v>
      </c>
      <c r="U269">
        <v>2406.5070023922358</v>
      </c>
      <c r="V269">
        <v>2359.5988805738116</v>
      </c>
      <c r="W269">
        <v>2312.6907587553878</v>
      </c>
      <c r="X269">
        <v>2265.7826369369636</v>
      </c>
      <c r="Y269">
        <v>2218.8745151185399</v>
      </c>
      <c r="Z269">
        <v>2171.9663933001157</v>
      </c>
      <c r="AA269">
        <v>2125.0582714816919</v>
      </c>
      <c r="AB269">
        <v>2078.1501496632682</v>
      </c>
      <c r="AC269">
        <v>2031.242027844844</v>
      </c>
      <c r="AD269">
        <v>1984.3339060264202</v>
      </c>
      <c r="AE269">
        <v>1937.4257842079965</v>
      </c>
      <c r="AF269">
        <v>1890.5176623895727</v>
      </c>
      <c r="AG269">
        <v>1843.609540571149</v>
      </c>
      <c r="AH269">
        <v>1796.7014187527252</v>
      </c>
      <c r="AI269">
        <v>1749.7932969343015</v>
      </c>
      <c r="AJ269">
        <v>1702.8851751158791</v>
      </c>
    </row>
    <row r="270" spans="1:36" x14ac:dyDescent="0.35">
      <c r="A270" t="s">
        <v>1750</v>
      </c>
      <c r="B270" t="s">
        <v>1342</v>
      </c>
      <c r="C270" t="s">
        <v>1343</v>
      </c>
      <c r="D270">
        <v>30</v>
      </c>
      <c r="E270" t="s">
        <v>1742</v>
      </c>
      <c r="F270" t="s">
        <v>1352</v>
      </c>
      <c r="G270" t="s">
        <v>1751</v>
      </c>
      <c r="H270">
        <v>3182.9957314709854</v>
      </c>
      <c r="I270">
        <v>2682.1846272586527</v>
      </c>
      <c r="J270">
        <v>2559.3420269772928</v>
      </c>
      <c r="K270">
        <v>2436.4994266959334</v>
      </c>
      <c r="L270">
        <v>2313.6568264145735</v>
      </c>
      <c r="M270">
        <v>2190.8142261332141</v>
      </c>
      <c r="N270">
        <v>2067.9716258518542</v>
      </c>
      <c r="O270">
        <v>1945.1290255704948</v>
      </c>
      <c r="P270">
        <v>1822.2864252891352</v>
      </c>
      <c r="Q270">
        <v>1699.4438250077756</v>
      </c>
      <c r="R270">
        <v>1576.6012247264159</v>
      </c>
      <c r="S270">
        <v>1453.7586244450563</v>
      </c>
      <c r="T270">
        <v>1330.9160241636966</v>
      </c>
      <c r="U270">
        <v>1208.0734238823359</v>
      </c>
      <c r="V270">
        <v>1190.3544479966863</v>
      </c>
      <c r="W270">
        <v>1172.6354721110367</v>
      </c>
      <c r="X270">
        <v>1154.9164962253874</v>
      </c>
      <c r="Y270">
        <v>1137.1975203397378</v>
      </c>
      <c r="Z270">
        <v>1119.4785444540883</v>
      </c>
      <c r="AA270">
        <v>1101.7595685684387</v>
      </c>
      <c r="AB270">
        <v>1084.0405926827891</v>
      </c>
      <c r="AC270">
        <v>1066.3216167971398</v>
      </c>
      <c r="AD270">
        <v>1048.6026409114902</v>
      </c>
      <c r="AE270">
        <v>1030.8836650258406</v>
      </c>
      <c r="AF270">
        <v>1013.1646891401911</v>
      </c>
      <c r="AG270">
        <v>995.44571325454172</v>
      </c>
      <c r="AH270">
        <v>977.72673736889226</v>
      </c>
      <c r="AI270">
        <v>960.0077614832428</v>
      </c>
      <c r="AJ270">
        <v>942.28878559759391</v>
      </c>
    </row>
    <row r="271" spans="1:36" x14ac:dyDescent="0.35">
      <c r="A271" t="s">
        <v>1752</v>
      </c>
      <c r="B271" t="s">
        <v>1342</v>
      </c>
      <c r="C271" t="s">
        <v>1348</v>
      </c>
      <c r="D271">
        <v>30</v>
      </c>
      <c r="E271" t="s">
        <v>1742</v>
      </c>
      <c r="F271" t="s">
        <v>1352</v>
      </c>
      <c r="G271" t="s">
        <v>1751</v>
      </c>
      <c r="H271">
        <v>3182.9957314709854</v>
      </c>
      <c r="I271">
        <v>2682.1846272586527</v>
      </c>
      <c r="J271">
        <v>2600.5763395800877</v>
      </c>
      <c r="K271">
        <v>2518.9680519015233</v>
      </c>
      <c r="L271">
        <v>2437.3597642229583</v>
      </c>
      <c r="M271">
        <v>2355.7514765443939</v>
      </c>
      <c r="N271">
        <v>2274.1431888658294</v>
      </c>
      <c r="O271">
        <v>2192.5349011872645</v>
      </c>
      <c r="P271">
        <v>2110.9266135087</v>
      </c>
      <c r="Q271">
        <v>2029.3183258301353</v>
      </c>
      <c r="R271">
        <v>1947.7100381515709</v>
      </c>
      <c r="S271">
        <v>1866.1017504730064</v>
      </c>
      <c r="T271">
        <v>1784.4934627944419</v>
      </c>
      <c r="U271">
        <v>1702.8851751158791</v>
      </c>
      <c r="V271">
        <v>1669.8977250336429</v>
      </c>
      <c r="W271">
        <v>1636.9102749514066</v>
      </c>
      <c r="X271">
        <v>1603.9228248691704</v>
      </c>
      <c r="Y271">
        <v>1570.9353747869341</v>
      </c>
      <c r="Z271">
        <v>1537.9479247046979</v>
      </c>
      <c r="AA271">
        <v>1504.9604746224616</v>
      </c>
      <c r="AB271">
        <v>1471.9730245402254</v>
      </c>
      <c r="AC271">
        <v>1438.9855744579891</v>
      </c>
      <c r="AD271">
        <v>1405.9981243757529</v>
      </c>
      <c r="AE271">
        <v>1373.0106742935166</v>
      </c>
      <c r="AF271">
        <v>1340.0232242112804</v>
      </c>
      <c r="AG271">
        <v>1307.0357741290441</v>
      </c>
      <c r="AH271">
        <v>1274.0483240468079</v>
      </c>
      <c r="AI271">
        <v>1241.0608739645716</v>
      </c>
      <c r="AJ271">
        <v>1208.0734238823359</v>
      </c>
    </row>
    <row r="272" spans="1:36" x14ac:dyDescent="0.35">
      <c r="A272" t="s">
        <v>1753</v>
      </c>
      <c r="B272" t="s">
        <v>1342</v>
      </c>
      <c r="C272" t="s">
        <v>1350</v>
      </c>
      <c r="D272">
        <v>30</v>
      </c>
      <c r="E272" t="s">
        <v>1742</v>
      </c>
      <c r="F272" t="s">
        <v>1352</v>
      </c>
      <c r="G272" t="s">
        <v>1751</v>
      </c>
      <c r="H272">
        <v>3182.9957314709854</v>
      </c>
      <c r="I272">
        <v>2682.1846272586527</v>
      </c>
      <c r="J272">
        <v>2659.2114918531179</v>
      </c>
      <c r="K272">
        <v>2636.2383564475831</v>
      </c>
      <c r="L272">
        <v>2613.2652210420483</v>
      </c>
      <c r="M272">
        <v>2590.2920856365135</v>
      </c>
      <c r="N272">
        <v>2567.3189502309792</v>
      </c>
      <c r="O272">
        <v>2544.3458148254444</v>
      </c>
      <c r="P272">
        <v>2521.3726794199097</v>
      </c>
      <c r="Q272">
        <v>2498.3995440143749</v>
      </c>
      <c r="R272">
        <v>2475.4264086088401</v>
      </c>
      <c r="S272">
        <v>2452.4532732033053</v>
      </c>
      <c r="T272">
        <v>2429.480137797771</v>
      </c>
      <c r="U272">
        <v>2406.5070023922358</v>
      </c>
      <c r="V272">
        <v>2359.5988805738116</v>
      </c>
      <c r="W272">
        <v>2312.6907587553878</v>
      </c>
      <c r="X272">
        <v>2265.7826369369636</v>
      </c>
      <c r="Y272">
        <v>2218.8745151185399</v>
      </c>
      <c r="Z272">
        <v>2171.9663933001157</v>
      </c>
      <c r="AA272">
        <v>2125.0582714816919</v>
      </c>
      <c r="AB272">
        <v>2078.1501496632682</v>
      </c>
      <c r="AC272">
        <v>2031.242027844844</v>
      </c>
      <c r="AD272">
        <v>1984.3339060264202</v>
      </c>
      <c r="AE272">
        <v>1937.4257842079965</v>
      </c>
      <c r="AF272">
        <v>1890.5176623895727</v>
      </c>
      <c r="AG272">
        <v>1843.609540571149</v>
      </c>
      <c r="AH272">
        <v>1796.7014187527252</v>
      </c>
      <c r="AI272">
        <v>1749.7932969343015</v>
      </c>
      <c r="AJ272">
        <v>1702.8851751158791</v>
      </c>
    </row>
    <row r="273" spans="1:36" x14ac:dyDescent="0.35">
      <c r="A273" t="s">
        <v>1754</v>
      </c>
      <c r="B273" t="s">
        <v>1342</v>
      </c>
      <c r="C273" t="s">
        <v>1343</v>
      </c>
      <c r="D273">
        <v>30</v>
      </c>
      <c r="E273" t="s">
        <v>1742</v>
      </c>
      <c r="F273" t="s">
        <v>1376</v>
      </c>
      <c r="G273" t="s">
        <v>1755</v>
      </c>
      <c r="H273">
        <v>3182.9957314709854</v>
      </c>
      <c r="I273">
        <v>2682.1846272586527</v>
      </c>
      <c r="J273">
        <v>2559.3420269772928</v>
      </c>
      <c r="K273">
        <v>2436.4994266959334</v>
      </c>
      <c r="L273">
        <v>2313.6568264145735</v>
      </c>
      <c r="M273">
        <v>2190.8142261332141</v>
      </c>
      <c r="N273">
        <v>2067.9716258518542</v>
      </c>
      <c r="O273">
        <v>1945.1290255704948</v>
      </c>
      <c r="P273">
        <v>1822.2864252891352</v>
      </c>
      <c r="Q273">
        <v>1699.4438250077756</v>
      </c>
      <c r="R273">
        <v>1576.6012247264159</v>
      </c>
      <c r="S273">
        <v>1453.7586244450563</v>
      </c>
      <c r="T273">
        <v>1330.9160241636966</v>
      </c>
      <c r="U273">
        <v>1208.0734238823359</v>
      </c>
      <c r="V273">
        <v>1190.3544479966863</v>
      </c>
      <c r="W273">
        <v>1172.6354721110367</v>
      </c>
      <c r="X273">
        <v>1154.9164962253874</v>
      </c>
      <c r="Y273">
        <v>1137.1975203397378</v>
      </c>
      <c r="Z273">
        <v>1119.4785444540883</v>
      </c>
      <c r="AA273">
        <v>1101.7595685684387</v>
      </c>
      <c r="AB273">
        <v>1084.0405926827891</v>
      </c>
      <c r="AC273">
        <v>1066.3216167971398</v>
      </c>
      <c r="AD273">
        <v>1048.6026409114902</v>
      </c>
      <c r="AE273">
        <v>1030.8836650258406</v>
      </c>
      <c r="AF273">
        <v>1013.1646891401911</v>
      </c>
      <c r="AG273">
        <v>995.44571325454172</v>
      </c>
      <c r="AH273">
        <v>977.72673736889226</v>
      </c>
      <c r="AI273">
        <v>960.0077614832428</v>
      </c>
      <c r="AJ273">
        <v>942.28878559759391</v>
      </c>
    </row>
    <row r="274" spans="1:36" x14ac:dyDescent="0.35">
      <c r="A274" t="s">
        <v>1756</v>
      </c>
      <c r="B274" t="s">
        <v>1342</v>
      </c>
      <c r="C274" t="s">
        <v>1348</v>
      </c>
      <c r="D274">
        <v>30</v>
      </c>
      <c r="E274" t="s">
        <v>1742</v>
      </c>
      <c r="F274" t="s">
        <v>1376</v>
      </c>
      <c r="G274" t="s">
        <v>1755</v>
      </c>
      <c r="H274">
        <v>3182.9957314709854</v>
      </c>
      <c r="I274">
        <v>2682.1846272586527</v>
      </c>
      <c r="J274">
        <v>2600.5763395800877</v>
      </c>
      <c r="K274">
        <v>2518.9680519015233</v>
      </c>
      <c r="L274">
        <v>2437.3597642229583</v>
      </c>
      <c r="M274">
        <v>2355.7514765443939</v>
      </c>
      <c r="N274">
        <v>2274.1431888658294</v>
      </c>
      <c r="O274">
        <v>2192.5349011872645</v>
      </c>
      <c r="P274">
        <v>2110.9266135087</v>
      </c>
      <c r="Q274">
        <v>2029.3183258301353</v>
      </c>
      <c r="R274">
        <v>1947.7100381515709</v>
      </c>
      <c r="S274">
        <v>1866.1017504730064</v>
      </c>
      <c r="T274">
        <v>1784.4934627944419</v>
      </c>
      <c r="U274">
        <v>1702.8851751158791</v>
      </c>
      <c r="V274">
        <v>1669.8977250336429</v>
      </c>
      <c r="W274">
        <v>1636.9102749514066</v>
      </c>
      <c r="X274">
        <v>1603.9228248691704</v>
      </c>
      <c r="Y274">
        <v>1570.9353747869341</v>
      </c>
      <c r="Z274">
        <v>1537.9479247046979</v>
      </c>
      <c r="AA274">
        <v>1504.9604746224616</v>
      </c>
      <c r="AB274">
        <v>1471.9730245402254</v>
      </c>
      <c r="AC274">
        <v>1438.9855744579891</v>
      </c>
      <c r="AD274">
        <v>1405.9981243757529</v>
      </c>
      <c r="AE274">
        <v>1373.0106742935166</v>
      </c>
      <c r="AF274">
        <v>1340.0232242112804</v>
      </c>
      <c r="AG274">
        <v>1307.0357741290441</v>
      </c>
      <c r="AH274">
        <v>1274.0483240468079</v>
      </c>
      <c r="AI274">
        <v>1241.0608739645716</v>
      </c>
      <c r="AJ274">
        <v>1208.0734238823359</v>
      </c>
    </row>
    <row r="275" spans="1:36" x14ac:dyDescent="0.35">
      <c r="A275" t="s">
        <v>1757</v>
      </c>
      <c r="B275" t="s">
        <v>1342</v>
      </c>
      <c r="C275" t="s">
        <v>1350</v>
      </c>
      <c r="D275">
        <v>30</v>
      </c>
      <c r="E275" t="s">
        <v>1742</v>
      </c>
      <c r="F275" t="s">
        <v>1376</v>
      </c>
      <c r="G275" t="s">
        <v>1755</v>
      </c>
      <c r="H275">
        <v>3182.9957314709854</v>
      </c>
      <c r="I275">
        <v>2682.1846272586527</v>
      </c>
      <c r="J275">
        <v>2659.2114918531179</v>
      </c>
      <c r="K275">
        <v>2636.2383564475831</v>
      </c>
      <c r="L275">
        <v>2613.2652210420483</v>
      </c>
      <c r="M275">
        <v>2590.2920856365135</v>
      </c>
      <c r="N275">
        <v>2567.3189502309792</v>
      </c>
      <c r="O275">
        <v>2544.3458148254444</v>
      </c>
      <c r="P275">
        <v>2521.3726794199097</v>
      </c>
      <c r="Q275">
        <v>2498.3995440143749</v>
      </c>
      <c r="R275">
        <v>2475.4264086088401</v>
      </c>
      <c r="S275">
        <v>2452.4532732033053</v>
      </c>
      <c r="T275">
        <v>2429.480137797771</v>
      </c>
      <c r="U275">
        <v>2406.5070023922358</v>
      </c>
      <c r="V275">
        <v>2359.5988805738116</v>
      </c>
      <c r="W275">
        <v>2312.6907587553878</v>
      </c>
      <c r="X275">
        <v>2265.7826369369636</v>
      </c>
      <c r="Y275">
        <v>2218.8745151185399</v>
      </c>
      <c r="Z275">
        <v>2171.9663933001157</v>
      </c>
      <c r="AA275">
        <v>2125.0582714816919</v>
      </c>
      <c r="AB275">
        <v>2078.1501496632682</v>
      </c>
      <c r="AC275">
        <v>2031.242027844844</v>
      </c>
      <c r="AD275">
        <v>1984.3339060264202</v>
      </c>
      <c r="AE275">
        <v>1937.4257842079965</v>
      </c>
      <c r="AF275">
        <v>1890.5176623895727</v>
      </c>
      <c r="AG275">
        <v>1843.609540571149</v>
      </c>
      <c r="AH275">
        <v>1796.7014187527252</v>
      </c>
      <c r="AI275">
        <v>1749.7932969343015</v>
      </c>
      <c r="AJ275">
        <v>1702.8851751158791</v>
      </c>
    </row>
    <row r="276" spans="1:36" x14ac:dyDescent="0.35">
      <c r="A276" t="s">
        <v>1758</v>
      </c>
      <c r="B276" t="s">
        <v>1342</v>
      </c>
      <c r="C276" t="s">
        <v>1343</v>
      </c>
      <c r="D276">
        <v>30</v>
      </c>
      <c r="E276" t="s">
        <v>1742</v>
      </c>
      <c r="F276" t="s">
        <v>1381</v>
      </c>
      <c r="G276" t="s">
        <v>1759</v>
      </c>
      <c r="H276">
        <v>3182.9957314709854</v>
      </c>
      <c r="I276">
        <v>2682.1846272586527</v>
      </c>
      <c r="J276">
        <v>2559.3420269772928</v>
      </c>
      <c r="K276">
        <v>2436.4994266959334</v>
      </c>
      <c r="L276">
        <v>2313.6568264145735</v>
      </c>
      <c r="M276">
        <v>2190.8142261332141</v>
      </c>
      <c r="N276">
        <v>2067.9716258518542</v>
      </c>
      <c r="O276">
        <v>1945.1290255704948</v>
      </c>
      <c r="P276">
        <v>1822.2864252891352</v>
      </c>
      <c r="Q276">
        <v>1699.4438250077756</v>
      </c>
      <c r="R276">
        <v>1576.6012247264159</v>
      </c>
      <c r="S276">
        <v>1453.7586244450563</v>
      </c>
      <c r="T276">
        <v>1330.9160241636966</v>
      </c>
      <c r="U276">
        <v>1208.0734238823359</v>
      </c>
      <c r="V276">
        <v>1190.3544479966863</v>
      </c>
      <c r="W276">
        <v>1172.6354721110367</v>
      </c>
      <c r="X276">
        <v>1154.9164962253874</v>
      </c>
      <c r="Y276">
        <v>1137.1975203397378</v>
      </c>
      <c r="Z276">
        <v>1119.4785444540883</v>
      </c>
      <c r="AA276">
        <v>1101.7595685684387</v>
      </c>
      <c r="AB276">
        <v>1084.0405926827891</v>
      </c>
      <c r="AC276">
        <v>1066.3216167971398</v>
      </c>
      <c r="AD276">
        <v>1048.6026409114902</v>
      </c>
      <c r="AE276">
        <v>1030.8836650258406</v>
      </c>
      <c r="AF276">
        <v>1013.1646891401911</v>
      </c>
      <c r="AG276">
        <v>995.44571325454172</v>
      </c>
      <c r="AH276">
        <v>977.72673736889226</v>
      </c>
      <c r="AI276">
        <v>960.0077614832428</v>
      </c>
      <c r="AJ276">
        <v>942.28878559759391</v>
      </c>
    </row>
    <row r="277" spans="1:36" x14ac:dyDescent="0.35">
      <c r="A277" t="s">
        <v>1760</v>
      </c>
      <c r="B277" t="s">
        <v>1342</v>
      </c>
      <c r="C277" t="s">
        <v>1348</v>
      </c>
      <c r="D277">
        <v>30</v>
      </c>
      <c r="E277" t="s">
        <v>1742</v>
      </c>
      <c r="F277" t="s">
        <v>1381</v>
      </c>
      <c r="G277" t="s">
        <v>1759</v>
      </c>
      <c r="H277">
        <v>3182.9957314709854</v>
      </c>
      <c r="I277">
        <v>2682.1846272586527</v>
      </c>
      <c r="J277">
        <v>2600.5763395800877</v>
      </c>
      <c r="K277">
        <v>2518.9680519015233</v>
      </c>
      <c r="L277">
        <v>2437.3597642229583</v>
      </c>
      <c r="M277">
        <v>2355.7514765443939</v>
      </c>
      <c r="N277">
        <v>2274.1431888658294</v>
      </c>
      <c r="O277">
        <v>2192.5349011872645</v>
      </c>
      <c r="P277">
        <v>2110.9266135087</v>
      </c>
      <c r="Q277">
        <v>2029.3183258301353</v>
      </c>
      <c r="R277">
        <v>1947.7100381515709</v>
      </c>
      <c r="S277">
        <v>1866.1017504730064</v>
      </c>
      <c r="T277">
        <v>1784.4934627944419</v>
      </c>
      <c r="U277">
        <v>1702.8851751158791</v>
      </c>
      <c r="V277">
        <v>1669.8977250336429</v>
      </c>
      <c r="W277">
        <v>1636.9102749514066</v>
      </c>
      <c r="X277">
        <v>1603.9228248691704</v>
      </c>
      <c r="Y277">
        <v>1570.9353747869341</v>
      </c>
      <c r="Z277">
        <v>1537.9479247046979</v>
      </c>
      <c r="AA277">
        <v>1504.9604746224616</v>
      </c>
      <c r="AB277">
        <v>1471.9730245402254</v>
      </c>
      <c r="AC277">
        <v>1438.9855744579891</v>
      </c>
      <c r="AD277">
        <v>1405.9981243757529</v>
      </c>
      <c r="AE277">
        <v>1373.0106742935166</v>
      </c>
      <c r="AF277">
        <v>1340.0232242112804</v>
      </c>
      <c r="AG277">
        <v>1307.0357741290441</v>
      </c>
      <c r="AH277">
        <v>1274.0483240468079</v>
      </c>
      <c r="AI277">
        <v>1241.0608739645716</v>
      </c>
      <c r="AJ277">
        <v>1208.0734238823359</v>
      </c>
    </row>
    <row r="278" spans="1:36" x14ac:dyDescent="0.35">
      <c r="A278" t="s">
        <v>1761</v>
      </c>
      <c r="B278" t="s">
        <v>1342</v>
      </c>
      <c r="C278" t="s">
        <v>1350</v>
      </c>
      <c r="D278">
        <v>30</v>
      </c>
      <c r="E278" t="s">
        <v>1742</v>
      </c>
      <c r="F278" t="s">
        <v>1381</v>
      </c>
      <c r="G278" t="s">
        <v>1759</v>
      </c>
      <c r="H278">
        <v>3182.9957314709854</v>
      </c>
      <c r="I278">
        <v>2682.1846272586527</v>
      </c>
      <c r="J278">
        <v>2659.2114918531179</v>
      </c>
      <c r="K278">
        <v>2636.2383564475831</v>
      </c>
      <c r="L278">
        <v>2613.2652210420483</v>
      </c>
      <c r="M278">
        <v>2590.2920856365135</v>
      </c>
      <c r="N278">
        <v>2567.3189502309792</v>
      </c>
      <c r="O278">
        <v>2544.3458148254444</v>
      </c>
      <c r="P278">
        <v>2521.3726794199097</v>
      </c>
      <c r="Q278">
        <v>2498.3995440143749</v>
      </c>
      <c r="R278">
        <v>2475.4264086088401</v>
      </c>
      <c r="S278">
        <v>2452.4532732033053</v>
      </c>
      <c r="T278">
        <v>2429.480137797771</v>
      </c>
      <c r="U278">
        <v>2406.5070023922358</v>
      </c>
      <c r="V278">
        <v>2359.5988805738116</v>
      </c>
      <c r="W278">
        <v>2312.6907587553878</v>
      </c>
      <c r="X278">
        <v>2265.7826369369636</v>
      </c>
      <c r="Y278">
        <v>2218.8745151185399</v>
      </c>
      <c r="Z278">
        <v>2171.9663933001157</v>
      </c>
      <c r="AA278">
        <v>2125.0582714816919</v>
      </c>
      <c r="AB278">
        <v>2078.1501496632682</v>
      </c>
      <c r="AC278">
        <v>2031.242027844844</v>
      </c>
      <c r="AD278">
        <v>1984.3339060264202</v>
      </c>
      <c r="AE278">
        <v>1937.4257842079965</v>
      </c>
      <c r="AF278">
        <v>1890.5176623895727</v>
      </c>
      <c r="AG278">
        <v>1843.609540571149</v>
      </c>
      <c r="AH278">
        <v>1796.7014187527252</v>
      </c>
      <c r="AI278">
        <v>1749.7932969343015</v>
      </c>
      <c r="AJ278">
        <v>1702.8851751158791</v>
      </c>
    </row>
    <row r="279" spans="1:36" x14ac:dyDescent="0.35">
      <c r="A279" t="s">
        <v>1762</v>
      </c>
      <c r="B279" t="s">
        <v>1342</v>
      </c>
      <c r="C279" t="s">
        <v>1343</v>
      </c>
      <c r="D279">
        <v>30</v>
      </c>
      <c r="E279" t="s">
        <v>1742</v>
      </c>
      <c r="F279" t="s">
        <v>1386</v>
      </c>
      <c r="G279" t="s">
        <v>1763</v>
      </c>
      <c r="H279">
        <v>3182.9957314709854</v>
      </c>
      <c r="I279">
        <v>2682.1846272586527</v>
      </c>
      <c r="J279">
        <v>2559.3420269772928</v>
      </c>
      <c r="K279">
        <v>2436.4994266959334</v>
      </c>
      <c r="L279">
        <v>2313.6568264145735</v>
      </c>
      <c r="M279">
        <v>2190.8142261332141</v>
      </c>
      <c r="N279">
        <v>2067.9716258518542</v>
      </c>
      <c r="O279">
        <v>1945.1290255704948</v>
      </c>
      <c r="P279">
        <v>1822.2864252891352</v>
      </c>
      <c r="Q279">
        <v>1699.4438250077756</v>
      </c>
      <c r="R279">
        <v>1576.6012247264159</v>
      </c>
      <c r="S279">
        <v>1453.7586244450563</v>
      </c>
      <c r="T279">
        <v>1330.9160241636966</v>
      </c>
      <c r="U279">
        <v>1208.0734238823359</v>
      </c>
      <c r="V279">
        <v>1190.3544479966863</v>
      </c>
      <c r="W279">
        <v>1172.6354721110367</v>
      </c>
      <c r="X279">
        <v>1154.9164962253874</v>
      </c>
      <c r="Y279">
        <v>1137.1975203397378</v>
      </c>
      <c r="Z279">
        <v>1119.4785444540883</v>
      </c>
      <c r="AA279">
        <v>1101.7595685684387</v>
      </c>
      <c r="AB279">
        <v>1084.0405926827891</v>
      </c>
      <c r="AC279">
        <v>1066.3216167971398</v>
      </c>
      <c r="AD279">
        <v>1048.6026409114902</v>
      </c>
      <c r="AE279">
        <v>1030.8836650258406</v>
      </c>
      <c r="AF279">
        <v>1013.1646891401911</v>
      </c>
      <c r="AG279">
        <v>995.44571325454172</v>
      </c>
      <c r="AH279">
        <v>977.72673736889226</v>
      </c>
      <c r="AI279">
        <v>960.0077614832428</v>
      </c>
      <c r="AJ279">
        <v>942.28878559759391</v>
      </c>
    </row>
    <row r="280" spans="1:36" x14ac:dyDescent="0.35">
      <c r="A280" t="s">
        <v>1764</v>
      </c>
      <c r="B280" t="s">
        <v>1342</v>
      </c>
      <c r="C280" t="s">
        <v>1348</v>
      </c>
      <c r="D280">
        <v>30</v>
      </c>
      <c r="E280" t="s">
        <v>1742</v>
      </c>
      <c r="F280" t="s">
        <v>1386</v>
      </c>
      <c r="G280" t="s">
        <v>1763</v>
      </c>
      <c r="H280">
        <v>3182.9957314709854</v>
      </c>
      <c r="I280">
        <v>2682.1846272586527</v>
      </c>
      <c r="J280">
        <v>2600.5763395800877</v>
      </c>
      <c r="K280">
        <v>2518.9680519015233</v>
      </c>
      <c r="L280">
        <v>2437.3597642229583</v>
      </c>
      <c r="M280">
        <v>2355.7514765443939</v>
      </c>
      <c r="N280">
        <v>2274.1431888658294</v>
      </c>
      <c r="O280">
        <v>2192.5349011872645</v>
      </c>
      <c r="P280">
        <v>2110.9266135087</v>
      </c>
      <c r="Q280">
        <v>2029.3183258301353</v>
      </c>
      <c r="R280">
        <v>1947.7100381515709</v>
      </c>
      <c r="S280">
        <v>1866.1017504730064</v>
      </c>
      <c r="T280">
        <v>1784.4934627944419</v>
      </c>
      <c r="U280">
        <v>1702.8851751158791</v>
      </c>
      <c r="V280">
        <v>1669.8977250336429</v>
      </c>
      <c r="W280">
        <v>1636.9102749514066</v>
      </c>
      <c r="X280">
        <v>1603.9228248691704</v>
      </c>
      <c r="Y280">
        <v>1570.9353747869341</v>
      </c>
      <c r="Z280">
        <v>1537.9479247046979</v>
      </c>
      <c r="AA280">
        <v>1504.9604746224616</v>
      </c>
      <c r="AB280">
        <v>1471.9730245402254</v>
      </c>
      <c r="AC280">
        <v>1438.9855744579891</v>
      </c>
      <c r="AD280">
        <v>1405.9981243757529</v>
      </c>
      <c r="AE280">
        <v>1373.0106742935166</v>
      </c>
      <c r="AF280">
        <v>1340.0232242112804</v>
      </c>
      <c r="AG280">
        <v>1307.0357741290441</v>
      </c>
      <c r="AH280">
        <v>1274.0483240468079</v>
      </c>
      <c r="AI280">
        <v>1241.0608739645716</v>
      </c>
      <c r="AJ280">
        <v>1208.0734238823359</v>
      </c>
    </row>
    <row r="281" spans="1:36" x14ac:dyDescent="0.35">
      <c r="A281" t="s">
        <v>1765</v>
      </c>
      <c r="B281" t="s">
        <v>1342</v>
      </c>
      <c r="C281" t="s">
        <v>1350</v>
      </c>
      <c r="D281">
        <v>30</v>
      </c>
      <c r="E281" t="s">
        <v>1742</v>
      </c>
      <c r="F281" t="s">
        <v>1386</v>
      </c>
      <c r="G281" t="s">
        <v>1763</v>
      </c>
      <c r="H281">
        <v>3182.9957314709854</v>
      </c>
      <c r="I281">
        <v>2682.1846272586527</v>
      </c>
      <c r="J281">
        <v>2659.2114918531179</v>
      </c>
      <c r="K281">
        <v>2636.2383564475831</v>
      </c>
      <c r="L281">
        <v>2613.2652210420483</v>
      </c>
      <c r="M281">
        <v>2590.2920856365135</v>
      </c>
      <c r="N281">
        <v>2567.3189502309792</v>
      </c>
      <c r="O281">
        <v>2544.3458148254444</v>
      </c>
      <c r="P281">
        <v>2521.3726794199097</v>
      </c>
      <c r="Q281">
        <v>2498.3995440143749</v>
      </c>
      <c r="R281">
        <v>2475.4264086088401</v>
      </c>
      <c r="S281">
        <v>2452.4532732033053</v>
      </c>
      <c r="T281">
        <v>2429.480137797771</v>
      </c>
      <c r="U281">
        <v>2406.5070023922358</v>
      </c>
      <c r="V281">
        <v>2359.5988805738116</v>
      </c>
      <c r="W281">
        <v>2312.6907587553878</v>
      </c>
      <c r="X281">
        <v>2265.7826369369636</v>
      </c>
      <c r="Y281">
        <v>2218.8745151185399</v>
      </c>
      <c r="Z281">
        <v>2171.9663933001157</v>
      </c>
      <c r="AA281">
        <v>2125.0582714816919</v>
      </c>
      <c r="AB281">
        <v>2078.1501496632682</v>
      </c>
      <c r="AC281">
        <v>2031.242027844844</v>
      </c>
      <c r="AD281">
        <v>1984.3339060264202</v>
      </c>
      <c r="AE281">
        <v>1937.4257842079965</v>
      </c>
      <c r="AF281">
        <v>1890.5176623895727</v>
      </c>
      <c r="AG281">
        <v>1843.609540571149</v>
      </c>
      <c r="AH281">
        <v>1796.7014187527252</v>
      </c>
      <c r="AI281">
        <v>1749.7932969343015</v>
      </c>
      <c r="AJ281">
        <v>1702.8851751158791</v>
      </c>
    </row>
    <row r="282" spans="1:36" x14ac:dyDescent="0.35">
      <c r="A282" t="s">
        <v>1766</v>
      </c>
      <c r="B282" t="s">
        <v>1342</v>
      </c>
      <c r="C282" t="s">
        <v>1343</v>
      </c>
      <c r="D282">
        <v>30</v>
      </c>
      <c r="E282" t="s">
        <v>1742</v>
      </c>
      <c r="F282" t="s">
        <v>1391</v>
      </c>
      <c r="G282" t="s">
        <v>1767</v>
      </c>
      <c r="H282">
        <v>3182.9957314709854</v>
      </c>
      <c r="I282">
        <v>2682.1846272586527</v>
      </c>
      <c r="J282">
        <v>2559.3420269772928</v>
      </c>
      <c r="K282">
        <v>2436.4994266959334</v>
      </c>
      <c r="L282">
        <v>2313.6568264145735</v>
      </c>
      <c r="M282">
        <v>2190.8142261332141</v>
      </c>
      <c r="N282">
        <v>2067.9716258518542</v>
      </c>
      <c r="O282">
        <v>1945.1290255704948</v>
      </c>
      <c r="P282">
        <v>1822.2864252891352</v>
      </c>
      <c r="Q282">
        <v>1699.4438250077756</v>
      </c>
      <c r="R282">
        <v>1576.6012247264159</v>
      </c>
      <c r="S282">
        <v>1453.7586244450563</v>
      </c>
      <c r="T282">
        <v>1330.9160241636966</v>
      </c>
      <c r="U282">
        <v>1208.0734238823359</v>
      </c>
      <c r="V282">
        <v>1190.3544479966863</v>
      </c>
      <c r="W282">
        <v>1172.6354721110367</v>
      </c>
      <c r="X282">
        <v>1154.9164962253874</v>
      </c>
      <c r="Y282">
        <v>1137.1975203397378</v>
      </c>
      <c r="Z282">
        <v>1119.4785444540883</v>
      </c>
      <c r="AA282">
        <v>1101.7595685684387</v>
      </c>
      <c r="AB282">
        <v>1084.0405926827891</v>
      </c>
      <c r="AC282">
        <v>1066.3216167971398</v>
      </c>
      <c r="AD282">
        <v>1048.6026409114902</v>
      </c>
      <c r="AE282">
        <v>1030.8836650258406</v>
      </c>
      <c r="AF282">
        <v>1013.1646891401911</v>
      </c>
      <c r="AG282">
        <v>995.44571325454172</v>
      </c>
      <c r="AH282">
        <v>977.72673736889226</v>
      </c>
      <c r="AI282">
        <v>960.0077614832428</v>
      </c>
      <c r="AJ282">
        <v>942.28878559759391</v>
      </c>
    </row>
    <row r="283" spans="1:36" x14ac:dyDescent="0.35">
      <c r="A283" t="s">
        <v>1768</v>
      </c>
      <c r="B283" t="s">
        <v>1342</v>
      </c>
      <c r="C283" t="s">
        <v>1348</v>
      </c>
      <c r="D283">
        <v>30</v>
      </c>
      <c r="E283" t="s">
        <v>1742</v>
      </c>
      <c r="F283" t="s">
        <v>1391</v>
      </c>
      <c r="G283" t="s">
        <v>1767</v>
      </c>
      <c r="H283">
        <v>3182.9957314709854</v>
      </c>
      <c r="I283">
        <v>2682.1846272586527</v>
      </c>
      <c r="J283">
        <v>2600.5763395800877</v>
      </c>
      <c r="K283">
        <v>2518.9680519015233</v>
      </c>
      <c r="L283">
        <v>2437.3597642229583</v>
      </c>
      <c r="M283">
        <v>2355.7514765443939</v>
      </c>
      <c r="N283">
        <v>2274.1431888658294</v>
      </c>
      <c r="O283">
        <v>2192.5349011872645</v>
      </c>
      <c r="P283">
        <v>2110.9266135087</v>
      </c>
      <c r="Q283">
        <v>2029.3183258301353</v>
      </c>
      <c r="R283">
        <v>1947.7100381515709</v>
      </c>
      <c r="S283">
        <v>1866.1017504730064</v>
      </c>
      <c r="T283">
        <v>1784.4934627944419</v>
      </c>
      <c r="U283">
        <v>1702.8851751158791</v>
      </c>
      <c r="V283">
        <v>1669.8977250336429</v>
      </c>
      <c r="W283">
        <v>1636.9102749514066</v>
      </c>
      <c r="X283">
        <v>1603.9228248691704</v>
      </c>
      <c r="Y283">
        <v>1570.9353747869341</v>
      </c>
      <c r="Z283">
        <v>1537.9479247046979</v>
      </c>
      <c r="AA283">
        <v>1504.9604746224616</v>
      </c>
      <c r="AB283">
        <v>1471.9730245402254</v>
      </c>
      <c r="AC283">
        <v>1438.9855744579891</v>
      </c>
      <c r="AD283">
        <v>1405.9981243757529</v>
      </c>
      <c r="AE283">
        <v>1373.0106742935166</v>
      </c>
      <c r="AF283">
        <v>1340.0232242112804</v>
      </c>
      <c r="AG283">
        <v>1307.0357741290441</v>
      </c>
      <c r="AH283">
        <v>1274.0483240468079</v>
      </c>
      <c r="AI283">
        <v>1241.0608739645716</v>
      </c>
      <c r="AJ283">
        <v>1208.0734238823359</v>
      </c>
    </row>
    <row r="284" spans="1:36" x14ac:dyDescent="0.35">
      <c r="A284" t="s">
        <v>1769</v>
      </c>
      <c r="B284" t="s">
        <v>1342</v>
      </c>
      <c r="C284" t="s">
        <v>1350</v>
      </c>
      <c r="D284">
        <v>30</v>
      </c>
      <c r="E284" t="s">
        <v>1742</v>
      </c>
      <c r="F284" t="s">
        <v>1391</v>
      </c>
      <c r="G284" t="s">
        <v>1767</v>
      </c>
      <c r="H284">
        <v>3182.9957314709854</v>
      </c>
      <c r="I284">
        <v>2682.1846272586527</v>
      </c>
      <c r="J284">
        <v>2659.2114918531179</v>
      </c>
      <c r="K284">
        <v>2636.2383564475831</v>
      </c>
      <c r="L284">
        <v>2613.2652210420483</v>
      </c>
      <c r="M284">
        <v>2590.2920856365135</v>
      </c>
      <c r="N284">
        <v>2567.3189502309792</v>
      </c>
      <c r="O284">
        <v>2544.3458148254444</v>
      </c>
      <c r="P284">
        <v>2521.3726794199097</v>
      </c>
      <c r="Q284">
        <v>2498.3995440143749</v>
      </c>
      <c r="R284">
        <v>2475.4264086088401</v>
      </c>
      <c r="S284">
        <v>2452.4532732033053</v>
      </c>
      <c r="T284">
        <v>2429.480137797771</v>
      </c>
      <c r="U284">
        <v>2406.5070023922358</v>
      </c>
      <c r="V284">
        <v>2359.5988805738116</v>
      </c>
      <c r="W284">
        <v>2312.6907587553878</v>
      </c>
      <c r="X284">
        <v>2265.7826369369636</v>
      </c>
      <c r="Y284">
        <v>2218.8745151185399</v>
      </c>
      <c r="Z284">
        <v>2171.9663933001157</v>
      </c>
      <c r="AA284">
        <v>2125.0582714816919</v>
      </c>
      <c r="AB284">
        <v>2078.1501496632682</v>
      </c>
      <c r="AC284">
        <v>2031.242027844844</v>
      </c>
      <c r="AD284">
        <v>1984.3339060264202</v>
      </c>
      <c r="AE284">
        <v>1937.4257842079965</v>
      </c>
      <c r="AF284">
        <v>1890.5176623895727</v>
      </c>
      <c r="AG284">
        <v>1843.609540571149</v>
      </c>
      <c r="AH284">
        <v>1796.7014187527252</v>
      </c>
      <c r="AI284">
        <v>1749.7932969343015</v>
      </c>
      <c r="AJ284">
        <v>1702.8851751158791</v>
      </c>
    </row>
    <row r="285" spans="1:36" x14ac:dyDescent="0.35">
      <c r="A285" t="s">
        <v>1770</v>
      </c>
      <c r="B285" t="s">
        <v>1342</v>
      </c>
      <c r="C285" t="s">
        <v>1343</v>
      </c>
      <c r="D285">
        <v>30</v>
      </c>
      <c r="E285" t="s">
        <v>1742</v>
      </c>
      <c r="F285" t="s">
        <v>1357</v>
      </c>
      <c r="G285" t="s">
        <v>1771</v>
      </c>
      <c r="H285">
        <v>3182.9957314709854</v>
      </c>
      <c r="I285">
        <v>2682.1846272586527</v>
      </c>
      <c r="J285">
        <v>2559.3420269772928</v>
      </c>
      <c r="K285">
        <v>2436.4994266959334</v>
      </c>
      <c r="L285">
        <v>2313.6568264145735</v>
      </c>
      <c r="M285">
        <v>2190.8142261332141</v>
      </c>
      <c r="N285">
        <v>2067.9716258518542</v>
      </c>
      <c r="O285">
        <v>1945.1290255704948</v>
      </c>
      <c r="P285">
        <v>1822.2864252891352</v>
      </c>
      <c r="Q285">
        <v>1699.4438250077756</v>
      </c>
      <c r="R285">
        <v>1576.6012247264159</v>
      </c>
      <c r="S285">
        <v>1453.7586244450563</v>
      </c>
      <c r="T285">
        <v>1330.9160241636966</v>
      </c>
      <c r="U285">
        <v>1208.0734238823359</v>
      </c>
      <c r="V285">
        <v>1190.3544479966863</v>
      </c>
      <c r="W285">
        <v>1172.6354721110367</v>
      </c>
      <c r="X285">
        <v>1154.9164962253874</v>
      </c>
      <c r="Y285">
        <v>1137.1975203397378</v>
      </c>
      <c r="Z285">
        <v>1119.4785444540883</v>
      </c>
      <c r="AA285">
        <v>1101.7595685684387</v>
      </c>
      <c r="AB285">
        <v>1084.0405926827891</v>
      </c>
      <c r="AC285">
        <v>1066.3216167971398</v>
      </c>
      <c r="AD285">
        <v>1048.6026409114902</v>
      </c>
      <c r="AE285">
        <v>1030.8836650258406</v>
      </c>
      <c r="AF285">
        <v>1013.1646891401911</v>
      </c>
      <c r="AG285">
        <v>995.44571325454172</v>
      </c>
      <c r="AH285">
        <v>977.72673736889226</v>
      </c>
      <c r="AI285">
        <v>960.0077614832428</v>
      </c>
      <c r="AJ285">
        <v>942.28878559759391</v>
      </c>
    </row>
    <row r="286" spans="1:36" x14ac:dyDescent="0.35">
      <c r="A286" t="s">
        <v>1772</v>
      </c>
      <c r="B286" t="s">
        <v>1342</v>
      </c>
      <c r="C286" t="s">
        <v>1348</v>
      </c>
      <c r="D286">
        <v>30</v>
      </c>
      <c r="E286" t="s">
        <v>1742</v>
      </c>
      <c r="F286" t="s">
        <v>1357</v>
      </c>
      <c r="G286" t="s">
        <v>1771</v>
      </c>
      <c r="H286">
        <v>3182.9957314709854</v>
      </c>
      <c r="I286">
        <v>2682.1846272586527</v>
      </c>
      <c r="J286">
        <v>2600.5763395800877</v>
      </c>
      <c r="K286">
        <v>2518.9680519015233</v>
      </c>
      <c r="L286">
        <v>2437.3597642229583</v>
      </c>
      <c r="M286">
        <v>2355.7514765443939</v>
      </c>
      <c r="N286">
        <v>2274.1431888658294</v>
      </c>
      <c r="O286">
        <v>2192.5349011872645</v>
      </c>
      <c r="P286">
        <v>2110.9266135087</v>
      </c>
      <c r="Q286">
        <v>2029.3183258301353</v>
      </c>
      <c r="R286">
        <v>1947.7100381515709</v>
      </c>
      <c r="S286">
        <v>1866.1017504730064</v>
      </c>
      <c r="T286">
        <v>1784.4934627944419</v>
      </c>
      <c r="U286">
        <v>1702.8851751158791</v>
      </c>
      <c r="V286">
        <v>1669.8977250336429</v>
      </c>
      <c r="W286">
        <v>1636.9102749514066</v>
      </c>
      <c r="X286">
        <v>1603.9228248691704</v>
      </c>
      <c r="Y286">
        <v>1570.9353747869341</v>
      </c>
      <c r="Z286">
        <v>1537.9479247046979</v>
      </c>
      <c r="AA286">
        <v>1504.9604746224616</v>
      </c>
      <c r="AB286">
        <v>1471.9730245402254</v>
      </c>
      <c r="AC286">
        <v>1438.9855744579891</v>
      </c>
      <c r="AD286">
        <v>1405.9981243757529</v>
      </c>
      <c r="AE286">
        <v>1373.0106742935166</v>
      </c>
      <c r="AF286">
        <v>1340.0232242112804</v>
      </c>
      <c r="AG286">
        <v>1307.0357741290441</v>
      </c>
      <c r="AH286">
        <v>1274.0483240468079</v>
      </c>
      <c r="AI286">
        <v>1241.0608739645716</v>
      </c>
      <c r="AJ286">
        <v>1208.0734238823359</v>
      </c>
    </row>
    <row r="287" spans="1:36" x14ac:dyDescent="0.35">
      <c r="A287" t="s">
        <v>1773</v>
      </c>
      <c r="B287" t="s">
        <v>1342</v>
      </c>
      <c r="C287" t="s">
        <v>1350</v>
      </c>
      <c r="D287">
        <v>30</v>
      </c>
      <c r="E287" t="s">
        <v>1742</v>
      </c>
      <c r="F287" t="s">
        <v>1357</v>
      </c>
      <c r="G287" t="s">
        <v>1771</v>
      </c>
      <c r="H287">
        <v>3182.9957314709854</v>
      </c>
      <c r="I287">
        <v>2682.1846272586527</v>
      </c>
      <c r="J287">
        <v>2659.2114918531179</v>
      </c>
      <c r="K287">
        <v>2636.2383564475831</v>
      </c>
      <c r="L287">
        <v>2613.2652210420483</v>
      </c>
      <c r="M287">
        <v>2590.2920856365135</v>
      </c>
      <c r="N287">
        <v>2567.3189502309792</v>
      </c>
      <c r="O287">
        <v>2544.3458148254444</v>
      </c>
      <c r="P287">
        <v>2521.3726794199097</v>
      </c>
      <c r="Q287">
        <v>2498.3995440143749</v>
      </c>
      <c r="R287">
        <v>2475.4264086088401</v>
      </c>
      <c r="S287">
        <v>2452.4532732033053</v>
      </c>
      <c r="T287">
        <v>2429.480137797771</v>
      </c>
      <c r="U287">
        <v>2406.5070023922358</v>
      </c>
      <c r="V287">
        <v>2359.5988805738116</v>
      </c>
      <c r="W287">
        <v>2312.6907587553878</v>
      </c>
      <c r="X287">
        <v>2265.7826369369636</v>
      </c>
      <c r="Y287">
        <v>2218.8745151185399</v>
      </c>
      <c r="Z287">
        <v>2171.9663933001157</v>
      </c>
      <c r="AA287">
        <v>2125.0582714816919</v>
      </c>
      <c r="AB287">
        <v>2078.1501496632682</v>
      </c>
      <c r="AC287">
        <v>2031.242027844844</v>
      </c>
      <c r="AD287">
        <v>1984.3339060264202</v>
      </c>
      <c r="AE287">
        <v>1937.4257842079965</v>
      </c>
      <c r="AF287">
        <v>1890.5176623895727</v>
      </c>
      <c r="AG287">
        <v>1843.609540571149</v>
      </c>
      <c r="AH287">
        <v>1796.7014187527252</v>
      </c>
      <c r="AI287">
        <v>1749.7932969343015</v>
      </c>
      <c r="AJ287">
        <v>1702.8851751158791</v>
      </c>
    </row>
    <row r="288" spans="1:36" x14ac:dyDescent="0.35">
      <c r="A288" t="s">
        <v>1774</v>
      </c>
      <c r="B288" t="s">
        <v>1342</v>
      </c>
      <c r="C288" t="s">
        <v>1343</v>
      </c>
      <c r="D288">
        <v>30</v>
      </c>
      <c r="E288" t="s">
        <v>1742</v>
      </c>
      <c r="F288" t="s">
        <v>1400</v>
      </c>
      <c r="G288" t="s">
        <v>1775</v>
      </c>
      <c r="H288">
        <v>3182.9957314709854</v>
      </c>
      <c r="I288">
        <v>2682.1846272586527</v>
      </c>
      <c r="J288">
        <v>2559.3420269772928</v>
      </c>
      <c r="K288">
        <v>2436.4994266959334</v>
      </c>
      <c r="L288">
        <v>2313.6568264145735</v>
      </c>
      <c r="M288">
        <v>2190.8142261332141</v>
      </c>
      <c r="N288">
        <v>2067.9716258518542</v>
      </c>
      <c r="O288">
        <v>1945.1290255704948</v>
      </c>
      <c r="P288">
        <v>1822.2864252891352</v>
      </c>
      <c r="Q288">
        <v>1699.4438250077756</v>
      </c>
      <c r="R288">
        <v>1576.6012247264159</v>
      </c>
      <c r="S288">
        <v>1453.7586244450563</v>
      </c>
      <c r="T288">
        <v>1330.9160241636966</v>
      </c>
      <c r="U288">
        <v>1208.0734238823359</v>
      </c>
      <c r="V288">
        <v>1190.3544479966863</v>
      </c>
      <c r="W288">
        <v>1172.6354721110367</v>
      </c>
      <c r="X288">
        <v>1154.9164962253874</v>
      </c>
      <c r="Y288">
        <v>1137.1975203397378</v>
      </c>
      <c r="Z288">
        <v>1119.4785444540883</v>
      </c>
      <c r="AA288">
        <v>1101.7595685684387</v>
      </c>
      <c r="AB288">
        <v>1084.0405926827891</v>
      </c>
      <c r="AC288">
        <v>1066.3216167971398</v>
      </c>
      <c r="AD288">
        <v>1048.6026409114902</v>
      </c>
      <c r="AE288">
        <v>1030.8836650258406</v>
      </c>
      <c r="AF288">
        <v>1013.1646891401911</v>
      </c>
      <c r="AG288">
        <v>995.44571325454172</v>
      </c>
      <c r="AH288">
        <v>977.72673736889226</v>
      </c>
      <c r="AI288">
        <v>960.0077614832428</v>
      </c>
      <c r="AJ288">
        <v>942.28878559759391</v>
      </c>
    </row>
    <row r="289" spans="1:36" x14ac:dyDescent="0.35">
      <c r="A289" t="s">
        <v>1776</v>
      </c>
      <c r="B289" t="s">
        <v>1342</v>
      </c>
      <c r="C289" t="s">
        <v>1348</v>
      </c>
      <c r="D289">
        <v>30</v>
      </c>
      <c r="E289" t="s">
        <v>1742</v>
      </c>
      <c r="F289" t="s">
        <v>1400</v>
      </c>
      <c r="G289" t="s">
        <v>1775</v>
      </c>
      <c r="H289">
        <v>3182.9957314709854</v>
      </c>
      <c r="I289">
        <v>2682.1846272586527</v>
      </c>
      <c r="J289">
        <v>2600.5763395800877</v>
      </c>
      <c r="K289">
        <v>2518.9680519015233</v>
      </c>
      <c r="L289">
        <v>2437.3597642229583</v>
      </c>
      <c r="M289">
        <v>2355.7514765443939</v>
      </c>
      <c r="N289">
        <v>2274.1431888658294</v>
      </c>
      <c r="O289">
        <v>2192.5349011872645</v>
      </c>
      <c r="P289">
        <v>2110.9266135087</v>
      </c>
      <c r="Q289">
        <v>2029.3183258301353</v>
      </c>
      <c r="R289">
        <v>1947.7100381515709</v>
      </c>
      <c r="S289">
        <v>1866.1017504730064</v>
      </c>
      <c r="T289">
        <v>1784.4934627944419</v>
      </c>
      <c r="U289">
        <v>1702.8851751158791</v>
      </c>
      <c r="V289">
        <v>1669.8977250336429</v>
      </c>
      <c r="W289">
        <v>1636.9102749514066</v>
      </c>
      <c r="X289">
        <v>1603.9228248691704</v>
      </c>
      <c r="Y289">
        <v>1570.9353747869341</v>
      </c>
      <c r="Z289">
        <v>1537.9479247046979</v>
      </c>
      <c r="AA289">
        <v>1504.9604746224616</v>
      </c>
      <c r="AB289">
        <v>1471.9730245402254</v>
      </c>
      <c r="AC289">
        <v>1438.9855744579891</v>
      </c>
      <c r="AD289">
        <v>1405.9981243757529</v>
      </c>
      <c r="AE289">
        <v>1373.0106742935166</v>
      </c>
      <c r="AF289">
        <v>1340.0232242112804</v>
      </c>
      <c r="AG289">
        <v>1307.0357741290441</v>
      </c>
      <c r="AH289">
        <v>1274.0483240468079</v>
      </c>
      <c r="AI289">
        <v>1241.0608739645716</v>
      </c>
      <c r="AJ289">
        <v>1208.0734238823359</v>
      </c>
    </row>
    <row r="290" spans="1:36" x14ac:dyDescent="0.35">
      <c r="A290" t="s">
        <v>1777</v>
      </c>
      <c r="B290" t="s">
        <v>1342</v>
      </c>
      <c r="C290" t="s">
        <v>1350</v>
      </c>
      <c r="D290">
        <v>30</v>
      </c>
      <c r="E290" t="s">
        <v>1742</v>
      </c>
      <c r="F290" t="s">
        <v>1400</v>
      </c>
      <c r="G290" t="s">
        <v>1775</v>
      </c>
      <c r="H290">
        <v>3182.9957314709854</v>
      </c>
      <c r="I290">
        <v>2682.1846272586527</v>
      </c>
      <c r="J290">
        <v>2659.2114918531179</v>
      </c>
      <c r="K290">
        <v>2636.2383564475831</v>
      </c>
      <c r="L290">
        <v>2613.2652210420483</v>
      </c>
      <c r="M290">
        <v>2590.2920856365135</v>
      </c>
      <c r="N290">
        <v>2567.3189502309792</v>
      </c>
      <c r="O290">
        <v>2544.3458148254444</v>
      </c>
      <c r="P290">
        <v>2521.3726794199097</v>
      </c>
      <c r="Q290">
        <v>2498.3995440143749</v>
      </c>
      <c r="R290">
        <v>2475.4264086088401</v>
      </c>
      <c r="S290">
        <v>2452.4532732033053</v>
      </c>
      <c r="T290">
        <v>2429.480137797771</v>
      </c>
      <c r="U290">
        <v>2406.5070023922358</v>
      </c>
      <c r="V290">
        <v>2359.5988805738116</v>
      </c>
      <c r="W290">
        <v>2312.6907587553878</v>
      </c>
      <c r="X290">
        <v>2265.7826369369636</v>
      </c>
      <c r="Y290">
        <v>2218.8745151185399</v>
      </c>
      <c r="Z290">
        <v>2171.9663933001157</v>
      </c>
      <c r="AA290">
        <v>2125.0582714816919</v>
      </c>
      <c r="AB290">
        <v>2078.1501496632682</v>
      </c>
      <c r="AC290">
        <v>2031.242027844844</v>
      </c>
      <c r="AD290">
        <v>1984.3339060264202</v>
      </c>
      <c r="AE290">
        <v>1937.4257842079965</v>
      </c>
      <c r="AF290">
        <v>1890.5176623895727</v>
      </c>
      <c r="AG290">
        <v>1843.609540571149</v>
      </c>
      <c r="AH290">
        <v>1796.7014187527252</v>
      </c>
      <c r="AI290">
        <v>1749.7932969343015</v>
      </c>
      <c r="AJ290">
        <v>1702.8851751158791</v>
      </c>
    </row>
    <row r="291" spans="1:36" x14ac:dyDescent="0.35">
      <c r="A291" t="s">
        <v>1778</v>
      </c>
      <c r="B291" t="s">
        <v>1342</v>
      </c>
      <c r="C291" t="s">
        <v>1343</v>
      </c>
      <c r="D291">
        <v>30</v>
      </c>
      <c r="E291" t="s">
        <v>1742</v>
      </c>
      <c r="F291" t="s">
        <v>1405</v>
      </c>
      <c r="G291" t="s">
        <v>1779</v>
      </c>
      <c r="H291">
        <v>3182.9957314709854</v>
      </c>
      <c r="I291">
        <v>2682.1846272586527</v>
      </c>
      <c r="J291">
        <v>2559.3420269772928</v>
      </c>
      <c r="K291">
        <v>2436.4994266959334</v>
      </c>
      <c r="L291">
        <v>2313.6568264145735</v>
      </c>
      <c r="M291">
        <v>2190.8142261332141</v>
      </c>
      <c r="N291">
        <v>2067.9716258518542</v>
      </c>
      <c r="O291">
        <v>1945.1290255704948</v>
      </c>
      <c r="P291">
        <v>1822.2864252891352</v>
      </c>
      <c r="Q291">
        <v>1699.4438250077756</v>
      </c>
      <c r="R291">
        <v>1576.6012247264159</v>
      </c>
      <c r="S291">
        <v>1453.7586244450563</v>
      </c>
      <c r="T291">
        <v>1330.9160241636966</v>
      </c>
      <c r="U291">
        <v>1208.0734238823359</v>
      </c>
      <c r="V291">
        <v>1190.3544479966863</v>
      </c>
      <c r="W291">
        <v>1172.6354721110367</v>
      </c>
      <c r="X291">
        <v>1154.9164962253874</v>
      </c>
      <c r="Y291">
        <v>1137.1975203397378</v>
      </c>
      <c r="Z291">
        <v>1119.4785444540883</v>
      </c>
      <c r="AA291">
        <v>1101.7595685684387</v>
      </c>
      <c r="AB291">
        <v>1084.0405926827891</v>
      </c>
      <c r="AC291">
        <v>1066.3216167971398</v>
      </c>
      <c r="AD291">
        <v>1048.6026409114902</v>
      </c>
      <c r="AE291">
        <v>1030.8836650258406</v>
      </c>
      <c r="AF291">
        <v>1013.1646891401911</v>
      </c>
      <c r="AG291">
        <v>995.44571325454172</v>
      </c>
      <c r="AH291">
        <v>977.72673736889226</v>
      </c>
      <c r="AI291">
        <v>960.0077614832428</v>
      </c>
      <c r="AJ291">
        <v>942.28878559759391</v>
      </c>
    </row>
    <row r="292" spans="1:36" x14ac:dyDescent="0.35">
      <c r="A292" t="s">
        <v>1780</v>
      </c>
      <c r="B292" t="s">
        <v>1342</v>
      </c>
      <c r="C292" t="s">
        <v>1348</v>
      </c>
      <c r="D292">
        <v>30</v>
      </c>
      <c r="E292" t="s">
        <v>1742</v>
      </c>
      <c r="F292" t="s">
        <v>1405</v>
      </c>
      <c r="G292" t="s">
        <v>1779</v>
      </c>
      <c r="H292">
        <v>3182.9957314709854</v>
      </c>
      <c r="I292">
        <v>2682.1846272586527</v>
      </c>
      <c r="J292">
        <v>2600.5763395800877</v>
      </c>
      <c r="K292">
        <v>2518.9680519015233</v>
      </c>
      <c r="L292">
        <v>2437.3597642229583</v>
      </c>
      <c r="M292">
        <v>2355.7514765443939</v>
      </c>
      <c r="N292">
        <v>2274.1431888658294</v>
      </c>
      <c r="O292">
        <v>2192.5349011872645</v>
      </c>
      <c r="P292">
        <v>2110.9266135087</v>
      </c>
      <c r="Q292">
        <v>2029.3183258301353</v>
      </c>
      <c r="R292">
        <v>1947.7100381515709</v>
      </c>
      <c r="S292">
        <v>1866.1017504730064</v>
      </c>
      <c r="T292">
        <v>1784.4934627944419</v>
      </c>
      <c r="U292">
        <v>1702.8851751158791</v>
      </c>
      <c r="V292">
        <v>1669.8977250336429</v>
      </c>
      <c r="W292">
        <v>1636.9102749514066</v>
      </c>
      <c r="X292">
        <v>1603.9228248691704</v>
      </c>
      <c r="Y292">
        <v>1570.9353747869341</v>
      </c>
      <c r="Z292">
        <v>1537.9479247046979</v>
      </c>
      <c r="AA292">
        <v>1504.9604746224616</v>
      </c>
      <c r="AB292">
        <v>1471.9730245402254</v>
      </c>
      <c r="AC292">
        <v>1438.9855744579891</v>
      </c>
      <c r="AD292">
        <v>1405.9981243757529</v>
      </c>
      <c r="AE292">
        <v>1373.0106742935166</v>
      </c>
      <c r="AF292">
        <v>1340.0232242112804</v>
      </c>
      <c r="AG292">
        <v>1307.0357741290441</v>
      </c>
      <c r="AH292">
        <v>1274.0483240468079</v>
      </c>
      <c r="AI292">
        <v>1241.0608739645716</v>
      </c>
      <c r="AJ292">
        <v>1208.0734238823359</v>
      </c>
    </row>
    <row r="293" spans="1:36" x14ac:dyDescent="0.35">
      <c r="A293" t="s">
        <v>1781</v>
      </c>
      <c r="B293" t="s">
        <v>1342</v>
      </c>
      <c r="C293" t="s">
        <v>1350</v>
      </c>
      <c r="D293">
        <v>30</v>
      </c>
      <c r="E293" t="s">
        <v>1742</v>
      </c>
      <c r="F293" t="s">
        <v>1405</v>
      </c>
      <c r="G293" t="s">
        <v>1779</v>
      </c>
      <c r="H293">
        <v>3182.9957314709854</v>
      </c>
      <c r="I293">
        <v>2682.1846272586527</v>
      </c>
      <c r="J293">
        <v>2659.2114918531179</v>
      </c>
      <c r="K293">
        <v>2636.2383564475831</v>
      </c>
      <c r="L293">
        <v>2613.2652210420483</v>
      </c>
      <c r="M293">
        <v>2590.2920856365135</v>
      </c>
      <c r="N293">
        <v>2567.3189502309792</v>
      </c>
      <c r="O293">
        <v>2544.3458148254444</v>
      </c>
      <c r="P293">
        <v>2521.3726794199097</v>
      </c>
      <c r="Q293">
        <v>2498.3995440143749</v>
      </c>
      <c r="R293">
        <v>2475.4264086088401</v>
      </c>
      <c r="S293">
        <v>2452.4532732033053</v>
      </c>
      <c r="T293">
        <v>2429.480137797771</v>
      </c>
      <c r="U293">
        <v>2406.5070023922358</v>
      </c>
      <c r="V293">
        <v>2359.5988805738116</v>
      </c>
      <c r="W293">
        <v>2312.6907587553878</v>
      </c>
      <c r="X293">
        <v>2265.7826369369636</v>
      </c>
      <c r="Y293">
        <v>2218.8745151185399</v>
      </c>
      <c r="Z293">
        <v>2171.9663933001157</v>
      </c>
      <c r="AA293">
        <v>2125.0582714816919</v>
      </c>
      <c r="AB293">
        <v>2078.1501496632682</v>
      </c>
      <c r="AC293">
        <v>2031.242027844844</v>
      </c>
      <c r="AD293">
        <v>1984.3339060264202</v>
      </c>
      <c r="AE293">
        <v>1937.4257842079965</v>
      </c>
      <c r="AF293">
        <v>1890.5176623895727</v>
      </c>
      <c r="AG293">
        <v>1843.609540571149</v>
      </c>
      <c r="AH293">
        <v>1796.7014187527252</v>
      </c>
      <c r="AI293">
        <v>1749.7932969343015</v>
      </c>
      <c r="AJ293">
        <v>1702.8851751158791</v>
      </c>
    </row>
    <row r="294" spans="1:36" x14ac:dyDescent="0.35">
      <c r="A294" t="s">
        <v>1782</v>
      </c>
      <c r="B294" t="s">
        <v>1342</v>
      </c>
      <c r="C294" t="s">
        <v>1343</v>
      </c>
      <c r="D294">
        <v>30</v>
      </c>
      <c r="E294" t="s">
        <v>236</v>
      </c>
      <c r="F294" t="s">
        <v>1783</v>
      </c>
      <c r="G294" t="s">
        <v>1784</v>
      </c>
      <c r="H294">
        <v>7213.4721391432067</v>
      </c>
      <c r="I294">
        <v>7011.3565750884854</v>
      </c>
      <c r="J294">
        <v>6820.6591635477334</v>
      </c>
      <c r="K294">
        <v>6640.279542920247</v>
      </c>
      <c r="L294">
        <v>6469.2613756851661</v>
      </c>
      <c r="M294">
        <v>6306.7689323851355</v>
      </c>
      <c r="N294">
        <v>6152.0681705673378</v>
      </c>
      <c r="O294">
        <v>6004.5113228952769</v>
      </c>
      <c r="P294">
        <v>5863.5242500142931</v>
      </c>
      <c r="Q294">
        <v>5728.5959902522163</v>
      </c>
      <c r="R294">
        <v>5599.2700687545412</v>
      </c>
      <c r="S294">
        <v>5475.1372261820325</v>
      </c>
      <c r="T294">
        <v>5355.8293006888689</v>
      </c>
      <c r="U294">
        <v>5241.0140524420694</v>
      </c>
      <c r="V294">
        <v>5215.4850080351562</v>
      </c>
      <c r="W294">
        <v>5190.0836088502783</v>
      </c>
      <c r="X294">
        <v>5164.8092166613251</v>
      </c>
      <c r="Y294">
        <v>5139.661196433316</v>
      </c>
      <c r="Z294">
        <v>5114.6389163064468</v>
      </c>
      <c r="AA294">
        <v>5089.7417475802122</v>
      </c>
      <c r="AB294">
        <v>5064.9690646976087</v>
      </c>
      <c r="AC294">
        <v>5040.3202452294181</v>
      </c>
      <c r="AD294">
        <v>5015.7946698585693</v>
      </c>
      <c r="AE294">
        <v>4991.391722364574</v>
      </c>
      <c r="AF294">
        <v>4967.1107896080484</v>
      </c>
      <c r="AG294">
        <v>4942.9512615153062</v>
      </c>
      <c r="AH294">
        <v>4918.912531063027</v>
      </c>
      <c r="AI294">
        <v>4894.9939942630099</v>
      </c>
      <c r="AJ294">
        <v>4871.1950501469919</v>
      </c>
    </row>
    <row r="295" spans="1:36" x14ac:dyDescent="0.35">
      <c r="A295" t="s">
        <v>1785</v>
      </c>
      <c r="B295" t="s">
        <v>1342</v>
      </c>
      <c r="C295" t="s">
        <v>1348</v>
      </c>
      <c r="D295">
        <v>30</v>
      </c>
      <c r="E295" t="s">
        <v>236</v>
      </c>
      <c r="F295" t="s">
        <v>1783</v>
      </c>
      <c r="G295" t="s">
        <v>1784</v>
      </c>
      <c r="H295">
        <v>7213.4721391432067</v>
      </c>
      <c r="I295">
        <v>7096.7991859296781</v>
      </c>
      <c r="J295">
        <v>6989.4976161652658</v>
      </c>
      <c r="K295">
        <v>6890.214586821563</v>
      </c>
      <c r="L295">
        <v>6797.8645948292433</v>
      </c>
      <c r="M295">
        <v>6711.5641096639611</v>
      </c>
      <c r="N295">
        <v>6630.5849148597663</v>
      </c>
      <c r="O295">
        <v>6554.3201051193746</v>
      </c>
      <c r="P295">
        <v>6482.2588478732196</v>
      </c>
      <c r="Q295">
        <v>6413.9673421593843</v>
      </c>
      <c r="R295">
        <v>6349.0742416904459</v>
      </c>
      <c r="S295">
        <v>6287.2593476620805</v>
      </c>
      <c r="T295">
        <v>6228.2447327176678</v>
      </c>
      <c r="U295">
        <v>6171.787697859847</v>
      </c>
      <c r="V295">
        <v>6141.6588107511707</v>
      </c>
      <c r="W295">
        <v>6111.6805680780399</v>
      </c>
      <c r="X295">
        <v>6081.8522166182729</v>
      </c>
      <c r="Y295">
        <v>6052.1730069158048</v>
      </c>
      <c r="Z295">
        <v>6022.6421932618496</v>
      </c>
      <c r="AA295">
        <v>5993.259033676165</v>
      </c>
      <c r="AB295">
        <v>5964.0227898884077</v>
      </c>
      <c r="AC295">
        <v>5934.9327273195895</v>
      </c>
      <c r="AD295">
        <v>5905.9881150636156</v>
      </c>
      <c r="AE295">
        <v>5877.1882258689211</v>
      </c>
      <c r="AF295">
        <v>5848.5323361201999</v>
      </c>
      <c r="AG295">
        <v>5820.0197258202234</v>
      </c>
      <c r="AH295">
        <v>5791.6496785717463</v>
      </c>
      <c r="AI295">
        <v>5763.4214815595114</v>
      </c>
      <c r="AJ295">
        <v>5735.3344255323373</v>
      </c>
    </row>
    <row r="296" spans="1:36" x14ac:dyDescent="0.35">
      <c r="A296" t="s">
        <v>1786</v>
      </c>
      <c r="B296" t="s">
        <v>1342</v>
      </c>
      <c r="C296" t="s">
        <v>1350</v>
      </c>
      <c r="D296">
        <v>30</v>
      </c>
      <c r="E296" t="s">
        <v>236</v>
      </c>
      <c r="F296" t="s">
        <v>1783</v>
      </c>
      <c r="G296" t="s">
        <v>1784</v>
      </c>
      <c r="H296">
        <v>7213.4721391432067</v>
      </c>
      <c r="I296">
        <v>7178.1470340812875</v>
      </c>
      <c r="J296">
        <v>7142.9985545446771</v>
      </c>
      <c r="K296">
        <v>7108.0258174057499</v>
      </c>
      <c r="L296">
        <v>7073.2279439525173</v>
      </c>
      <c r="M296">
        <v>7038.6040598665504</v>
      </c>
      <c r="N296">
        <v>7004.153295201013</v>
      </c>
      <c r="O296">
        <v>6969.8747843588044</v>
      </c>
      <c r="P296">
        <v>6935.7676660708066</v>
      </c>
      <c r="Q296">
        <v>6901.8310833742489</v>
      </c>
      <c r="R296">
        <v>6868.0641835911738</v>
      </c>
      <c r="S296">
        <v>6834.4661183070139</v>
      </c>
      <c r="T296">
        <v>6801.0360433492751</v>
      </c>
      <c r="U296">
        <v>6767.7731187663248</v>
      </c>
      <c r="V296">
        <v>6734.6765088062893</v>
      </c>
      <c r="W296">
        <v>6701.7453818960548</v>
      </c>
      <c r="X296">
        <v>6668.9789106203716</v>
      </c>
      <c r="Y296">
        <v>6636.376271701065</v>
      </c>
      <c r="Z296">
        <v>6603.936645976356</v>
      </c>
      <c r="AA296">
        <v>6571.6592183802704</v>
      </c>
      <c r="AB296">
        <v>6539.5431779221644</v>
      </c>
      <c r="AC296">
        <v>6507.5877176663507</v>
      </c>
      <c r="AD296">
        <v>6475.7920347118152</v>
      </c>
      <c r="AE296">
        <v>6444.1553301720523</v>
      </c>
      <c r="AF296">
        <v>6412.6768091549884</v>
      </c>
      <c r="AG296">
        <v>6381.3556807430086</v>
      </c>
      <c r="AH296">
        <v>6350.1911579730895</v>
      </c>
      <c r="AI296">
        <v>6319.1824578170208</v>
      </c>
      <c r="AJ296">
        <v>6288.3288011617324</v>
      </c>
    </row>
    <row r="297" spans="1:36" x14ac:dyDescent="0.35">
      <c r="A297" t="s">
        <v>1787</v>
      </c>
      <c r="B297" t="s">
        <v>1342</v>
      </c>
      <c r="C297" t="s">
        <v>1343</v>
      </c>
      <c r="D297">
        <v>30</v>
      </c>
      <c r="E297" t="s">
        <v>236</v>
      </c>
      <c r="F297" t="s">
        <v>1788</v>
      </c>
      <c r="G297" t="s">
        <v>1789</v>
      </c>
      <c r="H297">
        <v>9572.9678115960633</v>
      </c>
      <c r="I297">
        <v>9223.2148199027779</v>
      </c>
      <c r="J297">
        <v>8901.1844800712606</v>
      </c>
      <c r="K297">
        <v>8603.2445490391601</v>
      </c>
      <c r="L297">
        <v>8326.3991804200105</v>
      </c>
      <c r="M297">
        <v>8068.1521919390416</v>
      </c>
      <c r="N297">
        <v>7826.4046235099177</v>
      </c>
      <c r="O297">
        <v>7599.3768630705363</v>
      </c>
      <c r="P297">
        <v>7385.5486658399977</v>
      </c>
      <c r="Q297">
        <v>7183.6124012641294</v>
      </c>
      <c r="R297">
        <v>6992.4362118007493</v>
      </c>
      <c r="S297">
        <v>6811.0346913491494</v>
      </c>
      <c r="T297">
        <v>6638.5453335929478</v>
      </c>
      <c r="U297">
        <v>6474.2094538681713</v>
      </c>
      <c r="V297">
        <v>6442.5144324541288</v>
      </c>
      <c r="W297">
        <v>6410.9778861471559</v>
      </c>
      <c r="X297">
        <v>6379.5990225717178</v>
      </c>
      <c r="Y297">
        <v>6348.3770533141569</v>
      </c>
      <c r="Z297">
        <v>6317.3111939028831</v>
      </c>
      <c r="AA297">
        <v>6286.4006637886669</v>
      </c>
      <c r="AB297">
        <v>6255.6446863250212</v>
      </c>
      <c r="AC297">
        <v>6225.0424887486943</v>
      </c>
      <c r="AD297">
        <v>6194.5933021602486</v>
      </c>
      <c r="AE297">
        <v>6164.2963615047456</v>
      </c>
      <c r="AF297">
        <v>6134.1509055525194</v>
      </c>
      <c r="AG297">
        <v>6104.1561768800548</v>
      </c>
      <c r="AH297">
        <v>6074.3114218509527</v>
      </c>
      <c r="AI297">
        <v>6044.6158905969951</v>
      </c>
      <c r="AJ297">
        <v>6015.0688369993077</v>
      </c>
    </row>
    <row r="298" spans="1:36" x14ac:dyDescent="0.35">
      <c r="A298" t="s">
        <v>1790</v>
      </c>
      <c r="B298" t="s">
        <v>1342</v>
      </c>
      <c r="C298" t="s">
        <v>1348</v>
      </c>
      <c r="D298">
        <v>30</v>
      </c>
      <c r="E298" t="s">
        <v>236</v>
      </c>
      <c r="F298" t="s">
        <v>1788</v>
      </c>
      <c r="G298" t="s">
        <v>1789</v>
      </c>
      <c r="H298">
        <v>9572.9678115960633</v>
      </c>
      <c r="I298">
        <v>9362.4457117831225</v>
      </c>
      <c r="J298">
        <v>9175.0371877110465</v>
      </c>
      <c r="K298">
        <v>9006.3414749749281</v>
      </c>
      <c r="L298">
        <v>8853.0819969761251</v>
      </c>
      <c r="M298">
        <v>8712.7570151726777</v>
      </c>
      <c r="N298">
        <v>8583.4154938056872</v>
      </c>
      <c r="O298">
        <v>8463.5081010410086</v>
      </c>
      <c r="P298">
        <v>8351.7851238971089</v>
      </c>
      <c r="Q298">
        <v>8247.2246850323136</v>
      </c>
      <c r="R298">
        <v>8148.981113014579</v>
      </c>
      <c r="S298">
        <v>8056.3470633165589</v>
      </c>
      <c r="T298">
        <v>7968.7252349110277</v>
      </c>
      <c r="U298">
        <v>7885.6069182846404</v>
      </c>
      <c r="V298">
        <v>7846.9089350738404</v>
      </c>
      <c r="W298">
        <v>7808.4044417790956</v>
      </c>
      <c r="X298">
        <v>7770.0924709508236</v>
      </c>
      <c r="Y298">
        <v>7731.9720599766933</v>
      </c>
      <c r="Z298">
        <v>7694.0422510574335</v>
      </c>
      <c r="AA298">
        <v>7656.3020911827698</v>
      </c>
      <c r="AB298">
        <v>7618.7506321074798</v>
      </c>
      <c r="AC298">
        <v>7581.386930327566</v>
      </c>
      <c r="AD298">
        <v>7544.210047056552</v>
      </c>
      <c r="AE298">
        <v>7507.2190482018932</v>
      </c>
      <c r="AF298">
        <v>7470.4130043415071</v>
      </c>
      <c r="AG298">
        <v>7433.7909907004232</v>
      </c>
      <c r="AH298">
        <v>7397.352087127545</v>
      </c>
      <c r="AI298">
        <v>7361.0953780725313</v>
      </c>
      <c r="AJ298">
        <v>7325.0199525627913</v>
      </c>
    </row>
    <row r="299" spans="1:36" x14ac:dyDescent="0.35">
      <c r="A299" t="s">
        <v>1791</v>
      </c>
      <c r="B299" t="s">
        <v>1342</v>
      </c>
      <c r="C299" t="s">
        <v>1350</v>
      </c>
      <c r="D299">
        <v>30</v>
      </c>
      <c r="E299" t="s">
        <v>236</v>
      </c>
      <c r="F299" t="s">
        <v>1788</v>
      </c>
      <c r="G299" t="s">
        <v>1789</v>
      </c>
      <c r="H299">
        <v>9572.9678115960633</v>
      </c>
      <c r="I299">
        <v>9525.8452281718801</v>
      </c>
      <c r="J299">
        <v>9478.9582576648154</v>
      </c>
      <c r="K299">
        <v>9432.3057220102874</v>
      </c>
      <c r="L299">
        <v>9385.8864490340329</v>
      </c>
      <c r="M299">
        <v>9339.6992724226584</v>
      </c>
      <c r="N299">
        <v>9293.743031694341</v>
      </c>
      <c r="O299">
        <v>9248.0165721696649</v>
      </c>
      <c r="P299">
        <v>9202.5187449426139</v>
      </c>
      <c r="Q299">
        <v>9157.2484068516969</v>
      </c>
      <c r="R299">
        <v>9112.2044204512349</v>
      </c>
      <c r="S299">
        <v>9067.3856539827739</v>
      </c>
      <c r="T299">
        <v>9022.7909813466558</v>
      </c>
      <c r="U299">
        <v>8978.4192820737189</v>
      </c>
      <c r="V299">
        <v>8934.2694412971468</v>
      </c>
      <c r="W299">
        <v>8890.3403497244581</v>
      </c>
      <c r="X299">
        <v>8846.63090360963</v>
      </c>
      <c r="Y299">
        <v>8803.1400047253792</v>
      </c>
      <c r="Z299">
        <v>8759.8665603355475</v>
      </c>
      <c r="AA299">
        <v>8716.8094831676663</v>
      </c>
      <c r="AB299">
        <v>8673.9676913856238</v>
      </c>
      <c r="AC299">
        <v>8631.3401085624919</v>
      </c>
      <c r="AD299">
        <v>8588.9256636534756</v>
      </c>
      <c r="AE299">
        <v>8546.7232909690047</v>
      </c>
      <c r="AF299">
        <v>8504.7319301479565</v>
      </c>
      <c r="AG299">
        <v>8462.9505261310132</v>
      </c>
      <c r="AH299">
        <v>8421.3780291341536</v>
      </c>
      <c r="AI299">
        <v>8380.0133946222795</v>
      </c>
      <c r="AJ299">
        <v>8338.8555832829643</v>
      </c>
    </row>
    <row r="300" spans="1:36" x14ac:dyDescent="0.35">
      <c r="A300" t="s">
        <v>1792</v>
      </c>
      <c r="B300" t="s">
        <v>1342</v>
      </c>
      <c r="C300" t="s">
        <v>1343</v>
      </c>
      <c r="D300">
        <v>30</v>
      </c>
      <c r="E300" t="s">
        <v>236</v>
      </c>
      <c r="F300" t="s">
        <v>1793</v>
      </c>
      <c r="G300" t="s">
        <v>1794</v>
      </c>
      <c r="H300">
        <v>9633.3848340821478</v>
      </c>
      <c r="I300">
        <v>8812.1552815087161</v>
      </c>
      <c r="J300">
        <v>8141.5043522995893</v>
      </c>
      <c r="K300">
        <v>7580.8611514878985</v>
      </c>
      <c r="L300">
        <v>7103.3755592511479</v>
      </c>
      <c r="M300">
        <v>6690.4980276031365</v>
      </c>
      <c r="N300">
        <v>6328.9598594099207</v>
      </c>
      <c r="O300">
        <v>6008.9928317958056</v>
      </c>
      <c r="P300">
        <v>5723.2296275432154</v>
      </c>
      <c r="Q300">
        <v>5465.9978663512775</v>
      </c>
      <c r="R300">
        <v>5232.8516649206404</v>
      </c>
      <c r="S300">
        <v>5020.2518770567012</v>
      </c>
      <c r="T300">
        <v>4825.3423813235195</v>
      </c>
      <c r="U300">
        <v>4645.7901455504007</v>
      </c>
      <c r="V300">
        <v>4623.2281567826794</v>
      </c>
      <c r="W300">
        <v>4600.7789779587956</v>
      </c>
      <c r="X300">
        <v>4578.4420450290318</v>
      </c>
      <c r="Y300">
        <v>4556.2167967639161</v>
      </c>
      <c r="Z300">
        <v>4534.1026747401265</v>
      </c>
      <c r="AA300">
        <v>4512.0991233264558</v>
      </c>
      <c r="AB300">
        <v>4490.2055896698539</v>
      </c>
      <c r="AC300">
        <v>4468.4215236815353</v>
      </c>
      <c r="AD300">
        <v>4446.7463780231574</v>
      </c>
      <c r="AE300">
        <v>4425.1796080930717</v>
      </c>
      <c r="AF300">
        <v>4403.7206720126369</v>
      </c>
      <c r="AG300">
        <v>4382.3690306126027</v>
      </c>
      <c r="AH300">
        <v>4361.1241474195704</v>
      </c>
      <c r="AI300">
        <v>4339.9854886425019</v>
      </c>
      <c r="AJ300">
        <v>4318.9525231593198</v>
      </c>
    </row>
    <row r="301" spans="1:36" x14ac:dyDescent="0.35">
      <c r="A301" t="s">
        <v>1795</v>
      </c>
      <c r="B301" t="s">
        <v>1342</v>
      </c>
      <c r="C301" t="s">
        <v>1348</v>
      </c>
      <c r="D301">
        <v>30</v>
      </c>
      <c r="E301" t="s">
        <v>236</v>
      </c>
      <c r="F301" t="s">
        <v>1793</v>
      </c>
      <c r="G301" t="s">
        <v>1794</v>
      </c>
      <c r="H301">
        <v>9633.3848340821478</v>
      </c>
      <c r="I301">
        <v>9367.2803295154481</v>
      </c>
      <c r="J301">
        <v>9125.6281670633998</v>
      </c>
      <c r="K301">
        <v>8904.4433981498769</v>
      </c>
      <c r="L301">
        <v>8700.6176407780877</v>
      </c>
      <c r="M301">
        <v>8511.6829155496198</v>
      </c>
      <c r="N301">
        <v>8335.6493800874923</v>
      </c>
      <c r="O301">
        <v>8170.8909864619955</v>
      </c>
      <c r="P301">
        <v>8016.0631123795702</v>
      </c>
      <c r="Q301">
        <v>7870.04206220988</v>
      </c>
      <c r="R301">
        <v>7731.8798589769021</v>
      </c>
      <c r="S301">
        <v>7600.7699384217085</v>
      </c>
      <c r="T301">
        <v>7476.0207531691376</v>
      </c>
      <c r="U301">
        <v>7357.0352071419984</v>
      </c>
      <c r="V301">
        <v>7320.9381857248009</v>
      </c>
      <c r="W301">
        <v>7285.0216494146889</v>
      </c>
      <c r="X301">
        <v>7249.2846957861275</v>
      </c>
      <c r="Y301">
        <v>7213.7264269257103</v>
      </c>
      <c r="Z301">
        <v>7178.3459494095941</v>
      </c>
      <c r="AA301">
        <v>7143.1423742810584</v>
      </c>
      <c r="AB301">
        <v>7108.1148170281658</v>
      </c>
      <c r="AC301">
        <v>7073.262397561537</v>
      </c>
      <c r="AD301">
        <v>7038.5842401922419</v>
      </c>
      <c r="AE301">
        <v>7004.0794736097932</v>
      </c>
      <c r="AF301">
        <v>6969.7472308602564</v>
      </c>
      <c r="AG301">
        <v>6935.5866493244675</v>
      </c>
      <c r="AH301">
        <v>6901.5968706963586</v>
      </c>
      <c r="AI301">
        <v>6867.7770409613895</v>
      </c>
      <c r="AJ301">
        <v>6834.1263103750944</v>
      </c>
    </row>
    <row r="302" spans="1:36" x14ac:dyDescent="0.35">
      <c r="A302" t="s">
        <v>1796</v>
      </c>
      <c r="B302" t="s">
        <v>1342</v>
      </c>
      <c r="C302" t="s">
        <v>1350</v>
      </c>
      <c r="D302">
        <v>30</v>
      </c>
      <c r="E302" t="s">
        <v>236</v>
      </c>
      <c r="F302" t="s">
        <v>1793</v>
      </c>
      <c r="G302" t="s">
        <v>1794</v>
      </c>
      <c r="H302">
        <v>9633.3848340821478</v>
      </c>
      <c r="I302">
        <v>9585.9438336279563</v>
      </c>
      <c r="J302">
        <v>9538.7400381760381</v>
      </c>
      <c r="K302">
        <v>9491.7722617013787</v>
      </c>
      <c r="L302">
        <v>9445.0393241090951</v>
      </c>
      <c r="M302">
        <v>9398.5400512047709</v>
      </c>
      <c r="N302">
        <v>9352.2732746649672</v>
      </c>
      <c r="O302">
        <v>9306.2378320078642</v>
      </c>
      <c r="P302">
        <v>9260.4325665640463</v>
      </c>
      <c r="Q302">
        <v>9214.8563274474473</v>
      </c>
      <c r="R302">
        <v>9169.5079695264321</v>
      </c>
      <c r="S302">
        <v>9124.3863533950225</v>
      </c>
      <c r="T302">
        <v>9079.4903453442676</v>
      </c>
      <c r="U302">
        <v>9034.8188173337676</v>
      </c>
      <c r="V302">
        <v>8990.3706469633216</v>
      </c>
      <c r="W302">
        <v>8946.1447174447258</v>
      </c>
      <c r="X302">
        <v>8902.1399175737242</v>
      </c>
      <c r="Y302">
        <v>8858.3551417020772</v>
      </c>
      <c r="Z302">
        <v>8814.78928970979</v>
      </c>
      <c r="AA302">
        <v>8771.4412669774629</v>
      </c>
      <c r="AB302">
        <v>8728.309984358797</v>
      </c>
      <c r="AC302">
        <v>8685.3943581532239</v>
      </c>
      <c r="AD302">
        <v>8642.6933100786791</v>
      </c>
      <c r="AE302">
        <v>8600.205767244508</v>
      </c>
      <c r="AF302">
        <v>8557.9306621245069</v>
      </c>
      <c r="AG302">
        <v>8515.8669325301053</v>
      </c>
      <c r="AH302">
        <v>8474.0135215836763</v>
      </c>
      <c r="AI302">
        <v>8432.3693776919808</v>
      </c>
      <c r="AJ302">
        <v>8390.9334545197416</v>
      </c>
    </row>
    <row r="303" spans="1:36" x14ac:dyDescent="0.35">
      <c r="A303" t="s">
        <v>1797</v>
      </c>
      <c r="B303" t="s">
        <v>1342</v>
      </c>
      <c r="C303" t="s">
        <v>1343</v>
      </c>
      <c r="D303">
        <v>30</v>
      </c>
      <c r="E303" t="s">
        <v>236</v>
      </c>
      <c r="F303" t="s">
        <v>1798</v>
      </c>
      <c r="G303" t="s">
        <v>1799</v>
      </c>
      <c r="H303">
        <v>13414.909349196269</v>
      </c>
      <c r="I303">
        <v>12160.872036074832</v>
      </c>
      <c r="J303">
        <v>11157.263100853019</v>
      </c>
      <c r="K303">
        <v>10331.354401059625</v>
      </c>
      <c r="L303">
        <v>9636.7344684786149</v>
      </c>
      <c r="M303">
        <v>9042.2516818986151</v>
      </c>
      <c r="N303">
        <v>8526.1395275480209</v>
      </c>
      <c r="O303">
        <v>8072.6825220452993</v>
      </c>
      <c r="P303">
        <v>7670.2206612085038</v>
      </c>
      <c r="Q303">
        <v>7309.9014348915089</v>
      </c>
      <c r="R303">
        <v>6984.8700507189778</v>
      </c>
      <c r="S303">
        <v>6689.7272248385925</v>
      </c>
      <c r="T303">
        <v>6420.1561505780592</v>
      </c>
      <c r="U303">
        <v>6172.6597179325618</v>
      </c>
      <c r="V303">
        <v>6142.4633813029286</v>
      </c>
      <c r="W303">
        <v>6112.418026356444</v>
      </c>
      <c r="X303">
        <v>6082.5228981846922</v>
      </c>
      <c r="Y303">
        <v>6052.7772456537987</v>
      </c>
      <c r="Z303">
        <v>6023.1803213855592</v>
      </c>
      <c r="AA303">
        <v>5993.7313817386621</v>
      </c>
      <c r="AB303">
        <v>5964.4296867899993</v>
      </c>
      <c r="AC303">
        <v>5935.274500316079</v>
      </c>
      <c r="AD303">
        <v>5906.2650897745289</v>
      </c>
      <c r="AE303">
        <v>5877.4007262856867</v>
      </c>
      <c r="AF303">
        <v>5848.680684614289</v>
      </c>
      <c r="AG303">
        <v>5820.1042431512469</v>
      </c>
      <c r="AH303">
        <v>5791.6706838955206</v>
      </c>
      <c r="AI303">
        <v>5763.3792924360732</v>
      </c>
      <c r="AJ303">
        <v>5735.2293579339239</v>
      </c>
    </row>
    <row r="304" spans="1:36" x14ac:dyDescent="0.35">
      <c r="A304" t="s">
        <v>1800</v>
      </c>
      <c r="B304" t="s">
        <v>1342</v>
      </c>
      <c r="C304" t="s">
        <v>1348</v>
      </c>
      <c r="D304">
        <v>30</v>
      </c>
      <c r="E304" t="s">
        <v>236</v>
      </c>
      <c r="F304" t="s">
        <v>1798</v>
      </c>
      <c r="G304" t="s">
        <v>1799</v>
      </c>
      <c r="H304">
        <v>13414.909349196269</v>
      </c>
      <c r="I304">
        <v>12867.592826985556</v>
      </c>
      <c r="J304">
        <v>12397.279188409966</v>
      </c>
      <c r="K304">
        <v>11985.855220543835</v>
      </c>
      <c r="L304">
        <v>11620.783230564093</v>
      </c>
      <c r="M304">
        <v>11293.051302132486</v>
      </c>
      <c r="N304">
        <v>10995.980177945437</v>
      </c>
      <c r="O304">
        <v>10724.492026697348</v>
      </c>
      <c r="P304">
        <v>10474.642867858909</v>
      </c>
      <c r="Q304">
        <v>10243.312767254738</v>
      </c>
      <c r="R304">
        <v>10027.994263823188</v>
      </c>
      <c r="S304">
        <v>9826.6440656418617</v>
      </c>
      <c r="T304">
        <v>9637.5767085261978</v>
      </c>
      <c r="U304">
        <v>9459.3867675592392</v>
      </c>
      <c r="V304">
        <v>9412.7779883399544</v>
      </c>
      <c r="W304">
        <v>9366.4022530167676</v>
      </c>
      <c r="X304">
        <v>9320.2583963701964</v>
      </c>
      <c r="Y304">
        <v>9274.3452590068573</v>
      </c>
      <c r="Z304">
        <v>9228.6616873303356</v>
      </c>
      <c r="AA304">
        <v>9183.206533512197</v>
      </c>
      <c r="AB304">
        <v>9137.9786554631482</v>
      </c>
      <c r="AC304">
        <v>9092.9769168043458</v>
      </c>
      <c r="AD304">
        <v>9048.2001868388361</v>
      </c>
      <c r="AE304">
        <v>9003.6473405231554</v>
      </c>
      <c r="AF304">
        <v>8959.3172584390522</v>
      </c>
      <c r="AG304">
        <v>8915.2088267653689</v>
      </c>
      <c r="AH304">
        <v>8871.3209372500551</v>
      </c>
      <c r="AI304">
        <v>8827.6524871823185</v>
      </c>
      <c r="AJ304">
        <v>8784.2023793649187</v>
      </c>
    </row>
    <row r="305" spans="1:36" x14ac:dyDescent="0.35">
      <c r="A305" t="s">
        <v>1801</v>
      </c>
      <c r="B305" t="s">
        <v>1342</v>
      </c>
      <c r="C305" t="s">
        <v>1350</v>
      </c>
      <c r="D305">
        <v>30</v>
      </c>
      <c r="E305" t="s">
        <v>236</v>
      </c>
      <c r="F305" t="s">
        <v>1798</v>
      </c>
      <c r="G305" t="s">
        <v>1799</v>
      </c>
      <c r="H305">
        <v>13414.909349196269</v>
      </c>
      <c r="I305">
        <v>13348.560726166508</v>
      </c>
      <c r="J305">
        <v>13282.543846251896</v>
      </c>
      <c r="K305">
        <v>13216.857050736859</v>
      </c>
      <c r="L305">
        <v>13151.498689199394</v>
      </c>
      <c r="M305">
        <v>13086.467119469618</v>
      </c>
      <c r="N305">
        <v>13021.760707588493</v>
      </c>
      <c r="O305">
        <v>12957.377827766772</v>
      </c>
      <c r="P305">
        <v>12893.31686234416</v>
      </c>
      <c r="Q305">
        <v>12829.57620174866</v>
      </c>
      <c r="R305">
        <v>12766.154244456138</v>
      </c>
      <c r="S305">
        <v>12703.049396950077</v>
      </c>
      <c r="T305">
        <v>12640.260073681549</v>
      </c>
      <c r="U305">
        <v>12577.784697029363</v>
      </c>
      <c r="V305">
        <v>12515.621697260438</v>
      </c>
      <c r="W305">
        <v>12453.769512490357</v>
      </c>
      <c r="X305">
        <v>12392.226588644126</v>
      </c>
      <c r="Y305">
        <v>12330.991379417126</v>
      </c>
      <c r="Z305">
        <v>12270.062346236262</v>
      </c>
      <c r="AA305">
        <v>12209.437958221302</v>
      </c>
      <c r="AB305">
        <v>12149.116692146417</v>
      </c>
      <c r="AC305">
        <v>12089.097032401905</v>
      </c>
      <c r="AD305">
        <v>12029.377470956118</v>
      </c>
      <c r="AE305">
        <v>11969.956507317558</v>
      </c>
      <c r="AF305">
        <v>11910.832648497193</v>
      </c>
      <c r="AG305">
        <v>11852.004408970928</v>
      </c>
      <c r="AH305">
        <v>11793.470310642295</v>
      </c>
      <c r="AI305">
        <v>11735.228882805304</v>
      </c>
      <c r="AJ305">
        <v>11677.278662107499</v>
      </c>
    </row>
    <row r="306" spans="1:36" x14ac:dyDescent="0.35">
      <c r="A306" t="s">
        <v>1802</v>
      </c>
      <c r="B306" t="s">
        <v>1342</v>
      </c>
      <c r="C306" t="s">
        <v>1343</v>
      </c>
      <c r="D306">
        <v>30</v>
      </c>
      <c r="E306" t="s">
        <v>236</v>
      </c>
      <c r="F306" t="s">
        <v>1803</v>
      </c>
      <c r="G306" t="s">
        <v>1804</v>
      </c>
      <c r="H306">
        <v>11222.814937496349</v>
      </c>
      <c r="I306">
        <v>9623.2879195404876</v>
      </c>
      <c r="J306">
        <v>8493.6978900812974</v>
      </c>
      <c r="K306">
        <v>7643.8327540386308</v>
      </c>
      <c r="L306">
        <v>6975.7448227243849</v>
      </c>
      <c r="M306">
        <v>6433.3491266292231</v>
      </c>
      <c r="N306">
        <v>5981.9862051323953</v>
      </c>
      <c r="O306">
        <v>5598.9665667133513</v>
      </c>
      <c r="P306">
        <v>5268.7506420144427</v>
      </c>
      <c r="Q306">
        <v>4980.3014147033564</v>
      </c>
      <c r="R306">
        <v>4725.5414654809483</v>
      </c>
      <c r="S306">
        <v>4498.4090729912023</v>
      </c>
      <c r="T306">
        <v>4294.2570299393392</v>
      </c>
      <c r="U306">
        <v>4109.4564523426925</v>
      </c>
      <c r="V306">
        <v>4089.5761320410093</v>
      </c>
      <c r="W306">
        <v>4069.7952133408339</v>
      </c>
      <c r="X306">
        <v>4050.1131992341602</v>
      </c>
      <c r="Y306">
        <v>4030.5295951980193</v>
      </c>
      <c r="Z306">
        <v>4011.043909182059</v>
      </c>
      <c r="AA306">
        <v>3991.6556515961788</v>
      </c>
      <c r="AB306">
        <v>3972.3643352982276</v>
      </c>
      <c r="AC306">
        <v>3953.1694755817662</v>
      </c>
      <c r="AD306">
        <v>3934.0705901638876</v>
      </c>
      <c r="AE306">
        <v>3915.0671991730983</v>
      </c>
      <c r="AF306">
        <v>3896.1588251372627</v>
      </c>
      <c r="AG306">
        <v>3877.3449929716062</v>
      </c>
      <c r="AH306">
        <v>3858.6252299667781</v>
      </c>
      <c r="AI306">
        <v>3839.9990657769745</v>
      </c>
      <c r="AJ306">
        <v>3821.4660324081192</v>
      </c>
    </row>
    <row r="307" spans="1:36" x14ac:dyDescent="0.35">
      <c r="A307" t="s">
        <v>1805</v>
      </c>
      <c r="B307" t="s">
        <v>1342</v>
      </c>
      <c r="C307" t="s">
        <v>1348</v>
      </c>
      <c r="D307">
        <v>30</v>
      </c>
      <c r="E307" t="s">
        <v>236</v>
      </c>
      <c r="F307" t="s">
        <v>1803</v>
      </c>
      <c r="G307" t="s">
        <v>1804</v>
      </c>
      <c r="H307">
        <v>11222.814937496349</v>
      </c>
      <c r="I307">
        <v>10466.033532881316</v>
      </c>
      <c r="J307">
        <v>9883.0326057016955</v>
      </c>
      <c r="K307">
        <v>9412.1468573493748</v>
      </c>
      <c r="L307">
        <v>9019.0172442788771</v>
      </c>
      <c r="M307">
        <v>8682.67397370867</v>
      </c>
      <c r="N307">
        <v>8389.4444522456597</v>
      </c>
      <c r="O307">
        <v>8129.9542451215566</v>
      </c>
      <c r="P307">
        <v>7897.5162627975787</v>
      </c>
      <c r="Q307">
        <v>7687.205154425028</v>
      </c>
      <c r="R307">
        <v>7495.2959394774998</v>
      </c>
      <c r="S307">
        <v>7318.9081560487139</v>
      </c>
      <c r="T307">
        <v>7155.7718039119618</v>
      </c>
      <c r="U307">
        <v>7004.0685014120509</v>
      </c>
      <c r="V307">
        <v>6969.7363135235028</v>
      </c>
      <c r="W307">
        <v>6935.5757865743981</v>
      </c>
      <c r="X307">
        <v>6901.5860622600394</v>
      </c>
      <c r="Y307">
        <v>6867.7662865672519</v>
      </c>
      <c r="Z307">
        <v>6834.1156097529283</v>
      </c>
      <c r="AA307">
        <v>6800.633186322676</v>
      </c>
      <c r="AB307">
        <v>6767.3181750095755</v>
      </c>
      <c r="AC307">
        <v>6734.1697387530403</v>
      </c>
      <c r="AD307">
        <v>6701.1870446777875</v>
      </c>
      <c r="AE307">
        <v>6668.3692640729114</v>
      </c>
      <c r="AF307">
        <v>6635.7155723710594</v>
      </c>
      <c r="AG307">
        <v>6603.2251491277166</v>
      </c>
      <c r="AH307">
        <v>6570.8971780005904</v>
      </c>
      <c r="AI307">
        <v>6538.7308467290995</v>
      </c>
      <c r="AJ307">
        <v>6506.7253471139666</v>
      </c>
    </row>
    <row r="308" spans="1:36" x14ac:dyDescent="0.35">
      <c r="A308" t="s">
        <v>1806</v>
      </c>
      <c r="B308" t="s">
        <v>1342</v>
      </c>
      <c r="C308" t="s">
        <v>1350</v>
      </c>
      <c r="D308">
        <v>30</v>
      </c>
      <c r="E308" t="s">
        <v>236</v>
      </c>
      <c r="F308" t="s">
        <v>1803</v>
      </c>
      <c r="G308" t="s">
        <v>1804</v>
      </c>
      <c r="H308">
        <v>11222.814937496349</v>
      </c>
      <c r="I308">
        <v>11167.426786525088</v>
      </c>
      <c r="J308">
        <v>11112.315576308683</v>
      </c>
      <c r="K308">
        <v>11057.47992214336</v>
      </c>
      <c r="L308">
        <v>11002.918446248865</v>
      </c>
      <c r="M308">
        <v>10948.629777733842</v>
      </c>
      <c r="N308">
        <v>10894.612552561393</v>
      </c>
      <c r="O308">
        <v>10840.86541351481</v>
      </c>
      <c r="P308">
        <v>10787.387010163457</v>
      </c>
      <c r="Q308">
        <v>10734.175998828861</v>
      </c>
      <c r="R308">
        <v>10681.231042550939</v>
      </c>
      <c r="S308">
        <v>10628.550811054407</v>
      </c>
      <c r="T308">
        <v>10576.133980715354</v>
      </c>
      <c r="U308">
        <v>10523.979234528</v>
      </c>
      <c r="V308">
        <v>10472.085262071581</v>
      </c>
      <c r="W308">
        <v>10420.450759477446</v>
      </c>
      <c r="X308">
        <v>10369.07442939628</v>
      </c>
      <c r="Y308">
        <v>10317.95498096552</v>
      </c>
      <c r="Z308">
        <v>10267.091129776914</v>
      </c>
      <c r="AA308">
        <v>10216.481597844251</v>
      </c>
      <c r="AB308">
        <v>10166.125113571252</v>
      </c>
      <c r="AC308">
        <v>10116.020411719617</v>
      </c>
      <c r="AD308">
        <v>10066.16623337724</v>
      </c>
      <c r="AE308">
        <v>10016.561325926576</v>
      </c>
      <c r="AF308">
        <v>9967.2044430131646</v>
      </c>
      <c r="AG308">
        <v>9918.0943445143184</v>
      </c>
      <c r="AH308">
        <v>9869.2297965079688</v>
      </c>
      <c r="AI308">
        <v>9820.60957124165</v>
      </c>
      <c r="AJ308">
        <v>9772.2324471016636</v>
      </c>
    </row>
    <row r="309" spans="1:36" x14ac:dyDescent="0.35">
      <c r="A309" t="s">
        <v>1807</v>
      </c>
      <c r="B309" t="s">
        <v>1342</v>
      </c>
      <c r="C309" t="s">
        <v>1343</v>
      </c>
      <c r="D309">
        <v>30</v>
      </c>
      <c r="E309" t="s">
        <v>236</v>
      </c>
      <c r="F309" t="s">
        <v>1808</v>
      </c>
      <c r="G309" t="s">
        <v>1809</v>
      </c>
      <c r="H309">
        <v>19757.402723448398</v>
      </c>
      <c r="I309">
        <v>16486.865872362592</v>
      </c>
      <c r="J309">
        <v>14303.072745769601</v>
      </c>
      <c r="K309">
        <v>12718.842967932736</v>
      </c>
      <c r="L309">
        <v>11504.996480498821</v>
      </c>
      <c r="M309">
        <v>10538.128242601697</v>
      </c>
      <c r="N309">
        <v>9745.3114133506842</v>
      </c>
      <c r="O309">
        <v>9080.4046754139272</v>
      </c>
      <c r="P309">
        <v>8512.6446948762477</v>
      </c>
      <c r="Q309">
        <v>8020.6519283229154</v>
      </c>
      <c r="R309">
        <v>7589.0586319414369</v>
      </c>
      <c r="S309">
        <v>7206.5050835625116</v>
      </c>
      <c r="T309">
        <v>6864.3939290969292</v>
      </c>
      <c r="U309">
        <v>6556.0859992899532</v>
      </c>
      <c r="V309">
        <v>6523.9725312535338</v>
      </c>
      <c r="W309">
        <v>6492.0196305572963</v>
      </c>
      <c r="X309">
        <v>6460.2264943645405</v>
      </c>
      <c r="Y309">
        <v>6428.5923238527466</v>
      </c>
      <c r="Z309">
        <v>6397.1163241935128</v>
      </c>
      <c r="AA309">
        <v>6365.7977045325752</v>
      </c>
      <c r="AB309">
        <v>6334.6356779699427</v>
      </c>
      <c r="AC309">
        <v>6303.629461540123</v>
      </c>
      <c r="AD309">
        <v>6272.7782761924527</v>
      </c>
      <c r="AE309">
        <v>6242.0813467715207</v>
      </c>
      <c r="AF309">
        <v>6211.5379019976926</v>
      </c>
      <c r="AG309">
        <v>6181.147174447734</v>
      </c>
      <c r="AH309">
        <v>6150.9084005355244</v>
      </c>
      <c r="AI309">
        <v>6120.8208204928769</v>
      </c>
      <c r="AJ309">
        <v>6090.883678350443</v>
      </c>
    </row>
    <row r="310" spans="1:36" x14ac:dyDescent="0.35">
      <c r="A310" t="s">
        <v>1810</v>
      </c>
      <c r="B310" t="s">
        <v>1342</v>
      </c>
      <c r="C310" t="s">
        <v>1348</v>
      </c>
      <c r="D310">
        <v>30</v>
      </c>
      <c r="E310" t="s">
        <v>236</v>
      </c>
      <c r="F310" t="s">
        <v>1808</v>
      </c>
      <c r="G310" t="s">
        <v>1809</v>
      </c>
      <c r="H310">
        <v>19757.402723448398</v>
      </c>
      <c r="I310">
        <v>17883.288822426181</v>
      </c>
      <c r="J310">
        <v>16584.313345174382</v>
      </c>
      <c r="K310">
        <v>15602.851753879429</v>
      </c>
      <c r="L310">
        <v>14820.357943899182</v>
      </c>
      <c r="M310">
        <v>14173.13035022212</v>
      </c>
      <c r="N310">
        <v>13623.261978640388</v>
      </c>
      <c r="O310">
        <v>13146.495302885201</v>
      </c>
      <c r="P310">
        <v>12726.436931790544</v>
      </c>
      <c r="Q310">
        <v>12351.526553243126</v>
      </c>
      <c r="R310">
        <v>12013.328874493473</v>
      </c>
      <c r="S310">
        <v>11705.513890460217</v>
      </c>
      <c r="T310">
        <v>11423.218820646913</v>
      </c>
      <c r="U310">
        <v>11162.632987477913</v>
      </c>
      <c r="V310">
        <v>11107.507977159035</v>
      </c>
      <c r="W310">
        <v>11052.658591891754</v>
      </c>
      <c r="X310">
        <v>10998.083453550807</v>
      </c>
      <c r="Y310">
        <v>10943.781190901565</v>
      </c>
      <c r="Z310">
        <v>10889.750439565569</v>
      </c>
      <c r="AA310">
        <v>10835.989841986253</v>
      </c>
      <c r="AB310">
        <v>10782.498047394834</v>
      </c>
      <c r="AC310">
        <v>10729.273711776374</v>
      </c>
      <c r="AD310">
        <v>10676.315497836003</v>
      </c>
      <c r="AE310">
        <v>10623.622074965337</v>
      </c>
      <c r="AF310">
        <v>10571.192119209021</v>
      </c>
      <c r="AG310">
        <v>10519.02431323149</v>
      </c>
      <c r="AH310">
        <v>10467.117346283843</v>
      </c>
      <c r="AI310">
        <v>10415.469914170937</v>
      </c>
      <c r="AJ310">
        <v>10364.080719218595</v>
      </c>
    </row>
    <row r="311" spans="1:36" x14ac:dyDescent="0.35">
      <c r="A311" t="s">
        <v>1811</v>
      </c>
      <c r="B311" t="s">
        <v>1342</v>
      </c>
      <c r="C311" t="s">
        <v>1350</v>
      </c>
      <c r="D311">
        <v>30</v>
      </c>
      <c r="E311" t="s">
        <v>236</v>
      </c>
      <c r="F311" t="s">
        <v>1808</v>
      </c>
      <c r="G311" t="s">
        <v>1809</v>
      </c>
      <c r="H311">
        <v>19757.402723448398</v>
      </c>
      <c r="I311">
        <v>19659.341633547381</v>
      </c>
      <c r="J311">
        <v>19561.770849095865</v>
      </c>
      <c r="K311">
        <v>19464.687918566608</v>
      </c>
      <c r="L311">
        <v>19368.090402689999</v>
      </c>
      <c r="M311">
        <v>19271.975874392767</v>
      </c>
      <c r="N311">
        <v>19176.341918737024</v>
      </c>
      <c r="O311">
        <v>19081.186132859562</v>
      </c>
      <c r="P311">
        <v>18986.506125911485</v>
      </c>
      <c r="Q311">
        <v>18892.299518998148</v>
      </c>
      <c r="R311">
        <v>18798.563945119378</v>
      </c>
      <c r="S311">
        <v>18705.297049110002</v>
      </c>
      <c r="T311">
        <v>18612.496487580673</v>
      </c>
      <c r="U311">
        <v>18520.159928858993</v>
      </c>
      <c r="V311">
        <v>18428.285052930922</v>
      </c>
      <c r="W311">
        <v>18336.869551382486</v>
      </c>
      <c r="X311">
        <v>18245.911127341795</v>
      </c>
      <c r="Y311">
        <v>18155.40749542131</v>
      </c>
      <c r="Z311">
        <v>18065.356381660422</v>
      </c>
      <c r="AA311">
        <v>17975.755523468342</v>
      </c>
      <c r="AB311">
        <v>17886.602669567219</v>
      </c>
      <c r="AC311">
        <v>17797.895579935608</v>
      </c>
      <c r="AD311">
        <v>17709.632025752151</v>
      </c>
      <c r="AE311">
        <v>17621.809789339612</v>
      </c>
      <c r="AF311">
        <v>17534.426664109131</v>
      </c>
      <c r="AG311">
        <v>17447.48045450481</v>
      </c>
      <c r="AH311">
        <v>17360.968975948505</v>
      </c>
      <c r="AI311">
        <v>17274.890054784984</v>
      </c>
      <c r="AJ311">
        <v>17189.241528227281</v>
      </c>
    </row>
    <row r="312" spans="1:36" x14ac:dyDescent="0.35">
      <c r="A312" t="s">
        <v>1812</v>
      </c>
      <c r="B312" t="s">
        <v>1342</v>
      </c>
      <c r="C312" t="s">
        <v>1343</v>
      </c>
      <c r="D312">
        <v>60</v>
      </c>
      <c r="E312" t="s">
        <v>692</v>
      </c>
      <c r="F312" t="s">
        <v>692</v>
      </c>
      <c r="G312" t="s">
        <v>1813</v>
      </c>
      <c r="P312">
        <v>6471.3372806070765</v>
      </c>
      <c r="Q312">
        <v>6168.9383422609517</v>
      </c>
      <c r="R312">
        <v>5866.5394039148268</v>
      </c>
      <c r="S312">
        <v>5564.1404655687011</v>
      </c>
      <c r="T312">
        <v>5261.7415272225762</v>
      </c>
      <c r="U312">
        <v>4959.3425888764514</v>
      </c>
      <c r="V312">
        <v>4717.4234381995511</v>
      </c>
      <c r="W312">
        <v>4475.5042875226509</v>
      </c>
      <c r="X312">
        <v>4233.5851368457515</v>
      </c>
      <c r="Y312">
        <v>3991.6659861688508</v>
      </c>
      <c r="Z312">
        <v>3749.7468354919511</v>
      </c>
      <c r="AA312">
        <v>3628.7872601535009</v>
      </c>
      <c r="AB312">
        <v>3507.8276848150508</v>
      </c>
      <c r="AC312">
        <v>3386.8681094766007</v>
      </c>
      <c r="AD312">
        <v>3265.908534138151</v>
      </c>
      <c r="AE312">
        <v>3144.9489587997009</v>
      </c>
      <c r="AF312">
        <v>3084.4691711304758</v>
      </c>
      <c r="AG312">
        <v>3023.9893834612508</v>
      </c>
      <c r="AH312">
        <v>2963.5095957920257</v>
      </c>
      <c r="AI312">
        <v>2903.0298081228007</v>
      </c>
      <c r="AJ312">
        <v>2842.5500204535756</v>
      </c>
    </row>
    <row r="313" spans="1:36" x14ac:dyDescent="0.35">
      <c r="A313" t="s">
        <v>1814</v>
      </c>
      <c r="B313" t="s">
        <v>1342</v>
      </c>
      <c r="C313" t="s">
        <v>1348</v>
      </c>
      <c r="D313">
        <v>60</v>
      </c>
      <c r="E313" t="s">
        <v>692</v>
      </c>
      <c r="F313" t="s">
        <v>692</v>
      </c>
      <c r="G313" t="s">
        <v>1813</v>
      </c>
      <c r="P313">
        <v>7616.3589699540007</v>
      </c>
      <c r="Q313">
        <v>7551.2618847407184</v>
      </c>
      <c r="R313">
        <v>7486.164799527437</v>
      </c>
      <c r="S313">
        <v>7421.0677143141547</v>
      </c>
      <c r="T313">
        <v>7355.9706291008724</v>
      </c>
      <c r="U313">
        <v>7290.8735438875901</v>
      </c>
      <c r="V313">
        <v>7095.5822882477441</v>
      </c>
      <c r="W313">
        <v>6900.2910326078982</v>
      </c>
      <c r="X313">
        <v>6704.9997769680522</v>
      </c>
      <c r="Y313">
        <v>6509.7085213282062</v>
      </c>
      <c r="Z313">
        <v>6314.4172656883593</v>
      </c>
      <c r="AA313">
        <v>6184.2230952617956</v>
      </c>
      <c r="AB313">
        <v>6054.028924835231</v>
      </c>
      <c r="AC313">
        <v>5923.8347544086673</v>
      </c>
      <c r="AD313">
        <v>5793.6405839821027</v>
      </c>
      <c r="AE313">
        <v>5663.446413555539</v>
      </c>
      <c r="AF313">
        <v>5533.2522431289754</v>
      </c>
      <c r="AG313">
        <v>5403.0580727024108</v>
      </c>
      <c r="AH313">
        <v>5272.8639022758471</v>
      </c>
      <c r="AI313">
        <v>5142.6697318492825</v>
      </c>
      <c r="AJ313">
        <v>5012.4755614227188</v>
      </c>
    </row>
    <row r="314" spans="1:36" x14ac:dyDescent="0.35">
      <c r="A314" t="s">
        <v>1815</v>
      </c>
      <c r="B314" t="s">
        <v>1342</v>
      </c>
      <c r="C314" t="s">
        <v>1350</v>
      </c>
      <c r="D314">
        <v>60</v>
      </c>
      <c r="E314" t="s">
        <v>692</v>
      </c>
      <c r="F314" t="s">
        <v>692</v>
      </c>
      <c r="G314" t="s">
        <v>1813</v>
      </c>
      <c r="P314">
        <v>11836.117690043655</v>
      </c>
      <c r="Q314">
        <v>11836.117690043655</v>
      </c>
      <c r="R314">
        <v>11836.117690043655</v>
      </c>
      <c r="S314">
        <v>11836.117690043655</v>
      </c>
      <c r="T314">
        <v>11836.117690043655</v>
      </c>
      <c r="U314">
        <v>11836.117690043655</v>
      </c>
      <c r="V314">
        <v>11760.728405393696</v>
      </c>
      <c r="W314">
        <v>11685.339120743736</v>
      </c>
      <c r="X314">
        <v>11609.949836093776</v>
      </c>
      <c r="Y314">
        <v>11534.560551443818</v>
      </c>
      <c r="Z314">
        <v>11459.171266793857</v>
      </c>
      <c r="AA314">
        <v>11233.003412843978</v>
      </c>
      <c r="AB314">
        <v>11006.835558894099</v>
      </c>
      <c r="AC314">
        <v>10780.667704944221</v>
      </c>
      <c r="AD314">
        <v>10554.499850994342</v>
      </c>
      <c r="AE314">
        <v>10328.331997044463</v>
      </c>
      <c r="AF314">
        <v>10102.164143094584</v>
      </c>
      <c r="AG314">
        <v>9875.9962891447067</v>
      </c>
      <c r="AH314">
        <v>9649.8284351948278</v>
      </c>
      <c r="AI314">
        <v>9423.6605812449488</v>
      </c>
      <c r="AJ314">
        <v>9197.4927272950699</v>
      </c>
    </row>
    <row r="315" spans="1:36" x14ac:dyDescent="0.35">
      <c r="A315" t="s">
        <v>1816</v>
      </c>
      <c r="B315" t="s">
        <v>1342</v>
      </c>
      <c r="C315" t="s">
        <v>1343</v>
      </c>
      <c r="D315">
        <v>60</v>
      </c>
      <c r="E315" t="s">
        <v>692</v>
      </c>
      <c r="F315" t="s">
        <v>1817</v>
      </c>
      <c r="G315" t="s">
        <v>1818</v>
      </c>
      <c r="P315">
        <v>6416.7402694688953</v>
      </c>
      <c r="Q315">
        <v>5901.1093549580028</v>
      </c>
      <c r="R315">
        <v>5385.4784404471093</v>
      </c>
      <c r="S315">
        <v>4869.8475259362158</v>
      </c>
      <c r="T315">
        <v>4354.2166114253223</v>
      </c>
      <c r="U315">
        <v>3838.5856969144288</v>
      </c>
      <c r="V315">
        <v>3666.7087254107978</v>
      </c>
      <c r="W315">
        <v>3494.8317539071663</v>
      </c>
      <c r="X315">
        <v>3322.9547824035353</v>
      </c>
      <c r="Y315">
        <v>3151.0778108999043</v>
      </c>
      <c r="Z315">
        <v>2979.2008393962728</v>
      </c>
      <c r="AA315">
        <v>2921.9085155617295</v>
      </c>
      <c r="AB315">
        <v>2864.6161917271857</v>
      </c>
      <c r="AC315">
        <v>2807.3238678926418</v>
      </c>
      <c r="AD315">
        <v>2750.031544058098</v>
      </c>
      <c r="AE315">
        <v>2692.7392202235546</v>
      </c>
      <c r="AF315">
        <v>2635.4468963890108</v>
      </c>
      <c r="AG315">
        <v>2578.154572554467</v>
      </c>
      <c r="AH315">
        <v>2520.8622487199232</v>
      </c>
      <c r="AI315">
        <v>2463.5699248853798</v>
      </c>
      <c r="AJ315">
        <v>2406.277601050836</v>
      </c>
    </row>
    <row r="316" spans="1:36" x14ac:dyDescent="0.35">
      <c r="A316" t="s">
        <v>1819</v>
      </c>
      <c r="B316" t="s">
        <v>1342</v>
      </c>
      <c r="C316" t="s">
        <v>1348</v>
      </c>
      <c r="D316">
        <v>60</v>
      </c>
      <c r="E316" t="s">
        <v>692</v>
      </c>
      <c r="F316" t="s">
        <v>1817</v>
      </c>
      <c r="G316" t="s">
        <v>1818</v>
      </c>
      <c r="P316">
        <v>9650.0006770511991</v>
      </c>
      <c r="Q316">
        <v>9292.5932445678227</v>
      </c>
      <c r="R316">
        <v>8935.1858120844445</v>
      </c>
      <c r="S316">
        <v>8577.7783796010663</v>
      </c>
      <c r="T316">
        <v>8220.370947117688</v>
      </c>
      <c r="U316">
        <v>7862.9635146343107</v>
      </c>
      <c r="V316">
        <v>7565.1239875648289</v>
      </c>
      <c r="W316">
        <v>7267.284460495348</v>
      </c>
      <c r="X316">
        <v>6969.4449334258661</v>
      </c>
      <c r="Y316">
        <v>6671.6054063563852</v>
      </c>
      <c r="Z316">
        <v>6373.7658792869033</v>
      </c>
      <c r="AA316">
        <v>6195.0621630452142</v>
      </c>
      <c r="AB316">
        <v>6016.358446803526</v>
      </c>
      <c r="AC316">
        <v>5837.6547305618369</v>
      </c>
      <c r="AD316">
        <v>5658.9510143201478</v>
      </c>
      <c r="AE316">
        <v>5480.2472980784587</v>
      </c>
      <c r="AF316">
        <v>5361.1114872506669</v>
      </c>
      <c r="AG316">
        <v>5241.9756764228741</v>
      </c>
      <c r="AH316">
        <v>5122.8398655950814</v>
      </c>
      <c r="AI316">
        <v>5003.7040547672887</v>
      </c>
      <c r="AJ316">
        <v>4884.5682439394959</v>
      </c>
    </row>
    <row r="317" spans="1:36" x14ac:dyDescent="0.35">
      <c r="A317" t="s">
        <v>1820</v>
      </c>
      <c r="B317" t="s">
        <v>1342</v>
      </c>
      <c r="C317" t="s">
        <v>1350</v>
      </c>
      <c r="D317">
        <v>60</v>
      </c>
      <c r="E317" t="s">
        <v>692</v>
      </c>
      <c r="F317" t="s">
        <v>1817</v>
      </c>
      <c r="G317" t="s">
        <v>1818</v>
      </c>
      <c r="P317">
        <v>12681.1268480299</v>
      </c>
      <c r="Q317">
        <v>12555.571136663268</v>
      </c>
      <c r="R317">
        <v>12430.015425296635</v>
      </c>
      <c r="S317">
        <v>12304.459713930002</v>
      </c>
      <c r="T317">
        <v>12178.904002563369</v>
      </c>
      <c r="U317">
        <v>12053.348291196737</v>
      </c>
      <c r="V317">
        <v>11676.68115709684</v>
      </c>
      <c r="W317">
        <v>11300.014022996942</v>
      </c>
      <c r="X317">
        <v>10923.346888897044</v>
      </c>
      <c r="Y317">
        <v>10546.679754797146</v>
      </c>
      <c r="Z317">
        <v>10170.012620697247</v>
      </c>
      <c r="AA317">
        <v>9918.9011979639818</v>
      </c>
      <c r="AB317">
        <v>9667.7897752307163</v>
      </c>
      <c r="AC317">
        <v>9416.6783524974508</v>
      </c>
      <c r="AD317">
        <v>9165.5669297641853</v>
      </c>
      <c r="AE317">
        <v>8914.4555070309198</v>
      </c>
      <c r="AF317">
        <v>8726.1219399809706</v>
      </c>
      <c r="AG317">
        <v>8537.7883729310233</v>
      </c>
      <c r="AH317">
        <v>8349.4548058810742</v>
      </c>
      <c r="AI317">
        <v>8161.1212388311242</v>
      </c>
      <c r="AJ317">
        <v>7972.787671781175</v>
      </c>
    </row>
    <row r="318" spans="1:36" x14ac:dyDescent="0.35">
      <c r="A318" t="s">
        <v>1821</v>
      </c>
      <c r="B318" t="s">
        <v>1342</v>
      </c>
      <c r="C318" t="s">
        <v>1343</v>
      </c>
      <c r="D318">
        <v>45</v>
      </c>
      <c r="E318" t="s">
        <v>1822</v>
      </c>
      <c r="F318" t="s">
        <v>1823</v>
      </c>
      <c r="G318" t="s">
        <v>1824</v>
      </c>
      <c r="H318">
        <v>5528.1878265098676</v>
      </c>
      <c r="I318">
        <v>5341.3269333725566</v>
      </c>
      <c r="J318">
        <v>5154.4660402352456</v>
      </c>
      <c r="K318">
        <v>5005.7759007027753</v>
      </c>
      <c r="L318">
        <v>4914.7518754108132</v>
      </c>
      <c r="M318">
        <v>4866.5479305237986</v>
      </c>
      <c r="N318">
        <v>4835.241744862692</v>
      </c>
      <c r="O318">
        <v>4806.2403019008552</v>
      </c>
      <c r="P318">
        <v>4778.0927767487401</v>
      </c>
      <c r="Q318">
        <v>4741.9193411772094</v>
      </c>
      <c r="R318">
        <v>4708.4596979176813</v>
      </c>
      <c r="S318">
        <v>4680.4140436519474</v>
      </c>
      <c r="T318">
        <v>4651.0768052875637</v>
      </c>
      <c r="U318">
        <v>4622.5806269258837</v>
      </c>
      <c r="V318">
        <v>4589.9379885730841</v>
      </c>
      <c r="W318">
        <v>4557.5788081780674</v>
      </c>
      <c r="X318">
        <v>4527.9623751022509</v>
      </c>
      <c r="Y318">
        <v>4493.3161277046429</v>
      </c>
      <c r="Z318">
        <v>4463.2480811686391</v>
      </c>
      <c r="AA318">
        <v>4436.3292638216944</v>
      </c>
      <c r="AB318">
        <v>4404.5306787021609</v>
      </c>
      <c r="AC318">
        <v>4376.4334055377112</v>
      </c>
      <c r="AD318">
        <v>4346.0386129397784</v>
      </c>
      <c r="AE318">
        <v>4313.6692170867818</v>
      </c>
      <c r="AF318">
        <v>4281.9569934846168</v>
      </c>
      <c r="AG318">
        <v>4251.8996035352047</v>
      </c>
      <c r="AH318">
        <v>4219.9512930486353</v>
      </c>
      <c r="AI318">
        <v>4186.1967021600285</v>
      </c>
      <c r="AJ318">
        <v>4135.4579723254219</v>
      </c>
    </row>
    <row r="319" spans="1:36" x14ac:dyDescent="0.35">
      <c r="A319" t="s">
        <v>1825</v>
      </c>
      <c r="B319" t="s">
        <v>1342</v>
      </c>
      <c r="C319" t="s">
        <v>1348</v>
      </c>
      <c r="D319">
        <v>45</v>
      </c>
      <c r="E319" t="s">
        <v>1822</v>
      </c>
      <c r="F319" t="s">
        <v>1823</v>
      </c>
      <c r="G319" t="s">
        <v>1824</v>
      </c>
      <c r="H319">
        <v>5528.1878265098676</v>
      </c>
      <c r="I319">
        <v>5341.3269333725566</v>
      </c>
      <c r="J319">
        <v>5154.4660402352456</v>
      </c>
      <c r="K319">
        <v>5005.7759007027753</v>
      </c>
      <c r="L319">
        <v>4914.7518754108132</v>
      </c>
      <c r="M319">
        <v>4866.5479305237986</v>
      </c>
      <c r="N319">
        <v>4835.241744862692</v>
      </c>
      <c r="O319">
        <v>4806.2403019008552</v>
      </c>
      <c r="P319">
        <v>4778.0927767487401</v>
      </c>
      <c r="Q319">
        <v>4741.9193411772094</v>
      </c>
      <c r="R319">
        <v>4708.4596979176813</v>
      </c>
      <c r="S319">
        <v>4680.4140436519474</v>
      </c>
      <c r="T319">
        <v>4651.0768052875637</v>
      </c>
      <c r="U319">
        <v>4622.5806269258837</v>
      </c>
      <c r="V319">
        <v>4589.9379885730841</v>
      </c>
      <c r="W319">
        <v>4557.5788081780674</v>
      </c>
      <c r="X319">
        <v>4527.9623751022509</v>
      </c>
      <c r="Y319">
        <v>4493.3161277046429</v>
      </c>
      <c r="Z319">
        <v>4463.2480811686391</v>
      </c>
      <c r="AA319">
        <v>4436.3292638216944</v>
      </c>
      <c r="AB319">
        <v>4404.5306787021609</v>
      </c>
      <c r="AC319">
        <v>4376.4334055377112</v>
      </c>
      <c r="AD319">
        <v>4346.0386129397784</v>
      </c>
      <c r="AE319">
        <v>4313.6692170867818</v>
      </c>
      <c r="AF319">
        <v>4281.9569934846168</v>
      </c>
      <c r="AG319">
        <v>4251.8996035352047</v>
      </c>
      <c r="AH319">
        <v>4219.9512930486353</v>
      </c>
      <c r="AI319">
        <v>4186.1967021600285</v>
      </c>
      <c r="AJ319">
        <v>4135.4579723254219</v>
      </c>
    </row>
    <row r="320" spans="1:36" x14ac:dyDescent="0.35">
      <c r="A320" t="s">
        <v>1826</v>
      </c>
      <c r="B320" t="s">
        <v>1342</v>
      </c>
      <c r="C320" t="s">
        <v>1350</v>
      </c>
      <c r="D320">
        <v>45</v>
      </c>
      <c r="E320" t="s">
        <v>1822</v>
      </c>
      <c r="F320" t="s">
        <v>1823</v>
      </c>
      <c r="G320" t="s">
        <v>1824</v>
      </c>
      <c r="H320">
        <v>5528.1878265098676</v>
      </c>
      <c r="I320">
        <v>5341.3269333725566</v>
      </c>
      <c r="J320">
        <v>5154.4660402352456</v>
      </c>
      <c r="K320">
        <v>5005.7759007027753</v>
      </c>
      <c r="L320">
        <v>4914.7518754108132</v>
      </c>
      <c r="M320">
        <v>4866.5479305237986</v>
      </c>
      <c r="N320">
        <v>4835.241744862692</v>
      </c>
      <c r="O320">
        <v>4806.2403019008552</v>
      </c>
      <c r="P320">
        <v>4778.0927767487401</v>
      </c>
      <c r="Q320">
        <v>4741.9193411772094</v>
      </c>
      <c r="R320">
        <v>4708.4596979176813</v>
      </c>
      <c r="S320">
        <v>4680.4140436519474</v>
      </c>
      <c r="T320">
        <v>4651.0768052875637</v>
      </c>
      <c r="U320">
        <v>4622.5806269258837</v>
      </c>
      <c r="V320">
        <v>4589.9379885730841</v>
      </c>
      <c r="W320">
        <v>4557.5788081780674</v>
      </c>
      <c r="X320">
        <v>4527.9623751022509</v>
      </c>
      <c r="Y320">
        <v>4493.3161277046429</v>
      </c>
      <c r="Z320">
        <v>4463.2480811686391</v>
      </c>
      <c r="AA320">
        <v>4436.3292638216944</v>
      </c>
      <c r="AB320">
        <v>4404.5306787021609</v>
      </c>
      <c r="AC320">
        <v>4376.4334055377112</v>
      </c>
      <c r="AD320">
        <v>4346.0386129397784</v>
      </c>
      <c r="AE320">
        <v>4313.6692170867818</v>
      </c>
      <c r="AF320">
        <v>4281.9569934846168</v>
      </c>
      <c r="AG320">
        <v>4251.8996035352047</v>
      </c>
      <c r="AH320">
        <v>4219.9512930486353</v>
      </c>
      <c r="AI320">
        <v>4186.1967021600285</v>
      </c>
      <c r="AJ320">
        <v>4135.4579723254219</v>
      </c>
    </row>
    <row r="321" spans="1:36" x14ac:dyDescent="0.35">
      <c r="A321" t="s">
        <v>1827</v>
      </c>
      <c r="B321" t="s">
        <v>1342</v>
      </c>
      <c r="C321" t="s">
        <v>1343</v>
      </c>
      <c r="D321" t="s">
        <v>555</v>
      </c>
      <c r="E321" t="s">
        <v>1828</v>
      </c>
      <c r="F321" t="s">
        <v>1829</v>
      </c>
      <c r="G321" t="s">
        <v>1830</v>
      </c>
      <c r="H321">
        <v>1290.3512471521203</v>
      </c>
      <c r="I321">
        <v>1278.1807523378366</v>
      </c>
      <c r="J321">
        <v>1073.3103397431776</v>
      </c>
      <c r="K321">
        <v>867.98842630218655</v>
      </c>
      <c r="L321">
        <v>835.73001199070131</v>
      </c>
      <c r="M321">
        <v>803.44283981380681</v>
      </c>
      <c r="N321">
        <v>771.20552899124641</v>
      </c>
      <c r="O321">
        <v>738.98271783584107</v>
      </c>
      <c r="P321">
        <v>706.07990395138165</v>
      </c>
      <c r="Q321">
        <v>695.43162989427628</v>
      </c>
      <c r="R321">
        <v>684.78337069601332</v>
      </c>
      <c r="S321">
        <v>674.79553617813144</v>
      </c>
      <c r="T321">
        <v>664.14666502024579</v>
      </c>
      <c r="U321">
        <v>652.79199804711766</v>
      </c>
      <c r="V321">
        <v>642.80744769257672</v>
      </c>
      <c r="W321">
        <v>632.15771244967539</v>
      </c>
      <c r="X321">
        <v>621.50793380415507</v>
      </c>
      <c r="Y321">
        <v>610.85810900900628</v>
      </c>
      <c r="Z321">
        <v>600.88168906672308</v>
      </c>
      <c r="AA321">
        <v>590.23128024802202</v>
      </c>
      <c r="AB321">
        <v>578.86018377715925</v>
      </c>
      <c r="AC321">
        <v>568.20900373410871</v>
      </c>
      <c r="AD321">
        <v>558.23668983761593</v>
      </c>
      <c r="AE321">
        <v>547.58484849005504</v>
      </c>
      <c r="AF321">
        <v>536.93284732199936</v>
      </c>
      <c r="AG321">
        <v>526.28067387986323</v>
      </c>
      <c r="AH321">
        <v>516.32010181488965</v>
      </c>
      <c r="AI321">
        <v>505.66741816495539</v>
      </c>
      <c r="AJ321">
        <v>494.27121994793703</v>
      </c>
    </row>
    <row r="322" spans="1:36" x14ac:dyDescent="0.35">
      <c r="A322" t="s">
        <v>1831</v>
      </c>
      <c r="B322" t="s">
        <v>1342</v>
      </c>
      <c r="C322" t="s">
        <v>1348</v>
      </c>
      <c r="D322" t="s">
        <v>555</v>
      </c>
      <c r="E322" t="s">
        <v>1828</v>
      </c>
      <c r="F322" t="s">
        <v>1829</v>
      </c>
      <c r="G322" t="s">
        <v>1830</v>
      </c>
      <c r="H322">
        <v>1290.3512471521203</v>
      </c>
      <c r="I322">
        <v>1278.1807523378366</v>
      </c>
      <c r="J322">
        <v>1200.6968043851577</v>
      </c>
      <c r="K322">
        <v>1068.896874034551</v>
      </c>
      <c r="L322">
        <v>1043.4058623301239</v>
      </c>
      <c r="M322">
        <v>1017.9620266767472</v>
      </c>
      <c r="N322">
        <v>992.57106991617354</v>
      </c>
      <c r="O322">
        <v>967.23965266168386</v>
      </c>
      <c r="P322">
        <v>941.97560317803834</v>
      </c>
      <c r="Q322">
        <v>930.46602340659774</v>
      </c>
      <c r="R322">
        <v>918.94843721636198</v>
      </c>
      <c r="S322">
        <v>907.42253268640843</v>
      </c>
      <c r="T322">
        <v>895.88798147985347</v>
      </c>
      <c r="U322">
        <v>884.34443774952217</v>
      </c>
      <c r="V322">
        <v>872.79153695488594</v>
      </c>
      <c r="W322">
        <v>861.22889458177292</v>
      </c>
      <c r="X322">
        <v>849.65610475539313</v>
      </c>
      <c r="Y322">
        <v>838.07273873615895</v>
      </c>
      <c r="Z322">
        <v>826.47834328658837</v>
      </c>
      <c r="AA322">
        <v>814.87243889620413</v>
      </c>
      <c r="AB322">
        <v>803.25451784981931</v>
      </c>
      <c r="AC322">
        <v>791.62404212284389</v>
      </c>
      <c r="AD322">
        <v>779.98044108526767</v>
      </c>
      <c r="AE322">
        <v>768.32310899371703</v>
      </c>
      <c r="AF322">
        <v>756.65140224840889</v>
      </c>
      <c r="AG322">
        <v>744.96463638887917</v>
      </c>
      <c r="AH322">
        <v>733.26208279899538</v>
      </c>
      <c r="AI322">
        <v>721.54296508789662</v>
      </c>
      <c r="AJ322">
        <v>709.80645510905117</v>
      </c>
    </row>
    <row r="323" spans="1:36" x14ac:dyDescent="0.35">
      <c r="A323" t="s">
        <v>1832</v>
      </c>
      <c r="B323" t="s">
        <v>1342</v>
      </c>
      <c r="C323" t="s">
        <v>1350</v>
      </c>
      <c r="D323" t="s">
        <v>555</v>
      </c>
      <c r="E323" t="s">
        <v>1828</v>
      </c>
      <c r="F323" t="s">
        <v>1829</v>
      </c>
      <c r="G323" t="s">
        <v>1830</v>
      </c>
      <c r="H323">
        <v>1290.3512471521203</v>
      </c>
      <c r="I323">
        <v>1278.1807523378366</v>
      </c>
      <c r="J323">
        <v>1343.1502945215741</v>
      </c>
      <c r="K323">
        <v>1325.9239015975081</v>
      </c>
      <c r="L323">
        <v>1283.7289550688524</v>
      </c>
      <c r="M323">
        <v>1241.4903454531286</v>
      </c>
      <c r="N323">
        <v>1199.2034621833996</v>
      </c>
      <c r="O323">
        <v>1156.8630218790834</v>
      </c>
      <c r="P323">
        <v>1114.4629409705715</v>
      </c>
      <c r="Q323">
        <v>1107.5421525777483</v>
      </c>
      <c r="R323">
        <v>1100.6213641849251</v>
      </c>
      <c r="S323">
        <v>1093.7005757921017</v>
      </c>
      <c r="T323">
        <v>1086.7797873992783</v>
      </c>
      <c r="U323">
        <v>1079.8589990064552</v>
      </c>
      <c r="V323">
        <v>1072.9382106136318</v>
      </c>
      <c r="W323">
        <v>1066.0174222208086</v>
      </c>
      <c r="X323">
        <v>1059.0966338279852</v>
      </c>
      <c r="Y323">
        <v>1052.175845435162</v>
      </c>
      <c r="Z323">
        <v>1045.2550570423389</v>
      </c>
      <c r="AA323">
        <v>1038.3342686495155</v>
      </c>
      <c r="AB323">
        <v>1031.4134802566921</v>
      </c>
      <c r="AC323">
        <v>1024.4926918638689</v>
      </c>
      <c r="AD323">
        <v>1017.5719034710457</v>
      </c>
      <c r="AE323">
        <v>1010.6511150782225</v>
      </c>
      <c r="AF323">
        <v>1003.7303266853993</v>
      </c>
      <c r="AG323">
        <v>996.80953829257578</v>
      </c>
      <c r="AH323">
        <v>989.8887498997525</v>
      </c>
      <c r="AI323">
        <v>982.96796150692933</v>
      </c>
      <c r="AJ323">
        <v>976.0471731141065</v>
      </c>
    </row>
    <row r="324" spans="1:36" x14ac:dyDescent="0.35">
      <c r="A324" t="s">
        <v>1833</v>
      </c>
      <c r="B324" t="s">
        <v>1342</v>
      </c>
      <c r="C324" t="s">
        <v>1343</v>
      </c>
      <c r="D324" t="s">
        <v>555</v>
      </c>
      <c r="E324" t="s">
        <v>1828</v>
      </c>
      <c r="F324" t="s">
        <v>1834</v>
      </c>
      <c r="G324" t="s">
        <v>1835</v>
      </c>
      <c r="H324">
        <v>2100.7782310539828</v>
      </c>
      <c r="I324">
        <v>2080.2961823024893</v>
      </c>
      <c r="J324">
        <v>1735.5143272888677</v>
      </c>
      <c r="K324">
        <v>1390.744441423124</v>
      </c>
      <c r="L324">
        <v>1336.1121578568091</v>
      </c>
      <c r="M324">
        <v>1281.4806366526177</v>
      </c>
      <c r="N324">
        <v>1226.8477936393347</v>
      </c>
      <c r="O324">
        <v>1172.2145662443572</v>
      </c>
      <c r="P324">
        <v>1117.5993655115392</v>
      </c>
      <c r="Q324">
        <v>1099.8215954688535</v>
      </c>
      <c r="R324">
        <v>1082.0438250322645</v>
      </c>
      <c r="S324">
        <v>1064.2485469415349</v>
      </c>
      <c r="T324">
        <v>1046.4707927278064</v>
      </c>
      <c r="U324">
        <v>1028.7117489429795</v>
      </c>
      <c r="V324">
        <v>1010.9163837900946</v>
      </c>
      <c r="W324">
        <v>993.13865248299294</v>
      </c>
      <c r="X324">
        <v>975.36092232648105</v>
      </c>
      <c r="Y324">
        <v>957.58319339338152</v>
      </c>
      <c r="Z324">
        <v>939.78761270578082</v>
      </c>
      <c r="AA324">
        <v>922.00989925496515</v>
      </c>
      <c r="AB324">
        <v>904.25129101104494</v>
      </c>
      <c r="AC324">
        <v>886.47359800514846</v>
      </c>
      <c r="AD324">
        <v>868.67790846754303</v>
      </c>
      <c r="AE324">
        <v>850.90023299262475</v>
      </c>
      <c r="AF324">
        <v>833.12256175449829</v>
      </c>
      <c r="AG324">
        <v>815.34489508330455</v>
      </c>
      <c r="AH324">
        <v>797.54889427337503</v>
      </c>
      <c r="AI324">
        <v>779.77124112763215</v>
      </c>
      <c r="AJ324">
        <v>762.0132983232445</v>
      </c>
    </row>
    <row r="325" spans="1:36" x14ac:dyDescent="0.35">
      <c r="A325" t="s">
        <v>1836</v>
      </c>
      <c r="B325" t="s">
        <v>1342</v>
      </c>
      <c r="C325" t="s">
        <v>1348</v>
      </c>
      <c r="D325" t="s">
        <v>555</v>
      </c>
      <c r="E325" t="s">
        <v>1828</v>
      </c>
      <c r="F325" t="s">
        <v>1834</v>
      </c>
      <c r="G325" t="s">
        <v>1835</v>
      </c>
      <c r="H325">
        <v>2100.7782310539828</v>
      </c>
      <c r="I325">
        <v>2080.2961823024893</v>
      </c>
      <c r="J325">
        <v>1938.2036700623216</v>
      </c>
      <c r="K325">
        <v>1711.4029768169346</v>
      </c>
      <c r="L325">
        <v>1659.3941388521046</v>
      </c>
      <c r="M325">
        <v>1607.3814859044201</v>
      </c>
      <c r="N325">
        <v>1555.364556802524</v>
      </c>
      <c r="O325">
        <v>1503.3428129230058</v>
      </c>
      <c r="P325">
        <v>1451.3156212180554</v>
      </c>
      <c r="Q325">
        <v>1430.5304310769061</v>
      </c>
      <c r="R325">
        <v>1409.7458883903391</v>
      </c>
      <c r="S325">
        <v>1388.962018382445</v>
      </c>
      <c r="T325">
        <v>1368.1788476048221</v>
      </c>
      <c r="U325">
        <v>1347.3964040250733</v>
      </c>
      <c r="V325">
        <v>1326.614717122475</v>
      </c>
      <c r="W325">
        <v>1305.8338179915115</v>
      </c>
      <c r="X325">
        <v>1285.0537394540352</v>
      </c>
      <c r="Y325">
        <v>1264.2745161809034</v>
      </c>
      <c r="Z325">
        <v>1243.496184824045</v>
      </c>
      <c r="AA325">
        <v>1222.7187841600041</v>
      </c>
      <c r="AB325">
        <v>1201.9423552461542</v>
      </c>
      <c r="AC325">
        <v>1181.1669415908968</v>
      </c>
      <c r="AD325">
        <v>1160.3925893393343</v>
      </c>
      <c r="AE325">
        <v>1139.6193474760794</v>
      </c>
      <c r="AF325">
        <v>1118.8472680470768</v>
      </c>
      <c r="AG325">
        <v>1098.0764064025491</v>
      </c>
      <c r="AH325">
        <v>1077.3068214634529</v>
      </c>
      <c r="AI325">
        <v>1056.5385760141407</v>
      </c>
      <c r="AJ325">
        <v>1035.7717370242874</v>
      </c>
    </row>
    <row r="326" spans="1:36" x14ac:dyDescent="0.35">
      <c r="A326" t="s">
        <v>1837</v>
      </c>
      <c r="B326" t="s">
        <v>1342</v>
      </c>
      <c r="C326" t="s">
        <v>1350</v>
      </c>
      <c r="D326" t="s">
        <v>555</v>
      </c>
      <c r="E326" t="s">
        <v>1828</v>
      </c>
      <c r="F326" t="s">
        <v>1834</v>
      </c>
      <c r="G326" t="s">
        <v>1835</v>
      </c>
      <c r="H326">
        <v>2100.7782310539828</v>
      </c>
      <c r="I326">
        <v>2080.2961823024893</v>
      </c>
      <c r="J326">
        <v>2189.5379820256971</v>
      </c>
      <c r="K326">
        <v>2159.9427343892594</v>
      </c>
      <c r="L326">
        <v>2082.9348918283094</v>
      </c>
      <c r="M326">
        <v>2005.9280626793238</v>
      </c>
      <c r="N326">
        <v>1928.9223539526863</v>
      </c>
      <c r="O326">
        <v>1851.9178882746564</v>
      </c>
      <c r="P326">
        <v>1774.9148068437305</v>
      </c>
      <c r="Q326">
        <v>1763.4720481338179</v>
      </c>
      <c r="R326">
        <v>1752.0292894239051</v>
      </c>
      <c r="S326">
        <v>1740.5865307139925</v>
      </c>
      <c r="T326">
        <v>1729.1437720040797</v>
      </c>
      <c r="U326">
        <v>1717.7010132941671</v>
      </c>
      <c r="V326">
        <v>1706.258254584254</v>
      </c>
      <c r="W326">
        <v>1694.8154958743417</v>
      </c>
      <c r="X326">
        <v>1683.3727371644288</v>
      </c>
      <c r="Y326">
        <v>1671.929978454516</v>
      </c>
      <c r="Z326">
        <v>1660.4872197446034</v>
      </c>
      <c r="AA326">
        <v>1649.0444610346906</v>
      </c>
      <c r="AB326">
        <v>1637.6017023247775</v>
      </c>
      <c r="AC326">
        <v>1626.1589436148652</v>
      </c>
      <c r="AD326">
        <v>1614.7161849049526</v>
      </c>
      <c r="AE326">
        <v>1603.2734261950397</v>
      </c>
      <c r="AF326">
        <v>1591.8306674851272</v>
      </c>
      <c r="AG326">
        <v>1580.3879087752143</v>
      </c>
      <c r="AH326">
        <v>1568.9451500653013</v>
      </c>
      <c r="AI326">
        <v>1557.5023913553887</v>
      </c>
      <c r="AJ326">
        <v>1546.0596326454768</v>
      </c>
    </row>
    <row r="327" spans="1:36" x14ac:dyDescent="0.35">
      <c r="A327" t="s">
        <v>1838</v>
      </c>
      <c r="B327" t="s">
        <v>1342</v>
      </c>
      <c r="C327" t="s">
        <v>1343</v>
      </c>
      <c r="D327" t="s">
        <v>555</v>
      </c>
      <c r="E327" t="s">
        <v>1828</v>
      </c>
      <c r="F327" t="s">
        <v>1839</v>
      </c>
      <c r="G327" t="s">
        <v>1840</v>
      </c>
      <c r="H327">
        <v>2911.2052149558453</v>
      </c>
      <c r="I327">
        <v>2882.4116122671421</v>
      </c>
      <c r="J327">
        <v>2397.7183148345575</v>
      </c>
      <c r="K327">
        <v>1913.5004565440611</v>
      </c>
      <c r="L327">
        <v>1836.494303722917</v>
      </c>
      <c r="M327">
        <v>1759.5184334914286</v>
      </c>
      <c r="N327">
        <v>1682.4900582874227</v>
      </c>
      <c r="O327">
        <v>1605.4464146528737</v>
      </c>
      <c r="P327">
        <v>1529.1188270716973</v>
      </c>
      <c r="Q327">
        <v>1504.2115610434307</v>
      </c>
      <c r="R327">
        <v>1479.3042793685163</v>
      </c>
      <c r="S327">
        <v>1453.7015577049383</v>
      </c>
      <c r="T327">
        <v>1428.7949204353667</v>
      </c>
      <c r="U327">
        <v>1404.6314998388416</v>
      </c>
      <c r="V327">
        <v>1379.0253198876128</v>
      </c>
      <c r="W327">
        <v>1354.1195925163106</v>
      </c>
      <c r="X327">
        <v>1329.2139108488068</v>
      </c>
      <c r="Y327">
        <v>1304.3082777777565</v>
      </c>
      <c r="Z327">
        <v>1278.6935363448385</v>
      </c>
      <c r="AA327">
        <v>1253.7885182619084</v>
      </c>
      <c r="AB327">
        <v>1229.6423982449305</v>
      </c>
      <c r="AC327">
        <v>1204.7381922761879</v>
      </c>
      <c r="AD327">
        <v>1179.1191270974703</v>
      </c>
      <c r="AE327">
        <v>1154.2156174951945</v>
      </c>
      <c r="AF327">
        <v>1129.3122761869972</v>
      </c>
      <c r="AG327">
        <v>1104.409116286746</v>
      </c>
      <c r="AH327">
        <v>1078.7776867318603</v>
      </c>
      <c r="AI327">
        <v>1053.875064090309</v>
      </c>
      <c r="AJ327">
        <v>1029.7553766985518</v>
      </c>
    </row>
    <row r="328" spans="1:36" x14ac:dyDescent="0.35">
      <c r="A328" t="s">
        <v>1841</v>
      </c>
      <c r="B328" t="s">
        <v>1342</v>
      </c>
      <c r="C328" t="s">
        <v>1348</v>
      </c>
      <c r="D328" t="s">
        <v>555</v>
      </c>
      <c r="E328" t="s">
        <v>1828</v>
      </c>
      <c r="F328" t="s">
        <v>1839</v>
      </c>
      <c r="G328" t="s">
        <v>1840</v>
      </c>
      <c r="H328">
        <v>2911.2052149558453</v>
      </c>
      <c r="I328">
        <v>2882.4116122671421</v>
      </c>
      <c r="J328">
        <v>2675.7105357394853</v>
      </c>
      <c r="K328">
        <v>2353.9090795993179</v>
      </c>
      <c r="L328">
        <v>2275.3824153740852</v>
      </c>
      <c r="M328">
        <v>2196.8009451320927</v>
      </c>
      <c r="N328">
        <v>2118.1580436888744</v>
      </c>
      <c r="O328">
        <v>2039.4459731843278</v>
      </c>
      <c r="P328">
        <v>1960.6556392580724</v>
      </c>
      <c r="Q328">
        <v>1930.5948387472142</v>
      </c>
      <c r="R328">
        <v>1900.5433395643161</v>
      </c>
      <c r="S328">
        <v>1870.5015040784817</v>
      </c>
      <c r="T328">
        <v>1840.4697137297906</v>
      </c>
      <c r="U328">
        <v>1810.448370300624</v>
      </c>
      <c r="V328">
        <v>1780.437897290064</v>
      </c>
      <c r="W328">
        <v>1750.4387414012499</v>
      </c>
      <c r="X328">
        <v>1720.4513741526771</v>
      </c>
      <c r="Y328">
        <v>1690.4762936256482</v>
      </c>
      <c r="Z328">
        <v>1660.5140263615019</v>
      </c>
      <c r="AA328">
        <v>1630.5651294238048</v>
      </c>
      <c r="AB328">
        <v>1600.6301926424885</v>
      </c>
      <c r="AC328">
        <v>1570.7098410589497</v>
      </c>
      <c r="AD328">
        <v>1540.8047375934011</v>
      </c>
      <c r="AE328">
        <v>1510.9155859584421</v>
      </c>
      <c r="AF328">
        <v>1481.0431338457449</v>
      </c>
      <c r="AG328">
        <v>1451.188176416219</v>
      </c>
      <c r="AH328">
        <v>1421.3515601279103</v>
      </c>
      <c r="AI328">
        <v>1391.5341869403846</v>
      </c>
      <c r="AJ328">
        <v>1361.7370189395238</v>
      </c>
    </row>
    <row r="329" spans="1:36" x14ac:dyDescent="0.35">
      <c r="A329" t="s">
        <v>1842</v>
      </c>
      <c r="B329" t="s">
        <v>1342</v>
      </c>
      <c r="C329" t="s">
        <v>1350</v>
      </c>
      <c r="D329" t="s">
        <v>555</v>
      </c>
      <c r="E329" t="s">
        <v>1828</v>
      </c>
      <c r="F329" t="s">
        <v>1839</v>
      </c>
      <c r="G329" t="s">
        <v>1840</v>
      </c>
      <c r="H329">
        <v>2911.2052149558453</v>
      </c>
      <c r="I329">
        <v>2882.4116122671421</v>
      </c>
      <c r="J329">
        <v>3035.9256695298209</v>
      </c>
      <c r="K329">
        <v>2993.9615671810102</v>
      </c>
      <c r="L329">
        <v>2882.140828587766</v>
      </c>
      <c r="M329">
        <v>2770.365779905519</v>
      </c>
      <c r="N329">
        <v>2658.6412457219731</v>
      </c>
      <c r="O329">
        <v>2546.9727546702293</v>
      </c>
      <c r="P329">
        <v>2435.3666727168898</v>
      </c>
      <c r="Q329">
        <v>2419.4019436898875</v>
      </c>
      <c r="R329">
        <v>2403.4372146628853</v>
      </c>
      <c r="S329">
        <v>2387.472485635883</v>
      </c>
      <c r="T329">
        <v>2371.5077566088808</v>
      </c>
      <c r="U329">
        <v>2355.543027581879</v>
      </c>
      <c r="V329">
        <v>2339.5782985548763</v>
      </c>
      <c r="W329">
        <v>2323.6135695278749</v>
      </c>
      <c r="X329">
        <v>2307.6488405008722</v>
      </c>
      <c r="Y329">
        <v>2291.68411147387</v>
      </c>
      <c r="Z329">
        <v>2275.7193824468677</v>
      </c>
      <c r="AA329">
        <v>2259.7546534198659</v>
      </c>
      <c r="AB329">
        <v>2243.7899243928632</v>
      </c>
      <c r="AC329">
        <v>2227.825195365861</v>
      </c>
      <c r="AD329">
        <v>2211.8604663388592</v>
      </c>
      <c r="AE329">
        <v>2195.8957373118569</v>
      </c>
      <c r="AF329">
        <v>2179.9310082848551</v>
      </c>
      <c r="AG329">
        <v>2163.9662792578524</v>
      </c>
      <c r="AH329">
        <v>2148.0015502308506</v>
      </c>
      <c r="AI329">
        <v>2132.0368212038484</v>
      </c>
      <c r="AJ329">
        <v>2116.072092176847</v>
      </c>
    </row>
    <row r="330" spans="1:36" x14ac:dyDescent="0.35">
      <c r="A330" t="s">
        <v>1843</v>
      </c>
      <c r="B330" t="s">
        <v>1342</v>
      </c>
      <c r="C330" t="s">
        <v>1343</v>
      </c>
      <c r="D330" t="s">
        <v>555</v>
      </c>
      <c r="E330" t="s">
        <v>1828</v>
      </c>
      <c r="F330" t="s">
        <v>1844</v>
      </c>
      <c r="G330" t="s">
        <v>1845</v>
      </c>
      <c r="H330">
        <v>3721.6321988577074</v>
      </c>
      <c r="I330">
        <v>3684.5270422317949</v>
      </c>
      <c r="J330">
        <v>3059.9223023802479</v>
      </c>
      <c r="K330">
        <v>2436.256471664999</v>
      </c>
      <c r="L330">
        <v>2336.876449589025</v>
      </c>
      <c r="M330">
        <v>2237.5562303302395</v>
      </c>
      <c r="N330">
        <v>2138.1323229355112</v>
      </c>
      <c r="O330">
        <v>2038.67826306139</v>
      </c>
      <c r="P330">
        <v>1940.6382886318549</v>
      </c>
      <c r="Q330">
        <v>1908.6015266180079</v>
      </c>
      <c r="R330">
        <v>1876.5647337047674</v>
      </c>
      <c r="S330">
        <v>1843.1545684683419</v>
      </c>
      <c r="T330">
        <v>1811.1190481429271</v>
      </c>
      <c r="U330">
        <v>1780.5512507347034</v>
      </c>
      <c r="V330">
        <v>1747.1342559851307</v>
      </c>
      <c r="W330">
        <v>1715.1005325496283</v>
      </c>
      <c r="X330">
        <v>1683.0668993711326</v>
      </c>
      <c r="Y330">
        <v>1651.0333621621319</v>
      </c>
      <c r="Z330">
        <v>1617.5994599838964</v>
      </c>
      <c r="AA330">
        <v>1585.5671372688514</v>
      </c>
      <c r="AB330">
        <v>1555.0335054788163</v>
      </c>
      <c r="AC330">
        <v>1523.0027865472277</v>
      </c>
      <c r="AD330">
        <v>1489.5603457273974</v>
      </c>
      <c r="AE330">
        <v>1457.5310019977642</v>
      </c>
      <c r="AF330">
        <v>1425.5019906194964</v>
      </c>
      <c r="AG330">
        <v>1393.4733374901871</v>
      </c>
      <c r="AH330">
        <v>1360.0064791903458</v>
      </c>
      <c r="AI330">
        <v>1327.9788870529858</v>
      </c>
      <c r="AJ330">
        <v>1297.4974550738593</v>
      </c>
    </row>
    <row r="331" spans="1:36" x14ac:dyDescent="0.35">
      <c r="A331" t="s">
        <v>1846</v>
      </c>
      <c r="B331" t="s">
        <v>1342</v>
      </c>
      <c r="C331" t="s">
        <v>1348</v>
      </c>
      <c r="D331" t="s">
        <v>555</v>
      </c>
      <c r="E331" t="s">
        <v>1828</v>
      </c>
      <c r="F331" t="s">
        <v>1844</v>
      </c>
      <c r="G331" t="s">
        <v>1845</v>
      </c>
      <c r="H331">
        <v>3721.6321988577074</v>
      </c>
      <c r="I331">
        <v>3684.5270422317949</v>
      </c>
      <c r="J331">
        <v>3413.217401416649</v>
      </c>
      <c r="K331">
        <v>2996.4151823817015</v>
      </c>
      <c r="L331">
        <v>2891.3706918960656</v>
      </c>
      <c r="M331">
        <v>2786.2204043597658</v>
      </c>
      <c r="N331">
        <v>2680.9515305752248</v>
      </c>
      <c r="O331">
        <v>2575.5491334456497</v>
      </c>
      <c r="P331">
        <v>2469.9956572980891</v>
      </c>
      <c r="Q331">
        <v>2430.6592464175224</v>
      </c>
      <c r="R331">
        <v>2391.3407907382934</v>
      </c>
      <c r="S331">
        <v>2352.040989774518</v>
      </c>
      <c r="T331">
        <v>2312.7605798547593</v>
      </c>
      <c r="U331">
        <v>2273.500336576175</v>
      </c>
      <c r="V331">
        <v>2234.2610774576528</v>
      </c>
      <c r="W331">
        <v>2195.0436648109885</v>
      </c>
      <c r="X331">
        <v>2155.849008851319</v>
      </c>
      <c r="Y331">
        <v>2116.6780710703924</v>
      </c>
      <c r="Z331">
        <v>2077.5318678989584</v>
      </c>
      <c r="AA331">
        <v>2038.4114746876048</v>
      </c>
      <c r="AB331">
        <v>1999.3180300388235</v>
      </c>
      <c r="AC331">
        <v>1960.2527405270025</v>
      </c>
      <c r="AD331">
        <v>1921.2168858474679</v>
      </c>
      <c r="AE331">
        <v>1882.2118244408045</v>
      </c>
      <c r="AF331">
        <v>1843.2389996444126</v>
      </c>
      <c r="AG331">
        <v>1804.2999464298889</v>
      </c>
      <c r="AH331">
        <v>1765.3962987923678</v>
      </c>
      <c r="AI331">
        <v>1726.5297978666285</v>
      </c>
      <c r="AJ331">
        <v>1687.7023008547596</v>
      </c>
    </row>
    <row r="332" spans="1:36" x14ac:dyDescent="0.35">
      <c r="A332" t="s">
        <v>1847</v>
      </c>
      <c r="B332" t="s">
        <v>1342</v>
      </c>
      <c r="C332" t="s">
        <v>1350</v>
      </c>
      <c r="D332" t="s">
        <v>555</v>
      </c>
      <c r="E332" t="s">
        <v>1828</v>
      </c>
      <c r="F332" t="s">
        <v>1844</v>
      </c>
      <c r="G332" t="s">
        <v>1845</v>
      </c>
      <c r="H332">
        <v>3721.6321988577074</v>
      </c>
      <c r="I332">
        <v>3684.5270422317949</v>
      </c>
      <c r="J332">
        <v>3882.3133570339442</v>
      </c>
      <c r="K332">
        <v>3827.9803999727615</v>
      </c>
      <c r="L332">
        <v>3681.346765347223</v>
      </c>
      <c r="M332">
        <v>3534.8034971317147</v>
      </c>
      <c r="N332">
        <v>3388.36013749126</v>
      </c>
      <c r="O332">
        <v>3242.0276210658021</v>
      </c>
      <c r="P332">
        <v>3095.8185385900483</v>
      </c>
      <c r="Q332">
        <v>3075.3318392459569</v>
      </c>
      <c r="R332">
        <v>3054.8451399018654</v>
      </c>
      <c r="S332">
        <v>3034.358440557774</v>
      </c>
      <c r="T332">
        <v>3013.8717412136821</v>
      </c>
      <c r="U332">
        <v>2993.3850418695906</v>
      </c>
      <c r="V332">
        <v>2972.8983425254987</v>
      </c>
      <c r="W332">
        <v>2952.4116431814077</v>
      </c>
      <c r="X332">
        <v>2931.9249438373154</v>
      </c>
      <c r="Y332">
        <v>2911.4382444932239</v>
      </c>
      <c r="Z332">
        <v>2890.951545149132</v>
      </c>
      <c r="AA332">
        <v>2870.4648458050406</v>
      </c>
      <c r="AB332">
        <v>2849.9781464609491</v>
      </c>
      <c r="AC332">
        <v>2829.4914471168572</v>
      </c>
      <c r="AD332">
        <v>2809.0047477727658</v>
      </c>
      <c r="AE332">
        <v>2788.5180484286748</v>
      </c>
      <c r="AF332">
        <v>2768.0313490845824</v>
      </c>
      <c r="AG332">
        <v>2747.544649740491</v>
      </c>
      <c r="AH332">
        <v>2727.0579503963995</v>
      </c>
      <c r="AI332">
        <v>2706.5712510523076</v>
      </c>
      <c r="AJ332">
        <v>2686.0845517082175</v>
      </c>
    </row>
    <row r="333" spans="1:36" x14ac:dyDescent="0.35">
      <c r="A333" t="s">
        <v>1848</v>
      </c>
      <c r="B333" t="s">
        <v>1342</v>
      </c>
      <c r="C333" t="s">
        <v>1343</v>
      </c>
      <c r="D333" t="s">
        <v>555</v>
      </c>
      <c r="E333" t="s">
        <v>1828</v>
      </c>
      <c r="F333" t="s">
        <v>1849</v>
      </c>
      <c r="G333" t="s">
        <v>1850</v>
      </c>
      <c r="H333">
        <v>4532.0591827595699</v>
      </c>
      <c r="I333">
        <v>4486.6424721964477</v>
      </c>
      <c r="J333">
        <v>3722.1262899259373</v>
      </c>
      <c r="K333">
        <v>2959.0124867859358</v>
      </c>
      <c r="L333">
        <v>2837.2585954551328</v>
      </c>
      <c r="M333">
        <v>2715.5940271690502</v>
      </c>
      <c r="N333">
        <v>2593.7745875835994</v>
      </c>
      <c r="O333">
        <v>2471.910111469906</v>
      </c>
      <c r="P333">
        <v>2352.1577501920124</v>
      </c>
      <c r="Q333">
        <v>2312.9914921925856</v>
      </c>
      <c r="R333">
        <v>2273.8251880410189</v>
      </c>
      <c r="S333">
        <v>2232.6075792317456</v>
      </c>
      <c r="T333">
        <v>2193.4431758504875</v>
      </c>
      <c r="U333">
        <v>2156.4710016305648</v>
      </c>
      <c r="V333">
        <v>2115.2431920826489</v>
      </c>
      <c r="W333">
        <v>2076.0814725829455</v>
      </c>
      <c r="X333">
        <v>2036.9198878934583</v>
      </c>
      <c r="Y333">
        <v>1997.7584465465068</v>
      </c>
      <c r="Z333">
        <v>1956.5053836229542</v>
      </c>
      <c r="AA333">
        <v>1917.3457562757944</v>
      </c>
      <c r="AB333">
        <v>1880.4246127127021</v>
      </c>
      <c r="AC333">
        <v>1841.2673808182674</v>
      </c>
      <c r="AD333">
        <v>1800.0015643573245</v>
      </c>
      <c r="AE333">
        <v>1760.8463865003339</v>
      </c>
      <c r="AF333">
        <v>1721.6917050519953</v>
      </c>
      <c r="AG333">
        <v>1682.5375586936284</v>
      </c>
      <c r="AH333">
        <v>1641.235271648831</v>
      </c>
      <c r="AI333">
        <v>1602.0827100156625</v>
      </c>
      <c r="AJ333">
        <v>1565.2395334491666</v>
      </c>
    </row>
    <row r="334" spans="1:36" x14ac:dyDescent="0.35">
      <c r="A334" t="s">
        <v>1851</v>
      </c>
      <c r="B334" t="s">
        <v>1342</v>
      </c>
      <c r="C334" t="s">
        <v>1348</v>
      </c>
      <c r="D334" t="s">
        <v>555</v>
      </c>
      <c r="E334" t="s">
        <v>1828</v>
      </c>
      <c r="F334" t="s">
        <v>1849</v>
      </c>
      <c r="G334" t="s">
        <v>1850</v>
      </c>
      <c r="H334">
        <v>4532.0591827595699</v>
      </c>
      <c r="I334">
        <v>4486.6424721964477</v>
      </c>
      <c r="J334">
        <v>4150.7242670938131</v>
      </c>
      <c r="K334">
        <v>3638.9212851640846</v>
      </c>
      <c r="L334">
        <v>3507.3589684180465</v>
      </c>
      <c r="M334">
        <v>3375.6398635874384</v>
      </c>
      <c r="N334">
        <v>3243.7450174615756</v>
      </c>
      <c r="O334">
        <v>3111.6522937069712</v>
      </c>
      <c r="P334">
        <v>2979.3356753381063</v>
      </c>
      <c r="Q334">
        <v>2930.7236540878312</v>
      </c>
      <c r="R334">
        <v>2882.1382419122701</v>
      </c>
      <c r="S334">
        <v>2833.5804754705541</v>
      </c>
      <c r="T334">
        <v>2785.0514459797278</v>
      </c>
      <c r="U334">
        <v>2736.5523028517259</v>
      </c>
      <c r="V334">
        <v>2688.0842576252421</v>
      </c>
      <c r="W334">
        <v>2639.6485882207271</v>
      </c>
      <c r="X334">
        <v>2591.2466435499609</v>
      </c>
      <c r="Y334">
        <v>2542.8798485151369</v>
      </c>
      <c r="Z334">
        <v>2494.5497094364155</v>
      </c>
      <c r="AA334">
        <v>2446.2578199514051</v>
      </c>
      <c r="AB334">
        <v>2398.0058674351585</v>
      </c>
      <c r="AC334">
        <v>2349.7956399950554</v>
      </c>
      <c r="AD334">
        <v>2301.6290341015347</v>
      </c>
      <c r="AE334">
        <v>2253.5080629231675</v>
      </c>
      <c r="AF334">
        <v>2205.434865443081</v>
      </c>
      <c r="AG334">
        <v>2157.4117164435588</v>
      </c>
      <c r="AH334">
        <v>2109.4410374568251</v>
      </c>
      <c r="AI334">
        <v>2061.5254087928724</v>
      </c>
      <c r="AJ334">
        <v>2013.6675827699958</v>
      </c>
    </row>
    <row r="335" spans="1:36" x14ac:dyDescent="0.35">
      <c r="A335" t="s">
        <v>1852</v>
      </c>
      <c r="B335" t="s">
        <v>1342</v>
      </c>
      <c r="C335" t="s">
        <v>1350</v>
      </c>
      <c r="D335" t="s">
        <v>555</v>
      </c>
      <c r="E335" t="s">
        <v>1828</v>
      </c>
      <c r="F335" t="s">
        <v>1849</v>
      </c>
      <c r="G335" t="s">
        <v>1850</v>
      </c>
      <c r="H335">
        <v>4532.0591827595699</v>
      </c>
      <c r="I335">
        <v>4486.6424721964477</v>
      </c>
      <c r="J335">
        <v>4728.7010445380674</v>
      </c>
      <c r="K335">
        <v>4661.9992327645123</v>
      </c>
      <c r="L335">
        <v>4480.552702106681</v>
      </c>
      <c r="M335">
        <v>4299.2412143579095</v>
      </c>
      <c r="N335">
        <v>4118.079029260547</v>
      </c>
      <c r="O335">
        <v>3937.0824874613754</v>
      </c>
      <c r="P335">
        <v>3756.2704044632078</v>
      </c>
      <c r="Q335">
        <v>3731.2617348020267</v>
      </c>
      <c r="R335">
        <v>3706.253065140846</v>
      </c>
      <c r="S335">
        <v>3681.2443954796649</v>
      </c>
      <c r="T335">
        <v>3656.2357258184834</v>
      </c>
      <c r="U335">
        <v>3631.2270561573027</v>
      </c>
      <c r="V335">
        <v>3606.2183864961212</v>
      </c>
      <c r="W335">
        <v>3581.2097168349405</v>
      </c>
      <c r="X335">
        <v>3556.201047173759</v>
      </c>
      <c r="Y335">
        <v>3531.1923775125779</v>
      </c>
      <c r="Z335">
        <v>3506.1837078513968</v>
      </c>
      <c r="AA335">
        <v>3481.1750381902157</v>
      </c>
      <c r="AB335">
        <v>3456.1663685290341</v>
      </c>
      <c r="AC335">
        <v>3431.1576988678539</v>
      </c>
      <c r="AD335">
        <v>3406.1490292066728</v>
      </c>
      <c r="AE335">
        <v>3381.1403595454922</v>
      </c>
      <c r="AF335">
        <v>3356.1316898843111</v>
      </c>
      <c r="AG335">
        <v>3331.1230202231291</v>
      </c>
      <c r="AH335">
        <v>3306.114350561948</v>
      </c>
      <c r="AI335">
        <v>3281.1056809007669</v>
      </c>
      <c r="AJ335">
        <v>3256.097011239588</v>
      </c>
    </row>
    <row r="336" spans="1:36" x14ac:dyDescent="0.35">
      <c r="A336" t="s">
        <v>1853</v>
      </c>
      <c r="B336" t="s">
        <v>1342</v>
      </c>
      <c r="C336" t="s">
        <v>1343</v>
      </c>
      <c r="D336">
        <v>100</v>
      </c>
      <c r="E336" t="s">
        <v>1854</v>
      </c>
      <c r="F336" t="s">
        <v>1855</v>
      </c>
      <c r="G336" t="s">
        <v>1856</v>
      </c>
      <c r="H336">
        <v>3241.3364440395458</v>
      </c>
      <c r="I336">
        <v>3241.3364440395458</v>
      </c>
      <c r="J336">
        <v>3241.3364440395458</v>
      </c>
      <c r="K336">
        <v>3241.3364440395458</v>
      </c>
      <c r="L336">
        <v>3209.4020948371854</v>
      </c>
      <c r="M336">
        <v>3176.4032673280803</v>
      </c>
      <c r="N336">
        <v>3144.4689181257199</v>
      </c>
      <c r="O336">
        <v>3111.4700906166145</v>
      </c>
      <c r="P336">
        <v>3079.5357414142545</v>
      </c>
      <c r="Q336">
        <v>3051.8593054388757</v>
      </c>
      <c r="R336">
        <v>3024.1828694634974</v>
      </c>
      <c r="S336">
        <v>2995.441955181373</v>
      </c>
      <c r="T336">
        <v>2967.7655192059942</v>
      </c>
      <c r="U336">
        <v>2940.0890832306159</v>
      </c>
      <c r="V336">
        <v>2912.4126472552371</v>
      </c>
      <c r="W336">
        <v>2884.7362112798583</v>
      </c>
      <c r="X336">
        <v>2855.9952969977344</v>
      </c>
      <c r="Y336">
        <v>2828.3188610223556</v>
      </c>
      <c r="Z336">
        <v>2800.6424250469768</v>
      </c>
      <c r="AA336">
        <v>2800.6424250469768</v>
      </c>
      <c r="AB336">
        <v>2800.6424250469768</v>
      </c>
      <c r="AC336">
        <v>2800.6424250469768</v>
      </c>
      <c r="AD336">
        <v>2800.6424250469768</v>
      </c>
      <c r="AE336">
        <v>2800.6424250469768</v>
      </c>
      <c r="AF336">
        <v>2800.6424250469768</v>
      </c>
      <c r="AG336">
        <v>2800.6424250469768</v>
      </c>
      <c r="AH336">
        <v>2800.6424250469768</v>
      </c>
      <c r="AI336">
        <v>2800.6424250469768</v>
      </c>
      <c r="AJ336">
        <v>2800.6424250469768</v>
      </c>
    </row>
    <row r="337" spans="1:36" x14ac:dyDescent="0.35">
      <c r="A337" t="s">
        <v>1857</v>
      </c>
      <c r="B337" t="s">
        <v>1342</v>
      </c>
      <c r="C337" t="s">
        <v>1348</v>
      </c>
      <c r="D337">
        <v>100</v>
      </c>
      <c r="E337" t="s">
        <v>1854</v>
      </c>
      <c r="F337" t="s">
        <v>1855</v>
      </c>
      <c r="G337" t="s">
        <v>1856</v>
      </c>
      <c r="H337">
        <v>3241.3364440395458</v>
      </c>
      <c r="I337">
        <v>3241.3364440395458</v>
      </c>
      <c r="J337">
        <v>3241.3364440395458</v>
      </c>
      <c r="K337">
        <v>3241.3364440395458</v>
      </c>
      <c r="L337">
        <v>3241.3364440395458</v>
      </c>
      <c r="M337">
        <v>3241.3364440395458</v>
      </c>
      <c r="N337">
        <v>3241.3364440395458</v>
      </c>
      <c r="O337">
        <v>3241.3364440395458</v>
      </c>
      <c r="P337">
        <v>3241.3364440395458</v>
      </c>
      <c r="Q337">
        <v>3241.3364440395458</v>
      </c>
      <c r="R337">
        <v>3241.3364440395458</v>
      </c>
      <c r="S337">
        <v>3241.3364440395458</v>
      </c>
      <c r="T337">
        <v>3241.3364440395458</v>
      </c>
      <c r="U337">
        <v>3241.3364440395458</v>
      </c>
      <c r="V337">
        <v>3241.3364440395458</v>
      </c>
      <c r="W337">
        <v>3241.3364440395458</v>
      </c>
      <c r="X337">
        <v>3241.3364440395458</v>
      </c>
      <c r="Y337">
        <v>3241.3364440395458</v>
      </c>
      <c r="Z337">
        <v>3241.3364440395458</v>
      </c>
      <c r="AA337">
        <v>3241.3364440395458</v>
      </c>
      <c r="AB337">
        <v>3241.3364440395458</v>
      </c>
      <c r="AC337">
        <v>3241.3364440395458</v>
      </c>
      <c r="AD337">
        <v>3241.3364440395458</v>
      </c>
      <c r="AE337">
        <v>3241.3364440395458</v>
      </c>
      <c r="AF337">
        <v>3241.3364440395458</v>
      </c>
      <c r="AG337">
        <v>3241.3364440395458</v>
      </c>
      <c r="AH337">
        <v>3241.3364440395458</v>
      </c>
      <c r="AI337">
        <v>3241.3364440395458</v>
      </c>
      <c r="AJ337">
        <v>3241.3364440395458</v>
      </c>
    </row>
    <row r="338" spans="1:36" x14ac:dyDescent="0.35">
      <c r="A338" t="s">
        <v>1858</v>
      </c>
      <c r="B338" t="s">
        <v>1342</v>
      </c>
      <c r="C338" t="s">
        <v>1350</v>
      </c>
      <c r="D338">
        <v>100</v>
      </c>
      <c r="E338" t="s">
        <v>1854</v>
      </c>
      <c r="F338" t="s">
        <v>1855</v>
      </c>
      <c r="G338" t="s">
        <v>1856</v>
      </c>
      <c r="H338">
        <v>3241.3364440395458</v>
      </c>
      <c r="I338">
        <v>3241.3364440395458</v>
      </c>
      <c r="J338">
        <v>3241.3364440395458</v>
      </c>
      <c r="K338">
        <v>3241.3364440395458</v>
      </c>
      <c r="L338">
        <v>3241.3364440395458</v>
      </c>
      <c r="M338">
        <v>3241.3364440395458</v>
      </c>
      <c r="N338">
        <v>3241.3364440395458</v>
      </c>
      <c r="O338">
        <v>3241.3364440395458</v>
      </c>
      <c r="P338">
        <v>3241.3364440395458</v>
      </c>
      <c r="Q338">
        <v>3241.3364440395458</v>
      </c>
      <c r="R338">
        <v>3241.3364440395458</v>
      </c>
      <c r="S338">
        <v>3241.3364440395458</v>
      </c>
      <c r="T338">
        <v>3241.3364440395458</v>
      </c>
      <c r="U338">
        <v>3241.3364440395458</v>
      </c>
      <c r="V338">
        <v>3241.3364440395458</v>
      </c>
      <c r="W338">
        <v>3241.3364440395458</v>
      </c>
      <c r="X338">
        <v>3241.3364440395458</v>
      </c>
      <c r="Y338">
        <v>3241.3364440395458</v>
      </c>
      <c r="Z338">
        <v>3111.4700906166145</v>
      </c>
      <c r="AA338">
        <v>3111.4700906166145</v>
      </c>
      <c r="AB338">
        <v>3111.4700906166145</v>
      </c>
      <c r="AC338">
        <v>3111.4700906166145</v>
      </c>
      <c r="AD338">
        <v>3111.4700906166145</v>
      </c>
      <c r="AE338">
        <v>3111.4700906166145</v>
      </c>
      <c r="AF338">
        <v>3111.4700906166145</v>
      </c>
      <c r="AG338">
        <v>3111.4700906166145</v>
      </c>
      <c r="AH338">
        <v>3111.4700906166145</v>
      </c>
      <c r="AI338">
        <v>3111.4700906166145</v>
      </c>
      <c r="AJ338">
        <v>3111.4700906166145</v>
      </c>
    </row>
    <row r="339" spans="1:36" x14ac:dyDescent="0.35">
      <c r="A339" t="s">
        <v>1859</v>
      </c>
      <c r="B339" t="s">
        <v>1342</v>
      </c>
      <c r="C339" t="s">
        <v>1343</v>
      </c>
      <c r="D339">
        <v>100</v>
      </c>
      <c r="E339" t="s">
        <v>1854</v>
      </c>
      <c r="F339" t="s">
        <v>1860</v>
      </c>
      <c r="G339" t="s">
        <v>1861</v>
      </c>
      <c r="H339">
        <v>6357.0644478831418</v>
      </c>
      <c r="I339">
        <v>6357.0644478831418</v>
      </c>
      <c r="J339">
        <v>6357.0644478831418</v>
      </c>
      <c r="K339">
        <v>6357.0644478831418</v>
      </c>
      <c r="L339">
        <v>5734.3446384371209</v>
      </c>
      <c r="M339">
        <v>5111.6248289910991</v>
      </c>
      <c r="N339">
        <v>4488.9050195450782</v>
      </c>
      <c r="O339">
        <v>3866.1852100990573</v>
      </c>
      <c r="P339">
        <v>3193.4349202360054</v>
      </c>
      <c r="Q339">
        <v>3160.4360927268999</v>
      </c>
      <c r="R339">
        <v>3132.7596567515216</v>
      </c>
      <c r="S339">
        <v>3105.0832207761428</v>
      </c>
      <c r="T339">
        <v>3076.3423064940184</v>
      </c>
      <c r="U339">
        <v>3048.6658705186401</v>
      </c>
      <c r="V339">
        <v>3020.9894345432613</v>
      </c>
      <c r="W339">
        <v>2993.3129985678825</v>
      </c>
      <c r="X339">
        <v>2965.6365625925037</v>
      </c>
      <c r="Y339">
        <v>2936.8956483103798</v>
      </c>
      <c r="Z339">
        <v>2909.219212335001</v>
      </c>
      <c r="AA339">
        <v>2899.6389075742932</v>
      </c>
      <c r="AB339">
        <v>2899.6389075742932</v>
      </c>
      <c r="AC339">
        <v>2899.6389075742932</v>
      </c>
      <c r="AD339">
        <v>2899.6389075742932</v>
      </c>
      <c r="AE339">
        <v>2899.6389075742932</v>
      </c>
      <c r="AF339">
        <v>2899.6389075742932</v>
      </c>
      <c r="AG339">
        <v>2899.6389075742932</v>
      </c>
      <c r="AH339">
        <v>2899.6389075742932</v>
      </c>
      <c r="AI339">
        <v>2899.6389075742932</v>
      </c>
      <c r="AJ339">
        <v>2899.6389075742932</v>
      </c>
    </row>
    <row r="340" spans="1:36" x14ac:dyDescent="0.35">
      <c r="A340" t="s">
        <v>1862</v>
      </c>
      <c r="B340" t="s">
        <v>1342</v>
      </c>
      <c r="C340" t="s">
        <v>1348</v>
      </c>
      <c r="D340">
        <v>100</v>
      </c>
      <c r="E340" t="s">
        <v>1854</v>
      </c>
      <c r="F340" t="s">
        <v>1860</v>
      </c>
      <c r="G340" t="s">
        <v>1861</v>
      </c>
      <c r="H340">
        <v>6357.0644478831418</v>
      </c>
      <c r="I340">
        <v>6357.0644478831418</v>
      </c>
      <c r="J340">
        <v>6357.0644478831418</v>
      </c>
      <c r="K340">
        <v>6357.0644478831418</v>
      </c>
      <c r="L340">
        <v>6062.2039569146837</v>
      </c>
      <c r="M340">
        <v>5767.3434659462264</v>
      </c>
      <c r="N340">
        <v>5472.4829749777682</v>
      </c>
      <c r="O340">
        <v>5177.62248400931</v>
      </c>
      <c r="P340">
        <v>9150.2555247829005</v>
      </c>
      <c r="Q340">
        <v>8591.4044137416004</v>
      </c>
      <c r="R340">
        <v>8032.5533027002994</v>
      </c>
      <c r="S340">
        <v>7474.7666699657439</v>
      </c>
      <c r="T340">
        <v>6915.9155589244428</v>
      </c>
      <c r="U340">
        <v>6357.0644478831418</v>
      </c>
      <c r="V340">
        <v>6357.0644478831418</v>
      </c>
      <c r="W340">
        <v>6357.0644478831418</v>
      </c>
      <c r="X340">
        <v>6357.0644478831418</v>
      </c>
      <c r="Y340">
        <v>6357.0644478831418</v>
      </c>
      <c r="Z340">
        <v>6357.0644478831418</v>
      </c>
      <c r="AA340">
        <v>6357.0644478831418</v>
      </c>
      <c r="AB340">
        <v>6357.0644478831418</v>
      </c>
      <c r="AC340">
        <v>6357.0644478831418</v>
      </c>
      <c r="AD340">
        <v>6357.0644478831418</v>
      </c>
      <c r="AE340">
        <v>6357.0644478831418</v>
      </c>
      <c r="AF340">
        <v>6357.0644478831418</v>
      </c>
      <c r="AG340">
        <v>6357.0644478831418</v>
      </c>
      <c r="AH340">
        <v>6357.0644478831418</v>
      </c>
      <c r="AI340">
        <v>6357.0644478831418</v>
      </c>
      <c r="AJ340">
        <v>6357.0644478831418</v>
      </c>
    </row>
    <row r="341" spans="1:36" x14ac:dyDescent="0.35">
      <c r="A341" t="s">
        <v>1863</v>
      </c>
      <c r="B341" t="s">
        <v>1342</v>
      </c>
      <c r="C341" t="s">
        <v>1350</v>
      </c>
      <c r="D341">
        <v>100</v>
      </c>
      <c r="E341" t="s">
        <v>1854</v>
      </c>
      <c r="F341" t="s">
        <v>1860</v>
      </c>
      <c r="G341" t="s">
        <v>1861</v>
      </c>
      <c r="H341">
        <v>6357.0644478831418</v>
      </c>
      <c r="I341">
        <v>6357.0644478831418</v>
      </c>
      <c r="J341">
        <v>6357.0644478831418</v>
      </c>
      <c r="K341">
        <v>6357.0644478831418</v>
      </c>
      <c r="L341">
        <v>6357.0644478831418</v>
      </c>
      <c r="M341">
        <v>6357.0644478831418</v>
      </c>
      <c r="N341">
        <v>6357.0644478831418</v>
      </c>
      <c r="O341">
        <v>6357.0644478831418</v>
      </c>
      <c r="P341">
        <v>3356.3001011680417</v>
      </c>
      <c r="Q341">
        <v>3356.3001011680417</v>
      </c>
      <c r="R341">
        <v>3356.3001011680417</v>
      </c>
      <c r="S341">
        <v>3356.3001011680417</v>
      </c>
      <c r="T341">
        <v>3356.3001011680417</v>
      </c>
      <c r="U341">
        <v>3356.3001011680417</v>
      </c>
      <c r="V341">
        <v>3356.3001011680417</v>
      </c>
      <c r="W341">
        <v>3356.3001011680417</v>
      </c>
      <c r="X341">
        <v>3356.3001011680417</v>
      </c>
      <c r="Y341">
        <v>3356.3001011680417</v>
      </c>
      <c r="Z341">
        <v>3226.4337477451108</v>
      </c>
      <c r="AA341">
        <v>3222.1758345181297</v>
      </c>
      <c r="AB341">
        <v>3222.1758345181297</v>
      </c>
      <c r="AC341">
        <v>3222.1758345181297</v>
      </c>
      <c r="AD341">
        <v>3222.1758345181297</v>
      </c>
      <c r="AE341">
        <v>3222.1758345181297</v>
      </c>
      <c r="AF341">
        <v>3222.1758345181297</v>
      </c>
      <c r="AG341">
        <v>3222.1758345181297</v>
      </c>
      <c r="AH341">
        <v>3222.1758345181297</v>
      </c>
      <c r="AI341">
        <v>3222.1758345181297</v>
      </c>
      <c r="AJ341">
        <v>3222.1758345181297</v>
      </c>
    </row>
    <row r="342" spans="1:36" x14ac:dyDescent="0.35">
      <c r="A342" t="s">
        <v>1864</v>
      </c>
      <c r="B342" t="s">
        <v>1342</v>
      </c>
      <c r="C342" t="s">
        <v>1343</v>
      </c>
      <c r="D342">
        <v>100</v>
      </c>
      <c r="E342" t="s">
        <v>1854</v>
      </c>
      <c r="F342" t="s">
        <v>1865</v>
      </c>
      <c r="G342" t="s">
        <v>1866</v>
      </c>
      <c r="H342">
        <v>6487.9952796128182</v>
      </c>
      <c r="I342">
        <v>6487.9952796128182</v>
      </c>
      <c r="J342">
        <v>6487.9952796128182</v>
      </c>
      <c r="K342">
        <v>6487.9952796128182</v>
      </c>
      <c r="L342">
        <v>5900.4032542893929</v>
      </c>
      <c r="M342">
        <v>5313.875707272713</v>
      </c>
      <c r="N342">
        <v>4726.2836819492877</v>
      </c>
      <c r="O342">
        <v>4138.6916566258633</v>
      </c>
      <c r="P342">
        <v>3519.165282100078</v>
      </c>
      <c r="Q342">
        <v>3482.9730196707364</v>
      </c>
      <c r="R342">
        <v>3452.103148775122</v>
      </c>
      <c r="S342">
        <v>3421.2332778795071</v>
      </c>
      <c r="T342">
        <v>3390.3634069838927</v>
      </c>
      <c r="U342">
        <v>3358.4290577815323</v>
      </c>
      <c r="V342">
        <v>3327.5591868859178</v>
      </c>
      <c r="W342">
        <v>3296.6893159903029</v>
      </c>
      <c r="X342">
        <v>3265.8194450946885</v>
      </c>
      <c r="Y342">
        <v>3234.9495741990736</v>
      </c>
      <c r="Z342">
        <v>3203.0152249967136</v>
      </c>
      <c r="AA342">
        <v>3195.563876849496</v>
      </c>
      <c r="AB342">
        <v>3195.563876849496</v>
      </c>
      <c r="AC342">
        <v>3195.563876849496</v>
      </c>
      <c r="AD342">
        <v>3195.563876849496</v>
      </c>
      <c r="AE342">
        <v>3195.563876849496</v>
      </c>
      <c r="AF342">
        <v>3195.563876849496</v>
      </c>
      <c r="AG342">
        <v>3195.563876849496</v>
      </c>
      <c r="AH342">
        <v>3195.563876849496</v>
      </c>
      <c r="AI342">
        <v>3195.563876849496</v>
      </c>
      <c r="AJ342">
        <v>3195.563876849496</v>
      </c>
    </row>
    <row r="343" spans="1:36" x14ac:dyDescent="0.35">
      <c r="A343" t="s">
        <v>1867</v>
      </c>
      <c r="B343" t="s">
        <v>1342</v>
      </c>
      <c r="C343" t="s">
        <v>1348</v>
      </c>
      <c r="D343">
        <v>100</v>
      </c>
      <c r="E343" t="s">
        <v>1854</v>
      </c>
      <c r="F343" t="s">
        <v>1865</v>
      </c>
      <c r="G343" t="s">
        <v>1866</v>
      </c>
      <c r="H343">
        <v>6487.9952796128182</v>
      </c>
      <c r="I343">
        <v>6487.9952796128182</v>
      </c>
      <c r="J343">
        <v>6487.9952796128182</v>
      </c>
      <c r="K343">
        <v>6487.9952796128182</v>
      </c>
      <c r="L343">
        <v>6212.2953981657756</v>
      </c>
      <c r="M343">
        <v>5937.6599950254795</v>
      </c>
      <c r="N343">
        <v>5661.9601135784378</v>
      </c>
      <c r="O343">
        <v>5386.2602321313962</v>
      </c>
      <c r="P343">
        <v>8903.2965576179831</v>
      </c>
      <c r="Q343">
        <v>8420.0234063556018</v>
      </c>
      <c r="R343">
        <v>7936.7502550932186</v>
      </c>
      <c r="S343">
        <v>7454.5415821375818</v>
      </c>
      <c r="T343">
        <v>6971.2684308752005</v>
      </c>
      <c r="U343">
        <v>6487.9952796128182</v>
      </c>
      <c r="V343">
        <v>6487.9952796128182</v>
      </c>
      <c r="W343">
        <v>6487.9952796128182</v>
      </c>
      <c r="X343">
        <v>6487.9952796128182</v>
      </c>
      <c r="Y343">
        <v>6487.9952796128182</v>
      </c>
      <c r="Z343">
        <v>6487.9952796128182</v>
      </c>
      <c r="AA343">
        <v>6487.9952796128182</v>
      </c>
      <c r="AB343">
        <v>6487.9952796128182</v>
      </c>
      <c r="AC343">
        <v>6487.9952796128182</v>
      </c>
      <c r="AD343">
        <v>6487.9952796128182</v>
      </c>
      <c r="AE343">
        <v>6487.9952796128182</v>
      </c>
      <c r="AF343">
        <v>6487.9952796128182</v>
      </c>
      <c r="AG343">
        <v>6487.9952796128182</v>
      </c>
      <c r="AH343">
        <v>6487.9952796128182</v>
      </c>
      <c r="AI343">
        <v>6487.9952796128182</v>
      </c>
      <c r="AJ343">
        <v>6487.9952796128182</v>
      </c>
    </row>
    <row r="344" spans="1:36" x14ac:dyDescent="0.35">
      <c r="A344" t="s">
        <v>1868</v>
      </c>
      <c r="B344" t="s">
        <v>1342</v>
      </c>
      <c r="C344" t="s">
        <v>1350</v>
      </c>
      <c r="D344">
        <v>100</v>
      </c>
      <c r="E344" t="s">
        <v>1854</v>
      </c>
      <c r="F344" t="s">
        <v>1865</v>
      </c>
      <c r="G344" t="s">
        <v>1866</v>
      </c>
      <c r="H344">
        <v>6487.9952796128182</v>
      </c>
      <c r="I344">
        <v>6487.9952796128182</v>
      </c>
      <c r="J344">
        <v>6487.9952796128182</v>
      </c>
      <c r="K344">
        <v>6487.9952796128182</v>
      </c>
      <c r="L344">
        <v>6487.9952796128182</v>
      </c>
      <c r="M344">
        <v>6487.9952796128182</v>
      </c>
      <c r="N344">
        <v>6487.9952796128182</v>
      </c>
      <c r="O344">
        <v>6487.9952796128182</v>
      </c>
      <c r="P344">
        <v>3699.0621159400398</v>
      </c>
      <c r="Q344">
        <v>3699.0621159400398</v>
      </c>
      <c r="R344">
        <v>3699.0621159400398</v>
      </c>
      <c r="S344">
        <v>3699.0621159400398</v>
      </c>
      <c r="T344">
        <v>3699.0621159400398</v>
      </c>
      <c r="U344">
        <v>3699.0621159400398</v>
      </c>
      <c r="V344">
        <v>3699.0621159400398</v>
      </c>
      <c r="W344">
        <v>3699.0621159400398</v>
      </c>
      <c r="X344">
        <v>3699.0621159400398</v>
      </c>
      <c r="Y344">
        <v>3699.0621159400398</v>
      </c>
      <c r="Z344">
        <v>3555.3575445294196</v>
      </c>
      <c r="AA344">
        <v>3551.099631302438</v>
      </c>
      <c r="AB344">
        <v>3551.099631302438</v>
      </c>
      <c r="AC344">
        <v>3551.099631302438</v>
      </c>
      <c r="AD344">
        <v>3551.099631302438</v>
      </c>
      <c r="AE344">
        <v>3551.099631302438</v>
      </c>
      <c r="AF344">
        <v>3551.099631302438</v>
      </c>
      <c r="AG344">
        <v>3551.099631302438</v>
      </c>
      <c r="AH344">
        <v>3551.099631302438</v>
      </c>
      <c r="AI344">
        <v>3551.099631302438</v>
      </c>
      <c r="AJ344">
        <v>3551.099631302438</v>
      </c>
    </row>
    <row r="345" spans="1:36" x14ac:dyDescent="0.35">
      <c r="A345" t="s">
        <v>1869</v>
      </c>
      <c r="B345" t="s">
        <v>1342</v>
      </c>
      <c r="C345" t="s">
        <v>1343</v>
      </c>
      <c r="D345">
        <v>100</v>
      </c>
      <c r="E345" t="s">
        <v>1854</v>
      </c>
      <c r="F345" t="s">
        <v>1870</v>
      </c>
      <c r="G345" t="s">
        <v>1871</v>
      </c>
      <c r="H345">
        <v>14239.526309332348</v>
      </c>
      <c r="I345">
        <v>14239.526309332348</v>
      </c>
      <c r="J345">
        <v>14239.526309332348</v>
      </c>
      <c r="K345">
        <v>14239.526309332348</v>
      </c>
      <c r="L345">
        <v>13094.147651274368</v>
      </c>
      <c r="M345">
        <v>11949.833471523132</v>
      </c>
      <c r="N345">
        <v>10804.454813465152</v>
      </c>
      <c r="O345">
        <v>9660.140633713916</v>
      </c>
      <c r="P345">
        <v>8465.7959735456498</v>
      </c>
      <c r="Q345">
        <v>8383.8311439262598</v>
      </c>
      <c r="R345">
        <v>8308.253184147341</v>
      </c>
      <c r="S345">
        <v>8232.6752243684223</v>
      </c>
      <c r="T345">
        <v>8157.0972645895035</v>
      </c>
      <c r="U345">
        <v>8081.5193048105848</v>
      </c>
      <c r="V345">
        <v>8005.9413450316661</v>
      </c>
      <c r="W345">
        <v>7931.4278635594919</v>
      </c>
      <c r="X345">
        <v>7855.8499037805732</v>
      </c>
      <c r="Y345">
        <v>7780.2719440016544</v>
      </c>
      <c r="Z345">
        <v>7704.6939842227357</v>
      </c>
      <c r="AA345">
        <v>7692.9847228485369</v>
      </c>
      <c r="AB345">
        <v>7692.9847228485369</v>
      </c>
      <c r="AC345">
        <v>7692.9847228485369</v>
      </c>
      <c r="AD345">
        <v>7692.9847228485369</v>
      </c>
      <c r="AE345">
        <v>7692.9847228485369</v>
      </c>
      <c r="AF345">
        <v>7692.9847228485369</v>
      </c>
      <c r="AG345">
        <v>7692.9847228485369</v>
      </c>
      <c r="AH345">
        <v>7692.9847228485369</v>
      </c>
      <c r="AI345">
        <v>7692.9847228485369</v>
      </c>
      <c r="AJ345">
        <v>7692.9847228485369</v>
      </c>
    </row>
    <row r="346" spans="1:36" x14ac:dyDescent="0.35">
      <c r="A346" t="s">
        <v>1872</v>
      </c>
      <c r="B346" t="s">
        <v>1342</v>
      </c>
      <c r="C346" t="s">
        <v>1348</v>
      </c>
      <c r="D346">
        <v>100</v>
      </c>
      <c r="E346" t="s">
        <v>1854</v>
      </c>
      <c r="F346" t="s">
        <v>1870</v>
      </c>
      <c r="G346" t="s">
        <v>1871</v>
      </c>
      <c r="H346">
        <v>14239.526309332348</v>
      </c>
      <c r="I346">
        <v>14239.526309332348</v>
      </c>
      <c r="J346">
        <v>14239.526309332348</v>
      </c>
      <c r="K346">
        <v>14239.526309332348</v>
      </c>
      <c r="L346">
        <v>13710.480590879917</v>
      </c>
      <c r="M346">
        <v>13182.499350734231</v>
      </c>
      <c r="N346">
        <v>12654.518110588544</v>
      </c>
      <c r="O346">
        <v>12125.472392136113</v>
      </c>
      <c r="P346">
        <v>18463.376230497837</v>
      </c>
      <c r="Q346">
        <v>17618.180454942041</v>
      </c>
      <c r="R346">
        <v>16772.984679386245</v>
      </c>
      <c r="S346">
        <v>15928.853382137195</v>
      </c>
      <c r="T346">
        <v>15083.657606581399</v>
      </c>
      <c r="U346">
        <v>14239.526309332348</v>
      </c>
      <c r="V346">
        <v>14239.526309332348</v>
      </c>
      <c r="W346">
        <v>14239.526309332348</v>
      </c>
      <c r="X346">
        <v>14239.526309332348</v>
      </c>
      <c r="Y346">
        <v>14239.526309332348</v>
      </c>
      <c r="Z346">
        <v>14239.526309332348</v>
      </c>
      <c r="AA346">
        <v>14239.526309332348</v>
      </c>
      <c r="AB346">
        <v>14239.526309332348</v>
      </c>
      <c r="AC346">
        <v>14239.526309332348</v>
      </c>
      <c r="AD346">
        <v>14239.526309332348</v>
      </c>
      <c r="AE346">
        <v>14239.526309332348</v>
      </c>
      <c r="AF346">
        <v>14239.526309332348</v>
      </c>
      <c r="AG346">
        <v>14239.526309332348</v>
      </c>
      <c r="AH346">
        <v>14239.526309332348</v>
      </c>
      <c r="AI346">
        <v>14239.526309332348</v>
      </c>
      <c r="AJ346">
        <v>14239.526309332348</v>
      </c>
    </row>
    <row r="347" spans="1:36" x14ac:dyDescent="0.35">
      <c r="A347" t="s">
        <v>1873</v>
      </c>
      <c r="B347" t="s">
        <v>1342</v>
      </c>
      <c r="C347" t="s">
        <v>1350</v>
      </c>
      <c r="D347">
        <v>100</v>
      </c>
      <c r="E347" t="s">
        <v>1854</v>
      </c>
      <c r="F347" t="s">
        <v>1870</v>
      </c>
      <c r="G347" t="s">
        <v>1871</v>
      </c>
      <c r="H347">
        <v>14239.526309332348</v>
      </c>
      <c r="I347">
        <v>14239.526309332348</v>
      </c>
      <c r="J347">
        <v>14239.526309332348</v>
      </c>
      <c r="K347">
        <v>14239.526309332348</v>
      </c>
      <c r="L347">
        <v>14239.526309332348</v>
      </c>
      <c r="M347">
        <v>14239.526309332348</v>
      </c>
      <c r="N347">
        <v>14239.526309332348</v>
      </c>
      <c r="O347">
        <v>14239.526309332348</v>
      </c>
      <c r="P347">
        <v>8904.3610359247286</v>
      </c>
      <c r="Q347">
        <v>8904.3610359247286</v>
      </c>
      <c r="R347">
        <v>8904.3610359247286</v>
      </c>
      <c r="S347">
        <v>8904.3610359247286</v>
      </c>
      <c r="T347">
        <v>8904.3610359247286</v>
      </c>
      <c r="U347">
        <v>8904.3610359247286</v>
      </c>
      <c r="V347">
        <v>8904.3610359247286</v>
      </c>
      <c r="W347">
        <v>8904.3610359247286</v>
      </c>
      <c r="X347">
        <v>8904.3610359247286</v>
      </c>
      <c r="Y347">
        <v>8904.3610359247286</v>
      </c>
      <c r="Z347">
        <v>8554.1476730055128</v>
      </c>
      <c r="AA347">
        <v>8548.8252814717871</v>
      </c>
      <c r="AB347">
        <v>8548.8252814717871</v>
      </c>
      <c r="AC347">
        <v>8548.8252814717871</v>
      </c>
      <c r="AD347">
        <v>8548.8252814717871</v>
      </c>
      <c r="AE347">
        <v>8548.8252814717871</v>
      </c>
      <c r="AF347">
        <v>8548.8252814717871</v>
      </c>
      <c r="AG347">
        <v>8548.8252814717871</v>
      </c>
      <c r="AH347">
        <v>8548.8252814717871</v>
      </c>
      <c r="AI347">
        <v>8548.8252814717871</v>
      </c>
      <c r="AJ347">
        <v>8548.8252814717871</v>
      </c>
    </row>
    <row r="348" spans="1:36" x14ac:dyDescent="0.35">
      <c r="A348" t="s">
        <v>1874</v>
      </c>
      <c r="B348" t="s">
        <v>1342</v>
      </c>
      <c r="C348" t="s">
        <v>1343</v>
      </c>
      <c r="D348">
        <v>100</v>
      </c>
      <c r="E348" t="s">
        <v>1854</v>
      </c>
      <c r="F348" t="s">
        <v>1875</v>
      </c>
      <c r="G348" t="s">
        <v>1876</v>
      </c>
      <c r="H348">
        <v>5220.2016162791233</v>
      </c>
      <c r="I348">
        <v>5220.2016162791233</v>
      </c>
      <c r="J348">
        <v>5220.2016162791233</v>
      </c>
      <c r="K348">
        <v>5220.2016162791233</v>
      </c>
      <c r="L348">
        <v>5308.5533157389864</v>
      </c>
      <c r="M348">
        <v>5397.969493505595</v>
      </c>
      <c r="N348">
        <v>5486.3211929654572</v>
      </c>
      <c r="O348">
        <v>5575.7373707320658</v>
      </c>
      <c r="P348">
        <v>5667.2825051121645</v>
      </c>
      <c r="Q348">
        <v>5620.4454596153701</v>
      </c>
      <c r="R348">
        <v>5569.3505008915936</v>
      </c>
      <c r="S348">
        <v>5518.2555421678171</v>
      </c>
      <c r="T348">
        <v>5468.2250617507871</v>
      </c>
      <c r="U348">
        <v>5417.1301030270106</v>
      </c>
      <c r="V348">
        <v>5367.0996226099796</v>
      </c>
      <c r="W348">
        <v>5316.0046638862041</v>
      </c>
      <c r="X348">
        <v>5265.9741834691731</v>
      </c>
      <c r="Y348">
        <v>5214.8792247453966</v>
      </c>
      <c r="Z348">
        <v>5163.7842660216211</v>
      </c>
      <c r="AA348">
        <v>5157.3973961811489</v>
      </c>
      <c r="AB348">
        <v>5157.3973961811489</v>
      </c>
      <c r="AC348">
        <v>5157.3973961811489</v>
      </c>
      <c r="AD348">
        <v>5157.3973961811489</v>
      </c>
      <c r="AE348">
        <v>5157.3973961811489</v>
      </c>
      <c r="AF348">
        <v>5157.3973961811489</v>
      </c>
      <c r="AG348">
        <v>5157.3973961811489</v>
      </c>
      <c r="AH348">
        <v>5157.3973961811489</v>
      </c>
      <c r="AI348">
        <v>5157.3973961811489</v>
      </c>
      <c r="AJ348">
        <v>5157.3973961811489</v>
      </c>
    </row>
    <row r="349" spans="1:36" x14ac:dyDescent="0.35">
      <c r="A349" t="s">
        <v>1877</v>
      </c>
      <c r="B349" t="s">
        <v>1342</v>
      </c>
      <c r="C349" t="s">
        <v>1348</v>
      </c>
      <c r="D349">
        <v>100</v>
      </c>
      <c r="E349" t="s">
        <v>1854</v>
      </c>
      <c r="F349" t="s">
        <v>1875</v>
      </c>
      <c r="G349" t="s">
        <v>1876</v>
      </c>
      <c r="H349">
        <v>5220.2016162791233</v>
      </c>
      <c r="I349">
        <v>5220.2016162791233</v>
      </c>
      <c r="J349">
        <v>5220.2016162791233</v>
      </c>
      <c r="K349">
        <v>5220.2016162791233</v>
      </c>
      <c r="L349">
        <v>5293.6506194445519</v>
      </c>
      <c r="M349">
        <v>5368.1641009167251</v>
      </c>
      <c r="N349">
        <v>5441.6131040821538</v>
      </c>
      <c r="O349">
        <v>5515.0621072475815</v>
      </c>
      <c r="P349">
        <v>4897.6646893352872</v>
      </c>
      <c r="Q349">
        <v>4961.5333877400071</v>
      </c>
      <c r="R349">
        <v>5026.4665644514725</v>
      </c>
      <c r="S349">
        <v>5091.399741162938</v>
      </c>
      <c r="T349">
        <v>5155.2684395676579</v>
      </c>
      <c r="U349">
        <v>5220.2016162791233</v>
      </c>
      <c r="V349">
        <v>5220.2016162791233</v>
      </c>
      <c r="W349">
        <v>5220.2016162791233</v>
      </c>
      <c r="X349">
        <v>5220.2016162791233</v>
      </c>
      <c r="Y349">
        <v>5220.2016162791233</v>
      </c>
      <c r="Z349">
        <v>5220.2016162791233</v>
      </c>
      <c r="AA349">
        <v>5220.2016162791233</v>
      </c>
      <c r="AB349">
        <v>5220.2016162791233</v>
      </c>
      <c r="AC349">
        <v>5220.2016162791233</v>
      </c>
      <c r="AD349">
        <v>5220.2016162791233</v>
      </c>
      <c r="AE349">
        <v>5220.2016162791233</v>
      </c>
      <c r="AF349">
        <v>5220.2016162791233</v>
      </c>
      <c r="AG349">
        <v>5220.2016162791233</v>
      </c>
      <c r="AH349">
        <v>5220.2016162791233</v>
      </c>
      <c r="AI349">
        <v>5220.2016162791233</v>
      </c>
      <c r="AJ349">
        <v>5220.2016162791233</v>
      </c>
    </row>
    <row r="350" spans="1:36" x14ac:dyDescent="0.35">
      <c r="A350" t="s">
        <v>1878</v>
      </c>
      <c r="B350" t="s">
        <v>1342</v>
      </c>
      <c r="C350" t="s">
        <v>1350</v>
      </c>
      <c r="D350">
        <v>100</v>
      </c>
      <c r="E350" t="s">
        <v>1854</v>
      </c>
      <c r="F350" t="s">
        <v>1875</v>
      </c>
      <c r="G350" t="s">
        <v>1876</v>
      </c>
      <c r="H350">
        <v>5220.2016162791233</v>
      </c>
      <c r="I350">
        <v>5220.2016162791233</v>
      </c>
      <c r="J350">
        <v>5220.2016162791233</v>
      </c>
      <c r="K350">
        <v>5220.2016162791233</v>
      </c>
      <c r="L350">
        <v>5220.2016162791233</v>
      </c>
      <c r="M350">
        <v>5220.2016162791233</v>
      </c>
      <c r="N350">
        <v>5220.2016162791233</v>
      </c>
      <c r="O350">
        <v>5220.2016162791233</v>
      </c>
      <c r="P350">
        <v>5962.1429960806227</v>
      </c>
      <c r="Q350">
        <v>5969.5943442278394</v>
      </c>
      <c r="R350">
        <v>5969.5943442278394</v>
      </c>
      <c r="S350">
        <v>5969.5943442278394</v>
      </c>
      <c r="T350">
        <v>5969.5943442278394</v>
      </c>
      <c r="U350">
        <v>5969.5943442278394</v>
      </c>
      <c r="V350">
        <v>5969.5943442278394</v>
      </c>
      <c r="W350">
        <v>5969.5943442278394</v>
      </c>
      <c r="X350">
        <v>5969.5943442278394</v>
      </c>
      <c r="Y350">
        <v>5969.5943442278394</v>
      </c>
      <c r="Z350">
        <v>5733.2801601303754</v>
      </c>
      <c r="AA350">
        <v>5730.0867252101389</v>
      </c>
      <c r="AB350">
        <v>5730.0867252101389</v>
      </c>
      <c r="AC350">
        <v>5730.0867252101389</v>
      </c>
      <c r="AD350">
        <v>5730.0867252101389</v>
      </c>
      <c r="AE350">
        <v>5730.0867252101389</v>
      </c>
      <c r="AF350">
        <v>5730.0867252101389</v>
      </c>
      <c r="AG350">
        <v>5730.0867252101389</v>
      </c>
      <c r="AH350">
        <v>5730.0867252101389</v>
      </c>
      <c r="AI350">
        <v>5730.0867252101389</v>
      </c>
      <c r="AJ350">
        <v>5730.0867252101389</v>
      </c>
    </row>
    <row r="351" spans="1:36" x14ac:dyDescent="0.35">
      <c r="A351" t="s">
        <v>1879</v>
      </c>
      <c r="B351" t="s">
        <v>1342</v>
      </c>
      <c r="C351" t="s">
        <v>1343</v>
      </c>
      <c r="D351">
        <v>100</v>
      </c>
      <c r="E351" t="s">
        <v>1854</v>
      </c>
      <c r="F351" t="s">
        <v>1880</v>
      </c>
      <c r="G351" t="s">
        <v>1881</v>
      </c>
      <c r="H351">
        <v>7859.0433387008097</v>
      </c>
      <c r="I351">
        <v>7859.0433387008097</v>
      </c>
      <c r="J351">
        <v>7859.0433387008097</v>
      </c>
      <c r="K351">
        <v>7859.0433387008097</v>
      </c>
      <c r="L351">
        <v>7994.2320836574672</v>
      </c>
      <c r="M351">
        <v>8128.3563503073792</v>
      </c>
      <c r="N351">
        <v>8262.4806169572912</v>
      </c>
      <c r="O351">
        <v>8396.6048836072041</v>
      </c>
      <c r="P351">
        <v>8533.9225851773517</v>
      </c>
      <c r="Q351">
        <v>8460.473582011924</v>
      </c>
      <c r="R351">
        <v>8383.8311439262598</v>
      </c>
      <c r="S351">
        <v>8308.253184147341</v>
      </c>
      <c r="T351">
        <v>8231.6107460616768</v>
      </c>
      <c r="U351">
        <v>8154.9683079760125</v>
      </c>
      <c r="V351">
        <v>8078.3258698903483</v>
      </c>
      <c r="W351">
        <v>8001.683431804684</v>
      </c>
      <c r="X351">
        <v>7925.0409937190207</v>
      </c>
      <c r="Y351">
        <v>7848.3985556333564</v>
      </c>
      <c r="Z351">
        <v>7771.7561175476922</v>
      </c>
      <c r="AA351">
        <v>7765.36924770722</v>
      </c>
      <c r="AB351">
        <v>7765.36924770722</v>
      </c>
      <c r="AC351">
        <v>7765.36924770722</v>
      </c>
      <c r="AD351">
        <v>7765.36924770722</v>
      </c>
      <c r="AE351">
        <v>7765.36924770722</v>
      </c>
      <c r="AF351">
        <v>7765.36924770722</v>
      </c>
      <c r="AG351">
        <v>7765.36924770722</v>
      </c>
      <c r="AH351">
        <v>7765.36924770722</v>
      </c>
      <c r="AI351">
        <v>7765.36924770722</v>
      </c>
      <c r="AJ351">
        <v>7765.36924770722</v>
      </c>
    </row>
    <row r="352" spans="1:36" x14ac:dyDescent="0.35">
      <c r="A352" t="s">
        <v>1882</v>
      </c>
      <c r="B352" t="s">
        <v>1342</v>
      </c>
      <c r="C352" t="s">
        <v>1348</v>
      </c>
      <c r="D352">
        <v>100</v>
      </c>
      <c r="E352" t="s">
        <v>1854</v>
      </c>
      <c r="F352" t="s">
        <v>1880</v>
      </c>
      <c r="G352" t="s">
        <v>1881</v>
      </c>
      <c r="H352">
        <v>7859.0433387008097</v>
      </c>
      <c r="I352">
        <v>7859.0433387008097</v>
      </c>
      <c r="J352">
        <v>7859.0433387008097</v>
      </c>
      <c r="K352">
        <v>7859.0433387008097</v>
      </c>
      <c r="L352">
        <v>7970.8135609090696</v>
      </c>
      <c r="M352">
        <v>8082.5837831173303</v>
      </c>
      <c r="N352">
        <v>8194.3540053255892</v>
      </c>
      <c r="O352">
        <v>8306.12422753385</v>
      </c>
      <c r="P352">
        <v>7371.5122742114463</v>
      </c>
      <c r="Q352">
        <v>7468.3798001252717</v>
      </c>
      <c r="R352">
        <v>7566.3118043458426</v>
      </c>
      <c r="S352">
        <v>7664.2438085664135</v>
      </c>
      <c r="T352">
        <v>7762.1758127869844</v>
      </c>
      <c r="U352">
        <v>7859.0433387008097</v>
      </c>
      <c r="V352">
        <v>7859.0433387008097</v>
      </c>
      <c r="W352">
        <v>7859.0433387008097</v>
      </c>
      <c r="X352">
        <v>7859.0433387008097</v>
      </c>
      <c r="Y352">
        <v>7859.0433387008097</v>
      </c>
      <c r="Z352">
        <v>7859.0433387008097</v>
      </c>
      <c r="AA352">
        <v>7859.0433387008097</v>
      </c>
      <c r="AB352">
        <v>7859.0433387008097</v>
      </c>
      <c r="AC352">
        <v>7859.0433387008097</v>
      </c>
      <c r="AD352">
        <v>7859.0433387008097</v>
      </c>
      <c r="AE352">
        <v>7859.0433387008097</v>
      </c>
      <c r="AF352">
        <v>7859.0433387008097</v>
      </c>
      <c r="AG352">
        <v>7859.0433387008097</v>
      </c>
      <c r="AH352">
        <v>7859.0433387008097</v>
      </c>
      <c r="AI352">
        <v>7859.0433387008097</v>
      </c>
      <c r="AJ352">
        <v>7859.0433387008097</v>
      </c>
    </row>
    <row r="353" spans="1:36" x14ac:dyDescent="0.35">
      <c r="A353" t="s">
        <v>1883</v>
      </c>
      <c r="B353" t="s">
        <v>1342</v>
      </c>
      <c r="C353" t="s">
        <v>1350</v>
      </c>
      <c r="D353">
        <v>100</v>
      </c>
      <c r="E353" t="s">
        <v>1854</v>
      </c>
      <c r="F353" t="s">
        <v>1880</v>
      </c>
      <c r="G353" t="s">
        <v>1881</v>
      </c>
      <c r="H353">
        <v>7859.0433387008097</v>
      </c>
      <c r="I353">
        <v>7859.0433387008097</v>
      </c>
      <c r="J353">
        <v>7859.0433387008097</v>
      </c>
      <c r="K353">
        <v>7859.0433387008097</v>
      </c>
      <c r="L353">
        <v>7859.0433387008097</v>
      </c>
      <c r="M353">
        <v>7859.0433387008097</v>
      </c>
      <c r="N353">
        <v>7859.0433387008097</v>
      </c>
      <c r="O353">
        <v>7859.0433387008097</v>
      </c>
      <c r="P353">
        <v>8979.9389957036474</v>
      </c>
      <c r="Q353">
        <v>8987.3903438508642</v>
      </c>
      <c r="R353">
        <v>8987.3903438508642</v>
      </c>
      <c r="S353">
        <v>8987.3903438508642</v>
      </c>
      <c r="T353">
        <v>8987.3903438508642</v>
      </c>
      <c r="U353">
        <v>8987.3903438508642</v>
      </c>
      <c r="V353">
        <v>8987.3903438508642</v>
      </c>
      <c r="W353">
        <v>8987.3903438508642</v>
      </c>
      <c r="X353">
        <v>8987.3903438508642</v>
      </c>
      <c r="Y353">
        <v>8987.3903438508642</v>
      </c>
      <c r="Z353">
        <v>8630.7901110911771</v>
      </c>
      <c r="AA353">
        <v>8627.5966761709424</v>
      </c>
      <c r="AB353">
        <v>8627.5966761709424</v>
      </c>
      <c r="AC353">
        <v>8627.5966761709424</v>
      </c>
      <c r="AD353">
        <v>8627.5966761709424</v>
      </c>
      <c r="AE353">
        <v>8627.5966761709424</v>
      </c>
      <c r="AF353">
        <v>8627.5966761709424</v>
      </c>
      <c r="AG353">
        <v>8627.5966761709424</v>
      </c>
      <c r="AH353">
        <v>8627.5966761709424</v>
      </c>
      <c r="AI353">
        <v>8627.5966761709424</v>
      </c>
      <c r="AJ353">
        <v>8627.5966761709424</v>
      </c>
    </row>
    <row r="354" spans="1:36" x14ac:dyDescent="0.35">
      <c r="A354" t="s">
        <v>1884</v>
      </c>
      <c r="B354" t="s">
        <v>1342</v>
      </c>
      <c r="C354" t="s">
        <v>1343</v>
      </c>
      <c r="D354">
        <v>100</v>
      </c>
      <c r="E354" t="s">
        <v>1854</v>
      </c>
      <c r="F354" t="s">
        <v>1885</v>
      </c>
      <c r="G354" t="s">
        <v>1886</v>
      </c>
      <c r="H354">
        <v>15796.858072100775</v>
      </c>
      <c r="I354">
        <v>15796.858072100775</v>
      </c>
      <c r="J354">
        <v>15796.858072100775</v>
      </c>
      <c r="K354">
        <v>15796.858072100775</v>
      </c>
      <c r="L354">
        <v>15268.876831955087</v>
      </c>
      <c r="M354">
        <v>14741.960070116147</v>
      </c>
      <c r="N354">
        <v>14213.97882997046</v>
      </c>
      <c r="O354">
        <v>13685.997589824774</v>
      </c>
      <c r="P354">
        <v>13158.016349679088</v>
      </c>
      <c r="Q354">
        <v>13023.892083029175</v>
      </c>
      <c r="R354">
        <v>12904.670512673698</v>
      </c>
      <c r="S354">
        <v>12786.513420624966</v>
      </c>
      <c r="T354">
        <v>12668.356328576234</v>
      </c>
      <c r="U354">
        <v>12550.199236527502</v>
      </c>
      <c r="V354">
        <v>12432.04214447877</v>
      </c>
      <c r="W354">
        <v>12313.885052430038</v>
      </c>
      <c r="X354">
        <v>12195.727960381306</v>
      </c>
      <c r="Y354">
        <v>12077.570868332572</v>
      </c>
      <c r="Z354">
        <v>11959.41377628384</v>
      </c>
      <c r="AA354">
        <v>11951.962428136623</v>
      </c>
      <c r="AB354">
        <v>11951.962428136623</v>
      </c>
      <c r="AC354">
        <v>11951.962428136623</v>
      </c>
      <c r="AD354">
        <v>11951.962428136623</v>
      </c>
      <c r="AE354">
        <v>11951.962428136623</v>
      </c>
      <c r="AF354">
        <v>11951.962428136623</v>
      </c>
      <c r="AG354">
        <v>11951.962428136623</v>
      </c>
      <c r="AH354">
        <v>11951.962428136623</v>
      </c>
      <c r="AI354">
        <v>11951.962428136623</v>
      </c>
      <c r="AJ354">
        <v>11951.962428136623</v>
      </c>
    </row>
    <row r="355" spans="1:36" x14ac:dyDescent="0.35">
      <c r="A355" t="s">
        <v>1887</v>
      </c>
      <c r="B355" t="s">
        <v>1342</v>
      </c>
      <c r="C355" t="s">
        <v>1348</v>
      </c>
      <c r="D355">
        <v>100</v>
      </c>
      <c r="E355" t="s">
        <v>1854</v>
      </c>
      <c r="F355" t="s">
        <v>1885</v>
      </c>
      <c r="G355" t="s">
        <v>1886</v>
      </c>
      <c r="H355">
        <v>15796.858072100775</v>
      </c>
      <c r="I355">
        <v>15796.858072100775</v>
      </c>
      <c r="J355">
        <v>15796.858072100775</v>
      </c>
      <c r="K355">
        <v>15796.858072100775</v>
      </c>
      <c r="L355">
        <v>15602.058541966377</v>
      </c>
      <c r="M355">
        <v>15407.25901183198</v>
      </c>
      <c r="N355">
        <v>15211.39500339084</v>
      </c>
      <c r="O355">
        <v>15016.595473256442</v>
      </c>
      <c r="P355">
        <v>16911.36685926314</v>
      </c>
      <c r="Q355">
        <v>16688.890893153366</v>
      </c>
      <c r="R355">
        <v>16465.350448736845</v>
      </c>
      <c r="S355">
        <v>16242.874482627069</v>
      </c>
      <c r="T355">
        <v>16020.398516517294</v>
      </c>
      <c r="U355">
        <v>15796.858072100775</v>
      </c>
      <c r="V355">
        <v>15796.858072100775</v>
      </c>
      <c r="W355">
        <v>15796.858072100775</v>
      </c>
      <c r="X355">
        <v>15796.858072100775</v>
      </c>
      <c r="Y355">
        <v>15796.858072100775</v>
      </c>
      <c r="Z355">
        <v>15796.858072100775</v>
      </c>
      <c r="AA355">
        <v>15796.858072100775</v>
      </c>
      <c r="AB355">
        <v>15796.858072100775</v>
      </c>
      <c r="AC355">
        <v>15796.858072100775</v>
      </c>
      <c r="AD355">
        <v>15796.858072100775</v>
      </c>
      <c r="AE355">
        <v>15796.858072100775</v>
      </c>
      <c r="AF355">
        <v>15796.858072100775</v>
      </c>
      <c r="AG355">
        <v>15796.858072100775</v>
      </c>
      <c r="AH355">
        <v>15796.858072100775</v>
      </c>
      <c r="AI355">
        <v>15796.858072100775</v>
      </c>
      <c r="AJ355">
        <v>15796.858072100775</v>
      </c>
    </row>
    <row r="356" spans="1:36" x14ac:dyDescent="0.35">
      <c r="A356" t="s">
        <v>1888</v>
      </c>
      <c r="B356" t="s">
        <v>1342</v>
      </c>
      <c r="C356" t="s">
        <v>1350</v>
      </c>
      <c r="D356">
        <v>100</v>
      </c>
      <c r="E356" t="s">
        <v>1854</v>
      </c>
      <c r="F356" t="s">
        <v>1885</v>
      </c>
      <c r="G356" t="s">
        <v>1886</v>
      </c>
      <c r="H356">
        <v>15796.858072100775</v>
      </c>
      <c r="I356">
        <v>15796.858072100775</v>
      </c>
      <c r="J356">
        <v>15796.858072100775</v>
      </c>
      <c r="K356">
        <v>15796.858072100775</v>
      </c>
      <c r="L356">
        <v>15796.858072100775</v>
      </c>
      <c r="M356">
        <v>15796.858072100775</v>
      </c>
      <c r="N356">
        <v>15796.858072100775</v>
      </c>
      <c r="O356">
        <v>15796.858072100775</v>
      </c>
      <c r="P356">
        <v>13845.669335836574</v>
      </c>
      <c r="Q356">
        <v>13833.960074462377</v>
      </c>
      <c r="R356">
        <v>13833.960074462377</v>
      </c>
      <c r="S356">
        <v>13833.960074462377</v>
      </c>
      <c r="T356">
        <v>13833.960074462377</v>
      </c>
      <c r="U356">
        <v>13833.960074462377</v>
      </c>
      <c r="V356">
        <v>13833.960074462377</v>
      </c>
      <c r="W356">
        <v>13833.960074462377</v>
      </c>
      <c r="X356">
        <v>13833.960074462377</v>
      </c>
      <c r="Y356">
        <v>13833.960074462377</v>
      </c>
      <c r="Z356">
        <v>13283.624789875037</v>
      </c>
      <c r="AA356">
        <v>13280.431354954802</v>
      </c>
      <c r="AB356">
        <v>13280.431354954802</v>
      </c>
      <c r="AC356">
        <v>13280.431354954802</v>
      </c>
      <c r="AD356">
        <v>13280.431354954802</v>
      </c>
      <c r="AE356">
        <v>13280.431354954802</v>
      </c>
      <c r="AF356">
        <v>13280.431354954802</v>
      </c>
      <c r="AG356">
        <v>13280.431354954802</v>
      </c>
      <c r="AH356">
        <v>13280.431354954802</v>
      </c>
      <c r="AI356">
        <v>13280.431354954802</v>
      </c>
      <c r="AJ356">
        <v>13280.431354954802</v>
      </c>
    </row>
    <row r="357" spans="1:36" x14ac:dyDescent="0.35">
      <c r="A357" t="s">
        <v>1889</v>
      </c>
      <c r="B357" t="s">
        <v>1342</v>
      </c>
      <c r="C357" t="s">
        <v>1343</v>
      </c>
      <c r="D357">
        <v>100</v>
      </c>
      <c r="E357" t="s">
        <v>1854</v>
      </c>
      <c r="F357" t="s">
        <v>1890</v>
      </c>
      <c r="G357" t="s">
        <v>1891</v>
      </c>
      <c r="H357">
        <v>21498.203883028789</v>
      </c>
      <c r="I357">
        <v>21498.203883028789</v>
      </c>
      <c r="J357">
        <v>21498.203883028789</v>
      </c>
      <c r="K357">
        <v>21498.203883028789</v>
      </c>
      <c r="L357">
        <v>21187.37621745915</v>
      </c>
      <c r="M357">
        <v>20877.613030196258</v>
      </c>
      <c r="N357">
        <v>20567.849842933367</v>
      </c>
      <c r="O357">
        <v>20258.086655670475</v>
      </c>
      <c r="P357">
        <v>19945.130033487345</v>
      </c>
      <c r="Q357">
        <v>19757.781851500167</v>
      </c>
      <c r="R357">
        <v>19578.94949596695</v>
      </c>
      <c r="S357">
        <v>19399.052662126989</v>
      </c>
      <c r="T357">
        <v>19220.220306593772</v>
      </c>
      <c r="U357">
        <v>19041.387951060555</v>
      </c>
      <c r="V357">
        <v>18862.555595527338</v>
      </c>
      <c r="W357">
        <v>18682.658761687377</v>
      </c>
      <c r="X357">
        <v>18503.826406154159</v>
      </c>
      <c r="Y357">
        <v>18324.994050620946</v>
      </c>
      <c r="Z357">
        <v>18146.161695087729</v>
      </c>
      <c r="AA357">
        <v>18132.323477100039</v>
      </c>
      <c r="AB357">
        <v>18132.323477100039</v>
      </c>
      <c r="AC357">
        <v>18132.323477100039</v>
      </c>
      <c r="AD357">
        <v>18132.323477100039</v>
      </c>
      <c r="AE357">
        <v>18132.323477100039</v>
      </c>
      <c r="AF357">
        <v>18132.323477100039</v>
      </c>
      <c r="AG357">
        <v>18132.323477100039</v>
      </c>
      <c r="AH357">
        <v>18132.323477100039</v>
      </c>
      <c r="AI357">
        <v>18132.323477100039</v>
      </c>
      <c r="AJ357">
        <v>18132.323477100039</v>
      </c>
    </row>
    <row r="358" spans="1:36" x14ac:dyDescent="0.35">
      <c r="A358" t="s">
        <v>1892</v>
      </c>
      <c r="B358" t="s">
        <v>1342</v>
      </c>
      <c r="C358" t="s">
        <v>1348</v>
      </c>
      <c r="D358">
        <v>100</v>
      </c>
      <c r="E358" t="s">
        <v>1854</v>
      </c>
      <c r="F358" t="s">
        <v>1890</v>
      </c>
      <c r="G358" t="s">
        <v>1891</v>
      </c>
      <c r="H358">
        <v>21498.203883028789</v>
      </c>
      <c r="I358">
        <v>21498.203883028789</v>
      </c>
      <c r="J358">
        <v>21498.203883028789</v>
      </c>
      <c r="K358">
        <v>21498.203883028789</v>
      </c>
      <c r="L358">
        <v>21447.108924305012</v>
      </c>
      <c r="M358">
        <v>21396.013965581238</v>
      </c>
      <c r="N358">
        <v>21344.919006857461</v>
      </c>
      <c r="O358">
        <v>21294.888526440431</v>
      </c>
      <c r="P358">
        <v>21757.936589874651</v>
      </c>
      <c r="Q358">
        <v>21705.77715284413</v>
      </c>
      <c r="R358">
        <v>21653.617715813609</v>
      </c>
      <c r="S358">
        <v>21601.458278783088</v>
      </c>
      <c r="T358">
        <v>21550.36332005931</v>
      </c>
      <c r="U358">
        <v>21498.203883028789</v>
      </c>
      <c r="V358">
        <v>21498.203883028789</v>
      </c>
      <c r="W358">
        <v>21498.203883028789</v>
      </c>
      <c r="X358">
        <v>21498.203883028789</v>
      </c>
      <c r="Y358">
        <v>21498.203883028789</v>
      </c>
      <c r="Z358">
        <v>21498.203883028789</v>
      </c>
      <c r="AA358">
        <v>21498.203883028789</v>
      </c>
      <c r="AB358">
        <v>21498.203883028789</v>
      </c>
      <c r="AC358">
        <v>21498.203883028789</v>
      </c>
      <c r="AD358">
        <v>21498.203883028789</v>
      </c>
      <c r="AE358">
        <v>21498.203883028789</v>
      </c>
      <c r="AF358">
        <v>21498.203883028789</v>
      </c>
      <c r="AG358">
        <v>21498.203883028789</v>
      </c>
      <c r="AH358">
        <v>21498.203883028789</v>
      </c>
      <c r="AI358">
        <v>21498.203883028789</v>
      </c>
      <c r="AJ358">
        <v>21498.203883028789</v>
      </c>
    </row>
    <row r="359" spans="1:36" x14ac:dyDescent="0.35">
      <c r="A359" t="s">
        <v>1893</v>
      </c>
      <c r="B359" t="s">
        <v>1342</v>
      </c>
      <c r="C359" t="s">
        <v>1350</v>
      </c>
      <c r="D359">
        <v>100</v>
      </c>
      <c r="E359" t="s">
        <v>1854</v>
      </c>
      <c r="F359" t="s">
        <v>1890</v>
      </c>
      <c r="G359" t="s">
        <v>1891</v>
      </c>
      <c r="H359">
        <v>21498.203883028789</v>
      </c>
      <c r="I359">
        <v>21498.203883028789</v>
      </c>
      <c r="J359">
        <v>21498.203883028789</v>
      </c>
      <c r="K359">
        <v>21498.203883028789</v>
      </c>
      <c r="L359">
        <v>21498.203883028789</v>
      </c>
      <c r="M359">
        <v>21498.203883028789</v>
      </c>
      <c r="N359">
        <v>21498.203883028789</v>
      </c>
      <c r="O359">
        <v>21498.203883028789</v>
      </c>
      <c r="P359">
        <v>20986.189817484283</v>
      </c>
      <c r="Q359">
        <v>20986.189817484283</v>
      </c>
      <c r="R359">
        <v>20986.189817484283</v>
      </c>
      <c r="S359">
        <v>20986.189817484283</v>
      </c>
      <c r="T359">
        <v>20986.189817484283</v>
      </c>
      <c r="U359">
        <v>20986.189817484283</v>
      </c>
      <c r="V359">
        <v>20986.189817484283</v>
      </c>
      <c r="W359">
        <v>20986.189817484283</v>
      </c>
      <c r="X359">
        <v>20986.189817484283</v>
      </c>
      <c r="Y359">
        <v>20986.189817484283</v>
      </c>
      <c r="Z359">
        <v>20153.767781609429</v>
      </c>
      <c r="AA359">
        <v>20147.38091176896</v>
      </c>
      <c r="AB359">
        <v>20147.38091176896</v>
      </c>
      <c r="AC359">
        <v>20147.38091176896</v>
      </c>
      <c r="AD359">
        <v>20147.38091176896</v>
      </c>
      <c r="AE359">
        <v>20147.38091176896</v>
      </c>
      <c r="AF359">
        <v>20147.38091176896</v>
      </c>
      <c r="AG359">
        <v>20147.38091176896</v>
      </c>
      <c r="AH359">
        <v>20147.38091176896</v>
      </c>
      <c r="AI359">
        <v>20147.38091176896</v>
      </c>
      <c r="AJ359">
        <v>20147.38091176896</v>
      </c>
    </row>
    <row r="360" spans="1:36" x14ac:dyDescent="0.35">
      <c r="A360" t="s">
        <v>1894</v>
      </c>
      <c r="B360" t="s">
        <v>1342</v>
      </c>
      <c r="C360" t="s">
        <v>1343</v>
      </c>
      <c r="D360">
        <v>100</v>
      </c>
      <c r="E360" t="s">
        <v>1854</v>
      </c>
      <c r="F360" t="s">
        <v>1895</v>
      </c>
      <c r="G360" t="s">
        <v>1896</v>
      </c>
      <c r="H360">
        <v>9005.4864750655361</v>
      </c>
      <c r="I360">
        <v>9005.4864750655361</v>
      </c>
      <c r="J360">
        <v>9005.4864750655361</v>
      </c>
      <c r="K360">
        <v>9005.4864750655361</v>
      </c>
      <c r="L360">
        <v>9005.4864750655361</v>
      </c>
      <c r="M360">
        <v>9005.4864750655361</v>
      </c>
      <c r="N360">
        <v>9005.4864750655361</v>
      </c>
      <c r="O360">
        <v>9005.4864750655361</v>
      </c>
      <c r="P360">
        <v>9005.4864750655361</v>
      </c>
      <c r="Q360">
        <v>9005.4864750655361</v>
      </c>
      <c r="R360">
        <v>9005.4864750655361</v>
      </c>
      <c r="S360">
        <v>9005.4864750655361</v>
      </c>
      <c r="T360">
        <v>9005.4864750655361</v>
      </c>
      <c r="U360">
        <v>9005.4864750655361</v>
      </c>
      <c r="V360">
        <v>9005.4864750655361</v>
      </c>
      <c r="W360">
        <v>9005.4864750655361</v>
      </c>
      <c r="X360">
        <v>9005.4864750655361</v>
      </c>
      <c r="Y360">
        <v>9005.4864750655361</v>
      </c>
      <c r="Z360">
        <v>9005.4864750655361</v>
      </c>
      <c r="AA360">
        <v>9005.4864750655361</v>
      </c>
      <c r="AB360">
        <v>9005.4864750655361</v>
      </c>
      <c r="AC360">
        <v>9005.4864750655361</v>
      </c>
      <c r="AD360">
        <v>9005.4864750655361</v>
      </c>
      <c r="AE360">
        <v>9005.4864750655361</v>
      </c>
      <c r="AF360">
        <v>9005.4864750655361</v>
      </c>
      <c r="AG360">
        <v>9005.4864750655361</v>
      </c>
      <c r="AH360">
        <v>9005.4864750655361</v>
      </c>
      <c r="AI360">
        <v>9005.4864750655361</v>
      </c>
      <c r="AJ360">
        <v>9005.4864750655361</v>
      </c>
    </row>
    <row r="361" spans="1:36" x14ac:dyDescent="0.35">
      <c r="A361" t="s">
        <v>1897</v>
      </c>
      <c r="B361" t="s">
        <v>1342</v>
      </c>
      <c r="C361" t="s">
        <v>1348</v>
      </c>
      <c r="D361">
        <v>100</v>
      </c>
      <c r="E361" t="s">
        <v>1854</v>
      </c>
      <c r="F361" t="s">
        <v>1895</v>
      </c>
      <c r="G361" t="s">
        <v>1896</v>
      </c>
      <c r="H361">
        <v>9234.3493110157833</v>
      </c>
      <c r="I361">
        <v>9234.3493110157833</v>
      </c>
      <c r="J361">
        <v>9234.3493110157833</v>
      </c>
      <c r="K361">
        <v>9234.3493110157833</v>
      </c>
      <c r="L361">
        <v>9234.3493110157833</v>
      </c>
      <c r="M361">
        <v>9234.3493110157833</v>
      </c>
      <c r="N361">
        <v>9234.3493110157833</v>
      </c>
      <c r="O361">
        <v>9234.3493110157833</v>
      </c>
      <c r="P361">
        <v>9234.3493110157833</v>
      </c>
      <c r="Q361">
        <v>9234.3493110157833</v>
      </c>
      <c r="R361">
        <v>9234.3493110157833</v>
      </c>
      <c r="S361">
        <v>9234.3493110157833</v>
      </c>
      <c r="T361">
        <v>9234.3493110157833</v>
      </c>
      <c r="U361">
        <v>9234.3493110157833</v>
      </c>
      <c r="V361">
        <v>9234.3493110157833</v>
      </c>
      <c r="W361">
        <v>9234.3493110157833</v>
      </c>
      <c r="X361">
        <v>9234.3493110157833</v>
      </c>
      <c r="Y361">
        <v>9234.3493110157833</v>
      </c>
      <c r="Z361">
        <v>9234.3493110157833</v>
      </c>
      <c r="AA361">
        <v>9234.3493110157833</v>
      </c>
      <c r="AB361">
        <v>9234.3493110157833</v>
      </c>
      <c r="AC361">
        <v>9234.3493110157833</v>
      </c>
      <c r="AD361">
        <v>9234.3493110157833</v>
      </c>
      <c r="AE361">
        <v>9234.3493110157833</v>
      </c>
      <c r="AF361">
        <v>9234.3493110157833</v>
      </c>
      <c r="AG361">
        <v>9234.3493110157833</v>
      </c>
      <c r="AH361">
        <v>9234.3493110157833</v>
      </c>
      <c r="AI361">
        <v>9234.3493110157833</v>
      </c>
      <c r="AJ361">
        <v>9234.3493110157833</v>
      </c>
    </row>
    <row r="362" spans="1:36" x14ac:dyDescent="0.35">
      <c r="A362" t="s">
        <v>1898</v>
      </c>
      <c r="B362" t="s">
        <v>1342</v>
      </c>
      <c r="C362" t="s">
        <v>1350</v>
      </c>
      <c r="D362">
        <v>100</v>
      </c>
      <c r="E362" t="s">
        <v>1854</v>
      </c>
      <c r="F362" t="s">
        <v>1895</v>
      </c>
      <c r="G362" t="s">
        <v>1896</v>
      </c>
      <c r="H362">
        <v>9281.1863565125768</v>
      </c>
      <c r="I362">
        <v>9281.1863565125768</v>
      </c>
      <c r="J362">
        <v>9281.1863565125768</v>
      </c>
      <c r="K362">
        <v>9281.1863565125768</v>
      </c>
      <c r="L362">
        <v>9281.1863565125768</v>
      </c>
      <c r="M362">
        <v>9281.1863565125768</v>
      </c>
      <c r="N362">
        <v>9281.1863565125768</v>
      </c>
      <c r="O362">
        <v>9281.1863565125768</v>
      </c>
      <c r="P362">
        <v>9281.1863565125768</v>
      </c>
      <c r="Q362">
        <v>9281.1863565125768</v>
      </c>
      <c r="R362">
        <v>9281.1863565125768</v>
      </c>
      <c r="S362">
        <v>9281.1863565125768</v>
      </c>
      <c r="T362">
        <v>9281.1863565125768</v>
      </c>
      <c r="U362">
        <v>9281.1863565125768</v>
      </c>
      <c r="V362">
        <v>9281.1863565125768</v>
      </c>
      <c r="W362">
        <v>9281.1863565125768</v>
      </c>
      <c r="X362">
        <v>9281.1863565125768</v>
      </c>
      <c r="Y362">
        <v>9281.1863565125768</v>
      </c>
      <c r="Z362">
        <v>9281.1863565125768</v>
      </c>
      <c r="AA362">
        <v>9281.1863565125768</v>
      </c>
      <c r="AB362">
        <v>9281.1863565125768</v>
      </c>
      <c r="AC362">
        <v>9281.1863565125768</v>
      </c>
      <c r="AD362">
        <v>9281.1863565125768</v>
      </c>
      <c r="AE362">
        <v>9281.1863565125768</v>
      </c>
      <c r="AF362">
        <v>9281.1863565125768</v>
      </c>
      <c r="AG362">
        <v>9281.1863565125768</v>
      </c>
      <c r="AH362">
        <v>9281.1863565125768</v>
      </c>
      <c r="AI362">
        <v>9281.1863565125768</v>
      </c>
      <c r="AJ362">
        <v>9281.1863565125768</v>
      </c>
    </row>
    <row r="363" spans="1:36" x14ac:dyDescent="0.35">
      <c r="A363" t="s">
        <v>1899</v>
      </c>
      <c r="B363" t="s">
        <v>1342</v>
      </c>
      <c r="C363" t="s">
        <v>1343</v>
      </c>
      <c r="D363">
        <v>100</v>
      </c>
      <c r="E363" t="s">
        <v>1854</v>
      </c>
      <c r="F363" t="s">
        <v>1900</v>
      </c>
      <c r="G363" t="s">
        <v>1901</v>
      </c>
      <c r="H363">
        <v>8051.713912221715</v>
      </c>
      <c r="I363">
        <v>8051.713912221715</v>
      </c>
      <c r="J363">
        <v>8051.713912221715</v>
      </c>
      <c r="K363">
        <v>8051.713912221715</v>
      </c>
      <c r="L363">
        <v>8051.713912221715</v>
      </c>
      <c r="M363">
        <v>8051.713912221715</v>
      </c>
      <c r="N363">
        <v>8051.713912221715</v>
      </c>
      <c r="O363">
        <v>8051.713912221715</v>
      </c>
      <c r="P363">
        <v>8051.713912221715</v>
      </c>
      <c r="Q363">
        <v>8051.713912221715</v>
      </c>
      <c r="R363">
        <v>8051.713912221715</v>
      </c>
      <c r="S363">
        <v>8051.713912221715</v>
      </c>
      <c r="T363">
        <v>8051.713912221715</v>
      </c>
      <c r="U363">
        <v>8051.713912221715</v>
      </c>
      <c r="V363">
        <v>8051.713912221715</v>
      </c>
      <c r="W363">
        <v>8051.713912221715</v>
      </c>
      <c r="X363">
        <v>8051.713912221715</v>
      </c>
      <c r="Y363">
        <v>8051.713912221715</v>
      </c>
      <c r="Z363">
        <v>8051.713912221715</v>
      </c>
      <c r="AA363">
        <v>8051.713912221715</v>
      </c>
      <c r="AB363">
        <v>8051.713912221715</v>
      </c>
      <c r="AC363">
        <v>8051.713912221715</v>
      </c>
      <c r="AD363">
        <v>8051.713912221715</v>
      </c>
      <c r="AE363">
        <v>8051.713912221715</v>
      </c>
      <c r="AF363">
        <v>8051.713912221715</v>
      </c>
      <c r="AG363">
        <v>8051.713912221715</v>
      </c>
      <c r="AH363">
        <v>8051.713912221715</v>
      </c>
      <c r="AI363">
        <v>8051.713912221715</v>
      </c>
      <c r="AJ363">
        <v>8051.713912221715</v>
      </c>
    </row>
    <row r="364" spans="1:36" x14ac:dyDescent="0.35">
      <c r="A364" t="s">
        <v>1902</v>
      </c>
      <c r="B364" t="s">
        <v>1342</v>
      </c>
      <c r="C364" t="s">
        <v>1348</v>
      </c>
      <c r="D364">
        <v>100</v>
      </c>
      <c r="E364" t="s">
        <v>1854</v>
      </c>
      <c r="F364" t="s">
        <v>1900</v>
      </c>
      <c r="G364" t="s">
        <v>1901</v>
      </c>
      <c r="H364">
        <v>8256.0937471168199</v>
      </c>
      <c r="I364">
        <v>8256.0937471168199</v>
      </c>
      <c r="J364">
        <v>8256.0937471168199</v>
      </c>
      <c r="K364">
        <v>8256.0937471168199</v>
      </c>
      <c r="L364">
        <v>8256.0937471168199</v>
      </c>
      <c r="M364">
        <v>8256.0937471168199</v>
      </c>
      <c r="N364">
        <v>8256.0937471168199</v>
      </c>
      <c r="O364">
        <v>8256.0937471168199</v>
      </c>
      <c r="P364">
        <v>8256.0937471168199</v>
      </c>
      <c r="Q364">
        <v>8256.0937471168199</v>
      </c>
      <c r="R364">
        <v>8256.0937471168199</v>
      </c>
      <c r="S364">
        <v>8256.0937471168199</v>
      </c>
      <c r="T364">
        <v>8256.0937471168199</v>
      </c>
      <c r="U364">
        <v>8256.0937471168199</v>
      </c>
      <c r="V364">
        <v>8256.0937471168199</v>
      </c>
      <c r="W364">
        <v>8256.0937471168199</v>
      </c>
      <c r="X364">
        <v>8256.0937471168199</v>
      </c>
      <c r="Y364">
        <v>8256.0937471168199</v>
      </c>
      <c r="Z364">
        <v>8256.0937471168199</v>
      </c>
      <c r="AA364">
        <v>8256.0937471168199</v>
      </c>
      <c r="AB364">
        <v>8256.0937471168199</v>
      </c>
      <c r="AC364">
        <v>8256.0937471168199</v>
      </c>
      <c r="AD364">
        <v>8256.0937471168199</v>
      </c>
      <c r="AE364">
        <v>8256.0937471168199</v>
      </c>
      <c r="AF364">
        <v>8256.0937471168199</v>
      </c>
      <c r="AG364">
        <v>8256.0937471168199</v>
      </c>
      <c r="AH364">
        <v>8256.0937471168199</v>
      </c>
      <c r="AI364">
        <v>8256.0937471168199</v>
      </c>
      <c r="AJ364">
        <v>8256.0937471168199</v>
      </c>
    </row>
    <row r="365" spans="1:36" x14ac:dyDescent="0.35">
      <c r="A365" t="s">
        <v>1903</v>
      </c>
      <c r="B365" t="s">
        <v>1342</v>
      </c>
      <c r="C365" t="s">
        <v>1350</v>
      </c>
      <c r="D365">
        <v>100</v>
      </c>
      <c r="E365" t="s">
        <v>1854</v>
      </c>
      <c r="F365" t="s">
        <v>1900</v>
      </c>
      <c r="G365" t="s">
        <v>1901</v>
      </c>
      <c r="H365">
        <v>8297.6084010798877</v>
      </c>
      <c r="I365">
        <v>8297.6084010798877</v>
      </c>
      <c r="J365">
        <v>8297.6084010798877</v>
      </c>
      <c r="K365">
        <v>8297.6084010798877</v>
      </c>
      <c r="L365">
        <v>8297.6084010798877</v>
      </c>
      <c r="M365">
        <v>8297.6084010798877</v>
      </c>
      <c r="N365">
        <v>8297.6084010798877</v>
      </c>
      <c r="O365">
        <v>8297.6084010798877</v>
      </c>
      <c r="P365">
        <v>8297.6084010798877</v>
      </c>
      <c r="Q365">
        <v>8297.6084010798877</v>
      </c>
      <c r="R365">
        <v>8297.6084010798877</v>
      </c>
      <c r="S365">
        <v>8297.6084010798877</v>
      </c>
      <c r="T365">
        <v>8297.6084010798877</v>
      </c>
      <c r="U365">
        <v>8297.6084010798877</v>
      </c>
      <c r="V365">
        <v>8297.6084010798877</v>
      </c>
      <c r="W365">
        <v>8297.6084010798877</v>
      </c>
      <c r="X365">
        <v>8297.6084010798877</v>
      </c>
      <c r="Y365">
        <v>8297.6084010798877</v>
      </c>
      <c r="Z365">
        <v>8297.6084010798877</v>
      </c>
      <c r="AA365">
        <v>8297.6084010798877</v>
      </c>
      <c r="AB365">
        <v>8297.6084010798877</v>
      </c>
      <c r="AC365">
        <v>8297.6084010798877</v>
      </c>
      <c r="AD365">
        <v>8297.6084010798877</v>
      </c>
      <c r="AE365">
        <v>8297.6084010798877</v>
      </c>
      <c r="AF365">
        <v>8297.6084010798877</v>
      </c>
      <c r="AG365">
        <v>8297.6084010798877</v>
      </c>
      <c r="AH365">
        <v>8297.6084010798877</v>
      </c>
      <c r="AI365">
        <v>8297.6084010798877</v>
      </c>
      <c r="AJ365">
        <v>8297.6084010798877</v>
      </c>
    </row>
    <row r="366" spans="1:36" x14ac:dyDescent="0.35">
      <c r="A366" t="s">
        <v>1904</v>
      </c>
      <c r="B366" t="s">
        <v>1342</v>
      </c>
      <c r="C366" t="s">
        <v>1343</v>
      </c>
      <c r="D366">
        <v>100</v>
      </c>
      <c r="E366" t="s">
        <v>1854</v>
      </c>
      <c r="F366" t="s">
        <v>1905</v>
      </c>
      <c r="G366" t="s">
        <v>1906</v>
      </c>
      <c r="H366">
        <v>7888.8487312896787</v>
      </c>
      <c r="I366">
        <v>7888.8487312896787</v>
      </c>
      <c r="J366">
        <v>7888.8487312896787</v>
      </c>
      <c r="K366">
        <v>7888.8487312896787</v>
      </c>
      <c r="L366">
        <v>7888.8487312896787</v>
      </c>
      <c r="M366">
        <v>7888.8487312896787</v>
      </c>
      <c r="N366">
        <v>7888.8487312896787</v>
      </c>
      <c r="O366">
        <v>7888.8487312896787</v>
      </c>
      <c r="P366">
        <v>7888.8487312896787</v>
      </c>
      <c r="Q366">
        <v>7888.8487312896787</v>
      </c>
      <c r="R366">
        <v>7888.8487312896787</v>
      </c>
      <c r="S366">
        <v>7888.8487312896787</v>
      </c>
      <c r="T366">
        <v>7888.8487312896787</v>
      </c>
      <c r="U366">
        <v>7888.8487312896787</v>
      </c>
      <c r="V366">
        <v>7888.8487312896787</v>
      </c>
      <c r="W366">
        <v>7888.8487312896787</v>
      </c>
      <c r="X366">
        <v>7888.8487312896787</v>
      </c>
      <c r="Y366">
        <v>7888.8487312896787</v>
      </c>
      <c r="Z366">
        <v>7888.8487312896787</v>
      </c>
      <c r="AA366">
        <v>7888.8487312896787</v>
      </c>
      <c r="AB366">
        <v>7888.8487312896787</v>
      </c>
      <c r="AC366">
        <v>7888.8487312896787</v>
      </c>
      <c r="AD366">
        <v>7888.8487312896787</v>
      </c>
      <c r="AE366">
        <v>7888.8487312896787</v>
      </c>
      <c r="AF366">
        <v>7888.8487312896787</v>
      </c>
      <c r="AG366">
        <v>7888.8487312896787</v>
      </c>
      <c r="AH366">
        <v>7888.8487312896787</v>
      </c>
      <c r="AI366">
        <v>7888.8487312896787</v>
      </c>
      <c r="AJ366">
        <v>7888.8487312896787</v>
      </c>
    </row>
    <row r="367" spans="1:36" x14ac:dyDescent="0.35">
      <c r="A367" t="s">
        <v>1907</v>
      </c>
      <c r="B367" t="s">
        <v>1342</v>
      </c>
      <c r="C367" t="s">
        <v>1348</v>
      </c>
      <c r="D367">
        <v>100</v>
      </c>
      <c r="E367" t="s">
        <v>1854</v>
      </c>
      <c r="F367" t="s">
        <v>1905</v>
      </c>
      <c r="G367" t="s">
        <v>1906</v>
      </c>
      <c r="H367">
        <v>8087.906174651057</v>
      </c>
      <c r="I367">
        <v>8087.906174651057</v>
      </c>
      <c r="J367">
        <v>8087.906174651057</v>
      </c>
      <c r="K367">
        <v>8087.906174651057</v>
      </c>
      <c r="L367">
        <v>8087.906174651057</v>
      </c>
      <c r="M367">
        <v>8087.906174651057</v>
      </c>
      <c r="N367">
        <v>8087.906174651057</v>
      </c>
      <c r="O367">
        <v>8087.906174651057</v>
      </c>
      <c r="P367">
        <v>8087.906174651057</v>
      </c>
      <c r="Q367">
        <v>8087.906174651057</v>
      </c>
      <c r="R367">
        <v>8087.906174651057</v>
      </c>
      <c r="S367">
        <v>8087.906174651057</v>
      </c>
      <c r="T367">
        <v>8087.906174651057</v>
      </c>
      <c r="U367">
        <v>8087.906174651057</v>
      </c>
      <c r="V367">
        <v>8087.906174651057</v>
      </c>
      <c r="W367">
        <v>8087.906174651057</v>
      </c>
      <c r="X367">
        <v>8087.906174651057</v>
      </c>
      <c r="Y367">
        <v>8087.906174651057</v>
      </c>
      <c r="Z367">
        <v>8087.906174651057</v>
      </c>
      <c r="AA367">
        <v>8087.906174651057</v>
      </c>
      <c r="AB367">
        <v>8087.906174651057</v>
      </c>
      <c r="AC367">
        <v>8087.906174651057</v>
      </c>
      <c r="AD367">
        <v>8087.906174651057</v>
      </c>
      <c r="AE367">
        <v>8087.906174651057</v>
      </c>
      <c r="AF367">
        <v>8087.906174651057</v>
      </c>
      <c r="AG367">
        <v>8087.906174651057</v>
      </c>
      <c r="AH367">
        <v>8087.906174651057</v>
      </c>
      <c r="AI367">
        <v>8087.906174651057</v>
      </c>
      <c r="AJ367">
        <v>8087.906174651057</v>
      </c>
    </row>
    <row r="368" spans="1:36" x14ac:dyDescent="0.35">
      <c r="A368" t="s">
        <v>1908</v>
      </c>
      <c r="B368" t="s">
        <v>1342</v>
      </c>
      <c r="C368" t="s">
        <v>1350</v>
      </c>
      <c r="D368">
        <v>100</v>
      </c>
      <c r="E368" t="s">
        <v>1854</v>
      </c>
      <c r="F368" t="s">
        <v>1905</v>
      </c>
      <c r="G368" t="s">
        <v>1906</v>
      </c>
      <c r="H368">
        <v>8129.4208286141247</v>
      </c>
      <c r="I368">
        <v>8129.4208286141247</v>
      </c>
      <c r="J368">
        <v>8129.4208286141247</v>
      </c>
      <c r="K368">
        <v>8129.4208286141247</v>
      </c>
      <c r="L368">
        <v>8129.4208286141247</v>
      </c>
      <c r="M368">
        <v>8129.4208286141247</v>
      </c>
      <c r="N368">
        <v>8129.4208286141247</v>
      </c>
      <c r="O368">
        <v>8129.4208286141247</v>
      </c>
      <c r="P368">
        <v>8129.4208286141247</v>
      </c>
      <c r="Q368">
        <v>8129.4208286141247</v>
      </c>
      <c r="R368">
        <v>8129.4208286141247</v>
      </c>
      <c r="S368">
        <v>8129.4208286141247</v>
      </c>
      <c r="T368">
        <v>8129.4208286141247</v>
      </c>
      <c r="U368">
        <v>8129.4208286141247</v>
      </c>
      <c r="V368">
        <v>8129.4208286141247</v>
      </c>
      <c r="W368">
        <v>8129.4208286141247</v>
      </c>
      <c r="X368">
        <v>8129.4208286141247</v>
      </c>
      <c r="Y368">
        <v>8129.4208286141247</v>
      </c>
      <c r="Z368">
        <v>8129.4208286141247</v>
      </c>
      <c r="AA368">
        <v>8129.4208286141247</v>
      </c>
      <c r="AB368">
        <v>8129.4208286141247</v>
      </c>
      <c r="AC368">
        <v>8129.4208286141247</v>
      </c>
      <c r="AD368">
        <v>8129.4208286141247</v>
      </c>
      <c r="AE368">
        <v>8129.4208286141247</v>
      </c>
      <c r="AF368">
        <v>8129.4208286141247</v>
      </c>
      <c r="AG368">
        <v>8129.4208286141247</v>
      </c>
      <c r="AH368">
        <v>8129.4208286141247</v>
      </c>
      <c r="AI368">
        <v>8129.4208286141247</v>
      </c>
      <c r="AJ368">
        <v>8129.4208286141247</v>
      </c>
    </row>
    <row r="369" spans="1:36" x14ac:dyDescent="0.35">
      <c r="A369" t="s">
        <v>1909</v>
      </c>
      <c r="B369" t="s">
        <v>1342</v>
      </c>
      <c r="C369" t="s">
        <v>1343</v>
      </c>
      <c r="D369">
        <v>100</v>
      </c>
      <c r="E369" t="s">
        <v>1854</v>
      </c>
      <c r="F369" t="s">
        <v>1910</v>
      </c>
      <c r="G369" t="s">
        <v>1911</v>
      </c>
      <c r="H369">
        <v>7112.8440456723292</v>
      </c>
      <c r="I369">
        <v>7112.8440456723292</v>
      </c>
      <c r="J369">
        <v>7112.8440456723292</v>
      </c>
      <c r="K369">
        <v>7112.8440456723292</v>
      </c>
      <c r="L369">
        <v>7112.8440456723292</v>
      </c>
      <c r="M369">
        <v>7112.8440456723292</v>
      </c>
      <c r="N369">
        <v>7112.8440456723292</v>
      </c>
      <c r="O369">
        <v>7112.8440456723292</v>
      </c>
      <c r="P369">
        <v>7112.8440456723292</v>
      </c>
      <c r="Q369">
        <v>7112.8440456723292</v>
      </c>
      <c r="R369">
        <v>7112.8440456723292</v>
      </c>
      <c r="S369">
        <v>7112.8440456723292</v>
      </c>
      <c r="T369">
        <v>7112.8440456723292</v>
      </c>
      <c r="U369">
        <v>7112.8440456723292</v>
      </c>
      <c r="V369">
        <v>7112.8440456723292</v>
      </c>
      <c r="W369">
        <v>7112.8440456723292</v>
      </c>
      <c r="X369">
        <v>7112.8440456723292</v>
      </c>
      <c r="Y369">
        <v>7112.8440456723292</v>
      </c>
      <c r="Z369">
        <v>7112.8440456723292</v>
      </c>
      <c r="AA369">
        <v>7112.8440456723292</v>
      </c>
      <c r="AB369">
        <v>7112.8440456723292</v>
      </c>
      <c r="AC369">
        <v>7112.8440456723292</v>
      </c>
      <c r="AD369">
        <v>7112.8440456723292</v>
      </c>
      <c r="AE369">
        <v>7112.8440456723292</v>
      </c>
      <c r="AF369">
        <v>7112.8440456723292</v>
      </c>
      <c r="AG369">
        <v>7112.8440456723292</v>
      </c>
      <c r="AH369">
        <v>7112.8440456723292</v>
      </c>
      <c r="AI369">
        <v>7112.8440456723292</v>
      </c>
      <c r="AJ369">
        <v>7112.8440456723292</v>
      </c>
    </row>
    <row r="370" spans="1:36" x14ac:dyDescent="0.35">
      <c r="A370" t="s">
        <v>1912</v>
      </c>
      <c r="B370" t="s">
        <v>1342</v>
      </c>
      <c r="C370" t="s">
        <v>1348</v>
      </c>
      <c r="D370">
        <v>100</v>
      </c>
      <c r="E370" t="s">
        <v>1854</v>
      </c>
      <c r="F370" t="s">
        <v>1910</v>
      </c>
      <c r="G370" t="s">
        <v>1911</v>
      </c>
      <c r="H370">
        <v>7292.740879512291</v>
      </c>
      <c r="I370">
        <v>7292.740879512291</v>
      </c>
      <c r="J370">
        <v>7292.740879512291</v>
      </c>
      <c r="K370">
        <v>7292.740879512291</v>
      </c>
      <c r="L370">
        <v>7292.740879512291</v>
      </c>
      <c r="M370">
        <v>7292.740879512291</v>
      </c>
      <c r="N370">
        <v>7292.740879512291</v>
      </c>
      <c r="O370">
        <v>7292.740879512291</v>
      </c>
      <c r="P370">
        <v>7292.740879512291</v>
      </c>
      <c r="Q370">
        <v>7292.740879512291</v>
      </c>
      <c r="R370">
        <v>7292.740879512291</v>
      </c>
      <c r="S370">
        <v>7292.740879512291</v>
      </c>
      <c r="T370">
        <v>7292.740879512291</v>
      </c>
      <c r="U370">
        <v>7292.740879512291</v>
      </c>
      <c r="V370">
        <v>7292.740879512291</v>
      </c>
      <c r="W370">
        <v>7292.740879512291</v>
      </c>
      <c r="X370">
        <v>7292.740879512291</v>
      </c>
      <c r="Y370">
        <v>7292.740879512291</v>
      </c>
      <c r="Z370">
        <v>7292.740879512291</v>
      </c>
      <c r="AA370">
        <v>7292.740879512291</v>
      </c>
      <c r="AB370">
        <v>7292.740879512291</v>
      </c>
      <c r="AC370">
        <v>7292.740879512291</v>
      </c>
      <c r="AD370">
        <v>7292.740879512291</v>
      </c>
      <c r="AE370">
        <v>7292.740879512291</v>
      </c>
      <c r="AF370">
        <v>7292.740879512291</v>
      </c>
      <c r="AG370">
        <v>7292.740879512291</v>
      </c>
      <c r="AH370">
        <v>7292.740879512291</v>
      </c>
      <c r="AI370">
        <v>7292.740879512291</v>
      </c>
      <c r="AJ370">
        <v>7292.740879512291</v>
      </c>
    </row>
    <row r="371" spans="1:36" x14ac:dyDescent="0.35">
      <c r="A371" t="s">
        <v>1913</v>
      </c>
      <c r="B371" t="s">
        <v>1342</v>
      </c>
      <c r="C371" t="s">
        <v>1350</v>
      </c>
      <c r="D371">
        <v>100</v>
      </c>
      <c r="E371" t="s">
        <v>1854</v>
      </c>
      <c r="F371" t="s">
        <v>1910</v>
      </c>
      <c r="G371" t="s">
        <v>1911</v>
      </c>
      <c r="H371">
        <v>7329.9976202483776</v>
      </c>
      <c r="I371">
        <v>7329.9976202483776</v>
      </c>
      <c r="J371">
        <v>7329.9976202483776</v>
      </c>
      <c r="K371">
        <v>7329.9976202483776</v>
      </c>
      <c r="L371">
        <v>7329.9976202483776</v>
      </c>
      <c r="M371">
        <v>7329.9976202483776</v>
      </c>
      <c r="N371">
        <v>7329.9976202483776</v>
      </c>
      <c r="O371">
        <v>7329.9976202483776</v>
      </c>
      <c r="P371">
        <v>7329.9976202483776</v>
      </c>
      <c r="Q371">
        <v>7329.9976202483776</v>
      </c>
      <c r="R371">
        <v>7329.9976202483776</v>
      </c>
      <c r="S371">
        <v>7329.9976202483776</v>
      </c>
      <c r="T371">
        <v>7329.9976202483776</v>
      </c>
      <c r="U371">
        <v>7329.9976202483776</v>
      </c>
      <c r="V371">
        <v>7329.9976202483776</v>
      </c>
      <c r="W371">
        <v>7329.9976202483776</v>
      </c>
      <c r="X371">
        <v>7329.9976202483776</v>
      </c>
      <c r="Y371">
        <v>7329.9976202483776</v>
      </c>
      <c r="Z371">
        <v>7329.9976202483776</v>
      </c>
      <c r="AA371">
        <v>7329.9976202483776</v>
      </c>
      <c r="AB371">
        <v>7329.9976202483776</v>
      </c>
      <c r="AC371">
        <v>7329.9976202483776</v>
      </c>
      <c r="AD371">
        <v>7329.9976202483776</v>
      </c>
      <c r="AE371">
        <v>7329.9976202483776</v>
      </c>
      <c r="AF371">
        <v>7329.9976202483776</v>
      </c>
      <c r="AG371">
        <v>7329.9976202483776</v>
      </c>
      <c r="AH371">
        <v>7329.9976202483776</v>
      </c>
      <c r="AI371">
        <v>7329.9976202483776</v>
      </c>
      <c r="AJ371">
        <v>7329.9976202483776</v>
      </c>
    </row>
    <row r="372" spans="1:36" x14ac:dyDescent="0.35">
      <c r="A372" t="s">
        <v>1914</v>
      </c>
      <c r="B372" t="s">
        <v>1342</v>
      </c>
      <c r="C372" t="s">
        <v>1343</v>
      </c>
      <c r="D372" t="s">
        <v>555</v>
      </c>
      <c r="E372" t="s">
        <v>1915</v>
      </c>
      <c r="F372" t="s">
        <v>1916</v>
      </c>
      <c r="G372" t="s">
        <v>1917</v>
      </c>
      <c r="H372">
        <v>1449.5551538746543</v>
      </c>
      <c r="I372">
        <v>1678.6945173616073</v>
      </c>
      <c r="J372">
        <v>1154.3527863636048</v>
      </c>
      <c r="K372">
        <v>969.18727764238133</v>
      </c>
      <c r="L372">
        <v>934.26737500624927</v>
      </c>
      <c r="M372">
        <v>899.34747237011732</v>
      </c>
      <c r="N372">
        <v>864.42756973398502</v>
      </c>
      <c r="O372">
        <v>829.50766709785307</v>
      </c>
      <c r="P372">
        <v>794.58776446172078</v>
      </c>
      <c r="Q372">
        <v>779.64546992849091</v>
      </c>
      <c r="R372">
        <v>764.70317539526127</v>
      </c>
      <c r="S372">
        <v>749.76088086203163</v>
      </c>
      <c r="T372">
        <v>734.81858632880187</v>
      </c>
      <c r="U372">
        <v>719.87629179557189</v>
      </c>
      <c r="V372">
        <v>704.93399726234225</v>
      </c>
      <c r="W372">
        <v>689.99170272911249</v>
      </c>
      <c r="X372">
        <v>675.04940819588296</v>
      </c>
      <c r="Y372">
        <v>660.10711366265321</v>
      </c>
      <c r="Z372">
        <v>645.16481912942368</v>
      </c>
      <c r="AA372">
        <v>630.22252459619392</v>
      </c>
      <c r="AB372">
        <v>615.28023006296405</v>
      </c>
      <c r="AC372">
        <v>600.33793552973441</v>
      </c>
      <c r="AD372">
        <v>585.39564099650465</v>
      </c>
      <c r="AE372">
        <v>570.45334646327501</v>
      </c>
      <c r="AF372">
        <v>555.51105193004537</v>
      </c>
      <c r="AG372">
        <v>540.5687573968155</v>
      </c>
      <c r="AH372">
        <v>525.62646286358597</v>
      </c>
      <c r="AI372">
        <v>510.68416833035621</v>
      </c>
      <c r="AJ372">
        <v>495.74187379712629</v>
      </c>
    </row>
    <row r="373" spans="1:36" x14ac:dyDescent="0.35">
      <c r="A373" t="s">
        <v>1918</v>
      </c>
      <c r="B373" t="s">
        <v>1342</v>
      </c>
      <c r="C373" t="s">
        <v>1348</v>
      </c>
      <c r="D373" t="s">
        <v>555</v>
      </c>
      <c r="E373" t="s">
        <v>1915</v>
      </c>
      <c r="F373" t="s">
        <v>1916</v>
      </c>
      <c r="G373" t="s">
        <v>1917</v>
      </c>
      <c r="H373">
        <v>1449.5551538746543</v>
      </c>
      <c r="I373">
        <v>1678.6945173616073</v>
      </c>
      <c r="J373">
        <v>1303.7378359944178</v>
      </c>
      <c r="K373">
        <v>1248.6750003121899</v>
      </c>
      <c r="L373">
        <v>1206.5601367175132</v>
      </c>
      <c r="M373">
        <v>1165.7704918962165</v>
      </c>
      <c r="N373">
        <v>1127.702544108846</v>
      </c>
      <c r="O373">
        <v>1093.1730727032002</v>
      </c>
      <c r="P373">
        <v>1059.7934828817756</v>
      </c>
      <c r="Q373">
        <v>1046.5460643457536</v>
      </c>
      <c r="R373">
        <v>1033.2986458097316</v>
      </c>
      <c r="S373">
        <v>1020.0512272737096</v>
      </c>
      <c r="T373">
        <v>1006.8038087376874</v>
      </c>
      <c r="U373">
        <v>993.55639020166495</v>
      </c>
      <c r="V373">
        <v>980.30897166564273</v>
      </c>
      <c r="W373">
        <v>967.06155312962085</v>
      </c>
      <c r="X373">
        <v>953.81413459359828</v>
      </c>
      <c r="Y373">
        <v>940.5667160575764</v>
      </c>
      <c r="Z373">
        <v>927.3192975215544</v>
      </c>
      <c r="AA373">
        <v>914.07187898553218</v>
      </c>
      <c r="AB373">
        <v>900.82446044950996</v>
      </c>
      <c r="AC373">
        <v>887.57704191348773</v>
      </c>
      <c r="AD373">
        <v>874.32962337746574</v>
      </c>
      <c r="AE373">
        <v>861.08220484144351</v>
      </c>
      <c r="AF373">
        <v>847.83478630542152</v>
      </c>
      <c r="AG373">
        <v>834.58736776939952</v>
      </c>
      <c r="AH373">
        <v>821.33994923337718</v>
      </c>
      <c r="AI373">
        <v>808.09253069735473</v>
      </c>
      <c r="AJ373">
        <v>794.84511216133194</v>
      </c>
    </row>
    <row r="374" spans="1:36" x14ac:dyDescent="0.35">
      <c r="A374" t="s">
        <v>1919</v>
      </c>
      <c r="B374" t="s">
        <v>1342</v>
      </c>
      <c r="C374" t="s">
        <v>1350</v>
      </c>
      <c r="D374" t="s">
        <v>555</v>
      </c>
      <c r="E374" t="s">
        <v>1915</v>
      </c>
      <c r="F374" t="s">
        <v>1916</v>
      </c>
      <c r="G374" t="s">
        <v>1917</v>
      </c>
      <c r="H374">
        <v>1449.5551538746543</v>
      </c>
      <c r="I374">
        <v>1678.6945173616073</v>
      </c>
      <c r="J374">
        <v>1570.6995327287318</v>
      </c>
      <c r="K374">
        <v>1548.4201067325798</v>
      </c>
      <c r="L374">
        <v>1490.4935991425843</v>
      </c>
      <c r="M374">
        <v>1432.5670915525884</v>
      </c>
      <c r="N374">
        <v>1374.6405839625925</v>
      </c>
      <c r="O374">
        <v>1316.7140763725972</v>
      </c>
      <c r="P374">
        <v>1258.7875687826013</v>
      </c>
      <c r="Q374">
        <v>1255.192975334533</v>
      </c>
      <c r="R374">
        <v>1251.5983818864654</v>
      </c>
      <c r="S374">
        <v>1248.0037884383978</v>
      </c>
      <c r="T374">
        <v>1244.4091949903298</v>
      </c>
      <c r="U374">
        <v>1240.8146015422617</v>
      </c>
      <c r="V374">
        <v>1237.2200080941941</v>
      </c>
      <c r="W374">
        <v>1233.625414646126</v>
      </c>
      <c r="X374">
        <v>1230.0308211980584</v>
      </c>
      <c r="Y374">
        <v>1226.4362277499906</v>
      </c>
      <c r="Z374">
        <v>1222.8416343019223</v>
      </c>
      <c r="AA374">
        <v>1219.247040853855</v>
      </c>
      <c r="AB374">
        <v>1215.6524474057867</v>
      </c>
      <c r="AC374">
        <v>1212.0578539577189</v>
      </c>
      <c r="AD374">
        <v>1208.4632605096513</v>
      </c>
      <c r="AE374">
        <v>1204.8686670615832</v>
      </c>
      <c r="AF374">
        <v>1201.2740736135156</v>
      </c>
      <c r="AG374">
        <v>1197.6794801654476</v>
      </c>
      <c r="AH374">
        <v>1194.0848867173795</v>
      </c>
      <c r="AI374">
        <v>1190.4902932693119</v>
      </c>
      <c r="AJ374">
        <v>1186.8956998212425</v>
      </c>
    </row>
    <row r="375" spans="1:36" x14ac:dyDescent="0.35">
      <c r="A375" t="s">
        <v>1920</v>
      </c>
      <c r="B375" t="s">
        <v>1342</v>
      </c>
      <c r="C375" t="s">
        <v>1343</v>
      </c>
      <c r="D375" t="s">
        <v>555</v>
      </c>
      <c r="E375" t="s">
        <v>1915</v>
      </c>
      <c r="F375" t="s">
        <v>1829</v>
      </c>
      <c r="G375" t="s">
        <v>1921</v>
      </c>
      <c r="H375">
        <v>1735.0309848643408</v>
      </c>
      <c r="I375">
        <v>2030.1238494557992</v>
      </c>
      <c r="J375">
        <v>1415.7884430528595</v>
      </c>
      <c r="K375">
        <v>1160.0593136115042</v>
      </c>
      <c r="L375">
        <v>1118.2622747750129</v>
      </c>
      <c r="M375">
        <v>1076.4652359385218</v>
      </c>
      <c r="N375">
        <v>1034.6681971020303</v>
      </c>
      <c r="O375">
        <v>992.87115826553895</v>
      </c>
      <c r="P375">
        <v>951.07411942904741</v>
      </c>
      <c r="Q375">
        <v>933.18908488529485</v>
      </c>
      <c r="R375">
        <v>915.30405034154228</v>
      </c>
      <c r="S375">
        <v>897.41901579778983</v>
      </c>
      <c r="T375">
        <v>879.53398125403749</v>
      </c>
      <c r="U375">
        <v>861.64894671028469</v>
      </c>
      <c r="V375">
        <v>843.76391216653235</v>
      </c>
      <c r="W375">
        <v>825.87887762278001</v>
      </c>
      <c r="X375">
        <v>807.99384307902756</v>
      </c>
      <c r="Y375">
        <v>790.1088085352751</v>
      </c>
      <c r="Z375">
        <v>772.22377399152276</v>
      </c>
      <c r="AA375">
        <v>754.33873944777019</v>
      </c>
      <c r="AB375">
        <v>736.45370490401774</v>
      </c>
      <c r="AC375">
        <v>718.5686703602654</v>
      </c>
      <c r="AD375">
        <v>700.68363581651283</v>
      </c>
      <c r="AE375">
        <v>682.79860127276049</v>
      </c>
      <c r="AF375">
        <v>664.91356672900804</v>
      </c>
      <c r="AG375">
        <v>647.02853218525559</v>
      </c>
      <c r="AH375">
        <v>629.14349764150313</v>
      </c>
      <c r="AI375">
        <v>611.25846309775068</v>
      </c>
      <c r="AJ375">
        <v>593.373428553998</v>
      </c>
    </row>
    <row r="376" spans="1:36" x14ac:dyDescent="0.35">
      <c r="A376" t="s">
        <v>1922</v>
      </c>
      <c r="B376" t="s">
        <v>1342</v>
      </c>
      <c r="C376" t="s">
        <v>1348</v>
      </c>
      <c r="D376" t="s">
        <v>555</v>
      </c>
      <c r="E376" t="s">
        <v>1915</v>
      </c>
      <c r="F376" t="s">
        <v>1829</v>
      </c>
      <c r="G376" t="s">
        <v>1921</v>
      </c>
      <c r="H376">
        <v>1735.0309848643408</v>
      </c>
      <c r="I376">
        <v>2030.1238494557992</v>
      </c>
      <c r="J376">
        <v>1549.3074121099241</v>
      </c>
      <c r="K376">
        <v>1482.539952387204</v>
      </c>
      <c r="L376">
        <v>1427.6115315395909</v>
      </c>
      <c r="M376">
        <v>1375.1329725003989</v>
      </c>
      <c r="N376">
        <v>1326.3155351587429</v>
      </c>
      <c r="O376">
        <v>1282.0730886209008</v>
      </c>
      <c r="P376">
        <v>1239.767987212379</v>
      </c>
      <c r="Q376">
        <v>1224.2708873722249</v>
      </c>
      <c r="R376">
        <v>1208.7737875320697</v>
      </c>
      <c r="S376">
        <v>1193.2766876919154</v>
      </c>
      <c r="T376">
        <v>1177.7795878517607</v>
      </c>
      <c r="U376">
        <v>1162.2824880116057</v>
      </c>
      <c r="V376">
        <v>1146.7853881714509</v>
      </c>
      <c r="W376">
        <v>1131.2882883312964</v>
      </c>
      <c r="X376">
        <v>1115.7911884911416</v>
      </c>
      <c r="Y376">
        <v>1100.2940886509871</v>
      </c>
      <c r="Z376">
        <v>1084.7969888108325</v>
      </c>
      <c r="AA376">
        <v>1069.2998889706778</v>
      </c>
      <c r="AB376">
        <v>1053.802789130523</v>
      </c>
      <c r="AC376">
        <v>1038.3056892903683</v>
      </c>
      <c r="AD376">
        <v>1022.8085894502136</v>
      </c>
      <c r="AE376">
        <v>1007.311489610059</v>
      </c>
      <c r="AF376">
        <v>991.81438976990432</v>
      </c>
      <c r="AG376">
        <v>976.31728992974979</v>
      </c>
      <c r="AH376">
        <v>960.82019008959514</v>
      </c>
      <c r="AI376">
        <v>945.32309024944004</v>
      </c>
      <c r="AJ376">
        <v>929.82599040928449</v>
      </c>
    </row>
    <row r="377" spans="1:36" x14ac:dyDescent="0.35">
      <c r="A377" t="s">
        <v>1923</v>
      </c>
      <c r="B377" t="s">
        <v>1342</v>
      </c>
      <c r="C377" t="s">
        <v>1350</v>
      </c>
      <c r="D377" t="s">
        <v>555</v>
      </c>
      <c r="E377" t="s">
        <v>1915</v>
      </c>
      <c r="F377" t="s">
        <v>1829</v>
      </c>
      <c r="G377" t="s">
        <v>1921</v>
      </c>
      <c r="H377">
        <v>1735.0309848643408</v>
      </c>
      <c r="I377">
        <v>2030.1238494557992</v>
      </c>
      <c r="J377">
        <v>1880.0335743774986</v>
      </c>
      <c r="K377">
        <v>1853.3664314785274</v>
      </c>
      <c r="L377">
        <v>1784.0318599412014</v>
      </c>
      <c r="M377">
        <v>1714.6972884038751</v>
      </c>
      <c r="N377">
        <v>1645.3627168665491</v>
      </c>
      <c r="O377">
        <v>1576.0281453292228</v>
      </c>
      <c r="P377">
        <v>1506.6935737918968</v>
      </c>
      <c r="Q377">
        <v>1502.3910600215736</v>
      </c>
      <c r="R377">
        <v>1498.0885462512513</v>
      </c>
      <c r="S377">
        <v>1493.7860324809285</v>
      </c>
      <c r="T377">
        <v>1489.4835187106053</v>
      </c>
      <c r="U377">
        <v>1485.1810049402823</v>
      </c>
      <c r="V377">
        <v>1480.8784911699599</v>
      </c>
      <c r="W377">
        <v>1476.5759773996365</v>
      </c>
      <c r="X377">
        <v>1472.2734636293142</v>
      </c>
      <c r="Y377">
        <v>1467.9709498589914</v>
      </c>
      <c r="Z377">
        <v>1463.6684360886686</v>
      </c>
      <c r="AA377">
        <v>1459.3659223183461</v>
      </c>
      <c r="AB377">
        <v>1455.0634085480228</v>
      </c>
      <c r="AC377">
        <v>1450.7608947777001</v>
      </c>
      <c r="AD377">
        <v>1446.4583810073775</v>
      </c>
      <c r="AE377">
        <v>1442.1558672370545</v>
      </c>
      <c r="AF377">
        <v>1437.853353466732</v>
      </c>
      <c r="AG377">
        <v>1433.5508396964087</v>
      </c>
      <c r="AH377">
        <v>1429.2483259260862</v>
      </c>
      <c r="AI377">
        <v>1424.9458121557632</v>
      </c>
      <c r="AJ377">
        <v>1420.6432983854393</v>
      </c>
    </row>
    <row r="378" spans="1:36" x14ac:dyDescent="0.35">
      <c r="A378" t="s">
        <v>1924</v>
      </c>
      <c r="B378" t="s">
        <v>1342</v>
      </c>
      <c r="C378" t="s">
        <v>1343</v>
      </c>
      <c r="D378" t="s">
        <v>555</v>
      </c>
      <c r="E378" t="s">
        <v>1915</v>
      </c>
      <c r="F378" t="s">
        <v>1834</v>
      </c>
      <c r="G378" t="s">
        <v>1925</v>
      </c>
      <c r="H378">
        <v>2305.9826468437136</v>
      </c>
      <c r="I378">
        <v>2732.9825136441832</v>
      </c>
      <c r="J378">
        <v>1938.6597564313684</v>
      </c>
      <c r="K378">
        <v>1541.8033855497501</v>
      </c>
      <c r="L378">
        <v>1486.2520743125408</v>
      </c>
      <c r="M378">
        <v>1430.7007630753303</v>
      </c>
      <c r="N378">
        <v>1375.1494518381207</v>
      </c>
      <c r="O378">
        <v>1319.5981406009105</v>
      </c>
      <c r="P378">
        <v>1264.0468293637007</v>
      </c>
      <c r="Q378">
        <v>1240.2763147989026</v>
      </c>
      <c r="R378">
        <v>1216.5058002341045</v>
      </c>
      <c r="S378">
        <v>1192.7352856693064</v>
      </c>
      <c r="T378">
        <v>1168.9647711045084</v>
      </c>
      <c r="U378">
        <v>1145.1942565397103</v>
      </c>
      <c r="V378">
        <v>1121.4237419749124</v>
      </c>
      <c r="W378">
        <v>1097.6532274101148</v>
      </c>
      <c r="X378">
        <v>1073.882712845317</v>
      </c>
      <c r="Y378">
        <v>1050.1121982805189</v>
      </c>
      <c r="Z378">
        <v>1026.3416837157208</v>
      </c>
      <c r="AA378">
        <v>1002.5711691509232</v>
      </c>
      <c r="AB378">
        <v>978.80065458612512</v>
      </c>
      <c r="AC378">
        <v>955.03014002132738</v>
      </c>
      <c r="AD378">
        <v>931.25962545652919</v>
      </c>
      <c r="AE378">
        <v>907.48911089173134</v>
      </c>
      <c r="AF378">
        <v>883.71859632693338</v>
      </c>
      <c r="AG378">
        <v>859.94808176213564</v>
      </c>
      <c r="AH378">
        <v>836.17756719733757</v>
      </c>
      <c r="AI378">
        <v>812.4070526325396</v>
      </c>
      <c r="AJ378">
        <v>788.63653806774141</v>
      </c>
    </row>
    <row r="379" spans="1:36" x14ac:dyDescent="0.35">
      <c r="A379" t="s">
        <v>1926</v>
      </c>
      <c r="B379" t="s">
        <v>1342</v>
      </c>
      <c r="C379" t="s">
        <v>1348</v>
      </c>
      <c r="D379" t="s">
        <v>555</v>
      </c>
      <c r="E379" t="s">
        <v>1915</v>
      </c>
      <c r="F379" t="s">
        <v>1834</v>
      </c>
      <c r="G379" t="s">
        <v>1925</v>
      </c>
      <c r="H379">
        <v>2305.9826468437136</v>
      </c>
      <c r="I379">
        <v>2732.9825136441832</v>
      </c>
      <c r="J379">
        <v>2040.4465643409367</v>
      </c>
      <c r="K379">
        <v>1950.269856537232</v>
      </c>
      <c r="L379">
        <v>1869.7143211837465</v>
      </c>
      <c r="M379">
        <v>1793.8579337087638</v>
      </c>
      <c r="N379">
        <v>1723.5415172585374</v>
      </c>
      <c r="O379">
        <v>1659.8731204563014</v>
      </c>
      <c r="P379">
        <v>1599.716995873586</v>
      </c>
      <c r="Q379">
        <v>1579.7205334251666</v>
      </c>
      <c r="R379">
        <v>1559.7240709767466</v>
      </c>
      <c r="S379">
        <v>1539.7276085283268</v>
      </c>
      <c r="T379">
        <v>1519.7311460799074</v>
      </c>
      <c r="U379">
        <v>1499.7346836314871</v>
      </c>
      <c r="V379">
        <v>1479.7382211830675</v>
      </c>
      <c r="W379">
        <v>1459.7417587346481</v>
      </c>
      <c r="X379">
        <v>1439.745296286228</v>
      </c>
      <c r="Y379">
        <v>1419.7488338378082</v>
      </c>
      <c r="Z379">
        <v>1399.7523713893884</v>
      </c>
      <c r="AA379">
        <v>1379.755908940969</v>
      </c>
      <c r="AB379">
        <v>1359.7594464925494</v>
      </c>
      <c r="AC379">
        <v>1339.7629840441289</v>
      </c>
      <c r="AD379">
        <v>1319.7665215957093</v>
      </c>
      <c r="AE379">
        <v>1299.7700591472899</v>
      </c>
      <c r="AF379">
        <v>1279.7735966988698</v>
      </c>
      <c r="AG379">
        <v>1259.7771342504502</v>
      </c>
      <c r="AH379">
        <v>1239.7806718020306</v>
      </c>
      <c r="AI379">
        <v>1219.7842093536105</v>
      </c>
      <c r="AJ379">
        <v>1199.7877469051898</v>
      </c>
    </row>
    <row r="380" spans="1:36" x14ac:dyDescent="0.35">
      <c r="A380" t="s">
        <v>1927</v>
      </c>
      <c r="B380" t="s">
        <v>1342</v>
      </c>
      <c r="C380" t="s">
        <v>1350</v>
      </c>
      <c r="D380" t="s">
        <v>555</v>
      </c>
      <c r="E380" t="s">
        <v>1915</v>
      </c>
      <c r="F380" t="s">
        <v>1834</v>
      </c>
      <c r="G380" t="s">
        <v>1925</v>
      </c>
      <c r="H380">
        <v>2305.9826468437136</v>
      </c>
      <c r="I380">
        <v>2732.9825136441832</v>
      </c>
      <c r="J380">
        <v>2498.7016576750316</v>
      </c>
      <c r="K380">
        <v>2463.259080970422</v>
      </c>
      <c r="L380">
        <v>2371.1083815384354</v>
      </c>
      <c r="M380">
        <v>2278.9576821064484</v>
      </c>
      <c r="N380">
        <v>2186.8069826744618</v>
      </c>
      <c r="O380">
        <v>2094.6562832424743</v>
      </c>
      <c r="P380">
        <v>2002.5055838104879</v>
      </c>
      <c r="Q380">
        <v>1996.7872293956545</v>
      </c>
      <c r="R380">
        <v>1991.0688749808223</v>
      </c>
      <c r="S380">
        <v>1985.350520565989</v>
      </c>
      <c r="T380">
        <v>1979.6321661511565</v>
      </c>
      <c r="U380">
        <v>1973.9138117363236</v>
      </c>
      <c r="V380">
        <v>1968.1954573214914</v>
      </c>
      <c r="W380">
        <v>1962.4771029066583</v>
      </c>
      <c r="X380">
        <v>1956.7587484918261</v>
      </c>
      <c r="Y380">
        <v>1951.0403940769934</v>
      </c>
      <c r="Z380">
        <v>1945.3220396621607</v>
      </c>
      <c r="AA380">
        <v>1939.603685247328</v>
      </c>
      <c r="AB380">
        <v>1933.8853308324951</v>
      </c>
      <c r="AC380">
        <v>1928.1669764176622</v>
      </c>
      <c r="AD380">
        <v>1922.44862200283</v>
      </c>
      <c r="AE380">
        <v>1916.7302675879971</v>
      </c>
      <c r="AF380">
        <v>1911.0119131731649</v>
      </c>
      <c r="AG380">
        <v>1905.2935587583313</v>
      </c>
      <c r="AH380">
        <v>1899.5752043434991</v>
      </c>
      <c r="AI380">
        <v>1893.8568499286664</v>
      </c>
      <c r="AJ380">
        <v>1888.1384955138321</v>
      </c>
    </row>
    <row r="381" spans="1:36" x14ac:dyDescent="0.35">
      <c r="A381" t="s">
        <v>1928</v>
      </c>
      <c r="B381" t="s">
        <v>1342</v>
      </c>
      <c r="C381" t="s">
        <v>1343</v>
      </c>
      <c r="D381" t="s">
        <v>555</v>
      </c>
      <c r="E381" t="s">
        <v>1915</v>
      </c>
      <c r="F381" t="s">
        <v>1839</v>
      </c>
      <c r="G381" t="s">
        <v>1929</v>
      </c>
      <c r="H381">
        <v>2876.9343088230867</v>
      </c>
      <c r="I381">
        <v>3435.8411778325672</v>
      </c>
      <c r="J381">
        <v>2461.5310698098765</v>
      </c>
      <c r="K381">
        <v>1923.5474574879961</v>
      </c>
      <c r="L381">
        <v>1854.2418738500678</v>
      </c>
      <c r="M381">
        <v>1784.9362902121393</v>
      </c>
      <c r="N381">
        <v>1715.6307065742108</v>
      </c>
      <c r="O381">
        <v>1646.325122936282</v>
      </c>
      <c r="P381">
        <v>1577.0195392983542</v>
      </c>
      <c r="Q381">
        <v>1547.3635447125102</v>
      </c>
      <c r="R381">
        <v>1517.7075501266665</v>
      </c>
      <c r="S381">
        <v>1488.0515555408233</v>
      </c>
      <c r="T381">
        <v>1458.3955609549796</v>
      </c>
      <c r="U381">
        <v>1428.7395663691364</v>
      </c>
      <c r="V381">
        <v>1399.0835717832927</v>
      </c>
      <c r="W381">
        <v>1369.4275771974496</v>
      </c>
      <c r="X381">
        <v>1339.7715826116057</v>
      </c>
      <c r="Y381">
        <v>1310.1155880257627</v>
      </c>
      <c r="Z381">
        <v>1280.459593439919</v>
      </c>
      <c r="AA381">
        <v>1250.8035988540762</v>
      </c>
      <c r="AB381">
        <v>1221.1476042682325</v>
      </c>
      <c r="AC381">
        <v>1191.4916096823893</v>
      </c>
      <c r="AD381">
        <v>1161.8356150965456</v>
      </c>
      <c r="AE381">
        <v>1132.1796205107023</v>
      </c>
      <c r="AF381">
        <v>1102.5236259248586</v>
      </c>
      <c r="AG381">
        <v>1072.8676313390156</v>
      </c>
      <c r="AH381">
        <v>1043.2116367531719</v>
      </c>
      <c r="AI381">
        <v>1013.5556421673288</v>
      </c>
      <c r="AJ381">
        <v>983.89964758148471</v>
      </c>
    </row>
    <row r="382" spans="1:36" x14ac:dyDescent="0.35">
      <c r="A382" t="s">
        <v>1930</v>
      </c>
      <c r="B382" t="s">
        <v>1342</v>
      </c>
      <c r="C382" t="s">
        <v>1348</v>
      </c>
      <c r="D382" t="s">
        <v>555</v>
      </c>
      <c r="E382" t="s">
        <v>1915</v>
      </c>
      <c r="F382" t="s">
        <v>1839</v>
      </c>
      <c r="G382" t="s">
        <v>1929</v>
      </c>
      <c r="H382">
        <v>2876.9343088230867</v>
      </c>
      <c r="I382">
        <v>3435.8411778325672</v>
      </c>
      <c r="J382">
        <v>2531.585716571949</v>
      </c>
      <c r="K382">
        <v>2417.9997606872607</v>
      </c>
      <c r="L382">
        <v>2311.8171108279016</v>
      </c>
      <c r="M382">
        <v>2212.5828949171287</v>
      </c>
      <c r="N382">
        <v>2120.7674993583319</v>
      </c>
      <c r="O382">
        <v>2037.6731522917025</v>
      </c>
      <c r="P382">
        <v>1959.666004534793</v>
      </c>
      <c r="Q382">
        <v>1935.1701794781086</v>
      </c>
      <c r="R382">
        <v>1910.6743544214232</v>
      </c>
      <c r="S382">
        <v>1886.1785293647383</v>
      </c>
      <c r="T382">
        <v>1861.6827043080536</v>
      </c>
      <c r="U382">
        <v>1837.1868792513685</v>
      </c>
      <c r="V382">
        <v>1812.6910541946838</v>
      </c>
      <c r="W382">
        <v>1788.1952291379996</v>
      </c>
      <c r="X382">
        <v>1763.6994040813145</v>
      </c>
      <c r="Y382">
        <v>1739.2035790246293</v>
      </c>
      <c r="Z382">
        <v>1714.7077539679447</v>
      </c>
      <c r="AA382">
        <v>1690.2119289112597</v>
      </c>
      <c r="AB382">
        <v>1665.7161038545751</v>
      </c>
      <c r="AC382">
        <v>1641.2202787978897</v>
      </c>
      <c r="AD382">
        <v>1616.7244537412057</v>
      </c>
      <c r="AE382">
        <v>1592.2286286845206</v>
      </c>
      <c r="AF382">
        <v>1567.7328036278354</v>
      </c>
      <c r="AG382">
        <v>1543.2369785711508</v>
      </c>
      <c r="AH382">
        <v>1518.7411535144661</v>
      </c>
      <c r="AI382">
        <v>1494.2453284577812</v>
      </c>
      <c r="AJ382">
        <v>1469.7495034010947</v>
      </c>
    </row>
    <row r="383" spans="1:36" x14ac:dyDescent="0.35">
      <c r="A383" t="s">
        <v>1931</v>
      </c>
      <c r="B383" t="s">
        <v>1342</v>
      </c>
      <c r="C383" t="s">
        <v>1350</v>
      </c>
      <c r="D383" t="s">
        <v>555</v>
      </c>
      <c r="E383" t="s">
        <v>1915</v>
      </c>
      <c r="F383" t="s">
        <v>1839</v>
      </c>
      <c r="G383" t="s">
        <v>1929</v>
      </c>
      <c r="H383">
        <v>2876.9343088230867</v>
      </c>
      <c r="I383">
        <v>3435.8411778325672</v>
      </c>
      <c r="J383">
        <v>3117.3697409725651</v>
      </c>
      <c r="K383">
        <v>3073.1517304623171</v>
      </c>
      <c r="L383">
        <v>2958.1849031356692</v>
      </c>
      <c r="M383">
        <v>2843.2180758090221</v>
      </c>
      <c r="N383">
        <v>2728.2512484823742</v>
      </c>
      <c r="O383">
        <v>2613.2844211557253</v>
      </c>
      <c r="P383">
        <v>2498.3175938290783</v>
      </c>
      <c r="Q383">
        <v>2491.1833987697355</v>
      </c>
      <c r="R383">
        <v>2484.0492037103932</v>
      </c>
      <c r="S383">
        <v>2476.9150086510504</v>
      </c>
      <c r="T383">
        <v>2469.780813591708</v>
      </c>
      <c r="U383">
        <v>2462.6466185323648</v>
      </c>
      <c r="V383">
        <v>2455.5124234730229</v>
      </c>
      <c r="W383">
        <v>2448.3782284136801</v>
      </c>
      <c r="X383">
        <v>2441.2440333543382</v>
      </c>
      <c r="Y383">
        <v>2434.1098382949958</v>
      </c>
      <c r="Z383">
        <v>2426.975643235653</v>
      </c>
      <c r="AA383">
        <v>2419.8414481763098</v>
      </c>
      <c r="AB383">
        <v>2412.7072531169674</v>
      </c>
      <c r="AC383">
        <v>2405.5730580576246</v>
      </c>
      <c r="AD383">
        <v>2398.4388629982827</v>
      </c>
      <c r="AE383">
        <v>2391.3046679389399</v>
      </c>
      <c r="AF383">
        <v>2384.1704728795971</v>
      </c>
      <c r="AG383">
        <v>2377.0362778202543</v>
      </c>
      <c r="AH383">
        <v>2369.902082760912</v>
      </c>
      <c r="AI383">
        <v>2362.7678877015696</v>
      </c>
      <c r="AJ383">
        <v>2355.6336926422255</v>
      </c>
    </row>
    <row r="384" spans="1:36" x14ac:dyDescent="0.35">
      <c r="A384" t="s">
        <v>1932</v>
      </c>
      <c r="B384" t="s">
        <v>1342</v>
      </c>
      <c r="C384" t="s">
        <v>1343</v>
      </c>
      <c r="D384" t="s">
        <v>555</v>
      </c>
      <c r="E384" t="s">
        <v>1915</v>
      </c>
      <c r="F384" t="s">
        <v>1844</v>
      </c>
      <c r="G384" t="s">
        <v>1933</v>
      </c>
      <c r="H384">
        <v>3447.8859708024584</v>
      </c>
      <c r="I384">
        <v>4138.6998420209502</v>
      </c>
      <c r="J384">
        <v>2984.4023831883869</v>
      </c>
      <c r="K384">
        <v>2305.2915294262421</v>
      </c>
      <c r="L384">
        <v>2222.2316733875955</v>
      </c>
      <c r="M384">
        <v>2139.171817348948</v>
      </c>
      <c r="N384">
        <v>2056.111961310301</v>
      </c>
      <c r="O384">
        <v>1973.0521052716535</v>
      </c>
      <c r="P384">
        <v>1889.992249233007</v>
      </c>
      <c r="Q384">
        <v>1854.4507746261181</v>
      </c>
      <c r="R384">
        <v>1818.9093000192288</v>
      </c>
      <c r="S384">
        <v>1783.3678254123395</v>
      </c>
      <c r="T384">
        <v>1747.8263508054508</v>
      </c>
      <c r="U384">
        <v>1712.2848761985622</v>
      </c>
      <c r="V384">
        <v>1676.7434015916729</v>
      </c>
      <c r="W384">
        <v>1641.2019269847844</v>
      </c>
      <c r="X384">
        <v>1605.6604523778949</v>
      </c>
      <c r="Y384">
        <v>1570.1189777710063</v>
      </c>
      <c r="Z384">
        <v>1534.5775031641174</v>
      </c>
      <c r="AA384">
        <v>1499.0360285572287</v>
      </c>
      <c r="AB384">
        <v>1463.4945539503399</v>
      </c>
      <c r="AC384">
        <v>1427.953079343451</v>
      </c>
      <c r="AD384">
        <v>1392.4116047365619</v>
      </c>
      <c r="AE384">
        <v>1356.870130129673</v>
      </c>
      <c r="AF384">
        <v>1321.3286555227839</v>
      </c>
      <c r="AG384">
        <v>1285.7871809158955</v>
      </c>
      <c r="AH384">
        <v>1250.2457063090064</v>
      </c>
      <c r="AI384">
        <v>1214.7042317021176</v>
      </c>
      <c r="AJ384">
        <v>1179.162757095228</v>
      </c>
    </row>
    <row r="385" spans="1:36" x14ac:dyDescent="0.35">
      <c r="A385" t="s">
        <v>1934</v>
      </c>
      <c r="B385" t="s">
        <v>1342</v>
      </c>
      <c r="C385" t="s">
        <v>1348</v>
      </c>
      <c r="D385" t="s">
        <v>555</v>
      </c>
      <c r="E385" t="s">
        <v>1915</v>
      </c>
      <c r="F385" t="s">
        <v>1844</v>
      </c>
      <c r="G385" t="s">
        <v>1933</v>
      </c>
      <c r="H385">
        <v>3447.8859708024584</v>
      </c>
      <c r="I385">
        <v>4138.6998420209502</v>
      </c>
      <c r="J385">
        <v>3022.7248688029617</v>
      </c>
      <c r="K385">
        <v>2885.729664837289</v>
      </c>
      <c r="L385">
        <v>2753.9199004720567</v>
      </c>
      <c r="M385">
        <v>2631.3078561254938</v>
      </c>
      <c r="N385">
        <v>2517.9934814581266</v>
      </c>
      <c r="O385">
        <v>2415.4731841271032</v>
      </c>
      <c r="P385">
        <v>2319.6150131959994</v>
      </c>
      <c r="Q385">
        <v>2290.6198255310505</v>
      </c>
      <c r="R385">
        <v>2261.6246378661003</v>
      </c>
      <c r="S385">
        <v>2232.6294502011506</v>
      </c>
      <c r="T385">
        <v>2203.6342625361999</v>
      </c>
      <c r="U385">
        <v>2174.6390748712502</v>
      </c>
      <c r="V385">
        <v>2145.6438872063004</v>
      </c>
      <c r="W385">
        <v>2116.6486995413511</v>
      </c>
      <c r="X385">
        <v>2087.6535118764004</v>
      </c>
      <c r="Y385">
        <v>2058.6583242114507</v>
      </c>
      <c r="Z385">
        <v>2029.6631365465005</v>
      </c>
      <c r="AA385">
        <v>2000.667948881551</v>
      </c>
      <c r="AB385">
        <v>1971.672761216601</v>
      </c>
      <c r="AC385">
        <v>1942.6775735516508</v>
      </c>
      <c r="AD385">
        <v>1913.6823858867015</v>
      </c>
      <c r="AE385">
        <v>1884.687198221751</v>
      </c>
      <c r="AF385">
        <v>1855.6920105568013</v>
      </c>
      <c r="AG385">
        <v>1826.6968228918511</v>
      </c>
      <c r="AH385">
        <v>1797.701635226902</v>
      </c>
      <c r="AI385">
        <v>1768.7064475619518</v>
      </c>
      <c r="AJ385">
        <v>1739.711259897</v>
      </c>
    </row>
    <row r="386" spans="1:36" x14ac:dyDescent="0.35">
      <c r="A386" t="s">
        <v>1935</v>
      </c>
      <c r="B386" t="s">
        <v>1342</v>
      </c>
      <c r="C386" t="s">
        <v>1350</v>
      </c>
      <c r="D386" t="s">
        <v>555</v>
      </c>
      <c r="E386" t="s">
        <v>1915</v>
      </c>
      <c r="F386" t="s">
        <v>1844</v>
      </c>
      <c r="G386" t="s">
        <v>1933</v>
      </c>
      <c r="H386">
        <v>3447.8859708024584</v>
      </c>
      <c r="I386">
        <v>4138.6998420209502</v>
      </c>
      <c r="J386">
        <v>3736.0378242700981</v>
      </c>
      <c r="K386">
        <v>3683.0443799542122</v>
      </c>
      <c r="L386">
        <v>3545.2614247329029</v>
      </c>
      <c r="M386">
        <v>3407.4784695115954</v>
      </c>
      <c r="N386">
        <v>3269.6955142902866</v>
      </c>
      <c r="O386">
        <v>3131.9125590689773</v>
      </c>
      <c r="P386">
        <v>2994.1296038476694</v>
      </c>
      <c r="Q386">
        <v>2985.5795681438162</v>
      </c>
      <c r="R386">
        <v>2977.0295324399644</v>
      </c>
      <c r="S386">
        <v>2968.4794967361113</v>
      </c>
      <c r="T386">
        <v>2959.929461032259</v>
      </c>
      <c r="U386">
        <v>2951.3794253284059</v>
      </c>
      <c r="V386">
        <v>2942.8293896245541</v>
      </c>
      <c r="W386">
        <v>2934.2793539207019</v>
      </c>
      <c r="X386">
        <v>2925.7293182168496</v>
      </c>
      <c r="Y386">
        <v>2917.1792825129974</v>
      </c>
      <c r="Z386">
        <v>2908.6292468091447</v>
      </c>
      <c r="AA386">
        <v>2900.079211105292</v>
      </c>
      <c r="AB386">
        <v>2891.5291754014402</v>
      </c>
      <c r="AC386">
        <v>2882.9791396975875</v>
      </c>
      <c r="AD386">
        <v>2874.4291039937352</v>
      </c>
      <c r="AE386">
        <v>2865.8790682898816</v>
      </c>
      <c r="AF386">
        <v>2857.3290325860307</v>
      </c>
      <c r="AG386">
        <v>2848.7789968821776</v>
      </c>
      <c r="AH386">
        <v>2840.2289611783253</v>
      </c>
      <c r="AI386">
        <v>2831.6789254744731</v>
      </c>
      <c r="AJ386">
        <v>2823.128889770619</v>
      </c>
    </row>
    <row r="387" spans="1:36" x14ac:dyDescent="0.35">
      <c r="A387" t="s">
        <v>1936</v>
      </c>
      <c r="B387" t="s">
        <v>1342</v>
      </c>
      <c r="C387" t="s">
        <v>1343</v>
      </c>
      <c r="D387" t="s">
        <v>555</v>
      </c>
      <c r="E387" t="s">
        <v>1937</v>
      </c>
      <c r="F387" t="s">
        <v>1938</v>
      </c>
      <c r="G387" t="s">
        <v>1939</v>
      </c>
      <c r="H387">
        <v>4003.3346950093819</v>
      </c>
      <c r="I387">
        <v>2879.9903081334</v>
      </c>
      <c r="J387">
        <v>2718.3226019217727</v>
      </c>
      <c r="K387">
        <v>2580.0126456596086</v>
      </c>
      <c r="L387">
        <v>2487.0545637029581</v>
      </c>
      <c r="M387">
        <v>2394.0964817463077</v>
      </c>
      <c r="N387">
        <v>2301.1383997896583</v>
      </c>
      <c r="O387">
        <v>2208.1803178330069</v>
      </c>
      <c r="P387">
        <v>2115.2222358763574</v>
      </c>
      <c r="Q387">
        <v>2075.4452910688665</v>
      </c>
      <c r="R387">
        <v>2035.668346261376</v>
      </c>
      <c r="S387">
        <v>1995.8914014538855</v>
      </c>
      <c r="T387">
        <v>1956.1144566463945</v>
      </c>
      <c r="U387">
        <v>1916.3375118389042</v>
      </c>
      <c r="V387">
        <v>1876.5605670314137</v>
      </c>
      <c r="W387">
        <v>1836.7836222239225</v>
      </c>
      <c r="X387">
        <v>1797.0066774164322</v>
      </c>
      <c r="Y387">
        <v>1757.2297326089417</v>
      </c>
      <c r="Z387">
        <v>1717.4527878014512</v>
      </c>
      <c r="AA387">
        <v>1677.6758429939605</v>
      </c>
      <c r="AB387">
        <v>1637.89889818647</v>
      </c>
      <c r="AC387">
        <v>1598.121953378979</v>
      </c>
      <c r="AD387">
        <v>1558.3450085714885</v>
      </c>
      <c r="AE387">
        <v>1518.5680637639985</v>
      </c>
      <c r="AF387">
        <v>1478.7911189565077</v>
      </c>
      <c r="AG387">
        <v>1439.014174149017</v>
      </c>
      <c r="AH387">
        <v>1399.2372293415262</v>
      </c>
      <c r="AI387">
        <v>1359.4602845340357</v>
      </c>
      <c r="AJ387">
        <v>1319.6833397265448</v>
      </c>
    </row>
    <row r="388" spans="1:36" x14ac:dyDescent="0.35">
      <c r="A388" t="s">
        <v>1940</v>
      </c>
      <c r="B388" t="s">
        <v>1342</v>
      </c>
      <c r="C388" t="s">
        <v>1348</v>
      </c>
      <c r="D388" t="s">
        <v>555</v>
      </c>
      <c r="E388" t="s">
        <v>1937</v>
      </c>
      <c r="F388" t="s">
        <v>1938</v>
      </c>
      <c r="G388" t="s">
        <v>1939</v>
      </c>
      <c r="H388">
        <v>4003.3346950093819</v>
      </c>
      <c r="I388">
        <v>3788.4831384057247</v>
      </c>
      <c r="J388">
        <v>3592.165756238187</v>
      </c>
      <c r="K388">
        <v>3410.4470713258829</v>
      </c>
      <c r="L388">
        <v>3305.6256954314676</v>
      </c>
      <c r="M388">
        <v>3211.8050799461967</v>
      </c>
      <c r="N388">
        <v>3129.6189752431119</v>
      </c>
      <c r="O388">
        <v>3049.2452132889589</v>
      </c>
      <c r="P388">
        <v>2976.1954719589603</v>
      </c>
      <c r="Q388">
        <v>2938.9930285594728</v>
      </c>
      <c r="R388">
        <v>2901.7905851599871</v>
      </c>
      <c r="S388">
        <v>2864.5881417604996</v>
      </c>
      <c r="T388">
        <v>2827.3856983610121</v>
      </c>
      <c r="U388">
        <v>2790.1832549615256</v>
      </c>
      <c r="V388">
        <v>2752.9808115620381</v>
      </c>
      <c r="W388">
        <v>2715.778368162551</v>
      </c>
      <c r="X388">
        <v>2678.5759247630644</v>
      </c>
      <c r="Y388">
        <v>2641.3734813635783</v>
      </c>
      <c r="Z388">
        <v>2604.1710379640913</v>
      </c>
      <c r="AA388">
        <v>2566.9685945646042</v>
      </c>
      <c r="AB388">
        <v>2529.7661511651168</v>
      </c>
      <c r="AC388">
        <v>2492.5637077656288</v>
      </c>
      <c r="AD388">
        <v>2455.3612643661422</v>
      </c>
      <c r="AE388">
        <v>2418.1588209666556</v>
      </c>
      <c r="AF388">
        <v>2380.9563775671686</v>
      </c>
      <c r="AG388">
        <v>2343.7539341676811</v>
      </c>
      <c r="AH388">
        <v>2306.5514907681959</v>
      </c>
      <c r="AI388">
        <v>2269.3490473687079</v>
      </c>
      <c r="AJ388">
        <v>2232.1466039692191</v>
      </c>
    </row>
    <row r="389" spans="1:36" x14ac:dyDescent="0.35">
      <c r="A389" t="s">
        <v>1941</v>
      </c>
      <c r="B389" t="s">
        <v>1342</v>
      </c>
      <c r="C389" t="s">
        <v>1350</v>
      </c>
      <c r="D389" t="s">
        <v>555</v>
      </c>
      <c r="E389" t="s">
        <v>1937</v>
      </c>
      <c r="F389" t="s">
        <v>1938</v>
      </c>
      <c r="G389" t="s">
        <v>1939</v>
      </c>
      <c r="H389">
        <v>4003.3346950093819</v>
      </c>
      <c r="I389">
        <v>4151.6063503801015</v>
      </c>
      <c r="J389">
        <v>4181.2606814542432</v>
      </c>
      <c r="K389">
        <v>4121.952019305957</v>
      </c>
      <c r="L389">
        <v>3967.7494977204105</v>
      </c>
      <c r="M389">
        <v>3813.5469761348641</v>
      </c>
      <c r="N389">
        <v>3659.3444545493167</v>
      </c>
      <c r="O389">
        <v>3505.1419329637711</v>
      </c>
      <c r="P389">
        <v>3350.9394113782237</v>
      </c>
      <c r="Q389">
        <v>3341.3704696824775</v>
      </c>
      <c r="R389">
        <v>3331.80152798673</v>
      </c>
      <c r="S389">
        <v>3322.2325862909825</v>
      </c>
      <c r="T389">
        <v>3312.663644595234</v>
      </c>
      <c r="U389">
        <v>3303.0947028994865</v>
      </c>
      <c r="V389">
        <v>3293.5257612037394</v>
      </c>
      <c r="W389">
        <v>3283.9568195079905</v>
      </c>
      <c r="X389">
        <v>3274.387877812243</v>
      </c>
      <c r="Y389">
        <v>3264.8189361164964</v>
      </c>
      <c r="Z389">
        <v>3255.2499944207493</v>
      </c>
      <c r="AA389">
        <v>3245.6810527250013</v>
      </c>
      <c r="AB389">
        <v>3236.1121110292534</v>
      </c>
      <c r="AC389">
        <v>3226.5431693335081</v>
      </c>
      <c r="AD389">
        <v>3216.9742276377592</v>
      </c>
      <c r="AE389">
        <v>3207.4052859420108</v>
      </c>
      <c r="AF389">
        <v>3197.8363442462623</v>
      </c>
      <c r="AG389">
        <v>3188.2674025505175</v>
      </c>
      <c r="AH389">
        <v>3178.6984608547682</v>
      </c>
      <c r="AI389">
        <v>3169.1295191590207</v>
      </c>
      <c r="AJ389">
        <v>3159.5605774632709</v>
      </c>
    </row>
    <row r="390" spans="1:36" x14ac:dyDescent="0.35">
      <c r="A390" t="s">
        <v>1942</v>
      </c>
      <c r="B390" t="s">
        <v>1342</v>
      </c>
      <c r="C390" t="s">
        <v>1343</v>
      </c>
      <c r="D390" t="s">
        <v>555</v>
      </c>
      <c r="E390" t="s">
        <v>1937</v>
      </c>
      <c r="F390" t="s">
        <v>1943</v>
      </c>
      <c r="G390" t="s">
        <v>1944</v>
      </c>
      <c r="H390">
        <v>4971.0368214436849</v>
      </c>
      <c r="I390">
        <v>3576.1531217910133</v>
      </c>
      <c r="J390">
        <v>3375.4064489189723</v>
      </c>
      <c r="K390">
        <v>3203.6636550405119</v>
      </c>
      <c r="L390">
        <v>3088.2353725056178</v>
      </c>
      <c r="M390">
        <v>2972.8070899707227</v>
      </c>
      <c r="N390">
        <v>2857.3788074358295</v>
      </c>
      <c r="O390">
        <v>2741.9505249009349</v>
      </c>
      <c r="P390">
        <v>2626.5222423660407</v>
      </c>
      <c r="Q390">
        <v>2577.1302548489675</v>
      </c>
      <c r="R390">
        <v>2527.7382673318934</v>
      </c>
      <c r="S390">
        <v>2478.3462798148207</v>
      </c>
      <c r="T390">
        <v>2428.9542922977471</v>
      </c>
      <c r="U390">
        <v>2379.5623047806748</v>
      </c>
      <c r="V390">
        <v>2330.1703172636016</v>
      </c>
      <c r="W390">
        <v>2280.7783297465285</v>
      </c>
      <c r="X390">
        <v>2231.3863422294548</v>
      </c>
      <c r="Y390">
        <v>2181.9943547123826</v>
      </c>
      <c r="Z390">
        <v>2132.6023671953089</v>
      </c>
      <c r="AA390">
        <v>2083.2103796782362</v>
      </c>
      <c r="AB390">
        <v>2033.818392161163</v>
      </c>
      <c r="AC390">
        <v>1984.4264046440901</v>
      </c>
      <c r="AD390">
        <v>1935.0344171270172</v>
      </c>
      <c r="AE390">
        <v>1885.6424296099442</v>
      </c>
      <c r="AF390">
        <v>1836.2504420928713</v>
      </c>
      <c r="AG390">
        <v>1786.8584545757981</v>
      </c>
      <c r="AH390">
        <v>1737.4664670587247</v>
      </c>
      <c r="AI390">
        <v>1688.0744795416517</v>
      </c>
      <c r="AJ390">
        <v>1638.6824920245783</v>
      </c>
    </row>
    <row r="391" spans="1:36" x14ac:dyDescent="0.35">
      <c r="A391" t="s">
        <v>1945</v>
      </c>
      <c r="B391" t="s">
        <v>1342</v>
      </c>
      <c r="C391" t="s">
        <v>1348</v>
      </c>
      <c r="D391" t="s">
        <v>555</v>
      </c>
      <c r="E391" t="s">
        <v>1937</v>
      </c>
      <c r="F391" t="s">
        <v>1943</v>
      </c>
      <c r="G391" t="s">
        <v>1944</v>
      </c>
      <c r="H391">
        <v>4971.0368214436849</v>
      </c>
      <c r="I391">
        <v>4674.8084940107065</v>
      </c>
      <c r="J391">
        <v>4400.8308585176164</v>
      </c>
      <c r="K391">
        <v>4144.3453813064507</v>
      </c>
      <c r="L391">
        <v>4003.9052218383754</v>
      </c>
      <c r="M391">
        <v>3878.6274339021188</v>
      </c>
      <c r="N391">
        <v>3769.7782342106043</v>
      </c>
      <c r="O391">
        <v>3664.2601368073961</v>
      </c>
      <c r="P391">
        <v>3568.5005659365142</v>
      </c>
      <c r="Q391">
        <v>3523.8943088623068</v>
      </c>
      <c r="R391">
        <v>3479.2880517881013</v>
      </c>
      <c r="S391">
        <v>3434.6817947138948</v>
      </c>
      <c r="T391">
        <v>3390.0755376396878</v>
      </c>
      <c r="U391">
        <v>3345.4692805654822</v>
      </c>
      <c r="V391">
        <v>3300.8630234912753</v>
      </c>
      <c r="W391">
        <v>3256.2567664170688</v>
      </c>
      <c r="X391">
        <v>3211.6505093428623</v>
      </c>
      <c r="Y391">
        <v>3167.0442522686571</v>
      </c>
      <c r="Z391">
        <v>3122.4379951944507</v>
      </c>
      <c r="AA391">
        <v>3077.8317381202437</v>
      </c>
      <c r="AB391">
        <v>3033.2254810460377</v>
      </c>
      <c r="AC391">
        <v>2988.6192239718298</v>
      </c>
      <c r="AD391">
        <v>2944.0129668976238</v>
      </c>
      <c r="AE391">
        <v>2899.4067098234177</v>
      </c>
      <c r="AF391">
        <v>2854.8004527492117</v>
      </c>
      <c r="AG391">
        <v>2810.1941956750047</v>
      </c>
      <c r="AH391">
        <v>2765.5879386008</v>
      </c>
      <c r="AI391">
        <v>2720.9816815265922</v>
      </c>
      <c r="AJ391">
        <v>2676.3754244523848</v>
      </c>
    </row>
    <row r="392" spans="1:36" x14ac:dyDescent="0.35">
      <c r="A392" t="s">
        <v>1946</v>
      </c>
      <c r="B392" t="s">
        <v>1342</v>
      </c>
      <c r="C392" t="s">
        <v>1350</v>
      </c>
      <c r="D392" t="s">
        <v>555</v>
      </c>
      <c r="E392" t="s">
        <v>1937</v>
      </c>
      <c r="F392" t="s">
        <v>1943</v>
      </c>
      <c r="G392" t="s">
        <v>1944</v>
      </c>
      <c r="H392">
        <v>4971.0368214436849</v>
      </c>
      <c r="I392">
        <v>5155.1492963119699</v>
      </c>
      <c r="J392">
        <v>5191.9717912856249</v>
      </c>
      <c r="K392">
        <v>5118.3268013383113</v>
      </c>
      <c r="L392">
        <v>4926.8498274752974</v>
      </c>
      <c r="M392">
        <v>4735.3728536122817</v>
      </c>
      <c r="N392">
        <v>4543.8958797492642</v>
      </c>
      <c r="O392">
        <v>4352.4189058862503</v>
      </c>
      <c r="P392">
        <v>4160.9419320232328</v>
      </c>
      <c r="Q392">
        <v>4149.0599473440343</v>
      </c>
      <c r="R392">
        <v>4137.177962664834</v>
      </c>
      <c r="S392">
        <v>4125.2959779856355</v>
      </c>
      <c r="T392">
        <v>4113.4139933064362</v>
      </c>
      <c r="U392">
        <v>4101.5320086272359</v>
      </c>
      <c r="V392">
        <v>4089.650023948037</v>
      </c>
      <c r="W392">
        <v>4077.7680392688367</v>
      </c>
      <c r="X392">
        <v>4065.8860545896368</v>
      </c>
      <c r="Y392">
        <v>4054.0040699104379</v>
      </c>
      <c r="Z392">
        <v>4042.1220852312395</v>
      </c>
      <c r="AA392">
        <v>4030.2401005520401</v>
      </c>
      <c r="AB392">
        <v>4018.3581158728402</v>
      </c>
      <c r="AC392">
        <v>4006.4761311936422</v>
      </c>
      <c r="AD392">
        <v>3994.5941465144424</v>
      </c>
      <c r="AE392">
        <v>3982.7121618352421</v>
      </c>
      <c r="AF392">
        <v>3970.8301771560418</v>
      </c>
      <c r="AG392">
        <v>3958.9481924768447</v>
      </c>
      <c r="AH392">
        <v>3947.066207797644</v>
      </c>
      <c r="AI392">
        <v>3935.1842231184451</v>
      </c>
      <c r="AJ392">
        <v>3923.3022384392425</v>
      </c>
    </row>
    <row r="393" spans="1:36" x14ac:dyDescent="0.35">
      <c r="A393" t="s">
        <v>1947</v>
      </c>
      <c r="B393" t="s">
        <v>1342</v>
      </c>
      <c r="C393" t="s">
        <v>1343</v>
      </c>
      <c r="D393">
        <v>30</v>
      </c>
      <c r="E393" t="s">
        <v>1948</v>
      </c>
      <c r="F393" t="s">
        <v>1363</v>
      </c>
      <c r="G393" t="s">
        <v>1949</v>
      </c>
      <c r="H393">
        <v>2478.4097782775225</v>
      </c>
      <c r="I393">
        <v>2589.845265459338</v>
      </c>
      <c r="J393">
        <v>2327.2447040971169</v>
      </c>
      <c r="K393">
        <v>2064.650765258823</v>
      </c>
      <c r="L393">
        <v>1962.5898261629031</v>
      </c>
      <c r="M393">
        <v>1860.529308881589</v>
      </c>
      <c r="N393">
        <v>1758.4680602439232</v>
      </c>
      <c r="O393">
        <v>1656.4065989280452</v>
      </c>
      <c r="P393">
        <v>1554.3551117559143</v>
      </c>
      <c r="Q393">
        <v>1472.6857577668716</v>
      </c>
      <c r="R393">
        <v>1391.0164035598825</v>
      </c>
      <c r="S393">
        <v>1309.3373623760403</v>
      </c>
      <c r="T393">
        <v>1227.6680171451517</v>
      </c>
      <c r="U393">
        <v>1146.0090243858299</v>
      </c>
      <c r="V393">
        <v>1128.760302841589</v>
      </c>
      <c r="W393">
        <v>1111.5213380959781</v>
      </c>
      <c r="X393">
        <v>1094.282373986988</v>
      </c>
      <c r="Y393">
        <v>1077.0434105549111</v>
      </c>
      <c r="Z393">
        <v>1059.7945697554126</v>
      </c>
      <c r="AA393">
        <v>1042.5556148896765</v>
      </c>
      <c r="AB393">
        <v>1025.3272309259855</v>
      </c>
      <c r="AC393">
        <v>1008.0882873724132</v>
      </c>
      <c r="AD393">
        <v>990.83938634625827</v>
      </c>
      <c r="AE393">
        <v>973.60045249256802</v>
      </c>
      <c r="AF393">
        <v>956.36152098309299</v>
      </c>
      <c r="AG393">
        <v>939.12259200049948</v>
      </c>
      <c r="AH393">
        <v>921.873518747513</v>
      </c>
      <c r="AI393">
        <v>904.63459724854511</v>
      </c>
      <c r="AJ393">
        <v>887.40658147223644</v>
      </c>
    </row>
    <row r="394" spans="1:36" x14ac:dyDescent="0.35">
      <c r="A394" t="s">
        <v>1950</v>
      </c>
      <c r="B394" t="s">
        <v>1342</v>
      </c>
      <c r="C394" t="s">
        <v>1348</v>
      </c>
      <c r="D394">
        <v>30</v>
      </c>
      <c r="E394" t="s">
        <v>1948</v>
      </c>
      <c r="F394" t="s">
        <v>1363</v>
      </c>
      <c r="G394" t="s">
        <v>1949</v>
      </c>
      <c r="H394">
        <v>2478.4097782775225</v>
      </c>
      <c r="I394">
        <v>2589.845265459338</v>
      </c>
      <c r="J394">
        <v>2456.0612804602415</v>
      </c>
      <c r="K394">
        <v>2275.4082985034393</v>
      </c>
      <c r="L394">
        <v>2191.4675683759056</v>
      </c>
      <c r="M394">
        <v>2107.5247274201433</v>
      </c>
      <c r="N394">
        <v>2023.5795204702538</v>
      </c>
      <c r="O394">
        <v>1939.6316495061562</v>
      </c>
      <c r="P394">
        <v>1855.6807642627937</v>
      </c>
      <c r="Q394">
        <v>1789.0160638822151</v>
      </c>
      <c r="R394">
        <v>1722.3517217379549</v>
      </c>
      <c r="S394">
        <v>1655.6877517864898</v>
      </c>
      <c r="T394">
        <v>1589.0241687188063</v>
      </c>
      <c r="U394">
        <v>1522.3609880093675</v>
      </c>
      <c r="V394">
        <v>1497.7941174062014</v>
      </c>
      <c r="W394">
        <v>1473.2276826767124</v>
      </c>
      <c r="X394">
        <v>1448.6617019812165</v>
      </c>
      <c r="Y394">
        <v>1424.0961945030826</v>
      </c>
      <c r="Z394">
        <v>1399.5311805218059</v>
      </c>
      <c r="AA394">
        <v>1374.9666814924303</v>
      </c>
      <c r="AB394">
        <v>1350.4027201319809</v>
      </c>
      <c r="AC394">
        <v>1325.8393205136363</v>
      </c>
      <c r="AD394">
        <v>1301.2765081694602</v>
      </c>
      <c r="AE394">
        <v>1276.7143102026153</v>
      </c>
      <c r="AF394">
        <v>1252.1527554100987</v>
      </c>
      <c r="AG394">
        <v>1227.5918744171636</v>
      </c>
      <c r="AH394">
        <v>1203.0316998247463</v>
      </c>
      <c r="AI394">
        <v>1178.472266371401</v>
      </c>
      <c r="AJ394">
        <v>1153.9136111114174</v>
      </c>
    </row>
    <row r="395" spans="1:36" x14ac:dyDescent="0.35">
      <c r="A395" t="s">
        <v>1951</v>
      </c>
      <c r="B395" t="s">
        <v>1342</v>
      </c>
      <c r="C395" t="s">
        <v>1350</v>
      </c>
      <c r="D395">
        <v>30</v>
      </c>
      <c r="E395" t="s">
        <v>1948</v>
      </c>
      <c r="F395" t="s">
        <v>1363</v>
      </c>
      <c r="G395" t="s">
        <v>1949</v>
      </c>
      <c r="H395">
        <v>2478.4097782775225</v>
      </c>
      <c r="I395">
        <v>2589.845265459338</v>
      </c>
      <c r="J395">
        <v>2618.0605346461593</v>
      </c>
      <c r="K395">
        <v>2569.4573304211267</v>
      </c>
      <c r="L395">
        <v>2494.6207595849396</v>
      </c>
      <c r="M395">
        <v>2419.7847494691196</v>
      </c>
      <c r="N395">
        <v>2344.9493592824601</v>
      </c>
      <c r="O395">
        <v>2270.1146568740151</v>
      </c>
      <c r="P395">
        <v>2195.2807203688449</v>
      </c>
      <c r="Q395">
        <v>2156.7212797824109</v>
      </c>
      <c r="R395">
        <v>2118.1618391959764</v>
      </c>
      <c r="S395">
        <v>2079.6023986095424</v>
      </c>
      <c r="T395">
        <v>2041.042958023108</v>
      </c>
      <c r="U395">
        <v>2002.4835174366733</v>
      </c>
      <c r="V395">
        <v>1978.0699201522391</v>
      </c>
      <c r="W395">
        <v>1953.6563228678046</v>
      </c>
      <c r="X395">
        <v>1929.2427255833702</v>
      </c>
      <c r="Y395">
        <v>1904.8291282989358</v>
      </c>
      <c r="Z395">
        <v>1880.4155310145011</v>
      </c>
      <c r="AA395">
        <v>1856.0019337300666</v>
      </c>
      <c r="AB395">
        <v>1831.5883364456322</v>
      </c>
      <c r="AC395">
        <v>1807.174739161198</v>
      </c>
      <c r="AD395">
        <v>1782.7611418767635</v>
      </c>
      <c r="AE395">
        <v>1758.3475445923293</v>
      </c>
      <c r="AF395">
        <v>1733.9339473078949</v>
      </c>
      <c r="AG395">
        <v>1709.5203500234602</v>
      </c>
      <c r="AH395">
        <v>1685.1067527390258</v>
      </c>
      <c r="AI395">
        <v>1660.6931554545915</v>
      </c>
      <c r="AJ395">
        <v>1636.2795581701564</v>
      </c>
    </row>
    <row r="396" spans="1:36" x14ac:dyDescent="0.35">
      <c r="A396" t="s">
        <v>1952</v>
      </c>
      <c r="B396" t="s">
        <v>1342</v>
      </c>
      <c r="C396" t="s">
        <v>1343</v>
      </c>
      <c r="D396">
        <v>30</v>
      </c>
      <c r="E396" t="s">
        <v>1948</v>
      </c>
      <c r="F396" t="s">
        <v>1345</v>
      </c>
      <c r="G396" t="s">
        <v>1953</v>
      </c>
      <c r="H396">
        <v>2478.4097782775225</v>
      </c>
      <c r="I396">
        <v>2589.845265459338</v>
      </c>
      <c r="J396">
        <v>2327.2447040971169</v>
      </c>
      <c r="K396">
        <v>2064.650765258823</v>
      </c>
      <c r="L396">
        <v>1962.5898261629031</v>
      </c>
      <c r="M396">
        <v>1860.529308881589</v>
      </c>
      <c r="N396">
        <v>1758.4680602439232</v>
      </c>
      <c r="O396">
        <v>1656.4065989280452</v>
      </c>
      <c r="P396">
        <v>1554.3551117559143</v>
      </c>
      <c r="Q396">
        <v>1472.6857577668716</v>
      </c>
      <c r="R396">
        <v>1391.0164035598825</v>
      </c>
      <c r="S396">
        <v>1309.3373623760403</v>
      </c>
      <c r="T396">
        <v>1227.6680171451517</v>
      </c>
      <c r="U396">
        <v>1146.0090243858299</v>
      </c>
      <c r="V396">
        <v>1128.760302841589</v>
      </c>
      <c r="W396">
        <v>1111.5213380959781</v>
      </c>
      <c r="X396">
        <v>1094.282373986988</v>
      </c>
      <c r="Y396">
        <v>1077.0434105549111</v>
      </c>
      <c r="Z396">
        <v>1059.7945697554126</v>
      </c>
      <c r="AA396">
        <v>1042.5556148896765</v>
      </c>
      <c r="AB396">
        <v>1025.3272309259855</v>
      </c>
      <c r="AC396">
        <v>1008.0882873724132</v>
      </c>
      <c r="AD396">
        <v>990.83938634625827</v>
      </c>
      <c r="AE396">
        <v>973.60045249256802</v>
      </c>
      <c r="AF396">
        <v>956.36152098309299</v>
      </c>
      <c r="AG396">
        <v>939.12259200049948</v>
      </c>
      <c r="AH396">
        <v>921.873518747513</v>
      </c>
      <c r="AI396">
        <v>904.63459724854511</v>
      </c>
      <c r="AJ396">
        <v>887.40658147223644</v>
      </c>
    </row>
    <row r="397" spans="1:36" x14ac:dyDescent="0.35">
      <c r="A397" t="s">
        <v>1954</v>
      </c>
      <c r="B397" t="s">
        <v>1342</v>
      </c>
      <c r="C397" t="s">
        <v>1348</v>
      </c>
      <c r="D397">
        <v>30</v>
      </c>
      <c r="E397" t="s">
        <v>1948</v>
      </c>
      <c r="F397" t="s">
        <v>1345</v>
      </c>
      <c r="G397" t="s">
        <v>1953</v>
      </c>
      <c r="H397">
        <v>2478.4097782775225</v>
      </c>
      <c r="I397">
        <v>2589.845265459338</v>
      </c>
      <c r="J397">
        <v>2456.0612804602415</v>
      </c>
      <c r="K397">
        <v>2275.4082985034393</v>
      </c>
      <c r="L397">
        <v>2191.4675683759056</v>
      </c>
      <c r="M397">
        <v>2107.5247274201433</v>
      </c>
      <c r="N397">
        <v>2023.5795204702538</v>
      </c>
      <c r="O397">
        <v>1939.6316495061562</v>
      </c>
      <c r="P397">
        <v>1855.6807642627937</v>
      </c>
      <c r="Q397">
        <v>1789.0160638822151</v>
      </c>
      <c r="R397">
        <v>1722.3517217379549</v>
      </c>
      <c r="S397">
        <v>1655.6877517864898</v>
      </c>
      <c r="T397">
        <v>1589.0241687188063</v>
      </c>
      <c r="U397">
        <v>1522.3609880093675</v>
      </c>
      <c r="V397">
        <v>1497.7941174062014</v>
      </c>
      <c r="W397">
        <v>1473.2276826767124</v>
      </c>
      <c r="X397">
        <v>1448.6617019812165</v>
      </c>
      <c r="Y397">
        <v>1424.0961945030826</v>
      </c>
      <c r="Z397">
        <v>1399.5311805218059</v>
      </c>
      <c r="AA397">
        <v>1374.9666814924303</v>
      </c>
      <c r="AB397">
        <v>1350.4027201319809</v>
      </c>
      <c r="AC397">
        <v>1325.8393205136363</v>
      </c>
      <c r="AD397">
        <v>1301.2765081694602</v>
      </c>
      <c r="AE397">
        <v>1276.7143102026153</v>
      </c>
      <c r="AF397">
        <v>1252.1527554100987</v>
      </c>
      <c r="AG397">
        <v>1227.5918744171636</v>
      </c>
      <c r="AH397">
        <v>1203.0316998247463</v>
      </c>
      <c r="AI397">
        <v>1178.472266371401</v>
      </c>
      <c r="AJ397">
        <v>1153.9136111114174</v>
      </c>
    </row>
    <row r="398" spans="1:36" x14ac:dyDescent="0.35">
      <c r="A398" t="s">
        <v>1955</v>
      </c>
      <c r="B398" t="s">
        <v>1342</v>
      </c>
      <c r="C398" t="s">
        <v>1350</v>
      </c>
      <c r="D398">
        <v>30</v>
      </c>
      <c r="E398" t="s">
        <v>1948</v>
      </c>
      <c r="F398" t="s">
        <v>1345</v>
      </c>
      <c r="G398" t="s">
        <v>1953</v>
      </c>
      <c r="H398">
        <v>2478.4097782775225</v>
      </c>
      <c r="I398">
        <v>2589.845265459338</v>
      </c>
      <c r="J398">
        <v>2618.0605346461593</v>
      </c>
      <c r="K398">
        <v>2569.4573304211267</v>
      </c>
      <c r="L398">
        <v>2494.6207595849396</v>
      </c>
      <c r="M398">
        <v>2419.7847494691196</v>
      </c>
      <c r="N398">
        <v>2344.9493592824601</v>
      </c>
      <c r="O398">
        <v>2270.1146568740151</v>
      </c>
      <c r="P398">
        <v>2195.2807203688449</v>
      </c>
      <c r="Q398">
        <v>2156.7212797824109</v>
      </c>
      <c r="R398">
        <v>2118.1618391959764</v>
      </c>
      <c r="S398">
        <v>2079.6023986095424</v>
      </c>
      <c r="T398">
        <v>2041.042958023108</v>
      </c>
      <c r="U398">
        <v>2002.4835174366733</v>
      </c>
      <c r="V398">
        <v>1978.0699201522391</v>
      </c>
      <c r="W398">
        <v>1953.6563228678046</v>
      </c>
      <c r="X398">
        <v>1929.2427255833702</v>
      </c>
      <c r="Y398">
        <v>1904.8291282989358</v>
      </c>
      <c r="Z398">
        <v>1880.4155310145011</v>
      </c>
      <c r="AA398">
        <v>1856.0019337300666</v>
      </c>
      <c r="AB398">
        <v>1831.5883364456322</v>
      </c>
      <c r="AC398">
        <v>1807.174739161198</v>
      </c>
      <c r="AD398">
        <v>1782.7611418767635</v>
      </c>
      <c r="AE398">
        <v>1758.3475445923293</v>
      </c>
      <c r="AF398">
        <v>1733.9339473078949</v>
      </c>
      <c r="AG398">
        <v>1709.5203500234602</v>
      </c>
      <c r="AH398">
        <v>1685.1067527390258</v>
      </c>
      <c r="AI398">
        <v>1660.6931554545915</v>
      </c>
      <c r="AJ398">
        <v>1636.2795581701564</v>
      </c>
    </row>
    <row r="399" spans="1:36" x14ac:dyDescent="0.35">
      <c r="A399" t="s">
        <v>1956</v>
      </c>
      <c r="B399" t="s">
        <v>1342</v>
      </c>
      <c r="C399" t="s">
        <v>1343</v>
      </c>
      <c r="D399">
        <v>30</v>
      </c>
      <c r="E399" t="s">
        <v>1948</v>
      </c>
      <c r="F399" t="s">
        <v>1352</v>
      </c>
      <c r="G399" t="s">
        <v>1957</v>
      </c>
      <c r="H399">
        <v>2478.4097782775225</v>
      </c>
      <c r="I399">
        <v>2589.845265459338</v>
      </c>
      <c r="J399">
        <v>2327.2447040971169</v>
      </c>
      <c r="K399">
        <v>2064.650765258823</v>
      </c>
      <c r="L399">
        <v>1962.5898261629031</v>
      </c>
      <c r="M399">
        <v>1860.529308881589</v>
      </c>
      <c r="N399">
        <v>1758.4680602439232</v>
      </c>
      <c r="O399">
        <v>1656.4065989280452</v>
      </c>
      <c r="P399">
        <v>1554.3551117559143</v>
      </c>
      <c r="Q399">
        <v>1472.6857577668716</v>
      </c>
      <c r="R399">
        <v>1391.0164035598825</v>
      </c>
      <c r="S399">
        <v>1309.3373623760403</v>
      </c>
      <c r="T399">
        <v>1227.6680171451517</v>
      </c>
      <c r="U399">
        <v>1146.0090243858299</v>
      </c>
      <c r="V399">
        <v>1128.760302841589</v>
      </c>
      <c r="W399">
        <v>1111.5213380959781</v>
      </c>
      <c r="X399">
        <v>1094.282373986988</v>
      </c>
      <c r="Y399">
        <v>1077.0434105549111</v>
      </c>
      <c r="Z399">
        <v>1059.7945697554126</v>
      </c>
      <c r="AA399">
        <v>1042.5556148896765</v>
      </c>
      <c r="AB399">
        <v>1025.3272309259855</v>
      </c>
      <c r="AC399">
        <v>1008.0882873724132</v>
      </c>
      <c r="AD399">
        <v>990.83938634625827</v>
      </c>
      <c r="AE399">
        <v>973.60045249256802</v>
      </c>
      <c r="AF399">
        <v>956.36152098309299</v>
      </c>
      <c r="AG399">
        <v>939.12259200049948</v>
      </c>
      <c r="AH399">
        <v>921.873518747513</v>
      </c>
      <c r="AI399">
        <v>904.63459724854511</v>
      </c>
      <c r="AJ399">
        <v>887.40658147223644</v>
      </c>
    </row>
    <row r="400" spans="1:36" x14ac:dyDescent="0.35">
      <c r="A400" t="s">
        <v>1958</v>
      </c>
      <c r="B400" t="s">
        <v>1342</v>
      </c>
      <c r="C400" t="s">
        <v>1348</v>
      </c>
      <c r="D400">
        <v>30</v>
      </c>
      <c r="E400" t="s">
        <v>1948</v>
      </c>
      <c r="F400" t="s">
        <v>1352</v>
      </c>
      <c r="G400" t="s">
        <v>1957</v>
      </c>
      <c r="H400">
        <v>2478.4097782775225</v>
      </c>
      <c r="I400">
        <v>2589.845265459338</v>
      </c>
      <c r="J400">
        <v>2456.0612804602415</v>
      </c>
      <c r="K400">
        <v>2275.4082985034393</v>
      </c>
      <c r="L400">
        <v>2191.4675683759056</v>
      </c>
      <c r="M400">
        <v>2107.5247274201433</v>
      </c>
      <c r="N400">
        <v>2023.5795204702538</v>
      </c>
      <c r="O400">
        <v>1939.6316495061562</v>
      </c>
      <c r="P400">
        <v>1855.6807642627937</v>
      </c>
      <c r="Q400">
        <v>1789.0160638822151</v>
      </c>
      <c r="R400">
        <v>1722.3517217379549</v>
      </c>
      <c r="S400">
        <v>1655.6877517864898</v>
      </c>
      <c r="T400">
        <v>1589.0241687188063</v>
      </c>
      <c r="U400">
        <v>1522.3609880093675</v>
      </c>
      <c r="V400">
        <v>1497.7941174062014</v>
      </c>
      <c r="W400">
        <v>1473.2276826767124</v>
      </c>
      <c r="X400">
        <v>1448.6617019812165</v>
      </c>
      <c r="Y400">
        <v>1424.0961945030826</v>
      </c>
      <c r="Z400">
        <v>1399.5311805218059</v>
      </c>
      <c r="AA400">
        <v>1374.9666814924303</v>
      </c>
      <c r="AB400">
        <v>1350.4027201319809</v>
      </c>
      <c r="AC400">
        <v>1325.8393205136363</v>
      </c>
      <c r="AD400">
        <v>1301.2765081694602</v>
      </c>
      <c r="AE400">
        <v>1276.7143102026153</v>
      </c>
      <c r="AF400">
        <v>1252.1527554100987</v>
      </c>
      <c r="AG400">
        <v>1227.5918744171636</v>
      </c>
      <c r="AH400">
        <v>1203.0316998247463</v>
      </c>
      <c r="AI400">
        <v>1178.472266371401</v>
      </c>
      <c r="AJ400">
        <v>1153.9136111114174</v>
      </c>
    </row>
    <row r="401" spans="1:36" x14ac:dyDescent="0.35">
      <c r="A401" t="s">
        <v>1959</v>
      </c>
      <c r="B401" t="s">
        <v>1342</v>
      </c>
      <c r="C401" t="s">
        <v>1350</v>
      </c>
      <c r="D401">
        <v>30</v>
      </c>
      <c r="E401" t="s">
        <v>1948</v>
      </c>
      <c r="F401" t="s">
        <v>1352</v>
      </c>
      <c r="G401" t="s">
        <v>1957</v>
      </c>
      <c r="H401">
        <v>2478.4097782775225</v>
      </c>
      <c r="I401">
        <v>2589.845265459338</v>
      </c>
      <c r="J401">
        <v>2618.0605346461593</v>
      </c>
      <c r="K401">
        <v>2569.4573304211267</v>
      </c>
      <c r="L401">
        <v>2494.6207595849396</v>
      </c>
      <c r="M401">
        <v>2419.7847494691196</v>
      </c>
      <c r="N401">
        <v>2344.9493592824601</v>
      </c>
      <c r="O401">
        <v>2270.1146568740151</v>
      </c>
      <c r="P401">
        <v>2195.2807203688449</v>
      </c>
      <c r="Q401">
        <v>2156.7212797824109</v>
      </c>
      <c r="R401">
        <v>2118.1618391959764</v>
      </c>
      <c r="S401">
        <v>2079.6023986095424</v>
      </c>
      <c r="T401">
        <v>2041.042958023108</v>
      </c>
      <c r="U401">
        <v>2002.4835174366733</v>
      </c>
      <c r="V401">
        <v>1978.0699201522391</v>
      </c>
      <c r="W401">
        <v>1953.6563228678046</v>
      </c>
      <c r="X401">
        <v>1929.2427255833702</v>
      </c>
      <c r="Y401">
        <v>1904.8291282989358</v>
      </c>
      <c r="Z401">
        <v>1880.4155310145011</v>
      </c>
      <c r="AA401">
        <v>1856.0019337300666</v>
      </c>
      <c r="AB401">
        <v>1831.5883364456322</v>
      </c>
      <c r="AC401">
        <v>1807.174739161198</v>
      </c>
      <c r="AD401">
        <v>1782.7611418767635</v>
      </c>
      <c r="AE401">
        <v>1758.3475445923293</v>
      </c>
      <c r="AF401">
        <v>1733.9339473078949</v>
      </c>
      <c r="AG401">
        <v>1709.5203500234602</v>
      </c>
      <c r="AH401">
        <v>1685.1067527390258</v>
      </c>
      <c r="AI401">
        <v>1660.6931554545915</v>
      </c>
      <c r="AJ401">
        <v>1636.2795581701564</v>
      </c>
    </row>
    <row r="402" spans="1:36" x14ac:dyDescent="0.35">
      <c r="A402" t="s">
        <v>1960</v>
      </c>
      <c r="B402" t="s">
        <v>1342</v>
      </c>
      <c r="C402" t="s">
        <v>1343</v>
      </c>
      <c r="D402">
        <v>30</v>
      </c>
      <c r="E402" t="s">
        <v>1948</v>
      </c>
      <c r="F402" t="s">
        <v>1376</v>
      </c>
      <c r="G402" t="s">
        <v>1961</v>
      </c>
      <c r="H402">
        <v>2478.4097782775225</v>
      </c>
      <c r="I402">
        <v>2589.845265459338</v>
      </c>
      <c r="J402">
        <v>2327.2447040971169</v>
      </c>
      <c r="K402">
        <v>2064.650765258823</v>
      </c>
      <c r="L402">
        <v>1962.5898261629031</v>
      </c>
      <c r="M402">
        <v>1860.529308881589</v>
      </c>
      <c r="N402">
        <v>1758.4680602439232</v>
      </c>
      <c r="O402">
        <v>1656.4065989280452</v>
      </c>
      <c r="P402">
        <v>1554.3551117559143</v>
      </c>
      <c r="Q402">
        <v>1472.6857577668716</v>
      </c>
      <c r="R402">
        <v>1391.0164035598825</v>
      </c>
      <c r="S402">
        <v>1309.3373623760403</v>
      </c>
      <c r="T402">
        <v>1227.6680171451517</v>
      </c>
      <c r="U402">
        <v>1146.0090243858299</v>
      </c>
      <c r="V402">
        <v>1128.760302841589</v>
      </c>
      <c r="W402">
        <v>1111.5213380959781</v>
      </c>
      <c r="X402">
        <v>1094.282373986988</v>
      </c>
      <c r="Y402">
        <v>1077.0434105549111</v>
      </c>
      <c r="Z402">
        <v>1059.7945697554126</v>
      </c>
      <c r="AA402">
        <v>1042.5556148896765</v>
      </c>
      <c r="AB402">
        <v>1025.3272309259855</v>
      </c>
      <c r="AC402">
        <v>1008.0882873724132</v>
      </c>
      <c r="AD402">
        <v>990.83938634625827</v>
      </c>
      <c r="AE402">
        <v>973.60045249256802</v>
      </c>
      <c r="AF402">
        <v>956.36152098309299</v>
      </c>
      <c r="AG402">
        <v>939.12259200049948</v>
      </c>
      <c r="AH402">
        <v>921.873518747513</v>
      </c>
      <c r="AI402">
        <v>904.63459724854511</v>
      </c>
      <c r="AJ402">
        <v>887.40658147223644</v>
      </c>
    </row>
    <row r="403" spans="1:36" x14ac:dyDescent="0.35">
      <c r="A403" t="s">
        <v>1962</v>
      </c>
      <c r="B403" t="s">
        <v>1342</v>
      </c>
      <c r="C403" t="s">
        <v>1348</v>
      </c>
      <c r="D403">
        <v>30</v>
      </c>
      <c r="E403" t="s">
        <v>1948</v>
      </c>
      <c r="F403" t="s">
        <v>1376</v>
      </c>
      <c r="G403" t="s">
        <v>1961</v>
      </c>
      <c r="H403">
        <v>2478.4097782775225</v>
      </c>
      <c r="I403">
        <v>2589.845265459338</v>
      </c>
      <c r="J403">
        <v>2456.0612804602415</v>
      </c>
      <c r="K403">
        <v>2275.4082985034393</v>
      </c>
      <c r="L403">
        <v>2191.4675683759056</v>
      </c>
      <c r="M403">
        <v>2107.5247274201433</v>
      </c>
      <c r="N403">
        <v>2023.5795204702538</v>
      </c>
      <c r="O403">
        <v>1939.6316495061562</v>
      </c>
      <c r="P403">
        <v>1855.6807642627937</v>
      </c>
      <c r="Q403">
        <v>1789.0160638822151</v>
      </c>
      <c r="R403">
        <v>1722.3517217379549</v>
      </c>
      <c r="S403">
        <v>1655.6877517864898</v>
      </c>
      <c r="T403">
        <v>1589.0241687188063</v>
      </c>
      <c r="U403">
        <v>1522.3609880093675</v>
      </c>
      <c r="V403">
        <v>1497.7941174062014</v>
      </c>
      <c r="W403">
        <v>1473.2276826767124</v>
      </c>
      <c r="X403">
        <v>1448.6617019812165</v>
      </c>
      <c r="Y403">
        <v>1424.0961945030826</v>
      </c>
      <c r="Z403">
        <v>1399.5311805218059</v>
      </c>
      <c r="AA403">
        <v>1374.9666814924303</v>
      </c>
      <c r="AB403">
        <v>1350.4027201319809</v>
      </c>
      <c r="AC403">
        <v>1325.8393205136363</v>
      </c>
      <c r="AD403">
        <v>1301.2765081694602</v>
      </c>
      <c r="AE403">
        <v>1276.7143102026153</v>
      </c>
      <c r="AF403">
        <v>1252.1527554100987</v>
      </c>
      <c r="AG403">
        <v>1227.5918744171636</v>
      </c>
      <c r="AH403">
        <v>1203.0316998247463</v>
      </c>
      <c r="AI403">
        <v>1178.472266371401</v>
      </c>
      <c r="AJ403">
        <v>1153.9136111114174</v>
      </c>
    </row>
    <row r="404" spans="1:36" x14ac:dyDescent="0.35">
      <c r="A404" t="s">
        <v>1963</v>
      </c>
      <c r="B404" t="s">
        <v>1342</v>
      </c>
      <c r="C404" t="s">
        <v>1350</v>
      </c>
      <c r="D404">
        <v>30</v>
      </c>
      <c r="E404" t="s">
        <v>1948</v>
      </c>
      <c r="F404" t="s">
        <v>1376</v>
      </c>
      <c r="G404" t="s">
        <v>1961</v>
      </c>
      <c r="H404">
        <v>2478.4097782775225</v>
      </c>
      <c r="I404">
        <v>2589.845265459338</v>
      </c>
      <c r="J404">
        <v>2618.0605346461593</v>
      </c>
      <c r="K404">
        <v>2569.4573304211267</v>
      </c>
      <c r="L404">
        <v>2494.6207595849396</v>
      </c>
      <c r="M404">
        <v>2419.7847494691196</v>
      </c>
      <c r="N404">
        <v>2344.9493592824601</v>
      </c>
      <c r="O404">
        <v>2270.1146568740151</v>
      </c>
      <c r="P404">
        <v>2195.2807203688449</v>
      </c>
      <c r="Q404">
        <v>2156.7212797824109</v>
      </c>
      <c r="R404">
        <v>2118.1618391959764</v>
      </c>
      <c r="S404">
        <v>2079.6023986095424</v>
      </c>
      <c r="T404">
        <v>2041.042958023108</v>
      </c>
      <c r="U404">
        <v>2002.4835174366733</v>
      </c>
      <c r="V404">
        <v>1978.0699201522391</v>
      </c>
      <c r="W404">
        <v>1953.6563228678046</v>
      </c>
      <c r="X404">
        <v>1929.2427255833702</v>
      </c>
      <c r="Y404">
        <v>1904.8291282989358</v>
      </c>
      <c r="Z404">
        <v>1880.4155310145011</v>
      </c>
      <c r="AA404">
        <v>1856.0019337300666</v>
      </c>
      <c r="AB404">
        <v>1831.5883364456322</v>
      </c>
      <c r="AC404">
        <v>1807.174739161198</v>
      </c>
      <c r="AD404">
        <v>1782.7611418767635</v>
      </c>
      <c r="AE404">
        <v>1758.3475445923293</v>
      </c>
      <c r="AF404">
        <v>1733.9339473078949</v>
      </c>
      <c r="AG404">
        <v>1709.5203500234602</v>
      </c>
      <c r="AH404">
        <v>1685.1067527390258</v>
      </c>
      <c r="AI404">
        <v>1660.6931554545915</v>
      </c>
      <c r="AJ404">
        <v>1636.2795581701564</v>
      </c>
    </row>
    <row r="405" spans="1:36" x14ac:dyDescent="0.35">
      <c r="A405" t="s">
        <v>1964</v>
      </c>
      <c r="B405" t="s">
        <v>1342</v>
      </c>
      <c r="C405" t="s">
        <v>1343</v>
      </c>
      <c r="D405">
        <v>30</v>
      </c>
      <c r="E405" t="s">
        <v>1948</v>
      </c>
      <c r="F405" t="s">
        <v>1381</v>
      </c>
      <c r="G405" t="s">
        <v>1965</v>
      </c>
      <c r="H405">
        <v>2478.4097782775225</v>
      </c>
      <c r="I405">
        <v>2589.845265459338</v>
      </c>
      <c r="J405">
        <v>2327.2447040971169</v>
      </c>
      <c r="K405">
        <v>2064.650765258823</v>
      </c>
      <c r="L405">
        <v>1962.5898261629031</v>
      </c>
      <c r="M405">
        <v>1860.529308881589</v>
      </c>
      <c r="N405">
        <v>1758.4680602439232</v>
      </c>
      <c r="O405">
        <v>1656.4065989280452</v>
      </c>
      <c r="P405">
        <v>1554.3551117559143</v>
      </c>
      <c r="Q405">
        <v>1472.6857577668716</v>
      </c>
      <c r="R405">
        <v>1391.0164035598825</v>
      </c>
      <c r="S405">
        <v>1309.3373623760403</v>
      </c>
      <c r="T405">
        <v>1227.6680171451517</v>
      </c>
      <c r="U405">
        <v>1146.0090243858299</v>
      </c>
      <c r="V405">
        <v>1128.760302841589</v>
      </c>
      <c r="W405">
        <v>1111.5213380959781</v>
      </c>
      <c r="X405">
        <v>1094.282373986988</v>
      </c>
      <c r="Y405">
        <v>1077.0434105549111</v>
      </c>
      <c r="Z405">
        <v>1059.7945697554126</v>
      </c>
      <c r="AA405">
        <v>1042.5556148896765</v>
      </c>
      <c r="AB405">
        <v>1025.3272309259855</v>
      </c>
      <c r="AC405">
        <v>1008.0882873724132</v>
      </c>
      <c r="AD405">
        <v>990.83938634625827</v>
      </c>
      <c r="AE405">
        <v>973.60045249256802</v>
      </c>
      <c r="AF405">
        <v>956.36152098309299</v>
      </c>
      <c r="AG405">
        <v>939.12259200049948</v>
      </c>
      <c r="AH405">
        <v>921.873518747513</v>
      </c>
      <c r="AI405">
        <v>904.63459724854511</v>
      </c>
      <c r="AJ405">
        <v>887.40658147223644</v>
      </c>
    </row>
    <row r="406" spans="1:36" x14ac:dyDescent="0.35">
      <c r="A406" t="s">
        <v>1966</v>
      </c>
      <c r="B406" t="s">
        <v>1342</v>
      </c>
      <c r="C406" t="s">
        <v>1348</v>
      </c>
      <c r="D406">
        <v>30</v>
      </c>
      <c r="E406" t="s">
        <v>1948</v>
      </c>
      <c r="F406" t="s">
        <v>1381</v>
      </c>
      <c r="G406" t="s">
        <v>1965</v>
      </c>
      <c r="H406">
        <v>2478.4097782775225</v>
      </c>
      <c r="I406">
        <v>2589.845265459338</v>
      </c>
      <c r="J406">
        <v>2456.0612804602415</v>
      </c>
      <c r="K406">
        <v>2275.4082985034393</v>
      </c>
      <c r="L406">
        <v>2191.4675683759056</v>
      </c>
      <c r="M406">
        <v>2107.5247274201433</v>
      </c>
      <c r="N406">
        <v>2023.5795204702538</v>
      </c>
      <c r="O406">
        <v>1939.6316495061562</v>
      </c>
      <c r="P406">
        <v>1855.6807642627937</v>
      </c>
      <c r="Q406">
        <v>1789.0160638822151</v>
      </c>
      <c r="R406">
        <v>1722.3517217379549</v>
      </c>
      <c r="S406">
        <v>1655.6877517864898</v>
      </c>
      <c r="T406">
        <v>1589.0241687188063</v>
      </c>
      <c r="U406">
        <v>1522.3609880093675</v>
      </c>
      <c r="V406">
        <v>1497.7941174062014</v>
      </c>
      <c r="W406">
        <v>1473.2276826767124</v>
      </c>
      <c r="X406">
        <v>1448.6617019812165</v>
      </c>
      <c r="Y406">
        <v>1424.0961945030826</v>
      </c>
      <c r="Z406">
        <v>1399.5311805218059</v>
      </c>
      <c r="AA406">
        <v>1374.9666814924303</v>
      </c>
      <c r="AB406">
        <v>1350.4027201319809</v>
      </c>
      <c r="AC406">
        <v>1325.8393205136363</v>
      </c>
      <c r="AD406">
        <v>1301.2765081694602</v>
      </c>
      <c r="AE406">
        <v>1276.7143102026153</v>
      </c>
      <c r="AF406">
        <v>1252.1527554100987</v>
      </c>
      <c r="AG406">
        <v>1227.5918744171636</v>
      </c>
      <c r="AH406">
        <v>1203.0316998247463</v>
      </c>
      <c r="AI406">
        <v>1178.472266371401</v>
      </c>
      <c r="AJ406">
        <v>1153.9136111114174</v>
      </c>
    </row>
    <row r="407" spans="1:36" x14ac:dyDescent="0.35">
      <c r="A407" t="s">
        <v>1967</v>
      </c>
      <c r="B407" t="s">
        <v>1342</v>
      </c>
      <c r="C407" t="s">
        <v>1350</v>
      </c>
      <c r="D407">
        <v>30</v>
      </c>
      <c r="E407" t="s">
        <v>1948</v>
      </c>
      <c r="F407" t="s">
        <v>1381</v>
      </c>
      <c r="G407" t="s">
        <v>1965</v>
      </c>
      <c r="H407">
        <v>2478.4097782775225</v>
      </c>
      <c r="I407">
        <v>2589.845265459338</v>
      </c>
      <c r="J407">
        <v>2618.0605346461593</v>
      </c>
      <c r="K407">
        <v>2569.4573304211267</v>
      </c>
      <c r="L407">
        <v>2494.6207595849396</v>
      </c>
      <c r="M407">
        <v>2419.7847494691196</v>
      </c>
      <c r="N407">
        <v>2344.9493592824601</v>
      </c>
      <c r="O407">
        <v>2270.1146568740151</v>
      </c>
      <c r="P407">
        <v>2195.2807203688449</v>
      </c>
      <c r="Q407">
        <v>2156.7212797824109</v>
      </c>
      <c r="R407">
        <v>2118.1618391959764</v>
      </c>
      <c r="S407">
        <v>2079.6023986095424</v>
      </c>
      <c r="T407">
        <v>2041.042958023108</v>
      </c>
      <c r="U407">
        <v>2002.4835174366733</v>
      </c>
      <c r="V407">
        <v>1978.0699201522391</v>
      </c>
      <c r="W407">
        <v>1953.6563228678046</v>
      </c>
      <c r="X407">
        <v>1929.2427255833702</v>
      </c>
      <c r="Y407">
        <v>1904.8291282989358</v>
      </c>
      <c r="Z407">
        <v>1880.4155310145011</v>
      </c>
      <c r="AA407">
        <v>1856.0019337300666</v>
      </c>
      <c r="AB407">
        <v>1831.5883364456322</v>
      </c>
      <c r="AC407">
        <v>1807.174739161198</v>
      </c>
      <c r="AD407">
        <v>1782.7611418767635</v>
      </c>
      <c r="AE407">
        <v>1758.3475445923293</v>
      </c>
      <c r="AF407">
        <v>1733.9339473078949</v>
      </c>
      <c r="AG407">
        <v>1709.5203500234602</v>
      </c>
      <c r="AH407">
        <v>1685.1067527390258</v>
      </c>
      <c r="AI407">
        <v>1660.6931554545915</v>
      </c>
      <c r="AJ407">
        <v>1636.2795581701564</v>
      </c>
    </row>
    <row r="408" spans="1:36" x14ac:dyDescent="0.35">
      <c r="A408" t="s">
        <v>1968</v>
      </c>
      <c r="B408" t="s">
        <v>1342</v>
      </c>
      <c r="C408" t="s">
        <v>1343</v>
      </c>
      <c r="D408">
        <v>30</v>
      </c>
      <c r="E408" t="s">
        <v>1948</v>
      </c>
      <c r="F408" t="s">
        <v>1386</v>
      </c>
      <c r="G408" t="s">
        <v>1969</v>
      </c>
      <c r="H408">
        <v>2478.4097782775225</v>
      </c>
      <c r="I408">
        <v>2589.845265459338</v>
      </c>
      <c r="J408">
        <v>2327.2447040971169</v>
      </c>
      <c r="K408">
        <v>2064.650765258823</v>
      </c>
      <c r="L408">
        <v>1962.5898261629031</v>
      </c>
      <c r="M408">
        <v>1860.529308881589</v>
      </c>
      <c r="N408">
        <v>1758.4680602439232</v>
      </c>
      <c r="O408">
        <v>1656.4065989280452</v>
      </c>
      <c r="P408">
        <v>1554.3551117559143</v>
      </c>
      <c r="Q408">
        <v>1472.6857577668716</v>
      </c>
      <c r="R408">
        <v>1391.0164035598825</v>
      </c>
      <c r="S408">
        <v>1309.3373623760403</v>
      </c>
      <c r="T408">
        <v>1227.6680171451517</v>
      </c>
      <c r="U408">
        <v>1146.0090243858299</v>
      </c>
      <c r="V408">
        <v>1128.760302841589</v>
      </c>
      <c r="W408">
        <v>1111.5213380959781</v>
      </c>
      <c r="X408">
        <v>1094.282373986988</v>
      </c>
      <c r="Y408">
        <v>1077.0434105549111</v>
      </c>
      <c r="Z408">
        <v>1059.7945697554126</v>
      </c>
      <c r="AA408">
        <v>1042.5556148896765</v>
      </c>
      <c r="AB408">
        <v>1025.3272309259855</v>
      </c>
      <c r="AC408">
        <v>1008.0882873724132</v>
      </c>
      <c r="AD408">
        <v>990.83938634625827</v>
      </c>
      <c r="AE408">
        <v>973.60045249256802</v>
      </c>
      <c r="AF408">
        <v>956.36152098309299</v>
      </c>
      <c r="AG408">
        <v>939.12259200049948</v>
      </c>
      <c r="AH408">
        <v>921.873518747513</v>
      </c>
      <c r="AI408">
        <v>904.63459724854511</v>
      </c>
      <c r="AJ408">
        <v>887.40658147223644</v>
      </c>
    </row>
    <row r="409" spans="1:36" x14ac:dyDescent="0.35">
      <c r="A409" t="s">
        <v>1970</v>
      </c>
      <c r="B409" t="s">
        <v>1342</v>
      </c>
      <c r="C409" t="s">
        <v>1348</v>
      </c>
      <c r="D409">
        <v>30</v>
      </c>
      <c r="E409" t="s">
        <v>1948</v>
      </c>
      <c r="F409" t="s">
        <v>1386</v>
      </c>
      <c r="G409" t="s">
        <v>1969</v>
      </c>
      <c r="H409">
        <v>2478.4097782775225</v>
      </c>
      <c r="I409">
        <v>2589.845265459338</v>
      </c>
      <c r="J409">
        <v>2456.0612804602415</v>
      </c>
      <c r="K409">
        <v>2275.4082985034393</v>
      </c>
      <c r="L409">
        <v>2191.4675683759056</v>
      </c>
      <c r="M409">
        <v>2107.5247274201433</v>
      </c>
      <c r="N409">
        <v>2023.5795204702538</v>
      </c>
      <c r="O409">
        <v>1939.6316495061562</v>
      </c>
      <c r="P409">
        <v>1855.6807642627937</v>
      </c>
      <c r="Q409">
        <v>1789.0160638822151</v>
      </c>
      <c r="R409">
        <v>1722.3517217379549</v>
      </c>
      <c r="S409">
        <v>1655.6877517864898</v>
      </c>
      <c r="T409">
        <v>1589.0241687188063</v>
      </c>
      <c r="U409">
        <v>1522.3609880093675</v>
      </c>
      <c r="V409">
        <v>1497.7941174062014</v>
      </c>
      <c r="W409">
        <v>1473.2276826767124</v>
      </c>
      <c r="X409">
        <v>1448.6617019812165</v>
      </c>
      <c r="Y409">
        <v>1424.0961945030826</v>
      </c>
      <c r="Z409">
        <v>1399.5311805218059</v>
      </c>
      <c r="AA409">
        <v>1374.9666814924303</v>
      </c>
      <c r="AB409">
        <v>1350.4027201319809</v>
      </c>
      <c r="AC409">
        <v>1325.8393205136363</v>
      </c>
      <c r="AD409">
        <v>1301.2765081694602</v>
      </c>
      <c r="AE409">
        <v>1276.7143102026153</v>
      </c>
      <c r="AF409">
        <v>1252.1527554100987</v>
      </c>
      <c r="AG409">
        <v>1227.5918744171636</v>
      </c>
      <c r="AH409">
        <v>1203.0316998247463</v>
      </c>
      <c r="AI409">
        <v>1178.472266371401</v>
      </c>
      <c r="AJ409">
        <v>1153.9136111114174</v>
      </c>
    </row>
    <row r="410" spans="1:36" x14ac:dyDescent="0.35">
      <c r="A410" t="s">
        <v>1971</v>
      </c>
      <c r="B410" t="s">
        <v>1342</v>
      </c>
      <c r="C410" t="s">
        <v>1350</v>
      </c>
      <c r="D410">
        <v>30</v>
      </c>
      <c r="E410" t="s">
        <v>1948</v>
      </c>
      <c r="F410" t="s">
        <v>1386</v>
      </c>
      <c r="G410" t="s">
        <v>1969</v>
      </c>
      <c r="H410">
        <v>2478.4097782775225</v>
      </c>
      <c r="I410">
        <v>2589.845265459338</v>
      </c>
      <c r="J410">
        <v>2618.0605346461593</v>
      </c>
      <c r="K410">
        <v>2569.4573304211267</v>
      </c>
      <c r="L410">
        <v>2494.6207595849396</v>
      </c>
      <c r="M410">
        <v>2419.7847494691196</v>
      </c>
      <c r="N410">
        <v>2344.9493592824601</v>
      </c>
      <c r="O410">
        <v>2270.1146568740151</v>
      </c>
      <c r="P410">
        <v>2195.2807203688449</v>
      </c>
      <c r="Q410">
        <v>2156.7212797824109</v>
      </c>
      <c r="R410">
        <v>2118.1618391959764</v>
      </c>
      <c r="S410">
        <v>2079.6023986095424</v>
      </c>
      <c r="T410">
        <v>2041.042958023108</v>
      </c>
      <c r="U410">
        <v>2002.4835174366733</v>
      </c>
      <c r="V410">
        <v>1978.0699201522391</v>
      </c>
      <c r="W410">
        <v>1953.6563228678046</v>
      </c>
      <c r="X410">
        <v>1929.2427255833702</v>
      </c>
      <c r="Y410">
        <v>1904.8291282989358</v>
      </c>
      <c r="Z410">
        <v>1880.4155310145011</v>
      </c>
      <c r="AA410">
        <v>1856.0019337300666</v>
      </c>
      <c r="AB410">
        <v>1831.5883364456322</v>
      </c>
      <c r="AC410">
        <v>1807.174739161198</v>
      </c>
      <c r="AD410">
        <v>1782.7611418767635</v>
      </c>
      <c r="AE410">
        <v>1758.3475445923293</v>
      </c>
      <c r="AF410">
        <v>1733.9339473078949</v>
      </c>
      <c r="AG410">
        <v>1709.5203500234602</v>
      </c>
      <c r="AH410">
        <v>1685.1067527390258</v>
      </c>
      <c r="AI410">
        <v>1660.6931554545915</v>
      </c>
      <c r="AJ410">
        <v>1636.2795581701564</v>
      </c>
    </row>
    <row r="411" spans="1:36" x14ac:dyDescent="0.35">
      <c r="A411" t="s">
        <v>1972</v>
      </c>
      <c r="B411" t="s">
        <v>1342</v>
      </c>
      <c r="C411" t="s">
        <v>1343</v>
      </c>
      <c r="D411">
        <v>30</v>
      </c>
      <c r="E411" t="s">
        <v>1948</v>
      </c>
      <c r="F411" t="s">
        <v>1391</v>
      </c>
      <c r="G411" t="s">
        <v>1973</v>
      </c>
      <c r="H411">
        <v>2478.4097782775225</v>
      </c>
      <c r="I411">
        <v>2589.845265459338</v>
      </c>
      <c r="J411">
        <v>2327.2447040971169</v>
      </c>
      <c r="K411">
        <v>2064.650765258823</v>
      </c>
      <c r="L411">
        <v>1962.5898261629031</v>
      </c>
      <c r="M411">
        <v>1860.529308881589</v>
      </c>
      <c r="N411">
        <v>1758.4680602439232</v>
      </c>
      <c r="O411">
        <v>1656.4065989280452</v>
      </c>
      <c r="P411">
        <v>1554.3551117559143</v>
      </c>
      <c r="Q411">
        <v>1472.6857577668716</v>
      </c>
      <c r="R411">
        <v>1391.0164035598825</v>
      </c>
      <c r="S411">
        <v>1309.3373623760403</v>
      </c>
      <c r="T411">
        <v>1227.6680171451517</v>
      </c>
      <c r="U411">
        <v>1146.0090243858299</v>
      </c>
      <c r="V411">
        <v>1128.760302841589</v>
      </c>
      <c r="W411">
        <v>1111.5213380959781</v>
      </c>
      <c r="X411">
        <v>1094.282373986988</v>
      </c>
      <c r="Y411">
        <v>1077.0434105549111</v>
      </c>
      <c r="Z411">
        <v>1059.7945697554126</v>
      </c>
      <c r="AA411">
        <v>1042.5556148896765</v>
      </c>
      <c r="AB411">
        <v>1025.3272309259855</v>
      </c>
      <c r="AC411">
        <v>1008.0882873724132</v>
      </c>
      <c r="AD411">
        <v>990.83938634625827</v>
      </c>
      <c r="AE411">
        <v>973.60045249256802</v>
      </c>
      <c r="AF411">
        <v>956.36152098309299</v>
      </c>
      <c r="AG411">
        <v>939.12259200049948</v>
      </c>
      <c r="AH411">
        <v>921.873518747513</v>
      </c>
      <c r="AI411">
        <v>904.63459724854511</v>
      </c>
      <c r="AJ411">
        <v>887.40658147223644</v>
      </c>
    </row>
    <row r="412" spans="1:36" x14ac:dyDescent="0.35">
      <c r="A412" t="s">
        <v>1974</v>
      </c>
      <c r="B412" t="s">
        <v>1342</v>
      </c>
      <c r="C412" t="s">
        <v>1348</v>
      </c>
      <c r="D412">
        <v>30</v>
      </c>
      <c r="E412" t="s">
        <v>1948</v>
      </c>
      <c r="F412" t="s">
        <v>1391</v>
      </c>
      <c r="G412" t="s">
        <v>1973</v>
      </c>
      <c r="H412">
        <v>2478.4097782775225</v>
      </c>
      <c r="I412">
        <v>2589.845265459338</v>
      </c>
      <c r="J412">
        <v>2456.0612804602415</v>
      </c>
      <c r="K412">
        <v>2275.4082985034393</v>
      </c>
      <c r="L412">
        <v>2191.4675683759056</v>
      </c>
      <c r="M412">
        <v>2107.5247274201433</v>
      </c>
      <c r="N412">
        <v>2023.5795204702538</v>
      </c>
      <c r="O412">
        <v>1939.6316495061562</v>
      </c>
      <c r="P412">
        <v>1855.6807642627937</v>
      </c>
      <c r="Q412">
        <v>1789.0160638822151</v>
      </c>
      <c r="R412">
        <v>1722.3517217379549</v>
      </c>
      <c r="S412">
        <v>1655.6877517864898</v>
      </c>
      <c r="T412">
        <v>1589.0241687188063</v>
      </c>
      <c r="U412">
        <v>1522.3609880093675</v>
      </c>
      <c r="V412">
        <v>1497.7941174062014</v>
      </c>
      <c r="W412">
        <v>1473.2276826767124</v>
      </c>
      <c r="X412">
        <v>1448.6617019812165</v>
      </c>
      <c r="Y412">
        <v>1424.0961945030826</v>
      </c>
      <c r="Z412">
        <v>1399.5311805218059</v>
      </c>
      <c r="AA412">
        <v>1374.9666814924303</v>
      </c>
      <c r="AB412">
        <v>1350.4027201319809</v>
      </c>
      <c r="AC412">
        <v>1325.8393205136363</v>
      </c>
      <c r="AD412">
        <v>1301.2765081694602</v>
      </c>
      <c r="AE412">
        <v>1276.7143102026153</v>
      </c>
      <c r="AF412">
        <v>1252.1527554100987</v>
      </c>
      <c r="AG412">
        <v>1227.5918744171636</v>
      </c>
      <c r="AH412">
        <v>1203.0316998247463</v>
      </c>
      <c r="AI412">
        <v>1178.472266371401</v>
      </c>
      <c r="AJ412">
        <v>1153.9136111114174</v>
      </c>
    </row>
    <row r="413" spans="1:36" x14ac:dyDescent="0.35">
      <c r="A413" t="s">
        <v>1975</v>
      </c>
      <c r="B413" t="s">
        <v>1342</v>
      </c>
      <c r="C413" t="s">
        <v>1350</v>
      </c>
      <c r="D413">
        <v>30</v>
      </c>
      <c r="E413" t="s">
        <v>1948</v>
      </c>
      <c r="F413" t="s">
        <v>1391</v>
      </c>
      <c r="G413" t="s">
        <v>1973</v>
      </c>
      <c r="H413">
        <v>2478.4097782775225</v>
      </c>
      <c r="I413">
        <v>2589.845265459338</v>
      </c>
      <c r="J413">
        <v>2618.0605346461593</v>
      </c>
      <c r="K413">
        <v>2569.4573304211267</v>
      </c>
      <c r="L413">
        <v>2494.6207595849396</v>
      </c>
      <c r="M413">
        <v>2419.7847494691196</v>
      </c>
      <c r="N413">
        <v>2344.9493592824601</v>
      </c>
      <c r="O413">
        <v>2270.1146568740151</v>
      </c>
      <c r="P413">
        <v>2195.2807203688449</v>
      </c>
      <c r="Q413">
        <v>2156.7212797824109</v>
      </c>
      <c r="R413">
        <v>2118.1618391959764</v>
      </c>
      <c r="S413">
        <v>2079.6023986095424</v>
      </c>
      <c r="T413">
        <v>2041.042958023108</v>
      </c>
      <c r="U413">
        <v>2002.4835174366733</v>
      </c>
      <c r="V413">
        <v>1978.0699201522391</v>
      </c>
      <c r="W413">
        <v>1953.6563228678046</v>
      </c>
      <c r="X413">
        <v>1929.2427255833702</v>
      </c>
      <c r="Y413">
        <v>1904.8291282989358</v>
      </c>
      <c r="Z413">
        <v>1880.4155310145011</v>
      </c>
      <c r="AA413">
        <v>1856.0019337300666</v>
      </c>
      <c r="AB413">
        <v>1831.5883364456322</v>
      </c>
      <c r="AC413">
        <v>1807.174739161198</v>
      </c>
      <c r="AD413">
        <v>1782.7611418767635</v>
      </c>
      <c r="AE413">
        <v>1758.3475445923293</v>
      </c>
      <c r="AF413">
        <v>1733.9339473078949</v>
      </c>
      <c r="AG413">
        <v>1709.5203500234602</v>
      </c>
      <c r="AH413">
        <v>1685.1067527390258</v>
      </c>
      <c r="AI413">
        <v>1660.6931554545915</v>
      </c>
      <c r="AJ413">
        <v>1636.2795581701564</v>
      </c>
    </row>
    <row r="414" spans="1:36" x14ac:dyDescent="0.35">
      <c r="A414" t="s">
        <v>1976</v>
      </c>
      <c r="B414" t="s">
        <v>1342</v>
      </c>
      <c r="C414" t="s">
        <v>1343</v>
      </c>
      <c r="D414">
        <v>30</v>
      </c>
      <c r="E414" t="s">
        <v>1948</v>
      </c>
      <c r="F414" t="s">
        <v>1357</v>
      </c>
      <c r="G414" t="s">
        <v>1977</v>
      </c>
      <c r="H414">
        <v>2478.4097782775225</v>
      </c>
      <c r="I414">
        <v>2589.845265459338</v>
      </c>
      <c r="J414">
        <v>2327.2447040971169</v>
      </c>
      <c r="K414">
        <v>2064.650765258823</v>
      </c>
      <c r="L414">
        <v>1962.5898261629031</v>
      </c>
      <c r="M414">
        <v>1860.529308881589</v>
      </c>
      <c r="N414">
        <v>1758.4680602439232</v>
      </c>
      <c r="O414">
        <v>1656.4065989280452</v>
      </c>
      <c r="P414">
        <v>1554.3551117559143</v>
      </c>
      <c r="Q414">
        <v>1472.6857577668716</v>
      </c>
      <c r="R414">
        <v>1391.0164035598825</v>
      </c>
      <c r="S414">
        <v>1309.3373623760403</v>
      </c>
      <c r="T414">
        <v>1227.6680171451517</v>
      </c>
      <c r="U414">
        <v>1146.0090243858299</v>
      </c>
      <c r="V414">
        <v>1128.760302841589</v>
      </c>
      <c r="W414">
        <v>1111.5213380959781</v>
      </c>
      <c r="X414">
        <v>1094.282373986988</v>
      </c>
      <c r="Y414">
        <v>1077.0434105549111</v>
      </c>
      <c r="Z414">
        <v>1059.7945697554126</v>
      </c>
      <c r="AA414">
        <v>1042.5556148896765</v>
      </c>
      <c r="AB414">
        <v>1025.3272309259855</v>
      </c>
      <c r="AC414">
        <v>1008.0882873724132</v>
      </c>
      <c r="AD414">
        <v>990.83938634625827</v>
      </c>
      <c r="AE414">
        <v>973.60045249256802</v>
      </c>
      <c r="AF414">
        <v>956.36152098309299</v>
      </c>
      <c r="AG414">
        <v>939.12259200049948</v>
      </c>
      <c r="AH414">
        <v>921.873518747513</v>
      </c>
      <c r="AI414">
        <v>904.63459724854511</v>
      </c>
      <c r="AJ414">
        <v>887.40658147223644</v>
      </c>
    </row>
    <row r="415" spans="1:36" x14ac:dyDescent="0.35">
      <c r="A415" t="s">
        <v>1978</v>
      </c>
      <c r="B415" t="s">
        <v>1342</v>
      </c>
      <c r="C415" t="s">
        <v>1348</v>
      </c>
      <c r="D415">
        <v>30</v>
      </c>
      <c r="E415" t="s">
        <v>1948</v>
      </c>
      <c r="F415" t="s">
        <v>1357</v>
      </c>
      <c r="G415" t="s">
        <v>1977</v>
      </c>
      <c r="H415">
        <v>2478.4097782775225</v>
      </c>
      <c r="I415">
        <v>2589.845265459338</v>
      </c>
      <c r="J415">
        <v>2456.0612804602415</v>
      </c>
      <c r="K415">
        <v>2275.4082985034393</v>
      </c>
      <c r="L415">
        <v>2191.4675683759056</v>
      </c>
      <c r="M415">
        <v>2107.5247274201433</v>
      </c>
      <c r="N415">
        <v>2023.5795204702538</v>
      </c>
      <c r="O415">
        <v>1939.6316495061562</v>
      </c>
      <c r="P415">
        <v>1855.6807642627937</v>
      </c>
      <c r="Q415">
        <v>1789.0160638822151</v>
      </c>
      <c r="R415">
        <v>1722.3517217379549</v>
      </c>
      <c r="S415">
        <v>1655.6877517864898</v>
      </c>
      <c r="T415">
        <v>1589.0241687188063</v>
      </c>
      <c r="U415">
        <v>1522.3609880093675</v>
      </c>
      <c r="V415">
        <v>1497.7941174062014</v>
      </c>
      <c r="W415">
        <v>1473.2276826767124</v>
      </c>
      <c r="X415">
        <v>1448.6617019812165</v>
      </c>
      <c r="Y415">
        <v>1424.0961945030826</v>
      </c>
      <c r="Z415">
        <v>1399.5311805218059</v>
      </c>
      <c r="AA415">
        <v>1374.9666814924303</v>
      </c>
      <c r="AB415">
        <v>1350.4027201319809</v>
      </c>
      <c r="AC415">
        <v>1325.8393205136363</v>
      </c>
      <c r="AD415">
        <v>1301.2765081694602</v>
      </c>
      <c r="AE415">
        <v>1276.7143102026153</v>
      </c>
      <c r="AF415">
        <v>1252.1527554100987</v>
      </c>
      <c r="AG415">
        <v>1227.5918744171636</v>
      </c>
      <c r="AH415">
        <v>1203.0316998247463</v>
      </c>
      <c r="AI415">
        <v>1178.472266371401</v>
      </c>
      <c r="AJ415">
        <v>1153.9136111114174</v>
      </c>
    </row>
    <row r="416" spans="1:36" x14ac:dyDescent="0.35">
      <c r="A416" t="s">
        <v>1979</v>
      </c>
      <c r="B416" t="s">
        <v>1342</v>
      </c>
      <c r="C416" t="s">
        <v>1350</v>
      </c>
      <c r="D416">
        <v>30</v>
      </c>
      <c r="E416" t="s">
        <v>1948</v>
      </c>
      <c r="F416" t="s">
        <v>1357</v>
      </c>
      <c r="G416" t="s">
        <v>1977</v>
      </c>
      <c r="H416">
        <v>2478.4097782775225</v>
      </c>
      <c r="I416">
        <v>2589.845265459338</v>
      </c>
      <c r="J416">
        <v>2618.0605346461593</v>
      </c>
      <c r="K416">
        <v>2569.4573304211267</v>
      </c>
      <c r="L416">
        <v>2494.6207595849396</v>
      </c>
      <c r="M416">
        <v>2419.7847494691196</v>
      </c>
      <c r="N416">
        <v>2344.9493592824601</v>
      </c>
      <c r="O416">
        <v>2270.1146568740151</v>
      </c>
      <c r="P416">
        <v>2195.2807203688449</v>
      </c>
      <c r="Q416">
        <v>2156.7212797824109</v>
      </c>
      <c r="R416">
        <v>2118.1618391959764</v>
      </c>
      <c r="S416">
        <v>2079.6023986095424</v>
      </c>
      <c r="T416">
        <v>2041.042958023108</v>
      </c>
      <c r="U416">
        <v>2002.4835174366733</v>
      </c>
      <c r="V416">
        <v>1978.0699201522391</v>
      </c>
      <c r="W416">
        <v>1953.6563228678046</v>
      </c>
      <c r="X416">
        <v>1929.2427255833702</v>
      </c>
      <c r="Y416">
        <v>1904.8291282989358</v>
      </c>
      <c r="Z416">
        <v>1880.4155310145011</v>
      </c>
      <c r="AA416">
        <v>1856.0019337300666</v>
      </c>
      <c r="AB416">
        <v>1831.5883364456322</v>
      </c>
      <c r="AC416">
        <v>1807.174739161198</v>
      </c>
      <c r="AD416">
        <v>1782.7611418767635</v>
      </c>
      <c r="AE416">
        <v>1758.3475445923293</v>
      </c>
      <c r="AF416">
        <v>1733.9339473078949</v>
      </c>
      <c r="AG416">
        <v>1709.5203500234602</v>
      </c>
      <c r="AH416">
        <v>1685.1067527390258</v>
      </c>
      <c r="AI416">
        <v>1660.6931554545915</v>
      </c>
      <c r="AJ416">
        <v>1636.2795581701564</v>
      </c>
    </row>
    <row r="417" spans="1:36" x14ac:dyDescent="0.35">
      <c r="A417" t="s">
        <v>1980</v>
      </c>
      <c r="B417" t="s">
        <v>1342</v>
      </c>
      <c r="C417" t="s">
        <v>1343</v>
      </c>
      <c r="D417">
        <v>30</v>
      </c>
      <c r="E417" t="s">
        <v>1948</v>
      </c>
      <c r="F417" t="s">
        <v>1400</v>
      </c>
      <c r="G417" t="s">
        <v>1981</v>
      </c>
      <c r="H417">
        <v>2478.4097782775225</v>
      </c>
      <c r="I417">
        <v>2589.845265459338</v>
      </c>
      <c r="J417">
        <v>2327.2447040971169</v>
      </c>
      <c r="K417">
        <v>2064.650765258823</v>
      </c>
      <c r="L417">
        <v>1962.5898261629031</v>
      </c>
      <c r="M417">
        <v>1860.529308881589</v>
      </c>
      <c r="N417">
        <v>1758.4680602439232</v>
      </c>
      <c r="O417">
        <v>1656.4065989280452</v>
      </c>
      <c r="P417">
        <v>1554.3551117559143</v>
      </c>
      <c r="Q417">
        <v>1472.6857577668716</v>
      </c>
      <c r="R417">
        <v>1391.0164035598825</v>
      </c>
      <c r="S417">
        <v>1309.3373623760403</v>
      </c>
      <c r="T417">
        <v>1227.6680171451517</v>
      </c>
      <c r="U417">
        <v>1146.0090243858299</v>
      </c>
      <c r="V417">
        <v>1128.760302841589</v>
      </c>
      <c r="W417">
        <v>1111.5213380959781</v>
      </c>
      <c r="X417">
        <v>1094.282373986988</v>
      </c>
      <c r="Y417">
        <v>1077.0434105549111</v>
      </c>
      <c r="Z417">
        <v>1059.7945697554126</v>
      </c>
      <c r="AA417">
        <v>1042.5556148896765</v>
      </c>
      <c r="AB417">
        <v>1025.3272309259855</v>
      </c>
      <c r="AC417">
        <v>1008.0882873724132</v>
      </c>
      <c r="AD417">
        <v>990.83938634625827</v>
      </c>
      <c r="AE417">
        <v>973.60045249256802</v>
      </c>
      <c r="AF417">
        <v>956.36152098309299</v>
      </c>
      <c r="AG417">
        <v>939.12259200049948</v>
      </c>
      <c r="AH417">
        <v>921.873518747513</v>
      </c>
      <c r="AI417">
        <v>904.63459724854511</v>
      </c>
      <c r="AJ417">
        <v>887.40658147223644</v>
      </c>
    </row>
    <row r="418" spans="1:36" x14ac:dyDescent="0.35">
      <c r="A418" t="s">
        <v>1982</v>
      </c>
      <c r="B418" t="s">
        <v>1342</v>
      </c>
      <c r="C418" t="s">
        <v>1348</v>
      </c>
      <c r="D418">
        <v>30</v>
      </c>
      <c r="E418" t="s">
        <v>1948</v>
      </c>
      <c r="F418" t="s">
        <v>1400</v>
      </c>
      <c r="G418" t="s">
        <v>1981</v>
      </c>
      <c r="H418">
        <v>2478.4097782775225</v>
      </c>
      <c r="I418">
        <v>2589.845265459338</v>
      </c>
      <c r="J418">
        <v>2456.0612804602415</v>
      </c>
      <c r="K418">
        <v>2275.4082985034393</v>
      </c>
      <c r="L418">
        <v>2191.4675683759056</v>
      </c>
      <c r="M418">
        <v>2107.5247274201433</v>
      </c>
      <c r="N418">
        <v>2023.5795204702538</v>
      </c>
      <c r="O418">
        <v>1939.6316495061562</v>
      </c>
      <c r="P418">
        <v>1855.6807642627937</v>
      </c>
      <c r="Q418">
        <v>1789.0160638822151</v>
      </c>
      <c r="R418">
        <v>1722.3517217379549</v>
      </c>
      <c r="S418">
        <v>1655.6877517864898</v>
      </c>
      <c r="T418">
        <v>1589.0241687188063</v>
      </c>
      <c r="U418">
        <v>1522.3609880093675</v>
      </c>
      <c r="V418">
        <v>1497.7941174062014</v>
      </c>
      <c r="W418">
        <v>1473.2276826767124</v>
      </c>
      <c r="X418">
        <v>1448.6617019812165</v>
      </c>
      <c r="Y418">
        <v>1424.0961945030826</v>
      </c>
      <c r="Z418">
        <v>1399.5311805218059</v>
      </c>
      <c r="AA418">
        <v>1374.9666814924303</v>
      </c>
      <c r="AB418">
        <v>1350.4027201319809</v>
      </c>
      <c r="AC418">
        <v>1325.8393205136363</v>
      </c>
      <c r="AD418">
        <v>1301.2765081694602</v>
      </c>
      <c r="AE418">
        <v>1276.7143102026153</v>
      </c>
      <c r="AF418">
        <v>1252.1527554100987</v>
      </c>
      <c r="AG418">
        <v>1227.5918744171636</v>
      </c>
      <c r="AH418">
        <v>1203.0316998247463</v>
      </c>
      <c r="AI418">
        <v>1178.472266371401</v>
      </c>
      <c r="AJ418">
        <v>1153.9136111114174</v>
      </c>
    </row>
    <row r="419" spans="1:36" x14ac:dyDescent="0.35">
      <c r="A419" t="s">
        <v>1983</v>
      </c>
      <c r="B419" t="s">
        <v>1342</v>
      </c>
      <c r="C419" t="s">
        <v>1350</v>
      </c>
      <c r="D419">
        <v>30</v>
      </c>
      <c r="E419" t="s">
        <v>1948</v>
      </c>
      <c r="F419" t="s">
        <v>1400</v>
      </c>
      <c r="G419" t="s">
        <v>1981</v>
      </c>
      <c r="H419">
        <v>2478.4097782775225</v>
      </c>
      <c r="I419">
        <v>2589.845265459338</v>
      </c>
      <c r="J419">
        <v>2618.0605346461593</v>
      </c>
      <c r="K419">
        <v>2569.4573304211267</v>
      </c>
      <c r="L419">
        <v>2494.6207595849396</v>
      </c>
      <c r="M419">
        <v>2419.7847494691196</v>
      </c>
      <c r="N419">
        <v>2344.9493592824601</v>
      </c>
      <c r="O419">
        <v>2270.1146568740151</v>
      </c>
      <c r="P419">
        <v>2195.2807203688449</v>
      </c>
      <c r="Q419">
        <v>2156.7212797824109</v>
      </c>
      <c r="R419">
        <v>2118.1618391959764</v>
      </c>
      <c r="S419">
        <v>2079.6023986095424</v>
      </c>
      <c r="T419">
        <v>2041.042958023108</v>
      </c>
      <c r="U419">
        <v>2002.4835174366733</v>
      </c>
      <c r="V419">
        <v>1978.0699201522391</v>
      </c>
      <c r="W419">
        <v>1953.6563228678046</v>
      </c>
      <c r="X419">
        <v>1929.2427255833702</v>
      </c>
      <c r="Y419">
        <v>1904.8291282989358</v>
      </c>
      <c r="Z419">
        <v>1880.4155310145011</v>
      </c>
      <c r="AA419">
        <v>1856.0019337300666</v>
      </c>
      <c r="AB419">
        <v>1831.5883364456322</v>
      </c>
      <c r="AC419">
        <v>1807.174739161198</v>
      </c>
      <c r="AD419">
        <v>1782.7611418767635</v>
      </c>
      <c r="AE419">
        <v>1758.3475445923293</v>
      </c>
      <c r="AF419">
        <v>1733.9339473078949</v>
      </c>
      <c r="AG419">
        <v>1709.5203500234602</v>
      </c>
      <c r="AH419">
        <v>1685.1067527390258</v>
      </c>
      <c r="AI419">
        <v>1660.6931554545915</v>
      </c>
      <c r="AJ419">
        <v>1636.2795581701564</v>
      </c>
    </row>
    <row r="420" spans="1:36" x14ac:dyDescent="0.35">
      <c r="A420" t="s">
        <v>1984</v>
      </c>
      <c r="B420" t="s">
        <v>1342</v>
      </c>
      <c r="C420" t="s">
        <v>1343</v>
      </c>
      <c r="D420">
        <v>30</v>
      </c>
      <c r="E420" t="s">
        <v>1948</v>
      </c>
      <c r="F420" t="s">
        <v>1405</v>
      </c>
      <c r="G420" t="s">
        <v>1985</v>
      </c>
      <c r="H420">
        <v>2478.4097782775225</v>
      </c>
      <c r="I420">
        <v>2589.845265459338</v>
      </c>
      <c r="J420">
        <v>2327.2447040971169</v>
      </c>
      <c r="K420">
        <v>2064.650765258823</v>
      </c>
      <c r="L420">
        <v>1962.5898261629031</v>
      </c>
      <c r="M420">
        <v>1860.529308881589</v>
      </c>
      <c r="N420">
        <v>1758.4680602439232</v>
      </c>
      <c r="O420">
        <v>1656.4065989280452</v>
      </c>
      <c r="P420">
        <v>1554.3551117559143</v>
      </c>
      <c r="Q420">
        <v>1472.6857577668716</v>
      </c>
      <c r="R420">
        <v>1391.0164035598825</v>
      </c>
      <c r="S420">
        <v>1309.3373623760403</v>
      </c>
      <c r="T420">
        <v>1227.6680171451517</v>
      </c>
      <c r="U420">
        <v>1146.0090243858299</v>
      </c>
      <c r="V420">
        <v>1128.760302841589</v>
      </c>
      <c r="W420">
        <v>1111.5213380959781</v>
      </c>
      <c r="X420">
        <v>1094.282373986988</v>
      </c>
      <c r="Y420">
        <v>1077.0434105549111</v>
      </c>
      <c r="Z420">
        <v>1059.7945697554126</v>
      </c>
      <c r="AA420">
        <v>1042.5556148896765</v>
      </c>
      <c r="AB420">
        <v>1025.3272309259855</v>
      </c>
      <c r="AC420">
        <v>1008.0882873724132</v>
      </c>
      <c r="AD420">
        <v>990.83938634625827</v>
      </c>
      <c r="AE420">
        <v>973.60045249256802</v>
      </c>
      <c r="AF420">
        <v>956.36152098309299</v>
      </c>
      <c r="AG420">
        <v>939.12259200049948</v>
      </c>
      <c r="AH420">
        <v>921.873518747513</v>
      </c>
      <c r="AI420">
        <v>904.63459724854511</v>
      </c>
      <c r="AJ420">
        <v>887.40658147223644</v>
      </c>
    </row>
    <row r="421" spans="1:36" x14ac:dyDescent="0.35">
      <c r="A421" t="s">
        <v>1986</v>
      </c>
      <c r="B421" t="s">
        <v>1342</v>
      </c>
      <c r="C421" t="s">
        <v>1348</v>
      </c>
      <c r="D421">
        <v>30</v>
      </c>
      <c r="E421" t="s">
        <v>1948</v>
      </c>
      <c r="F421" t="s">
        <v>1405</v>
      </c>
      <c r="G421" t="s">
        <v>1985</v>
      </c>
      <c r="H421">
        <v>2478.4097782775225</v>
      </c>
      <c r="I421">
        <v>2589.845265459338</v>
      </c>
      <c r="J421">
        <v>2456.0612804602415</v>
      </c>
      <c r="K421">
        <v>2275.4082985034393</v>
      </c>
      <c r="L421">
        <v>2191.4675683759056</v>
      </c>
      <c r="M421">
        <v>2107.5247274201433</v>
      </c>
      <c r="N421">
        <v>2023.5795204702538</v>
      </c>
      <c r="O421">
        <v>1939.6316495061562</v>
      </c>
      <c r="P421">
        <v>1855.6807642627937</v>
      </c>
      <c r="Q421">
        <v>1789.0160638822151</v>
      </c>
      <c r="R421">
        <v>1722.3517217379549</v>
      </c>
      <c r="S421">
        <v>1655.6877517864898</v>
      </c>
      <c r="T421">
        <v>1589.0241687188063</v>
      </c>
      <c r="U421">
        <v>1522.3609880093675</v>
      </c>
      <c r="V421">
        <v>1497.7941174062014</v>
      </c>
      <c r="W421">
        <v>1473.2276826767124</v>
      </c>
      <c r="X421">
        <v>1448.6617019812165</v>
      </c>
      <c r="Y421">
        <v>1424.0961945030826</v>
      </c>
      <c r="Z421">
        <v>1399.5311805218059</v>
      </c>
      <c r="AA421">
        <v>1374.9666814924303</v>
      </c>
      <c r="AB421">
        <v>1350.4027201319809</v>
      </c>
      <c r="AC421">
        <v>1325.8393205136363</v>
      </c>
      <c r="AD421">
        <v>1301.2765081694602</v>
      </c>
      <c r="AE421">
        <v>1276.7143102026153</v>
      </c>
      <c r="AF421">
        <v>1252.1527554100987</v>
      </c>
      <c r="AG421">
        <v>1227.5918744171636</v>
      </c>
      <c r="AH421">
        <v>1203.0316998247463</v>
      </c>
      <c r="AI421">
        <v>1178.472266371401</v>
      </c>
      <c r="AJ421">
        <v>1153.9136111114174</v>
      </c>
    </row>
    <row r="422" spans="1:36" x14ac:dyDescent="0.35">
      <c r="A422" t="s">
        <v>1987</v>
      </c>
      <c r="B422" t="s">
        <v>1342</v>
      </c>
      <c r="C422" t="s">
        <v>1350</v>
      </c>
      <c r="D422">
        <v>30</v>
      </c>
      <c r="E422" t="s">
        <v>1948</v>
      </c>
      <c r="F422" t="s">
        <v>1405</v>
      </c>
      <c r="G422" t="s">
        <v>1985</v>
      </c>
      <c r="H422">
        <v>2478.4097782775225</v>
      </c>
      <c r="I422">
        <v>2589.845265459338</v>
      </c>
      <c r="J422">
        <v>2618.0605346461593</v>
      </c>
      <c r="K422">
        <v>2569.4573304211267</v>
      </c>
      <c r="L422">
        <v>2494.6207595849396</v>
      </c>
      <c r="M422">
        <v>2419.7847494691196</v>
      </c>
      <c r="N422">
        <v>2344.9493592824601</v>
      </c>
      <c r="O422">
        <v>2270.1146568740151</v>
      </c>
      <c r="P422">
        <v>2195.2807203688449</v>
      </c>
      <c r="Q422">
        <v>2156.7212797824109</v>
      </c>
      <c r="R422">
        <v>2118.1618391959764</v>
      </c>
      <c r="S422">
        <v>2079.6023986095424</v>
      </c>
      <c r="T422">
        <v>2041.042958023108</v>
      </c>
      <c r="U422">
        <v>2002.4835174366733</v>
      </c>
      <c r="V422">
        <v>1978.0699201522391</v>
      </c>
      <c r="W422">
        <v>1953.6563228678046</v>
      </c>
      <c r="X422">
        <v>1929.2427255833702</v>
      </c>
      <c r="Y422">
        <v>1904.8291282989358</v>
      </c>
      <c r="Z422">
        <v>1880.4155310145011</v>
      </c>
      <c r="AA422">
        <v>1856.0019337300666</v>
      </c>
      <c r="AB422">
        <v>1831.5883364456322</v>
      </c>
      <c r="AC422">
        <v>1807.174739161198</v>
      </c>
      <c r="AD422">
        <v>1782.7611418767635</v>
      </c>
      <c r="AE422">
        <v>1758.3475445923293</v>
      </c>
      <c r="AF422">
        <v>1733.9339473078949</v>
      </c>
      <c r="AG422">
        <v>1709.5203500234602</v>
      </c>
      <c r="AH422">
        <v>1685.1067527390258</v>
      </c>
      <c r="AI422">
        <v>1660.6931554545915</v>
      </c>
      <c r="AJ422">
        <v>1636.2795581701564</v>
      </c>
    </row>
    <row r="423" spans="1:36" x14ac:dyDescent="0.35">
      <c r="A423" t="s">
        <v>1988</v>
      </c>
      <c r="B423" t="s">
        <v>1342</v>
      </c>
      <c r="C423" t="s">
        <v>1343</v>
      </c>
      <c r="D423" t="s">
        <v>555</v>
      </c>
      <c r="E423" t="s">
        <v>1989</v>
      </c>
      <c r="F423" t="s">
        <v>1990</v>
      </c>
      <c r="G423" t="s">
        <v>1991</v>
      </c>
      <c r="H423">
        <v>3224.2384570830204</v>
      </c>
      <c r="I423">
        <v>3191.6703918599596</v>
      </c>
      <c r="J423">
        <v>3159.1023266368993</v>
      </c>
      <c r="K423">
        <v>3159.1023266368993</v>
      </c>
      <c r="L423">
        <v>3126.5342614138381</v>
      </c>
      <c r="M423">
        <v>3126.5342614138381</v>
      </c>
      <c r="N423">
        <v>3093.9661961907773</v>
      </c>
      <c r="O423">
        <v>3061.3981309677165</v>
      </c>
      <c r="P423">
        <v>3061.3981309677165</v>
      </c>
      <c r="Q423">
        <v>3028.8300657446562</v>
      </c>
      <c r="R423">
        <v>3028.8300657446562</v>
      </c>
      <c r="S423">
        <v>2996.2620005215949</v>
      </c>
      <c r="T423">
        <v>2996.2620005215949</v>
      </c>
      <c r="U423">
        <v>2963.6939352985341</v>
      </c>
      <c r="V423">
        <v>2963.6939352985341</v>
      </c>
      <c r="W423">
        <v>2963.6939352985341</v>
      </c>
      <c r="X423">
        <v>2931.1258700754734</v>
      </c>
      <c r="Y423">
        <v>2931.1258700754734</v>
      </c>
      <c r="Z423">
        <v>2931.1258700754734</v>
      </c>
      <c r="AA423">
        <v>2931.1258700754734</v>
      </c>
      <c r="AB423">
        <v>2898.5578048524126</v>
      </c>
      <c r="AC423">
        <v>2898.5578048524126</v>
      </c>
      <c r="AD423">
        <v>2898.5578048524126</v>
      </c>
      <c r="AE423">
        <v>2898.5578048524126</v>
      </c>
      <c r="AF423">
        <v>2898.5578048524126</v>
      </c>
      <c r="AG423">
        <v>2865.9897396293513</v>
      </c>
      <c r="AH423">
        <v>2865.9897396293513</v>
      </c>
      <c r="AI423">
        <v>2865.9897396293513</v>
      </c>
      <c r="AJ423">
        <v>2865.9897396293513</v>
      </c>
    </row>
    <row r="424" spans="1:36" x14ac:dyDescent="0.35">
      <c r="A424" t="s">
        <v>1992</v>
      </c>
      <c r="B424" t="s">
        <v>1342</v>
      </c>
      <c r="C424" t="s">
        <v>1348</v>
      </c>
      <c r="D424" t="s">
        <v>555</v>
      </c>
      <c r="E424" t="s">
        <v>1989</v>
      </c>
      <c r="F424" t="s">
        <v>1990</v>
      </c>
      <c r="G424" t="s">
        <v>1991</v>
      </c>
      <c r="H424">
        <v>3224.2384570830204</v>
      </c>
      <c r="I424">
        <v>3224.2384570830204</v>
      </c>
      <c r="J424">
        <v>3224.2384570830204</v>
      </c>
      <c r="K424">
        <v>3224.2384570830204</v>
      </c>
      <c r="L424">
        <v>3224.2384570830204</v>
      </c>
      <c r="M424">
        <v>3224.2384570830204</v>
      </c>
      <c r="N424">
        <v>3224.2384570830204</v>
      </c>
      <c r="O424">
        <v>3224.2384570830204</v>
      </c>
      <c r="P424">
        <v>3224.2384570830204</v>
      </c>
      <c r="Q424">
        <v>3224.2384570830204</v>
      </c>
      <c r="R424">
        <v>3224.2384570830204</v>
      </c>
      <c r="S424">
        <v>3224.2384570830204</v>
      </c>
      <c r="T424">
        <v>3224.2384570830204</v>
      </c>
      <c r="U424">
        <v>3224.2384570830204</v>
      </c>
      <c r="V424">
        <v>3224.2384570830204</v>
      </c>
      <c r="W424">
        <v>3224.2384570830204</v>
      </c>
      <c r="X424">
        <v>3224.2384570830204</v>
      </c>
      <c r="Y424">
        <v>3224.2384570830204</v>
      </c>
      <c r="Z424">
        <v>3224.2384570830204</v>
      </c>
      <c r="AA424">
        <v>3224.2384570830204</v>
      </c>
      <c r="AB424">
        <v>3224.2384570830204</v>
      </c>
      <c r="AC424">
        <v>3224.2384570830204</v>
      </c>
      <c r="AD424">
        <v>3224.2384570830204</v>
      </c>
      <c r="AE424">
        <v>3224.2384570830204</v>
      </c>
      <c r="AF424">
        <v>3224.2384570830204</v>
      </c>
      <c r="AG424">
        <v>3224.2384570830204</v>
      </c>
      <c r="AH424">
        <v>3224.2384570830204</v>
      </c>
      <c r="AI424">
        <v>3224.2384570830204</v>
      </c>
      <c r="AJ424">
        <v>3224.2384570830204</v>
      </c>
    </row>
    <row r="425" spans="1:36" x14ac:dyDescent="0.35">
      <c r="A425" t="s">
        <v>1993</v>
      </c>
      <c r="B425" t="s">
        <v>1342</v>
      </c>
      <c r="C425" t="s">
        <v>1350</v>
      </c>
      <c r="D425" t="s">
        <v>555</v>
      </c>
      <c r="E425" t="s">
        <v>1989</v>
      </c>
      <c r="F425" t="s">
        <v>1990</v>
      </c>
      <c r="G425" t="s">
        <v>1991</v>
      </c>
      <c r="H425">
        <v>3224.2384570830204</v>
      </c>
      <c r="I425">
        <v>3224.2384570830204</v>
      </c>
      <c r="J425">
        <v>3224.2384570830204</v>
      </c>
      <c r="K425">
        <v>3224.2384570830204</v>
      </c>
      <c r="L425">
        <v>3224.2384570830204</v>
      </c>
      <c r="M425">
        <v>3224.2384570830204</v>
      </c>
      <c r="N425">
        <v>3224.2384570830204</v>
      </c>
      <c r="O425">
        <v>3224.2384570830204</v>
      </c>
      <c r="P425">
        <v>3224.2384570830204</v>
      </c>
      <c r="Q425">
        <v>3224.2384570830204</v>
      </c>
      <c r="R425">
        <v>3224.2384570830204</v>
      </c>
      <c r="S425">
        <v>3224.2384570830204</v>
      </c>
      <c r="T425">
        <v>3224.2384570830204</v>
      </c>
      <c r="U425">
        <v>3224.2384570830204</v>
      </c>
      <c r="V425">
        <v>3224.2384570830204</v>
      </c>
      <c r="W425">
        <v>3224.2384570830204</v>
      </c>
      <c r="X425">
        <v>3224.2384570830204</v>
      </c>
      <c r="Y425">
        <v>3224.2384570830204</v>
      </c>
      <c r="Z425">
        <v>3224.2384570830204</v>
      </c>
      <c r="AA425">
        <v>3224.2384570830204</v>
      </c>
      <c r="AB425">
        <v>3224.2384570830204</v>
      </c>
      <c r="AC425">
        <v>3224.2384570830204</v>
      </c>
      <c r="AD425">
        <v>3224.2384570830204</v>
      </c>
      <c r="AE425">
        <v>3224.2384570830204</v>
      </c>
      <c r="AF425">
        <v>3224.2384570830204</v>
      </c>
      <c r="AG425">
        <v>3224.2384570830204</v>
      </c>
      <c r="AH425">
        <v>3224.2384570830204</v>
      </c>
      <c r="AI425">
        <v>3224.2384570830204</v>
      </c>
      <c r="AJ425">
        <v>3224.2384570830204</v>
      </c>
    </row>
    <row r="426" spans="1:36" x14ac:dyDescent="0.35">
      <c r="A426" t="s">
        <v>1994</v>
      </c>
      <c r="B426" t="s">
        <v>1342</v>
      </c>
      <c r="C426" t="s">
        <v>1343</v>
      </c>
      <c r="D426" t="s">
        <v>555</v>
      </c>
      <c r="E426" t="s">
        <v>1989</v>
      </c>
      <c r="F426" t="s">
        <v>1995</v>
      </c>
      <c r="G426" t="s">
        <v>1996</v>
      </c>
      <c r="H426">
        <v>3595.1072267404579</v>
      </c>
      <c r="I426">
        <v>3558.7930123289379</v>
      </c>
      <c r="J426">
        <v>3522.4787979174189</v>
      </c>
      <c r="K426">
        <v>3522.4787979174189</v>
      </c>
      <c r="L426">
        <v>3486.1645835058989</v>
      </c>
      <c r="M426">
        <v>3486.1645835058989</v>
      </c>
      <c r="N426">
        <v>3449.8503690943785</v>
      </c>
      <c r="O426">
        <v>3413.536154682859</v>
      </c>
      <c r="P426">
        <v>3413.536154682859</v>
      </c>
      <c r="Q426">
        <v>3377.2219402713399</v>
      </c>
      <c r="R426">
        <v>3377.2219402713399</v>
      </c>
      <c r="S426">
        <v>3340.9077258598195</v>
      </c>
      <c r="T426">
        <v>3340.9077258598195</v>
      </c>
      <c r="U426">
        <v>3304.5935114482995</v>
      </c>
      <c r="V426">
        <v>3304.5935114482995</v>
      </c>
      <c r="W426">
        <v>3304.5935114482995</v>
      </c>
      <c r="X426">
        <v>3268.27929703678</v>
      </c>
      <c r="Y426">
        <v>3268.27929703678</v>
      </c>
      <c r="Z426">
        <v>3268.27929703678</v>
      </c>
      <c r="AA426">
        <v>3268.27929703678</v>
      </c>
      <c r="AB426">
        <v>3231.9650826252605</v>
      </c>
      <c r="AC426">
        <v>3231.9650826252605</v>
      </c>
      <c r="AD426">
        <v>3231.9650826252605</v>
      </c>
      <c r="AE426">
        <v>3231.9650826252605</v>
      </c>
      <c r="AF426">
        <v>3231.9650826252605</v>
      </c>
      <c r="AG426">
        <v>3195.6508682137401</v>
      </c>
      <c r="AH426">
        <v>3195.6508682137401</v>
      </c>
      <c r="AI426">
        <v>3195.6508682137401</v>
      </c>
      <c r="AJ426">
        <v>3195.6508682137401</v>
      </c>
    </row>
    <row r="427" spans="1:36" x14ac:dyDescent="0.35">
      <c r="A427" t="s">
        <v>1997</v>
      </c>
      <c r="B427" t="s">
        <v>1342</v>
      </c>
      <c r="C427" t="s">
        <v>1348</v>
      </c>
      <c r="D427" t="s">
        <v>555</v>
      </c>
      <c r="E427" t="s">
        <v>1989</v>
      </c>
      <c r="F427" t="s">
        <v>1995</v>
      </c>
      <c r="G427" t="s">
        <v>1996</v>
      </c>
      <c r="H427">
        <v>3595.1072267404579</v>
      </c>
      <c r="I427">
        <v>3595.1072267404579</v>
      </c>
      <c r="J427">
        <v>3595.1072267404579</v>
      </c>
      <c r="K427">
        <v>3595.1072267404579</v>
      </c>
      <c r="L427">
        <v>3595.1072267404579</v>
      </c>
      <c r="M427">
        <v>3595.1072267404579</v>
      </c>
      <c r="N427">
        <v>3595.1072267404579</v>
      </c>
      <c r="O427">
        <v>3595.1072267404579</v>
      </c>
      <c r="P427">
        <v>3595.1072267404579</v>
      </c>
      <c r="Q427">
        <v>3595.1072267404579</v>
      </c>
      <c r="R427">
        <v>3595.1072267404579</v>
      </c>
      <c r="S427">
        <v>3595.1072267404579</v>
      </c>
      <c r="T427">
        <v>3595.1072267404579</v>
      </c>
      <c r="U427">
        <v>3595.1072267404579</v>
      </c>
      <c r="V427">
        <v>3595.1072267404579</v>
      </c>
      <c r="W427">
        <v>3595.1072267404579</v>
      </c>
      <c r="X427">
        <v>3595.1072267404579</v>
      </c>
      <c r="Y427">
        <v>3595.1072267404579</v>
      </c>
      <c r="Z427">
        <v>3595.1072267404579</v>
      </c>
      <c r="AA427">
        <v>3595.1072267404579</v>
      </c>
      <c r="AB427">
        <v>3595.1072267404579</v>
      </c>
      <c r="AC427">
        <v>3595.1072267404579</v>
      </c>
      <c r="AD427">
        <v>3595.1072267404579</v>
      </c>
      <c r="AE427">
        <v>3595.1072267404579</v>
      </c>
      <c r="AF427">
        <v>3595.1072267404579</v>
      </c>
      <c r="AG427">
        <v>3595.1072267404579</v>
      </c>
      <c r="AH427">
        <v>3595.1072267404579</v>
      </c>
      <c r="AI427">
        <v>3595.1072267404579</v>
      </c>
      <c r="AJ427">
        <v>3595.1072267404579</v>
      </c>
    </row>
    <row r="428" spans="1:36" x14ac:dyDescent="0.35">
      <c r="A428" t="s">
        <v>1998</v>
      </c>
      <c r="B428" t="s">
        <v>1342</v>
      </c>
      <c r="C428" t="s">
        <v>1350</v>
      </c>
      <c r="D428" t="s">
        <v>555</v>
      </c>
      <c r="E428" t="s">
        <v>1989</v>
      </c>
      <c r="F428" t="s">
        <v>1995</v>
      </c>
      <c r="G428" t="s">
        <v>1996</v>
      </c>
      <c r="H428">
        <v>3595.1072267404579</v>
      </c>
      <c r="I428">
        <v>3595.1072267404579</v>
      </c>
      <c r="J428">
        <v>3595.1072267404579</v>
      </c>
      <c r="K428">
        <v>3595.1072267404579</v>
      </c>
      <c r="L428">
        <v>3595.1072267404579</v>
      </c>
      <c r="M428">
        <v>3595.1072267404579</v>
      </c>
      <c r="N428">
        <v>3595.1072267404579</v>
      </c>
      <c r="O428">
        <v>3595.1072267404579</v>
      </c>
      <c r="P428">
        <v>3595.1072267404579</v>
      </c>
      <c r="Q428">
        <v>3595.1072267404579</v>
      </c>
      <c r="R428">
        <v>3595.1072267404579</v>
      </c>
      <c r="S428">
        <v>3595.1072267404579</v>
      </c>
      <c r="T428">
        <v>3595.1072267404579</v>
      </c>
      <c r="U428">
        <v>3595.1072267404579</v>
      </c>
      <c r="V428">
        <v>3595.1072267404579</v>
      </c>
      <c r="W428">
        <v>3595.1072267404579</v>
      </c>
      <c r="X428">
        <v>3595.1072267404579</v>
      </c>
      <c r="Y428">
        <v>3595.1072267404579</v>
      </c>
      <c r="Z428">
        <v>3595.1072267404579</v>
      </c>
      <c r="AA428">
        <v>3595.1072267404579</v>
      </c>
      <c r="AB428">
        <v>3595.1072267404579</v>
      </c>
      <c r="AC428">
        <v>3595.1072267404579</v>
      </c>
      <c r="AD428">
        <v>3595.1072267404579</v>
      </c>
      <c r="AE428">
        <v>3595.1072267404579</v>
      </c>
      <c r="AF428">
        <v>3595.1072267404579</v>
      </c>
      <c r="AG428">
        <v>3595.1072267404579</v>
      </c>
      <c r="AH428">
        <v>3595.1072267404579</v>
      </c>
      <c r="AI428">
        <v>3595.1072267404579</v>
      </c>
      <c r="AJ428">
        <v>3595.1072267404579</v>
      </c>
    </row>
    <row r="429" spans="1:36" x14ac:dyDescent="0.35">
      <c r="A429" t="s">
        <v>1999</v>
      </c>
      <c r="B429" t="s">
        <v>1342</v>
      </c>
      <c r="C429" t="s">
        <v>1343</v>
      </c>
      <c r="D429" t="s">
        <v>555</v>
      </c>
      <c r="E429" t="s">
        <v>1989</v>
      </c>
      <c r="F429" t="s">
        <v>2000</v>
      </c>
      <c r="G429" t="s">
        <v>2001</v>
      </c>
      <c r="H429">
        <v>3794.0060072760057</v>
      </c>
      <c r="I429">
        <v>3755.6827142732177</v>
      </c>
      <c r="J429">
        <v>3717.3594212704311</v>
      </c>
      <c r="K429">
        <v>3717.3594212704311</v>
      </c>
      <c r="L429">
        <v>3679.0361282676422</v>
      </c>
      <c r="M429">
        <v>3679.0361282676422</v>
      </c>
      <c r="N429">
        <v>3640.7128352648538</v>
      </c>
      <c r="O429">
        <v>3602.3895422620662</v>
      </c>
      <c r="P429">
        <v>3602.3895422620662</v>
      </c>
      <c r="Q429">
        <v>3564.0662492592787</v>
      </c>
      <c r="R429">
        <v>3564.0662492592787</v>
      </c>
      <c r="S429">
        <v>3525.7429562564903</v>
      </c>
      <c r="T429">
        <v>3525.7429562564903</v>
      </c>
      <c r="U429">
        <v>3487.4196632537023</v>
      </c>
      <c r="V429">
        <v>3487.4196632537023</v>
      </c>
      <c r="W429">
        <v>3487.4196632537023</v>
      </c>
      <c r="X429">
        <v>3449.0963702509148</v>
      </c>
      <c r="Y429">
        <v>3449.0963702509148</v>
      </c>
      <c r="Z429">
        <v>3449.0963702509148</v>
      </c>
      <c r="AA429">
        <v>3449.0963702509148</v>
      </c>
      <c r="AB429">
        <v>3410.7730772481268</v>
      </c>
      <c r="AC429">
        <v>3410.7730772481268</v>
      </c>
      <c r="AD429">
        <v>3410.7730772481268</v>
      </c>
      <c r="AE429">
        <v>3410.7730772481268</v>
      </c>
      <c r="AF429">
        <v>3410.7730772481268</v>
      </c>
      <c r="AG429">
        <v>3372.4497842453384</v>
      </c>
      <c r="AH429">
        <v>3372.4497842453384</v>
      </c>
      <c r="AI429">
        <v>3372.4497842453384</v>
      </c>
      <c r="AJ429">
        <v>3372.4497842453384</v>
      </c>
    </row>
    <row r="430" spans="1:36" x14ac:dyDescent="0.35">
      <c r="A430" t="s">
        <v>2002</v>
      </c>
      <c r="B430" t="s">
        <v>1342</v>
      </c>
      <c r="C430" t="s">
        <v>1348</v>
      </c>
      <c r="D430" t="s">
        <v>555</v>
      </c>
      <c r="E430" t="s">
        <v>1989</v>
      </c>
      <c r="F430" t="s">
        <v>2000</v>
      </c>
      <c r="G430" t="s">
        <v>2001</v>
      </c>
      <c r="H430">
        <v>3794.0060072760057</v>
      </c>
      <c r="I430">
        <v>3794.0060072760057</v>
      </c>
      <c r="J430">
        <v>3794.0060072760057</v>
      </c>
      <c r="K430">
        <v>3794.0060072760057</v>
      </c>
      <c r="L430">
        <v>3794.0060072760057</v>
      </c>
      <c r="M430">
        <v>3794.0060072760057</v>
      </c>
      <c r="N430">
        <v>3794.0060072760057</v>
      </c>
      <c r="O430">
        <v>3794.0060072760057</v>
      </c>
      <c r="P430">
        <v>3794.0060072760057</v>
      </c>
      <c r="Q430">
        <v>3794.0060072760057</v>
      </c>
      <c r="R430">
        <v>3794.0060072760057</v>
      </c>
      <c r="S430">
        <v>3794.0060072760057</v>
      </c>
      <c r="T430">
        <v>3794.0060072760057</v>
      </c>
      <c r="U430">
        <v>3794.0060072760057</v>
      </c>
      <c r="V430">
        <v>3794.0060072760057</v>
      </c>
      <c r="W430">
        <v>3794.0060072760057</v>
      </c>
      <c r="X430">
        <v>3794.0060072760057</v>
      </c>
      <c r="Y430">
        <v>3794.0060072760057</v>
      </c>
      <c r="Z430">
        <v>3794.0060072760057</v>
      </c>
      <c r="AA430">
        <v>3794.0060072760057</v>
      </c>
      <c r="AB430">
        <v>3794.0060072760057</v>
      </c>
      <c r="AC430">
        <v>3794.0060072760057</v>
      </c>
      <c r="AD430">
        <v>3794.0060072760057</v>
      </c>
      <c r="AE430">
        <v>3794.0060072760057</v>
      </c>
      <c r="AF430">
        <v>3794.0060072760057</v>
      </c>
      <c r="AG430">
        <v>3794.0060072760057</v>
      </c>
      <c r="AH430">
        <v>3794.0060072760057</v>
      </c>
      <c r="AI430">
        <v>3794.0060072760057</v>
      </c>
      <c r="AJ430">
        <v>3794.0060072760057</v>
      </c>
    </row>
    <row r="431" spans="1:36" x14ac:dyDescent="0.35">
      <c r="A431" t="s">
        <v>2003</v>
      </c>
      <c r="B431" t="s">
        <v>1342</v>
      </c>
      <c r="C431" t="s">
        <v>1350</v>
      </c>
      <c r="D431" t="s">
        <v>555</v>
      </c>
      <c r="E431" t="s">
        <v>1989</v>
      </c>
      <c r="F431" t="s">
        <v>2000</v>
      </c>
      <c r="G431" t="s">
        <v>2001</v>
      </c>
      <c r="H431">
        <v>3794.0060072760057</v>
      </c>
      <c r="I431">
        <v>3794.0060072760057</v>
      </c>
      <c r="J431">
        <v>3794.0060072760057</v>
      </c>
      <c r="K431">
        <v>3794.0060072760057</v>
      </c>
      <c r="L431">
        <v>3794.0060072760057</v>
      </c>
      <c r="M431">
        <v>3794.0060072760057</v>
      </c>
      <c r="N431">
        <v>3794.0060072760057</v>
      </c>
      <c r="O431">
        <v>3794.0060072760057</v>
      </c>
      <c r="P431">
        <v>3794.0060072760057</v>
      </c>
      <c r="Q431">
        <v>3794.0060072760057</v>
      </c>
      <c r="R431">
        <v>3794.0060072760057</v>
      </c>
      <c r="S431">
        <v>3794.0060072760057</v>
      </c>
      <c r="T431">
        <v>3794.0060072760057</v>
      </c>
      <c r="U431">
        <v>3794.0060072760057</v>
      </c>
      <c r="V431">
        <v>3794.0060072760057</v>
      </c>
      <c r="W431">
        <v>3794.0060072760057</v>
      </c>
      <c r="X431">
        <v>3794.0060072760057</v>
      </c>
      <c r="Y431">
        <v>3794.0060072760057</v>
      </c>
      <c r="Z431">
        <v>3794.0060072760057</v>
      </c>
      <c r="AA431">
        <v>3794.0060072760057</v>
      </c>
      <c r="AB431">
        <v>3794.0060072760057</v>
      </c>
      <c r="AC431">
        <v>3794.0060072760057</v>
      </c>
      <c r="AD431">
        <v>3794.0060072760057</v>
      </c>
      <c r="AE431">
        <v>3794.0060072760057</v>
      </c>
      <c r="AF431">
        <v>3794.0060072760057</v>
      </c>
      <c r="AG431">
        <v>3794.0060072760057</v>
      </c>
      <c r="AH431">
        <v>3794.0060072760057</v>
      </c>
      <c r="AI431">
        <v>3794.0060072760057</v>
      </c>
      <c r="AJ431">
        <v>3794.0060072760057</v>
      </c>
    </row>
    <row r="432" spans="1:36" x14ac:dyDescent="0.35">
      <c r="A432" t="s">
        <v>2004</v>
      </c>
      <c r="B432" t="s">
        <v>1342</v>
      </c>
      <c r="C432" t="s">
        <v>1343</v>
      </c>
      <c r="D432" t="s">
        <v>555</v>
      </c>
      <c r="E432" t="s">
        <v>1989</v>
      </c>
      <c r="F432" t="s">
        <v>2005</v>
      </c>
      <c r="G432" t="s">
        <v>2006</v>
      </c>
      <c r="H432">
        <v>3945.609466995887</v>
      </c>
      <c r="I432">
        <v>3905.7548259151204</v>
      </c>
      <c r="J432">
        <v>3865.9001848343551</v>
      </c>
      <c r="K432">
        <v>3865.9001848343551</v>
      </c>
      <c r="L432">
        <v>3826.0455437535875</v>
      </c>
      <c r="M432">
        <v>3826.0455437535875</v>
      </c>
      <c r="N432">
        <v>3786.1909026728208</v>
      </c>
      <c r="O432">
        <v>3746.3362615920546</v>
      </c>
      <c r="P432">
        <v>3746.3362615920546</v>
      </c>
      <c r="Q432">
        <v>3706.4816205112884</v>
      </c>
      <c r="R432">
        <v>3706.4816205112884</v>
      </c>
      <c r="S432">
        <v>3666.6269794305213</v>
      </c>
      <c r="T432">
        <v>3666.6269794305213</v>
      </c>
      <c r="U432">
        <v>3626.772338349755</v>
      </c>
      <c r="V432">
        <v>3626.772338349755</v>
      </c>
      <c r="W432">
        <v>3626.772338349755</v>
      </c>
      <c r="X432">
        <v>3586.9176972689884</v>
      </c>
      <c r="Y432">
        <v>3586.9176972689884</v>
      </c>
      <c r="Z432">
        <v>3586.9176972689884</v>
      </c>
      <c r="AA432">
        <v>3586.9176972689884</v>
      </c>
      <c r="AB432">
        <v>3547.0630561882222</v>
      </c>
      <c r="AC432">
        <v>3547.0630561882222</v>
      </c>
      <c r="AD432">
        <v>3547.0630561882222</v>
      </c>
      <c r="AE432">
        <v>3547.0630561882222</v>
      </c>
      <c r="AF432">
        <v>3547.0630561882222</v>
      </c>
      <c r="AG432">
        <v>3507.208415107455</v>
      </c>
      <c r="AH432">
        <v>3507.208415107455</v>
      </c>
      <c r="AI432">
        <v>3507.208415107455</v>
      </c>
      <c r="AJ432">
        <v>3507.208415107455</v>
      </c>
    </row>
    <row r="433" spans="1:36" x14ac:dyDescent="0.35">
      <c r="A433" t="s">
        <v>2007</v>
      </c>
      <c r="B433" t="s">
        <v>1342</v>
      </c>
      <c r="C433" t="s">
        <v>1348</v>
      </c>
      <c r="D433" t="s">
        <v>555</v>
      </c>
      <c r="E433" t="s">
        <v>1989</v>
      </c>
      <c r="F433" t="s">
        <v>2005</v>
      </c>
      <c r="G433" t="s">
        <v>2006</v>
      </c>
      <c r="H433">
        <v>3945.609466995887</v>
      </c>
      <c r="I433">
        <v>3945.609466995887</v>
      </c>
      <c r="J433">
        <v>3945.609466995887</v>
      </c>
      <c r="K433">
        <v>3945.609466995887</v>
      </c>
      <c r="L433">
        <v>3945.609466995887</v>
      </c>
      <c r="M433">
        <v>3945.609466995887</v>
      </c>
      <c r="N433">
        <v>3945.609466995887</v>
      </c>
      <c r="O433">
        <v>3945.609466995887</v>
      </c>
      <c r="P433">
        <v>3945.609466995887</v>
      </c>
      <c r="Q433">
        <v>3945.609466995887</v>
      </c>
      <c r="R433">
        <v>3945.609466995887</v>
      </c>
      <c r="S433">
        <v>3945.609466995887</v>
      </c>
      <c r="T433">
        <v>3945.609466995887</v>
      </c>
      <c r="U433">
        <v>3945.609466995887</v>
      </c>
      <c r="V433">
        <v>3945.609466995887</v>
      </c>
      <c r="W433">
        <v>3945.609466995887</v>
      </c>
      <c r="X433">
        <v>3945.609466995887</v>
      </c>
      <c r="Y433">
        <v>3945.609466995887</v>
      </c>
      <c r="Z433">
        <v>3945.609466995887</v>
      </c>
      <c r="AA433">
        <v>3945.609466995887</v>
      </c>
      <c r="AB433">
        <v>3945.609466995887</v>
      </c>
      <c r="AC433">
        <v>3945.609466995887</v>
      </c>
      <c r="AD433">
        <v>3945.609466995887</v>
      </c>
      <c r="AE433">
        <v>3945.609466995887</v>
      </c>
      <c r="AF433">
        <v>3945.609466995887</v>
      </c>
      <c r="AG433">
        <v>3945.609466995887</v>
      </c>
      <c r="AH433">
        <v>3945.609466995887</v>
      </c>
      <c r="AI433">
        <v>3945.609466995887</v>
      </c>
      <c r="AJ433">
        <v>3945.609466995887</v>
      </c>
    </row>
    <row r="434" spans="1:36" x14ac:dyDescent="0.35">
      <c r="A434" t="s">
        <v>2008</v>
      </c>
      <c r="B434" t="s">
        <v>1342</v>
      </c>
      <c r="C434" t="s">
        <v>1350</v>
      </c>
      <c r="D434" t="s">
        <v>555</v>
      </c>
      <c r="E434" t="s">
        <v>1989</v>
      </c>
      <c r="F434" t="s">
        <v>2005</v>
      </c>
      <c r="G434" t="s">
        <v>2006</v>
      </c>
      <c r="H434">
        <v>3945.609466995887</v>
      </c>
      <c r="I434">
        <v>3945.609466995887</v>
      </c>
      <c r="J434">
        <v>3945.609466995887</v>
      </c>
      <c r="K434">
        <v>3945.609466995887</v>
      </c>
      <c r="L434">
        <v>3945.609466995887</v>
      </c>
      <c r="M434">
        <v>3945.609466995887</v>
      </c>
      <c r="N434">
        <v>3945.609466995887</v>
      </c>
      <c r="O434">
        <v>3945.609466995887</v>
      </c>
      <c r="P434">
        <v>3945.609466995887</v>
      </c>
      <c r="Q434">
        <v>3945.609466995887</v>
      </c>
      <c r="R434">
        <v>3945.609466995887</v>
      </c>
      <c r="S434">
        <v>3945.609466995887</v>
      </c>
      <c r="T434">
        <v>3945.609466995887</v>
      </c>
      <c r="U434">
        <v>3945.609466995887</v>
      </c>
      <c r="V434">
        <v>3945.609466995887</v>
      </c>
      <c r="W434">
        <v>3945.609466995887</v>
      </c>
      <c r="X434">
        <v>3945.609466995887</v>
      </c>
      <c r="Y434">
        <v>3945.609466995887</v>
      </c>
      <c r="Z434">
        <v>3945.609466995887</v>
      </c>
      <c r="AA434">
        <v>3945.609466995887</v>
      </c>
      <c r="AB434">
        <v>3945.609466995887</v>
      </c>
      <c r="AC434">
        <v>3945.609466995887</v>
      </c>
      <c r="AD434">
        <v>3945.609466995887</v>
      </c>
      <c r="AE434">
        <v>3945.609466995887</v>
      </c>
      <c r="AF434">
        <v>3945.609466995887</v>
      </c>
      <c r="AG434">
        <v>3945.609466995887</v>
      </c>
      <c r="AH434">
        <v>3945.609466995887</v>
      </c>
      <c r="AI434">
        <v>3945.609466995887</v>
      </c>
      <c r="AJ434">
        <v>3945.609466995887</v>
      </c>
    </row>
    <row r="435" spans="1:36" x14ac:dyDescent="0.35">
      <c r="A435" t="s">
        <v>2009</v>
      </c>
      <c r="B435" t="s">
        <v>1342</v>
      </c>
      <c r="C435" t="s">
        <v>1343</v>
      </c>
      <c r="D435" t="s">
        <v>555</v>
      </c>
      <c r="E435" t="s">
        <v>1989</v>
      </c>
      <c r="F435" t="s">
        <v>2010</v>
      </c>
      <c r="G435" t="s">
        <v>2011</v>
      </c>
      <c r="H435">
        <v>4067.1430035329067</v>
      </c>
      <c r="I435">
        <v>4026.0607509719684</v>
      </c>
      <c r="J435">
        <v>3984.9784984110306</v>
      </c>
      <c r="K435">
        <v>3984.9784984110306</v>
      </c>
      <c r="L435">
        <v>3943.8962458500914</v>
      </c>
      <c r="M435">
        <v>3943.8962458500914</v>
      </c>
      <c r="N435">
        <v>3902.8139932891531</v>
      </c>
      <c r="O435">
        <v>3861.7317407282148</v>
      </c>
      <c r="P435">
        <v>3861.7317407282148</v>
      </c>
      <c r="Q435">
        <v>3820.649488167277</v>
      </c>
      <c r="R435">
        <v>3820.649488167277</v>
      </c>
      <c r="S435">
        <v>3779.5672356063374</v>
      </c>
      <c r="T435">
        <v>3779.5672356063374</v>
      </c>
      <c r="U435">
        <v>3738.4849830453995</v>
      </c>
      <c r="V435">
        <v>3738.4849830453995</v>
      </c>
      <c r="W435">
        <v>3738.4849830453995</v>
      </c>
      <c r="X435">
        <v>3697.4027304844612</v>
      </c>
      <c r="Y435">
        <v>3697.4027304844612</v>
      </c>
      <c r="Z435">
        <v>3697.4027304844612</v>
      </c>
      <c r="AA435">
        <v>3697.4027304844612</v>
      </c>
      <c r="AB435">
        <v>3656.320477923523</v>
      </c>
      <c r="AC435">
        <v>3656.320477923523</v>
      </c>
      <c r="AD435">
        <v>3656.320477923523</v>
      </c>
      <c r="AE435">
        <v>3656.320477923523</v>
      </c>
      <c r="AF435">
        <v>3656.320477923523</v>
      </c>
      <c r="AG435">
        <v>3615.2382253625838</v>
      </c>
      <c r="AH435">
        <v>3615.2382253625838</v>
      </c>
      <c r="AI435">
        <v>3615.2382253625838</v>
      </c>
      <c r="AJ435">
        <v>3615.2382253625838</v>
      </c>
    </row>
    <row r="436" spans="1:36" x14ac:dyDescent="0.35">
      <c r="A436" t="s">
        <v>2012</v>
      </c>
      <c r="B436" t="s">
        <v>1342</v>
      </c>
      <c r="C436" t="s">
        <v>1348</v>
      </c>
      <c r="D436" t="s">
        <v>555</v>
      </c>
      <c r="E436" t="s">
        <v>1989</v>
      </c>
      <c r="F436" t="s">
        <v>2010</v>
      </c>
      <c r="G436" t="s">
        <v>2011</v>
      </c>
      <c r="H436">
        <v>4067.1430035329067</v>
      </c>
      <c r="I436">
        <v>4067.1430035329067</v>
      </c>
      <c r="J436">
        <v>4067.1430035329067</v>
      </c>
      <c r="K436">
        <v>4067.1430035329067</v>
      </c>
      <c r="L436">
        <v>4067.1430035329067</v>
      </c>
      <c r="M436">
        <v>4067.1430035329067</v>
      </c>
      <c r="N436">
        <v>4067.1430035329067</v>
      </c>
      <c r="O436">
        <v>4067.1430035329067</v>
      </c>
      <c r="P436">
        <v>4067.1430035329067</v>
      </c>
      <c r="Q436">
        <v>4067.1430035329067</v>
      </c>
      <c r="R436">
        <v>4067.1430035329067</v>
      </c>
      <c r="S436">
        <v>4067.1430035329067</v>
      </c>
      <c r="T436">
        <v>4067.1430035329067</v>
      </c>
      <c r="U436">
        <v>4067.1430035329067</v>
      </c>
      <c r="V436">
        <v>4067.1430035329067</v>
      </c>
      <c r="W436">
        <v>4067.1430035329067</v>
      </c>
      <c r="X436">
        <v>4067.1430035329067</v>
      </c>
      <c r="Y436">
        <v>4067.1430035329067</v>
      </c>
      <c r="Z436">
        <v>4067.1430035329067</v>
      </c>
      <c r="AA436">
        <v>4067.1430035329067</v>
      </c>
      <c r="AB436">
        <v>4067.1430035329067</v>
      </c>
      <c r="AC436">
        <v>4067.1430035329067</v>
      </c>
      <c r="AD436">
        <v>4067.1430035329067</v>
      </c>
      <c r="AE436">
        <v>4067.1430035329067</v>
      </c>
      <c r="AF436">
        <v>4067.1430035329067</v>
      </c>
      <c r="AG436">
        <v>4067.1430035329067</v>
      </c>
      <c r="AH436">
        <v>4067.1430035329067</v>
      </c>
      <c r="AI436">
        <v>4067.1430035329067</v>
      </c>
      <c r="AJ436">
        <v>4067.1430035329067</v>
      </c>
    </row>
    <row r="437" spans="1:36" x14ac:dyDescent="0.35">
      <c r="A437" t="s">
        <v>2013</v>
      </c>
      <c r="B437" t="s">
        <v>1342</v>
      </c>
      <c r="C437" t="s">
        <v>1350</v>
      </c>
      <c r="D437" t="s">
        <v>555</v>
      </c>
      <c r="E437" t="s">
        <v>1989</v>
      </c>
      <c r="F437" t="s">
        <v>2010</v>
      </c>
      <c r="G437" t="s">
        <v>2011</v>
      </c>
      <c r="H437">
        <v>4067.1430035329067</v>
      </c>
      <c r="I437">
        <v>4067.1430035329067</v>
      </c>
      <c r="J437">
        <v>4067.1430035329067</v>
      </c>
      <c r="K437">
        <v>4067.1430035329067</v>
      </c>
      <c r="L437">
        <v>4067.1430035329067</v>
      </c>
      <c r="M437">
        <v>4067.1430035329067</v>
      </c>
      <c r="N437">
        <v>4067.1430035329067</v>
      </c>
      <c r="O437">
        <v>4067.1430035329067</v>
      </c>
      <c r="P437">
        <v>4067.1430035329067</v>
      </c>
      <c r="Q437">
        <v>4067.1430035329067</v>
      </c>
      <c r="R437">
        <v>4067.1430035329067</v>
      </c>
      <c r="S437">
        <v>4067.1430035329067</v>
      </c>
      <c r="T437">
        <v>4067.1430035329067</v>
      </c>
      <c r="U437">
        <v>4067.1430035329067</v>
      </c>
      <c r="V437">
        <v>4067.1430035329067</v>
      </c>
      <c r="W437">
        <v>4067.1430035329067</v>
      </c>
      <c r="X437">
        <v>4067.1430035329067</v>
      </c>
      <c r="Y437">
        <v>4067.1430035329067</v>
      </c>
      <c r="Z437">
        <v>4067.1430035329067</v>
      </c>
      <c r="AA437">
        <v>4067.1430035329067</v>
      </c>
      <c r="AB437">
        <v>4067.1430035329067</v>
      </c>
      <c r="AC437">
        <v>4067.1430035329067</v>
      </c>
      <c r="AD437">
        <v>4067.1430035329067</v>
      </c>
      <c r="AE437">
        <v>4067.1430035329067</v>
      </c>
      <c r="AF437">
        <v>4067.1430035329067</v>
      </c>
      <c r="AG437">
        <v>4067.1430035329067</v>
      </c>
      <c r="AH437">
        <v>4067.1430035329067</v>
      </c>
      <c r="AI437">
        <v>4067.1430035329067</v>
      </c>
      <c r="AJ437">
        <v>4067.1430035329067</v>
      </c>
    </row>
    <row r="438" spans="1:36" x14ac:dyDescent="0.35">
      <c r="A438" t="s">
        <v>2014</v>
      </c>
      <c r="B438" t="s">
        <v>1342</v>
      </c>
      <c r="C438" t="s">
        <v>1343</v>
      </c>
      <c r="D438" t="s">
        <v>555</v>
      </c>
      <c r="E438" t="s">
        <v>1989</v>
      </c>
      <c r="F438" t="s">
        <v>2015</v>
      </c>
      <c r="G438" t="s">
        <v>2016</v>
      </c>
      <c r="H438">
        <v>4174.0363919507317</v>
      </c>
      <c r="I438">
        <v>4131.8744081936538</v>
      </c>
      <c r="J438">
        <v>4089.7124244365764</v>
      </c>
      <c r="K438">
        <v>4089.7124244365764</v>
      </c>
      <c r="L438">
        <v>4047.5504406794971</v>
      </c>
      <c r="M438">
        <v>4047.5504406794971</v>
      </c>
      <c r="N438">
        <v>4005.3884569224192</v>
      </c>
      <c r="O438">
        <v>3963.2264731653413</v>
      </c>
      <c r="P438">
        <v>3963.2264731653413</v>
      </c>
      <c r="Q438">
        <v>3921.0644894082639</v>
      </c>
      <c r="R438">
        <v>3921.0644894082639</v>
      </c>
      <c r="S438">
        <v>3878.902505651185</v>
      </c>
      <c r="T438">
        <v>3878.902505651185</v>
      </c>
      <c r="U438">
        <v>3836.7405218941071</v>
      </c>
      <c r="V438">
        <v>3836.7405218941071</v>
      </c>
      <c r="W438">
        <v>3836.7405218941071</v>
      </c>
      <c r="X438">
        <v>3794.5785381370288</v>
      </c>
      <c r="Y438">
        <v>3794.5785381370288</v>
      </c>
      <c r="Z438">
        <v>3794.5785381370288</v>
      </c>
      <c r="AA438">
        <v>3794.5785381370288</v>
      </c>
      <c r="AB438">
        <v>3752.4165543799513</v>
      </c>
      <c r="AC438">
        <v>3752.4165543799513</v>
      </c>
      <c r="AD438">
        <v>3752.4165543799513</v>
      </c>
      <c r="AE438">
        <v>3752.4165543799513</v>
      </c>
      <c r="AF438">
        <v>3752.4165543799513</v>
      </c>
      <c r="AG438">
        <v>3710.2545706228725</v>
      </c>
      <c r="AH438">
        <v>3710.2545706228725</v>
      </c>
      <c r="AI438">
        <v>3710.2545706228725</v>
      </c>
      <c r="AJ438">
        <v>3710.2545706228725</v>
      </c>
    </row>
    <row r="439" spans="1:36" x14ac:dyDescent="0.35">
      <c r="A439" t="s">
        <v>2017</v>
      </c>
      <c r="B439" t="s">
        <v>1342</v>
      </c>
      <c r="C439" t="s">
        <v>1348</v>
      </c>
      <c r="D439" t="s">
        <v>555</v>
      </c>
      <c r="E439" t="s">
        <v>1989</v>
      </c>
      <c r="F439" t="s">
        <v>2015</v>
      </c>
      <c r="G439" t="s">
        <v>2016</v>
      </c>
      <c r="H439">
        <v>4174.0363919507317</v>
      </c>
      <c r="I439">
        <v>4174.0363919507317</v>
      </c>
      <c r="J439">
        <v>4174.0363919507317</v>
      </c>
      <c r="K439">
        <v>4174.0363919507317</v>
      </c>
      <c r="L439">
        <v>4174.0363919507317</v>
      </c>
      <c r="M439">
        <v>4174.0363919507317</v>
      </c>
      <c r="N439">
        <v>4174.0363919507317</v>
      </c>
      <c r="O439">
        <v>4174.0363919507317</v>
      </c>
      <c r="P439">
        <v>4174.0363919507317</v>
      </c>
      <c r="Q439">
        <v>4174.0363919507317</v>
      </c>
      <c r="R439">
        <v>4174.0363919507317</v>
      </c>
      <c r="S439">
        <v>4174.0363919507317</v>
      </c>
      <c r="T439">
        <v>4174.0363919507317</v>
      </c>
      <c r="U439">
        <v>4174.0363919507317</v>
      </c>
      <c r="V439">
        <v>4174.0363919507317</v>
      </c>
      <c r="W439">
        <v>4174.0363919507317</v>
      </c>
      <c r="X439">
        <v>4174.0363919507317</v>
      </c>
      <c r="Y439">
        <v>4174.0363919507317</v>
      </c>
      <c r="Z439">
        <v>4174.0363919507317</v>
      </c>
      <c r="AA439">
        <v>4174.0363919507317</v>
      </c>
      <c r="AB439">
        <v>4174.0363919507317</v>
      </c>
      <c r="AC439">
        <v>4174.0363919507317</v>
      </c>
      <c r="AD439">
        <v>4174.0363919507317</v>
      </c>
      <c r="AE439">
        <v>4174.0363919507317</v>
      </c>
      <c r="AF439">
        <v>4174.0363919507317</v>
      </c>
      <c r="AG439">
        <v>4174.0363919507317</v>
      </c>
      <c r="AH439">
        <v>4174.0363919507317</v>
      </c>
      <c r="AI439">
        <v>4174.0363919507317</v>
      </c>
      <c r="AJ439">
        <v>4174.0363919507317</v>
      </c>
    </row>
    <row r="440" spans="1:36" x14ac:dyDescent="0.35">
      <c r="A440" t="s">
        <v>2018</v>
      </c>
      <c r="B440" t="s">
        <v>1342</v>
      </c>
      <c r="C440" t="s">
        <v>1350</v>
      </c>
      <c r="D440" t="s">
        <v>555</v>
      </c>
      <c r="E440" t="s">
        <v>1989</v>
      </c>
      <c r="F440" t="s">
        <v>2015</v>
      </c>
      <c r="G440" t="s">
        <v>2016</v>
      </c>
      <c r="H440">
        <v>4174.0363919507317</v>
      </c>
      <c r="I440">
        <v>4174.0363919507317</v>
      </c>
      <c r="J440">
        <v>4174.0363919507317</v>
      </c>
      <c r="K440">
        <v>4174.0363919507317</v>
      </c>
      <c r="L440">
        <v>4174.0363919507317</v>
      </c>
      <c r="M440">
        <v>4174.0363919507317</v>
      </c>
      <c r="N440">
        <v>4174.0363919507317</v>
      </c>
      <c r="O440">
        <v>4174.0363919507317</v>
      </c>
      <c r="P440">
        <v>4174.0363919507317</v>
      </c>
      <c r="Q440">
        <v>4174.0363919507317</v>
      </c>
      <c r="R440">
        <v>4174.0363919507317</v>
      </c>
      <c r="S440">
        <v>4174.0363919507317</v>
      </c>
      <c r="T440">
        <v>4174.0363919507317</v>
      </c>
      <c r="U440">
        <v>4174.0363919507317</v>
      </c>
      <c r="V440">
        <v>4174.0363919507317</v>
      </c>
      <c r="W440">
        <v>4174.0363919507317</v>
      </c>
      <c r="X440">
        <v>4174.0363919507317</v>
      </c>
      <c r="Y440">
        <v>4174.0363919507317</v>
      </c>
      <c r="Z440">
        <v>4174.0363919507317</v>
      </c>
      <c r="AA440">
        <v>4174.0363919507317</v>
      </c>
      <c r="AB440">
        <v>4174.0363919507317</v>
      </c>
      <c r="AC440">
        <v>4174.0363919507317</v>
      </c>
      <c r="AD440">
        <v>4174.0363919507317</v>
      </c>
      <c r="AE440">
        <v>4174.0363919507317</v>
      </c>
      <c r="AF440">
        <v>4174.0363919507317</v>
      </c>
      <c r="AG440">
        <v>4174.0363919507317</v>
      </c>
      <c r="AH440">
        <v>4174.0363919507317</v>
      </c>
      <c r="AI440">
        <v>4174.0363919507317</v>
      </c>
      <c r="AJ440">
        <v>4174.0363919507317</v>
      </c>
    </row>
    <row r="441" spans="1:36" x14ac:dyDescent="0.35">
      <c r="A441" t="s">
        <v>2019</v>
      </c>
      <c r="B441" t="s">
        <v>1342</v>
      </c>
      <c r="C441" t="s">
        <v>1343</v>
      </c>
      <c r="D441" t="s">
        <v>555</v>
      </c>
      <c r="E441" t="s">
        <v>1989</v>
      </c>
      <c r="F441" t="s">
        <v>2020</v>
      </c>
      <c r="G441" t="s">
        <v>2021</v>
      </c>
      <c r="H441">
        <v>4270.3310938362838</v>
      </c>
      <c r="I441">
        <v>4227.1964363227862</v>
      </c>
      <c r="J441">
        <v>4184.0617788092895</v>
      </c>
      <c r="K441">
        <v>4184.0617788092895</v>
      </c>
      <c r="L441">
        <v>4140.927121295791</v>
      </c>
      <c r="M441">
        <v>4140.927121295791</v>
      </c>
      <c r="N441">
        <v>4097.7924637822925</v>
      </c>
      <c r="O441">
        <v>4054.657806268795</v>
      </c>
      <c r="P441">
        <v>4054.657806268795</v>
      </c>
      <c r="Q441">
        <v>4011.5231487552978</v>
      </c>
      <c r="R441">
        <v>4011.5231487552978</v>
      </c>
      <c r="S441">
        <v>3968.3884912417993</v>
      </c>
      <c r="T441">
        <v>3968.3884912417993</v>
      </c>
      <c r="U441">
        <v>3925.2538337283017</v>
      </c>
      <c r="V441">
        <v>3925.2538337283017</v>
      </c>
      <c r="W441">
        <v>3925.2538337283017</v>
      </c>
      <c r="X441">
        <v>3882.1191762148042</v>
      </c>
      <c r="Y441">
        <v>3882.1191762148042</v>
      </c>
      <c r="Z441">
        <v>3882.1191762148042</v>
      </c>
      <c r="AA441">
        <v>3882.1191762148042</v>
      </c>
      <c r="AB441">
        <v>3838.9845187013066</v>
      </c>
      <c r="AC441">
        <v>3838.9845187013066</v>
      </c>
      <c r="AD441">
        <v>3838.9845187013066</v>
      </c>
      <c r="AE441">
        <v>3838.9845187013066</v>
      </c>
      <c r="AF441">
        <v>3838.9845187013066</v>
      </c>
      <c r="AG441">
        <v>3795.8498611878076</v>
      </c>
      <c r="AH441">
        <v>3795.8498611878076</v>
      </c>
      <c r="AI441">
        <v>3795.8498611878076</v>
      </c>
      <c r="AJ441">
        <v>3795.8498611878076</v>
      </c>
    </row>
    <row r="442" spans="1:36" x14ac:dyDescent="0.35">
      <c r="A442" t="s">
        <v>2022</v>
      </c>
      <c r="B442" t="s">
        <v>1342</v>
      </c>
      <c r="C442" t="s">
        <v>1348</v>
      </c>
      <c r="D442" t="s">
        <v>555</v>
      </c>
      <c r="E442" t="s">
        <v>1989</v>
      </c>
      <c r="F442" t="s">
        <v>2020</v>
      </c>
      <c r="G442" t="s">
        <v>2021</v>
      </c>
      <c r="H442">
        <v>4270.3310938362838</v>
      </c>
      <c r="I442">
        <v>4270.3310938362838</v>
      </c>
      <c r="J442">
        <v>4270.3310938362838</v>
      </c>
      <c r="K442">
        <v>4270.3310938362838</v>
      </c>
      <c r="L442">
        <v>4270.3310938362838</v>
      </c>
      <c r="M442">
        <v>4270.3310938362838</v>
      </c>
      <c r="N442">
        <v>4270.3310938362838</v>
      </c>
      <c r="O442">
        <v>4270.3310938362838</v>
      </c>
      <c r="P442">
        <v>4270.3310938362838</v>
      </c>
      <c r="Q442">
        <v>4270.3310938362838</v>
      </c>
      <c r="R442">
        <v>4270.3310938362838</v>
      </c>
      <c r="S442">
        <v>4270.3310938362838</v>
      </c>
      <c r="T442">
        <v>4270.3310938362838</v>
      </c>
      <c r="U442">
        <v>4270.3310938362838</v>
      </c>
      <c r="V442">
        <v>4270.3310938362838</v>
      </c>
      <c r="W442">
        <v>4270.3310938362838</v>
      </c>
      <c r="X442">
        <v>4270.3310938362838</v>
      </c>
      <c r="Y442">
        <v>4270.3310938362838</v>
      </c>
      <c r="Z442">
        <v>4270.3310938362838</v>
      </c>
      <c r="AA442">
        <v>4270.3310938362838</v>
      </c>
      <c r="AB442">
        <v>4270.3310938362838</v>
      </c>
      <c r="AC442">
        <v>4270.3310938362838</v>
      </c>
      <c r="AD442">
        <v>4270.3310938362838</v>
      </c>
      <c r="AE442">
        <v>4270.3310938362838</v>
      </c>
      <c r="AF442">
        <v>4270.3310938362838</v>
      </c>
      <c r="AG442">
        <v>4270.3310938362838</v>
      </c>
      <c r="AH442">
        <v>4270.3310938362838</v>
      </c>
      <c r="AI442">
        <v>4270.3310938362838</v>
      </c>
      <c r="AJ442">
        <v>4270.3310938362838</v>
      </c>
    </row>
    <row r="443" spans="1:36" x14ac:dyDescent="0.35">
      <c r="A443" t="s">
        <v>2023</v>
      </c>
      <c r="B443" t="s">
        <v>1342</v>
      </c>
      <c r="C443" t="s">
        <v>1350</v>
      </c>
      <c r="D443" t="s">
        <v>555</v>
      </c>
      <c r="E443" t="s">
        <v>1989</v>
      </c>
      <c r="F443" t="s">
        <v>2020</v>
      </c>
      <c r="G443" t="s">
        <v>2021</v>
      </c>
      <c r="H443">
        <v>4270.3310938362838</v>
      </c>
      <c r="I443">
        <v>4270.3310938362838</v>
      </c>
      <c r="J443">
        <v>4270.3310938362838</v>
      </c>
      <c r="K443">
        <v>4270.3310938362838</v>
      </c>
      <c r="L443">
        <v>4270.3310938362838</v>
      </c>
      <c r="M443">
        <v>4270.3310938362838</v>
      </c>
      <c r="N443">
        <v>4270.3310938362838</v>
      </c>
      <c r="O443">
        <v>4270.3310938362838</v>
      </c>
      <c r="P443">
        <v>4270.3310938362838</v>
      </c>
      <c r="Q443">
        <v>4270.3310938362838</v>
      </c>
      <c r="R443">
        <v>4270.3310938362838</v>
      </c>
      <c r="S443">
        <v>4270.3310938362838</v>
      </c>
      <c r="T443">
        <v>4270.3310938362838</v>
      </c>
      <c r="U443">
        <v>4270.3310938362838</v>
      </c>
      <c r="V443">
        <v>4270.3310938362838</v>
      </c>
      <c r="W443">
        <v>4270.3310938362838</v>
      </c>
      <c r="X443">
        <v>4270.3310938362838</v>
      </c>
      <c r="Y443">
        <v>4270.3310938362838</v>
      </c>
      <c r="Z443">
        <v>4270.3310938362838</v>
      </c>
      <c r="AA443">
        <v>4270.3310938362838</v>
      </c>
      <c r="AB443">
        <v>4270.3310938362838</v>
      </c>
      <c r="AC443">
        <v>4270.3310938362838</v>
      </c>
      <c r="AD443">
        <v>4270.3310938362838</v>
      </c>
      <c r="AE443">
        <v>4270.3310938362838</v>
      </c>
      <c r="AF443">
        <v>4270.3310938362838</v>
      </c>
      <c r="AG443">
        <v>4270.3310938362838</v>
      </c>
      <c r="AH443">
        <v>4270.3310938362838</v>
      </c>
      <c r="AI443">
        <v>4270.3310938362838</v>
      </c>
      <c r="AJ443">
        <v>4270.3310938362838</v>
      </c>
    </row>
    <row r="444" spans="1:36" x14ac:dyDescent="0.35">
      <c r="A444" t="s">
        <v>2024</v>
      </c>
      <c r="B444" t="s">
        <v>1342</v>
      </c>
      <c r="C444" t="s">
        <v>1343</v>
      </c>
      <c r="D444" t="s">
        <v>555</v>
      </c>
      <c r="E444" t="s">
        <v>1989</v>
      </c>
      <c r="F444" t="s">
        <v>2025</v>
      </c>
      <c r="G444" t="s">
        <v>2026</v>
      </c>
      <c r="H444">
        <v>4357.4685606196981</v>
      </c>
      <c r="I444">
        <v>4313.4537266740444</v>
      </c>
      <c r="J444">
        <v>4269.4388927283926</v>
      </c>
      <c r="K444">
        <v>4269.4388927283926</v>
      </c>
      <c r="L444">
        <v>4225.424058782738</v>
      </c>
      <c r="M444">
        <v>4225.424058782738</v>
      </c>
      <c r="N444">
        <v>4181.4092248370835</v>
      </c>
      <c r="O444">
        <v>4137.3943908914307</v>
      </c>
      <c r="P444">
        <v>4137.3943908914307</v>
      </c>
      <c r="Q444">
        <v>4093.3795569457779</v>
      </c>
      <c r="R444">
        <v>4093.3795569457779</v>
      </c>
      <c r="S444">
        <v>4049.3647230001238</v>
      </c>
      <c r="T444">
        <v>4049.3647230001238</v>
      </c>
      <c r="U444">
        <v>4005.3498890544702</v>
      </c>
      <c r="V444">
        <v>4005.3498890544702</v>
      </c>
      <c r="W444">
        <v>4005.3498890544702</v>
      </c>
      <c r="X444">
        <v>3961.335055108817</v>
      </c>
      <c r="Y444">
        <v>3961.335055108817</v>
      </c>
      <c r="Z444">
        <v>3961.335055108817</v>
      </c>
      <c r="AA444">
        <v>3961.335055108817</v>
      </c>
      <c r="AB444">
        <v>3917.3202211631638</v>
      </c>
      <c r="AC444">
        <v>3917.3202211631638</v>
      </c>
      <c r="AD444">
        <v>3917.3202211631638</v>
      </c>
      <c r="AE444">
        <v>3917.3202211631638</v>
      </c>
      <c r="AF444">
        <v>3917.3202211631638</v>
      </c>
      <c r="AG444">
        <v>3873.3053872175096</v>
      </c>
      <c r="AH444">
        <v>3873.3053872175096</v>
      </c>
      <c r="AI444">
        <v>3873.3053872175096</v>
      </c>
      <c r="AJ444">
        <v>3873.3053872175096</v>
      </c>
    </row>
    <row r="445" spans="1:36" x14ac:dyDescent="0.35">
      <c r="A445" t="s">
        <v>2027</v>
      </c>
      <c r="B445" t="s">
        <v>1342</v>
      </c>
      <c r="C445" t="s">
        <v>1348</v>
      </c>
      <c r="D445" t="s">
        <v>555</v>
      </c>
      <c r="E445" t="s">
        <v>1989</v>
      </c>
      <c r="F445" t="s">
        <v>2025</v>
      </c>
      <c r="G445" t="s">
        <v>2026</v>
      </c>
      <c r="H445">
        <v>4357.4685606196981</v>
      </c>
      <c r="I445">
        <v>4357.4685606196981</v>
      </c>
      <c r="J445">
        <v>4357.4685606196981</v>
      </c>
      <c r="K445">
        <v>4357.4685606196981</v>
      </c>
      <c r="L445">
        <v>4357.4685606196981</v>
      </c>
      <c r="M445">
        <v>4357.4685606196981</v>
      </c>
      <c r="N445">
        <v>4357.4685606196981</v>
      </c>
      <c r="O445">
        <v>4357.4685606196981</v>
      </c>
      <c r="P445">
        <v>4357.4685606196981</v>
      </c>
      <c r="Q445">
        <v>4357.4685606196981</v>
      </c>
      <c r="R445">
        <v>4357.4685606196981</v>
      </c>
      <c r="S445">
        <v>4357.4685606196981</v>
      </c>
      <c r="T445">
        <v>4357.4685606196981</v>
      </c>
      <c r="U445">
        <v>4357.4685606196981</v>
      </c>
      <c r="V445">
        <v>4357.4685606196981</v>
      </c>
      <c r="W445">
        <v>4357.4685606196981</v>
      </c>
      <c r="X445">
        <v>4357.4685606196981</v>
      </c>
      <c r="Y445">
        <v>4357.4685606196981</v>
      </c>
      <c r="Z445">
        <v>4357.4685606196981</v>
      </c>
      <c r="AA445">
        <v>4357.4685606196981</v>
      </c>
      <c r="AB445">
        <v>4357.4685606196981</v>
      </c>
      <c r="AC445">
        <v>4357.4685606196981</v>
      </c>
      <c r="AD445">
        <v>4357.4685606196981</v>
      </c>
      <c r="AE445">
        <v>4357.4685606196981</v>
      </c>
      <c r="AF445">
        <v>4357.4685606196981</v>
      </c>
      <c r="AG445">
        <v>4357.4685606196981</v>
      </c>
      <c r="AH445">
        <v>4357.4685606196981</v>
      </c>
      <c r="AI445">
        <v>4357.4685606196981</v>
      </c>
      <c r="AJ445">
        <v>4357.4685606196981</v>
      </c>
    </row>
    <row r="446" spans="1:36" x14ac:dyDescent="0.35">
      <c r="A446" t="s">
        <v>2028</v>
      </c>
      <c r="B446" t="s">
        <v>1342</v>
      </c>
      <c r="C446" t="s">
        <v>1350</v>
      </c>
      <c r="D446" t="s">
        <v>555</v>
      </c>
      <c r="E446" t="s">
        <v>1989</v>
      </c>
      <c r="F446" t="s">
        <v>2025</v>
      </c>
      <c r="G446" t="s">
        <v>2026</v>
      </c>
      <c r="H446">
        <v>4357.4685606196981</v>
      </c>
      <c r="I446">
        <v>4357.4685606196981</v>
      </c>
      <c r="J446">
        <v>4357.4685606196981</v>
      </c>
      <c r="K446">
        <v>4357.4685606196981</v>
      </c>
      <c r="L446">
        <v>4357.4685606196981</v>
      </c>
      <c r="M446">
        <v>4357.4685606196981</v>
      </c>
      <c r="N446">
        <v>4357.4685606196981</v>
      </c>
      <c r="O446">
        <v>4357.4685606196981</v>
      </c>
      <c r="P446">
        <v>4357.4685606196981</v>
      </c>
      <c r="Q446">
        <v>4357.4685606196981</v>
      </c>
      <c r="R446">
        <v>4357.4685606196981</v>
      </c>
      <c r="S446">
        <v>4357.4685606196981</v>
      </c>
      <c r="T446">
        <v>4357.4685606196981</v>
      </c>
      <c r="U446">
        <v>4357.4685606196981</v>
      </c>
      <c r="V446">
        <v>4357.4685606196981</v>
      </c>
      <c r="W446">
        <v>4357.4685606196981</v>
      </c>
      <c r="X446">
        <v>4357.4685606196981</v>
      </c>
      <c r="Y446">
        <v>4357.4685606196981</v>
      </c>
      <c r="Z446">
        <v>4357.4685606196981</v>
      </c>
      <c r="AA446">
        <v>4357.4685606196981</v>
      </c>
      <c r="AB446">
        <v>4357.4685606196981</v>
      </c>
      <c r="AC446">
        <v>4357.4685606196981</v>
      </c>
      <c r="AD446">
        <v>4357.4685606196981</v>
      </c>
      <c r="AE446">
        <v>4357.4685606196981</v>
      </c>
      <c r="AF446">
        <v>4357.4685606196981</v>
      </c>
      <c r="AG446">
        <v>4357.4685606196981</v>
      </c>
      <c r="AH446">
        <v>4357.4685606196981</v>
      </c>
      <c r="AI446">
        <v>4357.4685606196981</v>
      </c>
      <c r="AJ446">
        <v>4357.4685606196981</v>
      </c>
    </row>
    <row r="447" spans="1:36" x14ac:dyDescent="0.35">
      <c r="A447" t="s">
        <v>2029</v>
      </c>
      <c r="B447" t="s">
        <v>1342</v>
      </c>
      <c r="C447" t="s">
        <v>1343</v>
      </c>
      <c r="D447" t="s">
        <v>555</v>
      </c>
      <c r="E447" t="s">
        <v>1989</v>
      </c>
      <c r="F447" t="s">
        <v>2030</v>
      </c>
      <c r="G447" t="s">
        <v>2031</v>
      </c>
      <c r="H447">
        <v>4433.4235789186614</v>
      </c>
      <c r="I447">
        <v>4388.6415225659466</v>
      </c>
      <c r="J447">
        <v>4343.8594662132346</v>
      </c>
      <c r="K447">
        <v>4343.8594662132346</v>
      </c>
      <c r="L447">
        <v>4299.0774098605198</v>
      </c>
      <c r="M447">
        <v>4299.0774098605198</v>
      </c>
      <c r="N447">
        <v>4254.2953535078059</v>
      </c>
      <c r="O447">
        <v>4209.513297155092</v>
      </c>
      <c r="P447">
        <v>4209.513297155092</v>
      </c>
      <c r="Q447">
        <v>4164.731240802379</v>
      </c>
      <c r="R447">
        <v>4164.731240802379</v>
      </c>
      <c r="S447">
        <v>4119.9491844496652</v>
      </c>
      <c r="T447">
        <v>4119.9491844496652</v>
      </c>
      <c r="U447">
        <v>4075.1671280969513</v>
      </c>
      <c r="V447">
        <v>4075.1671280969513</v>
      </c>
      <c r="W447">
        <v>4075.1671280969513</v>
      </c>
      <c r="X447">
        <v>4030.3850717442374</v>
      </c>
      <c r="Y447">
        <v>4030.3850717442374</v>
      </c>
      <c r="Z447">
        <v>4030.3850717442374</v>
      </c>
      <c r="AA447">
        <v>4030.3850717442374</v>
      </c>
      <c r="AB447">
        <v>3985.6030153915244</v>
      </c>
      <c r="AC447">
        <v>3985.6030153915244</v>
      </c>
      <c r="AD447">
        <v>3985.6030153915244</v>
      </c>
      <c r="AE447">
        <v>3985.6030153915244</v>
      </c>
      <c r="AF447">
        <v>3985.6030153915244</v>
      </c>
      <c r="AG447">
        <v>3940.8209590388096</v>
      </c>
      <c r="AH447">
        <v>3940.8209590388096</v>
      </c>
      <c r="AI447">
        <v>3940.8209590388096</v>
      </c>
      <c r="AJ447">
        <v>3940.8209590388096</v>
      </c>
    </row>
    <row r="448" spans="1:36" x14ac:dyDescent="0.35">
      <c r="A448" t="s">
        <v>2032</v>
      </c>
      <c r="B448" t="s">
        <v>1342</v>
      </c>
      <c r="C448" t="s">
        <v>1348</v>
      </c>
      <c r="D448" t="s">
        <v>555</v>
      </c>
      <c r="E448" t="s">
        <v>1989</v>
      </c>
      <c r="F448" t="s">
        <v>2030</v>
      </c>
      <c r="G448" t="s">
        <v>2031</v>
      </c>
      <c r="H448">
        <v>4433.4235789186614</v>
      </c>
      <c r="I448">
        <v>4433.4235789186614</v>
      </c>
      <c r="J448">
        <v>4433.4235789186614</v>
      </c>
      <c r="K448">
        <v>4433.4235789186614</v>
      </c>
      <c r="L448">
        <v>4433.4235789186614</v>
      </c>
      <c r="M448">
        <v>4433.4235789186614</v>
      </c>
      <c r="N448">
        <v>4433.4235789186614</v>
      </c>
      <c r="O448">
        <v>4433.4235789186614</v>
      </c>
      <c r="P448">
        <v>4433.4235789186614</v>
      </c>
      <c r="Q448">
        <v>4433.4235789186614</v>
      </c>
      <c r="R448">
        <v>4433.4235789186614</v>
      </c>
      <c r="S448">
        <v>4433.4235789186614</v>
      </c>
      <c r="T448">
        <v>4433.4235789186614</v>
      </c>
      <c r="U448">
        <v>4433.4235789186614</v>
      </c>
      <c r="V448">
        <v>4433.4235789186614</v>
      </c>
      <c r="W448">
        <v>4433.4235789186614</v>
      </c>
      <c r="X448">
        <v>4433.4235789186614</v>
      </c>
      <c r="Y448">
        <v>4433.4235789186614</v>
      </c>
      <c r="Z448">
        <v>4433.4235789186614</v>
      </c>
      <c r="AA448">
        <v>4433.4235789186614</v>
      </c>
      <c r="AB448">
        <v>4433.4235789186614</v>
      </c>
      <c r="AC448">
        <v>4433.4235789186614</v>
      </c>
      <c r="AD448">
        <v>4433.4235789186614</v>
      </c>
      <c r="AE448">
        <v>4433.4235789186614</v>
      </c>
      <c r="AF448">
        <v>4433.4235789186614</v>
      </c>
      <c r="AG448">
        <v>4433.4235789186614</v>
      </c>
      <c r="AH448">
        <v>4433.4235789186614</v>
      </c>
      <c r="AI448">
        <v>4433.4235789186614</v>
      </c>
      <c r="AJ448">
        <v>4433.4235789186614</v>
      </c>
    </row>
    <row r="449" spans="1:36" x14ac:dyDescent="0.35">
      <c r="A449" t="s">
        <v>2033</v>
      </c>
      <c r="B449" t="s">
        <v>1342</v>
      </c>
      <c r="C449" t="s">
        <v>1350</v>
      </c>
      <c r="D449" t="s">
        <v>555</v>
      </c>
      <c r="E449" t="s">
        <v>1989</v>
      </c>
      <c r="F449" t="s">
        <v>2030</v>
      </c>
      <c r="G449" t="s">
        <v>2031</v>
      </c>
      <c r="H449">
        <v>4433.4235789186614</v>
      </c>
      <c r="I449">
        <v>4433.4235789186614</v>
      </c>
      <c r="J449">
        <v>4433.4235789186614</v>
      </c>
      <c r="K449">
        <v>4433.4235789186614</v>
      </c>
      <c r="L449">
        <v>4433.4235789186614</v>
      </c>
      <c r="M449">
        <v>4433.4235789186614</v>
      </c>
      <c r="N449">
        <v>4433.4235789186614</v>
      </c>
      <c r="O449">
        <v>4433.4235789186614</v>
      </c>
      <c r="P449">
        <v>4433.4235789186614</v>
      </c>
      <c r="Q449">
        <v>4433.4235789186614</v>
      </c>
      <c r="R449">
        <v>4433.4235789186614</v>
      </c>
      <c r="S449">
        <v>4433.4235789186614</v>
      </c>
      <c r="T449">
        <v>4433.4235789186614</v>
      </c>
      <c r="U449">
        <v>4433.4235789186614</v>
      </c>
      <c r="V449">
        <v>4433.4235789186614</v>
      </c>
      <c r="W449">
        <v>4433.4235789186614</v>
      </c>
      <c r="X449">
        <v>4433.4235789186614</v>
      </c>
      <c r="Y449">
        <v>4433.4235789186614</v>
      </c>
      <c r="Z449">
        <v>4433.4235789186614</v>
      </c>
      <c r="AA449">
        <v>4433.4235789186614</v>
      </c>
      <c r="AB449">
        <v>4433.4235789186614</v>
      </c>
      <c r="AC449">
        <v>4433.4235789186614</v>
      </c>
      <c r="AD449">
        <v>4433.4235789186614</v>
      </c>
      <c r="AE449">
        <v>4433.4235789186614</v>
      </c>
      <c r="AF449">
        <v>4433.4235789186614</v>
      </c>
      <c r="AG449">
        <v>4433.4235789186614</v>
      </c>
      <c r="AH449">
        <v>4433.4235789186614</v>
      </c>
      <c r="AI449">
        <v>4433.4235789186614</v>
      </c>
      <c r="AJ449">
        <v>4433.4235789186614</v>
      </c>
    </row>
    <row r="450" spans="1:36" x14ac:dyDescent="0.35">
      <c r="A450" t="s">
        <v>2034</v>
      </c>
      <c r="B450" t="s">
        <v>1342</v>
      </c>
      <c r="C450" t="s">
        <v>1343</v>
      </c>
      <c r="D450" t="s">
        <v>555</v>
      </c>
      <c r="E450" t="s">
        <v>1989</v>
      </c>
      <c r="F450" t="s">
        <v>2035</v>
      </c>
      <c r="G450" t="s">
        <v>2036</v>
      </c>
      <c r="H450">
        <v>4506.8185144170166</v>
      </c>
      <c r="I450">
        <v>4461.2950950794702</v>
      </c>
      <c r="J450">
        <v>4415.7716757419257</v>
      </c>
      <c r="K450">
        <v>4415.7716757419257</v>
      </c>
      <c r="L450">
        <v>4370.2482564043794</v>
      </c>
      <c r="M450">
        <v>4370.2482564043794</v>
      </c>
      <c r="N450">
        <v>4324.724837066834</v>
      </c>
      <c r="O450">
        <v>4279.2014177292886</v>
      </c>
      <c r="P450">
        <v>4279.2014177292886</v>
      </c>
      <c r="Q450">
        <v>4233.677998391744</v>
      </c>
      <c r="R450">
        <v>4233.677998391744</v>
      </c>
      <c r="S450">
        <v>4188.1545790541977</v>
      </c>
      <c r="T450">
        <v>4188.1545790541977</v>
      </c>
      <c r="U450">
        <v>4142.6311597166514</v>
      </c>
      <c r="V450">
        <v>4142.6311597166514</v>
      </c>
      <c r="W450">
        <v>4142.6311597166514</v>
      </c>
      <c r="X450">
        <v>4097.107740379106</v>
      </c>
      <c r="Y450">
        <v>4097.107740379106</v>
      </c>
      <c r="Z450">
        <v>4097.107740379106</v>
      </c>
      <c r="AA450">
        <v>4097.107740379106</v>
      </c>
      <c r="AB450">
        <v>4051.5843210415605</v>
      </c>
      <c r="AC450">
        <v>4051.5843210415605</v>
      </c>
      <c r="AD450">
        <v>4051.5843210415605</v>
      </c>
      <c r="AE450">
        <v>4051.5843210415605</v>
      </c>
      <c r="AF450">
        <v>4051.5843210415605</v>
      </c>
      <c r="AG450">
        <v>4006.0609017040142</v>
      </c>
      <c r="AH450">
        <v>4006.0609017040142</v>
      </c>
      <c r="AI450">
        <v>4006.0609017040142</v>
      </c>
      <c r="AJ450">
        <v>4006.0609017040142</v>
      </c>
    </row>
    <row r="451" spans="1:36" x14ac:dyDescent="0.35">
      <c r="A451" t="s">
        <v>2037</v>
      </c>
      <c r="B451" t="s">
        <v>1342</v>
      </c>
      <c r="C451" t="s">
        <v>1348</v>
      </c>
      <c r="D451" t="s">
        <v>555</v>
      </c>
      <c r="E451" t="s">
        <v>1989</v>
      </c>
      <c r="F451" t="s">
        <v>2035</v>
      </c>
      <c r="G451" t="s">
        <v>2036</v>
      </c>
      <c r="H451">
        <v>4506.8185144170166</v>
      </c>
      <c r="I451">
        <v>4506.8185144170166</v>
      </c>
      <c r="J451">
        <v>4506.8185144170166</v>
      </c>
      <c r="K451">
        <v>4506.8185144170166</v>
      </c>
      <c r="L451">
        <v>4506.8185144170166</v>
      </c>
      <c r="M451">
        <v>4506.8185144170166</v>
      </c>
      <c r="N451">
        <v>4506.8185144170166</v>
      </c>
      <c r="O451">
        <v>4506.8185144170166</v>
      </c>
      <c r="P451">
        <v>4506.8185144170166</v>
      </c>
      <c r="Q451">
        <v>4506.8185144170166</v>
      </c>
      <c r="R451">
        <v>4506.8185144170166</v>
      </c>
      <c r="S451">
        <v>4506.8185144170166</v>
      </c>
      <c r="T451">
        <v>4506.8185144170166</v>
      </c>
      <c r="U451">
        <v>4506.8185144170166</v>
      </c>
      <c r="V451">
        <v>4506.8185144170166</v>
      </c>
      <c r="W451">
        <v>4506.8185144170166</v>
      </c>
      <c r="X451">
        <v>4506.8185144170166</v>
      </c>
      <c r="Y451">
        <v>4506.8185144170166</v>
      </c>
      <c r="Z451">
        <v>4506.8185144170166</v>
      </c>
      <c r="AA451">
        <v>4506.8185144170166</v>
      </c>
      <c r="AB451">
        <v>4506.8185144170166</v>
      </c>
      <c r="AC451">
        <v>4506.8185144170166</v>
      </c>
      <c r="AD451">
        <v>4506.8185144170166</v>
      </c>
      <c r="AE451">
        <v>4506.8185144170166</v>
      </c>
      <c r="AF451">
        <v>4506.8185144170166</v>
      </c>
      <c r="AG451">
        <v>4506.8185144170166</v>
      </c>
      <c r="AH451">
        <v>4506.8185144170166</v>
      </c>
      <c r="AI451">
        <v>4506.8185144170166</v>
      </c>
      <c r="AJ451">
        <v>4506.8185144170166</v>
      </c>
    </row>
    <row r="452" spans="1:36" x14ac:dyDescent="0.35">
      <c r="A452" t="s">
        <v>2038</v>
      </c>
      <c r="B452" t="s">
        <v>1342</v>
      </c>
      <c r="C452" t="s">
        <v>1350</v>
      </c>
      <c r="D452" t="s">
        <v>555</v>
      </c>
      <c r="E452" t="s">
        <v>1989</v>
      </c>
      <c r="F452" t="s">
        <v>2035</v>
      </c>
      <c r="G452" t="s">
        <v>2036</v>
      </c>
      <c r="H452">
        <v>4506.8185144170166</v>
      </c>
      <c r="I452">
        <v>4506.8185144170166</v>
      </c>
      <c r="J452">
        <v>4506.8185144170166</v>
      </c>
      <c r="K452">
        <v>4506.8185144170166</v>
      </c>
      <c r="L452">
        <v>4506.8185144170166</v>
      </c>
      <c r="M452">
        <v>4506.8185144170166</v>
      </c>
      <c r="N452">
        <v>4506.8185144170166</v>
      </c>
      <c r="O452">
        <v>4506.8185144170166</v>
      </c>
      <c r="P452">
        <v>4506.8185144170166</v>
      </c>
      <c r="Q452">
        <v>4506.8185144170166</v>
      </c>
      <c r="R452">
        <v>4506.8185144170166</v>
      </c>
      <c r="S452">
        <v>4506.8185144170166</v>
      </c>
      <c r="T452">
        <v>4506.8185144170166</v>
      </c>
      <c r="U452">
        <v>4506.8185144170166</v>
      </c>
      <c r="V452">
        <v>4506.8185144170166</v>
      </c>
      <c r="W452">
        <v>4506.8185144170166</v>
      </c>
      <c r="X452">
        <v>4506.8185144170166</v>
      </c>
      <c r="Y452">
        <v>4506.8185144170166</v>
      </c>
      <c r="Z452">
        <v>4506.8185144170166</v>
      </c>
      <c r="AA452">
        <v>4506.8185144170166</v>
      </c>
      <c r="AB452">
        <v>4506.8185144170166</v>
      </c>
      <c r="AC452">
        <v>4506.8185144170166</v>
      </c>
      <c r="AD452">
        <v>4506.8185144170166</v>
      </c>
      <c r="AE452">
        <v>4506.8185144170166</v>
      </c>
      <c r="AF452">
        <v>4506.8185144170166</v>
      </c>
      <c r="AG452">
        <v>4506.8185144170166</v>
      </c>
      <c r="AH452">
        <v>4506.8185144170166</v>
      </c>
      <c r="AI452">
        <v>4506.8185144170166</v>
      </c>
      <c r="AJ452">
        <v>4506.8185144170166</v>
      </c>
    </row>
    <row r="453" spans="1:36" x14ac:dyDescent="0.35">
      <c r="A453" t="s">
        <v>1988</v>
      </c>
      <c r="B453" t="s">
        <v>1342</v>
      </c>
      <c r="C453" t="s">
        <v>1343</v>
      </c>
      <c r="D453" t="s">
        <v>555</v>
      </c>
      <c r="E453" t="s">
        <v>1989</v>
      </c>
      <c r="F453" t="s">
        <v>2039</v>
      </c>
      <c r="G453" t="s">
        <v>2040</v>
      </c>
      <c r="H453">
        <v>4573.6771037049248</v>
      </c>
      <c r="I453">
        <v>4527.4783450816421</v>
      </c>
      <c r="J453">
        <v>4481.2795864583613</v>
      </c>
      <c r="K453">
        <v>4481.2795864583613</v>
      </c>
      <c r="L453">
        <v>4435.0808278350787</v>
      </c>
      <c r="M453">
        <v>4435.0808278350787</v>
      </c>
      <c r="N453">
        <v>4388.882069211797</v>
      </c>
      <c r="O453">
        <v>4342.6833105885144</v>
      </c>
      <c r="P453">
        <v>4342.6833105885144</v>
      </c>
      <c r="Q453">
        <v>4296.4845519652335</v>
      </c>
      <c r="R453">
        <v>4296.4845519652335</v>
      </c>
      <c r="S453">
        <v>4250.2857933419509</v>
      </c>
      <c r="T453">
        <v>4250.2857933419509</v>
      </c>
      <c r="U453">
        <v>4204.0870347186692</v>
      </c>
      <c r="V453">
        <v>4204.0870347186692</v>
      </c>
      <c r="W453">
        <v>4204.0870347186692</v>
      </c>
      <c r="X453">
        <v>4157.8882760953866</v>
      </c>
      <c r="Y453">
        <v>4157.8882760953866</v>
      </c>
      <c r="Z453">
        <v>4157.8882760953866</v>
      </c>
      <c r="AA453">
        <v>4157.8882760953866</v>
      </c>
      <c r="AB453">
        <v>4111.6895174721049</v>
      </c>
      <c r="AC453">
        <v>4111.6895174721049</v>
      </c>
      <c r="AD453">
        <v>4111.6895174721049</v>
      </c>
      <c r="AE453">
        <v>4111.6895174721049</v>
      </c>
      <c r="AF453">
        <v>4111.6895174721049</v>
      </c>
      <c r="AG453">
        <v>4065.4907588488222</v>
      </c>
      <c r="AH453">
        <v>4065.4907588488222</v>
      </c>
      <c r="AI453">
        <v>4065.4907588488222</v>
      </c>
      <c r="AJ453">
        <v>4065.4907588488222</v>
      </c>
    </row>
    <row r="454" spans="1:36" x14ac:dyDescent="0.35">
      <c r="A454" t="s">
        <v>1992</v>
      </c>
      <c r="B454" t="s">
        <v>1342</v>
      </c>
      <c r="C454" t="s">
        <v>1348</v>
      </c>
      <c r="D454" t="s">
        <v>555</v>
      </c>
      <c r="E454" t="s">
        <v>1989</v>
      </c>
      <c r="F454" t="s">
        <v>2039</v>
      </c>
      <c r="G454" t="s">
        <v>2040</v>
      </c>
      <c r="H454">
        <v>4573.6771037049248</v>
      </c>
      <c r="I454">
        <v>4573.6771037049248</v>
      </c>
      <c r="J454">
        <v>4573.6771037049248</v>
      </c>
      <c r="K454">
        <v>4573.6771037049248</v>
      </c>
      <c r="L454">
        <v>4573.6771037049248</v>
      </c>
      <c r="M454">
        <v>4573.6771037049248</v>
      </c>
      <c r="N454">
        <v>4573.6771037049248</v>
      </c>
      <c r="O454">
        <v>4573.6771037049248</v>
      </c>
      <c r="P454">
        <v>4573.6771037049248</v>
      </c>
      <c r="Q454">
        <v>4573.6771037049248</v>
      </c>
      <c r="R454">
        <v>4573.6771037049248</v>
      </c>
      <c r="S454">
        <v>4573.6771037049248</v>
      </c>
      <c r="T454">
        <v>4573.6771037049248</v>
      </c>
      <c r="U454">
        <v>4573.6771037049248</v>
      </c>
      <c r="V454">
        <v>4573.6771037049248</v>
      </c>
      <c r="W454">
        <v>4573.6771037049248</v>
      </c>
      <c r="X454">
        <v>4573.6771037049248</v>
      </c>
      <c r="Y454">
        <v>4573.6771037049248</v>
      </c>
      <c r="Z454">
        <v>4573.6771037049248</v>
      </c>
      <c r="AA454">
        <v>4573.6771037049248</v>
      </c>
      <c r="AB454">
        <v>4573.6771037049248</v>
      </c>
      <c r="AC454">
        <v>4573.6771037049248</v>
      </c>
      <c r="AD454">
        <v>4573.6771037049248</v>
      </c>
      <c r="AE454">
        <v>4573.6771037049248</v>
      </c>
      <c r="AF454">
        <v>4573.6771037049248</v>
      </c>
      <c r="AG454">
        <v>4573.6771037049248</v>
      </c>
      <c r="AH454">
        <v>4573.6771037049248</v>
      </c>
      <c r="AI454">
        <v>4573.6771037049248</v>
      </c>
      <c r="AJ454">
        <v>4573.6771037049248</v>
      </c>
    </row>
    <row r="455" spans="1:36" x14ac:dyDescent="0.35">
      <c r="A455" t="s">
        <v>1993</v>
      </c>
      <c r="B455" t="s">
        <v>1342</v>
      </c>
      <c r="C455" t="s">
        <v>1350</v>
      </c>
      <c r="D455" t="s">
        <v>555</v>
      </c>
      <c r="E455" t="s">
        <v>1989</v>
      </c>
      <c r="F455" t="s">
        <v>2039</v>
      </c>
      <c r="G455" t="s">
        <v>2040</v>
      </c>
      <c r="H455">
        <v>4573.6771037049248</v>
      </c>
      <c r="I455">
        <v>4573.6771037049248</v>
      </c>
      <c r="J455">
        <v>4573.6771037049248</v>
      </c>
      <c r="K455">
        <v>4573.6771037049248</v>
      </c>
      <c r="L455">
        <v>4573.6771037049248</v>
      </c>
      <c r="M455">
        <v>4573.6771037049248</v>
      </c>
      <c r="N455">
        <v>4573.6771037049248</v>
      </c>
      <c r="O455">
        <v>4573.6771037049248</v>
      </c>
      <c r="P455">
        <v>4573.6771037049248</v>
      </c>
      <c r="Q455">
        <v>4573.6771037049248</v>
      </c>
      <c r="R455">
        <v>4573.6771037049248</v>
      </c>
      <c r="S455">
        <v>4573.6771037049248</v>
      </c>
      <c r="T455">
        <v>4573.6771037049248</v>
      </c>
      <c r="U455">
        <v>4573.6771037049248</v>
      </c>
      <c r="V455">
        <v>4573.6771037049248</v>
      </c>
      <c r="W455">
        <v>4573.6771037049248</v>
      </c>
      <c r="X455">
        <v>4573.6771037049248</v>
      </c>
      <c r="Y455">
        <v>4573.6771037049248</v>
      </c>
      <c r="Z455">
        <v>4573.6771037049248</v>
      </c>
      <c r="AA455">
        <v>4573.6771037049248</v>
      </c>
      <c r="AB455">
        <v>4573.6771037049248</v>
      </c>
      <c r="AC455">
        <v>4573.6771037049248</v>
      </c>
      <c r="AD455">
        <v>4573.6771037049248</v>
      </c>
      <c r="AE455">
        <v>4573.6771037049248</v>
      </c>
      <c r="AF455">
        <v>4573.6771037049248</v>
      </c>
      <c r="AG455">
        <v>4573.6771037049248</v>
      </c>
      <c r="AH455">
        <v>4573.6771037049248</v>
      </c>
      <c r="AI455">
        <v>4573.6771037049248</v>
      </c>
      <c r="AJ455">
        <v>4573.6771037049248</v>
      </c>
    </row>
    <row r="456" spans="1:36" x14ac:dyDescent="0.35">
      <c r="A456" t="s">
        <v>1994</v>
      </c>
      <c r="B456" t="s">
        <v>1342</v>
      </c>
      <c r="C456" t="s">
        <v>1343</v>
      </c>
      <c r="D456" t="s">
        <v>555</v>
      </c>
      <c r="E456" t="s">
        <v>1989</v>
      </c>
      <c r="F456" t="s">
        <v>2041</v>
      </c>
      <c r="G456" t="s">
        <v>2042</v>
      </c>
      <c r="H456">
        <v>4633.7433457018269</v>
      </c>
      <c r="I456">
        <v>4586.9378573614049</v>
      </c>
      <c r="J456">
        <v>4540.1323690209838</v>
      </c>
      <c r="K456">
        <v>4540.1323690209838</v>
      </c>
      <c r="L456">
        <v>4493.32688068056</v>
      </c>
      <c r="M456">
        <v>4493.32688068056</v>
      </c>
      <c r="N456">
        <v>4446.521392340137</v>
      </c>
      <c r="O456">
        <v>4399.715903999715</v>
      </c>
      <c r="P456">
        <v>4399.715903999715</v>
      </c>
      <c r="Q456">
        <v>4352.910415659293</v>
      </c>
      <c r="R456">
        <v>4352.910415659293</v>
      </c>
      <c r="S456">
        <v>4306.1049273188692</v>
      </c>
      <c r="T456">
        <v>4306.1049273188692</v>
      </c>
      <c r="U456">
        <v>4259.2994389784481</v>
      </c>
      <c r="V456">
        <v>4259.2994389784481</v>
      </c>
      <c r="W456">
        <v>4259.2994389784481</v>
      </c>
      <c r="X456">
        <v>4212.4939506380251</v>
      </c>
      <c r="Y456">
        <v>4212.4939506380251</v>
      </c>
      <c r="Z456">
        <v>4212.4939506380251</v>
      </c>
      <c r="AA456">
        <v>4212.4939506380251</v>
      </c>
      <c r="AB456">
        <v>4165.6884622976031</v>
      </c>
      <c r="AC456">
        <v>4165.6884622976031</v>
      </c>
      <c r="AD456">
        <v>4165.6884622976031</v>
      </c>
      <c r="AE456">
        <v>4165.6884622976031</v>
      </c>
      <c r="AF456">
        <v>4165.6884622976031</v>
      </c>
      <c r="AG456">
        <v>4118.8829739571802</v>
      </c>
      <c r="AH456">
        <v>4118.8829739571802</v>
      </c>
      <c r="AI456">
        <v>4118.8829739571802</v>
      </c>
      <c r="AJ456">
        <v>4118.8829739571802</v>
      </c>
    </row>
    <row r="457" spans="1:36" x14ac:dyDescent="0.35">
      <c r="A457" t="s">
        <v>1997</v>
      </c>
      <c r="B457" t="s">
        <v>1342</v>
      </c>
      <c r="C457" t="s">
        <v>1348</v>
      </c>
      <c r="D457" t="s">
        <v>555</v>
      </c>
      <c r="E457" t="s">
        <v>1989</v>
      </c>
      <c r="F457" t="s">
        <v>2041</v>
      </c>
      <c r="G457" t="s">
        <v>2042</v>
      </c>
      <c r="H457">
        <v>4633.7433457018269</v>
      </c>
      <c r="I457">
        <v>4633.7433457018269</v>
      </c>
      <c r="J457">
        <v>4633.7433457018269</v>
      </c>
      <c r="K457">
        <v>4633.7433457018269</v>
      </c>
      <c r="L457">
        <v>4633.7433457018269</v>
      </c>
      <c r="M457">
        <v>4633.7433457018269</v>
      </c>
      <c r="N457">
        <v>4633.7433457018269</v>
      </c>
      <c r="O457">
        <v>4633.7433457018269</v>
      </c>
      <c r="P457">
        <v>4633.7433457018269</v>
      </c>
      <c r="Q457">
        <v>4633.7433457018269</v>
      </c>
      <c r="R457">
        <v>4633.7433457018269</v>
      </c>
      <c r="S457">
        <v>4633.7433457018269</v>
      </c>
      <c r="T457">
        <v>4633.7433457018269</v>
      </c>
      <c r="U457">
        <v>4633.7433457018269</v>
      </c>
      <c r="V457">
        <v>4633.7433457018269</v>
      </c>
      <c r="W457">
        <v>4633.7433457018269</v>
      </c>
      <c r="X457">
        <v>4633.7433457018269</v>
      </c>
      <c r="Y457">
        <v>4633.7433457018269</v>
      </c>
      <c r="Z457">
        <v>4633.7433457018269</v>
      </c>
      <c r="AA457">
        <v>4633.7433457018269</v>
      </c>
      <c r="AB457">
        <v>4633.7433457018269</v>
      </c>
      <c r="AC457">
        <v>4633.7433457018269</v>
      </c>
      <c r="AD457">
        <v>4633.7433457018269</v>
      </c>
      <c r="AE457">
        <v>4633.7433457018269</v>
      </c>
      <c r="AF457">
        <v>4633.7433457018269</v>
      </c>
      <c r="AG457">
        <v>4633.7433457018269</v>
      </c>
      <c r="AH457">
        <v>4633.7433457018269</v>
      </c>
      <c r="AI457">
        <v>4633.7433457018269</v>
      </c>
      <c r="AJ457">
        <v>4633.7433457018269</v>
      </c>
    </row>
    <row r="458" spans="1:36" x14ac:dyDescent="0.35">
      <c r="A458" t="s">
        <v>1998</v>
      </c>
      <c r="B458" t="s">
        <v>1342</v>
      </c>
      <c r="C458" t="s">
        <v>1350</v>
      </c>
      <c r="D458" t="s">
        <v>555</v>
      </c>
      <c r="E458" t="s">
        <v>1989</v>
      </c>
      <c r="F458" t="s">
        <v>2041</v>
      </c>
      <c r="G458" t="s">
        <v>2042</v>
      </c>
      <c r="H458">
        <v>4633.7433457018269</v>
      </c>
      <c r="I458">
        <v>4633.7433457018269</v>
      </c>
      <c r="J458">
        <v>4633.7433457018269</v>
      </c>
      <c r="K458">
        <v>4633.7433457018269</v>
      </c>
      <c r="L458">
        <v>4633.7433457018269</v>
      </c>
      <c r="M458">
        <v>4633.7433457018269</v>
      </c>
      <c r="N458">
        <v>4633.7433457018269</v>
      </c>
      <c r="O458">
        <v>4633.7433457018269</v>
      </c>
      <c r="P458">
        <v>4633.7433457018269</v>
      </c>
      <c r="Q458">
        <v>4633.7433457018269</v>
      </c>
      <c r="R458">
        <v>4633.7433457018269</v>
      </c>
      <c r="S458">
        <v>4633.7433457018269</v>
      </c>
      <c r="T458">
        <v>4633.7433457018269</v>
      </c>
      <c r="U458">
        <v>4633.7433457018269</v>
      </c>
      <c r="V458">
        <v>4633.7433457018269</v>
      </c>
      <c r="W458">
        <v>4633.7433457018269</v>
      </c>
      <c r="X458">
        <v>4633.7433457018269</v>
      </c>
      <c r="Y458">
        <v>4633.7433457018269</v>
      </c>
      <c r="Z458">
        <v>4633.7433457018269</v>
      </c>
      <c r="AA458">
        <v>4633.7433457018269</v>
      </c>
      <c r="AB458">
        <v>4633.7433457018269</v>
      </c>
      <c r="AC458">
        <v>4633.7433457018269</v>
      </c>
      <c r="AD458">
        <v>4633.7433457018269</v>
      </c>
      <c r="AE458">
        <v>4633.7433457018269</v>
      </c>
      <c r="AF458">
        <v>4633.7433457018269</v>
      </c>
      <c r="AG458">
        <v>4633.7433457018269</v>
      </c>
      <c r="AH458">
        <v>4633.7433457018269</v>
      </c>
      <c r="AI458">
        <v>4633.7433457018269</v>
      </c>
      <c r="AJ458">
        <v>4633.7433457018269</v>
      </c>
    </row>
    <row r="459" spans="1:36" x14ac:dyDescent="0.35">
      <c r="A459" t="s">
        <v>1999</v>
      </c>
      <c r="B459" t="s">
        <v>1342</v>
      </c>
      <c r="C459" t="s">
        <v>1343</v>
      </c>
      <c r="D459" t="s">
        <v>555</v>
      </c>
      <c r="E459" t="s">
        <v>1989</v>
      </c>
      <c r="F459" t="s">
        <v>2043</v>
      </c>
      <c r="G459" t="s">
        <v>2044</v>
      </c>
      <c r="H459">
        <v>4688.9559918635659</v>
      </c>
      <c r="I459">
        <v>4641.5928000265603</v>
      </c>
      <c r="J459">
        <v>4594.2296081895556</v>
      </c>
      <c r="K459">
        <v>4594.2296081895556</v>
      </c>
      <c r="L459">
        <v>4546.8664163525491</v>
      </c>
      <c r="M459">
        <v>4546.8664163525491</v>
      </c>
      <c r="N459">
        <v>4499.5032245155435</v>
      </c>
      <c r="O459">
        <v>4452.1400326785379</v>
      </c>
      <c r="P459">
        <v>4452.1400326785379</v>
      </c>
      <c r="Q459">
        <v>4404.7768408415322</v>
      </c>
      <c r="R459">
        <v>4404.7768408415322</v>
      </c>
      <c r="S459">
        <v>4357.4136490045266</v>
      </c>
      <c r="T459">
        <v>4357.4136490045266</v>
      </c>
      <c r="U459">
        <v>4310.050457167521</v>
      </c>
      <c r="V459">
        <v>4310.050457167521</v>
      </c>
      <c r="W459">
        <v>4310.050457167521</v>
      </c>
      <c r="X459">
        <v>4262.6872653305154</v>
      </c>
      <c r="Y459">
        <v>4262.6872653305154</v>
      </c>
      <c r="Z459">
        <v>4262.6872653305154</v>
      </c>
      <c r="AA459">
        <v>4262.6872653305154</v>
      </c>
      <c r="AB459">
        <v>4215.3240734935098</v>
      </c>
      <c r="AC459">
        <v>4215.3240734935098</v>
      </c>
      <c r="AD459">
        <v>4215.3240734935098</v>
      </c>
      <c r="AE459">
        <v>4215.3240734935098</v>
      </c>
      <c r="AF459">
        <v>4215.3240734935098</v>
      </c>
      <c r="AG459">
        <v>4167.9608816565033</v>
      </c>
      <c r="AH459">
        <v>4167.9608816565033</v>
      </c>
      <c r="AI459">
        <v>4167.9608816565033</v>
      </c>
      <c r="AJ459">
        <v>4167.9608816565033</v>
      </c>
    </row>
    <row r="460" spans="1:36" x14ac:dyDescent="0.35">
      <c r="A460" t="s">
        <v>2002</v>
      </c>
      <c r="B460" t="s">
        <v>1342</v>
      </c>
      <c r="C460" t="s">
        <v>1348</v>
      </c>
      <c r="D460" t="s">
        <v>555</v>
      </c>
      <c r="E460" t="s">
        <v>1989</v>
      </c>
      <c r="F460" t="s">
        <v>2043</v>
      </c>
      <c r="G460" t="s">
        <v>2044</v>
      </c>
      <c r="H460">
        <v>4688.9559918635659</v>
      </c>
      <c r="I460">
        <v>4688.9559918635659</v>
      </c>
      <c r="J460">
        <v>4688.9559918635659</v>
      </c>
      <c r="K460">
        <v>4688.9559918635659</v>
      </c>
      <c r="L460">
        <v>4688.9559918635659</v>
      </c>
      <c r="M460">
        <v>4688.9559918635659</v>
      </c>
      <c r="N460">
        <v>4688.9559918635659</v>
      </c>
      <c r="O460">
        <v>4688.9559918635659</v>
      </c>
      <c r="P460">
        <v>4688.9559918635659</v>
      </c>
      <c r="Q460">
        <v>4688.9559918635659</v>
      </c>
      <c r="R460">
        <v>4688.9559918635659</v>
      </c>
      <c r="S460">
        <v>4688.9559918635659</v>
      </c>
      <c r="T460">
        <v>4688.9559918635659</v>
      </c>
      <c r="U460">
        <v>4688.9559918635659</v>
      </c>
      <c r="V460">
        <v>4688.9559918635659</v>
      </c>
      <c r="W460">
        <v>4688.9559918635659</v>
      </c>
      <c r="X460">
        <v>4688.9559918635659</v>
      </c>
      <c r="Y460">
        <v>4688.9559918635659</v>
      </c>
      <c r="Z460">
        <v>4688.9559918635659</v>
      </c>
      <c r="AA460">
        <v>4688.9559918635659</v>
      </c>
      <c r="AB460">
        <v>4688.9559918635659</v>
      </c>
      <c r="AC460">
        <v>4688.9559918635659</v>
      </c>
      <c r="AD460">
        <v>4688.9559918635659</v>
      </c>
      <c r="AE460">
        <v>4688.9559918635659</v>
      </c>
      <c r="AF460">
        <v>4688.9559918635659</v>
      </c>
      <c r="AG460">
        <v>4688.9559918635659</v>
      </c>
      <c r="AH460">
        <v>4688.9559918635659</v>
      </c>
      <c r="AI460">
        <v>4688.9559918635659</v>
      </c>
      <c r="AJ460">
        <v>4688.9559918635659</v>
      </c>
    </row>
    <row r="461" spans="1:36" x14ac:dyDescent="0.35">
      <c r="A461" t="s">
        <v>2003</v>
      </c>
      <c r="B461" t="s">
        <v>1342</v>
      </c>
      <c r="C461" t="s">
        <v>1350</v>
      </c>
      <c r="D461" t="s">
        <v>555</v>
      </c>
      <c r="E461" t="s">
        <v>1989</v>
      </c>
      <c r="F461" t="s">
        <v>2043</v>
      </c>
      <c r="G461" t="s">
        <v>2044</v>
      </c>
      <c r="H461">
        <v>4688.9559918635659</v>
      </c>
      <c r="I461">
        <v>4688.9559918635659</v>
      </c>
      <c r="J461">
        <v>4688.9559918635659</v>
      </c>
      <c r="K461">
        <v>4688.9559918635659</v>
      </c>
      <c r="L461">
        <v>4688.9559918635659</v>
      </c>
      <c r="M461">
        <v>4688.9559918635659</v>
      </c>
      <c r="N461">
        <v>4688.9559918635659</v>
      </c>
      <c r="O461">
        <v>4688.9559918635659</v>
      </c>
      <c r="P461">
        <v>4688.9559918635659</v>
      </c>
      <c r="Q461">
        <v>4688.9559918635659</v>
      </c>
      <c r="R461">
        <v>4688.9559918635659</v>
      </c>
      <c r="S461">
        <v>4688.9559918635659</v>
      </c>
      <c r="T461">
        <v>4688.9559918635659</v>
      </c>
      <c r="U461">
        <v>4688.9559918635659</v>
      </c>
      <c r="V461">
        <v>4688.9559918635659</v>
      </c>
      <c r="W461">
        <v>4688.9559918635659</v>
      </c>
      <c r="X461">
        <v>4688.9559918635659</v>
      </c>
      <c r="Y461">
        <v>4688.9559918635659</v>
      </c>
      <c r="Z461">
        <v>4688.9559918635659</v>
      </c>
      <c r="AA461">
        <v>4688.9559918635659</v>
      </c>
      <c r="AB461">
        <v>4688.9559918635659</v>
      </c>
      <c r="AC461">
        <v>4688.9559918635659</v>
      </c>
      <c r="AD461">
        <v>4688.9559918635659</v>
      </c>
      <c r="AE461">
        <v>4688.9559918635659</v>
      </c>
      <c r="AF461">
        <v>4688.9559918635659</v>
      </c>
      <c r="AG461">
        <v>4688.9559918635659</v>
      </c>
      <c r="AH461">
        <v>4688.9559918635659</v>
      </c>
      <c r="AI461">
        <v>4688.9559918635659</v>
      </c>
      <c r="AJ461">
        <v>4688.9559918635659</v>
      </c>
    </row>
    <row r="462" spans="1:36" x14ac:dyDescent="0.35">
      <c r="A462" t="s">
        <v>2004</v>
      </c>
      <c r="B462" t="s">
        <v>1342</v>
      </c>
      <c r="C462" t="s">
        <v>1343</v>
      </c>
      <c r="D462" t="s">
        <v>555</v>
      </c>
      <c r="E462" t="s">
        <v>1989</v>
      </c>
      <c r="F462" t="s">
        <v>2045</v>
      </c>
      <c r="G462" t="s">
        <v>2046</v>
      </c>
      <c r="H462">
        <v>4740.9236240509908</v>
      </c>
      <c r="I462">
        <v>4693.0355066363345</v>
      </c>
      <c r="J462">
        <v>4645.1473892216791</v>
      </c>
      <c r="K462">
        <v>4645.1473892216791</v>
      </c>
      <c r="L462">
        <v>4597.2592718070218</v>
      </c>
      <c r="M462">
        <v>4597.2592718070218</v>
      </c>
      <c r="N462">
        <v>4549.3711543923646</v>
      </c>
      <c r="O462">
        <v>4501.4830369777092</v>
      </c>
      <c r="P462">
        <v>4501.4830369777092</v>
      </c>
      <c r="Q462">
        <v>4453.5949195630528</v>
      </c>
      <c r="R462">
        <v>4453.5949195630528</v>
      </c>
      <c r="S462">
        <v>4405.7068021483956</v>
      </c>
      <c r="T462">
        <v>4405.7068021483956</v>
      </c>
      <c r="U462">
        <v>4357.8186847337392</v>
      </c>
      <c r="V462">
        <v>4357.8186847337392</v>
      </c>
      <c r="W462">
        <v>4357.8186847337392</v>
      </c>
      <c r="X462">
        <v>4309.9305673190838</v>
      </c>
      <c r="Y462">
        <v>4309.9305673190838</v>
      </c>
      <c r="Z462">
        <v>4309.9305673190838</v>
      </c>
      <c r="AA462">
        <v>4309.9305673190838</v>
      </c>
      <c r="AB462">
        <v>4262.0424499044266</v>
      </c>
      <c r="AC462">
        <v>4262.0424499044266</v>
      </c>
      <c r="AD462">
        <v>4262.0424499044266</v>
      </c>
      <c r="AE462">
        <v>4262.0424499044266</v>
      </c>
      <c r="AF462">
        <v>4262.0424499044266</v>
      </c>
      <c r="AG462">
        <v>4214.1543324897702</v>
      </c>
      <c r="AH462">
        <v>4214.1543324897702</v>
      </c>
      <c r="AI462">
        <v>4214.1543324897702</v>
      </c>
      <c r="AJ462">
        <v>4214.1543324897702</v>
      </c>
    </row>
    <row r="463" spans="1:36" x14ac:dyDescent="0.35">
      <c r="A463" t="s">
        <v>2007</v>
      </c>
      <c r="B463" t="s">
        <v>1342</v>
      </c>
      <c r="C463" t="s">
        <v>1348</v>
      </c>
      <c r="D463" t="s">
        <v>555</v>
      </c>
      <c r="E463" t="s">
        <v>1989</v>
      </c>
      <c r="F463" t="s">
        <v>2045</v>
      </c>
      <c r="G463" t="s">
        <v>2046</v>
      </c>
      <c r="H463">
        <v>4740.9236240509908</v>
      </c>
      <c r="I463">
        <v>4740.9236240509908</v>
      </c>
      <c r="J463">
        <v>4740.9236240509908</v>
      </c>
      <c r="K463">
        <v>4740.9236240509908</v>
      </c>
      <c r="L463">
        <v>4740.9236240509908</v>
      </c>
      <c r="M463">
        <v>4740.9236240509908</v>
      </c>
      <c r="N463">
        <v>4740.9236240509908</v>
      </c>
      <c r="O463">
        <v>4740.9236240509908</v>
      </c>
      <c r="P463">
        <v>4740.9236240509908</v>
      </c>
      <c r="Q463">
        <v>4740.9236240509908</v>
      </c>
      <c r="R463">
        <v>4740.9236240509908</v>
      </c>
      <c r="S463">
        <v>4740.9236240509908</v>
      </c>
      <c r="T463">
        <v>4740.9236240509908</v>
      </c>
      <c r="U463">
        <v>4740.9236240509908</v>
      </c>
      <c r="V463">
        <v>4740.9236240509908</v>
      </c>
      <c r="W463">
        <v>4740.9236240509908</v>
      </c>
      <c r="X463">
        <v>4740.9236240509908</v>
      </c>
      <c r="Y463">
        <v>4740.9236240509908</v>
      </c>
      <c r="Z463">
        <v>4740.9236240509908</v>
      </c>
      <c r="AA463">
        <v>4740.9236240509908</v>
      </c>
      <c r="AB463">
        <v>4740.9236240509908</v>
      </c>
      <c r="AC463">
        <v>4740.9236240509908</v>
      </c>
      <c r="AD463">
        <v>4740.9236240509908</v>
      </c>
      <c r="AE463">
        <v>4740.9236240509908</v>
      </c>
      <c r="AF463">
        <v>4740.9236240509908</v>
      </c>
      <c r="AG463">
        <v>4740.9236240509908</v>
      </c>
      <c r="AH463">
        <v>4740.9236240509908</v>
      </c>
      <c r="AI463">
        <v>4740.9236240509908</v>
      </c>
      <c r="AJ463">
        <v>4740.9236240509908</v>
      </c>
    </row>
    <row r="464" spans="1:36" x14ac:dyDescent="0.35">
      <c r="A464" t="s">
        <v>2008</v>
      </c>
      <c r="B464" t="s">
        <v>1342</v>
      </c>
      <c r="C464" t="s">
        <v>1350</v>
      </c>
      <c r="D464" t="s">
        <v>555</v>
      </c>
      <c r="E464" t="s">
        <v>1989</v>
      </c>
      <c r="F464" t="s">
        <v>2045</v>
      </c>
      <c r="G464" t="s">
        <v>2046</v>
      </c>
      <c r="H464">
        <v>4740.9236240509908</v>
      </c>
      <c r="I464">
        <v>4740.9236240509908</v>
      </c>
      <c r="J464">
        <v>4740.9236240509908</v>
      </c>
      <c r="K464">
        <v>4740.9236240509908</v>
      </c>
      <c r="L464">
        <v>4740.9236240509908</v>
      </c>
      <c r="M464">
        <v>4740.9236240509908</v>
      </c>
      <c r="N464">
        <v>4740.9236240509908</v>
      </c>
      <c r="O464">
        <v>4740.9236240509908</v>
      </c>
      <c r="P464">
        <v>4740.9236240509908</v>
      </c>
      <c r="Q464">
        <v>4740.9236240509908</v>
      </c>
      <c r="R464">
        <v>4740.9236240509908</v>
      </c>
      <c r="S464">
        <v>4740.9236240509908</v>
      </c>
      <c r="T464">
        <v>4740.9236240509908</v>
      </c>
      <c r="U464">
        <v>4740.9236240509908</v>
      </c>
      <c r="V464">
        <v>4740.9236240509908</v>
      </c>
      <c r="W464">
        <v>4740.9236240509908</v>
      </c>
      <c r="X464">
        <v>4740.9236240509908</v>
      </c>
      <c r="Y464">
        <v>4740.9236240509908</v>
      </c>
      <c r="Z464">
        <v>4740.9236240509908</v>
      </c>
      <c r="AA464">
        <v>4740.9236240509908</v>
      </c>
      <c r="AB464">
        <v>4740.9236240509908</v>
      </c>
      <c r="AC464">
        <v>4740.9236240509908</v>
      </c>
      <c r="AD464">
        <v>4740.9236240509908</v>
      </c>
      <c r="AE464">
        <v>4740.9236240509908</v>
      </c>
      <c r="AF464">
        <v>4740.9236240509908</v>
      </c>
      <c r="AG464">
        <v>4740.9236240509908</v>
      </c>
      <c r="AH464">
        <v>4740.9236240509908</v>
      </c>
      <c r="AI464">
        <v>4740.9236240509908</v>
      </c>
      <c r="AJ464">
        <v>4740.9236240509908</v>
      </c>
    </row>
    <row r="465" spans="1:36" x14ac:dyDescent="0.35">
      <c r="A465" t="s">
        <v>2009</v>
      </c>
      <c r="B465" t="s">
        <v>1342</v>
      </c>
      <c r="C465" t="s">
        <v>1343</v>
      </c>
      <c r="D465" t="s">
        <v>555</v>
      </c>
      <c r="E465" t="s">
        <v>1989</v>
      </c>
      <c r="F465" t="s">
        <v>2047</v>
      </c>
      <c r="G465" t="s">
        <v>2048</v>
      </c>
      <c r="H465">
        <v>4790.7582339802402</v>
      </c>
      <c r="I465">
        <v>4742.366736667308</v>
      </c>
      <c r="J465">
        <v>4693.9752393543777</v>
      </c>
      <c r="K465">
        <v>4693.9752393543777</v>
      </c>
      <c r="L465">
        <v>4645.5837420414446</v>
      </c>
      <c r="M465">
        <v>4645.5837420414446</v>
      </c>
      <c r="N465">
        <v>4597.1922447285124</v>
      </c>
      <c r="O465">
        <v>4548.8007474155811</v>
      </c>
      <c r="P465">
        <v>4548.8007474155811</v>
      </c>
      <c r="Q465">
        <v>4500.4092501026498</v>
      </c>
      <c r="R465">
        <v>4500.4092501026498</v>
      </c>
      <c r="S465">
        <v>4452.0177527897176</v>
      </c>
      <c r="T465">
        <v>4452.0177527897176</v>
      </c>
      <c r="U465">
        <v>4403.6262554767864</v>
      </c>
      <c r="V465">
        <v>4403.6262554767864</v>
      </c>
      <c r="W465">
        <v>4403.6262554767864</v>
      </c>
      <c r="X465">
        <v>4355.2347581638551</v>
      </c>
      <c r="Y465">
        <v>4355.2347581638551</v>
      </c>
      <c r="Z465">
        <v>4355.2347581638551</v>
      </c>
      <c r="AA465">
        <v>4355.2347581638551</v>
      </c>
      <c r="AB465">
        <v>4306.8432608509229</v>
      </c>
      <c r="AC465">
        <v>4306.8432608509229</v>
      </c>
      <c r="AD465">
        <v>4306.8432608509229</v>
      </c>
      <c r="AE465">
        <v>4306.8432608509229</v>
      </c>
      <c r="AF465">
        <v>4306.8432608509229</v>
      </c>
      <c r="AG465">
        <v>4258.4517635379907</v>
      </c>
      <c r="AH465">
        <v>4258.4517635379907</v>
      </c>
      <c r="AI465">
        <v>4258.4517635379907</v>
      </c>
      <c r="AJ465">
        <v>4258.4517635379907</v>
      </c>
    </row>
    <row r="466" spans="1:36" x14ac:dyDescent="0.35">
      <c r="A466" t="s">
        <v>2012</v>
      </c>
      <c r="B466" t="s">
        <v>1342</v>
      </c>
      <c r="C466" t="s">
        <v>1348</v>
      </c>
      <c r="D466" t="s">
        <v>555</v>
      </c>
      <c r="E466" t="s">
        <v>1989</v>
      </c>
      <c r="F466" t="s">
        <v>2047</v>
      </c>
      <c r="G466" t="s">
        <v>2048</v>
      </c>
      <c r="H466">
        <v>4790.7582339802402</v>
      </c>
      <c r="I466">
        <v>4790.7582339802402</v>
      </c>
      <c r="J466">
        <v>4790.7582339802402</v>
      </c>
      <c r="K466">
        <v>4790.7582339802402</v>
      </c>
      <c r="L466">
        <v>4790.7582339802402</v>
      </c>
      <c r="M466">
        <v>4790.7582339802402</v>
      </c>
      <c r="N466">
        <v>4790.7582339802402</v>
      </c>
      <c r="O466">
        <v>4790.7582339802402</v>
      </c>
      <c r="P466">
        <v>4790.7582339802402</v>
      </c>
      <c r="Q466">
        <v>4790.7582339802402</v>
      </c>
      <c r="R466">
        <v>4790.7582339802402</v>
      </c>
      <c r="S466">
        <v>4790.7582339802402</v>
      </c>
      <c r="T466">
        <v>4790.7582339802402</v>
      </c>
      <c r="U466">
        <v>4790.7582339802402</v>
      </c>
      <c r="V466">
        <v>4790.7582339802402</v>
      </c>
      <c r="W466">
        <v>4790.7582339802402</v>
      </c>
      <c r="X466">
        <v>4790.7582339802402</v>
      </c>
      <c r="Y466">
        <v>4790.7582339802402</v>
      </c>
      <c r="Z466">
        <v>4790.7582339802402</v>
      </c>
      <c r="AA466">
        <v>4790.7582339802402</v>
      </c>
      <c r="AB466">
        <v>4790.7582339802402</v>
      </c>
      <c r="AC466">
        <v>4790.7582339802402</v>
      </c>
      <c r="AD466">
        <v>4790.7582339802402</v>
      </c>
      <c r="AE466">
        <v>4790.7582339802402</v>
      </c>
      <c r="AF466">
        <v>4790.7582339802402</v>
      </c>
      <c r="AG466">
        <v>4790.7582339802402</v>
      </c>
      <c r="AH466">
        <v>4790.7582339802402</v>
      </c>
      <c r="AI466">
        <v>4790.7582339802402</v>
      </c>
      <c r="AJ466">
        <v>4790.7582339802402</v>
      </c>
    </row>
    <row r="467" spans="1:36" x14ac:dyDescent="0.35">
      <c r="A467" t="s">
        <v>2013</v>
      </c>
      <c r="B467" t="s">
        <v>1342</v>
      </c>
      <c r="C467" t="s">
        <v>1350</v>
      </c>
      <c r="D467" t="s">
        <v>555</v>
      </c>
      <c r="E467" t="s">
        <v>1989</v>
      </c>
      <c r="F467" t="s">
        <v>2047</v>
      </c>
      <c r="G467" t="s">
        <v>2048</v>
      </c>
      <c r="H467">
        <v>4790.7582339802402</v>
      </c>
      <c r="I467">
        <v>4790.7582339802402</v>
      </c>
      <c r="J467">
        <v>4790.7582339802402</v>
      </c>
      <c r="K467">
        <v>4790.7582339802402</v>
      </c>
      <c r="L467">
        <v>4790.7582339802402</v>
      </c>
      <c r="M467">
        <v>4790.7582339802402</v>
      </c>
      <c r="N467">
        <v>4790.7582339802402</v>
      </c>
      <c r="O467">
        <v>4790.7582339802402</v>
      </c>
      <c r="P467">
        <v>4790.7582339802402</v>
      </c>
      <c r="Q467">
        <v>4790.7582339802402</v>
      </c>
      <c r="R467">
        <v>4790.7582339802402</v>
      </c>
      <c r="S467">
        <v>4790.7582339802402</v>
      </c>
      <c r="T467">
        <v>4790.7582339802402</v>
      </c>
      <c r="U467">
        <v>4790.7582339802402</v>
      </c>
      <c r="V467">
        <v>4790.7582339802402</v>
      </c>
      <c r="W467">
        <v>4790.7582339802402</v>
      </c>
      <c r="X467">
        <v>4790.7582339802402</v>
      </c>
      <c r="Y467">
        <v>4790.7582339802402</v>
      </c>
      <c r="Z467">
        <v>4790.7582339802402</v>
      </c>
      <c r="AA467">
        <v>4790.7582339802402</v>
      </c>
      <c r="AB467">
        <v>4790.7582339802402</v>
      </c>
      <c r="AC467">
        <v>4790.7582339802402</v>
      </c>
      <c r="AD467">
        <v>4790.7582339802402</v>
      </c>
      <c r="AE467">
        <v>4790.7582339802402</v>
      </c>
      <c r="AF467">
        <v>4790.7582339802402</v>
      </c>
      <c r="AG467">
        <v>4790.7582339802402</v>
      </c>
      <c r="AH467">
        <v>4790.7582339802402</v>
      </c>
      <c r="AI467">
        <v>4790.7582339802402</v>
      </c>
      <c r="AJ467">
        <v>4790.7582339802402</v>
      </c>
    </row>
    <row r="468" spans="1:36" x14ac:dyDescent="0.35">
      <c r="A468" t="s">
        <v>2049</v>
      </c>
      <c r="B468" t="s">
        <v>1342</v>
      </c>
      <c r="C468" t="s">
        <v>1343</v>
      </c>
      <c r="D468" t="s">
        <v>555</v>
      </c>
      <c r="E468" t="s">
        <v>2050</v>
      </c>
      <c r="F468" t="s">
        <v>1990</v>
      </c>
      <c r="G468" t="s">
        <v>2051</v>
      </c>
      <c r="H468">
        <v>1841.0539894441486</v>
      </c>
      <c r="I468">
        <v>1822.457484500268</v>
      </c>
      <c r="J468">
        <v>1803.8609795563884</v>
      </c>
      <c r="K468">
        <v>1803.8609795563884</v>
      </c>
      <c r="L468">
        <v>1785.2644746125079</v>
      </c>
      <c r="M468">
        <v>1785.2644746125079</v>
      </c>
      <c r="N468">
        <v>1766.6679696686274</v>
      </c>
      <c r="O468">
        <v>1748.0714647247471</v>
      </c>
      <c r="P468">
        <v>1748.0714647247471</v>
      </c>
      <c r="Q468">
        <v>1729.4749597808673</v>
      </c>
      <c r="R468">
        <v>1729.4749597808673</v>
      </c>
      <c r="S468">
        <v>1710.8784548369865</v>
      </c>
      <c r="T468">
        <v>1710.8784548369865</v>
      </c>
      <c r="U468">
        <v>1692.2819498931062</v>
      </c>
      <c r="V468">
        <v>1692.2819498931062</v>
      </c>
      <c r="W468">
        <v>1692.2819498931062</v>
      </c>
      <c r="X468">
        <v>1673.6854449492262</v>
      </c>
      <c r="Y468">
        <v>1673.6854449492262</v>
      </c>
      <c r="Z468">
        <v>1673.6854449492262</v>
      </c>
      <c r="AA468">
        <v>1673.6854449492262</v>
      </c>
      <c r="AB468">
        <v>1655.0889400053461</v>
      </c>
      <c r="AC468">
        <v>1655.0889400053461</v>
      </c>
      <c r="AD468">
        <v>1655.0889400053461</v>
      </c>
      <c r="AE468">
        <v>1655.0889400053461</v>
      </c>
      <c r="AF468">
        <v>1655.0889400053461</v>
      </c>
      <c r="AG468">
        <v>1636.4924350614654</v>
      </c>
      <c r="AH468">
        <v>1636.4924350614654</v>
      </c>
      <c r="AI468">
        <v>1636.4924350614654</v>
      </c>
      <c r="AJ468">
        <v>1636.4924350614654</v>
      </c>
    </row>
    <row r="469" spans="1:36" x14ac:dyDescent="0.35">
      <c r="A469" t="s">
        <v>2052</v>
      </c>
      <c r="B469" t="s">
        <v>1342</v>
      </c>
      <c r="C469" t="s">
        <v>1348</v>
      </c>
      <c r="D469" t="s">
        <v>555</v>
      </c>
      <c r="E469" t="s">
        <v>2050</v>
      </c>
      <c r="F469" t="s">
        <v>1990</v>
      </c>
      <c r="G469" t="s">
        <v>2051</v>
      </c>
      <c r="H469">
        <v>1841.0539894441486</v>
      </c>
      <c r="I469">
        <v>1841.0539894441486</v>
      </c>
      <c r="J469">
        <v>1841.0539894441486</v>
      </c>
      <c r="K469">
        <v>1841.0539894441486</v>
      </c>
      <c r="L469">
        <v>1841.0539894441486</v>
      </c>
      <c r="M469">
        <v>1841.0539894441486</v>
      </c>
      <c r="N469">
        <v>1841.0539894441486</v>
      </c>
      <c r="O469">
        <v>1841.0539894441486</v>
      </c>
      <c r="P469">
        <v>1841.0539894441486</v>
      </c>
      <c r="Q469">
        <v>1841.0539894441486</v>
      </c>
      <c r="R469">
        <v>1841.0539894441486</v>
      </c>
      <c r="S469">
        <v>1841.0539894441486</v>
      </c>
      <c r="T469">
        <v>1841.0539894441486</v>
      </c>
      <c r="U469">
        <v>1841.0539894441486</v>
      </c>
      <c r="V469">
        <v>1841.0539894441486</v>
      </c>
      <c r="W469">
        <v>1841.0539894441486</v>
      </c>
      <c r="X469">
        <v>1841.0539894441486</v>
      </c>
      <c r="Y469">
        <v>1841.0539894441486</v>
      </c>
      <c r="Z469">
        <v>1841.0539894441486</v>
      </c>
      <c r="AA469">
        <v>1841.0539894441486</v>
      </c>
      <c r="AB469">
        <v>1841.0539894441486</v>
      </c>
      <c r="AC469">
        <v>1841.0539894441486</v>
      </c>
      <c r="AD469">
        <v>1841.0539894441486</v>
      </c>
      <c r="AE469">
        <v>1841.0539894441486</v>
      </c>
      <c r="AF469">
        <v>1841.0539894441486</v>
      </c>
      <c r="AG469">
        <v>1841.0539894441486</v>
      </c>
      <c r="AH469">
        <v>1841.0539894441486</v>
      </c>
      <c r="AI469">
        <v>1841.0539894441486</v>
      </c>
      <c r="AJ469">
        <v>1841.0539894441486</v>
      </c>
    </row>
    <row r="470" spans="1:36" x14ac:dyDescent="0.35">
      <c r="A470" t="s">
        <v>2053</v>
      </c>
      <c r="B470" t="s">
        <v>1342</v>
      </c>
      <c r="C470" t="s">
        <v>1350</v>
      </c>
      <c r="D470" t="s">
        <v>555</v>
      </c>
      <c r="E470" t="s">
        <v>2050</v>
      </c>
      <c r="F470" t="s">
        <v>1990</v>
      </c>
      <c r="G470" t="s">
        <v>2051</v>
      </c>
      <c r="H470">
        <v>1841.0539894441486</v>
      </c>
      <c r="I470">
        <v>1841.0539894441486</v>
      </c>
      <c r="J470">
        <v>1841.0539894441486</v>
      </c>
      <c r="K470">
        <v>1841.0539894441486</v>
      </c>
      <c r="L470">
        <v>1841.0539894441486</v>
      </c>
      <c r="M470">
        <v>1841.0539894441486</v>
      </c>
      <c r="N470">
        <v>1841.0539894441486</v>
      </c>
      <c r="O470">
        <v>1841.0539894441486</v>
      </c>
      <c r="P470">
        <v>1841.0539894441486</v>
      </c>
      <c r="Q470">
        <v>1841.0539894441486</v>
      </c>
      <c r="R470">
        <v>1841.0539894441486</v>
      </c>
      <c r="S470">
        <v>1841.0539894441486</v>
      </c>
      <c r="T470">
        <v>1841.0539894441486</v>
      </c>
      <c r="U470">
        <v>1841.0539894441486</v>
      </c>
      <c r="V470">
        <v>1841.0539894441486</v>
      </c>
      <c r="W470">
        <v>1841.0539894441486</v>
      </c>
      <c r="X470">
        <v>1841.0539894441486</v>
      </c>
      <c r="Y470">
        <v>1841.0539894441486</v>
      </c>
      <c r="Z470">
        <v>1841.0539894441486</v>
      </c>
      <c r="AA470">
        <v>1841.0539894441486</v>
      </c>
      <c r="AB470">
        <v>1841.0539894441486</v>
      </c>
      <c r="AC470">
        <v>1841.0539894441486</v>
      </c>
      <c r="AD470">
        <v>1841.0539894441486</v>
      </c>
      <c r="AE470">
        <v>1841.0539894441486</v>
      </c>
      <c r="AF470">
        <v>1841.0539894441486</v>
      </c>
      <c r="AG470">
        <v>1841.0539894441486</v>
      </c>
      <c r="AH470">
        <v>1841.0539894441486</v>
      </c>
      <c r="AI470">
        <v>1841.0539894441486</v>
      </c>
      <c r="AJ470">
        <v>1841.0539894441486</v>
      </c>
    </row>
    <row r="471" spans="1:36" x14ac:dyDescent="0.35">
      <c r="A471" t="s">
        <v>2054</v>
      </c>
      <c r="B471" t="s">
        <v>1342</v>
      </c>
      <c r="C471" t="s">
        <v>1343</v>
      </c>
      <c r="D471" t="s">
        <v>555</v>
      </c>
      <c r="E471" t="s">
        <v>2050</v>
      </c>
      <c r="F471" t="s">
        <v>1995</v>
      </c>
      <c r="G471" t="s">
        <v>2055</v>
      </c>
      <c r="H471">
        <v>2060.6112999523043</v>
      </c>
      <c r="I471">
        <v>2039.7970443972306</v>
      </c>
      <c r="J471">
        <v>2018.9827888421573</v>
      </c>
      <c r="K471">
        <v>2018.9827888421573</v>
      </c>
      <c r="L471">
        <v>1998.1685332870832</v>
      </c>
      <c r="M471">
        <v>1998.1685332870832</v>
      </c>
      <c r="N471">
        <v>1977.3542777320092</v>
      </c>
      <c r="O471">
        <v>1956.5400221769355</v>
      </c>
      <c r="P471">
        <v>1956.5400221769355</v>
      </c>
      <c r="Q471">
        <v>1935.7257666218622</v>
      </c>
      <c r="R471">
        <v>1935.7257666218622</v>
      </c>
      <c r="S471">
        <v>1914.9115110667881</v>
      </c>
      <c r="T471">
        <v>1914.9115110667881</v>
      </c>
      <c r="U471">
        <v>1894.0972555117144</v>
      </c>
      <c r="V471">
        <v>1894.0972555117144</v>
      </c>
      <c r="W471">
        <v>1894.0972555117144</v>
      </c>
      <c r="X471">
        <v>1873.2829999566407</v>
      </c>
      <c r="Y471">
        <v>1873.2829999566407</v>
      </c>
      <c r="Z471">
        <v>1873.2829999566407</v>
      </c>
      <c r="AA471">
        <v>1873.2829999566407</v>
      </c>
      <c r="AB471">
        <v>1852.4687444015669</v>
      </c>
      <c r="AC471">
        <v>1852.4687444015669</v>
      </c>
      <c r="AD471">
        <v>1852.4687444015669</v>
      </c>
      <c r="AE471">
        <v>1852.4687444015669</v>
      </c>
      <c r="AF471">
        <v>1852.4687444015669</v>
      </c>
      <c r="AG471">
        <v>1831.6544888464928</v>
      </c>
      <c r="AH471">
        <v>1831.6544888464928</v>
      </c>
      <c r="AI471">
        <v>1831.6544888464928</v>
      </c>
      <c r="AJ471">
        <v>1831.6544888464928</v>
      </c>
    </row>
    <row r="472" spans="1:36" x14ac:dyDescent="0.35">
      <c r="A472" t="s">
        <v>2056</v>
      </c>
      <c r="B472" t="s">
        <v>1342</v>
      </c>
      <c r="C472" t="s">
        <v>1348</v>
      </c>
      <c r="D472" t="s">
        <v>555</v>
      </c>
      <c r="E472" t="s">
        <v>2050</v>
      </c>
      <c r="F472" t="s">
        <v>1995</v>
      </c>
      <c r="G472" t="s">
        <v>2055</v>
      </c>
      <c r="H472">
        <v>2060.6112999523043</v>
      </c>
      <c r="I472">
        <v>2060.6112999523043</v>
      </c>
      <c r="J472">
        <v>2060.6112999523043</v>
      </c>
      <c r="K472">
        <v>2060.6112999523043</v>
      </c>
      <c r="L472">
        <v>2060.6112999523043</v>
      </c>
      <c r="M472">
        <v>2060.6112999523043</v>
      </c>
      <c r="N472">
        <v>2060.6112999523043</v>
      </c>
      <c r="O472">
        <v>2060.6112999523043</v>
      </c>
      <c r="P472">
        <v>2060.6112999523043</v>
      </c>
      <c r="Q472">
        <v>2060.6112999523043</v>
      </c>
      <c r="R472">
        <v>2060.6112999523043</v>
      </c>
      <c r="S472">
        <v>2060.6112999523043</v>
      </c>
      <c r="T472">
        <v>2060.6112999523043</v>
      </c>
      <c r="U472">
        <v>2060.6112999523043</v>
      </c>
      <c r="V472">
        <v>2060.6112999523043</v>
      </c>
      <c r="W472">
        <v>2060.6112999523043</v>
      </c>
      <c r="X472">
        <v>2060.6112999523043</v>
      </c>
      <c r="Y472">
        <v>2060.6112999523043</v>
      </c>
      <c r="Z472">
        <v>2060.6112999523043</v>
      </c>
      <c r="AA472">
        <v>2060.6112999523043</v>
      </c>
      <c r="AB472">
        <v>2060.6112999523043</v>
      </c>
      <c r="AC472">
        <v>2060.6112999523043</v>
      </c>
      <c r="AD472">
        <v>2060.6112999523043</v>
      </c>
      <c r="AE472">
        <v>2060.6112999523043</v>
      </c>
      <c r="AF472">
        <v>2060.6112999523043</v>
      </c>
      <c r="AG472">
        <v>2060.6112999523043</v>
      </c>
      <c r="AH472">
        <v>2060.6112999523043</v>
      </c>
      <c r="AI472">
        <v>2060.6112999523043</v>
      </c>
      <c r="AJ472">
        <v>2060.6112999523043</v>
      </c>
    </row>
    <row r="473" spans="1:36" x14ac:dyDescent="0.35">
      <c r="A473" t="s">
        <v>2057</v>
      </c>
      <c r="B473" t="s">
        <v>1342</v>
      </c>
      <c r="C473" t="s">
        <v>1350</v>
      </c>
      <c r="D473" t="s">
        <v>555</v>
      </c>
      <c r="E473" t="s">
        <v>2050</v>
      </c>
      <c r="F473" t="s">
        <v>1995</v>
      </c>
      <c r="G473" t="s">
        <v>2055</v>
      </c>
      <c r="H473">
        <v>2060.6112999523043</v>
      </c>
      <c r="I473">
        <v>2060.6112999523043</v>
      </c>
      <c r="J473">
        <v>2060.6112999523043</v>
      </c>
      <c r="K473">
        <v>2060.6112999523043</v>
      </c>
      <c r="L473">
        <v>2060.6112999523043</v>
      </c>
      <c r="M473">
        <v>2060.6112999523043</v>
      </c>
      <c r="N473">
        <v>2060.6112999523043</v>
      </c>
      <c r="O473">
        <v>2060.6112999523043</v>
      </c>
      <c r="P473">
        <v>2060.6112999523043</v>
      </c>
      <c r="Q473">
        <v>2060.6112999523043</v>
      </c>
      <c r="R473">
        <v>2060.6112999523043</v>
      </c>
      <c r="S473">
        <v>2060.6112999523043</v>
      </c>
      <c r="T473">
        <v>2060.6112999523043</v>
      </c>
      <c r="U473">
        <v>2060.6112999523043</v>
      </c>
      <c r="V473">
        <v>2060.6112999523043</v>
      </c>
      <c r="W473">
        <v>2060.6112999523043</v>
      </c>
      <c r="X473">
        <v>2060.6112999523043</v>
      </c>
      <c r="Y473">
        <v>2060.6112999523043</v>
      </c>
      <c r="Z473">
        <v>2060.6112999523043</v>
      </c>
      <c r="AA473">
        <v>2060.6112999523043</v>
      </c>
      <c r="AB473">
        <v>2060.6112999523043</v>
      </c>
      <c r="AC473">
        <v>2060.6112999523043</v>
      </c>
      <c r="AD473">
        <v>2060.6112999523043</v>
      </c>
      <c r="AE473">
        <v>2060.6112999523043</v>
      </c>
      <c r="AF473">
        <v>2060.6112999523043</v>
      </c>
      <c r="AG473">
        <v>2060.6112999523043</v>
      </c>
      <c r="AH473">
        <v>2060.6112999523043</v>
      </c>
      <c r="AI473">
        <v>2060.6112999523043</v>
      </c>
      <c r="AJ473">
        <v>2060.6112999523043</v>
      </c>
    </row>
    <row r="474" spans="1:36" x14ac:dyDescent="0.35">
      <c r="A474" t="s">
        <v>2058</v>
      </c>
      <c r="B474" t="s">
        <v>1342</v>
      </c>
      <c r="C474" t="s">
        <v>1343</v>
      </c>
      <c r="D474" t="s">
        <v>555</v>
      </c>
      <c r="E474" t="s">
        <v>2050</v>
      </c>
      <c r="F474" t="s">
        <v>2000</v>
      </c>
      <c r="G474" t="s">
        <v>2059</v>
      </c>
      <c r="H474">
        <v>2323.0515408689403</v>
      </c>
      <c r="I474">
        <v>2299.586373789456</v>
      </c>
      <c r="J474">
        <v>2276.1212067099723</v>
      </c>
      <c r="K474">
        <v>2276.1212067099723</v>
      </c>
      <c r="L474">
        <v>2252.6560396304876</v>
      </c>
      <c r="M474">
        <v>2252.6560396304876</v>
      </c>
      <c r="N474">
        <v>2229.1908725510034</v>
      </c>
      <c r="O474">
        <v>2205.7257054715192</v>
      </c>
      <c r="P474">
        <v>2205.7257054715192</v>
      </c>
      <c r="Q474">
        <v>2182.2605383920354</v>
      </c>
      <c r="R474">
        <v>2182.2605383920354</v>
      </c>
      <c r="S474">
        <v>2158.7953713125507</v>
      </c>
      <c r="T474">
        <v>2158.7953713125507</v>
      </c>
      <c r="U474">
        <v>2135.3302042330665</v>
      </c>
      <c r="V474">
        <v>2135.3302042330665</v>
      </c>
      <c r="W474">
        <v>2135.3302042330665</v>
      </c>
      <c r="X474">
        <v>2111.8650371535823</v>
      </c>
      <c r="Y474">
        <v>2111.8650371535823</v>
      </c>
      <c r="Z474">
        <v>2111.8650371535823</v>
      </c>
      <c r="AA474">
        <v>2111.8650371535823</v>
      </c>
      <c r="AB474">
        <v>2088.3998700740981</v>
      </c>
      <c r="AC474">
        <v>2088.3998700740981</v>
      </c>
      <c r="AD474">
        <v>2088.3998700740981</v>
      </c>
      <c r="AE474">
        <v>2088.3998700740981</v>
      </c>
      <c r="AF474">
        <v>2088.3998700740981</v>
      </c>
      <c r="AG474">
        <v>2064.9347029946134</v>
      </c>
      <c r="AH474">
        <v>2064.9347029946134</v>
      </c>
      <c r="AI474">
        <v>2064.9347029946134</v>
      </c>
      <c r="AJ474">
        <v>2064.9347029946134</v>
      </c>
    </row>
    <row r="475" spans="1:36" x14ac:dyDescent="0.35">
      <c r="A475" t="s">
        <v>2060</v>
      </c>
      <c r="B475" t="s">
        <v>1342</v>
      </c>
      <c r="C475" t="s">
        <v>1348</v>
      </c>
      <c r="D475" t="s">
        <v>555</v>
      </c>
      <c r="E475" t="s">
        <v>2050</v>
      </c>
      <c r="F475" t="s">
        <v>2000</v>
      </c>
      <c r="G475" t="s">
        <v>2059</v>
      </c>
      <c r="H475">
        <v>2323.0515408689403</v>
      </c>
      <c r="I475">
        <v>2323.0515408689403</v>
      </c>
      <c r="J475">
        <v>2323.0515408689403</v>
      </c>
      <c r="K475">
        <v>2323.0515408689403</v>
      </c>
      <c r="L475">
        <v>2323.0515408689403</v>
      </c>
      <c r="M475">
        <v>2323.0515408689403</v>
      </c>
      <c r="N475">
        <v>2323.0515408689403</v>
      </c>
      <c r="O475">
        <v>2323.0515408689403</v>
      </c>
      <c r="P475">
        <v>2323.0515408689403</v>
      </c>
      <c r="Q475">
        <v>2323.0515408689403</v>
      </c>
      <c r="R475">
        <v>2323.0515408689403</v>
      </c>
      <c r="S475">
        <v>2323.0515408689403</v>
      </c>
      <c r="T475">
        <v>2323.0515408689403</v>
      </c>
      <c r="U475">
        <v>2323.0515408689403</v>
      </c>
      <c r="V475">
        <v>2323.0515408689403</v>
      </c>
      <c r="W475">
        <v>2323.0515408689403</v>
      </c>
      <c r="X475">
        <v>2323.0515408689403</v>
      </c>
      <c r="Y475">
        <v>2323.0515408689403</v>
      </c>
      <c r="Z475">
        <v>2323.0515408689403</v>
      </c>
      <c r="AA475">
        <v>2323.0515408689403</v>
      </c>
      <c r="AB475">
        <v>2323.0515408689403</v>
      </c>
      <c r="AC475">
        <v>2323.0515408689403</v>
      </c>
      <c r="AD475">
        <v>2323.0515408689403</v>
      </c>
      <c r="AE475">
        <v>2323.0515408689403</v>
      </c>
      <c r="AF475">
        <v>2323.0515408689403</v>
      </c>
      <c r="AG475">
        <v>2323.0515408689403</v>
      </c>
      <c r="AH475">
        <v>2323.0515408689403</v>
      </c>
      <c r="AI475">
        <v>2323.0515408689403</v>
      </c>
      <c r="AJ475">
        <v>2323.0515408689403</v>
      </c>
    </row>
    <row r="476" spans="1:36" x14ac:dyDescent="0.35">
      <c r="A476" t="s">
        <v>2061</v>
      </c>
      <c r="B476" t="s">
        <v>1342</v>
      </c>
      <c r="C476" t="s">
        <v>1350</v>
      </c>
      <c r="D476" t="s">
        <v>555</v>
      </c>
      <c r="E476" t="s">
        <v>2050</v>
      </c>
      <c r="F476" t="s">
        <v>2000</v>
      </c>
      <c r="G476" t="s">
        <v>2059</v>
      </c>
      <c r="H476">
        <v>2323.0515408689403</v>
      </c>
      <c r="I476">
        <v>2323.0515408689403</v>
      </c>
      <c r="J476">
        <v>2323.0515408689403</v>
      </c>
      <c r="K476">
        <v>2323.0515408689403</v>
      </c>
      <c r="L476">
        <v>2323.0515408689403</v>
      </c>
      <c r="M476">
        <v>2323.0515408689403</v>
      </c>
      <c r="N476">
        <v>2323.0515408689403</v>
      </c>
      <c r="O476">
        <v>2323.0515408689403</v>
      </c>
      <c r="P476">
        <v>2323.0515408689403</v>
      </c>
      <c r="Q476">
        <v>2323.0515408689403</v>
      </c>
      <c r="R476">
        <v>2323.0515408689403</v>
      </c>
      <c r="S476">
        <v>2323.0515408689403</v>
      </c>
      <c r="T476">
        <v>2323.0515408689403</v>
      </c>
      <c r="U476">
        <v>2323.0515408689403</v>
      </c>
      <c r="V476">
        <v>2323.0515408689403</v>
      </c>
      <c r="W476">
        <v>2323.0515408689403</v>
      </c>
      <c r="X476">
        <v>2323.0515408689403</v>
      </c>
      <c r="Y476">
        <v>2323.0515408689403</v>
      </c>
      <c r="Z476">
        <v>2323.0515408689403</v>
      </c>
      <c r="AA476">
        <v>2323.0515408689403</v>
      </c>
      <c r="AB476">
        <v>2323.0515408689403</v>
      </c>
      <c r="AC476">
        <v>2323.0515408689403</v>
      </c>
      <c r="AD476">
        <v>2323.0515408689403</v>
      </c>
      <c r="AE476">
        <v>2323.0515408689403</v>
      </c>
      <c r="AF476">
        <v>2323.0515408689403</v>
      </c>
      <c r="AG476">
        <v>2323.0515408689403</v>
      </c>
      <c r="AH476">
        <v>2323.0515408689403</v>
      </c>
      <c r="AI476">
        <v>2323.0515408689403</v>
      </c>
      <c r="AJ476">
        <v>2323.0515408689403</v>
      </c>
    </row>
    <row r="477" spans="1:36" x14ac:dyDescent="0.35">
      <c r="A477" t="s">
        <v>2062</v>
      </c>
      <c r="B477" t="s">
        <v>1342</v>
      </c>
      <c r="C477" t="s">
        <v>1343</v>
      </c>
      <c r="D477" t="s">
        <v>555</v>
      </c>
      <c r="E477" t="s">
        <v>2050</v>
      </c>
      <c r="F477" t="s">
        <v>2005</v>
      </c>
      <c r="G477" t="s">
        <v>2063</v>
      </c>
      <c r="H477">
        <v>2662.2561510227451</v>
      </c>
      <c r="I477">
        <v>2635.3646747497883</v>
      </c>
      <c r="J477">
        <v>2608.4731984768318</v>
      </c>
      <c r="K477">
        <v>2608.4731984768318</v>
      </c>
      <c r="L477">
        <v>2581.5817222038745</v>
      </c>
      <c r="M477">
        <v>2581.5817222038745</v>
      </c>
      <c r="N477">
        <v>2554.6902459309172</v>
      </c>
      <c r="O477">
        <v>2527.7987696579603</v>
      </c>
      <c r="P477">
        <v>2527.7987696579603</v>
      </c>
      <c r="Q477">
        <v>2500.9072933850039</v>
      </c>
      <c r="R477">
        <v>2500.9072933850039</v>
      </c>
      <c r="S477">
        <v>2474.0158171120461</v>
      </c>
      <c r="T477">
        <v>2474.0158171120461</v>
      </c>
      <c r="U477">
        <v>2447.1243408390892</v>
      </c>
      <c r="V477">
        <v>2447.1243408390892</v>
      </c>
      <c r="W477">
        <v>2447.1243408390892</v>
      </c>
      <c r="X477">
        <v>2420.2328645661323</v>
      </c>
      <c r="Y477">
        <v>2420.2328645661323</v>
      </c>
      <c r="Z477">
        <v>2420.2328645661323</v>
      </c>
      <c r="AA477">
        <v>2420.2328645661323</v>
      </c>
      <c r="AB477">
        <v>2393.3413882931754</v>
      </c>
      <c r="AC477">
        <v>2393.3413882931754</v>
      </c>
      <c r="AD477">
        <v>2393.3413882931754</v>
      </c>
      <c r="AE477">
        <v>2393.3413882931754</v>
      </c>
      <c r="AF477">
        <v>2393.3413882931754</v>
      </c>
      <c r="AG477">
        <v>2366.4499120202177</v>
      </c>
      <c r="AH477">
        <v>2366.4499120202177</v>
      </c>
      <c r="AI477">
        <v>2366.4499120202177</v>
      </c>
      <c r="AJ477">
        <v>2366.4499120202177</v>
      </c>
    </row>
    <row r="478" spans="1:36" x14ac:dyDescent="0.35">
      <c r="A478" t="s">
        <v>2064</v>
      </c>
      <c r="B478" t="s">
        <v>1342</v>
      </c>
      <c r="C478" t="s">
        <v>1348</v>
      </c>
      <c r="D478" t="s">
        <v>555</v>
      </c>
      <c r="E478" t="s">
        <v>2050</v>
      </c>
      <c r="F478" t="s">
        <v>2005</v>
      </c>
      <c r="G478" t="s">
        <v>2063</v>
      </c>
      <c r="H478">
        <v>2662.2561510227451</v>
      </c>
      <c r="I478">
        <v>2662.2561510227451</v>
      </c>
      <c r="J478">
        <v>2662.2561510227451</v>
      </c>
      <c r="K478">
        <v>2662.2561510227451</v>
      </c>
      <c r="L478">
        <v>2662.2561510227451</v>
      </c>
      <c r="M478">
        <v>2662.2561510227451</v>
      </c>
      <c r="N478">
        <v>2662.2561510227451</v>
      </c>
      <c r="O478">
        <v>2662.2561510227451</v>
      </c>
      <c r="P478">
        <v>2662.2561510227451</v>
      </c>
      <c r="Q478">
        <v>2662.2561510227451</v>
      </c>
      <c r="R478">
        <v>2662.2561510227451</v>
      </c>
      <c r="S478">
        <v>2662.2561510227451</v>
      </c>
      <c r="T478">
        <v>2662.2561510227451</v>
      </c>
      <c r="U478">
        <v>2662.2561510227451</v>
      </c>
      <c r="V478">
        <v>2662.2561510227451</v>
      </c>
      <c r="W478">
        <v>2662.2561510227451</v>
      </c>
      <c r="X478">
        <v>2662.2561510227451</v>
      </c>
      <c r="Y478">
        <v>2662.2561510227451</v>
      </c>
      <c r="Z478">
        <v>2662.2561510227451</v>
      </c>
      <c r="AA478">
        <v>2662.2561510227451</v>
      </c>
      <c r="AB478">
        <v>2662.2561510227451</v>
      </c>
      <c r="AC478">
        <v>2662.2561510227451</v>
      </c>
      <c r="AD478">
        <v>2662.2561510227451</v>
      </c>
      <c r="AE478">
        <v>2662.2561510227451</v>
      </c>
      <c r="AF478">
        <v>2662.2561510227451</v>
      </c>
      <c r="AG478">
        <v>2662.2561510227451</v>
      </c>
      <c r="AH478">
        <v>2662.2561510227451</v>
      </c>
      <c r="AI478">
        <v>2662.2561510227451</v>
      </c>
      <c r="AJ478">
        <v>2662.2561510227451</v>
      </c>
    </row>
    <row r="479" spans="1:36" x14ac:dyDescent="0.35">
      <c r="A479" t="s">
        <v>2065</v>
      </c>
      <c r="B479" t="s">
        <v>1342</v>
      </c>
      <c r="C479" t="s">
        <v>1350</v>
      </c>
      <c r="D479" t="s">
        <v>555</v>
      </c>
      <c r="E479" t="s">
        <v>2050</v>
      </c>
      <c r="F479" t="s">
        <v>2005</v>
      </c>
      <c r="G479" t="s">
        <v>2063</v>
      </c>
      <c r="H479">
        <v>2662.2561510227451</v>
      </c>
      <c r="I479">
        <v>2662.2561510227451</v>
      </c>
      <c r="J479">
        <v>2662.2561510227451</v>
      </c>
      <c r="K479">
        <v>2662.2561510227451</v>
      </c>
      <c r="L479">
        <v>2662.2561510227451</v>
      </c>
      <c r="M479">
        <v>2662.2561510227451</v>
      </c>
      <c r="N479">
        <v>2662.2561510227451</v>
      </c>
      <c r="O479">
        <v>2662.2561510227451</v>
      </c>
      <c r="P479">
        <v>2662.2561510227451</v>
      </c>
      <c r="Q479">
        <v>2662.2561510227451</v>
      </c>
      <c r="R479">
        <v>2662.2561510227451</v>
      </c>
      <c r="S479">
        <v>2662.2561510227451</v>
      </c>
      <c r="T479">
        <v>2662.2561510227451</v>
      </c>
      <c r="U479">
        <v>2662.2561510227451</v>
      </c>
      <c r="V479">
        <v>2662.2561510227451</v>
      </c>
      <c r="W479">
        <v>2662.2561510227451</v>
      </c>
      <c r="X479">
        <v>2662.2561510227451</v>
      </c>
      <c r="Y479">
        <v>2662.2561510227451</v>
      </c>
      <c r="Z479">
        <v>2662.2561510227451</v>
      </c>
      <c r="AA479">
        <v>2662.2561510227451</v>
      </c>
      <c r="AB479">
        <v>2662.2561510227451</v>
      </c>
      <c r="AC479">
        <v>2662.2561510227451</v>
      </c>
      <c r="AD479">
        <v>2662.2561510227451</v>
      </c>
      <c r="AE479">
        <v>2662.2561510227451</v>
      </c>
      <c r="AF479">
        <v>2662.2561510227451</v>
      </c>
      <c r="AG479">
        <v>2662.2561510227451</v>
      </c>
      <c r="AH479">
        <v>2662.2561510227451</v>
      </c>
      <c r="AI479">
        <v>2662.2561510227451</v>
      </c>
      <c r="AJ479">
        <v>2662.2561510227451</v>
      </c>
    </row>
    <row r="480" spans="1:36" x14ac:dyDescent="0.35">
      <c r="A480" t="s">
        <v>2066</v>
      </c>
      <c r="B480" t="s">
        <v>1342</v>
      </c>
      <c r="C480" t="s">
        <v>1343</v>
      </c>
      <c r="D480" t="s">
        <v>555</v>
      </c>
      <c r="E480" t="s">
        <v>2050</v>
      </c>
      <c r="F480" t="s">
        <v>2010</v>
      </c>
      <c r="G480" t="s">
        <v>2067</v>
      </c>
      <c r="H480">
        <v>3459.0385110936459</v>
      </c>
      <c r="I480">
        <v>3424.0987281533057</v>
      </c>
      <c r="J480">
        <v>3389.158945212967</v>
      </c>
      <c r="K480">
        <v>3389.158945212967</v>
      </c>
      <c r="L480">
        <v>3354.2191622726264</v>
      </c>
      <c r="M480">
        <v>3354.2191622726264</v>
      </c>
      <c r="N480">
        <v>3319.2793793322862</v>
      </c>
      <c r="O480">
        <v>3284.339596391947</v>
      </c>
      <c r="P480">
        <v>3284.339596391947</v>
      </c>
      <c r="Q480">
        <v>3249.3998134516078</v>
      </c>
      <c r="R480">
        <v>3249.3998134516078</v>
      </c>
      <c r="S480">
        <v>3214.4600305112667</v>
      </c>
      <c r="T480">
        <v>3214.4600305112667</v>
      </c>
      <c r="U480">
        <v>3179.520247570927</v>
      </c>
      <c r="V480">
        <v>3179.520247570927</v>
      </c>
      <c r="W480">
        <v>3179.520247570927</v>
      </c>
      <c r="X480">
        <v>3144.5804646305878</v>
      </c>
      <c r="Y480">
        <v>3144.5804646305878</v>
      </c>
      <c r="Z480">
        <v>3144.5804646305878</v>
      </c>
      <c r="AA480">
        <v>3144.5804646305878</v>
      </c>
      <c r="AB480">
        <v>3109.6406816902477</v>
      </c>
      <c r="AC480">
        <v>3109.6406816902477</v>
      </c>
      <c r="AD480">
        <v>3109.6406816902477</v>
      </c>
      <c r="AE480">
        <v>3109.6406816902477</v>
      </c>
      <c r="AF480">
        <v>3109.6406816902477</v>
      </c>
      <c r="AG480">
        <v>3074.7008987499071</v>
      </c>
      <c r="AH480">
        <v>3074.7008987499071</v>
      </c>
      <c r="AI480">
        <v>3074.7008987499071</v>
      </c>
      <c r="AJ480">
        <v>3074.7008987499071</v>
      </c>
    </row>
    <row r="481" spans="1:36" x14ac:dyDescent="0.35">
      <c r="A481" t="s">
        <v>2068</v>
      </c>
      <c r="B481" t="s">
        <v>1342</v>
      </c>
      <c r="C481" t="s">
        <v>1348</v>
      </c>
      <c r="D481" t="s">
        <v>555</v>
      </c>
      <c r="E481" t="s">
        <v>2050</v>
      </c>
      <c r="F481" t="s">
        <v>2010</v>
      </c>
      <c r="G481" t="s">
        <v>2067</v>
      </c>
      <c r="H481">
        <v>3459.0385110936459</v>
      </c>
      <c r="I481">
        <v>3459.0385110936459</v>
      </c>
      <c r="J481">
        <v>3459.0385110936459</v>
      </c>
      <c r="K481">
        <v>3459.0385110936459</v>
      </c>
      <c r="L481">
        <v>3459.0385110936459</v>
      </c>
      <c r="M481">
        <v>3459.0385110936459</v>
      </c>
      <c r="N481">
        <v>3459.0385110936459</v>
      </c>
      <c r="O481">
        <v>3459.0385110936459</v>
      </c>
      <c r="P481">
        <v>3459.0385110936459</v>
      </c>
      <c r="Q481">
        <v>3459.0385110936459</v>
      </c>
      <c r="R481">
        <v>3459.0385110936459</v>
      </c>
      <c r="S481">
        <v>3459.0385110936459</v>
      </c>
      <c r="T481">
        <v>3459.0385110936459</v>
      </c>
      <c r="U481">
        <v>3459.0385110936459</v>
      </c>
      <c r="V481">
        <v>3459.0385110936459</v>
      </c>
      <c r="W481">
        <v>3459.0385110936459</v>
      </c>
      <c r="X481">
        <v>3459.0385110936459</v>
      </c>
      <c r="Y481">
        <v>3459.0385110936459</v>
      </c>
      <c r="Z481">
        <v>3459.0385110936459</v>
      </c>
      <c r="AA481">
        <v>3459.0385110936459</v>
      </c>
      <c r="AB481">
        <v>3459.0385110936459</v>
      </c>
      <c r="AC481">
        <v>3459.0385110936459</v>
      </c>
      <c r="AD481">
        <v>3459.0385110936459</v>
      </c>
      <c r="AE481">
        <v>3459.0385110936459</v>
      </c>
      <c r="AF481">
        <v>3459.0385110936459</v>
      </c>
      <c r="AG481">
        <v>3459.0385110936459</v>
      </c>
      <c r="AH481">
        <v>3459.0385110936459</v>
      </c>
      <c r="AI481">
        <v>3459.0385110936459</v>
      </c>
      <c r="AJ481">
        <v>3459.0385110936459</v>
      </c>
    </row>
    <row r="482" spans="1:36" x14ac:dyDescent="0.35">
      <c r="A482" t="s">
        <v>2069</v>
      </c>
      <c r="B482" t="s">
        <v>1342</v>
      </c>
      <c r="C482" t="s">
        <v>1350</v>
      </c>
      <c r="D482" t="s">
        <v>555</v>
      </c>
      <c r="E482" t="s">
        <v>2050</v>
      </c>
      <c r="F482" t="s">
        <v>2010</v>
      </c>
      <c r="G482" t="s">
        <v>2067</v>
      </c>
      <c r="H482">
        <v>3459.0385110936459</v>
      </c>
      <c r="I482">
        <v>3459.0385110936459</v>
      </c>
      <c r="J482">
        <v>3459.0385110936459</v>
      </c>
      <c r="K482">
        <v>3459.0385110936459</v>
      </c>
      <c r="L482">
        <v>3459.0385110936459</v>
      </c>
      <c r="M482">
        <v>3459.0385110936459</v>
      </c>
      <c r="N482">
        <v>3459.0385110936459</v>
      </c>
      <c r="O482">
        <v>3459.0385110936459</v>
      </c>
      <c r="P482">
        <v>3459.0385110936459</v>
      </c>
      <c r="Q482">
        <v>3459.0385110936459</v>
      </c>
      <c r="R482">
        <v>3459.0385110936459</v>
      </c>
      <c r="S482">
        <v>3459.0385110936459</v>
      </c>
      <c r="T482">
        <v>3459.0385110936459</v>
      </c>
      <c r="U482">
        <v>3459.0385110936459</v>
      </c>
      <c r="V482">
        <v>3459.0385110936459</v>
      </c>
      <c r="W482">
        <v>3459.0385110936459</v>
      </c>
      <c r="X482">
        <v>3459.0385110936459</v>
      </c>
      <c r="Y482">
        <v>3459.0385110936459</v>
      </c>
      <c r="Z482">
        <v>3459.0385110936459</v>
      </c>
      <c r="AA482">
        <v>3459.0385110936459</v>
      </c>
      <c r="AB482">
        <v>3459.0385110936459</v>
      </c>
      <c r="AC482">
        <v>3459.0385110936459</v>
      </c>
      <c r="AD482">
        <v>3459.0385110936459</v>
      </c>
      <c r="AE482">
        <v>3459.0385110936459</v>
      </c>
      <c r="AF482">
        <v>3459.0385110936459</v>
      </c>
      <c r="AG482">
        <v>3459.0385110936459</v>
      </c>
      <c r="AH482">
        <v>3459.0385110936459</v>
      </c>
      <c r="AI482">
        <v>3459.0385110936459</v>
      </c>
      <c r="AJ482">
        <v>3459.0385110936459</v>
      </c>
    </row>
    <row r="483" spans="1:36" x14ac:dyDescent="0.35">
      <c r="A483" t="s">
        <v>2070</v>
      </c>
      <c r="B483" t="s">
        <v>2071</v>
      </c>
      <c r="C483" t="s">
        <v>1343</v>
      </c>
      <c r="D483">
        <v>30</v>
      </c>
      <c r="E483" t="s">
        <v>2072</v>
      </c>
      <c r="F483" t="s">
        <v>2073</v>
      </c>
      <c r="G483" t="s">
        <v>2074</v>
      </c>
      <c r="H483">
        <v>1348.8151364634859</v>
      </c>
      <c r="I483">
        <v>1339.0088135942865</v>
      </c>
      <c r="J483">
        <v>1329.2024907250875</v>
      </c>
      <c r="K483">
        <v>1319.3961678558883</v>
      </c>
      <c r="L483">
        <v>1309.5898449866891</v>
      </c>
      <c r="M483">
        <v>1299.7835221174901</v>
      </c>
      <c r="N483">
        <v>1289.9771992482906</v>
      </c>
      <c r="O483">
        <v>1280.2823118662418</v>
      </c>
      <c r="P483">
        <v>1270.4759889970424</v>
      </c>
      <c r="Q483">
        <v>1260.6696661278431</v>
      </c>
      <c r="R483">
        <v>1250.8633432586441</v>
      </c>
      <c r="S483">
        <v>1241.0570203894449</v>
      </c>
      <c r="T483">
        <v>1231.2506975202459</v>
      </c>
      <c r="U483">
        <v>1221.4443746510465</v>
      </c>
      <c r="V483">
        <v>1211.6380517818473</v>
      </c>
      <c r="W483">
        <v>1201.9431643997982</v>
      </c>
      <c r="X483">
        <v>1192.136841530599</v>
      </c>
      <c r="Y483">
        <v>1182.3305186614</v>
      </c>
      <c r="Z483">
        <v>1172.5241957922008</v>
      </c>
      <c r="AA483">
        <v>1162.7178729230016</v>
      </c>
      <c r="AB483">
        <v>1152.9115500538023</v>
      </c>
      <c r="AC483">
        <v>1143.1052271846031</v>
      </c>
      <c r="AD483">
        <v>1133.2989043154041</v>
      </c>
      <c r="AE483">
        <v>1123.6040169333548</v>
      </c>
      <c r="AF483">
        <v>1113.7976940641556</v>
      </c>
      <c r="AG483">
        <v>1103.9913711949566</v>
      </c>
      <c r="AH483">
        <v>1094.1850483257574</v>
      </c>
      <c r="AI483">
        <v>1084.3787254565582</v>
      </c>
      <c r="AJ483">
        <v>1074.572402587359</v>
      </c>
    </row>
    <row r="484" spans="1:36" x14ac:dyDescent="0.35">
      <c r="A484" t="s">
        <v>2075</v>
      </c>
      <c r="B484" t="s">
        <v>2071</v>
      </c>
      <c r="C484" t="s">
        <v>1348</v>
      </c>
      <c r="D484">
        <v>30</v>
      </c>
      <c r="E484" t="s">
        <v>2072</v>
      </c>
      <c r="F484" t="s">
        <v>2073</v>
      </c>
      <c r="G484" t="s">
        <v>2074</v>
      </c>
      <c r="H484">
        <v>1348.8151364634859</v>
      </c>
      <c r="I484">
        <v>1339.0088135942865</v>
      </c>
      <c r="J484">
        <v>1329.2024907250875</v>
      </c>
      <c r="K484">
        <v>1319.3961678558883</v>
      </c>
      <c r="L484">
        <v>1309.5898449866891</v>
      </c>
      <c r="M484">
        <v>1299.7835221174901</v>
      </c>
      <c r="N484">
        <v>1289.9771992482906</v>
      </c>
      <c r="O484">
        <v>1280.2823118662418</v>
      </c>
      <c r="P484">
        <v>1270.4759889970424</v>
      </c>
      <c r="Q484">
        <v>1260.6696661278431</v>
      </c>
      <c r="R484">
        <v>1250.8633432586441</v>
      </c>
      <c r="S484">
        <v>1241.0570203894449</v>
      </c>
      <c r="T484">
        <v>1231.2506975202459</v>
      </c>
      <c r="U484">
        <v>1221.4443746510465</v>
      </c>
      <c r="V484">
        <v>1211.6380517818473</v>
      </c>
      <c r="W484">
        <v>1201.9431643997982</v>
      </c>
      <c r="X484">
        <v>1192.136841530599</v>
      </c>
      <c r="Y484">
        <v>1182.3305186614</v>
      </c>
      <c r="Z484">
        <v>1172.5241957922008</v>
      </c>
      <c r="AA484">
        <v>1162.7178729230016</v>
      </c>
      <c r="AB484">
        <v>1152.9115500538023</v>
      </c>
      <c r="AC484">
        <v>1143.1052271846031</v>
      </c>
      <c r="AD484">
        <v>1133.2989043154041</v>
      </c>
      <c r="AE484">
        <v>1123.6040169333548</v>
      </c>
      <c r="AF484">
        <v>1113.7976940641556</v>
      </c>
      <c r="AG484">
        <v>1103.9913711949566</v>
      </c>
      <c r="AH484">
        <v>1094.1850483257574</v>
      </c>
      <c r="AI484">
        <v>1084.3787254565582</v>
      </c>
      <c r="AJ484">
        <v>1074.572402587359</v>
      </c>
    </row>
    <row r="485" spans="1:36" x14ac:dyDescent="0.35">
      <c r="A485" t="s">
        <v>2076</v>
      </c>
      <c r="B485" t="s">
        <v>2071</v>
      </c>
      <c r="C485" t="s">
        <v>1350</v>
      </c>
      <c r="D485">
        <v>30</v>
      </c>
      <c r="E485" t="s">
        <v>2072</v>
      </c>
      <c r="F485" t="s">
        <v>2073</v>
      </c>
      <c r="G485" t="s">
        <v>2074</v>
      </c>
      <c r="H485">
        <v>1348.8151364634859</v>
      </c>
      <c r="I485">
        <v>1339.0088135942865</v>
      </c>
      <c r="J485">
        <v>1329.2024907250875</v>
      </c>
      <c r="K485">
        <v>1319.3961678558883</v>
      </c>
      <c r="L485">
        <v>1309.5898449866891</v>
      </c>
      <c r="M485">
        <v>1299.7835221174901</v>
      </c>
      <c r="N485">
        <v>1289.9771992482906</v>
      </c>
      <c r="O485">
        <v>1280.2823118662418</v>
      </c>
      <c r="P485">
        <v>1270.4759889970424</v>
      </c>
      <c r="Q485">
        <v>1260.6696661278431</v>
      </c>
      <c r="R485">
        <v>1250.8633432586441</v>
      </c>
      <c r="S485">
        <v>1241.0570203894449</v>
      </c>
      <c r="T485">
        <v>1231.2506975202459</v>
      </c>
      <c r="U485">
        <v>1221.4443746510465</v>
      </c>
      <c r="V485">
        <v>1211.6380517818473</v>
      </c>
      <c r="W485">
        <v>1201.9431643997982</v>
      </c>
      <c r="X485">
        <v>1192.136841530599</v>
      </c>
      <c r="Y485">
        <v>1182.3305186614</v>
      </c>
      <c r="Z485">
        <v>1172.5241957922008</v>
      </c>
      <c r="AA485">
        <v>1162.7178729230016</v>
      </c>
      <c r="AB485">
        <v>1152.9115500538023</v>
      </c>
      <c r="AC485">
        <v>1143.1052271846031</v>
      </c>
      <c r="AD485">
        <v>1133.2989043154041</v>
      </c>
      <c r="AE485">
        <v>1123.6040169333548</v>
      </c>
      <c r="AF485">
        <v>1113.7976940641556</v>
      </c>
      <c r="AG485">
        <v>1103.9913711949566</v>
      </c>
      <c r="AH485">
        <v>1094.1850483257574</v>
      </c>
      <c r="AI485">
        <v>1084.3787254565582</v>
      </c>
      <c r="AJ485">
        <v>1074.572402587359</v>
      </c>
    </row>
    <row r="486" spans="1:36" x14ac:dyDescent="0.35">
      <c r="A486" t="s">
        <v>2077</v>
      </c>
      <c r="B486" t="s">
        <v>2071</v>
      </c>
      <c r="C486" t="s">
        <v>1343</v>
      </c>
      <c r="D486">
        <v>30</v>
      </c>
      <c r="E486" t="s">
        <v>2072</v>
      </c>
      <c r="F486" t="s">
        <v>2078</v>
      </c>
      <c r="G486" t="s">
        <v>2079</v>
      </c>
      <c r="H486">
        <v>1499.2530441159731</v>
      </c>
      <c r="I486">
        <v>1484.5435598121744</v>
      </c>
      <c r="J486">
        <v>1469.7226400212257</v>
      </c>
      <c r="K486">
        <v>1455.0131557174268</v>
      </c>
      <c r="L486">
        <v>1440.1922359264781</v>
      </c>
      <c r="M486">
        <v>1425.3713161355292</v>
      </c>
      <c r="N486">
        <v>1410.6618318317308</v>
      </c>
      <c r="O486">
        <v>1395.8409120407816</v>
      </c>
      <c r="P486">
        <v>1381.1314277369831</v>
      </c>
      <c r="Q486">
        <v>1366.3105079460342</v>
      </c>
      <c r="R486">
        <v>1351.6010236422358</v>
      </c>
      <c r="S486">
        <v>1336.7801038512866</v>
      </c>
      <c r="T486">
        <v>1321.959184060338</v>
      </c>
      <c r="U486">
        <v>1307.2496997565393</v>
      </c>
      <c r="V486">
        <v>1296.2175865286904</v>
      </c>
      <c r="W486">
        <v>1285.0740378136913</v>
      </c>
      <c r="X486">
        <v>1274.041924585842</v>
      </c>
      <c r="Y486">
        <v>1263.0098113579932</v>
      </c>
      <c r="Z486">
        <v>1251.9776981301441</v>
      </c>
      <c r="AA486">
        <v>1240.834149415145</v>
      </c>
      <c r="AB486">
        <v>1229.8020361872957</v>
      </c>
      <c r="AC486">
        <v>1218.7699229594468</v>
      </c>
      <c r="AD486">
        <v>1207.7378097315977</v>
      </c>
      <c r="AE486">
        <v>1196.5942610165987</v>
      </c>
      <c r="AF486">
        <v>1185.5621477887498</v>
      </c>
      <c r="AG486">
        <v>1174.5300345609005</v>
      </c>
      <c r="AH486">
        <v>1163.4979213330514</v>
      </c>
      <c r="AI486">
        <v>1152.3543726180524</v>
      </c>
      <c r="AJ486">
        <v>1141.3222593902035</v>
      </c>
    </row>
    <row r="487" spans="1:36" x14ac:dyDescent="0.35">
      <c r="A487" t="s">
        <v>2080</v>
      </c>
      <c r="B487" t="s">
        <v>2071</v>
      </c>
      <c r="C487" t="s">
        <v>1348</v>
      </c>
      <c r="D487">
        <v>30</v>
      </c>
      <c r="E487" t="s">
        <v>2072</v>
      </c>
      <c r="F487" t="s">
        <v>2078</v>
      </c>
      <c r="G487" t="s">
        <v>2079</v>
      </c>
      <c r="H487">
        <v>1499.2530441159731</v>
      </c>
      <c r="I487">
        <v>1487.329446990924</v>
      </c>
      <c r="J487">
        <v>1475.2944143787252</v>
      </c>
      <c r="K487">
        <v>1463.2593817665261</v>
      </c>
      <c r="L487">
        <v>1451.3357846414772</v>
      </c>
      <c r="M487">
        <v>1439.3007520292781</v>
      </c>
      <c r="N487">
        <v>1427.265719417079</v>
      </c>
      <c r="O487">
        <v>1415.3421222920301</v>
      </c>
      <c r="P487">
        <v>1403.3070896798311</v>
      </c>
      <c r="Q487">
        <v>1391.2720570676322</v>
      </c>
      <c r="R487">
        <v>1379.3484599425831</v>
      </c>
      <c r="S487">
        <v>1367.3134273303842</v>
      </c>
      <c r="T487">
        <v>1355.2783947181854</v>
      </c>
      <c r="U487">
        <v>1343.3547975931363</v>
      </c>
      <c r="V487">
        <v>1333.2141682624872</v>
      </c>
      <c r="W487">
        <v>1323.0735389318379</v>
      </c>
      <c r="X487">
        <v>1312.9329096011888</v>
      </c>
      <c r="Y487">
        <v>1302.6808447833896</v>
      </c>
      <c r="Z487">
        <v>1292.5402154527408</v>
      </c>
      <c r="AA487">
        <v>1282.3995861220913</v>
      </c>
      <c r="AB487">
        <v>1272.2589567914424</v>
      </c>
      <c r="AC487">
        <v>1262.1183274607931</v>
      </c>
      <c r="AD487">
        <v>1251.9776981301441</v>
      </c>
      <c r="AE487">
        <v>1241.837068799495</v>
      </c>
      <c r="AF487">
        <v>1231.6964394688457</v>
      </c>
      <c r="AG487">
        <v>1221.5558101381966</v>
      </c>
      <c r="AH487">
        <v>1211.4151808075474</v>
      </c>
      <c r="AI487">
        <v>1201.2745514768983</v>
      </c>
      <c r="AJ487">
        <v>1191.1339221462492</v>
      </c>
    </row>
    <row r="488" spans="1:36" x14ac:dyDescent="0.35">
      <c r="A488" t="s">
        <v>2081</v>
      </c>
      <c r="B488" t="s">
        <v>2071</v>
      </c>
      <c r="C488" t="s">
        <v>1350</v>
      </c>
      <c r="D488">
        <v>30</v>
      </c>
      <c r="E488" t="s">
        <v>2072</v>
      </c>
      <c r="F488" t="s">
        <v>2078</v>
      </c>
      <c r="G488" t="s">
        <v>2079</v>
      </c>
      <c r="H488">
        <v>1499.2530441159731</v>
      </c>
      <c r="I488">
        <v>1490.1153341696738</v>
      </c>
      <c r="J488">
        <v>1480.8661887362248</v>
      </c>
      <c r="K488">
        <v>1471.6170433027753</v>
      </c>
      <c r="L488">
        <v>1462.367897869326</v>
      </c>
      <c r="M488">
        <v>1453.118752435877</v>
      </c>
      <c r="N488">
        <v>1443.9810424895777</v>
      </c>
      <c r="O488">
        <v>1434.7318970561284</v>
      </c>
      <c r="P488">
        <v>1425.4827516226794</v>
      </c>
      <c r="Q488">
        <v>1416.2336061892302</v>
      </c>
      <c r="R488">
        <v>1407.0958962429308</v>
      </c>
      <c r="S488">
        <v>1397.8467508094818</v>
      </c>
      <c r="T488">
        <v>1388.5976053760323</v>
      </c>
      <c r="U488">
        <v>1379.3484599425831</v>
      </c>
      <c r="V488">
        <v>1370.099314509134</v>
      </c>
      <c r="W488">
        <v>1360.9616045628347</v>
      </c>
      <c r="X488">
        <v>1351.7124591293855</v>
      </c>
      <c r="Y488">
        <v>1342.4633136959364</v>
      </c>
      <c r="Z488">
        <v>1333.2141682624872</v>
      </c>
      <c r="AA488">
        <v>1324.0764583161879</v>
      </c>
      <c r="AB488">
        <v>1314.8273128827389</v>
      </c>
      <c r="AC488">
        <v>1305.5781674492894</v>
      </c>
      <c r="AD488">
        <v>1296.3290220158401</v>
      </c>
      <c r="AE488">
        <v>1287.0798765823911</v>
      </c>
      <c r="AF488">
        <v>1277.9421666360918</v>
      </c>
      <c r="AG488">
        <v>1268.6930212026425</v>
      </c>
      <c r="AH488">
        <v>1259.4438757691935</v>
      </c>
      <c r="AI488">
        <v>1250.1947303357442</v>
      </c>
      <c r="AJ488">
        <v>1241.0570203894449</v>
      </c>
    </row>
    <row r="489" spans="1:36" x14ac:dyDescent="0.35">
      <c r="A489" t="s">
        <v>2082</v>
      </c>
      <c r="B489" t="s">
        <v>2071</v>
      </c>
      <c r="C489" t="s">
        <v>1343</v>
      </c>
      <c r="D489">
        <v>30</v>
      </c>
      <c r="E489" t="s">
        <v>2072</v>
      </c>
      <c r="F489" t="s">
        <v>2083</v>
      </c>
      <c r="G489" t="s">
        <v>2084</v>
      </c>
      <c r="H489">
        <v>1536.02675487547</v>
      </c>
      <c r="I489">
        <v>1518.4199479057713</v>
      </c>
      <c r="J489">
        <v>1500.8131409360728</v>
      </c>
      <c r="K489">
        <v>1483.2063339663744</v>
      </c>
      <c r="L489">
        <v>1465.5995269966759</v>
      </c>
      <c r="M489">
        <v>1447.9927200269774</v>
      </c>
      <c r="N489">
        <v>1430.3859130572787</v>
      </c>
      <c r="O489">
        <v>1412.7791060875804</v>
      </c>
      <c r="P489">
        <v>1395.1722991178819</v>
      </c>
      <c r="Q489">
        <v>1377.5654921481835</v>
      </c>
      <c r="R489">
        <v>1360.0701206656349</v>
      </c>
      <c r="S489">
        <v>1342.4633136959364</v>
      </c>
      <c r="T489">
        <v>1324.856506726238</v>
      </c>
      <c r="U489">
        <v>1307.2496997565393</v>
      </c>
      <c r="V489">
        <v>1296.2175865286904</v>
      </c>
      <c r="W489">
        <v>1285.0740378136913</v>
      </c>
      <c r="X489">
        <v>1274.041924585842</v>
      </c>
      <c r="Y489">
        <v>1263.0098113579932</v>
      </c>
      <c r="Z489">
        <v>1251.9776981301441</v>
      </c>
      <c r="AA489">
        <v>1240.834149415145</v>
      </c>
      <c r="AB489">
        <v>1229.8020361872957</v>
      </c>
      <c r="AC489">
        <v>1218.7699229594468</v>
      </c>
      <c r="AD489">
        <v>1207.7378097315977</v>
      </c>
      <c r="AE489">
        <v>1196.5942610165987</v>
      </c>
      <c r="AF489">
        <v>1185.5621477887498</v>
      </c>
      <c r="AG489">
        <v>1174.5300345609005</v>
      </c>
      <c r="AH489">
        <v>1163.4979213330514</v>
      </c>
      <c r="AI489">
        <v>1152.3543726180524</v>
      </c>
      <c r="AJ489">
        <v>1141.3222593902035</v>
      </c>
    </row>
    <row r="490" spans="1:36" x14ac:dyDescent="0.35">
      <c r="A490" t="s">
        <v>2085</v>
      </c>
      <c r="B490" t="s">
        <v>2071</v>
      </c>
      <c r="C490" t="s">
        <v>1348</v>
      </c>
      <c r="D490">
        <v>30</v>
      </c>
      <c r="E490" t="s">
        <v>2072</v>
      </c>
      <c r="F490" t="s">
        <v>2083</v>
      </c>
      <c r="G490" t="s">
        <v>2084</v>
      </c>
      <c r="H490">
        <v>1536.02675487547</v>
      </c>
      <c r="I490">
        <v>1522.4316254431712</v>
      </c>
      <c r="J490">
        <v>1508.9479314980222</v>
      </c>
      <c r="K490">
        <v>1495.3528020657234</v>
      </c>
      <c r="L490">
        <v>1481.8691081205745</v>
      </c>
      <c r="M490">
        <v>1468.2739786882755</v>
      </c>
      <c r="N490">
        <v>1454.7902847431269</v>
      </c>
      <c r="O490">
        <v>1441.1951553108279</v>
      </c>
      <c r="P490">
        <v>1427.7114613656793</v>
      </c>
      <c r="Q490">
        <v>1414.1163319333803</v>
      </c>
      <c r="R490">
        <v>1400.6326379882314</v>
      </c>
      <c r="S490">
        <v>1387.0375085559326</v>
      </c>
      <c r="T490">
        <v>1373.5538146107835</v>
      </c>
      <c r="U490">
        <v>1359.958685178485</v>
      </c>
      <c r="V490">
        <v>1349.7066203606857</v>
      </c>
      <c r="W490">
        <v>1339.4545555428865</v>
      </c>
      <c r="X490">
        <v>1329.2024907250875</v>
      </c>
      <c r="Y490">
        <v>1318.9504259072883</v>
      </c>
      <c r="Z490">
        <v>1308.6983610894893</v>
      </c>
      <c r="AA490">
        <v>1298.44629627169</v>
      </c>
      <c r="AB490">
        <v>1288.0827959667411</v>
      </c>
      <c r="AC490">
        <v>1277.8307311489418</v>
      </c>
      <c r="AD490">
        <v>1267.5786663311426</v>
      </c>
      <c r="AE490">
        <v>1257.3266015133436</v>
      </c>
      <c r="AF490">
        <v>1247.0745366955443</v>
      </c>
      <c r="AG490">
        <v>1236.8224718777453</v>
      </c>
      <c r="AH490">
        <v>1226.5704070599461</v>
      </c>
      <c r="AI490">
        <v>1216.2069067549971</v>
      </c>
      <c r="AJ490">
        <v>1205.9548419371979</v>
      </c>
    </row>
    <row r="491" spans="1:36" x14ac:dyDescent="0.35">
      <c r="A491" t="s">
        <v>2086</v>
      </c>
      <c r="B491" t="s">
        <v>2071</v>
      </c>
      <c r="C491" t="s">
        <v>1350</v>
      </c>
      <c r="D491">
        <v>30</v>
      </c>
      <c r="E491" t="s">
        <v>2072</v>
      </c>
      <c r="F491" t="s">
        <v>2083</v>
      </c>
      <c r="G491" t="s">
        <v>2084</v>
      </c>
      <c r="H491">
        <v>1536.02675487547</v>
      </c>
      <c r="I491">
        <v>1526.5547384677209</v>
      </c>
      <c r="J491">
        <v>1517.0827220599717</v>
      </c>
      <c r="K491">
        <v>1507.4992701650724</v>
      </c>
      <c r="L491">
        <v>1498.027253757323</v>
      </c>
      <c r="M491">
        <v>1488.5552373495739</v>
      </c>
      <c r="N491">
        <v>1479.0832209418247</v>
      </c>
      <c r="O491">
        <v>1469.6112045340756</v>
      </c>
      <c r="P491">
        <v>1460.1391881263264</v>
      </c>
      <c r="Q491">
        <v>1450.667171718577</v>
      </c>
      <c r="R491">
        <v>1441.1951553108279</v>
      </c>
      <c r="S491">
        <v>1431.7231389030787</v>
      </c>
      <c r="T491">
        <v>1422.2511224953296</v>
      </c>
      <c r="U491">
        <v>1412.7791060875804</v>
      </c>
      <c r="V491">
        <v>1403.3070896798311</v>
      </c>
      <c r="W491">
        <v>1393.8350732720819</v>
      </c>
      <c r="X491">
        <v>1384.3630568643327</v>
      </c>
      <c r="Y491">
        <v>1374.8910404565836</v>
      </c>
      <c r="Z491">
        <v>1365.4190240488344</v>
      </c>
      <c r="AA491">
        <v>1355.9470076410851</v>
      </c>
      <c r="AB491">
        <v>1346.4749912333359</v>
      </c>
      <c r="AC491">
        <v>1337.0029748255868</v>
      </c>
      <c r="AD491">
        <v>1327.5309584178376</v>
      </c>
      <c r="AE491">
        <v>1318.0589420100882</v>
      </c>
      <c r="AF491">
        <v>1308.4754901151894</v>
      </c>
      <c r="AG491">
        <v>1299.00347370744</v>
      </c>
      <c r="AH491">
        <v>1289.5314572996908</v>
      </c>
      <c r="AI491">
        <v>1280.0594408919417</v>
      </c>
      <c r="AJ491">
        <v>1270.5874244841925</v>
      </c>
    </row>
    <row r="492" spans="1:36" x14ac:dyDescent="0.35">
      <c r="A492" t="s">
        <v>2087</v>
      </c>
      <c r="B492" t="s">
        <v>2071</v>
      </c>
      <c r="C492" t="s">
        <v>1343</v>
      </c>
      <c r="D492">
        <v>30</v>
      </c>
      <c r="E492" t="s">
        <v>2072</v>
      </c>
      <c r="F492" t="s">
        <v>2088</v>
      </c>
      <c r="G492" t="s">
        <v>2089</v>
      </c>
      <c r="H492">
        <v>1762.9094067128508</v>
      </c>
      <c r="I492">
        <v>1750.6515031263518</v>
      </c>
      <c r="J492">
        <v>1738.3935995398529</v>
      </c>
      <c r="K492">
        <v>1725.021341081854</v>
      </c>
      <c r="L492">
        <v>1712.763437495355</v>
      </c>
      <c r="M492">
        <v>1700.505533908856</v>
      </c>
      <c r="N492">
        <v>1688.2476303223571</v>
      </c>
      <c r="O492">
        <v>1674.8753718643582</v>
      </c>
      <c r="P492">
        <v>1662.6174682778592</v>
      </c>
      <c r="Q492">
        <v>1650.3595646913602</v>
      </c>
      <c r="R492">
        <v>1638.1016611048613</v>
      </c>
      <c r="S492">
        <v>1624.7294026468624</v>
      </c>
      <c r="T492">
        <v>1612.4714990603634</v>
      </c>
      <c r="U492">
        <v>1600.2135954738644</v>
      </c>
      <c r="V492">
        <v>1585.7269821443658</v>
      </c>
      <c r="W492">
        <v>1572.3547236863669</v>
      </c>
      <c r="X492">
        <v>1558.982465228368</v>
      </c>
      <c r="Y492">
        <v>1544.4958518988692</v>
      </c>
      <c r="Z492">
        <v>1531.1235934408703</v>
      </c>
      <c r="AA492">
        <v>1517.7513349828714</v>
      </c>
      <c r="AB492">
        <v>1503.2647216533728</v>
      </c>
      <c r="AC492">
        <v>1489.8924631953739</v>
      </c>
      <c r="AD492">
        <v>1476.520204737375</v>
      </c>
      <c r="AE492">
        <v>1462.0335914078762</v>
      </c>
      <c r="AF492">
        <v>1448.6613329498773</v>
      </c>
      <c r="AG492">
        <v>1434.1747196203785</v>
      </c>
      <c r="AH492">
        <v>1420.8024611623796</v>
      </c>
      <c r="AI492">
        <v>1407.4302027043809</v>
      </c>
      <c r="AJ492">
        <v>1392.9435893748821</v>
      </c>
    </row>
    <row r="493" spans="1:36" x14ac:dyDescent="0.35">
      <c r="A493" t="s">
        <v>2090</v>
      </c>
      <c r="B493" t="s">
        <v>2071</v>
      </c>
      <c r="C493" t="s">
        <v>1348</v>
      </c>
      <c r="D493">
        <v>30</v>
      </c>
      <c r="E493" t="s">
        <v>2072</v>
      </c>
      <c r="F493" t="s">
        <v>2088</v>
      </c>
      <c r="G493" t="s">
        <v>2089</v>
      </c>
      <c r="H493">
        <v>1762.9094067128508</v>
      </c>
      <c r="I493">
        <v>1751.7658579978518</v>
      </c>
      <c r="J493">
        <v>1739.5079544113528</v>
      </c>
      <c r="K493">
        <v>1727.2500508248538</v>
      </c>
      <c r="L493">
        <v>1716.1065021098548</v>
      </c>
      <c r="M493">
        <v>1703.8485985233558</v>
      </c>
      <c r="N493">
        <v>1692.7050498083568</v>
      </c>
      <c r="O493">
        <v>1680.4471462218578</v>
      </c>
      <c r="P493">
        <v>1669.3035975068588</v>
      </c>
      <c r="Q493">
        <v>1657.0456939203598</v>
      </c>
      <c r="R493">
        <v>1645.9021452053607</v>
      </c>
      <c r="S493">
        <v>1633.6442416188618</v>
      </c>
      <c r="T493">
        <v>1621.3863380323628</v>
      </c>
      <c r="U493">
        <v>1610.2427893173638</v>
      </c>
      <c r="V493">
        <v>1597.9848857308648</v>
      </c>
      <c r="W493">
        <v>1585.7269821443658</v>
      </c>
      <c r="X493">
        <v>1572.3547236863669</v>
      </c>
      <c r="Y493">
        <v>1560.096820099868</v>
      </c>
      <c r="Z493">
        <v>1547.838916513369</v>
      </c>
      <c r="AA493">
        <v>1535.58101292687</v>
      </c>
      <c r="AB493">
        <v>1523.323109340371</v>
      </c>
      <c r="AC493">
        <v>1511.0652057538721</v>
      </c>
      <c r="AD493">
        <v>1498.8073021673731</v>
      </c>
      <c r="AE493">
        <v>1486.5493985808741</v>
      </c>
      <c r="AF493">
        <v>1474.2914949943752</v>
      </c>
      <c r="AG493">
        <v>1460.9192365363763</v>
      </c>
      <c r="AH493">
        <v>1448.6613329498773</v>
      </c>
      <c r="AI493">
        <v>1436.4034293633783</v>
      </c>
      <c r="AJ493">
        <v>1424.1455257768794</v>
      </c>
    </row>
    <row r="494" spans="1:36" x14ac:dyDescent="0.35">
      <c r="A494" t="s">
        <v>2091</v>
      </c>
      <c r="B494" t="s">
        <v>2071</v>
      </c>
      <c r="C494" t="s">
        <v>1350</v>
      </c>
      <c r="D494">
        <v>30</v>
      </c>
      <c r="E494" t="s">
        <v>2072</v>
      </c>
      <c r="F494" t="s">
        <v>2088</v>
      </c>
      <c r="G494" t="s">
        <v>2089</v>
      </c>
      <c r="H494">
        <v>1762.9094067128508</v>
      </c>
      <c r="I494">
        <v>1751.7658579978518</v>
      </c>
      <c r="J494">
        <v>1740.6223092828527</v>
      </c>
      <c r="K494">
        <v>1730.5931154393534</v>
      </c>
      <c r="L494">
        <v>1719.4495667243543</v>
      </c>
      <c r="M494">
        <v>1708.3060180093553</v>
      </c>
      <c r="N494">
        <v>1697.1624692943562</v>
      </c>
      <c r="O494">
        <v>1686.0189205793572</v>
      </c>
      <c r="P494">
        <v>1674.8753718643582</v>
      </c>
      <c r="Q494">
        <v>1663.7318231493591</v>
      </c>
      <c r="R494">
        <v>1652.5882744343601</v>
      </c>
      <c r="S494">
        <v>1642.559080590861</v>
      </c>
      <c r="T494">
        <v>1631.4155318758619</v>
      </c>
      <c r="U494">
        <v>1620.2719831608629</v>
      </c>
      <c r="V494">
        <v>1609.1284344458638</v>
      </c>
      <c r="W494">
        <v>1597.9848857308648</v>
      </c>
      <c r="X494">
        <v>1586.8413370158655</v>
      </c>
      <c r="Y494">
        <v>1575.6977883008665</v>
      </c>
      <c r="Z494">
        <v>1565.6685944573674</v>
      </c>
      <c r="AA494">
        <v>1554.5250457423683</v>
      </c>
      <c r="AB494">
        <v>1543.3814970273693</v>
      </c>
      <c r="AC494">
        <v>1532.2379483123702</v>
      </c>
      <c r="AD494">
        <v>1521.0943995973712</v>
      </c>
      <c r="AE494">
        <v>1509.9508508823722</v>
      </c>
      <c r="AF494">
        <v>1498.8073021673731</v>
      </c>
      <c r="AG494">
        <v>1487.6637534523741</v>
      </c>
      <c r="AH494">
        <v>1477.634559608875</v>
      </c>
      <c r="AI494">
        <v>1466.4910108938759</v>
      </c>
      <c r="AJ494">
        <v>1455.3474621788769</v>
      </c>
    </row>
    <row r="495" spans="1:36" x14ac:dyDescent="0.35">
      <c r="A495" t="s">
        <v>2092</v>
      </c>
      <c r="B495" t="s">
        <v>2071</v>
      </c>
      <c r="C495" t="s">
        <v>1343</v>
      </c>
      <c r="D495">
        <v>30</v>
      </c>
      <c r="E495" t="s">
        <v>2072</v>
      </c>
      <c r="F495" t="s">
        <v>2093</v>
      </c>
      <c r="G495" t="s">
        <v>2094</v>
      </c>
      <c r="U495">
        <v>1721.2325345187542</v>
      </c>
      <c r="V495">
        <v>1705.9658727792057</v>
      </c>
      <c r="W495">
        <v>1690.6992110396568</v>
      </c>
      <c r="X495">
        <v>1675.4325493001081</v>
      </c>
      <c r="Y495">
        <v>1660.1658875605594</v>
      </c>
      <c r="Z495">
        <v>1644.8992258210105</v>
      </c>
      <c r="AA495">
        <v>1629.743999568612</v>
      </c>
      <c r="AB495">
        <v>1614.4773378290633</v>
      </c>
      <c r="AC495">
        <v>1599.2106760895144</v>
      </c>
      <c r="AD495">
        <v>1583.944014349966</v>
      </c>
      <c r="AE495">
        <v>1568.6773526104173</v>
      </c>
      <c r="AF495">
        <v>1553.4106908708684</v>
      </c>
      <c r="AG495">
        <v>1538.1440291313197</v>
      </c>
      <c r="AH495">
        <v>1522.877367391771</v>
      </c>
      <c r="AI495">
        <v>1507.6107056522224</v>
      </c>
      <c r="AJ495">
        <v>1492.4554793998236</v>
      </c>
    </row>
    <row r="496" spans="1:36" x14ac:dyDescent="0.35">
      <c r="A496" t="s">
        <v>2095</v>
      </c>
      <c r="B496" t="s">
        <v>2071</v>
      </c>
      <c r="C496" t="s">
        <v>1348</v>
      </c>
      <c r="D496">
        <v>30</v>
      </c>
      <c r="E496" t="s">
        <v>2072</v>
      </c>
      <c r="F496" t="s">
        <v>2093</v>
      </c>
      <c r="G496" t="s">
        <v>2094</v>
      </c>
      <c r="U496">
        <v>1721.2325345187542</v>
      </c>
      <c r="V496">
        <v>1719.8953086729546</v>
      </c>
      <c r="W496">
        <v>1718.5580828271545</v>
      </c>
      <c r="X496">
        <v>1717.2208569813547</v>
      </c>
      <c r="Y496">
        <v>1715.8836311355547</v>
      </c>
      <c r="Z496">
        <v>1714.5464052897548</v>
      </c>
      <c r="AA496">
        <v>1713.209179443955</v>
      </c>
      <c r="AB496">
        <v>1711.8719535981552</v>
      </c>
      <c r="AC496">
        <v>1710.4232922652052</v>
      </c>
      <c r="AD496">
        <v>1709.0860664194054</v>
      </c>
      <c r="AE496">
        <v>1707.7488405736053</v>
      </c>
      <c r="AF496">
        <v>1706.4116147278055</v>
      </c>
      <c r="AG496">
        <v>1705.0743888820055</v>
      </c>
      <c r="AH496">
        <v>1703.7371630362059</v>
      </c>
      <c r="AI496">
        <v>1702.3999371904058</v>
      </c>
      <c r="AJ496">
        <v>1701.062711344606</v>
      </c>
    </row>
    <row r="497" spans="1:36" x14ac:dyDescent="0.35">
      <c r="A497" t="s">
        <v>2096</v>
      </c>
      <c r="B497" t="s">
        <v>2071</v>
      </c>
      <c r="C497" t="s">
        <v>1343</v>
      </c>
      <c r="D497">
        <v>30</v>
      </c>
      <c r="E497" t="s">
        <v>2072</v>
      </c>
      <c r="F497" t="s">
        <v>2097</v>
      </c>
      <c r="G497" t="s">
        <v>2098</v>
      </c>
      <c r="H497">
        <v>3071.8306387766397</v>
      </c>
      <c r="I497">
        <v>2987.1396685426471</v>
      </c>
      <c r="J497">
        <v>2902.5601337958042</v>
      </c>
      <c r="K497">
        <v>2817.8691635618111</v>
      </c>
      <c r="L497">
        <v>2733.2896288149686</v>
      </c>
      <c r="M497">
        <v>2648.7100940681257</v>
      </c>
      <c r="N497">
        <v>2564.0191238341331</v>
      </c>
      <c r="O497">
        <v>2479.4395890872902</v>
      </c>
      <c r="P497">
        <v>2394.7486188532971</v>
      </c>
      <c r="Q497">
        <v>2310.1690841064542</v>
      </c>
      <c r="R497">
        <v>2225.4781138724616</v>
      </c>
      <c r="S497">
        <v>2140.8985791256187</v>
      </c>
      <c r="T497">
        <v>2056.207608891626</v>
      </c>
      <c r="U497">
        <v>1971.6280741447831</v>
      </c>
      <c r="V497">
        <v>1949.1181057404849</v>
      </c>
      <c r="W497">
        <v>1926.6081373361869</v>
      </c>
      <c r="X497">
        <v>1904.0981689318887</v>
      </c>
      <c r="Y497">
        <v>1881.6996360147405</v>
      </c>
      <c r="Z497">
        <v>1859.1896676104427</v>
      </c>
      <c r="AA497">
        <v>1836.6796992061445</v>
      </c>
      <c r="AB497">
        <v>1814.1697308018463</v>
      </c>
      <c r="AC497">
        <v>1791.7711978846985</v>
      </c>
      <c r="AD497">
        <v>1769.2612294804003</v>
      </c>
      <c r="AE497">
        <v>1746.7512610761021</v>
      </c>
      <c r="AF497">
        <v>1724.2412926718039</v>
      </c>
      <c r="AG497">
        <v>1701.7313242675059</v>
      </c>
      <c r="AH497">
        <v>1679.3327913503579</v>
      </c>
      <c r="AI497">
        <v>1656.8228229460597</v>
      </c>
      <c r="AJ497">
        <v>1634.3128545417615</v>
      </c>
    </row>
    <row r="498" spans="1:36" x14ac:dyDescent="0.35">
      <c r="A498" t="s">
        <v>2099</v>
      </c>
      <c r="B498" t="s">
        <v>2071</v>
      </c>
      <c r="C498" t="s">
        <v>1348</v>
      </c>
      <c r="D498">
        <v>30</v>
      </c>
      <c r="E498" t="s">
        <v>2072</v>
      </c>
      <c r="F498" t="s">
        <v>2097</v>
      </c>
      <c r="G498" t="s">
        <v>2098</v>
      </c>
      <c r="H498">
        <v>3071.8306387766397</v>
      </c>
      <c r="I498">
        <v>3015.3328467915949</v>
      </c>
      <c r="J498">
        <v>2958.8350548065491</v>
      </c>
      <c r="K498">
        <v>2902.3372628215043</v>
      </c>
      <c r="L498">
        <v>2845.8394708364594</v>
      </c>
      <c r="M498">
        <v>2789.3416788514137</v>
      </c>
      <c r="N498">
        <v>2732.7324513792187</v>
      </c>
      <c r="O498">
        <v>2676.2346593941734</v>
      </c>
      <c r="P498">
        <v>2619.7368674091281</v>
      </c>
      <c r="Q498">
        <v>2563.2390754240828</v>
      </c>
      <c r="R498">
        <v>2506.7412834390379</v>
      </c>
      <c r="S498">
        <v>2450.2434914539926</v>
      </c>
      <c r="T498">
        <v>2393.7456994689474</v>
      </c>
      <c r="U498">
        <v>2337.2479074839021</v>
      </c>
      <c r="V498">
        <v>2311.8406164137041</v>
      </c>
      <c r="W498">
        <v>2286.4333253435066</v>
      </c>
      <c r="X498">
        <v>2260.9145987861589</v>
      </c>
      <c r="Y498">
        <v>2235.5073077159605</v>
      </c>
      <c r="Z498">
        <v>2210.1000166457629</v>
      </c>
      <c r="AA498">
        <v>2184.692725575565</v>
      </c>
      <c r="AB498">
        <v>2159.1739990182173</v>
      </c>
      <c r="AC498">
        <v>2133.7667079480193</v>
      </c>
      <c r="AD498">
        <v>2108.3594168778213</v>
      </c>
      <c r="AE498">
        <v>2082.9521258076238</v>
      </c>
      <c r="AF498">
        <v>2057.5448347374258</v>
      </c>
      <c r="AG498">
        <v>2032.0261081800779</v>
      </c>
      <c r="AH498">
        <v>2006.6188171098802</v>
      </c>
      <c r="AI498">
        <v>1981.2115260396824</v>
      </c>
      <c r="AJ498">
        <v>1955.8042349694842</v>
      </c>
    </row>
    <row r="499" spans="1:36" x14ac:dyDescent="0.35">
      <c r="A499" t="s">
        <v>2100</v>
      </c>
      <c r="B499" t="s">
        <v>2071</v>
      </c>
      <c r="C499" t="s">
        <v>1350</v>
      </c>
      <c r="D499">
        <v>30</v>
      </c>
      <c r="E499" t="s">
        <v>2072</v>
      </c>
      <c r="F499" t="s">
        <v>2097</v>
      </c>
      <c r="G499" t="s">
        <v>2098</v>
      </c>
      <c r="H499">
        <v>3071.8306387766397</v>
      </c>
      <c r="I499">
        <v>3043.414589553392</v>
      </c>
      <c r="J499">
        <v>3015.1099758172945</v>
      </c>
      <c r="K499">
        <v>2986.6939265940468</v>
      </c>
      <c r="L499">
        <v>2958.2778773707992</v>
      </c>
      <c r="M499">
        <v>2929.9732636347021</v>
      </c>
      <c r="N499">
        <v>2901.5572144114544</v>
      </c>
      <c r="O499">
        <v>2873.1411651882067</v>
      </c>
      <c r="P499">
        <v>2844.8365514521092</v>
      </c>
      <c r="Q499">
        <v>2816.4205022288616</v>
      </c>
      <c r="R499">
        <v>2788.0044530056139</v>
      </c>
      <c r="S499">
        <v>2759.6998392695164</v>
      </c>
      <c r="T499">
        <v>2731.2837900462687</v>
      </c>
      <c r="U499">
        <v>2702.867740823021</v>
      </c>
      <c r="V499">
        <v>2674.5631270869235</v>
      </c>
      <c r="W499">
        <v>2646.1470778636758</v>
      </c>
      <c r="X499">
        <v>2617.7310286404281</v>
      </c>
      <c r="Y499">
        <v>2589.4264149043306</v>
      </c>
      <c r="Z499">
        <v>2561.0103656810829</v>
      </c>
      <c r="AA499">
        <v>2532.5943164578352</v>
      </c>
      <c r="AB499">
        <v>2504.2897027217382</v>
      </c>
      <c r="AC499">
        <v>2475.8736534984905</v>
      </c>
      <c r="AD499">
        <v>2447.4576042752428</v>
      </c>
      <c r="AE499">
        <v>2419.1529905391453</v>
      </c>
      <c r="AF499">
        <v>2390.7369413158976</v>
      </c>
      <c r="AG499">
        <v>2362.32089209265</v>
      </c>
      <c r="AH499">
        <v>2334.0162783565524</v>
      </c>
      <c r="AI499">
        <v>2305.6002291333048</v>
      </c>
      <c r="AJ499">
        <v>2277.1841799100571</v>
      </c>
    </row>
    <row r="500" spans="1:36" x14ac:dyDescent="0.35">
      <c r="A500" t="s">
        <v>2101</v>
      </c>
      <c r="B500" t="s">
        <v>2071</v>
      </c>
      <c r="C500" t="s">
        <v>1343</v>
      </c>
      <c r="D500">
        <v>30</v>
      </c>
      <c r="E500" t="s">
        <v>2072</v>
      </c>
      <c r="F500" t="s">
        <v>2102</v>
      </c>
      <c r="G500" t="s">
        <v>2103</v>
      </c>
      <c r="H500">
        <v>2924.1786183029021</v>
      </c>
      <c r="I500">
        <v>2850.9655032453588</v>
      </c>
      <c r="J500">
        <v>2777.6409527006649</v>
      </c>
      <c r="K500">
        <v>2704.4278376431212</v>
      </c>
      <c r="L500">
        <v>2631.1032870984272</v>
      </c>
      <c r="M500">
        <v>2557.7787365537338</v>
      </c>
      <c r="N500">
        <v>2484.5656214961896</v>
      </c>
      <c r="O500">
        <v>2411.2410709514961</v>
      </c>
      <c r="P500">
        <v>2338.0279558939519</v>
      </c>
      <c r="Q500">
        <v>2264.703405349258</v>
      </c>
      <c r="R500">
        <v>2191.3788548045645</v>
      </c>
      <c r="S500">
        <v>2118.1657397470208</v>
      </c>
      <c r="T500">
        <v>2044.8411892023269</v>
      </c>
      <c r="U500">
        <v>1971.6280741447831</v>
      </c>
      <c r="V500">
        <v>1949.1181057404849</v>
      </c>
      <c r="W500">
        <v>1926.6081373361869</v>
      </c>
      <c r="X500">
        <v>1904.0981689318887</v>
      </c>
      <c r="Y500">
        <v>1881.6996360147405</v>
      </c>
      <c r="Z500">
        <v>1859.1896676104427</v>
      </c>
      <c r="AA500">
        <v>1836.6796992061445</v>
      </c>
      <c r="AB500">
        <v>1814.1697308018463</v>
      </c>
      <c r="AC500">
        <v>1791.7711978846985</v>
      </c>
      <c r="AD500">
        <v>1769.2612294804003</v>
      </c>
      <c r="AE500">
        <v>1746.7512610761021</v>
      </c>
      <c r="AF500">
        <v>1724.2412926718039</v>
      </c>
      <c r="AG500">
        <v>1701.7313242675059</v>
      </c>
      <c r="AH500">
        <v>1679.3327913503579</v>
      </c>
      <c r="AI500">
        <v>1656.8228229460597</v>
      </c>
      <c r="AJ500">
        <v>1634.3128545417615</v>
      </c>
    </row>
    <row r="501" spans="1:36" x14ac:dyDescent="0.35">
      <c r="A501" t="s">
        <v>2104</v>
      </c>
      <c r="B501" t="s">
        <v>2071</v>
      </c>
      <c r="C501" t="s">
        <v>1348</v>
      </c>
      <c r="D501">
        <v>30</v>
      </c>
      <c r="E501" t="s">
        <v>2072</v>
      </c>
      <c r="F501" t="s">
        <v>2102</v>
      </c>
      <c r="G501" t="s">
        <v>2103</v>
      </c>
      <c r="H501">
        <v>2924.1786183029021</v>
      </c>
      <c r="I501">
        <v>2874.1440845725565</v>
      </c>
      <c r="J501">
        <v>2823.9981153550607</v>
      </c>
      <c r="K501">
        <v>2773.8521461375649</v>
      </c>
      <c r="L501">
        <v>2723.7061769200691</v>
      </c>
      <c r="M501">
        <v>2673.5602077025733</v>
      </c>
      <c r="N501">
        <v>2623.5256739722281</v>
      </c>
      <c r="O501">
        <v>2573.3797047547323</v>
      </c>
      <c r="P501">
        <v>2523.2337355372365</v>
      </c>
      <c r="Q501">
        <v>2473.0877663197407</v>
      </c>
      <c r="R501">
        <v>2422.9417971022449</v>
      </c>
      <c r="S501">
        <v>2372.7958278847491</v>
      </c>
      <c r="T501">
        <v>2322.7612941544035</v>
      </c>
      <c r="U501">
        <v>2272.6153249369077</v>
      </c>
      <c r="V501">
        <v>2247.8766467896098</v>
      </c>
      <c r="W501">
        <v>2223.1379686423115</v>
      </c>
      <c r="X501">
        <v>2198.3992904950137</v>
      </c>
      <c r="Y501">
        <v>2173.6606123477159</v>
      </c>
      <c r="Z501">
        <v>2148.921934200418</v>
      </c>
      <c r="AA501">
        <v>2124.1832560531202</v>
      </c>
      <c r="AB501">
        <v>2099.5560133929721</v>
      </c>
      <c r="AC501">
        <v>2074.8173352456743</v>
      </c>
      <c r="AD501">
        <v>2050.0786570983764</v>
      </c>
      <c r="AE501">
        <v>2025.3399789510786</v>
      </c>
      <c r="AF501">
        <v>2000.6013008037805</v>
      </c>
      <c r="AG501">
        <v>1975.8626226564827</v>
      </c>
      <c r="AH501">
        <v>1951.1239445091849</v>
      </c>
      <c r="AI501">
        <v>1926.385266361887</v>
      </c>
      <c r="AJ501">
        <v>1901.646588214589</v>
      </c>
    </row>
    <row r="502" spans="1:36" x14ac:dyDescent="0.35">
      <c r="A502" t="s">
        <v>2105</v>
      </c>
      <c r="B502" t="s">
        <v>2071</v>
      </c>
      <c r="C502" t="s">
        <v>1350</v>
      </c>
      <c r="D502">
        <v>30</v>
      </c>
      <c r="E502" t="s">
        <v>2072</v>
      </c>
      <c r="F502" t="s">
        <v>2102</v>
      </c>
      <c r="G502" t="s">
        <v>2103</v>
      </c>
      <c r="H502">
        <v>2924.1786183029021</v>
      </c>
      <c r="I502">
        <v>2897.2112304126049</v>
      </c>
      <c r="J502">
        <v>2870.2438425223067</v>
      </c>
      <c r="K502">
        <v>2843.2764546320091</v>
      </c>
      <c r="L502">
        <v>2816.3090667417118</v>
      </c>
      <c r="M502">
        <v>2789.3416788514137</v>
      </c>
      <c r="N502">
        <v>2762.374290961116</v>
      </c>
      <c r="O502">
        <v>2735.4069030708183</v>
      </c>
      <c r="P502">
        <v>2708.4395151805206</v>
      </c>
      <c r="Q502">
        <v>2681.4721272902229</v>
      </c>
      <c r="R502">
        <v>2654.5047393999253</v>
      </c>
      <c r="S502">
        <v>2627.5373515096276</v>
      </c>
      <c r="T502">
        <v>2600.5699636193294</v>
      </c>
      <c r="U502">
        <v>2573.6025757290322</v>
      </c>
      <c r="V502">
        <v>2546.6351878387345</v>
      </c>
      <c r="W502">
        <v>2519.6677999484364</v>
      </c>
      <c r="X502">
        <v>2492.7004120581391</v>
      </c>
      <c r="Y502">
        <v>2465.733024167841</v>
      </c>
      <c r="Z502">
        <v>2438.7656362775433</v>
      </c>
      <c r="AA502">
        <v>2411.7982483872461</v>
      </c>
      <c r="AB502">
        <v>2384.8308604969479</v>
      </c>
      <c r="AC502">
        <v>2357.8634726066502</v>
      </c>
      <c r="AD502">
        <v>2330.8960847163526</v>
      </c>
      <c r="AE502">
        <v>2303.9286968260549</v>
      </c>
      <c r="AF502">
        <v>2276.9613089357572</v>
      </c>
      <c r="AG502">
        <v>2249.9939210454595</v>
      </c>
      <c r="AH502">
        <v>2223.0265331551618</v>
      </c>
      <c r="AI502">
        <v>2196.0591452648641</v>
      </c>
      <c r="AJ502">
        <v>2169.0917573745664</v>
      </c>
    </row>
    <row r="503" spans="1:36" x14ac:dyDescent="0.35">
      <c r="A503" t="s">
        <v>2106</v>
      </c>
      <c r="B503" t="s">
        <v>2071</v>
      </c>
      <c r="C503" t="s">
        <v>1343</v>
      </c>
      <c r="D503">
        <v>30</v>
      </c>
      <c r="E503" t="s">
        <v>2072</v>
      </c>
      <c r="F503" t="s">
        <v>2107</v>
      </c>
      <c r="G503" t="s">
        <v>2108</v>
      </c>
      <c r="H503">
        <v>3419.9551006332103</v>
      </c>
      <c r="I503">
        <v>3350.8650986002162</v>
      </c>
      <c r="J503">
        <v>3281.7750965672221</v>
      </c>
      <c r="K503">
        <v>3212.685094534228</v>
      </c>
      <c r="L503">
        <v>3143.5950925012339</v>
      </c>
      <c r="M503">
        <v>3074.5050904682398</v>
      </c>
      <c r="N503">
        <v>3005.4150884352457</v>
      </c>
      <c r="O503">
        <v>2936.3250864022511</v>
      </c>
      <c r="P503">
        <v>2868.349439240757</v>
      </c>
      <c r="Q503">
        <v>2799.2594372077629</v>
      </c>
      <c r="R503">
        <v>2730.1694351747688</v>
      </c>
      <c r="S503">
        <v>2661.0794331417746</v>
      </c>
      <c r="T503">
        <v>2591.9894311087805</v>
      </c>
      <c r="U503">
        <v>2522.8994290757864</v>
      </c>
      <c r="V503">
        <v>2493.9262024167888</v>
      </c>
      <c r="W503">
        <v>2464.9529757577911</v>
      </c>
      <c r="X503">
        <v>2435.9797490987939</v>
      </c>
      <c r="Y503">
        <v>2405.8921675682964</v>
      </c>
      <c r="Z503">
        <v>2376.9189409092987</v>
      </c>
      <c r="AA503">
        <v>2347.9457142503011</v>
      </c>
      <c r="AB503">
        <v>2318.9724875913034</v>
      </c>
      <c r="AC503">
        <v>2289.9992609323062</v>
      </c>
      <c r="AD503">
        <v>2259.9116794018087</v>
      </c>
      <c r="AE503">
        <v>2230.938452742811</v>
      </c>
      <c r="AF503">
        <v>2201.9652260838134</v>
      </c>
      <c r="AG503">
        <v>2172.9919994248162</v>
      </c>
      <c r="AH503">
        <v>2144.0187727658185</v>
      </c>
      <c r="AI503">
        <v>2113.931191235321</v>
      </c>
      <c r="AJ503">
        <v>2084.9579645763233</v>
      </c>
    </row>
    <row r="504" spans="1:36" x14ac:dyDescent="0.35">
      <c r="A504" t="s">
        <v>2109</v>
      </c>
      <c r="B504" t="s">
        <v>2071</v>
      </c>
      <c r="C504" t="s">
        <v>1348</v>
      </c>
      <c r="D504">
        <v>30</v>
      </c>
      <c r="E504" t="s">
        <v>2072</v>
      </c>
      <c r="F504" t="s">
        <v>2107</v>
      </c>
      <c r="G504" t="s">
        <v>2108</v>
      </c>
      <c r="H504">
        <v>3419.9551006332103</v>
      </c>
      <c r="I504">
        <v>3369.8091314157145</v>
      </c>
      <c r="J504">
        <v>3318.5488073267188</v>
      </c>
      <c r="K504">
        <v>3268.4028381092235</v>
      </c>
      <c r="L504">
        <v>3218.2568688917277</v>
      </c>
      <c r="M504">
        <v>3168.1108996742319</v>
      </c>
      <c r="N504">
        <v>3117.9649304567361</v>
      </c>
      <c r="O504">
        <v>3066.7046063677403</v>
      </c>
      <c r="P504">
        <v>3016.5586371502445</v>
      </c>
      <c r="Q504">
        <v>2966.4126679327487</v>
      </c>
      <c r="R504">
        <v>2916.2666987152529</v>
      </c>
      <c r="S504">
        <v>2866.1207294977571</v>
      </c>
      <c r="T504">
        <v>2814.8604054087618</v>
      </c>
      <c r="U504">
        <v>2764.714436191266</v>
      </c>
      <c r="V504">
        <v>2734.6268546607685</v>
      </c>
      <c r="W504">
        <v>2704.5392731302709</v>
      </c>
      <c r="X504">
        <v>2673.3373367282738</v>
      </c>
      <c r="Y504">
        <v>2643.2497551977763</v>
      </c>
      <c r="Z504">
        <v>2613.1621736672787</v>
      </c>
      <c r="AA504">
        <v>2581.9602372652812</v>
      </c>
      <c r="AB504">
        <v>2551.8726557347841</v>
      </c>
      <c r="AC504">
        <v>2521.7850742042865</v>
      </c>
      <c r="AD504">
        <v>2490.583137802289</v>
      </c>
      <c r="AE504">
        <v>2460.4955562717914</v>
      </c>
      <c r="AF504">
        <v>2430.4079747412943</v>
      </c>
      <c r="AG504">
        <v>2399.2060383392968</v>
      </c>
      <c r="AH504">
        <v>2369.1184568087992</v>
      </c>
      <c r="AI504">
        <v>2339.0308752783021</v>
      </c>
      <c r="AJ504">
        <v>2307.8289388763046</v>
      </c>
    </row>
    <row r="505" spans="1:36" x14ac:dyDescent="0.35">
      <c r="A505" t="s">
        <v>2110</v>
      </c>
      <c r="B505" t="s">
        <v>2071</v>
      </c>
      <c r="C505" t="s">
        <v>1350</v>
      </c>
      <c r="D505">
        <v>30</v>
      </c>
      <c r="E505" t="s">
        <v>2072</v>
      </c>
      <c r="F505" t="s">
        <v>2107</v>
      </c>
      <c r="G505" t="s">
        <v>2108</v>
      </c>
      <c r="H505">
        <v>3419.9551006332103</v>
      </c>
      <c r="I505">
        <v>3387.6388093597134</v>
      </c>
      <c r="J505">
        <v>3356.4368729577159</v>
      </c>
      <c r="K505">
        <v>3324.1205816842185</v>
      </c>
      <c r="L505">
        <v>3292.918645282221</v>
      </c>
      <c r="M505">
        <v>3260.602354008724</v>
      </c>
      <c r="N505">
        <v>3229.4004176067265</v>
      </c>
      <c r="O505">
        <v>3197.0841263332295</v>
      </c>
      <c r="P505">
        <v>3165.882189931232</v>
      </c>
      <c r="Q505">
        <v>3133.5658986577346</v>
      </c>
      <c r="R505">
        <v>3102.3639622557375</v>
      </c>
      <c r="S505">
        <v>3070.0476709822401</v>
      </c>
      <c r="T505">
        <v>3038.8457345802426</v>
      </c>
      <c r="U505">
        <v>3006.5294433067456</v>
      </c>
      <c r="V505">
        <v>2975.3275069047481</v>
      </c>
      <c r="W505">
        <v>2943.0112156312507</v>
      </c>
      <c r="X505">
        <v>2911.8092792292537</v>
      </c>
      <c r="Y505">
        <v>2880.6073428272562</v>
      </c>
      <c r="Z505">
        <v>2848.2910515537587</v>
      </c>
      <c r="AA505">
        <v>2817.0891151517617</v>
      </c>
      <c r="AB505">
        <v>2784.7728238782643</v>
      </c>
      <c r="AC505">
        <v>2753.5708874762668</v>
      </c>
      <c r="AD505">
        <v>2721.2545962027698</v>
      </c>
      <c r="AE505">
        <v>2690.0526598007723</v>
      </c>
      <c r="AF505">
        <v>2657.7363685272749</v>
      </c>
      <c r="AG505">
        <v>2626.5344321252778</v>
      </c>
      <c r="AH505">
        <v>2594.2181408517804</v>
      </c>
      <c r="AI505">
        <v>2563.0162044497829</v>
      </c>
      <c r="AJ505">
        <v>2530.6999131762859</v>
      </c>
    </row>
    <row r="506" spans="1:36" x14ac:dyDescent="0.35">
      <c r="A506" t="s">
        <v>2111</v>
      </c>
      <c r="B506" t="s">
        <v>2071</v>
      </c>
      <c r="C506" t="s">
        <v>1343</v>
      </c>
      <c r="D506">
        <v>30</v>
      </c>
      <c r="E506" t="s">
        <v>2072</v>
      </c>
      <c r="F506" t="s">
        <v>2112</v>
      </c>
      <c r="G506" t="s">
        <v>2113</v>
      </c>
      <c r="H506">
        <v>3117.073446559536</v>
      </c>
      <c r="I506">
        <v>3030.2652020696937</v>
      </c>
      <c r="J506">
        <v>2943.3455220927008</v>
      </c>
      <c r="K506">
        <v>2856.537277602858</v>
      </c>
      <c r="L506">
        <v>2769.7290331130152</v>
      </c>
      <c r="M506">
        <v>2682.9207886231729</v>
      </c>
      <c r="N506">
        <v>2596.1125441333302</v>
      </c>
      <c r="O506">
        <v>2509.1928641563372</v>
      </c>
      <c r="P506">
        <v>2422.3846196664949</v>
      </c>
      <c r="Q506">
        <v>2335.5763751766522</v>
      </c>
      <c r="R506">
        <v>2248.7681306868094</v>
      </c>
      <c r="S506">
        <v>2161.9598861969666</v>
      </c>
      <c r="T506">
        <v>2075.1516417071243</v>
      </c>
      <c r="U506">
        <v>1988.2319617301316</v>
      </c>
      <c r="V506">
        <v>1965.6105578386837</v>
      </c>
      <c r="W506">
        <v>1942.8777184600856</v>
      </c>
      <c r="X506">
        <v>1920.2563145686374</v>
      </c>
      <c r="Y506">
        <v>1897.5234751900393</v>
      </c>
      <c r="Z506">
        <v>1874.9020712985912</v>
      </c>
      <c r="AA506">
        <v>1852.1692319199931</v>
      </c>
      <c r="AB506">
        <v>1829.4363925413952</v>
      </c>
      <c r="AC506">
        <v>1806.8149886499471</v>
      </c>
      <c r="AD506">
        <v>1784.082149271349</v>
      </c>
      <c r="AE506">
        <v>1761.4607453799008</v>
      </c>
      <c r="AF506">
        <v>1738.7279060013027</v>
      </c>
      <c r="AG506">
        <v>1716.1065021098548</v>
      </c>
      <c r="AH506">
        <v>1693.3736627312564</v>
      </c>
      <c r="AI506">
        <v>1670.6408233526586</v>
      </c>
      <c r="AJ506">
        <v>1648.0194194612106</v>
      </c>
    </row>
    <row r="507" spans="1:36" x14ac:dyDescent="0.35">
      <c r="A507" t="s">
        <v>2114</v>
      </c>
      <c r="B507" t="s">
        <v>2071</v>
      </c>
      <c r="C507" t="s">
        <v>1348</v>
      </c>
      <c r="D507">
        <v>30</v>
      </c>
      <c r="E507" t="s">
        <v>2072</v>
      </c>
      <c r="F507" t="s">
        <v>2112</v>
      </c>
      <c r="G507" t="s">
        <v>2113</v>
      </c>
      <c r="H507">
        <v>3117.073446559536</v>
      </c>
      <c r="I507">
        <v>3059.2384287286914</v>
      </c>
      <c r="J507">
        <v>3001.4034108978458</v>
      </c>
      <c r="K507">
        <v>2943.5683930670007</v>
      </c>
      <c r="L507">
        <v>2885.7333752361556</v>
      </c>
      <c r="M507">
        <v>2827.8983574053104</v>
      </c>
      <c r="N507">
        <v>2770.0633395744658</v>
      </c>
      <c r="O507">
        <v>2712.3397572307704</v>
      </c>
      <c r="P507">
        <v>2654.5047393999253</v>
      </c>
      <c r="Q507">
        <v>2596.6697215690801</v>
      </c>
      <c r="R507">
        <v>2538.834703738235</v>
      </c>
      <c r="S507">
        <v>2480.9996859073899</v>
      </c>
      <c r="T507">
        <v>2423.1646680765448</v>
      </c>
      <c r="U507">
        <v>2365.3296502456997</v>
      </c>
      <c r="V507">
        <v>2339.5880527140521</v>
      </c>
      <c r="W507">
        <v>2313.846455182404</v>
      </c>
      <c r="X507">
        <v>2288.1048576507565</v>
      </c>
      <c r="Y507">
        <v>2262.3632601191084</v>
      </c>
      <c r="Z507">
        <v>2236.6216625874604</v>
      </c>
      <c r="AA507">
        <v>2210.8800650558128</v>
      </c>
      <c r="AB507">
        <v>2185.1384675241652</v>
      </c>
      <c r="AC507">
        <v>2159.3968699925172</v>
      </c>
      <c r="AD507">
        <v>2133.6552724608696</v>
      </c>
      <c r="AE507">
        <v>2107.9136749292215</v>
      </c>
      <c r="AF507">
        <v>2082.1720773975735</v>
      </c>
      <c r="AG507">
        <v>2056.4304798659259</v>
      </c>
      <c r="AH507">
        <v>2030.6888823342781</v>
      </c>
      <c r="AI507">
        <v>2004.8358493154801</v>
      </c>
      <c r="AJ507">
        <v>1979.0942517838325</v>
      </c>
    </row>
    <row r="508" spans="1:36" x14ac:dyDescent="0.35">
      <c r="A508" t="s">
        <v>2115</v>
      </c>
      <c r="B508" t="s">
        <v>2071</v>
      </c>
      <c r="C508" t="s">
        <v>1350</v>
      </c>
      <c r="D508">
        <v>30</v>
      </c>
      <c r="E508" t="s">
        <v>2072</v>
      </c>
      <c r="F508" t="s">
        <v>2112</v>
      </c>
      <c r="G508" t="s">
        <v>2113</v>
      </c>
      <c r="H508">
        <v>3117.073446559536</v>
      </c>
      <c r="I508">
        <v>3088.2116553876886</v>
      </c>
      <c r="J508">
        <v>3059.4612997029908</v>
      </c>
      <c r="K508">
        <v>3030.5995085311433</v>
      </c>
      <c r="L508">
        <v>3001.7377173592954</v>
      </c>
      <c r="M508">
        <v>2972.9873616745986</v>
      </c>
      <c r="N508">
        <v>2944.1255705027506</v>
      </c>
      <c r="O508">
        <v>2915.3752148180529</v>
      </c>
      <c r="P508">
        <v>2886.5134236462059</v>
      </c>
      <c r="Q508">
        <v>2857.7630679615081</v>
      </c>
      <c r="R508">
        <v>2828.9012767896602</v>
      </c>
      <c r="S508">
        <v>2800.1509211049629</v>
      </c>
      <c r="T508">
        <v>2771.2891299331154</v>
      </c>
      <c r="U508">
        <v>2742.4273387612679</v>
      </c>
      <c r="V508">
        <v>2713.6769830765702</v>
      </c>
      <c r="W508">
        <v>2684.8151919047227</v>
      </c>
      <c r="X508">
        <v>2656.064836220025</v>
      </c>
      <c r="Y508">
        <v>2627.2030450481775</v>
      </c>
      <c r="Z508">
        <v>2598.4526893634802</v>
      </c>
      <c r="AA508">
        <v>2569.5908981916327</v>
      </c>
      <c r="AB508">
        <v>2540.7291070197848</v>
      </c>
      <c r="AC508">
        <v>2511.9787513350871</v>
      </c>
      <c r="AD508">
        <v>2483.11696016324</v>
      </c>
      <c r="AE508">
        <v>2454.3666044785423</v>
      </c>
      <c r="AF508">
        <v>2425.5048133066944</v>
      </c>
      <c r="AG508">
        <v>2396.7544576219971</v>
      </c>
      <c r="AH508">
        <v>2367.8926664501496</v>
      </c>
      <c r="AI508">
        <v>2339.1423107654518</v>
      </c>
      <c r="AJ508">
        <v>2310.2805195936044</v>
      </c>
    </row>
    <row r="509" spans="1:36" x14ac:dyDescent="0.35">
      <c r="A509" t="s">
        <v>2116</v>
      </c>
      <c r="B509" t="s">
        <v>2071</v>
      </c>
      <c r="C509" t="s">
        <v>1343</v>
      </c>
      <c r="D509">
        <v>30</v>
      </c>
      <c r="E509" t="s">
        <v>2072</v>
      </c>
      <c r="F509" t="s">
        <v>2117</v>
      </c>
      <c r="G509" t="s">
        <v>2118</v>
      </c>
      <c r="H509">
        <v>2964.1839581897489</v>
      </c>
      <c r="I509">
        <v>2889.5221817992551</v>
      </c>
      <c r="J509">
        <v>2814.8604054087618</v>
      </c>
      <c r="K509">
        <v>2739.0842741467682</v>
      </c>
      <c r="L509">
        <v>2664.4224977562744</v>
      </c>
      <c r="M509">
        <v>2588.6463664942808</v>
      </c>
      <c r="N509">
        <v>2513.984590103787</v>
      </c>
      <c r="O509">
        <v>2439.3228137132933</v>
      </c>
      <c r="P509">
        <v>2363.5466824513001</v>
      </c>
      <c r="Q509">
        <v>2288.8849060608063</v>
      </c>
      <c r="R509">
        <v>2213.1087747988126</v>
      </c>
      <c r="S509">
        <v>2138.4469984083189</v>
      </c>
      <c r="T509">
        <v>2063.7852220178252</v>
      </c>
      <c r="U509">
        <v>1988.0090907558317</v>
      </c>
      <c r="V509">
        <v>1965.7219933258336</v>
      </c>
      <c r="W509">
        <v>1943.4348958958353</v>
      </c>
      <c r="X509">
        <v>1920.0334435943373</v>
      </c>
      <c r="Y509">
        <v>1897.7463461643392</v>
      </c>
      <c r="Z509">
        <v>1875.4592487343411</v>
      </c>
      <c r="AA509">
        <v>1852.0577964328431</v>
      </c>
      <c r="AB509">
        <v>1829.770699002845</v>
      </c>
      <c r="AC509">
        <v>1806.369246701347</v>
      </c>
      <c r="AD509">
        <v>1784.082149271349</v>
      </c>
      <c r="AE509">
        <v>1761.7950518413509</v>
      </c>
      <c r="AF509">
        <v>1738.3935995398529</v>
      </c>
      <c r="AG509">
        <v>1716.1065021098548</v>
      </c>
      <c r="AH509">
        <v>1693.8194046798567</v>
      </c>
      <c r="AI509">
        <v>1670.4179523783585</v>
      </c>
      <c r="AJ509">
        <v>1648.1308549483604</v>
      </c>
    </row>
    <row r="510" spans="1:36" x14ac:dyDescent="0.35">
      <c r="A510" t="s">
        <v>2119</v>
      </c>
      <c r="B510" t="s">
        <v>2071</v>
      </c>
      <c r="C510" t="s">
        <v>1348</v>
      </c>
      <c r="D510">
        <v>30</v>
      </c>
      <c r="E510" t="s">
        <v>2072</v>
      </c>
      <c r="F510" t="s">
        <v>2117</v>
      </c>
      <c r="G510" t="s">
        <v>2118</v>
      </c>
      <c r="H510">
        <v>2964.1839581897489</v>
      </c>
      <c r="I510">
        <v>2912.9236341007531</v>
      </c>
      <c r="J510">
        <v>2861.6633100117579</v>
      </c>
      <c r="K510">
        <v>2810.4029859227621</v>
      </c>
      <c r="L510">
        <v>2759.1426618337664</v>
      </c>
      <c r="M510">
        <v>2707.8823377447707</v>
      </c>
      <c r="N510">
        <v>2657.7363685272749</v>
      </c>
      <c r="O510">
        <v>2606.4760444382791</v>
      </c>
      <c r="P510">
        <v>2555.2157203492839</v>
      </c>
      <c r="Q510">
        <v>2503.9553962602881</v>
      </c>
      <c r="R510">
        <v>2452.6950721712924</v>
      </c>
      <c r="S510">
        <v>2401.4347480822967</v>
      </c>
      <c r="T510">
        <v>2350.1744239933009</v>
      </c>
      <c r="U510">
        <v>2298.9140999043052</v>
      </c>
      <c r="V510">
        <v>2273.2839378598073</v>
      </c>
      <c r="W510">
        <v>2248.7681306868094</v>
      </c>
      <c r="X510">
        <v>2223.1379686423115</v>
      </c>
      <c r="Y510">
        <v>2198.6221614693141</v>
      </c>
      <c r="Z510">
        <v>2172.9919994248162</v>
      </c>
      <c r="AA510">
        <v>2148.4761922518182</v>
      </c>
      <c r="AB510">
        <v>2123.9603850788203</v>
      </c>
      <c r="AC510">
        <v>2098.3302230343224</v>
      </c>
      <c r="AD510">
        <v>2073.8144158613245</v>
      </c>
      <c r="AE510">
        <v>2048.1842538168266</v>
      </c>
      <c r="AF510">
        <v>2023.6684466438287</v>
      </c>
      <c r="AG510">
        <v>1998.0382845993308</v>
      </c>
      <c r="AH510">
        <v>1973.5224774263329</v>
      </c>
      <c r="AI510">
        <v>1947.892315381835</v>
      </c>
      <c r="AJ510">
        <v>1923.3765082088371</v>
      </c>
    </row>
    <row r="511" spans="1:36" x14ac:dyDescent="0.35">
      <c r="A511" t="s">
        <v>2120</v>
      </c>
      <c r="B511" t="s">
        <v>2071</v>
      </c>
      <c r="C511" t="s">
        <v>1350</v>
      </c>
      <c r="D511">
        <v>30</v>
      </c>
      <c r="E511" t="s">
        <v>2072</v>
      </c>
      <c r="F511" t="s">
        <v>2117</v>
      </c>
      <c r="G511" t="s">
        <v>2118</v>
      </c>
      <c r="H511">
        <v>2964.1839581897489</v>
      </c>
      <c r="I511">
        <v>2937.4394412737511</v>
      </c>
      <c r="J511">
        <v>2909.5805694862538</v>
      </c>
      <c r="K511">
        <v>2882.836052570256</v>
      </c>
      <c r="L511">
        <v>2854.9771807827583</v>
      </c>
      <c r="M511">
        <v>2828.2326638667605</v>
      </c>
      <c r="N511">
        <v>2800.3737920792628</v>
      </c>
      <c r="O511">
        <v>2772.5149202917651</v>
      </c>
      <c r="P511">
        <v>2745.7704033757673</v>
      </c>
      <c r="Q511">
        <v>2717.91153158827</v>
      </c>
      <c r="R511">
        <v>2691.1670146722722</v>
      </c>
      <c r="S511">
        <v>2663.3081428847745</v>
      </c>
      <c r="T511">
        <v>2636.5636259687767</v>
      </c>
      <c r="U511">
        <v>2608.704754181279</v>
      </c>
      <c r="V511">
        <v>2581.9602372652812</v>
      </c>
      <c r="W511">
        <v>2554.1013654777839</v>
      </c>
      <c r="X511">
        <v>2527.3568485617861</v>
      </c>
      <c r="Y511">
        <v>2499.4979767742884</v>
      </c>
      <c r="Z511">
        <v>2471.6391049867907</v>
      </c>
      <c r="AA511">
        <v>2444.8945880707929</v>
      </c>
      <c r="AB511">
        <v>2417.0357162832952</v>
      </c>
      <c r="AC511">
        <v>2390.2911993672974</v>
      </c>
      <c r="AD511">
        <v>2362.4323275798001</v>
      </c>
      <c r="AE511">
        <v>2335.6878106638023</v>
      </c>
      <c r="AF511">
        <v>2307.8289388763046</v>
      </c>
      <c r="AG511">
        <v>2281.0844219603068</v>
      </c>
      <c r="AH511">
        <v>2253.2255501728091</v>
      </c>
      <c r="AI511">
        <v>2225.3666783853114</v>
      </c>
      <c r="AJ511">
        <v>2198.6221614693141</v>
      </c>
    </row>
    <row r="512" spans="1:36" x14ac:dyDescent="0.35">
      <c r="A512" t="s">
        <v>2121</v>
      </c>
      <c r="B512" t="s">
        <v>2071</v>
      </c>
      <c r="C512" t="s">
        <v>1343</v>
      </c>
      <c r="D512">
        <v>30</v>
      </c>
      <c r="E512" t="s">
        <v>2072</v>
      </c>
      <c r="F512" t="s">
        <v>2122</v>
      </c>
      <c r="G512" t="s">
        <v>2123</v>
      </c>
      <c r="H512">
        <v>3466.7580052362064</v>
      </c>
      <c r="I512">
        <v>3395.4392934602124</v>
      </c>
      <c r="J512">
        <v>3325.2349365557184</v>
      </c>
      <c r="K512">
        <v>3253.9162247797244</v>
      </c>
      <c r="L512">
        <v>3183.7118678752304</v>
      </c>
      <c r="M512">
        <v>3112.3931560992364</v>
      </c>
      <c r="N512">
        <v>3042.1887991947424</v>
      </c>
      <c r="O512">
        <v>2970.8700874187484</v>
      </c>
      <c r="P512">
        <v>2900.6657305142544</v>
      </c>
      <c r="Q512">
        <v>2829.3470187382604</v>
      </c>
      <c r="R512">
        <v>2758.0283069622665</v>
      </c>
      <c r="S512">
        <v>2687.8239500577724</v>
      </c>
      <c r="T512">
        <v>2616.5052382817785</v>
      </c>
      <c r="U512">
        <v>2546.3008813772844</v>
      </c>
      <c r="V512">
        <v>2516.2132998467869</v>
      </c>
      <c r="W512">
        <v>2487.2400731877892</v>
      </c>
      <c r="X512">
        <v>2457.1524916572921</v>
      </c>
      <c r="Y512">
        <v>2428.1792649982945</v>
      </c>
      <c r="Z512">
        <v>2399.2060383392968</v>
      </c>
      <c r="AA512">
        <v>2369.1184568087992</v>
      </c>
      <c r="AB512">
        <v>2340.145230149802</v>
      </c>
      <c r="AC512">
        <v>2310.0576486193045</v>
      </c>
      <c r="AD512">
        <v>2281.0844219603068</v>
      </c>
      <c r="AE512">
        <v>2250.9968404298093</v>
      </c>
      <c r="AF512">
        <v>2222.0236137708121</v>
      </c>
      <c r="AG512">
        <v>2193.0503871118144</v>
      </c>
      <c r="AH512">
        <v>2162.9628055813168</v>
      </c>
      <c r="AI512">
        <v>2133.9895789223192</v>
      </c>
      <c r="AJ512">
        <v>2103.9019973918221</v>
      </c>
    </row>
    <row r="513" spans="1:36" x14ac:dyDescent="0.35">
      <c r="A513" t="s">
        <v>2124</v>
      </c>
      <c r="B513" t="s">
        <v>2071</v>
      </c>
      <c r="C513" t="s">
        <v>1348</v>
      </c>
      <c r="D513">
        <v>30</v>
      </c>
      <c r="E513" t="s">
        <v>2072</v>
      </c>
      <c r="F513" t="s">
        <v>2122</v>
      </c>
      <c r="G513" t="s">
        <v>2123</v>
      </c>
      <c r="H513">
        <v>3466.7580052362064</v>
      </c>
      <c r="I513">
        <v>3415.4976811472106</v>
      </c>
      <c r="J513">
        <v>3364.2373570582149</v>
      </c>
      <c r="K513">
        <v>3311.8626780977197</v>
      </c>
      <c r="L513">
        <v>3260.602354008724</v>
      </c>
      <c r="M513">
        <v>3209.3420299197282</v>
      </c>
      <c r="N513">
        <v>3158.0817058307325</v>
      </c>
      <c r="O513">
        <v>3105.7070268702369</v>
      </c>
      <c r="P513">
        <v>3054.4467027812416</v>
      </c>
      <c r="Q513">
        <v>3003.1863786922459</v>
      </c>
      <c r="R513">
        <v>2951.9260546032501</v>
      </c>
      <c r="S513">
        <v>2900.6657305142544</v>
      </c>
      <c r="T513">
        <v>2848.2910515537587</v>
      </c>
      <c r="U513">
        <v>2797.030727464763</v>
      </c>
      <c r="V513">
        <v>2765.828791062766</v>
      </c>
      <c r="W513">
        <v>2735.7412095322684</v>
      </c>
      <c r="X513">
        <v>2704.5392731302709</v>
      </c>
      <c r="Y513">
        <v>2673.3373367282738</v>
      </c>
      <c r="Z513">
        <v>2643.2497551977763</v>
      </c>
      <c r="AA513">
        <v>2612.0478187957788</v>
      </c>
      <c r="AB513">
        <v>2580.8458823937813</v>
      </c>
      <c r="AC513">
        <v>2550.7583008632841</v>
      </c>
      <c r="AD513">
        <v>2519.5563644612866</v>
      </c>
      <c r="AE513">
        <v>2488.3544280592891</v>
      </c>
      <c r="AF513">
        <v>2458.266846528792</v>
      </c>
      <c r="AG513">
        <v>2427.0649101267945</v>
      </c>
      <c r="AH513">
        <v>2395.862973724797</v>
      </c>
      <c r="AI513">
        <v>2365.7753921942995</v>
      </c>
      <c r="AJ513">
        <v>2334.5734557923024</v>
      </c>
    </row>
    <row r="514" spans="1:36" x14ac:dyDescent="0.35">
      <c r="A514" t="s">
        <v>2125</v>
      </c>
      <c r="B514" t="s">
        <v>2071</v>
      </c>
      <c r="C514" t="s">
        <v>1350</v>
      </c>
      <c r="D514">
        <v>30</v>
      </c>
      <c r="E514" t="s">
        <v>2072</v>
      </c>
      <c r="F514" t="s">
        <v>2122</v>
      </c>
      <c r="G514" t="s">
        <v>2123</v>
      </c>
      <c r="H514">
        <v>3466.7580052362064</v>
      </c>
      <c r="I514">
        <v>3434.4417139627094</v>
      </c>
      <c r="J514">
        <v>3402.125422689212</v>
      </c>
      <c r="K514">
        <v>3369.8091314157145</v>
      </c>
      <c r="L514">
        <v>3337.4928401422176</v>
      </c>
      <c r="M514">
        <v>3306.2909037402201</v>
      </c>
      <c r="N514">
        <v>3273.9746124667226</v>
      </c>
      <c r="O514">
        <v>3241.6583211932257</v>
      </c>
      <c r="P514">
        <v>3209.3420299197282</v>
      </c>
      <c r="Q514">
        <v>3177.0257386462308</v>
      </c>
      <c r="R514">
        <v>3144.7094473727338</v>
      </c>
      <c r="S514">
        <v>3112.3931560992364</v>
      </c>
      <c r="T514">
        <v>3080.076864825739</v>
      </c>
      <c r="U514">
        <v>3047.760573552242</v>
      </c>
      <c r="V514">
        <v>3016.5586371502445</v>
      </c>
      <c r="W514">
        <v>2984.2423458767471</v>
      </c>
      <c r="X514">
        <v>2951.9260546032501</v>
      </c>
      <c r="Y514">
        <v>2919.6097633297527</v>
      </c>
      <c r="Z514">
        <v>2887.2934720562557</v>
      </c>
      <c r="AA514">
        <v>2854.9771807827583</v>
      </c>
      <c r="AB514">
        <v>2822.6608895092609</v>
      </c>
      <c r="AC514">
        <v>2790.3445982357639</v>
      </c>
      <c r="AD514">
        <v>2758.0283069622665</v>
      </c>
      <c r="AE514">
        <v>2725.712015688769</v>
      </c>
      <c r="AF514">
        <v>2694.510079286772</v>
      </c>
      <c r="AG514">
        <v>2662.1937880132746</v>
      </c>
      <c r="AH514">
        <v>2629.8774967397771</v>
      </c>
      <c r="AI514">
        <v>2597.5612054662802</v>
      </c>
      <c r="AJ514">
        <v>2565.2449141927827</v>
      </c>
    </row>
    <row r="515" spans="1:36" x14ac:dyDescent="0.35">
      <c r="A515" t="s">
        <v>2126</v>
      </c>
      <c r="B515" t="s">
        <v>2071</v>
      </c>
      <c r="C515" t="s">
        <v>1343</v>
      </c>
      <c r="D515">
        <v>30</v>
      </c>
      <c r="E515" t="s">
        <v>2072</v>
      </c>
      <c r="F515" t="s">
        <v>2127</v>
      </c>
      <c r="G515" t="s">
        <v>2128</v>
      </c>
      <c r="U515">
        <v>2476.9880083699904</v>
      </c>
      <c r="V515">
        <v>2450.2434914539926</v>
      </c>
      <c r="W515">
        <v>2423.4989745379949</v>
      </c>
      <c r="X515">
        <v>2396.7544576219971</v>
      </c>
      <c r="Y515">
        <v>2370.0099407059997</v>
      </c>
      <c r="Z515">
        <v>2343.2654237900019</v>
      </c>
      <c r="AA515">
        <v>2316.5209068740041</v>
      </c>
      <c r="AB515">
        <v>2289.7763899580063</v>
      </c>
      <c r="AC515">
        <v>2263.0318730420081</v>
      </c>
      <c r="AD515">
        <v>2236.2873561260108</v>
      </c>
      <c r="AE515">
        <v>2209.542839210013</v>
      </c>
      <c r="AF515">
        <v>2182.7983222940152</v>
      </c>
      <c r="AG515">
        <v>2156.0538053780174</v>
      </c>
      <c r="AH515">
        <v>2129.3092884620196</v>
      </c>
      <c r="AI515">
        <v>2102.5647715460218</v>
      </c>
      <c r="AJ515">
        <v>2075.820254630024</v>
      </c>
    </row>
    <row r="516" spans="1:36" x14ac:dyDescent="0.35">
      <c r="A516" t="s">
        <v>2129</v>
      </c>
      <c r="B516" t="s">
        <v>2071</v>
      </c>
      <c r="C516" t="s">
        <v>1348</v>
      </c>
      <c r="D516">
        <v>30</v>
      </c>
      <c r="E516" t="s">
        <v>2072</v>
      </c>
      <c r="F516" t="s">
        <v>2127</v>
      </c>
      <c r="G516" t="s">
        <v>2128</v>
      </c>
      <c r="U516">
        <v>2476.9880083699904</v>
      </c>
      <c r="V516">
        <v>2471.7505404739404</v>
      </c>
      <c r="W516">
        <v>2466.624508065041</v>
      </c>
      <c r="X516">
        <v>2461.3870401689919</v>
      </c>
      <c r="Y516">
        <v>2456.1495722729419</v>
      </c>
      <c r="Z516">
        <v>2451.0235398640425</v>
      </c>
      <c r="AA516">
        <v>2445.7860719679929</v>
      </c>
      <c r="AB516">
        <v>2440.5486040719434</v>
      </c>
      <c r="AC516">
        <v>2435.422571663044</v>
      </c>
      <c r="AD516">
        <v>2430.1851037669944</v>
      </c>
      <c r="AE516">
        <v>2425.0590713580946</v>
      </c>
      <c r="AF516">
        <v>2419.821603462045</v>
      </c>
      <c r="AG516">
        <v>2414.5841355659959</v>
      </c>
      <c r="AH516">
        <v>2409.4581031570956</v>
      </c>
      <c r="AI516">
        <v>2404.2206352610465</v>
      </c>
      <c r="AJ516">
        <v>2398.9831673649969</v>
      </c>
    </row>
    <row r="517" spans="1:36" x14ac:dyDescent="0.35">
      <c r="A517" t="s">
        <v>2130</v>
      </c>
      <c r="B517" t="s">
        <v>2071</v>
      </c>
      <c r="C517" t="s">
        <v>1343</v>
      </c>
      <c r="D517">
        <v>30</v>
      </c>
      <c r="E517" t="s">
        <v>2131</v>
      </c>
      <c r="F517" t="s">
        <v>2132</v>
      </c>
      <c r="G517" t="s">
        <v>2133</v>
      </c>
      <c r="H517">
        <v>4078.5628691222969</v>
      </c>
      <c r="I517">
        <v>4067.1964634528663</v>
      </c>
      <c r="J517">
        <v>4055.8300577834357</v>
      </c>
      <c r="K517">
        <v>4044.4636521140046</v>
      </c>
      <c r="L517">
        <v>4033.097246444574</v>
      </c>
      <c r="M517">
        <v>4021.7308407751425</v>
      </c>
      <c r="N517">
        <v>4010.3644351057119</v>
      </c>
      <c r="O517">
        <v>3998.9980294362813</v>
      </c>
      <c r="P517">
        <v>3987.6316237668502</v>
      </c>
      <c r="Q517">
        <v>3976.2652180974196</v>
      </c>
      <c r="R517">
        <v>3964.8988124279886</v>
      </c>
      <c r="S517">
        <v>3942.1660010891269</v>
      </c>
      <c r="T517">
        <v>3930.7995954196958</v>
      </c>
      <c r="U517">
        <v>3930.7995954196958</v>
      </c>
      <c r="V517">
        <v>3892.1291065660889</v>
      </c>
      <c r="W517">
        <v>3853.4586177124816</v>
      </c>
      <c r="X517">
        <v>3814.7881288588742</v>
      </c>
      <c r="Y517">
        <v>3775.9940921175566</v>
      </c>
      <c r="Z517">
        <v>3737.3236032639493</v>
      </c>
      <c r="AA517">
        <v>3698.6531144103419</v>
      </c>
      <c r="AB517">
        <v>3659.982625556735</v>
      </c>
      <c r="AC517">
        <v>3621.3121367031276</v>
      </c>
      <c r="AD517">
        <v>3582.5180999618092</v>
      </c>
      <c r="AE517">
        <v>3543.8476111082023</v>
      </c>
      <c r="AF517">
        <v>3505.1771222545949</v>
      </c>
      <c r="AG517">
        <v>3466.506633400988</v>
      </c>
      <c r="AH517">
        <v>3427.8361445473806</v>
      </c>
      <c r="AI517">
        <v>3389.0421078060622</v>
      </c>
      <c r="AJ517">
        <v>3350.3716189524553</v>
      </c>
    </row>
    <row r="518" spans="1:36" x14ac:dyDescent="0.35">
      <c r="A518" t="s">
        <v>2134</v>
      </c>
      <c r="B518" t="s">
        <v>2071</v>
      </c>
      <c r="C518" t="s">
        <v>1348</v>
      </c>
      <c r="D518">
        <v>30</v>
      </c>
      <c r="E518" t="s">
        <v>2131</v>
      </c>
      <c r="F518" t="s">
        <v>2132</v>
      </c>
      <c r="G518" t="s">
        <v>2133</v>
      </c>
      <c r="H518">
        <v>4078.5628691222969</v>
      </c>
      <c r="I518">
        <v>4056.9419887728359</v>
      </c>
      <c r="J518">
        <v>4035.3211084233753</v>
      </c>
      <c r="K518">
        <v>4013.7002280739143</v>
      </c>
      <c r="L518">
        <v>3992.0793477244533</v>
      </c>
      <c r="M518">
        <v>3970.4584673749928</v>
      </c>
      <c r="N518">
        <v>3948.8375870255318</v>
      </c>
      <c r="O518">
        <v>3927.2167066760708</v>
      </c>
      <c r="P518">
        <v>3905.5958263266098</v>
      </c>
      <c r="Q518">
        <v>3883.9749459771492</v>
      </c>
      <c r="R518">
        <v>3862.3540656276882</v>
      </c>
      <c r="S518">
        <v>3819.1123049287667</v>
      </c>
      <c r="T518">
        <v>3797.4914245793057</v>
      </c>
      <c r="U518">
        <v>3797.4914245793057</v>
      </c>
      <c r="V518">
        <v>3762.2802765816123</v>
      </c>
      <c r="W518">
        <v>3726.9455806962078</v>
      </c>
      <c r="X518">
        <v>3691.7344326985144</v>
      </c>
      <c r="Y518">
        <v>3656.3997368131099</v>
      </c>
      <c r="Z518">
        <v>3621.0650409277055</v>
      </c>
      <c r="AA518">
        <v>3585.8538929300121</v>
      </c>
      <c r="AB518">
        <v>3550.5191970446076</v>
      </c>
      <c r="AC518">
        <v>3515.3080490469142</v>
      </c>
      <c r="AD518">
        <v>3479.9733531615088</v>
      </c>
      <c r="AE518">
        <v>3444.6386572761044</v>
      </c>
      <c r="AF518">
        <v>3409.427509278411</v>
      </c>
      <c r="AG518">
        <v>3374.0928133930065</v>
      </c>
      <c r="AH518">
        <v>3338.8816653953131</v>
      </c>
      <c r="AI518">
        <v>3303.5469695099086</v>
      </c>
      <c r="AJ518">
        <v>3268.3358215122153</v>
      </c>
    </row>
    <row r="519" spans="1:36" x14ac:dyDescent="0.35">
      <c r="A519" t="s">
        <v>2135</v>
      </c>
      <c r="B519" t="s">
        <v>2071</v>
      </c>
      <c r="C519" t="s">
        <v>1350</v>
      </c>
      <c r="D519">
        <v>30</v>
      </c>
      <c r="E519" t="s">
        <v>2131</v>
      </c>
      <c r="F519" t="s">
        <v>2132</v>
      </c>
      <c r="G519" t="s">
        <v>2133</v>
      </c>
      <c r="H519">
        <v>4078.5628691222969</v>
      </c>
      <c r="I519">
        <v>4046.6875140928064</v>
      </c>
      <c r="J519">
        <v>4014.8121590633154</v>
      </c>
      <c r="K519">
        <v>3982.9368040338245</v>
      </c>
      <c r="L519">
        <v>3951.0614490043336</v>
      </c>
      <c r="M519">
        <v>3919.1860939748426</v>
      </c>
      <c r="N519">
        <v>3887.3107389453521</v>
      </c>
      <c r="O519">
        <v>3855.4353839158607</v>
      </c>
      <c r="P519">
        <v>3823.5600288863702</v>
      </c>
      <c r="Q519">
        <v>3791.8082217445904</v>
      </c>
      <c r="R519">
        <v>3759.9328667150999</v>
      </c>
      <c r="S519">
        <v>3696.1821566561175</v>
      </c>
      <c r="T519">
        <v>3664.306801626627</v>
      </c>
      <c r="U519">
        <v>3664.306801626627</v>
      </c>
      <c r="V519">
        <v>3632.4314465971361</v>
      </c>
      <c r="W519">
        <v>3600.5560915676456</v>
      </c>
      <c r="X519">
        <v>3568.6807365381542</v>
      </c>
      <c r="Y519">
        <v>3536.8053815086632</v>
      </c>
      <c r="Z519">
        <v>3504.9300264791727</v>
      </c>
      <c r="AA519">
        <v>3473.0546714496818</v>
      </c>
      <c r="AB519">
        <v>3441.1793164201913</v>
      </c>
      <c r="AC519">
        <v>3409.3039613906999</v>
      </c>
      <c r="AD519">
        <v>3377.4286063612089</v>
      </c>
      <c r="AE519">
        <v>3345.5532513317185</v>
      </c>
      <c r="AF519">
        <v>3313.6778963022275</v>
      </c>
      <c r="AG519">
        <v>3281.8025412727366</v>
      </c>
      <c r="AH519">
        <v>3249.9271862432456</v>
      </c>
      <c r="AI519">
        <v>3218.0518312137547</v>
      </c>
      <c r="AJ519">
        <v>3186.1764761842642</v>
      </c>
    </row>
    <row r="520" spans="1:36" x14ac:dyDescent="0.35">
      <c r="A520" t="s">
        <v>2136</v>
      </c>
      <c r="B520" t="s">
        <v>2071</v>
      </c>
      <c r="C520" t="s">
        <v>1343</v>
      </c>
      <c r="D520">
        <v>30</v>
      </c>
      <c r="E520" t="s">
        <v>2131</v>
      </c>
      <c r="F520" t="s">
        <v>2137</v>
      </c>
      <c r="G520" t="s">
        <v>2138</v>
      </c>
      <c r="H520">
        <v>6687.0294223689671</v>
      </c>
      <c r="I520">
        <v>6593.0094798207392</v>
      </c>
      <c r="J520">
        <v>6498.9895372725132</v>
      </c>
      <c r="K520">
        <v>6405.0931426119978</v>
      </c>
      <c r="L520">
        <v>6311.0732000637699</v>
      </c>
      <c r="M520">
        <v>6217.0532575155439</v>
      </c>
      <c r="N520">
        <v>6123.0333149673161</v>
      </c>
      <c r="O520">
        <v>6029.0133724190891</v>
      </c>
      <c r="P520">
        <v>5934.9934298708622</v>
      </c>
      <c r="Q520">
        <v>5840.9734873226353</v>
      </c>
      <c r="R520">
        <v>5746.9535447744092</v>
      </c>
      <c r="S520">
        <v>5558.9136596779545</v>
      </c>
      <c r="T520">
        <v>5464.8937171297275</v>
      </c>
      <c r="U520">
        <v>5464.8937171297275</v>
      </c>
      <c r="V520">
        <v>5404.2317042635259</v>
      </c>
      <c r="W520">
        <v>5343.4461435096127</v>
      </c>
      <c r="X520">
        <v>5282.6605827557005</v>
      </c>
      <c r="Y520">
        <v>5221.8750220017882</v>
      </c>
      <c r="Z520">
        <v>5161.0894612478742</v>
      </c>
      <c r="AA520">
        <v>5100.3039004939619</v>
      </c>
      <c r="AB520">
        <v>5039.5183397400488</v>
      </c>
      <c r="AC520">
        <v>4978.7327789861365</v>
      </c>
      <c r="AD520">
        <v>4917.9472182322233</v>
      </c>
      <c r="AE520">
        <v>4857.1616574783111</v>
      </c>
      <c r="AF520">
        <v>4796.3760967243979</v>
      </c>
      <c r="AG520">
        <v>4735.5905359704848</v>
      </c>
      <c r="AH520">
        <v>4674.8049752165725</v>
      </c>
      <c r="AI520">
        <v>4614.0194144626594</v>
      </c>
      <c r="AJ520">
        <v>4553.2338537087462</v>
      </c>
    </row>
    <row r="521" spans="1:36" x14ac:dyDescent="0.35">
      <c r="A521" t="s">
        <v>2139</v>
      </c>
      <c r="B521" t="s">
        <v>2071</v>
      </c>
      <c r="C521" t="s">
        <v>1348</v>
      </c>
      <c r="D521">
        <v>30</v>
      </c>
      <c r="E521" t="s">
        <v>2131</v>
      </c>
      <c r="F521" t="s">
        <v>2137</v>
      </c>
      <c r="G521" t="s">
        <v>2138</v>
      </c>
      <c r="H521">
        <v>6687.0294223689671</v>
      </c>
      <c r="I521">
        <v>6609.8119925494639</v>
      </c>
      <c r="J521">
        <v>6532.4710148422491</v>
      </c>
      <c r="K521">
        <v>6455.1300371350353</v>
      </c>
      <c r="L521">
        <v>6377.7890594278206</v>
      </c>
      <c r="M521">
        <v>6300.4480817206068</v>
      </c>
      <c r="N521">
        <v>6223.2306519011036</v>
      </c>
      <c r="O521">
        <v>6145.8896741938888</v>
      </c>
      <c r="P521">
        <v>6068.5486964866741</v>
      </c>
      <c r="Q521">
        <v>5991.2077187794612</v>
      </c>
      <c r="R521">
        <v>5913.990288959958</v>
      </c>
      <c r="S521">
        <v>5759.3083335455294</v>
      </c>
      <c r="T521">
        <v>5681.9673558383147</v>
      </c>
      <c r="U521">
        <v>5681.9673558383147</v>
      </c>
      <c r="V521">
        <v>5621.3053429721131</v>
      </c>
      <c r="W521">
        <v>5560.6433301059114</v>
      </c>
      <c r="X521">
        <v>5499.9813172397098</v>
      </c>
      <c r="Y521">
        <v>5439.1957564857967</v>
      </c>
      <c r="Z521">
        <v>5378.533743619595</v>
      </c>
      <c r="AA521">
        <v>5317.8717307533943</v>
      </c>
      <c r="AB521">
        <v>5257.0861699994812</v>
      </c>
      <c r="AC521">
        <v>5196.4241571332796</v>
      </c>
      <c r="AD521">
        <v>5135.762144267077</v>
      </c>
      <c r="AE521">
        <v>5075.1001314008763</v>
      </c>
      <c r="AF521">
        <v>5014.3145706469631</v>
      </c>
      <c r="AG521">
        <v>4953.6525577807615</v>
      </c>
      <c r="AH521">
        <v>4892.9905449145599</v>
      </c>
      <c r="AI521">
        <v>4832.2049841606467</v>
      </c>
      <c r="AJ521">
        <v>4771.5429712944451</v>
      </c>
    </row>
    <row r="522" spans="1:36" x14ac:dyDescent="0.35">
      <c r="A522" t="s">
        <v>2140</v>
      </c>
      <c r="B522" t="s">
        <v>2071</v>
      </c>
      <c r="C522" t="s">
        <v>1350</v>
      </c>
      <c r="D522">
        <v>30</v>
      </c>
      <c r="E522" t="s">
        <v>2131</v>
      </c>
      <c r="F522" t="s">
        <v>2137</v>
      </c>
      <c r="G522" t="s">
        <v>2138</v>
      </c>
      <c r="H522">
        <v>6687.0294223689671</v>
      </c>
      <c r="I522">
        <v>6626.4909573904761</v>
      </c>
      <c r="J522">
        <v>6565.8289445242744</v>
      </c>
      <c r="K522">
        <v>6505.1669316580737</v>
      </c>
      <c r="L522">
        <v>6444.6284666795827</v>
      </c>
      <c r="M522">
        <v>6383.9664538133811</v>
      </c>
      <c r="N522">
        <v>6323.4279888348901</v>
      </c>
      <c r="O522">
        <v>6262.7659759686894</v>
      </c>
      <c r="P522">
        <v>6202.1039631024878</v>
      </c>
      <c r="Q522">
        <v>6141.5654981239968</v>
      </c>
      <c r="R522">
        <v>6080.9034852577952</v>
      </c>
      <c r="S522">
        <v>5959.7030074131035</v>
      </c>
      <c r="T522">
        <v>5899.0409945469019</v>
      </c>
      <c r="U522">
        <v>5899.0409945469019</v>
      </c>
      <c r="V522">
        <v>5838.5025295684109</v>
      </c>
      <c r="W522">
        <v>5777.8405167022102</v>
      </c>
      <c r="X522">
        <v>5717.1785038360085</v>
      </c>
      <c r="Y522">
        <v>5656.6400388575175</v>
      </c>
      <c r="Z522">
        <v>5595.9780259913159</v>
      </c>
      <c r="AA522">
        <v>5535.4395610128249</v>
      </c>
      <c r="AB522">
        <v>5474.7775481466242</v>
      </c>
      <c r="AC522">
        <v>5414.1155352804226</v>
      </c>
      <c r="AD522">
        <v>5353.5770703019316</v>
      </c>
      <c r="AE522">
        <v>5292.9150574357309</v>
      </c>
      <c r="AF522">
        <v>5232.3765924572408</v>
      </c>
      <c r="AG522">
        <v>5171.7145795910383</v>
      </c>
      <c r="AH522">
        <v>5111.0525667248367</v>
      </c>
      <c r="AI522">
        <v>5050.5141017463466</v>
      </c>
      <c r="AJ522">
        <v>4989.8520888801449</v>
      </c>
    </row>
    <row r="523" spans="1:36" x14ac:dyDescent="0.35">
      <c r="A523" t="s">
        <v>2141</v>
      </c>
      <c r="B523" t="s">
        <v>2071</v>
      </c>
      <c r="C523" t="s">
        <v>1343</v>
      </c>
      <c r="D523">
        <v>30</v>
      </c>
      <c r="E523" t="s">
        <v>2131</v>
      </c>
      <c r="F523" t="s">
        <v>2142</v>
      </c>
      <c r="G523" t="s">
        <v>2143</v>
      </c>
      <c r="H523">
        <v>6838.8697763660375</v>
      </c>
      <c r="I523">
        <v>6739.2901788708068</v>
      </c>
      <c r="J523">
        <v>6639.7105813755752</v>
      </c>
      <c r="K523">
        <v>6540.1309838803445</v>
      </c>
      <c r="L523">
        <v>6440.5513863851129</v>
      </c>
      <c r="M523">
        <v>6340.9717888898813</v>
      </c>
      <c r="N523">
        <v>6241.3921913946506</v>
      </c>
      <c r="O523">
        <v>6141.812593899419</v>
      </c>
      <c r="P523">
        <v>6042.2329964041883</v>
      </c>
      <c r="Q523">
        <v>5942.6533989089567</v>
      </c>
      <c r="R523">
        <v>5842.9502535260153</v>
      </c>
      <c r="S523">
        <v>5643.791058535553</v>
      </c>
      <c r="T523">
        <v>5544.2114610403214</v>
      </c>
      <c r="U523">
        <v>5544.2114610403214</v>
      </c>
      <c r="V523">
        <v>5482.5610650724302</v>
      </c>
      <c r="W523">
        <v>5420.9106691045381</v>
      </c>
      <c r="X523">
        <v>5359.1367252489363</v>
      </c>
      <c r="Y523">
        <v>5297.4863292810451</v>
      </c>
      <c r="Z523">
        <v>5235.835933313153</v>
      </c>
      <c r="AA523">
        <v>5174.1855373452627</v>
      </c>
      <c r="AB523">
        <v>5112.4115934896599</v>
      </c>
      <c r="AC523">
        <v>5050.7611975217687</v>
      </c>
      <c r="AD523">
        <v>4989.1108015538775</v>
      </c>
      <c r="AE523">
        <v>4927.3368576982748</v>
      </c>
      <c r="AF523">
        <v>4865.6864617303836</v>
      </c>
      <c r="AG523">
        <v>4804.0360657624924</v>
      </c>
      <c r="AH523">
        <v>4742.3856697946012</v>
      </c>
      <c r="AI523">
        <v>4680.6117259389985</v>
      </c>
      <c r="AJ523">
        <v>4618.9613299711073</v>
      </c>
    </row>
    <row r="524" spans="1:36" x14ac:dyDescent="0.35">
      <c r="A524" t="s">
        <v>2144</v>
      </c>
      <c r="B524" t="s">
        <v>2071</v>
      </c>
      <c r="C524" t="s">
        <v>1348</v>
      </c>
      <c r="D524">
        <v>30</v>
      </c>
      <c r="E524" t="s">
        <v>2131</v>
      </c>
      <c r="F524" t="s">
        <v>2142</v>
      </c>
      <c r="G524" t="s">
        <v>2143</v>
      </c>
      <c r="H524">
        <v>6838.8697763660375</v>
      </c>
      <c r="I524">
        <v>6758.0694578029097</v>
      </c>
      <c r="J524">
        <v>6677.2691392397819</v>
      </c>
      <c r="K524">
        <v>6596.4688206766532</v>
      </c>
      <c r="L524">
        <v>6515.6685021135254</v>
      </c>
      <c r="M524">
        <v>6434.8681835503967</v>
      </c>
      <c r="N524">
        <v>6354.0678649872698</v>
      </c>
      <c r="O524">
        <v>6273.267546424142</v>
      </c>
      <c r="P524">
        <v>6192.4672278610133</v>
      </c>
      <c r="Q524">
        <v>6111.6669092978855</v>
      </c>
      <c r="R524">
        <v>6030.8665907347568</v>
      </c>
      <c r="S524">
        <v>5869.2659536085021</v>
      </c>
      <c r="T524">
        <v>5788.4656350453733</v>
      </c>
      <c r="U524">
        <v>5788.4656350453733</v>
      </c>
      <c r="V524">
        <v>5726.56814330206</v>
      </c>
      <c r="W524">
        <v>5664.6706515587457</v>
      </c>
      <c r="X524">
        <v>5602.8967077031439</v>
      </c>
      <c r="Y524">
        <v>5540.9992159598296</v>
      </c>
      <c r="Z524">
        <v>5479.1017242165162</v>
      </c>
      <c r="AA524">
        <v>5417.3277803609144</v>
      </c>
      <c r="AB524">
        <v>5355.4302886176001</v>
      </c>
      <c r="AC524">
        <v>5293.5327968742868</v>
      </c>
      <c r="AD524">
        <v>5231.758853018684</v>
      </c>
      <c r="AE524">
        <v>5169.8613612753707</v>
      </c>
      <c r="AF524">
        <v>5108.0874174197679</v>
      </c>
      <c r="AG524">
        <v>5046.1899256764545</v>
      </c>
      <c r="AH524">
        <v>4984.2924339331403</v>
      </c>
      <c r="AI524">
        <v>4922.5184900775384</v>
      </c>
      <c r="AJ524">
        <v>4860.6209983342242</v>
      </c>
    </row>
    <row r="525" spans="1:36" x14ac:dyDescent="0.35">
      <c r="A525" t="s">
        <v>2145</v>
      </c>
      <c r="B525" t="s">
        <v>2071</v>
      </c>
      <c r="C525" t="s">
        <v>1350</v>
      </c>
      <c r="D525">
        <v>30</v>
      </c>
      <c r="E525" t="s">
        <v>2131</v>
      </c>
      <c r="F525" t="s">
        <v>2142</v>
      </c>
      <c r="G525" t="s">
        <v>2143</v>
      </c>
      <c r="H525">
        <v>6838.8697763660375</v>
      </c>
      <c r="I525">
        <v>6776.8487367350126</v>
      </c>
      <c r="J525">
        <v>6714.8276971039877</v>
      </c>
      <c r="K525">
        <v>6652.8066574729628</v>
      </c>
      <c r="L525">
        <v>6590.7856178419388</v>
      </c>
      <c r="M525">
        <v>6528.764578210913</v>
      </c>
      <c r="N525">
        <v>6466.7435385798881</v>
      </c>
      <c r="O525">
        <v>6404.7224989488632</v>
      </c>
      <c r="P525">
        <v>6342.7014593178392</v>
      </c>
      <c r="Q525">
        <v>6280.6804196868143</v>
      </c>
      <c r="R525">
        <v>6218.6593800557885</v>
      </c>
      <c r="S525">
        <v>6094.6173007937396</v>
      </c>
      <c r="T525">
        <v>6032.5962611627147</v>
      </c>
      <c r="U525">
        <v>6032.5962611627147</v>
      </c>
      <c r="V525">
        <v>5970.5752215316897</v>
      </c>
      <c r="W525">
        <v>5908.5541819006639</v>
      </c>
      <c r="X525">
        <v>5846.533142269639</v>
      </c>
      <c r="Y525">
        <v>5784.512102638615</v>
      </c>
      <c r="Z525">
        <v>5722.4910630075901</v>
      </c>
      <c r="AA525">
        <v>5660.4700233765652</v>
      </c>
      <c r="AB525">
        <v>5598.4489837455394</v>
      </c>
      <c r="AC525">
        <v>5536.4279441145154</v>
      </c>
      <c r="AD525">
        <v>5474.4069044834905</v>
      </c>
      <c r="AE525">
        <v>5412.3858648524656</v>
      </c>
      <c r="AF525">
        <v>5350.3648252214407</v>
      </c>
      <c r="AG525">
        <v>5288.3437855904149</v>
      </c>
      <c r="AH525">
        <v>5226.3227459593909</v>
      </c>
      <c r="AI525">
        <v>5164.301706328366</v>
      </c>
      <c r="AJ525">
        <v>5102.2806666973411</v>
      </c>
    </row>
    <row r="526" spans="1:36" x14ac:dyDescent="0.35">
      <c r="A526" t="s">
        <v>2146</v>
      </c>
      <c r="B526" t="s">
        <v>2071</v>
      </c>
      <c r="C526" t="s">
        <v>1343</v>
      </c>
      <c r="D526">
        <v>30</v>
      </c>
      <c r="E526" t="s">
        <v>2131</v>
      </c>
      <c r="F526" t="s">
        <v>2147</v>
      </c>
      <c r="G526" t="s">
        <v>2148</v>
      </c>
      <c r="H526">
        <v>7046.1831319454395</v>
      </c>
      <c r="I526">
        <v>7007.5126430918317</v>
      </c>
      <c r="J526">
        <v>6968.8421542382257</v>
      </c>
      <c r="K526">
        <v>6930.1716653846179</v>
      </c>
      <c r="L526">
        <v>6891.501176531011</v>
      </c>
      <c r="M526">
        <v>6852.8306876774031</v>
      </c>
      <c r="N526">
        <v>6814.1601988237962</v>
      </c>
      <c r="O526">
        <v>6775.4897099701902</v>
      </c>
      <c r="P526">
        <v>6736.6956732288709</v>
      </c>
      <c r="Q526">
        <v>6698.025184375264</v>
      </c>
      <c r="R526">
        <v>6659.354695521657</v>
      </c>
      <c r="S526">
        <v>6582.0137178144423</v>
      </c>
      <c r="T526">
        <v>6543.3432289608354</v>
      </c>
      <c r="U526">
        <v>6543.3432289608354</v>
      </c>
      <c r="V526">
        <v>6504.6727401072276</v>
      </c>
      <c r="W526">
        <v>6466.0022512536216</v>
      </c>
      <c r="X526">
        <v>6427.3317624000147</v>
      </c>
      <c r="Y526">
        <v>6388.5377256586953</v>
      </c>
      <c r="Z526">
        <v>6349.8672368050893</v>
      </c>
      <c r="AA526">
        <v>6311.1967479514815</v>
      </c>
      <c r="AB526">
        <v>6272.5262590978746</v>
      </c>
      <c r="AC526">
        <v>6233.8557702442668</v>
      </c>
      <c r="AD526">
        <v>6195.1852813906598</v>
      </c>
      <c r="AE526">
        <v>6156.5147925370529</v>
      </c>
      <c r="AF526">
        <v>6117.844303683446</v>
      </c>
      <c r="AG526">
        <v>6079.1738148298382</v>
      </c>
      <c r="AH526">
        <v>6040.3797780885207</v>
      </c>
      <c r="AI526">
        <v>6001.7092892349128</v>
      </c>
      <c r="AJ526">
        <v>5963.0388003813059</v>
      </c>
    </row>
    <row r="527" spans="1:36" x14ac:dyDescent="0.35">
      <c r="A527" t="s">
        <v>2149</v>
      </c>
      <c r="B527" t="s">
        <v>2071</v>
      </c>
      <c r="C527" t="s">
        <v>1348</v>
      </c>
      <c r="D527">
        <v>30</v>
      </c>
      <c r="E527" t="s">
        <v>2131</v>
      </c>
      <c r="F527" t="s">
        <v>2147</v>
      </c>
      <c r="G527" t="s">
        <v>2148</v>
      </c>
      <c r="H527">
        <v>7046.1831319454395</v>
      </c>
      <c r="I527">
        <v>7020.1145276383759</v>
      </c>
      <c r="J527">
        <v>6993.9223754435998</v>
      </c>
      <c r="K527">
        <v>6967.7302232488246</v>
      </c>
      <c r="L527">
        <v>6941.6616189417609</v>
      </c>
      <c r="M527">
        <v>6915.4694667469839</v>
      </c>
      <c r="N527">
        <v>6889.4008624399203</v>
      </c>
      <c r="O527">
        <v>6863.2087102451451</v>
      </c>
      <c r="P527">
        <v>6837.016558050369</v>
      </c>
      <c r="Q527">
        <v>6810.9479537433053</v>
      </c>
      <c r="R527">
        <v>6784.7558015485301</v>
      </c>
      <c r="S527">
        <v>6732.4950450466904</v>
      </c>
      <c r="T527">
        <v>6706.3028928519152</v>
      </c>
      <c r="U527">
        <v>6706.3028928519152</v>
      </c>
      <c r="V527">
        <v>6680.1107406571391</v>
      </c>
      <c r="W527">
        <v>6654.0421363500755</v>
      </c>
      <c r="X527">
        <v>6627.8499841553003</v>
      </c>
      <c r="Y527">
        <v>6601.7813798482357</v>
      </c>
      <c r="Z527">
        <v>6575.5892276534605</v>
      </c>
      <c r="AA527">
        <v>6549.3970754586853</v>
      </c>
      <c r="AB527">
        <v>6523.3284711516199</v>
      </c>
      <c r="AC527">
        <v>6497.1363189568447</v>
      </c>
      <c r="AD527">
        <v>6470.9441667620695</v>
      </c>
      <c r="AE527">
        <v>6444.8755624550049</v>
      </c>
      <c r="AF527">
        <v>6418.6834102602297</v>
      </c>
      <c r="AG527">
        <v>6392.4912580654545</v>
      </c>
      <c r="AH527">
        <v>6366.42265375839</v>
      </c>
      <c r="AI527">
        <v>6340.2305015636148</v>
      </c>
      <c r="AJ527">
        <v>6314.1618972565502</v>
      </c>
    </row>
    <row r="528" spans="1:36" x14ac:dyDescent="0.35">
      <c r="A528" t="s">
        <v>2150</v>
      </c>
      <c r="B528" t="s">
        <v>2071</v>
      </c>
      <c r="C528" t="s">
        <v>1350</v>
      </c>
      <c r="D528">
        <v>30</v>
      </c>
      <c r="E528" t="s">
        <v>2131</v>
      </c>
      <c r="F528" t="s">
        <v>2147</v>
      </c>
      <c r="G528" t="s">
        <v>2148</v>
      </c>
      <c r="H528">
        <v>7046.1831319454395</v>
      </c>
      <c r="I528">
        <v>7032.5928642972067</v>
      </c>
      <c r="J528">
        <v>7019.0025966489738</v>
      </c>
      <c r="K528">
        <v>7005.4123290007419</v>
      </c>
      <c r="L528">
        <v>6991.8220613525091</v>
      </c>
      <c r="M528">
        <v>6978.2317937042762</v>
      </c>
      <c r="N528">
        <v>6964.5179781683337</v>
      </c>
      <c r="O528">
        <v>6950.9277105201008</v>
      </c>
      <c r="P528">
        <v>6937.337442871868</v>
      </c>
      <c r="Q528">
        <v>6923.7471752236361</v>
      </c>
      <c r="R528">
        <v>6910.1569075754032</v>
      </c>
      <c r="S528">
        <v>6882.8528243912269</v>
      </c>
      <c r="T528">
        <v>6869.2625567429941</v>
      </c>
      <c r="U528">
        <v>6869.2625567429941</v>
      </c>
      <c r="V528">
        <v>6855.6722890947613</v>
      </c>
      <c r="W528">
        <v>6842.0820214465293</v>
      </c>
      <c r="X528">
        <v>6828.4917537982965</v>
      </c>
      <c r="Y528">
        <v>6814.9014861500636</v>
      </c>
      <c r="Z528">
        <v>6801.1876706141193</v>
      </c>
      <c r="AA528">
        <v>6787.5974029658873</v>
      </c>
      <c r="AB528">
        <v>6774.0071353176545</v>
      </c>
      <c r="AC528">
        <v>6760.4168676694217</v>
      </c>
      <c r="AD528">
        <v>6746.8266000211897</v>
      </c>
      <c r="AE528">
        <v>6733.2363323729569</v>
      </c>
      <c r="AF528">
        <v>6719.5225168370143</v>
      </c>
      <c r="AG528">
        <v>6705.9322491887815</v>
      </c>
      <c r="AH528">
        <v>6692.3419815405487</v>
      </c>
      <c r="AI528">
        <v>6678.7517138923158</v>
      </c>
      <c r="AJ528">
        <v>6665.1614462440839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77596-1323-4DDD-BF34-E3F0E54303B1}">
  <dimension ref="A1:AJ422"/>
  <sheetViews>
    <sheetView workbookViewId="0"/>
  </sheetViews>
  <sheetFormatPr defaultRowHeight="14.5" x14ac:dyDescent="0.35"/>
  <cols>
    <col min="2" max="2" width="14.1796875" customWidth="1"/>
    <col min="3" max="3" width="10.453125" customWidth="1"/>
    <col min="4" max="4" width="10.7265625" customWidth="1"/>
    <col min="5" max="5" width="12.7265625" customWidth="1"/>
    <col min="6" max="6" width="11.7265625" customWidth="1"/>
    <col min="7" max="7" width="13.81640625" customWidth="1"/>
  </cols>
  <sheetData>
    <row r="1" spans="1:36" x14ac:dyDescent="0.35">
      <c r="A1" t="s">
        <v>2151</v>
      </c>
      <c r="C1" t="s">
        <v>55</v>
      </c>
    </row>
    <row r="2" spans="1:36" x14ac:dyDescent="0.35">
      <c r="A2" t="s">
        <v>1306</v>
      </c>
      <c r="B2" t="s">
        <v>1307</v>
      </c>
      <c r="C2" t="s">
        <v>1308</v>
      </c>
      <c r="D2" t="s">
        <v>1309</v>
      </c>
      <c r="E2" t="s">
        <v>916</v>
      </c>
      <c r="F2" t="s">
        <v>1310</v>
      </c>
      <c r="G2" t="s">
        <v>1311</v>
      </c>
      <c r="H2" t="s">
        <v>1312</v>
      </c>
      <c r="I2" t="s">
        <v>1313</v>
      </c>
      <c r="J2" t="s">
        <v>1314</v>
      </c>
      <c r="K2" t="s">
        <v>1315</v>
      </c>
      <c r="L2" t="s">
        <v>1316</v>
      </c>
      <c r="M2" t="s">
        <v>1317</v>
      </c>
      <c r="N2" t="s">
        <v>1318</v>
      </c>
      <c r="O2" t="s">
        <v>1319</v>
      </c>
      <c r="P2" t="s">
        <v>1320</v>
      </c>
      <c r="Q2" t="s">
        <v>1321</v>
      </c>
      <c r="R2" t="s">
        <v>1322</v>
      </c>
      <c r="S2" t="s">
        <v>1323</v>
      </c>
      <c r="T2" t="s">
        <v>1324</v>
      </c>
      <c r="U2" t="s">
        <v>1325</v>
      </c>
      <c r="V2" t="s">
        <v>1326</v>
      </c>
      <c r="W2" t="s">
        <v>1327</v>
      </c>
      <c r="X2" t="s">
        <v>1328</v>
      </c>
      <c r="Y2" t="s">
        <v>1329</v>
      </c>
      <c r="Z2" t="s">
        <v>1330</v>
      </c>
      <c r="AA2" t="s">
        <v>1331</v>
      </c>
      <c r="AB2" t="s">
        <v>1332</v>
      </c>
      <c r="AC2" t="s">
        <v>1333</v>
      </c>
      <c r="AD2" t="s">
        <v>1334</v>
      </c>
      <c r="AE2" t="s">
        <v>1335</v>
      </c>
      <c r="AF2" t="s">
        <v>1336</v>
      </c>
      <c r="AG2" t="s">
        <v>1337</v>
      </c>
      <c r="AH2" t="s">
        <v>1338</v>
      </c>
      <c r="AI2" t="s">
        <v>1339</v>
      </c>
      <c r="AJ2" t="s">
        <v>1340</v>
      </c>
    </row>
    <row r="3" spans="1:36" x14ac:dyDescent="0.35">
      <c r="A3" t="s">
        <v>1341</v>
      </c>
      <c r="B3" s="188" t="s">
        <v>1342</v>
      </c>
      <c r="C3" t="s">
        <v>1343</v>
      </c>
      <c r="D3" s="188">
        <v>30</v>
      </c>
      <c r="E3" t="s">
        <v>1344</v>
      </c>
      <c r="F3" t="s">
        <v>1345</v>
      </c>
      <c r="G3" s="189" t="s">
        <v>1346</v>
      </c>
      <c r="H3" s="189">
        <v>0.66600000000000004</v>
      </c>
      <c r="I3" s="189">
        <v>0.66600000000000004</v>
      </c>
      <c r="J3" s="189">
        <v>0.66600000000000004</v>
      </c>
      <c r="K3" s="189">
        <v>0.66600000000000004</v>
      </c>
      <c r="L3" s="189">
        <v>0.66600000000000004</v>
      </c>
      <c r="M3" s="189">
        <v>0.66600000000000004</v>
      </c>
      <c r="N3" s="189">
        <v>0.66600000000000004</v>
      </c>
      <c r="O3" s="189">
        <v>0.66600000000000004</v>
      </c>
      <c r="P3" s="189">
        <v>0.66600000000000004</v>
      </c>
      <c r="Q3" s="189">
        <v>0.66600000000000004</v>
      </c>
      <c r="R3" s="189">
        <v>0.66600000000000004</v>
      </c>
      <c r="S3" s="189">
        <v>0.66600000000000004</v>
      </c>
      <c r="T3" s="189">
        <v>0.66600000000000004</v>
      </c>
      <c r="U3" s="189">
        <v>0.66600000000000004</v>
      </c>
      <c r="V3" s="189">
        <v>0.66600000000000004</v>
      </c>
      <c r="W3" s="189">
        <v>0.66600000000000004</v>
      </c>
      <c r="X3" s="189">
        <v>0.66600000000000004</v>
      </c>
      <c r="Y3" s="189">
        <v>0.66600000000000004</v>
      </c>
      <c r="Z3" s="189">
        <v>0.66600000000000004</v>
      </c>
      <c r="AA3" s="189">
        <v>0.66600000000000004</v>
      </c>
      <c r="AB3" s="189">
        <v>0.66600000000000004</v>
      </c>
      <c r="AC3" s="189">
        <v>0.66600000000000004</v>
      </c>
      <c r="AD3" s="189">
        <v>0.66600000000000004</v>
      </c>
      <c r="AE3" s="189">
        <v>0.66600000000000004</v>
      </c>
      <c r="AF3" s="189">
        <v>0.66600000000000004</v>
      </c>
      <c r="AG3" s="189">
        <v>0.66600000000000004</v>
      </c>
      <c r="AH3" s="189">
        <v>0.66600000000000004</v>
      </c>
      <c r="AI3" s="189">
        <v>0.66600000000000004</v>
      </c>
      <c r="AJ3" s="189">
        <v>0.66600000000000004</v>
      </c>
    </row>
    <row r="4" spans="1:36" x14ac:dyDescent="0.35">
      <c r="A4" t="s">
        <v>1347</v>
      </c>
      <c r="B4" s="188" t="s">
        <v>1342</v>
      </c>
      <c r="C4" t="s">
        <v>1348</v>
      </c>
      <c r="D4" s="188">
        <v>30</v>
      </c>
      <c r="E4" t="s">
        <v>1344</v>
      </c>
      <c r="F4" t="s">
        <v>1345</v>
      </c>
      <c r="G4" s="189" t="s">
        <v>1346</v>
      </c>
      <c r="H4" s="189">
        <v>0.66600000000000004</v>
      </c>
      <c r="I4" s="189">
        <v>0.66600000000000004</v>
      </c>
      <c r="J4" s="189">
        <v>0.66600000000000004</v>
      </c>
      <c r="K4" s="189">
        <v>0.66600000000000004</v>
      </c>
      <c r="L4" s="189">
        <v>0.66600000000000004</v>
      </c>
      <c r="M4" s="189">
        <v>0.66600000000000004</v>
      </c>
      <c r="N4" s="189">
        <v>0.66600000000000004</v>
      </c>
      <c r="O4" s="189">
        <v>0.66600000000000004</v>
      </c>
      <c r="P4" s="189">
        <v>0.66600000000000004</v>
      </c>
      <c r="Q4" s="189">
        <v>0.66600000000000004</v>
      </c>
      <c r="R4" s="189">
        <v>0.66600000000000004</v>
      </c>
      <c r="S4" s="189">
        <v>0.66600000000000004</v>
      </c>
      <c r="T4" s="189">
        <v>0.66600000000000004</v>
      </c>
      <c r="U4" s="189">
        <v>0.66600000000000004</v>
      </c>
      <c r="V4" s="189">
        <v>0.66600000000000004</v>
      </c>
      <c r="W4" s="189">
        <v>0.66600000000000004</v>
      </c>
      <c r="X4" s="189">
        <v>0.66600000000000004</v>
      </c>
      <c r="Y4" s="189">
        <v>0.66600000000000004</v>
      </c>
      <c r="Z4" s="189">
        <v>0.66600000000000004</v>
      </c>
      <c r="AA4" s="189">
        <v>0.66600000000000004</v>
      </c>
      <c r="AB4" s="189">
        <v>0.66600000000000004</v>
      </c>
      <c r="AC4" s="189">
        <v>0.66600000000000004</v>
      </c>
      <c r="AD4" s="189">
        <v>0.66600000000000004</v>
      </c>
      <c r="AE4" s="189">
        <v>0.66600000000000004</v>
      </c>
      <c r="AF4" s="189">
        <v>0.66600000000000004</v>
      </c>
      <c r="AG4" s="189">
        <v>0.66600000000000004</v>
      </c>
      <c r="AH4" s="189">
        <v>0.66600000000000004</v>
      </c>
      <c r="AI4" s="189">
        <v>0.66600000000000004</v>
      </c>
      <c r="AJ4" s="189">
        <v>0.66600000000000004</v>
      </c>
    </row>
    <row r="5" spans="1:36" x14ac:dyDescent="0.35">
      <c r="A5" t="s">
        <v>1349</v>
      </c>
      <c r="B5" s="188" t="s">
        <v>1342</v>
      </c>
      <c r="C5" t="s">
        <v>1350</v>
      </c>
      <c r="D5" s="188">
        <v>30</v>
      </c>
      <c r="E5" t="s">
        <v>1344</v>
      </c>
      <c r="F5" t="s">
        <v>1345</v>
      </c>
      <c r="G5" s="189" t="s">
        <v>1346</v>
      </c>
      <c r="H5" s="189">
        <v>0.66600000000000004</v>
      </c>
      <c r="I5" s="189">
        <v>0.66600000000000004</v>
      </c>
      <c r="J5" s="189">
        <v>0.66600000000000004</v>
      </c>
      <c r="K5" s="189">
        <v>0.66600000000000004</v>
      </c>
      <c r="L5" s="189">
        <v>0.66600000000000004</v>
      </c>
      <c r="M5" s="189">
        <v>0.66600000000000004</v>
      </c>
      <c r="N5" s="189">
        <v>0.66600000000000004</v>
      </c>
      <c r="O5" s="189">
        <v>0.66600000000000004</v>
      </c>
      <c r="P5" s="189">
        <v>0.66600000000000004</v>
      </c>
      <c r="Q5" s="189">
        <v>0.66600000000000004</v>
      </c>
      <c r="R5" s="189">
        <v>0.66600000000000004</v>
      </c>
      <c r="S5" s="189">
        <v>0.66600000000000004</v>
      </c>
      <c r="T5" s="189">
        <v>0.66600000000000004</v>
      </c>
      <c r="U5" s="189">
        <v>0.66600000000000004</v>
      </c>
      <c r="V5" s="189">
        <v>0.66600000000000004</v>
      </c>
      <c r="W5" s="189">
        <v>0.66600000000000004</v>
      </c>
      <c r="X5" s="189">
        <v>0.66600000000000004</v>
      </c>
      <c r="Y5" s="189">
        <v>0.66600000000000004</v>
      </c>
      <c r="Z5" s="189">
        <v>0.66600000000000004</v>
      </c>
      <c r="AA5" s="189">
        <v>0.66600000000000004</v>
      </c>
      <c r="AB5" s="189">
        <v>0.66600000000000004</v>
      </c>
      <c r="AC5" s="189">
        <v>0.66600000000000004</v>
      </c>
      <c r="AD5" s="189">
        <v>0.66600000000000004</v>
      </c>
      <c r="AE5" s="189">
        <v>0.66600000000000004</v>
      </c>
      <c r="AF5" s="189">
        <v>0.66600000000000004</v>
      </c>
      <c r="AG5" s="189">
        <v>0.66600000000000004</v>
      </c>
      <c r="AH5" s="189">
        <v>0.66600000000000004</v>
      </c>
      <c r="AI5" s="189">
        <v>0.66600000000000004</v>
      </c>
      <c r="AJ5" s="189">
        <v>0.66600000000000004</v>
      </c>
    </row>
    <row r="6" spans="1:36" x14ac:dyDescent="0.35">
      <c r="A6" t="s">
        <v>1351</v>
      </c>
      <c r="B6" s="188" t="s">
        <v>1342</v>
      </c>
      <c r="C6" t="s">
        <v>1343</v>
      </c>
      <c r="D6" s="188">
        <v>30</v>
      </c>
      <c r="E6" t="s">
        <v>1344</v>
      </c>
      <c r="F6" t="s">
        <v>1352</v>
      </c>
      <c r="G6" s="189" t="s">
        <v>1353</v>
      </c>
      <c r="H6" s="189">
        <v>0.64700000000000002</v>
      </c>
      <c r="I6" s="189">
        <v>0.64700000000000002</v>
      </c>
      <c r="J6" s="189">
        <v>0.64700000000000002</v>
      </c>
      <c r="K6" s="189">
        <v>0.64700000000000002</v>
      </c>
      <c r="L6" s="189">
        <v>0.64700000000000002</v>
      </c>
      <c r="M6" s="189">
        <v>0.64700000000000002</v>
      </c>
      <c r="N6" s="189">
        <v>0.64700000000000002</v>
      </c>
      <c r="O6" s="189">
        <v>0.64700000000000002</v>
      </c>
      <c r="P6" s="189">
        <v>0.64700000000000002</v>
      </c>
      <c r="Q6" s="189">
        <v>0.64700000000000002</v>
      </c>
      <c r="R6" s="189">
        <v>0.64700000000000002</v>
      </c>
      <c r="S6" s="189">
        <v>0.64700000000000002</v>
      </c>
      <c r="T6" s="189">
        <v>0.64700000000000002</v>
      </c>
      <c r="U6" s="189">
        <v>0.64700000000000002</v>
      </c>
      <c r="V6" s="189">
        <v>0.64700000000000002</v>
      </c>
      <c r="W6" s="189">
        <v>0.64700000000000002</v>
      </c>
      <c r="X6" s="189">
        <v>0.64700000000000002</v>
      </c>
      <c r="Y6" s="189">
        <v>0.64700000000000002</v>
      </c>
      <c r="Z6" s="189">
        <v>0.64700000000000002</v>
      </c>
      <c r="AA6" s="189">
        <v>0.64700000000000002</v>
      </c>
      <c r="AB6" s="189">
        <v>0.64700000000000002</v>
      </c>
      <c r="AC6" s="189">
        <v>0.64700000000000002</v>
      </c>
      <c r="AD6" s="189">
        <v>0.64700000000000002</v>
      </c>
      <c r="AE6" s="189">
        <v>0.64700000000000002</v>
      </c>
      <c r="AF6" s="189">
        <v>0.64700000000000002</v>
      </c>
      <c r="AG6" s="189">
        <v>0.64700000000000002</v>
      </c>
      <c r="AH6" s="189">
        <v>0.64700000000000002</v>
      </c>
      <c r="AI6" s="189">
        <v>0.64700000000000002</v>
      </c>
      <c r="AJ6" s="189">
        <v>0.64700000000000002</v>
      </c>
    </row>
    <row r="7" spans="1:36" x14ac:dyDescent="0.35">
      <c r="A7" t="s">
        <v>1354</v>
      </c>
      <c r="B7" s="188" t="s">
        <v>1342</v>
      </c>
      <c r="C7" t="s">
        <v>1348</v>
      </c>
      <c r="D7" s="188">
        <v>30</v>
      </c>
      <c r="E7" t="s">
        <v>1344</v>
      </c>
      <c r="F7" t="s">
        <v>1352</v>
      </c>
      <c r="G7" s="189" t="s">
        <v>1353</v>
      </c>
      <c r="H7" s="189">
        <v>0.64700000000000002</v>
      </c>
      <c r="I7" s="189">
        <v>0.64700000000000002</v>
      </c>
      <c r="J7" s="189">
        <v>0.64700000000000002</v>
      </c>
      <c r="K7" s="189">
        <v>0.64700000000000002</v>
      </c>
      <c r="L7" s="189">
        <v>0.64700000000000002</v>
      </c>
      <c r="M7" s="189">
        <v>0.64700000000000002</v>
      </c>
      <c r="N7" s="189">
        <v>0.64700000000000002</v>
      </c>
      <c r="O7" s="189">
        <v>0.64700000000000002</v>
      </c>
      <c r="P7" s="189">
        <v>0.64700000000000002</v>
      </c>
      <c r="Q7" s="189">
        <v>0.64700000000000002</v>
      </c>
      <c r="R7" s="189">
        <v>0.64700000000000002</v>
      </c>
      <c r="S7" s="189">
        <v>0.64700000000000002</v>
      </c>
      <c r="T7" s="189">
        <v>0.64700000000000002</v>
      </c>
      <c r="U7" s="189">
        <v>0.64700000000000002</v>
      </c>
      <c r="V7" s="189">
        <v>0.64700000000000002</v>
      </c>
      <c r="W7" s="189">
        <v>0.64700000000000002</v>
      </c>
      <c r="X7" s="189">
        <v>0.64700000000000002</v>
      </c>
      <c r="Y7" s="189">
        <v>0.64700000000000002</v>
      </c>
      <c r="Z7" s="189">
        <v>0.64700000000000002</v>
      </c>
      <c r="AA7" s="189">
        <v>0.64700000000000002</v>
      </c>
      <c r="AB7" s="189">
        <v>0.64700000000000002</v>
      </c>
      <c r="AC7" s="189">
        <v>0.64700000000000002</v>
      </c>
      <c r="AD7" s="189">
        <v>0.64700000000000002</v>
      </c>
      <c r="AE7" s="189">
        <v>0.64700000000000002</v>
      </c>
      <c r="AF7" s="189">
        <v>0.64700000000000002</v>
      </c>
      <c r="AG7" s="189">
        <v>0.64700000000000002</v>
      </c>
      <c r="AH7" s="189">
        <v>0.64700000000000002</v>
      </c>
      <c r="AI7" s="189">
        <v>0.64700000000000002</v>
      </c>
      <c r="AJ7" s="189">
        <v>0.64700000000000002</v>
      </c>
    </row>
    <row r="8" spans="1:36" x14ac:dyDescent="0.35">
      <c r="A8" t="s">
        <v>1355</v>
      </c>
      <c r="B8" s="188" t="s">
        <v>1342</v>
      </c>
      <c r="C8" t="s">
        <v>1350</v>
      </c>
      <c r="D8" s="188">
        <v>30</v>
      </c>
      <c r="E8" t="s">
        <v>1344</v>
      </c>
      <c r="F8" t="s">
        <v>1352</v>
      </c>
      <c r="G8" s="189" t="s">
        <v>1353</v>
      </c>
      <c r="H8" s="189">
        <v>0.64700000000000002</v>
      </c>
      <c r="I8" s="189">
        <v>0.64700000000000002</v>
      </c>
      <c r="J8" s="189">
        <v>0.64700000000000002</v>
      </c>
      <c r="K8" s="189">
        <v>0.64700000000000002</v>
      </c>
      <c r="L8" s="189">
        <v>0.64700000000000002</v>
      </c>
      <c r="M8" s="189">
        <v>0.64700000000000002</v>
      </c>
      <c r="N8" s="189">
        <v>0.64700000000000002</v>
      </c>
      <c r="O8" s="189">
        <v>0.64700000000000002</v>
      </c>
      <c r="P8" s="189">
        <v>0.64700000000000002</v>
      </c>
      <c r="Q8" s="189">
        <v>0.64700000000000002</v>
      </c>
      <c r="R8" s="189">
        <v>0.64700000000000002</v>
      </c>
      <c r="S8" s="189">
        <v>0.64700000000000002</v>
      </c>
      <c r="T8" s="189">
        <v>0.64700000000000002</v>
      </c>
      <c r="U8" s="189">
        <v>0.64700000000000002</v>
      </c>
      <c r="V8" s="189">
        <v>0.64700000000000002</v>
      </c>
      <c r="W8" s="189">
        <v>0.64700000000000002</v>
      </c>
      <c r="X8" s="189">
        <v>0.64700000000000002</v>
      </c>
      <c r="Y8" s="189">
        <v>0.64700000000000002</v>
      </c>
      <c r="Z8" s="189">
        <v>0.64700000000000002</v>
      </c>
      <c r="AA8" s="189">
        <v>0.64700000000000002</v>
      </c>
      <c r="AB8" s="189">
        <v>0.64700000000000002</v>
      </c>
      <c r="AC8" s="189">
        <v>0.64700000000000002</v>
      </c>
      <c r="AD8" s="189">
        <v>0.64700000000000002</v>
      </c>
      <c r="AE8" s="189">
        <v>0.64700000000000002</v>
      </c>
      <c r="AF8" s="189">
        <v>0.64700000000000002</v>
      </c>
      <c r="AG8" s="189">
        <v>0.64700000000000002</v>
      </c>
      <c r="AH8" s="189">
        <v>0.64700000000000002</v>
      </c>
      <c r="AI8" s="189">
        <v>0.64700000000000002</v>
      </c>
      <c r="AJ8" s="189">
        <v>0.64700000000000002</v>
      </c>
    </row>
    <row r="9" spans="1:36" x14ac:dyDescent="0.35">
      <c r="A9" t="s">
        <v>1356</v>
      </c>
      <c r="B9" s="188" t="s">
        <v>1342</v>
      </c>
      <c r="C9" t="s">
        <v>1343</v>
      </c>
      <c r="D9" s="188">
        <v>30</v>
      </c>
      <c r="E9" t="s">
        <v>1344</v>
      </c>
      <c r="F9" t="s">
        <v>1357</v>
      </c>
      <c r="G9" s="189" t="s">
        <v>1358</v>
      </c>
      <c r="H9" s="189">
        <v>0.51400000000000001</v>
      </c>
      <c r="I9" s="189">
        <v>0.51400000000000001</v>
      </c>
      <c r="J9" s="189">
        <v>0.51400000000000001</v>
      </c>
      <c r="K9" s="189">
        <v>0.51400000000000001</v>
      </c>
      <c r="L9" s="189">
        <v>0.51400000000000001</v>
      </c>
      <c r="M9" s="189">
        <v>0.51400000000000001</v>
      </c>
      <c r="N9" s="189">
        <v>0.51400000000000001</v>
      </c>
      <c r="O9" s="189">
        <v>0.51400000000000001</v>
      </c>
      <c r="P9" s="189">
        <v>0.51400000000000001</v>
      </c>
      <c r="Q9" s="189">
        <v>0.51400000000000001</v>
      </c>
      <c r="R9" s="189">
        <v>0.51400000000000001</v>
      </c>
      <c r="S9" s="189">
        <v>0.51400000000000001</v>
      </c>
      <c r="T9" s="189">
        <v>0.51400000000000001</v>
      </c>
      <c r="U9" s="189">
        <v>0.51400000000000001</v>
      </c>
      <c r="V9" s="189">
        <v>0.51400000000000001</v>
      </c>
      <c r="W9" s="189">
        <v>0.51400000000000001</v>
      </c>
      <c r="X9" s="189">
        <v>0.51400000000000001</v>
      </c>
      <c r="Y9" s="189">
        <v>0.51400000000000001</v>
      </c>
      <c r="Z9" s="189">
        <v>0.51400000000000001</v>
      </c>
      <c r="AA9" s="189">
        <v>0.51400000000000001</v>
      </c>
      <c r="AB9" s="189">
        <v>0.51400000000000001</v>
      </c>
      <c r="AC9" s="189">
        <v>0.51400000000000001</v>
      </c>
      <c r="AD9" s="189">
        <v>0.51400000000000001</v>
      </c>
      <c r="AE9" s="189">
        <v>0.51400000000000001</v>
      </c>
      <c r="AF9" s="189">
        <v>0.51400000000000001</v>
      </c>
      <c r="AG9" s="189">
        <v>0.51400000000000001</v>
      </c>
      <c r="AH9" s="189">
        <v>0.51400000000000001</v>
      </c>
      <c r="AI9" s="189">
        <v>0.51400000000000001</v>
      </c>
      <c r="AJ9" s="189">
        <v>0.51400000000000001</v>
      </c>
    </row>
    <row r="10" spans="1:36" x14ac:dyDescent="0.35">
      <c r="A10" t="s">
        <v>1359</v>
      </c>
      <c r="B10" s="188" t="s">
        <v>1342</v>
      </c>
      <c r="C10" t="s">
        <v>1348</v>
      </c>
      <c r="D10" s="188">
        <v>30</v>
      </c>
      <c r="E10" t="s">
        <v>1344</v>
      </c>
      <c r="F10" t="s">
        <v>1357</v>
      </c>
      <c r="G10" s="189" t="s">
        <v>1358</v>
      </c>
      <c r="H10" s="189">
        <v>0.51400000000000001</v>
      </c>
      <c r="I10" s="189">
        <v>0.51400000000000001</v>
      </c>
      <c r="J10" s="189">
        <v>0.51400000000000001</v>
      </c>
      <c r="K10" s="189">
        <v>0.51400000000000001</v>
      </c>
      <c r="L10" s="189">
        <v>0.51400000000000001</v>
      </c>
      <c r="M10" s="189">
        <v>0.51400000000000001</v>
      </c>
      <c r="N10" s="189">
        <v>0.51400000000000001</v>
      </c>
      <c r="O10" s="189">
        <v>0.51400000000000001</v>
      </c>
      <c r="P10" s="189">
        <v>0.51400000000000001</v>
      </c>
      <c r="Q10" s="189">
        <v>0.51400000000000001</v>
      </c>
      <c r="R10" s="189">
        <v>0.51400000000000001</v>
      </c>
      <c r="S10" s="189">
        <v>0.51400000000000001</v>
      </c>
      <c r="T10" s="189">
        <v>0.51400000000000001</v>
      </c>
      <c r="U10" s="189">
        <v>0.51400000000000001</v>
      </c>
      <c r="V10" s="189">
        <v>0.51400000000000001</v>
      </c>
      <c r="W10" s="189">
        <v>0.51400000000000001</v>
      </c>
      <c r="X10" s="189">
        <v>0.51400000000000001</v>
      </c>
      <c r="Y10" s="189">
        <v>0.51400000000000001</v>
      </c>
      <c r="Z10" s="189">
        <v>0.51400000000000001</v>
      </c>
      <c r="AA10" s="189">
        <v>0.51400000000000001</v>
      </c>
      <c r="AB10" s="189">
        <v>0.51400000000000001</v>
      </c>
      <c r="AC10" s="189">
        <v>0.51400000000000001</v>
      </c>
      <c r="AD10" s="189">
        <v>0.51400000000000001</v>
      </c>
      <c r="AE10" s="189">
        <v>0.51400000000000001</v>
      </c>
      <c r="AF10" s="189">
        <v>0.51400000000000001</v>
      </c>
      <c r="AG10" s="189">
        <v>0.51400000000000001</v>
      </c>
      <c r="AH10" s="189">
        <v>0.51400000000000001</v>
      </c>
      <c r="AI10" s="189">
        <v>0.51400000000000001</v>
      </c>
      <c r="AJ10" s="189">
        <v>0.51400000000000001</v>
      </c>
    </row>
    <row r="11" spans="1:36" x14ac:dyDescent="0.35">
      <c r="A11" t="s">
        <v>1360</v>
      </c>
      <c r="B11" s="188" t="s">
        <v>1342</v>
      </c>
      <c r="C11" t="s">
        <v>1350</v>
      </c>
      <c r="D11" s="188">
        <v>30</v>
      </c>
      <c r="E11" t="s">
        <v>1344</v>
      </c>
      <c r="F11" t="s">
        <v>1357</v>
      </c>
      <c r="G11" s="189" t="s">
        <v>1358</v>
      </c>
      <c r="H11" s="189">
        <v>0.51400000000000001</v>
      </c>
      <c r="I11" s="189">
        <v>0.51400000000000001</v>
      </c>
      <c r="J11" s="189">
        <v>0.51400000000000001</v>
      </c>
      <c r="K11" s="189">
        <v>0.51400000000000001</v>
      </c>
      <c r="L11" s="189">
        <v>0.51400000000000001</v>
      </c>
      <c r="M11" s="189">
        <v>0.51400000000000001</v>
      </c>
      <c r="N11" s="189">
        <v>0.51400000000000001</v>
      </c>
      <c r="O11" s="189">
        <v>0.51400000000000001</v>
      </c>
      <c r="P11" s="189">
        <v>0.51400000000000001</v>
      </c>
      <c r="Q11" s="189">
        <v>0.51400000000000001</v>
      </c>
      <c r="R11" s="189">
        <v>0.51400000000000001</v>
      </c>
      <c r="S11" s="189">
        <v>0.51400000000000001</v>
      </c>
      <c r="T11" s="189">
        <v>0.51400000000000001</v>
      </c>
      <c r="U11" s="189">
        <v>0.51400000000000001</v>
      </c>
      <c r="V11" s="189">
        <v>0.51400000000000001</v>
      </c>
      <c r="W11" s="189">
        <v>0.51400000000000001</v>
      </c>
      <c r="X11" s="189">
        <v>0.51400000000000001</v>
      </c>
      <c r="Y11" s="189">
        <v>0.51400000000000001</v>
      </c>
      <c r="Z11" s="189">
        <v>0.51400000000000001</v>
      </c>
      <c r="AA11" s="189">
        <v>0.51400000000000001</v>
      </c>
      <c r="AB11" s="189">
        <v>0.51400000000000001</v>
      </c>
      <c r="AC11" s="189">
        <v>0.51400000000000001</v>
      </c>
      <c r="AD11" s="189">
        <v>0.51400000000000001</v>
      </c>
      <c r="AE11" s="189">
        <v>0.51400000000000001</v>
      </c>
      <c r="AF11" s="189">
        <v>0.51400000000000001</v>
      </c>
      <c r="AG11" s="189">
        <v>0.51400000000000001</v>
      </c>
      <c r="AH11" s="189">
        <v>0.51400000000000001</v>
      </c>
      <c r="AI11" s="189">
        <v>0.51400000000000001</v>
      </c>
      <c r="AJ11" s="189">
        <v>0.51400000000000001</v>
      </c>
    </row>
    <row r="12" spans="1:36" x14ac:dyDescent="0.35">
      <c r="A12" t="s">
        <v>1361</v>
      </c>
      <c r="B12" s="188" t="s">
        <v>1342</v>
      </c>
      <c r="C12" t="s">
        <v>1343</v>
      </c>
      <c r="D12" s="188">
        <v>30</v>
      </c>
      <c r="E12" t="s">
        <v>1362</v>
      </c>
      <c r="F12" t="s">
        <v>1363</v>
      </c>
      <c r="G12" s="189" t="s">
        <v>1364</v>
      </c>
      <c r="H12" s="189">
        <v>0.47089999999999999</v>
      </c>
      <c r="I12" s="189">
        <v>0.48470000000000002</v>
      </c>
      <c r="J12" s="189">
        <v>0.49280000000000002</v>
      </c>
      <c r="K12" s="189">
        <v>0.4985</v>
      </c>
      <c r="L12" s="189">
        <v>0.50280000000000002</v>
      </c>
      <c r="M12" s="189">
        <v>0.50619999999999998</v>
      </c>
      <c r="N12" s="189">
        <v>0.5091</v>
      </c>
      <c r="O12" s="189">
        <v>0.51160000000000005</v>
      </c>
      <c r="P12" s="189">
        <v>0.51370000000000005</v>
      </c>
      <c r="Q12" s="189">
        <v>0.51649999999999996</v>
      </c>
      <c r="R12" s="189">
        <v>0.51890000000000003</v>
      </c>
      <c r="S12" s="189">
        <v>0.52100000000000002</v>
      </c>
      <c r="T12" s="189">
        <v>0.52280000000000004</v>
      </c>
      <c r="U12" s="189">
        <v>0.52449999999999997</v>
      </c>
      <c r="V12" s="189">
        <v>0.52549999999999997</v>
      </c>
      <c r="W12" s="189">
        <v>0.52649999999999997</v>
      </c>
      <c r="X12" s="189">
        <v>0.52749999999999997</v>
      </c>
      <c r="Y12" s="189">
        <v>0.52829999999999999</v>
      </c>
      <c r="Z12" s="189">
        <v>0.5292</v>
      </c>
      <c r="AA12" s="189">
        <v>0.52990000000000004</v>
      </c>
      <c r="AB12" s="189">
        <v>0.53069999999999995</v>
      </c>
      <c r="AC12" s="189">
        <v>0.53139999999999998</v>
      </c>
      <c r="AD12" s="189">
        <v>0.53200000000000003</v>
      </c>
      <c r="AE12" s="189">
        <v>0.53269999999999995</v>
      </c>
      <c r="AF12" s="189">
        <v>0.5333</v>
      </c>
      <c r="AG12" s="189">
        <v>0.53380000000000005</v>
      </c>
      <c r="AH12" s="189">
        <v>0.53439999999999999</v>
      </c>
      <c r="AI12" s="189">
        <v>0.53490000000000004</v>
      </c>
      <c r="AJ12" s="189">
        <v>0.53539999999999999</v>
      </c>
    </row>
    <row r="13" spans="1:36" x14ac:dyDescent="0.35">
      <c r="A13" t="s">
        <v>1365</v>
      </c>
      <c r="B13" s="188" t="s">
        <v>1342</v>
      </c>
      <c r="C13" t="s">
        <v>1348</v>
      </c>
      <c r="D13" s="188">
        <v>30</v>
      </c>
      <c r="E13" t="s">
        <v>1362</v>
      </c>
      <c r="F13" t="s">
        <v>1363</v>
      </c>
      <c r="G13" s="189" t="s">
        <v>1364</v>
      </c>
      <c r="H13" s="189">
        <v>0.47089999999999999</v>
      </c>
      <c r="I13" s="189">
        <v>0.47589999999999999</v>
      </c>
      <c r="J13" s="189">
        <v>0.47949999999999998</v>
      </c>
      <c r="K13" s="189">
        <v>0.48230000000000001</v>
      </c>
      <c r="L13" s="189">
        <v>0.48449999999999999</v>
      </c>
      <c r="M13" s="189">
        <v>0.48630000000000001</v>
      </c>
      <c r="N13" s="189">
        <v>0.4879</v>
      </c>
      <c r="O13" s="189">
        <v>0.48930000000000001</v>
      </c>
      <c r="P13" s="189">
        <v>0.49059999999999998</v>
      </c>
      <c r="Q13" s="189">
        <v>0.4924</v>
      </c>
      <c r="R13" s="189">
        <v>0.49399999999999999</v>
      </c>
      <c r="S13" s="189">
        <v>0.49540000000000001</v>
      </c>
      <c r="T13" s="189">
        <v>0.49659999999999999</v>
      </c>
      <c r="U13" s="189">
        <v>0.49769999999999998</v>
      </c>
      <c r="V13" s="189">
        <v>0.49840000000000001</v>
      </c>
      <c r="W13" s="189">
        <v>0.49909999999999999</v>
      </c>
      <c r="X13" s="189">
        <v>0.49969999999999998</v>
      </c>
      <c r="Y13" s="189">
        <v>0.50029999999999997</v>
      </c>
      <c r="Z13" s="189">
        <v>0.50080000000000002</v>
      </c>
      <c r="AA13" s="189">
        <v>0.50139999999999996</v>
      </c>
      <c r="AB13" s="189">
        <v>0.50190000000000001</v>
      </c>
      <c r="AC13" s="189">
        <v>0.50229999999999997</v>
      </c>
      <c r="AD13" s="189">
        <v>0.50280000000000002</v>
      </c>
      <c r="AE13" s="189">
        <v>0.50319999999999998</v>
      </c>
      <c r="AF13" s="189">
        <v>0.50360000000000005</v>
      </c>
      <c r="AG13" s="189">
        <v>0.504</v>
      </c>
      <c r="AH13" s="189">
        <v>0.50439999999999996</v>
      </c>
      <c r="AI13" s="189">
        <v>0.50470000000000004</v>
      </c>
      <c r="AJ13" s="189">
        <v>0.50509999999999999</v>
      </c>
    </row>
    <row r="14" spans="1:36" x14ac:dyDescent="0.35">
      <c r="A14" t="s">
        <v>1366</v>
      </c>
      <c r="B14" s="188" t="s">
        <v>1342</v>
      </c>
      <c r="C14" t="s">
        <v>1350</v>
      </c>
      <c r="D14" s="188">
        <v>30</v>
      </c>
      <c r="E14" t="s">
        <v>1362</v>
      </c>
      <c r="F14" t="s">
        <v>1363</v>
      </c>
      <c r="G14" s="189" t="s">
        <v>1364</v>
      </c>
      <c r="H14" s="189">
        <v>0.47089999999999999</v>
      </c>
      <c r="I14" s="189">
        <v>0.47149999999999997</v>
      </c>
      <c r="J14" s="189">
        <v>0.47210000000000002</v>
      </c>
      <c r="K14" s="189">
        <v>0.47260000000000002</v>
      </c>
      <c r="L14" s="189">
        <v>0.47299999999999998</v>
      </c>
      <c r="M14" s="189">
        <v>0.47349999999999998</v>
      </c>
      <c r="N14" s="189">
        <v>0.47389999999999999</v>
      </c>
      <c r="O14" s="189">
        <v>0.4743</v>
      </c>
      <c r="P14" s="189">
        <v>0.47460000000000002</v>
      </c>
      <c r="Q14" s="189">
        <v>0.47570000000000001</v>
      </c>
      <c r="R14" s="189">
        <v>0.47649999999999998</v>
      </c>
      <c r="S14" s="189">
        <v>0.4773</v>
      </c>
      <c r="T14" s="189">
        <v>0.47789999999999999</v>
      </c>
      <c r="U14" s="189">
        <v>0.47849999999999998</v>
      </c>
      <c r="V14" s="189">
        <v>0.47889999999999999</v>
      </c>
      <c r="W14" s="189">
        <v>0.4793</v>
      </c>
      <c r="X14" s="189">
        <v>0.47970000000000002</v>
      </c>
      <c r="Y14" s="189">
        <v>0.48</v>
      </c>
      <c r="Z14" s="189">
        <v>0.4803</v>
      </c>
      <c r="AA14" s="189">
        <v>0.48060000000000003</v>
      </c>
      <c r="AB14" s="189">
        <v>0.48089999999999999</v>
      </c>
      <c r="AC14" s="189">
        <v>0.48120000000000002</v>
      </c>
      <c r="AD14" s="189">
        <v>0.48139999999999999</v>
      </c>
      <c r="AE14" s="189">
        <v>0.48170000000000002</v>
      </c>
      <c r="AF14" s="189">
        <v>0.4819</v>
      </c>
      <c r="AG14" s="189">
        <v>0.48209999999999997</v>
      </c>
      <c r="AH14" s="189">
        <v>0.48230000000000001</v>
      </c>
      <c r="AI14" s="189">
        <v>0.48249999999999998</v>
      </c>
      <c r="AJ14" s="189">
        <v>0.48270000000000002</v>
      </c>
    </row>
    <row r="15" spans="1:36" x14ac:dyDescent="0.35">
      <c r="A15" t="s">
        <v>1367</v>
      </c>
      <c r="B15" s="188" t="s">
        <v>1342</v>
      </c>
      <c r="C15" t="s">
        <v>1343</v>
      </c>
      <c r="D15" s="188">
        <v>30</v>
      </c>
      <c r="E15" t="s">
        <v>1362</v>
      </c>
      <c r="F15" t="s">
        <v>1345</v>
      </c>
      <c r="G15" s="189" t="s">
        <v>1368</v>
      </c>
      <c r="H15" s="189">
        <v>0.44890000000000002</v>
      </c>
      <c r="I15" s="189">
        <v>0.46200000000000002</v>
      </c>
      <c r="J15" s="189">
        <v>0.46970000000000001</v>
      </c>
      <c r="K15" s="189">
        <v>0.47520000000000001</v>
      </c>
      <c r="L15" s="189">
        <v>0.4793</v>
      </c>
      <c r="M15" s="189">
        <v>0.48259999999999997</v>
      </c>
      <c r="N15" s="189">
        <v>0.48530000000000001</v>
      </c>
      <c r="O15" s="189">
        <v>0.48759999999999998</v>
      </c>
      <c r="P15" s="189">
        <v>0.48970000000000002</v>
      </c>
      <c r="Q15" s="189">
        <v>0.4924</v>
      </c>
      <c r="R15" s="189">
        <v>0.49469999999999997</v>
      </c>
      <c r="S15" s="189">
        <v>0.49659999999999999</v>
      </c>
      <c r="T15" s="189">
        <v>0.49840000000000001</v>
      </c>
      <c r="U15" s="189">
        <v>0.49990000000000001</v>
      </c>
      <c r="V15" s="189">
        <v>0.501</v>
      </c>
      <c r="W15" s="189">
        <v>0.50190000000000001</v>
      </c>
      <c r="X15" s="189">
        <v>0.50280000000000002</v>
      </c>
      <c r="Y15" s="189">
        <v>0.50360000000000005</v>
      </c>
      <c r="Z15" s="189">
        <v>0.50439999999999996</v>
      </c>
      <c r="AA15" s="189">
        <v>0.50519999999999998</v>
      </c>
      <c r="AB15" s="189">
        <v>0.50590000000000002</v>
      </c>
      <c r="AC15" s="189">
        <v>0.50649999999999995</v>
      </c>
      <c r="AD15" s="189">
        <v>0.50719999999999998</v>
      </c>
      <c r="AE15" s="189">
        <v>0.50780000000000003</v>
      </c>
      <c r="AF15" s="189">
        <v>0.50829999999999997</v>
      </c>
      <c r="AG15" s="189">
        <v>0.50890000000000002</v>
      </c>
      <c r="AH15" s="189">
        <v>0.50939999999999996</v>
      </c>
      <c r="AI15" s="189">
        <v>0.50990000000000002</v>
      </c>
      <c r="AJ15" s="189">
        <v>0.51039999999999996</v>
      </c>
    </row>
    <row r="16" spans="1:36" x14ac:dyDescent="0.35">
      <c r="A16" t="s">
        <v>1369</v>
      </c>
      <c r="B16" s="188" t="s">
        <v>1342</v>
      </c>
      <c r="C16" t="s">
        <v>1348</v>
      </c>
      <c r="D16" s="188">
        <v>30</v>
      </c>
      <c r="E16" t="s">
        <v>1362</v>
      </c>
      <c r="F16" t="s">
        <v>1345</v>
      </c>
      <c r="G16" s="189" t="s">
        <v>1368</v>
      </c>
      <c r="H16" s="189">
        <v>0.44890000000000002</v>
      </c>
      <c r="I16" s="189">
        <v>0.45369999999999999</v>
      </c>
      <c r="J16" s="189">
        <v>0.45710000000000001</v>
      </c>
      <c r="K16" s="189">
        <v>0.4597</v>
      </c>
      <c r="L16" s="189">
        <v>0.46179999999999999</v>
      </c>
      <c r="M16" s="189">
        <v>0.46360000000000001</v>
      </c>
      <c r="N16" s="189">
        <v>0.46510000000000001</v>
      </c>
      <c r="O16" s="189">
        <v>0.46650000000000003</v>
      </c>
      <c r="P16" s="189">
        <v>0.46760000000000002</v>
      </c>
      <c r="Q16" s="189">
        <v>0.46939999999999998</v>
      </c>
      <c r="R16" s="189">
        <v>0.47089999999999999</v>
      </c>
      <c r="S16" s="189">
        <v>0.47220000000000001</v>
      </c>
      <c r="T16" s="189">
        <v>0.47339999999999999</v>
      </c>
      <c r="U16" s="189">
        <v>0.47439999999999999</v>
      </c>
      <c r="V16" s="189">
        <v>0.47510000000000002</v>
      </c>
      <c r="W16" s="189">
        <v>0.47570000000000001</v>
      </c>
      <c r="X16" s="189">
        <v>0.4763</v>
      </c>
      <c r="Y16" s="189">
        <v>0.47689999999999999</v>
      </c>
      <c r="Z16" s="189">
        <v>0.47739999999999999</v>
      </c>
      <c r="AA16" s="189">
        <v>0.47789999999999999</v>
      </c>
      <c r="AB16" s="189">
        <v>0.47839999999999999</v>
      </c>
      <c r="AC16" s="189">
        <v>0.4788</v>
      </c>
      <c r="AD16" s="189">
        <v>0.4793</v>
      </c>
      <c r="AE16" s="189">
        <v>0.47970000000000002</v>
      </c>
      <c r="AF16" s="189">
        <v>0.48010000000000003</v>
      </c>
      <c r="AG16" s="189">
        <v>0.48039999999999999</v>
      </c>
      <c r="AH16" s="189">
        <v>0.48080000000000001</v>
      </c>
      <c r="AI16" s="189">
        <v>0.48110000000000003</v>
      </c>
      <c r="AJ16" s="189">
        <v>0.48149999999999998</v>
      </c>
    </row>
    <row r="17" spans="1:36" x14ac:dyDescent="0.35">
      <c r="A17" t="s">
        <v>1370</v>
      </c>
      <c r="B17" s="188" t="s">
        <v>1342</v>
      </c>
      <c r="C17" t="s">
        <v>1350</v>
      </c>
      <c r="D17" s="188">
        <v>30</v>
      </c>
      <c r="E17" t="s">
        <v>1362</v>
      </c>
      <c r="F17" t="s">
        <v>1345</v>
      </c>
      <c r="G17" s="189" t="s">
        <v>1368</v>
      </c>
      <c r="H17" s="189">
        <v>0.44890000000000002</v>
      </c>
      <c r="I17" s="189">
        <v>0.44940000000000002</v>
      </c>
      <c r="J17" s="189">
        <v>0.45</v>
      </c>
      <c r="K17" s="189">
        <v>0.45050000000000001</v>
      </c>
      <c r="L17" s="189">
        <v>0.45090000000000002</v>
      </c>
      <c r="M17" s="189">
        <v>0.45129999999999998</v>
      </c>
      <c r="N17" s="189">
        <v>0.45169999999999999</v>
      </c>
      <c r="O17" s="189">
        <v>0.4521</v>
      </c>
      <c r="P17" s="189">
        <v>0.45240000000000002</v>
      </c>
      <c r="Q17" s="189">
        <v>0.45340000000000003</v>
      </c>
      <c r="R17" s="189">
        <v>0.45419999999999999</v>
      </c>
      <c r="S17" s="189">
        <v>0.45500000000000002</v>
      </c>
      <c r="T17" s="189">
        <v>0.4556</v>
      </c>
      <c r="U17" s="189">
        <v>0.45619999999999999</v>
      </c>
      <c r="V17" s="189">
        <v>0.45650000000000002</v>
      </c>
      <c r="W17" s="189">
        <v>0.45689999999999997</v>
      </c>
      <c r="X17" s="189">
        <v>0.4572</v>
      </c>
      <c r="Y17" s="189">
        <v>0.45750000000000002</v>
      </c>
      <c r="Z17" s="189">
        <v>0.45779999999999998</v>
      </c>
      <c r="AA17" s="189">
        <v>0.45810000000000001</v>
      </c>
      <c r="AB17" s="189">
        <v>0.45839999999999997</v>
      </c>
      <c r="AC17" s="189">
        <v>0.4587</v>
      </c>
      <c r="AD17" s="189">
        <v>0.45889999999999997</v>
      </c>
      <c r="AE17" s="189">
        <v>0.45910000000000001</v>
      </c>
      <c r="AF17" s="189">
        <v>0.45929999999999999</v>
      </c>
      <c r="AG17" s="189">
        <v>0.45960000000000001</v>
      </c>
      <c r="AH17" s="189">
        <v>0.45979999999999999</v>
      </c>
      <c r="AI17" s="189">
        <v>0.46</v>
      </c>
      <c r="AJ17" s="189">
        <v>0.46010000000000001</v>
      </c>
    </row>
    <row r="18" spans="1:36" x14ac:dyDescent="0.35">
      <c r="A18" t="s">
        <v>1371</v>
      </c>
      <c r="B18" s="188" t="s">
        <v>1342</v>
      </c>
      <c r="C18" t="s">
        <v>1343</v>
      </c>
      <c r="D18" s="188">
        <v>30</v>
      </c>
      <c r="E18" t="s">
        <v>1362</v>
      </c>
      <c r="F18" t="s">
        <v>1352</v>
      </c>
      <c r="G18" s="189" t="s">
        <v>1372</v>
      </c>
      <c r="H18" s="189">
        <v>0.45290000000000002</v>
      </c>
      <c r="I18" s="189">
        <v>0.46610000000000001</v>
      </c>
      <c r="J18" s="189">
        <v>0.47399999999999998</v>
      </c>
      <c r="K18" s="189">
        <v>0.47939999999999999</v>
      </c>
      <c r="L18" s="189">
        <v>0.48359999999999997</v>
      </c>
      <c r="M18" s="189">
        <v>0.4869</v>
      </c>
      <c r="N18" s="189">
        <v>0.48970000000000002</v>
      </c>
      <c r="O18" s="189">
        <v>0.49199999999999999</v>
      </c>
      <c r="P18" s="189">
        <v>0.49409999999999998</v>
      </c>
      <c r="Q18" s="189">
        <v>0.49680000000000002</v>
      </c>
      <c r="R18" s="189">
        <v>0.49909999999999999</v>
      </c>
      <c r="S18" s="189">
        <v>0.50109999999999999</v>
      </c>
      <c r="T18" s="189">
        <v>0.50290000000000001</v>
      </c>
      <c r="U18" s="189">
        <v>0.50439999999999996</v>
      </c>
      <c r="V18" s="189">
        <v>0.50539999999999996</v>
      </c>
      <c r="W18" s="189">
        <v>0.50639999999999996</v>
      </c>
      <c r="X18" s="189">
        <v>0.50729999999999997</v>
      </c>
      <c r="Y18" s="189">
        <v>0.50819999999999999</v>
      </c>
      <c r="Z18" s="189">
        <v>0.50900000000000001</v>
      </c>
      <c r="AA18" s="189">
        <v>0.50970000000000004</v>
      </c>
      <c r="AB18" s="189">
        <v>0.51039999999999996</v>
      </c>
      <c r="AC18" s="189">
        <v>0.5111</v>
      </c>
      <c r="AD18" s="189">
        <v>0.51170000000000004</v>
      </c>
      <c r="AE18" s="189">
        <v>0.51229999999999998</v>
      </c>
      <c r="AF18" s="189">
        <v>0.51290000000000002</v>
      </c>
      <c r="AG18" s="189">
        <v>0.51339999999999997</v>
      </c>
      <c r="AH18" s="189">
        <v>0.51400000000000001</v>
      </c>
      <c r="AI18" s="189">
        <v>0.51449999999999996</v>
      </c>
      <c r="AJ18" s="189">
        <v>0.51500000000000001</v>
      </c>
    </row>
    <row r="19" spans="1:36" x14ac:dyDescent="0.35">
      <c r="A19" t="s">
        <v>1373</v>
      </c>
      <c r="B19" s="188" t="s">
        <v>1342</v>
      </c>
      <c r="C19" t="s">
        <v>1348</v>
      </c>
      <c r="D19" s="188">
        <v>30</v>
      </c>
      <c r="E19" t="s">
        <v>1362</v>
      </c>
      <c r="F19" t="s">
        <v>1352</v>
      </c>
      <c r="G19" s="189" t="s">
        <v>1372</v>
      </c>
      <c r="H19" s="189">
        <v>0.45290000000000002</v>
      </c>
      <c r="I19" s="189">
        <v>0.4577</v>
      </c>
      <c r="J19" s="189">
        <v>0.4612</v>
      </c>
      <c r="K19" s="189">
        <v>0.46379999999999999</v>
      </c>
      <c r="L19" s="189">
        <v>0.46600000000000003</v>
      </c>
      <c r="M19" s="189">
        <v>0.46779999999999999</v>
      </c>
      <c r="N19" s="189">
        <v>0.46929999999999999</v>
      </c>
      <c r="O19" s="189">
        <v>0.47060000000000002</v>
      </c>
      <c r="P19" s="189">
        <v>0.4718</v>
      </c>
      <c r="Q19" s="189">
        <v>0.47360000000000002</v>
      </c>
      <c r="R19" s="189">
        <v>0.47510000000000002</v>
      </c>
      <c r="S19" s="189">
        <v>0.47649999999999998</v>
      </c>
      <c r="T19" s="189">
        <v>0.47760000000000002</v>
      </c>
      <c r="U19" s="189">
        <v>0.47870000000000001</v>
      </c>
      <c r="V19" s="189">
        <v>0.4793</v>
      </c>
      <c r="W19" s="189">
        <v>0.48</v>
      </c>
      <c r="X19" s="189">
        <v>0.48060000000000003</v>
      </c>
      <c r="Y19" s="189">
        <v>0.48120000000000002</v>
      </c>
      <c r="Z19" s="189">
        <v>0.48170000000000002</v>
      </c>
      <c r="AA19" s="189">
        <v>0.48220000000000002</v>
      </c>
      <c r="AB19" s="189">
        <v>0.48270000000000002</v>
      </c>
      <c r="AC19" s="189">
        <v>0.48309999999999997</v>
      </c>
      <c r="AD19" s="189">
        <v>0.48359999999999997</v>
      </c>
      <c r="AE19" s="189">
        <v>0.48399999999999999</v>
      </c>
      <c r="AF19" s="189">
        <v>0.4844</v>
      </c>
      <c r="AG19" s="189">
        <v>0.48480000000000001</v>
      </c>
      <c r="AH19" s="189">
        <v>0.48509999999999998</v>
      </c>
      <c r="AI19" s="189">
        <v>0.48549999999999999</v>
      </c>
      <c r="AJ19" s="189">
        <v>0.48580000000000001</v>
      </c>
    </row>
    <row r="20" spans="1:36" x14ac:dyDescent="0.35">
      <c r="A20" t="s">
        <v>1374</v>
      </c>
      <c r="B20" s="188" t="s">
        <v>1342</v>
      </c>
      <c r="C20" t="s">
        <v>1350</v>
      </c>
      <c r="D20" s="188">
        <v>30</v>
      </c>
      <c r="E20" t="s">
        <v>1362</v>
      </c>
      <c r="F20" t="s">
        <v>1352</v>
      </c>
      <c r="G20" s="189" t="s">
        <v>1372</v>
      </c>
      <c r="H20" s="189">
        <v>0.45290000000000002</v>
      </c>
      <c r="I20" s="189">
        <v>0.45350000000000001</v>
      </c>
      <c r="J20" s="189">
        <v>0.45400000000000001</v>
      </c>
      <c r="K20" s="189">
        <v>0.45450000000000002</v>
      </c>
      <c r="L20" s="189">
        <v>0.45500000000000002</v>
      </c>
      <c r="M20" s="189">
        <v>0.45540000000000003</v>
      </c>
      <c r="N20" s="189">
        <v>0.45579999999999998</v>
      </c>
      <c r="O20" s="189">
        <v>0.45619999999999999</v>
      </c>
      <c r="P20" s="189">
        <v>0.45650000000000002</v>
      </c>
      <c r="Q20" s="189">
        <v>0.45750000000000002</v>
      </c>
      <c r="R20" s="189">
        <v>0.45829999999999999</v>
      </c>
      <c r="S20" s="189">
        <v>0.45900000000000002</v>
      </c>
      <c r="T20" s="189">
        <v>0.4597</v>
      </c>
      <c r="U20" s="189">
        <v>0.46029999999999999</v>
      </c>
      <c r="V20" s="189">
        <v>0.46060000000000001</v>
      </c>
      <c r="W20" s="189">
        <v>0.46100000000000002</v>
      </c>
      <c r="X20" s="189">
        <v>0.46129999999999999</v>
      </c>
      <c r="Y20" s="189">
        <v>0.4617</v>
      </c>
      <c r="Z20" s="189">
        <v>0.46200000000000002</v>
      </c>
      <c r="AA20" s="189">
        <v>0.4622</v>
      </c>
      <c r="AB20" s="189">
        <v>0.46250000000000002</v>
      </c>
      <c r="AC20" s="189">
        <v>0.46279999999999999</v>
      </c>
      <c r="AD20" s="189">
        <v>0.46300000000000002</v>
      </c>
      <c r="AE20" s="189">
        <v>0.4632</v>
      </c>
      <c r="AF20" s="189">
        <v>0.46350000000000002</v>
      </c>
      <c r="AG20" s="189">
        <v>0.4637</v>
      </c>
      <c r="AH20" s="189">
        <v>0.46389999999999998</v>
      </c>
      <c r="AI20" s="189">
        <v>0.46410000000000001</v>
      </c>
      <c r="AJ20" s="189">
        <v>0.46429999999999999</v>
      </c>
    </row>
    <row r="21" spans="1:36" x14ac:dyDescent="0.35">
      <c r="A21" t="s">
        <v>1375</v>
      </c>
      <c r="B21" s="188" t="s">
        <v>1342</v>
      </c>
      <c r="C21" t="s">
        <v>1343</v>
      </c>
      <c r="D21" s="188">
        <v>30</v>
      </c>
      <c r="E21" t="s">
        <v>1362</v>
      </c>
      <c r="F21" t="s">
        <v>1376</v>
      </c>
      <c r="G21" s="189" t="s">
        <v>1377</v>
      </c>
      <c r="H21" s="189">
        <v>0.45519999999999999</v>
      </c>
      <c r="I21" s="189">
        <v>0.46850000000000003</v>
      </c>
      <c r="J21" s="189">
        <v>0.47639999999999999</v>
      </c>
      <c r="K21" s="189">
        <v>0.4819</v>
      </c>
      <c r="L21" s="189">
        <v>0.48599999999999999</v>
      </c>
      <c r="M21" s="189">
        <v>0.4894</v>
      </c>
      <c r="N21" s="189">
        <v>0.49220000000000003</v>
      </c>
      <c r="O21" s="189">
        <v>0.4945</v>
      </c>
      <c r="P21" s="189">
        <v>0.49659999999999999</v>
      </c>
      <c r="Q21" s="189">
        <v>0.49930000000000002</v>
      </c>
      <c r="R21" s="189">
        <v>0.50170000000000003</v>
      </c>
      <c r="S21" s="189">
        <v>0.50370000000000004</v>
      </c>
      <c r="T21" s="189">
        <v>0.50539999999999996</v>
      </c>
      <c r="U21" s="189">
        <v>0.50700000000000001</v>
      </c>
      <c r="V21" s="189">
        <v>0.50800000000000001</v>
      </c>
      <c r="W21" s="189">
        <v>0.50900000000000001</v>
      </c>
      <c r="X21" s="189">
        <v>0.50990000000000002</v>
      </c>
      <c r="Y21" s="189">
        <v>0.51080000000000003</v>
      </c>
      <c r="Z21" s="189">
        <v>0.51149999999999995</v>
      </c>
      <c r="AA21" s="189">
        <v>0.51229999999999998</v>
      </c>
      <c r="AB21" s="189">
        <v>0.51300000000000001</v>
      </c>
      <c r="AC21" s="189">
        <v>0.51370000000000005</v>
      </c>
      <c r="AD21" s="189">
        <v>0.51429999999999998</v>
      </c>
      <c r="AE21" s="189">
        <v>0.51490000000000002</v>
      </c>
      <c r="AF21" s="189">
        <v>0.51549999999999996</v>
      </c>
      <c r="AG21" s="189">
        <v>0.5161</v>
      </c>
      <c r="AH21" s="189">
        <v>0.51659999999999995</v>
      </c>
      <c r="AI21" s="189">
        <v>0.5171</v>
      </c>
      <c r="AJ21" s="189">
        <v>0.51759999999999995</v>
      </c>
    </row>
    <row r="22" spans="1:36" x14ac:dyDescent="0.35">
      <c r="A22" t="s">
        <v>1378</v>
      </c>
      <c r="B22" s="188" t="s">
        <v>1342</v>
      </c>
      <c r="C22" t="s">
        <v>1348</v>
      </c>
      <c r="D22" s="188">
        <v>30</v>
      </c>
      <c r="E22" t="s">
        <v>1362</v>
      </c>
      <c r="F22" t="s">
        <v>1376</v>
      </c>
      <c r="G22" s="189" t="s">
        <v>1377</v>
      </c>
      <c r="H22" s="189">
        <v>0.45519999999999999</v>
      </c>
      <c r="I22" s="189">
        <v>0.46010000000000001</v>
      </c>
      <c r="J22" s="189">
        <v>0.46350000000000002</v>
      </c>
      <c r="K22" s="189">
        <v>0.4662</v>
      </c>
      <c r="L22" s="189">
        <v>0.46839999999999998</v>
      </c>
      <c r="M22" s="189">
        <v>0.47020000000000001</v>
      </c>
      <c r="N22" s="189">
        <v>0.47170000000000001</v>
      </c>
      <c r="O22" s="189">
        <v>0.47299999999999998</v>
      </c>
      <c r="P22" s="189">
        <v>0.47420000000000001</v>
      </c>
      <c r="Q22" s="189">
        <v>0.47599999999999998</v>
      </c>
      <c r="R22" s="189">
        <v>0.47760000000000002</v>
      </c>
      <c r="S22" s="189">
        <v>0.47889999999999999</v>
      </c>
      <c r="T22" s="189">
        <v>0.48010000000000003</v>
      </c>
      <c r="U22" s="189">
        <v>0.48110000000000003</v>
      </c>
      <c r="V22" s="189">
        <v>0.48180000000000001</v>
      </c>
      <c r="W22" s="189">
        <v>0.4824</v>
      </c>
      <c r="X22" s="189">
        <v>0.48299999999999998</v>
      </c>
      <c r="Y22" s="189">
        <v>0.48359999999999997</v>
      </c>
      <c r="Z22" s="189">
        <v>0.48420000000000002</v>
      </c>
      <c r="AA22" s="189">
        <v>0.48470000000000002</v>
      </c>
      <c r="AB22" s="189">
        <v>0.48509999999999998</v>
      </c>
      <c r="AC22" s="189">
        <v>0.48559999999999998</v>
      </c>
      <c r="AD22" s="189">
        <v>0.48599999999999999</v>
      </c>
      <c r="AE22" s="189">
        <v>0.48649999999999999</v>
      </c>
      <c r="AF22" s="189">
        <v>0.48680000000000001</v>
      </c>
      <c r="AG22" s="189">
        <v>0.48720000000000002</v>
      </c>
      <c r="AH22" s="189">
        <v>0.48759999999999998</v>
      </c>
      <c r="AI22" s="189">
        <v>0.4879</v>
      </c>
      <c r="AJ22" s="189">
        <v>0.48830000000000001</v>
      </c>
    </row>
    <row r="23" spans="1:36" x14ac:dyDescent="0.35">
      <c r="A23" t="s">
        <v>1379</v>
      </c>
      <c r="B23" s="188" t="s">
        <v>1342</v>
      </c>
      <c r="C23" t="s">
        <v>1350</v>
      </c>
      <c r="D23" s="188">
        <v>30</v>
      </c>
      <c r="E23" t="s">
        <v>1362</v>
      </c>
      <c r="F23" t="s">
        <v>1376</v>
      </c>
      <c r="G23" s="189" t="s">
        <v>1377</v>
      </c>
      <c r="H23" s="189">
        <v>0.45519999999999999</v>
      </c>
      <c r="I23" s="189">
        <v>0.45579999999999998</v>
      </c>
      <c r="J23" s="189">
        <v>0.45629999999999998</v>
      </c>
      <c r="K23" s="189">
        <v>0.45679999999999998</v>
      </c>
      <c r="L23" s="189">
        <v>0.45729999999999998</v>
      </c>
      <c r="M23" s="189">
        <v>0.4577</v>
      </c>
      <c r="N23" s="189">
        <v>0.45810000000000001</v>
      </c>
      <c r="O23" s="189">
        <v>0.45850000000000002</v>
      </c>
      <c r="P23" s="189">
        <v>0.45879999999999999</v>
      </c>
      <c r="Q23" s="189">
        <v>0.45979999999999999</v>
      </c>
      <c r="R23" s="189">
        <v>0.46060000000000001</v>
      </c>
      <c r="S23" s="189">
        <v>0.46139999999999998</v>
      </c>
      <c r="T23" s="189">
        <v>0.46200000000000002</v>
      </c>
      <c r="U23" s="189">
        <v>0.46260000000000001</v>
      </c>
      <c r="V23" s="189">
        <v>0.46300000000000002</v>
      </c>
      <c r="W23" s="189">
        <v>0.46339999999999998</v>
      </c>
      <c r="X23" s="189">
        <v>0.4637</v>
      </c>
      <c r="Y23" s="189">
        <v>0.46400000000000002</v>
      </c>
      <c r="Z23" s="189">
        <v>0.46429999999999999</v>
      </c>
      <c r="AA23" s="189">
        <v>0.46460000000000001</v>
      </c>
      <c r="AB23" s="189">
        <v>0.46489999999999998</v>
      </c>
      <c r="AC23" s="189">
        <v>0.46510000000000001</v>
      </c>
      <c r="AD23" s="189">
        <v>0.46539999999999998</v>
      </c>
      <c r="AE23" s="189">
        <v>0.46560000000000001</v>
      </c>
      <c r="AF23" s="189">
        <v>0.46579999999999999</v>
      </c>
      <c r="AG23" s="189">
        <v>0.46610000000000001</v>
      </c>
      <c r="AH23" s="189">
        <v>0.46629999999999999</v>
      </c>
      <c r="AI23" s="189">
        <v>0.46650000000000003</v>
      </c>
      <c r="AJ23" s="189">
        <v>0.46660000000000001</v>
      </c>
    </row>
    <row r="24" spans="1:36" x14ac:dyDescent="0.35">
      <c r="A24" t="s">
        <v>1380</v>
      </c>
      <c r="B24" s="188" t="s">
        <v>1342</v>
      </c>
      <c r="C24" t="s">
        <v>1343</v>
      </c>
      <c r="D24" s="188">
        <v>30</v>
      </c>
      <c r="E24" t="s">
        <v>1362</v>
      </c>
      <c r="F24" t="s">
        <v>1381</v>
      </c>
      <c r="G24" s="189" t="s">
        <v>1382</v>
      </c>
      <c r="H24" s="189">
        <v>0.44400000000000001</v>
      </c>
      <c r="I24" s="189">
        <v>0.45700000000000002</v>
      </c>
      <c r="J24" s="189">
        <v>0.46460000000000001</v>
      </c>
      <c r="K24" s="189">
        <v>0.47</v>
      </c>
      <c r="L24" s="189">
        <v>0.47410000000000002</v>
      </c>
      <c r="M24" s="189">
        <v>0.4773</v>
      </c>
      <c r="N24" s="189">
        <v>0.48</v>
      </c>
      <c r="O24" s="189">
        <v>0.48230000000000001</v>
      </c>
      <c r="P24" s="189">
        <v>0.48430000000000001</v>
      </c>
      <c r="Q24" s="189">
        <v>0.48699999999999999</v>
      </c>
      <c r="R24" s="189">
        <v>0.48930000000000001</v>
      </c>
      <c r="S24" s="189">
        <v>0.49120000000000003</v>
      </c>
      <c r="T24" s="189">
        <v>0.49299999999999999</v>
      </c>
      <c r="U24" s="189">
        <v>0.4945</v>
      </c>
      <c r="V24" s="189">
        <v>0.4955</v>
      </c>
      <c r="W24" s="189">
        <v>0.49640000000000001</v>
      </c>
      <c r="X24" s="189">
        <v>0.49730000000000002</v>
      </c>
      <c r="Y24" s="189">
        <v>0.49809999999999999</v>
      </c>
      <c r="Z24" s="189">
        <v>0.49890000000000001</v>
      </c>
      <c r="AA24" s="189">
        <v>0.49969999999999998</v>
      </c>
      <c r="AB24" s="189">
        <v>0.50039999999999996</v>
      </c>
      <c r="AC24" s="189">
        <v>0.501</v>
      </c>
      <c r="AD24" s="189">
        <v>0.50160000000000005</v>
      </c>
      <c r="AE24" s="189">
        <v>0.50219999999999998</v>
      </c>
      <c r="AF24" s="189">
        <v>0.50280000000000002</v>
      </c>
      <c r="AG24" s="189">
        <v>0.50329999999999997</v>
      </c>
      <c r="AH24" s="189">
        <v>0.50390000000000001</v>
      </c>
      <c r="AI24" s="189">
        <v>0.50439999999999996</v>
      </c>
      <c r="AJ24" s="189">
        <v>0.50480000000000003</v>
      </c>
    </row>
    <row r="25" spans="1:36" x14ac:dyDescent="0.35">
      <c r="A25" t="s">
        <v>1383</v>
      </c>
      <c r="B25" s="188" t="s">
        <v>1342</v>
      </c>
      <c r="C25" t="s">
        <v>1348</v>
      </c>
      <c r="D25" s="188">
        <v>30</v>
      </c>
      <c r="E25" t="s">
        <v>1362</v>
      </c>
      <c r="F25" t="s">
        <v>1381</v>
      </c>
      <c r="G25" s="189" t="s">
        <v>1382</v>
      </c>
      <c r="H25" s="189">
        <v>0.44400000000000001</v>
      </c>
      <c r="I25" s="189">
        <v>0.44869999999999999</v>
      </c>
      <c r="J25" s="189">
        <v>0.4521</v>
      </c>
      <c r="K25" s="189">
        <v>0.45469999999999999</v>
      </c>
      <c r="L25" s="189">
        <v>0.45679999999999998</v>
      </c>
      <c r="M25" s="189">
        <v>0.45860000000000001</v>
      </c>
      <c r="N25" s="189">
        <v>0.46010000000000001</v>
      </c>
      <c r="O25" s="189">
        <v>0.46139999999999998</v>
      </c>
      <c r="P25" s="189">
        <v>0.46250000000000002</v>
      </c>
      <c r="Q25" s="189">
        <v>0.46429999999999999</v>
      </c>
      <c r="R25" s="189">
        <v>0.46579999999999999</v>
      </c>
      <c r="S25" s="189">
        <v>0.46710000000000002</v>
      </c>
      <c r="T25" s="189">
        <v>0.46820000000000001</v>
      </c>
      <c r="U25" s="189">
        <v>0.46920000000000001</v>
      </c>
      <c r="V25" s="189">
        <v>0.46989999999999998</v>
      </c>
      <c r="W25" s="189">
        <v>0.47049999999999997</v>
      </c>
      <c r="X25" s="189">
        <v>0.47110000000000002</v>
      </c>
      <c r="Y25" s="189">
        <v>0.47170000000000001</v>
      </c>
      <c r="Z25" s="189">
        <v>0.47220000000000001</v>
      </c>
      <c r="AA25" s="189">
        <v>0.47270000000000001</v>
      </c>
      <c r="AB25" s="189">
        <v>0.47320000000000001</v>
      </c>
      <c r="AC25" s="189">
        <v>0.47360000000000002</v>
      </c>
      <c r="AD25" s="189">
        <v>0.47399999999999998</v>
      </c>
      <c r="AE25" s="189">
        <v>0.47439999999999999</v>
      </c>
      <c r="AF25" s="189">
        <v>0.4748</v>
      </c>
      <c r="AG25" s="189">
        <v>0.47520000000000001</v>
      </c>
      <c r="AH25" s="189">
        <v>0.47560000000000002</v>
      </c>
      <c r="AI25" s="189">
        <v>0.47589999999999999</v>
      </c>
      <c r="AJ25" s="189">
        <v>0.47620000000000001</v>
      </c>
    </row>
    <row r="26" spans="1:36" x14ac:dyDescent="0.35">
      <c r="A26" t="s">
        <v>1384</v>
      </c>
      <c r="B26" s="188" t="s">
        <v>1342</v>
      </c>
      <c r="C26" t="s">
        <v>1350</v>
      </c>
      <c r="D26" s="188">
        <v>30</v>
      </c>
      <c r="E26" t="s">
        <v>1362</v>
      </c>
      <c r="F26" t="s">
        <v>1381</v>
      </c>
      <c r="G26" s="189" t="s">
        <v>1382</v>
      </c>
      <c r="H26" s="189">
        <v>0.44400000000000001</v>
      </c>
      <c r="I26" s="189">
        <v>0.44450000000000001</v>
      </c>
      <c r="J26" s="189">
        <v>0.4451</v>
      </c>
      <c r="K26" s="189">
        <v>0.4456</v>
      </c>
      <c r="L26" s="189">
        <v>0.44600000000000001</v>
      </c>
      <c r="M26" s="189">
        <v>0.44640000000000002</v>
      </c>
      <c r="N26" s="189">
        <v>0.44679999999999997</v>
      </c>
      <c r="O26" s="189">
        <v>0.44719999999999999</v>
      </c>
      <c r="P26" s="189">
        <v>0.44750000000000001</v>
      </c>
      <c r="Q26" s="189">
        <v>0.44850000000000001</v>
      </c>
      <c r="R26" s="189">
        <v>0.44929999999999998</v>
      </c>
      <c r="S26" s="189">
        <v>0.45</v>
      </c>
      <c r="T26" s="189">
        <v>0.4506</v>
      </c>
      <c r="U26" s="189">
        <v>0.45119999999999999</v>
      </c>
      <c r="V26" s="189">
        <v>0.4516</v>
      </c>
      <c r="W26" s="189">
        <v>0.45190000000000002</v>
      </c>
      <c r="X26" s="189">
        <v>0.45229999999999998</v>
      </c>
      <c r="Y26" s="189">
        <v>0.4526</v>
      </c>
      <c r="Z26" s="189">
        <v>0.45290000000000002</v>
      </c>
      <c r="AA26" s="189">
        <v>0.4531</v>
      </c>
      <c r="AB26" s="189">
        <v>0.45340000000000003</v>
      </c>
      <c r="AC26" s="189">
        <v>0.45369999999999999</v>
      </c>
      <c r="AD26" s="189">
        <v>0.45390000000000003</v>
      </c>
      <c r="AE26" s="189">
        <v>0.4541</v>
      </c>
      <c r="AF26" s="189">
        <v>0.45429999999999998</v>
      </c>
      <c r="AG26" s="189">
        <v>0.4546</v>
      </c>
      <c r="AH26" s="189">
        <v>0.45479999999999998</v>
      </c>
      <c r="AI26" s="189">
        <v>0.45490000000000003</v>
      </c>
      <c r="AJ26" s="189">
        <v>0.4551</v>
      </c>
    </row>
    <row r="27" spans="1:36" x14ac:dyDescent="0.35">
      <c r="A27" t="s">
        <v>1385</v>
      </c>
      <c r="B27" s="188" t="s">
        <v>1342</v>
      </c>
      <c r="C27" t="s">
        <v>1343</v>
      </c>
      <c r="D27" s="188">
        <v>30</v>
      </c>
      <c r="E27" t="s">
        <v>1362</v>
      </c>
      <c r="F27" t="s">
        <v>1386</v>
      </c>
      <c r="G27" s="189" t="s">
        <v>1387</v>
      </c>
      <c r="H27" s="189">
        <v>0.34749999999999998</v>
      </c>
      <c r="I27" s="189">
        <v>0.35770000000000002</v>
      </c>
      <c r="J27" s="189">
        <v>0.36370000000000002</v>
      </c>
      <c r="K27" s="189">
        <v>0.3679</v>
      </c>
      <c r="L27" s="189">
        <v>0.371</v>
      </c>
      <c r="M27" s="189">
        <v>0.37359999999999999</v>
      </c>
      <c r="N27" s="189">
        <v>0.37569999999999998</v>
      </c>
      <c r="O27" s="189">
        <v>0.3775</v>
      </c>
      <c r="P27" s="189">
        <v>0.37909999999999999</v>
      </c>
      <c r="Q27" s="189">
        <v>0.38119999999999998</v>
      </c>
      <c r="R27" s="189">
        <v>0.38300000000000001</v>
      </c>
      <c r="S27" s="189">
        <v>0.38450000000000001</v>
      </c>
      <c r="T27" s="189">
        <v>0.38579999999999998</v>
      </c>
      <c r="U27" s="189">
        <v>0.38700000000000001</v>
      </c>
      <c r="V27" s="189">
        <v>0.38779999999999998</v>
      </c>
      <c r="W27" s="189">
        <v>0.3886</v>
      </c>
      <c r="X27" s="189">
        <v>0.38929999999999998</v>
      </c>
      <c r="Y27" s="189">
        <v>0.38990000000000002</v>
      </c>
      <c r="Z27" s="189">
        <v>0.39050000000000001</v>
      </c>
      <c r="AA27" s="189">
        <v>0.3911</v>
      </c>
      <c r="AB27" s="189">
        <v>0.3916</v>
      </c>
      <c r="AC27" s="189">
        <v>0.3921</v>
      </c>
      <c r="AD27" s="189">
        <v>0.3926</v>
      </c>
      <c r="AE27" s="189">
        <v>0.3931</v>
      </c>
      <c r="AF27" s="189">
        <v>0.39350000000000002</v>
      </c>
      <c r="AG27" s="189">
        <v>0.39400000000000002</v>
      </c>
      <c r="AH27" s="189">
        <v>0.39439999999999997</v>
      </c>
      <c r="AI27" s="189">
        <v>0.39479999999999998</v>
      </c>
      <c r="AJ27" s="189">
        <v>0.39510000000000001</v>
      </c>
    </row>
    <row r="28" spans="1:36" x14ac:dyDescent="0.35">
      <c r="A28" t="s">
        <v>1388</v>
      </c>
      <c r="B28" s="188" t="s">
        <v>1342</v>
      </c>
      <c r="C28" t="s">
        <v>1348</v>
      </c>
      <c r="D28" s="188">
        <v>30</v>
      </c>
      <c r="E28" t="s">
        <v>1362</v>
      </c>
      <c r="F28" t="s">
        <v>1386</v>
      </c>
      <c r="G28" s="189" t="s">
        <v>1387</v>
      </c>
      <c r="H28" s="189">
        <v>0.34749999999999998</v>
      </c>
      <c r="I28" s="189">
        <v>0.35120000000000001</v>
      </c>
      <c r="J28" s="189">
        <v>0.35389999999999999</v>
      </c>
      <c r="K28" s="189">
        <v>0.35589999999999999</v>
      </c>
      <c r="L28" s="189">
        <v>0.35749999999999998</v>
      </c>
      <c r="M28" s="189">
        <v>0.3589</v>
      </c>
      <c r="N28" s="189">
        <v>0.36009999999999998</v>
      </c>
      <c r="O28" s="189">
        <v>0.36109999999999998</v>
      </c>
      <c r="P28" s="189">
        <v>0.36199999999999999</v>
      </c>
      <c r="Q28" s="189">
        <v>0.3634</v>
      </c>
      <c r="R28" s="189">
        <v>0.36459999999999998</v>
      </c>
      <c r="S28" s="189">
        <v>0.36559999999999998</v>
      </c>
      <c r="T28" s="189">
        <v>0.36649999999999999</v>
      </c>
      <c r="U28" s="189">
        <v>0.36730000000000002</v>
      </c>
      <c r="V28" s="189">
        <v>0.36780000000000002</v>
      </c>
      <c r="W28" s="189">
        <v>0.36830000000000002</v>
      </c>
      <c r="X28" s="189">
        <v>0.36880000000000002</v>
      </c>
      <c r="Y28" s="189">
        <v>0.36919999999999997</v>
      </c>
      <c r="Z28" s="189">
        <v>0.36959999999999998</v>
      </c>
      <c r="AA28" s="189">
        <v>0.37</v>
      </c>
      <c r="AB28" s="189">
        <v>0.37040000000000001</v>
      </c>
      <c r="AC28" s="189">
        <v>0.37069999999999997</v>
      </c>
      <c r="AD28" s="189">
        <v>0.371</v>
      </c>
      <c r="AE28" s="189">
        <v>0.37140000000000001</v>
      </c>
      <c r="AF28" s="189">
        <v>0.37169999999999997</v>
      </c>
      <c r="AG28" s="189">
        <v>0.37190000000000001</v>
      </c>
      <c r="AH28" s="189">
        <v>0.37219999999999998</v>
      </c>
      <c r="AI28" s="189">
        <v>0.3725</v>
      </c>
      <c r="AJ28" s="189">
        <v>0.37269999999999998</v>
      </c>
    </row>
    <row r="29" spans="1:36" x14ac:dyDescent="0.35">
      <c r="A29" t="s">
        <v>1389</v>
      </c>
      <c r="B29" s="188" t="s">
        <v>1342</v>
      </c>
      <c r="C29" t="s">
        <v>1350</v>
      </c>
      <c r="D29" s="188">
        <v>30</v>
      </c>
      <c r="E29" t="s">
        <v>1362</v>
      </c>
      <c r="F29" t="s">
        <v>1386</v>
      </c>
      <c r="G29" s="189" t="s">
        <v>1387</v>
      </c>
      <c r="H29" s="189">
        <v>0.34749999999999998</v>
      </c>
      <c r="I29" s="189">
        <v>0.34799999999999998</v>
      </c>
      <c r="J29" s="189">
        <v>0.34839999999999999</v>
      </c>
      <c r="K29" s="189">
        <v>0.34870000000000001</v>
      </c>
      <c r="L29" s="189">
        <v>0.34910000000000002</v>
      </c>
      <c r="M29" s="189">
        <v>0.34939999999999999</v>
      </c>
      <c r="N29" s="189">
        <v>0.34970000000000001</v>
      </c>
      <c r="O29" s="189">
        <v>0.35</v>
      </c>
      <c r="P29" s="189">
        <v>0.3503</v>
      </c>
      <c r="Q29" s="189">
        <v>0.35099999999999998</v>
      </c>
      <c r="R29" s="189">
        <v>0.35170000000000001</v>
      </c>
      <c r="S29" s="189">
        <v>0.35220000000000001</v>
      </c>
      <c r="T29" s="189">
        <v>0.35270000000000001</v>
      </c>
      <c r="U29" s="189">
        <v>0.35310000000000002</v>
      </c>
      <c r="V29" s="189">
        <v>0.35339999999999999</v>
      </c>
      <c r="W29" s="189">
        <v>0.35370000000000001</v>
      </c>
      <c r="X29" s="189">
        <v>0.35399999999999998</v>
      </c>
      <c r="Y29" s="189">
        <v>0.35420000000000001</v>
      </c>
      <c r="Z29" s="189">
        <v>0.35449999999999998</v>
      </c>
      <c r="AA29" s="189">
        <v>0.35470000000000002</v>
      </c>
      <c r="AB29" s="189">
        <v>0.35489999999999999</v>
      </c>
      <c r="AC29" s="189">
        <v>0.35510000000000003</v>
      </c>
      <c r="AD29" s="189">
        <v>0.3553</v>
      </c>
      <c r="AE29" s="189">
        <v>0.35539999999999999</v>
      </c>
      <c r="AF29" s="189">
        <v>0.35560000000000003</v>
      </c>
      <c r="AG29" s="189">
        <v>0.35580000000000001</v>
      </c>
      <c r="AH29" s="189">
        <v>0.35589999999999999</v>
      </c>
      <c r="AI29" s="189">
        <v>0.35610000000000003</v>
      </c>
      <c r="AJ29" s="189">
        <v>0.35620000000000002</v>
      </c>
    </row>
    <row r="30" spans="1:36" x14ac:dyDescent="0.35">
      <c r="A30" t="s">
        <v>1390</v>
      </c>
      <c r="B30" s="188" t="s">
        <v>1342</v>
      </c>
      <c r="C30" t="s">
        <v>1343</v>
      </c>
      <c r="D30" s="188">
        <v>30</v>
      </c>
      <c r="E30" t="s">
        <v>1362</v>
      </c>
      <c r="F30" t="s">
        <v>1391</v>
      </c>
      <c r="G30" s="189" t="s">
        <v>1392</v>
      </c>
      <c r="H30" s="189">
        <v>0.26590000000000003</v>
      </c>
      <c r="I30" s="189">
        <v>0.2737</v>
      </c>
      <c r="J30" s="189">
        <v>0.27829999999999999</v>
      </c>
      <c r="K30" s="189">
        <v>0.28149999999999997</v>
      </c>
      <c r="L30" s="189">
        <v>0.28389999999999999</v>
      </c>
      <c r="M30" s="189">
        <v>0.28589999999999999</v>
      </c>
      <c r="N30" s="189">
        <v>0.28749999999999998</v>
      </c>
      <c r="O30" s="189">
        <v>0.28889999999999999</v>
      </c>
      <c r="P30" s="189">
        <v>0.29010000000000002</v>
      </c>
      <c r="Q30" s="189">
        <v>0.29170000000000001</v>
      </c>
      <c r="R30" s="189">
        <v>0.29310000000000003</v>
      </c>
      <c r="S30" s="189">
        <v>0.29420000000000002</v>
      </c>
      <c r="T30" s="189">
        <v>0.29530000000000001</v>
      </c>
      <c r="U30" s="189">
        <v>0.29620000000000002</v>
      </c>
      <c r="V30" s="189">
        <v>0.29680000000000001</v>
      </c>
      <c r="W30" s="189">
        <v>0.2974</v>
      </c>
      <c r="X30" s="189">
        <v>0.2979</v>
      </c>
      <c r="Y30" s="189">
        <v>0.2984</v>
      </c>
      <c r="Z30" s="189">
        <v>0.29880000000000001</v>
      </c>
      <c r="AA30" s="189">
        <v>0.29930000000000001</v>
      </c>
      <c r="AB30" s="189">
        <v>0.29970000000000002</v>
      </c>
      <c r="AC30" s="189">
        <v>0.30009999999999998</v>
      </c>
      <c r="AD30" s="189">
        <v>0.30049999999999999</v>
      </c>
      <c r="AE30" s="189">
        <v>0.30080000000000001</v>
      </c>
      <c r="AF30" s="189">
        <v>0.30120000000000002</v>
      </c>
      <c r="AG30" s="189">
        <v>0.30149999999999999</v>
      </c>
      <c r="AH30" s="189">
        <v>0.30180000000000001</v>
      </c>
      <c r="AI30" s="189">
        <v>0.30209999999999998</v>
      </c>
      <c r="AJ30" s="189">
        <v>0.3024</v>
      </c>
    </row>
    <row r="31" spans="1:36" x14ac:dyDescent="0.35">
      <c r="A31" t="s">
        <v>1393</v>
      </c>
      <c r="B31" s="188" t="s">
        <v>1342</v>
      </c>
      <c r="C31" t="s">
        <v>1348</v>
      </c>
      <c r="D31" s="188">
        <v>30</v>
      </c>
      <c r="E31" t="s">
        <v>1362</v>
      </c>
      <c r="F31" t="s">
        <v>1391</v>
      </c>
      <c r="G31" s="189" t="s">
        <v>1392</v>
      </c>
      <c r="H31" s="189">
        <v>0.26590000000000003</v>
      </c>
      <c r="I31" s="189">
        <v>0.26879999999999998</v>
      </c>
      <c r="J31" s="189">
        <v>0.27079999999999999</v>
      </c>
      <c r="K31" s="189">
        <v>0.27229999999999999</v>
      </c>
      <c r="L31" s="189">
        <v>0.27360000000000001</v>
      </c>
      <c r="M31" s="189">
        <v>0.2747</v>
      </c>
      <c r="N31" s="189">
        <v>0.27560000000000001</v>
      </c>
      <c r="O31" s="189">
        <v>0.27629999999999999</v>
      </c>
      <c r="P31" s="189">
        <v>0.27700000000000002</v>
      </c>
      <c r="Q31" s="189">
        <v>0.27810000000000001</v>
      </c>
      <c r="R31" s="189">
        <v>0.27900000000000003</v>
      </c>
      <c r="S31" s="189">
        <v>0.27979999999999999</v>
      </c>
      <c r="T31" s="189">
        <v>0.28039999999999998</v>
      </c>
      <c r="U31" s="189">
        <v>0.28100000000000003</v>
      </c>
      <c r="V31" s="189">
        <v>0.28149999999999997</v>
      </c>
      <c r="W31" s="189">
        <v>0.28179999999999999</v>
      </c>
      <c r="X31" s="189">
        <v>0.28220000000000001</v>
      </c>
      <c r="Y31" s="189">
        <v>0.28249999999999997</v>
      </c>
      <c r="Z31" s="189">
        <v>0.2828</v>
      </c>
      <c r="AA31" s="189">
        <v>0.28310000000000002</v>
      </c>
      <c r="AB31" s="189">
        <v>0.28339999999999999</v>
      </c>
      <c r="AC31" s="189">
        <v>0.28370000000000001</v>
      </c>
      <c r="AD31" s="189">
        <v>0.28389999999999999</v>
      </c>
      <c r="AE31" s="189">
        <v>0.28420000000000001</v>
      </c>
      <c r="AF31" s="189">
        <v>0.28439999999999999</v>
      </c>
      <c r="AG31" s="189">
        <v>0.28460000000000002</v>
      </c>
      <c r="AH31" s="189">
        <v>0.2848</v>
      </c>
      <c r="AI31" s="189">
        <v>0.28499999999999998</v>
      </c>
      <c r="AJ31" s="189">
        <v>0.28520000000000001</v>
      </c>
    </row>
    <row r="32" spans="1:36" x14ac:dyDescent="0.35">
      <c r="A32" t="s">
        <v>1394</v>
      </c>
      <c r="B32" s="188" t="s">
        <v>1342</v>
      </c>
      <c r="C32" t="s">
        <v>1350</v>
      </c>
      <c r="D32" s="188">
        <v>30</v>
      </c>
      <c r="E32" t="s">
        <v>1362</v>
      </c>
      <c r="F32" t="s">
        <v>1391</v>
      </c>
      <c r="G32" s="189" t="s">
        <v>1392</v>
      </c>
      <c r="H32" s="189">
        <v>0.26590000000000003</v>
      </c>
      <c r="I32" s="189">
        <v>0.26629999999999998</v>
      </c>
      <c r="J32" s="189">
        <v>0.2666</v>
      </c>
      <c r="K32" s="189">
        <v>0.26690000000000003</v>
      </c>
      <c r="L32" s="189">
        <v>0.2671</v>
      </c>
      <c r="M32" s="189">
        <v>0.26740000000000003</v>
      </c>
      <c r="N32" s="189">
        <v>0.2676</v>
      </c>
      <c r="O32" s="189">
        <v>0.26779999999999998</v>
      </c>
      <c r="P32" s="189">
        <v>0.26800000000000002</v>
      </c>
      <c r="Q32" s="189">
        <v>0.26860000000000001</v>
      </c>
      <c r="R32" s="189">
        <v>0.26910000000000001</v>
      </c>
      <c r="S32" s="189">
        <v>0.26950000000000002</v>
      </c>
      <c r="T32" s="189">
        <v>0.26989999999999997</v>
      </c>
      <c r="U32" s="189">
        <v>0.2702</v>
      </c>
      <c r="V32" s="189">
        <v>0.27050000000000002</v>
      </c>
      <c r="W32" s="189">
        <v>0.2707</v>
      </c>
      <c r="X32" s="189">
        <v>0.27089999999999997</v>
      </c>
      <c r="Y32" s="189">
        <v>0.27110000000000001</v>
      </c>
      <c r="Z32" s="189">
        <v>0.2712</v>
      </c>
      <c r="AA32" s="189">
        <v>0.27139999999999997</v>
      </c>
      <c r="AB32" s="189">
        <v>0.27160000000000001</v>
      </c>
      <c r="AC32" s="189">
        <v>0.2717</v>
      </c>
      <c r="AD32" s="189">
        <v>0.27189999999999998</v>
      </c>
      <c r="AE32" s="189">
        <v>0.27200000000000002</v>
      </c>
      <c r="AF32" s="189">
        <v>0.27210000000000001</v>
      </c>
      <c r="AG32" s="189">
        <v>0.27229999999999999</v>
      </c>
      <c r="AH32" s="189">
        <v>0.27239999999999998</v>
      </c>
      <c r="AI32" s="189">
        <v>0.27250000000000002</v>
      </c>
      <c r="AJ32" s="189">
        <v>0.27260000000000001</v>
      </c>
    </row>
    <row r="33" spans="1:36" x14ac:dyDescent="0.35">
      <c r="A33" t="s">
        <v>1395</v>
      </c>
      <c r="B33" s="188" t="s">
        <v>1342</v>
      </c>
      <c r="C33" t="s">
        <v>1343</v>
      </c>
      <c r="D33" s="188">
        <v>30</v>
      </c>
      <c r="E33" t="s">
        <v>1362</v>
      </c>
      <c r="F33" t="s">
        <v>1357</v>
      </c>
      <c r="G33" s="189" t="s">
        <v>1396</v>
      </c>
      <c r="H33" s="189"/>
      <c r="I33" s="189"/>
      <c r="J33" s="189"/>
      <c r="K33" s="189"/>
      <c r="L33" s="189"/>
      <c r="M33" s="189"/>
      <c r="N33" s="189"/>
      <c r="O33" s="189"/>
      <c r="P33" s="189">
        <v>0.4995</v>
      </c>
      <c r="Q33" s="189">
        <v>0.50229999999999997</v>
      </c>
      <c r="R33" s="189">
        <v>0.50460000000000005</v>
      </c>
      <c r="S33" s="189">
        <v>0.50670000000000004</v>
      </c>
      <c r="T33" s="189">
        <v>0.50839999999999996</v>
      </c>
      <c r="U33" s="189">
        <v>0.51</v>
      </c>
      <c r="V33" s="189">
        <v>0.5111</v>
      </c>
      <c r="W33" s="189">
        <v>0.51200000000000001</v>
      </c>
      <c r="X33" s="189">
        <v>0.51290000000000002</v>
      </c>
      <c r="Y33" s="189">
        <v>0.51380000000000003</v>
      </c>
      <c r="Z33" s="189">
        <v>0.51459999999999995</v>
      </c>
      <c r="AA33" s="189">
        <v>0.51539999999999997</v>
      </c>
      <c r="AB33" s="189">
        <v>0.5161</v>
      </c>
      <c r="AC33" s="189">
        <v>0.51670000000000005</v>
      </c>
      <c r="AD33" s="189">
        <v>0.51739999999999997</v>
      </c>
      <c r="AE33" s="189">
        <v>0.51800000000000002</v>
      </c>
      <c r="AF33" s="189">
        <v>0.51859999999999995</v>
      </c>
      <c r="AG33" s="189">
        <v>0.51910000000000001</v>
      </c>
      <c r="AH33" s="189">
        <v>0.51970000000000005</v>
      </c>
      <c r="AI33" s="189">
        <v>0.5202</v>
      </c>
      <c r="AJ33" s="189">
        <v>0.52070000000000005</v>
      </c>
    </row>
    <row r="34" spans="1:36" x14ac:dyDescent="0.35">
      <c r="A34" t="s">
        <v>1397</v>
      </c>
      <c r="B34" s="188" t="s">
        <v>1342</v>
      </c>
      <c r="C34" t="s">
        <v>1348</v>
      </c>
      <c r="D34" s="188">
        <v>30</v>
      </c>
      <c r="E34" t="s">
        <v>1362</v>
      </c>
      <c r="F34" t="s">
        <v>1357</v>
      </c>
      <c r="G34" s="189" t="s">
        <v>1396</v>
      </c>
      <c r="H34" s="189"/>
      <c r="I34" s="189"/>
      <c r="J34" s="189"/>
      <c r="K34" s="189"/>
      <c r="L34" s="189"/>
      <c r="M34" s="189"/>
      <c r="N34" s="189"/>
      <c r="O34" s="189"/>
      <c r="P34" s="189">
        <v>0.47710000000000002</v>
      </c>
      <c r="Q34" s="189">
        <v>0.47889999999999999</v>
      </c>
      <c r="R34" s="189">
        <v>0.48039999999999999</v>
      </c>
      <c r="S34" s="189">
        <v>0.48170000000000002</v>
      </c>
      <c r="T34" s="189">
        <v>0.4829</v>
      </c>
      <c r="U34" s="189">
        <v>0.48399999999999999</v>
      </c>
      <c r="V34" s="189">
        <v>0.48470000000000002</v>
      </c>
      <c r="W34" s="189">
        <v>0.48530000000000001</v>
      </c>
      <c r="X34" s="189">
        <v>0.4859</v>
      </c>
      <c r="Y34" s="189">
        <v>0.48649999999999999</v>
      </c>
      <c r="Z34" s="189">
        <v>0.48699999999999999</v>
      </c>
      <c r="AA34" s="189">
        <v>0.48759999999999998</v>
      </c>
      <c r="AB34" s="189">
        <v>0.48799999999999999</v>
      </c>
      <c r="AC34" s="189">
        <v>0.48849999999999999</v>
      </c>
      <c r="AD34" s="189">
        <v>0.4889</v>
      </c>
      <c r="AE34" s="189">
        <v>0.48930000000000001</v>
      </c>
      <c r="AF34" s="189">
        <v>0.48970000000000002</v>
      </c>
      <c r="AG34" s="189">
        <v>0.49009999999999998</v>
      </c>
      <c r="AH34" s="189">
        <v>0.49049999999999999</v>
      </c>
      <c r="AI34" s="189">
        <v>0.49080000000000001</v>
      </c>
      <c r="AJ34" s="189">
        <v>0.49120000000000003</v>
      </c>
    </row>
    <row r="35" spans="1:36" x14ac:dyDescent="0.35">
      <c r="A35" t="s">
        <v>1398</v>
      </c>
      <c r="B35" s="188" t="s">
        <v>1342</v>
      </c>
      <c r="C35" t="s">
        <v>1350</v>
      </c>
      <c r="D35" s="188">
        <v>30</v>
      </c>
      <c r="E35" t="s">
        <v>1362</v>
      </c>
      <c r="F35" t="s">
        <v>1357</v>
      </c>
      <c r="G35" s="189" t="s">
        <v>1396</v>
      </c>
      <c r="H35" s="189"/>
      <c r="I35" s="189"/>
      <c r="J35" s="189"/>
      <c r="K35" s="189"/>
      <c r="L35" s="189"/>
      <c r="M35" s="189"/>
      <c r="N35" s="189"/>
      <c r="O35" s="189"/>
      <c r="P35" s="189">
        <v>0.46160000000000001</v>
      </c>
      <c r="Q35" s="189">
        <v>0.46260000000000001</v>
      </c>
      <c r="R35" s="189">
        <v>0.46339999999999998</v>
      </c>
      <c r="S35" s="189">
        <v>0.46410000000000001</v>
      </c>
      <c r="T35" s="189">
        <v>0.46479999999999999</v>
      </c>
      <c r="U35" s="189">
        <v>0.46539999999999998</v>
      </c>
      <c r="V35" s="189">
        <v>0.4657</v>
      </c>
      <c r="W35" s="189">
        <v>0.46610000000000001</v>
      </c>
      <c r="X35" s="189">
        <v>0.46650000000000003</v>
      </c>
      <c r="Y35" s="189">
        <v>0.46679999999999999</v>
      </c>
      <c r="Z35" s="189">
        <v>0.46710000000000002</v>
      </c>
      <c r="AA35" s="189">
        <v>0.46739999999999998</v>
      </c>
      <c r="AB35" s="189">
        <v>0.46760000000000002</v>
      </c>
      <c r="AC35" s="189">
        <v>0.46789999999999998</v>
      </c>
      <c r="AD35" s="189">
        <v>0.46810000000000002</v>
      </c>
      <c r="AE35" s="189">
        <v>0.46839999999999998</v>
      </c>
      <c r="AF35" s="189">
        <v>0.46860000000000002</v>
      </c>
      <c r="AG35" s="189">
        <v>0.46879999999999999</v>
      </c>
      <c r="AH35" s="189">
        <v>0.46899999999999997</v>
      </c>
      <c r="AI35" s="189">
        <v>0.46920000000000001</v>
      </c>
      <c r="AJ35" s="189">
        <v>0.46939999999999998</v>
      </c>
    </row>
    <row r="36" spans="1:36" x14ac:dyDescent="0.35">
      <c r="A36" t="s">
        <v>1399</v>
      </c>
      <c r="B36" s="188" t="s">
        <v>1342</v>
      </c>
      <c r="C36" t="s">
        <v>1343</v>
      </c>
      <c r="D36" s="188">
        <v>30</v>
      </c>
      <c r="E36" t="s">
        <v>1362</v>
      </c>
      <c r="F36" t="s">
        <v>1400</v>
      </c>
      <c r="G36" s="189" t="s">
        <v>1401</v>
      </c>
      <c r="H36" s="189"/>
      <c r="I36" s="189"/>
      <c r="J36" s="189"/>
      <c r="K36" s="189"/>
      <c r="L36" s="189"/>
      <c r="M36" s="189"/>
      <c r="N36" s="189"/>
      <c r="O36" s="189"/>
      <c r="P36" s="189">
        <v>0.50280000000000002</v>
      </c>
      <c r="Q36" s="189">
        <v>0.50560000000000005</v>
      </c>
      <c r="R36" s="189">
        <v>0.50790000000000002</v>
      </c>
      <c r="S36" s="189">
        <v>0.51</v>
      </c>
      <c r="T36" s="189">
        <v>0.51170000000000004</v>
      </c>
      <c r="U36" s="189">
        <v>0.51329999999999998</v>
      </c>
      <c r="V36" s="189">
        <v>0.51439999999999997</v>
      </c>
      <c r="W36" s="189">
        <v>0.51539999999999997</v>
      </c>
      <c r="X36" s="189">
        <v>0.51629999999999998</v>
      </c>
      <c r="Y36" s="189">
        <v>0.5171</v>
      </c>
      <c r="Z36" s="189">
        <v>0.51790000000000003</v>
      </c>
      <c r="AA36" s="189">
        <v>0.51870000000000005</v>
      </c>
      <c r="AB36" s="189">
        <v>0.51939999999999997</v>
      </c>
      <c r="AC36" s="189">
        <v>0.52010000000000001</v>
      </c>
      <c r="AD36" s="189">
        <v>0.52070000000000005</v>
      </c>
      <c r="AE36" s="189">
        <v>0.52139999999999997</v>
      </c>
      <c r="AF36" s="189">
        <v>0.52200000000000002</v>
      </c>
      <c r="AG36" s="189">
        <v>0.52249999999999996</v>
      </c>
      <c r="AH36" s="189">
        <v>0.52310000000000001</v>
      </c>
      <c r="AI36" s="189">
        <v>0.52359999999999995</v>
      </c>
      <c r="AJ36" s="189">
        <v>0.52410000000000001</v>
      </c>
    </row>
    <row r="37" spans="1:36" x14ac:dyDescent="0.35">
      <c r="A37" t="s">
        <v>1402</v>
      </c>
      <c r="B37" s="188" t="s">
        <v>1342</v>
      </c>
      <c r="C37" t="s">
        <v>1348</v>
      </c>
      <c r="D37" s="188">
        <v>30</v>
      </c>
      <c r="E37" t="s">
        <v>1362</v>
      </c>
      <c r="F37" t="s">
        <v>1400</v>
      </c>
      <c r="G37" s="189" t="s">
        <v>1401</v>
      </c>
      <c r="H37" s="189"/>
      <c r="I37" s="189"/>
      <c r="J37" s="189"/>
      <c r="K37" s="189"/>
      <c r="L37" s="189"/>
      <c r="M37" s="189"/>
      <c r="N37" s="189"/>
      <c r="O37" s="189"/>
      <c r="P37" s="189">
        <v>0.48020000000000002</v>
      </c>
      <c r="Q37" s="189">
        <v>0.48199999999999998</v>
      </c>
      <c r="R37" s="189">
        <v>0.48349999999999999</v>
      </c>
      <c r="S37" s="189">
        <v>0.4849</v>
      </c>
      <c r="T37" s="189">
        <v>0.48609999999999998</v>
      </c>
      <c r="U37" s="189">
        <v>0.48709999999999998</v>
      </c>
      <c r="V37" s="189">
        <v>0.48780000000000001</v>
      </c>
      <c r="W37" s="189">
        <v>0.48849999999999999</v>
      </c>
      <c r="X37" s="189">
        <v>0.48909999999999998</v>
      </c>
      <c r="Y37" s="189">
        <v>0.48970000000000002</v>
      </c>
      <c r="Z37" s="189">
        <v>0.49020000000000002</v>
      </c>
      <c r="AA37" s="189">
        <v>0.49070000000000003</v>
      </c>
      <c r="AB37" s="189">
        <v>0.49120000000000003</v>
      </c>
      <c r="AC37" s="189">
        <v>0.49170000000000003</v>
      </c>
      <c r="AD37" s="189">
        <v>0.49209999999999998</v>
      </c>
      <c r="AE37" s="189">
        <v>0.49249999999999999</v>
      </c>
      <c r="AF37" s="189">
        <v>0.4929</v>
      </c>
      <c r="AG37" s="189">
        <v>0.49330000000000002</v>
      </c>
      <c r="AH37" s="189">
        <v>0.49370000000000003</v>
      </c>
      <c r="AI37" s="189">
        <v>0.49399999999999999</v>
      </c>
      <c r="AJ37" s="189">
        <v>0.49440000000000001</v>
      </c>
    </row>
    <row r="38" spans="1:36" x14ac:dyDescent="0.35">
      <c r="A38" t="s">
        <v>1403</v>
      </c>
      <c r="B38" s="188" t="s">
        <v>1342</v>
      </c>
      <c r="C38" t="s">
        <v>1350</v>
      </c>
      <c r="D38" s="188">
        <v>30</v>
      </c>
      <c r="E38" t="s">
        <v>1362</v>
      </c>
      <c r="F38" t="s">
        <v>1400</v>
      </c>
      <c r="G38" s="189" t="s">
        <v>1401</v>
      </c>
      <c r="H38" s="189"/>
      <c r="I38" s="189"/>
      <c r="J38" s="189"/>
      <c r="K38" s="189"/>
      <c r="L38" s="189"/>
      <c r="M38" s="189"/>
      <c r="N38" s="189"/>
      <c r="O38" s="189"/>
      <c r="P38" s="189">
        <v>0.46460000000000001</v>
      </c>
      <c r="Q38" s="189">
        <v>0.46560000000000001</v>
      </c>
      <c r="R38" s="189">
        <v>0.46639999999999998</v>
      </c>
      <c r="S38" s="189">
        <v>0.46710000000000002</v>
      </c>
      <c r="T38" s="189">
        <v>0.46779999999999999</v>
      </c>
      <c r="U38" s="189">
        <v>0.46839999999999998</v>
      </c>
      <c r="V38" s="189">
        <v>0.46879999999999999</v>
      </c>
      <c r="W38" s="189">
        <v>0.46910000000000002</v>
      </c>
      <c r="X38" s="189">
        <v>0.46949999999999997</v>
      </c>
      <c r="Y38" s="189">
        <v>0.4698</v>
      </c>
      <c r="Z38" s="189">
        <v>0.47010000000000002</v>
      </c>
      <c r="AA38" s="189">
        <v>0.47039999999999998</v>
      </c>
      <c r="AB38" s="189">
        <v>0.47070000000000001</v>
      </c>
      <c r="AC38" s="189">
        <v>0.47089999999999999</v>
      </c>
      <c r="AD38" s="189">
        <v>0.47120000000000001</v>
      </c>
      <c r="AE38" s="189">
        <v>0.47139999999999999</v>
      </c>
      <c r="AF38" s="189">
        <v>0.47170000000000001</v>
      </c>
      <c r="AG38" s="189">
        <v>0.47189999999999999</v>
      </c>
      <c r="AH38" s="189">
        <v>0.47210000000000002</v>
      </c>
      <c r="AI38" s="189">
        <v>0.4723</v>
      </c>
      <c r="AJ38" s="189">
        <v>0.47249999999999998</v>
      </c>
    </row>
    <row r="39" spans="1:36" x14ac:dyDescent="0.35">
      <c r="A39" t="s">
        <v>1404</v>
      </c>
      <c r="B39" s="188" t="s">
        <v>1342</v>
      </c>
      <c r="C39" t="s">
        <v>1343</v>
      </c>
      <c r="D39" s="188">
        <v>30</v>
      </c>
      <c r="E39" t="s">
        <v>1362</v>
      </c>
      <c r="F39" t="s">
        <v>1405</v>
      </c>
      <c r="G39" s="189" t="s">
        <v>1406</v>
      </c>
      <c r="H39" s="189"/>
      <c r="I39" s="189"/>
      <c r="J39" s="189"/>
      <c r="K39" s="189"/>
      <c r="L39" s="189"/>
      <c r="M39" s="189"/>
      <c r="N39" s="189"/>
      <c r="O39" s="189"/>
      <c r="P39" s="189">
        <v>0.50380000000000003</v>
      </c>
      <c r="Q39" s="189">
        <v>0.50649999999999995</v>
      </c>
      <c r="R39" s="189">
        <v>0.50890000000000002</v>
      </c>
      <c r="S39" s="189">
        <v>0.51090000000000002</v>
      </c>
      <c r="T39" s="189">
        <v>0.51270000000000004</v>
      </c>
      <c r="U39" s="189">
        <v>0.51429999999999998</v>
      </c>
      <c r="V39" s="189">
        <v>0.51539999999999997</v>
      </c>
      <c r="W39" s="189">
        <v>0.51629999999999998</v>
      </c>
      <c r="X39" s="189">
        <v>0.51729999999999998</v>
      </c>
      <c r="Y39" s="189">
        <v>0.5181</v>
      </c>
      <c r="Z39" s="189">
        <v>0.51890000000000003</v>
      </c>
      <c r="AA39" s="189">
        <v>0.51970000000000005</v>
      </c>
      <c r="AB39" s="189">
        <v>0.52039999999999997</v>
      </c>
      <c r="AC39" s="189">
        <v>0.52110000000000001</v>
      </c>
      <c r="AD39" s="189">
        <v>0.52170000000000005</v>
      </c>
      <c r="AE39" s="189">
        <v>0.52239999999999998</v>
      </c>
      <c r="AF39" s="189">
        <v>0.52300000000000002</v>
      </c>
      <c r="AG39" s="189">
        <v>0.52349999999999997</v>
      </c>
      <c r="AH39" s="189">
        <v>0.52410000000000001</v>
      </c>
      <c r="AI39" s="189">
        <v>0.52459999999999996</v>
      </c>
      <c r="AJ39" s="189">
        <v>0.52510000000000001</v>
      </c>
    </row>
    <row r="40" spans="1:36" x14ac:dyDescent="0.35">
      <c r="A40" t="s">
        <v>1407</v>
      </c>
      <c r="B40" s="188" t="s">
        <v>1342</v>
      </c>
      <c r="C40" t="s">
        <v>1348</v>
      </c>
      <c r="D40" s="188">
        <v>30</v>
      </c>
      <c r="E40" t="s">
        <v>1362</v>
      </c>
      <c r="F40" t="s">
        <v>1405</v>
      </c>
      <c r="G40" s="189" t="s">
        <v>1406</v>
      </c>
      <c r="H40" s="189"/>
      <c r="I40" s="189"/>
      <c r="J40" s="189"/>
      <c r="K40" s="189"/>
      <c r="L40" s="189"/>
      <c r="M40" s="189"/>
      <c r="N40" s="189"/>
      <c r="O40" s="189"/>
      <c r="P40" s="189">
        <v>0.48110000000000003</v>
      </c>
      <c r="Q40" s="189">
        <v>0.4829</v>
      </c>
      <c r="R40" s="189">
        <v>0.48449999999999999</v>
      </c>
      <c r="S40" s="189">
        <v>0.48580000000000001</v>
      </c>
      <c r="T40" s="189">
        <v>0.48699999999999999</v>
      </c>
      <c r="U40" s="189">
        <v>0.48799999999999999</v>
      </c>
      <c r="V40" s="189">
        <v>0.48870000000000002</v>
      </c>
      <c r="W40" s="189">
        <v>0.4894</v>
      </c>
      <c r="X40" s="189">
        <v>0.49</v>
      </c>
      <c r="Y40" s="189">
        <v>0.49059999999999998</v>
      </c>
      <c r="Z40" s="189">
        <v>0.49109999999999998</v>
      </c>
      <c r="AA40" s="189">
        <v>0.49170000000000003</v>
      </c>
      <c r="AB40" s="189">
        <v>0.49209999999999998</v>
      </c>
      <c r="AC40" s="189">
        <v>0.49259999999999998</v>
      </c>
      <c r="AD40" s="189">
        <v>0.49309999999999998</v>
      </c>
      <c r="AE40" s="189">
        <v>0.49349999999999999</v>
      </c>
      <c r="AF40" s="189">
        <v>0.49390000000000001</v>
      </c>
      <c r="AG40" s="189">
        <v>0.49430000000000002</v>
      </c>
      <c r="AH40" s="189">
        <v>0.49459999999999998</v>
      </c>
      <c r="AI40" s="189">
        <v>0.495</v>
      </c>
      <c r="AJ40" s="189">
        <v>0.49530000000000002</v>
      </c>
    </row>
    <row r="41" spans="1:36" x14ac:dyDescent="0.35">
      <c r="A41" t="s">
        <v>1408</v>
      </c>
      <c r="B41" s="188" t="s">
        <v>1342</v>
      </c>
      <c r="C41" t="s">
        <v>1350</v>
      </c>
      <c r="D41" s="188">
        <v>30</v>
      </c>
      <c r="E41" t="s">
        <v>1362</v>
      </c>
      <c r="F41" t="s">
        <v>1405</v>
      </c>
      <c r="G41" s="189" t="s">
        <v>1406</v>
      </c>
      <c r="H41" s="189"/>
      <c r="I41" s="189"/>
      <c r="J41" s="189"/>
      <c r="K41" s="189"/>
      <c r="L41" s="189"/>
      <c r="M41" s="189"/>
      <c r="N41" s="189"/>
      <c r="O41" s="189"/>
      <c r="P41" s="189">
        <v>0.46550000000000002</v>
      </c>
      <c r="Q41" s="189">
        <v>0.46639999999999998</v>
      </c>
      <c r="R41" s="189">
        <v>0.46729999999999999</v>
      </c>
      <c r="S41" s="189">
        <v>0.46800000000000003</v>
      </c>
      <c r="T41" s="189">
        <v>0.46870000000000001</v>
      </c>
      <c r="U41" s="189">
        <v>0.46929999999999999</v>
      </c>
      <c r="V41" s="189">
        <v>0.46970000000000001</v>
      </c>
      <c r="W41" s="189">
        <v>0.47</v>
      </c>
      <c r="X41" s="189">
        <v>0.47039999999999998</v>
      </c>
      <c r="Y41" s="189">
        <v>0.47070000000000001</v>
      </c>
      <c r="Z41" s="189">
        <v>0.47099999999999997</v>
      </c>
      <c r="AA41" s="189">
        <v>0.4713</v>
      </c>
      <c r="AB41" s="189">
        <v>0.47160000000000002</v>
      </c>
      <c r="AC41" s="189">
        <v>0.4718</v>
      </c>
      <c r="AD41" s="189">
        <v>0.47210000000000002</v>
      </c>
      <c r="AE41" s="189">
        <v>0.4723</v>
      </c>
      <c r="AF41" s="189">
        <v>0.47260000000000002</v>
      </c>
      <c r="AG41" s="189">
        <v>0.4728</v>
      </c>
      <c r="AH41" s="189">
        <v>0.47299999999999998</v>
      </c>
      <c r="AI41" s="189">
        <v>0.47320000000000001</v>
      </c>
      <c r="AJ41" s="189">
        <v>0.47339999999999999</v>
      </c>
    </row>
    <row r="42" spans="1:36" x14ac:dyDescent="0.35">
      <c r="A42" t="s">
        <v>1361</v>
      </c>
      <c r="B42" s="188" t="s">
        <v>1342</v>
      </c>
      <c r="C42" t="s">
        <v>1343</v>
      </c>
      <c r="D42" s="188">
        <v>30</v>
      </c>
      <c r="E42" t="s">
        <v>1362</v>
      </c>
      <c r="F42" t="s">
        <v>1409</v>
      </c>
      <c r="G42" s="189" t="s">
        <v>1410</v>
      </c>
      <c r="H42" s="189"/>
      <c r="I42" s="189"/>
      <c r="J42" s="189"/>
      <c r="K42" s="189"/>
      <c r="L42" s="189"/>
      <c r="M42" s="189"/>
      <c r="N42" s="189"/>
      <c r="O42" s="189"/>
      <c r="P42" s="189">
        <v>0.50109999999999999</v>
      </c>
      <c r="Q42" s="189">
        <v>0.50380000000000003</v>
      </c>
      <c r="R42" s="189">
        <v>0.50619999999999998</v>
      </c>
      <c r="S42" s="189">
        <v>0.50819999999999999</v>
      </c>
      <c r="T42" s="189">
        <v>0.51</v>
      </c>
      <c r="U42" s="189">
        <v>0.51160000000000005</v>
      </c>
      <c r="V42" s="189">
        <v>0.51259999999999994</v>
      </c>
      <c r="W42" s="189">
        <v>0.51359999999999995</v>
      </c>
      <c r="X42" s="189">
        <v>0.51449999999999996</v>
      </c>
      <c r="Y42" s="189">
        <v>0.51539999999999997</v>
      </c>
      <c r="Z42" s="189">
        <v>0.51619999999999999</v>
      </c>
      <c r="AA42" s="189">
        <v>0.51690000000000003</v>
      </c>
      <c r="AB42" s="189">
        <v>0.51759999999999995</v>
      </c>
      <c r="AC42" s="189">
        <v>0.51829999999999998</v>
      </c>
      <c r="AD42" s="189">
        <v>0.51900000000000002</v>
      </c>
      <c r="AE42" s="189">
        <v>0.51959999999999995</v>
      </c>
      <c r="AF42" s="189">
        <v>0.5202</v>
      </c>
      <c r="AG42" s="189">
        <v>0.52070000000000005</v>
      </c>
      <c r="AH42" s="189">
        <v>0.52129999999999999</v>
      </c>
      <c r="AI42" s="189">
        <v>0.52180000000000004</v>
      </c>
      <c r="AJ42" s="189">
        <v>0.52229999999999999</v>
      </c>
    </row>
    <row r="43" spans="1:36" x14ac:dyDescent="0.35">
      <c r="A43" t="s">
        <v>1365</v>
      </c>
      <c r="B43" s="188" t="s">
        <v>1342</v>
      </c>
      <c r="C43" t="s">
        <v>1348</v>
      </c>
      <c r="D43" s="188">
        <v>30</v>
      </c>
      <c r="E43" t="s">
        <v>1362</v>
      </c>
      <c r="F43" t="s">
        <v>1409</v>
      </c>
      <c r="G43" s="189" t="s">
        <v>1410</v>
      </c>
      <c r="H43" s="189"/>
      <c r="I43" s="189"/>
      <c r="J43" s="189"/>
      <c r="K43" s="189"/>
      <c r="L43" s="189"/>
      <c r="M43" s="189"/>
      <c r="N43" s="189"/>
      <c r="O43" s="189"/>
      <c r="P43" s="189">
        <v>0.47849999999999998</v>
      </c>
      <c r="Q43" s="189">
        <v>0.4803</v>
      </c>
      <c r="R43" s="189">
        <v>0.4819</v>
      </c>
      <c r="S43" s="189">
        <v>0.48320000000000002</v>
      </c>
      <c r="T43" s="189">
        <v>0.4844</v>
      </c>
      <c r="U43" s="189">
        <v>0.4854</v>
      </c>
      <c r="V43" s="189">
        <v>0.48609999999999998</v>
      </c>
      <c r="W43" s="189">
        <v>0.48680000000000001</v>
      </c>
      <c r="X43" s="189">
        <v>0.4874</v>
      </c>
      <c r="Y43" s="189">
        <v>0.48799999999999999</v>
      </c>
      <c r="Z43" s="189">
        <v>0.48849999999999999</v>
      </c>
      <c r="AA43" s="189">
        <v>0.48899999999999999</v>
      </c>
      <c r="AB43" s="189">
        <v>0.48949999999999999</v>
      </c>
      <c r="AC43" s="189">
        <v>0.49</v>
      </c>
      <c r="AD43" s="189">
        <v>0.4904</v>
      </c>
      <c r="AE43" s="189">
        <v>0.49080000000000001</v>
      </c>
      <c r="AF43" s="189">
        <v>0.49120000000000003</v>
      </c>
      <c r="AG43" s="189">
        <v>0.49159999999999998</v>
      </c>
      <c r="AH43" s="189">
        <v>0.49199999999999999</v>
      </c>
      <c r="AI43" s="189">
        <v>0.49230000000000002</v>
      </c>
      <c r="AJ43" s="189">
        <v>0.49270000000000003</v>
      </c>
    </row>
    <row r="44" spans="1:36" x14ac:dyDescent="0.35">
      <c r="A44" t="s">
        <v>1366</v>
      </c>
      <c r="B44" s="188" t="s">
        <v>1342</v>
      </c>
      <c r="C44" t="s">
        <v>1350</v>
      </c>
      <c r="D44" s="188">
        <v>30</v>
      </c>
      <c r="E44" t="s">
        <v>1362</v>
      </c>
      <c r="F44" t="s">
        <v>1409</v>
      </c>
      <c r="G44" s="189" t="s">
        <v>1410</v>
      </c>
      <c r="H44" s="189"/>
      <c r="I44" s="189"/>
      <c r="J44" s="189"/>
      <c r="K44" s="189"/>
      <c r="L44" s="189"/>
      <c r="M44" s="189"/>
      <c r="N44" s="189"/>
      <c r="O44" s="189"/>
      <c r="P44" s="189">
        <v>0.46300000000000002</v>
      </c>
      <c r="Q44" s="189">
        <v>0.46400000000000002</v>
      </c>
      <c r="R44" s="189">
        <v>0.46479999999999999</v>
      </c>
      <c r="S44" s="189">
        <v>0.46550000000000002</v>
      </c>
      <c r="T44" s="189">
        <v>0.4662</v>
      </c>
      <c r="U44" s="189">
        <v>0.46679999999999999</v>
      </c>
      <c r="V44" s="189">
        <v>0.4672</v>
      </c>
      <c r="W44" s="189">
        <v>0.46750000000000003</v>
      </c>
      <c r="X44" s="189">
        <v>0.46789999999999998</v>
      </c>
      <c r="Y44" s="189">
        <v>0.46820000000000001</v>
      </c>
      <c r="Z44" s="189">
        <v>0.46850000000000003</v>
      </c>
      <c r="AA44" s="189">
        <v>0.46879999999999999</v>
      </c>
      <c r="AB44" s="189">
        <v>0.46910000000000002</v>
      </c>
      <c r="AC44" s="189">
        <v>0.46929999999999999</v>
      </c>
      <c r="AD44" s="189">
        <v>0.46960000000000002</v>
      </c>
      <c r="AE44" s="189">
        <v>0.4698</v>
      </c>
      <c r="AF44" s="189">
        <v>0.47</v>
      </c>
      <c r="AG44" s="189">
        <v>0.4703</v>
      </c>
      <c r="AH44" s="189">
        <v>0.47049999999999997</v>
      </c>
      <c r="AI44" s="189">
        <v>0.47070000000000001</v>
      </c>
      <c r="AJ44" s="189">
        <v>0.47089999999999999</v>
      </c>
    </row>
    <row r="45" spans="1:36" x14ac:dyDescent="0.35">
      <c r="A45" t="s">
        <v>1367</v>
      </c>
      <c r="B45" s="188" t="s">
        <v>1342</v>
      </c>
      <c r="C45" t="s">
        <v>1343</v>
      </c>
      <c r="D45" s="188">
        <v>30</v>
      </c>
      <c r="E45" t="s">
        <v>1362</v>
      </c>
      <c r="F45" t="s">
        <v>1411</v>
      </c>
      <c r="G45" s="189" t="s">
        <v>1412</v>
      </c>
      <c r="H45" s="189"/>
      <c r="I45" s="189"/>
      <c r="J45" s="189"/>
      <c r="K45" s="189"/>
      <c r="L45" s="189"/>
      <c r="M45" s="189"/>
      <c r="N45" s="189"/>
      <c r="O45" s="189"/>
      <c r="P45" s="189">
        <v>0.49130000000000001</v>
      </c>
      <c r="Q45" s="189">
        <v>0.49399999999999999</v>
      </c>
      <c r="R45" s="189">
        <v>0.49630000000000002</v>
      </c>
      <c r="S45" s="189">
        <v>0.49830000000000002</v>
      </c>
      <c r="T45" s="189">
        <v>0.5</v>
      </c>
      <c r="U45" s="189">
        <v>0.50160000000000005</v>
      </c>
      <c r="V45" s="189">
        <v>0.50260000000000005</v>
      </c>
      <c r="W45" s="189">
        <v>0.50360000000000005</v>
      </c>
      <c r="X45" s="189">
        <v>0.50449999999999995</v>
      </c>
      <c r="Y45" s="189">
        <v>0.50529999999999997</v>
      </c>
      <c r="Z45" s="189">
        <v>0.50609999999999999</v>
      </c>
      <c r="AA45" s="189">
        <v>0.50680000000000003</v>
      </c>
      <c r="AB45" s="189">
        <v>0.50749999999999995</v>
      </c>
      <c r="AC45" s="189">
        <v>0.50819999999999999</v>
      </c>
      <c r="AD45" s="189">
        <v>0.50880000000000003</v>
      </c>
      <c r="AE45" s="189">
        <v>0.50939999999999996</v>
      </c>
      <c r="AF45" s="189">
        <v>0.51</v>
      </c>
      <c r="AG45" s="189">
        <v>0.51060000000000005</v>
      </c>
      <c r="AH45" s="189">
        <v>0.5111</v>
      </c>
      <c r="AI45" s="189">
        <v>0.51160000000000005</v>
      </c>
      <c r="AJ45" s="189">
        <v>0.5121</v>
      </c>
    </row>
    <row r="46" spans="1:36" x14ac:dyDescent="0.35">
      <c r="A46" t="s">
        <v>1369</v>
      </c>
      <c r="B46" s="188" t="s">
        <v>1342</v>
      </c>
      <c r="C46" t="s">
        <v>1348</v>
      </c>
      <c r="D46" s="188">
        <v>30</v>
      </c>
      <c r="E46" t="s">
        <v>1362</v>
      </c>
      <c r="F46" t="s">
        <v>1411</v>
      </c>
      <c r="G46" s="189" t="s">
        <v>1412</v>
      </c>
      <c r="H46" s="189"/>
      <c r="I46" s="189"/>
      <c r="J46" s="189"/>
      <c r="K46" s="189"/>
      <c r="L46" s="189"/>
      <c r="M46" s="189"/>
      <c r="N46" s="189"/>
      <c r="O46" s="189"/>
      <c r="P46" s="189">
        <v>0.46920000000000001</v>
      </c>
      <c r="Q46" s="189">
        <v>0.47099999999999997</v>
      </c>
      <c r="R46" s="189">
        <v>0.47249999999999998</v>
      </c>
      <c r="S46" s="189">
        <v>0.4738</v>
      </c>
      <c r="T46" s="189">
        <v>0.47489999999999999</v>
      </c>
      <c r="U46" s="189">
        <v>0.47599999999999998</v>
      </c>
      <c r="V46" s="189">
        <v>0.47660000000000002</v>
      </c>
      <c r="W46" s="189">
        <v>0.4773</v>
      </c>
      <c r="X46" s="189">
        <v>0.47789999999999999</v>
      </c>
      <c r="Y46" s="189">
        <v>0.47849999999999998</v>
      </c>
      <c r="Z46" s="189">
        <v>0.47899999999999998</v>
      </c>
      <c r="AA46" s="189">
        <v>0.47949999999999998</v>
      </c>
      <c r="AB46" s="189">
        <v>0.48</v>
      </c>
      <c r="AC46" s="189">
        <v>0.48039999999999999</v>
      </c>
      <c r="AD46" s="189">
        <v>0.48080000000000001</v>
      </c>
      <c r="AE46" s="189">
        <v>0.48130000000000001</v>
      </c>
      <c r="AF46" s="189">
        <v>0.48159999999999997</v>
      </c>
      <c r="AG46" s="189">
        <v>0.48199999999999998</v>
      </c>
      <c r="AH46" s="189">
        <v>0.4824</v>
      </c>
      <c r="AI46" s="189">
        <v>0.48270000000000002</v>
      </c>
      <c r="AJ46" s="189">
        <v>0.48309999999999997</v>
      </c>
    </row>
    <row r="47" spans="1:36" x14ac:dyDescent="0.35">
      <c r="A47" t="s">
        <v>1370</v>
      </c>
      <c r="B47" s="188" t="s">
        <v>1342</v>
      </c>
      <c r="C47" t="s">
        <v>1350</v>
      </c>
      <c r="D47" s="188">
        <v>30</v>
      </c>
      <c r="E47" t="s">
        <v>1362</v>
      </c>
      <c r="F47" t="s">
        <v>1411</v>
      </c>
      <c r="G47" s="189" t="s">
        <v>1412</v>
      </c>
      <c r="H47" s="189"/>
      <c r="I47" s="189"/>
      <c r="J47" s="189"/>
      <c r="K47" s="189"/>
      <c r="L47" s="189"/>
      <c r="M47" s="189"/>
      <c r="N47" s="189"/>
      <c r="O47" s="189"/>
      <c r="P47" s="189">
        <v>0.45390000000000003</v>
      </c>
      <c r="Q47" s="189">
        <v>0.45490000000000003</v>
      </c>
      <c r="R47" s="189">
        <v>0.45569999999999999</v>
      </c>
      <c r="S47" s="189">
        <v>0.45650000000000002</v>
      </c>
      <c r="T47" s="189">
        <v>0.45710000000000001</v>
      </c>
      <c r="U47" s="189">
        <v>0.4577</v>
      </c>
      <c r="V47" s="189">
        <v>0.45800000000000002</v>
      </c>
      <c r="W47" s="189">
        <v>0.45839999999999997</v>
      </c>
      <c r="X47" s="189">
        <v>0.4587</v>
      </c>
      <c r="Y47" s="189">
        <v>0.45910000000000001</v>
      </c>
      <c r="Z47" s="189">
        <v>0.45939999999999998</v>
      </c>
      <c r="AA47" s="189">
        <v>0.45960000000000001</v>
      </c>
      <c r="AB47" s="189">
        <v>0.45989999999999998</v>
      </c>
      <c r="AC47" s="189">
        <v>0.4602</v>
      </c>
      <c r="AD47" s="189">
        <v>0.46039999999999998</v>
      </c>
      <c r="AE47" s="189">
        <v>0.46060000000000001</v>
      </c>
      <c r="AF47" s="189">
        <v>0.46089999999999998</v>
      </c>
      <c r="AG47" s="189">
        <v>0.46110000000000001</v>
      </c>
      <c r="AH47" s="189">
        <v>0.46129999999999999</v>
      </c>
      <c r="AI47" s="189">
        <v>0.46150000000000002</v>
      </c>
      <c r="AJ47" s="189">
        <v>0.4617</v>
      </c>
    </row>
    <row r="48" spans="1:36" x14ac:dyDescent="0.35">
      <c r="A48" t="s">
        <v>1371</v>
      </c>
      <c r="B48" s="188" t="s">
        <v>1342</v>
      </c>
      <c r="C48" t="s">
        <v>1343</v>
      </c>
      <c r="D48" s="188">
        <v>30</v>
      </c>
      <c r="E48" t="s">
        <v>1362</v>
      </c>
      <c r="F48" t="s">
        <v>1413</v>
      </c>
      <c r="G48" s="189" t="s">
        <v>1414</v>
      </c>
      <c r="H48" s="189"/>
      <c r="I48" s="189"/>
      <c r="J48" s="189"/>
      <c r="K48" s="189"/>
      <c r="L48" s="189"/>
      <c r="M48" s="189"/>
      <c r="N48" s="189"/>
      <c r="O48" s="189"/>
      <c r="P48" s="189">
        <v>0.3866</v>
      </c>
      <c r="Q48" s="189">
        <v>0.38869999999999999</v>
      </c>
      <c r="R48" s="189">
        <v>0.3906</v>
      </c>
      <c r="S48" s="189">
        <v>0.3921</v>
      </c>
      <c r="T48" s="189">
        <v>0.39350000000000002</v>
      </c>
      <c r="U48" s="189">
        <v>0.3947</v>
      </c>
      <c r="V48" s="189">
        <v>0.39550000000000002</v>
      </c>
      <c r="W48" s="189">
        <v>0.39629999999999999</v>
      </c>
      <c r="X48" s="189">
        <v>0.39700000000000002</v>
      </c>
      <c r="Y48" s="189">
        <v>0.39760000000000001</v>
      </c>
      <c r="Z48" s="189">
        <v>0.39829999999999999</v>
      </c>
      <c r="AA48" s="189">
        <v>0.39879999999999999</v>
      </c>
      <c r="AB48" s="189">
        <v>0.39939999999999998</v>
      </c>
      <c r="AC48" s="189">
        <v>0.39989999999999998</v>
      </c>
      <c r="AD48" s="189">
        <v>0.40039999999999998</v>
      </c>
      <c r="AE48" s="189">
        <v>0.40089999999999998</v>
      </c>
      <c r="AF48" s="189">
        <v>0.40129999999999999</v>
      </c>
      <c r="AG48" s="189">
        <v>0.40179999999999999</v>
      </c>
      <c r="AH48" s="189">
        <v>0.4022</v>
      </c>
      <c r="AI48" s="189">
        <v>0.40260000000000001</v>
      </c>
      <c r="AJ48" s="189">
        <v>0.40300000000000002</v>
      </c>
    </row>
    <row r="49" spans="1:36" x14ac:dyDescent="0.35">
      <c r="A49" t="s">
        <v>1373</v>
      </c>
      <c r="B49" s="188" t="s">
        <v>1342</v>
      </c>
      <c r="C49" t="s">
        <v>1348</v>
      </c>
      <c r="D49" s="188">
        <v>30</v>
      </c>
      <c r="E49" t="s">
        <v>1362</v>
      </c>
      <c r="F49" t="s">
        <v>1413</v>
      </c>
      <c r="G49" s="189" t="s">
        <v>1414</v>
      </c>
      <c r="H49" s="189"/>
      <c r="I49" s="189"/>
      <c r="J49" s="189"/>
      <c r="K49" s="189"/>
      <c r="L49" s="189"/>
      <c r="M49" s="189"/>
      <c r="N49" s="189"/>
      <c r="O49" s="189"/>
      <c r="P49" s="189">
        <v>0.36919999999999997</v>
      </c>
      <c r="Q49" s="189">
        <v>0.37059999999999998</v>
      </c>
      <c r="R49" s="189">
        <v>0.37180000000000002</v>
      </c>
      <c r="S49" s="189">
        <v>0.37280000000000002</v>
      </c>
      <c r="T49" s="189">
        <v>0.37369999999999998</v>
      </c>
      <c r="U49" s="189">
        <v>0.3745</v>
      </c>
      <c r="V49" s="189">
        <v>0.37509999999999999</v>
      </c>
      <c r="W49" s="189">
        <v>0.37559999999999999</v>
      </c>
      <c r="X49" s="189">
        <v>0.37609999999999999</v>
      </c>
      <c r="Y49" s="189">
        <v>0.3765</v>
      </c>
      <c r="Z49" s="189">
        <v>0.37690000000000001</v>
      </c>
      <c r="AA49" s="189">
        <v>0.37730000000000002</v>
      </c>
      <c r="AB49" s="189">
        <v>0.37769999999999998</v>
      </c>
      <c r="AC49" s="189">
        <v>0.37809999999999999</v>
      </c>
      <c r="AD49" s="189">
        <v>0.37840000000000001</v>
      </c>
      <c r="AE49" s="189">
        <v>0.37869999999999998</v>
      </c>
      <c r="AF49" s="189">
        <v>0.379</v>
      </c>
      <c r="AG49" s="189">
        <v>0.37930000000000003</v>
      </c>
      <c r="AH49" s="189">
        <v>0.37959999999999999</v>
      </c>
      <c r="AI49" s="189">
        <v>0.37990000000000002</v>
      </c>
      <c r="AJ49" s="189">
        <v>0.38009999999999999</v>
      </c>
    </row>
    <row r="50" spans="1:36" x14ac:dyDescent="0.35">
      <c r="A50" t="s">
        <v>1374</v>
      </c>
      <c r="B50" s="188" t="s">
        <v>1342</v>
      </c>
      <c r="C50" t="s">
        <v>1350</v>
      </c>
      <c r="D50" s="188">
        <v>30</v>
      </c>
      <c r="E50" t="s">
        <v>1362</v>
      </c>
      <c r="F50" t="s">
        <v>1413</v>
      </c>
      <c r="G50" s="189" t="s">
        <v>1414</v>
      </c>
      <c r="H50" s="189"/>
      <c r="I50" s="189"/>
      <c r="J50" s="189"/>
      <c r="K50" s="189"/>
      <c r="L50" s="189"/>
      <c r="M50" s="189"/>
      <c r="N50" s="189"/>
      <c r="O50" s="189"/>
      <c r="P50" s="189">
        <v>0.35720000000000002</v>
      </c>
      <c r="Q50" s="189">
        <v>0.35799999999999998</v>
      </c>
      <c r="R50" s="189">
        <v>0.35859999999999997</v>
      </c>
      <c r="S50" s="189">
        <v>0.35920000000000002</v>
      </c>
      <c r="T50" s="189">
        <v>0.35970000000000002</v>
      </c>
      <c r="U50" s="189">
        <v>0.36009999999999998</v>
      </c>
      <c r="V50" s="189">
        <v>0.36049999999999999</v>
      </c>
      <c r="W50" s="189">
        <v>0.36070000000000002</v>
      </c>
      <c r="X50" s="189">
        <v>0.36099999999999999</v>
      </c>
      <c r="Y50" s="189">
        <v>0.36120000000000002</v>
      </c>
      <c r="Z50" s="189">
        <v>0.36149999999999999</v>
      </c>
      <c r="AA50" s="189">
        <v>0.36170000000000002</v>
      </c>
      <c r="AB50" s="189">
        <v>0.3619</v>
      </c>
      <c r="AC50" s="189">
        <v>0.36209999999999998</v>
      </c>
      <c r="AD50" s="189">
        <v>0.36230000000000001</v>
      </c>
      <c r="AE50" s="189">
        <v>0.36249999999999999</v>
      </c>
      <c r="AF50" s="189">
        <v>0.36270000000000002</v>
      </c>
      <c r="AG50" s="189">
        <v>0.36280000000000001</v>
      </c>
      <c r="AH50" s="189">
        <v>0.36299999999999999</v>
      </c>
      <c r="AI50" s="189">
        <v>0.36320000000000002</v>
      </c>
      <c r="AJ50" s="189">
        <v>0.36330000000000001</v>
      </c>
    </row>
    <row r="51" spans="1:36" x14ac:dyDescent="0.35">
      <c r="A51" t="s">
        <v>1375</v>
      </c>
      <c r="B51" s="188" t="s">
        <v>1342</v>
      </c>
      <c r="C51" t="s">
        <v>1343</v>
      </c>
      <c r="D51" s="188">
        <v>30</v>
      </c>
      <c r="E51" t="s">
        <v>1362</v>
      </c>
      <c r="F51" t="s">
        <v>1415</v>
      </c>
      <c r="G51" s="189" t="s">
        <v>1416</v>
      </c>
      <c r="H51" s="189"/>
      <c r="I51" s="189"/>
      <c r="J51" s="189"/>
      <c r="K51" s="189"/>
      <c r="L51" s="189"/>
      <c r="M51" s="189"/>
      <c r="N51" s="189"/>
      <c r="O51" s="189"/>
      <c r="P51" s="189">
        <v>0.29570000000000002</v>
      </c>
      <c r="Q51" s="189">
        <v>0.29730000000000001</v>
      </c>
      <c r="R51" s="189">
        <v>0.29870000000000002</v>
      </c>
      <c r="S51" s="189">
        <v>0.2999</v>
      </c>
      <c r="T51" s="189">
        <v>0.3009</v>
      </c>
      <c r="U51" s="189">
        <v>0.3019</v>
      </c>
      <c r="V51" s="189">
        <v>0.30249999999999999</v>
      </c>
      <c r="W51" s="189">
        <v>0.30309999999999998</v>
      </c>
      <c r="X51" s="189">
        <v>0.30359999999999998</v>
      </c>
      <c r="Y51" s="189">
        <v>0.30409999999999998</v>
      </c>
      <c r="Z51" s="189">
        <v>0.30459999999999998</v>
      </c>
      <c r="AA51" s="189">
        <v>0.30499999999999999</v>
      </c>
      <c r="AB51" s="189">
        <v>0.30549999999999999</v>
      </c>
      <c r="AC51" s="189">
        <v>0.30590000000000001</v>
      </c>
      <c r="AD51" s="189">
        <v>0.30620000000000003</v>
      </c>
      <c r="AE51" s="189">
        <v>0.30659999999999998</v>
      </c>
      <c r="AF51" s="189">
        <v>0.307</v>
      </c>
      <c r="AG51" s="189">
        <v>0.30730000000000002</v>
      </c>
      <c r="AH51" s="189">
        <v>0.30759999999999998</v>
      </c>
      <c r="AI51" s="189">
        <v>0.30790000000000001</v>
      </c>
      <c r="AJ51" s="189">
        <v>0.30819999999999997</v>
      </c>
    </row>
    <row r="52" spans="1:36" x14ac:dyDescent="0.35">
      <c r="A52" t="s">
        <v>1378</v>
      </c>
      <c r="B52" s="188" t="s">
        <v>1342</v>
      </c>
      <c r="C52" t="s">
        <v>1348</v>
      </c>
      <c r="D52" s="188">
        <v>30</v>
      </c>
      <c r="E52" t="s">
        <v>1362</v>
      </c>
      <c r="F52" t="s">
        <v>1415</v>
      </c>
      <c r="G52" s="189" t="s">
        <v>1416</v>
      </c>
      <c r="H52" s="189"/>
      <c r="I52" s="189"/>
      <c r="J52" s="189"/>
      <c r="K52" s="189"/>
      <c r="L52" s="189"/>
      <c r="M52" s="189"/>
      <c r="N52" s="189"/>
      <c r="O52" s="189"/>
      <c r="P52" s="189">
        <v>0.28239999999999998</v>
      </c>
      <c r="Q52" s="189">
        <v>0.28339999999999999</v>
      </c>
      <c r="R52" s="189">
        <v>0.28439999999999999</v>
      </c>
      <c r="S52" s="189">
        <v>0.28510000000000002</v>
      </c>
      <c r="T52" s="189">
        <v>0.2858</v>
      </c>
      <c r="U52" s="189">
        <v>0.28649999999999998</v>
      </c>
      <c r="V52" s="189">
        <v>0.28689999999999999</v>
      </c>
      <c r="W52" s="189">
        <v>0.2873</v>
      </c>
      <c r="X52" s="189">
        <v>0.28760000000000002</v>
      </c>
      <c r="Y52" s="189">
        <v>0.28799999999999998</v>
      </c>
      <c r="Z52" s="189">
        <v>0.2883</v>
      </c>
      <c r="AA52" s="189">
        <v>0.28860000000000002</v>
      </c>
      <c r="AB52" s="189">
        <v>0.28889999999999999</v>
      </c>
      <c r="AC52" s="189">
        <v>0.28910000000000002</v>
      </c>
      <c r="AD52" s="189">
        <v>0.28939999999999999</v>
      </c>
      <c r="AE52" s="189">
        <v>0.28960000000000002</v>
      </c>
      <c r="AF52" s="189">
        <v>0.28989999999999999</v>
      </c>
      <c r="AG52" s="189">
        <v>0.29010000000000002</v>
      </c>
      <c r="AH52" s="189">
        <v>0.2903</v>
      </c>
      <c r="AI52" s="189">
        <v>0.29049999999999998</v>
      </c>
      <c r="AJ52" s="189">
        <v>0.29070000000000001</v>
      </c>
    </row>
    <row r="53" spans="1:36" x14ac:dyDescent="0.35">
      <c r="A53" t="s">
        <v>1379</v>
      </c>
      <c r="B53" s="188" t="s">
        <v>1342</v>
      </c>
      <c r="C53" t="s">
        <v>1350</v>
      </c>
      <c r="D53" s="188">
        <v>30</v>
      </c>
      <c r="E53" t="s">
        <v>1362</v>
      </c>
      <c r="F53" t="s">
        <v>1415</v>
      </c>
      <c r="G53" s="189" t="s">
        <v>1416</v>
      </c>
      <c r="H53" s="189"/>
      <c r="I53" s="189"/>
      <c r="J53" s="189"/>
      <c r="K53" s="189"/>
      <c r="L53" s="189"/>
      <c r="M53" s="189"/>
      <c r="N53" s="189"/>
      <c r="O53" s="189"/>
      <c r="P53" s="189">
        <v>0.2732</v>
      </c>
      <c r="Q53" s="189">
        <v>0.27379999999999999</v>
      </c>
      <c r="R53" s="189">
        <v>0.27429999999999999</v>
      </c>
      <c r="S53" s="189">
        <v>0.2747</v>
      </c>
      <c r="T53" s="189">
        <v>0.27510000000000001</v>
      </c>
      <c r="U53" s="189">
        <v>0.27539999999999998</v>
      </c>
      <c r="V53" s="189">
        <v>0.2757</v>
      </c>
      <c r="W53" s="189">
        <v>0.27589999999999998</v>
      </c>
      <c r="X53" s="189">
        <v>0.27610000000000001</v>
      </c>
      <c r="Y53" s="189">
        <v>0.27629999999999999</v>
      </c>
      <c r="Z53" s="189">
        <v>0.27650000000000002</v>
      </c>
      <c r="AA53" s="189">
        <v>0.27660000000000001</v>
      </c>
      <c r="AB53" s="189">
        <v>0.27679999999999999</v>
      </c>
      <c r="AC53" s="189">
        <v>0.27700000000000002</v>
      </c>
      <c r="AD53" s="189">
        <v>0.27710000000000001</v>
      </c>
      <c r="AE53" s="189">
        <v>0.2772</v>
      </c>
      <c r="AF53" s="189">
        <v>0.27739999999999998</v>
      </c>
      <c r="AG53" s="189">
        <v>0.27750000000000002</v>
      </c>
      <c r="AH53" s="189">
        <v>0.27760000000000001</v>
      </c>
      <c r="AI53" s="189">
        <v>0.2777</v>
      </c>
      <c r="AJ53" s="189">
        <v>0.27789999999999998</v>
      </c>
    </row>
    <row r="54" spans="1:36" x14ac:dyDescent="0.35">
      <c r="A54" t="s">
        <v>1417</v>
      </c>
      <c r="B54" s="188" t="s">
        <v>1342</v>
      </c>
      <c r="C54" t="s">
        <v>1343</v>
      </c>
      <c r="D54">
        <v>30</v>
      </c>
      <c r="E54" t="s">
        <v>1418</v>
      </c>
      <c r="F54" t="s">
        <v>1363</v>
      </c>
      <c r="G54" s="189" t="s">
        <v>1419</v>
      </c>
      <c r="H54" s="189">
        <v>0.31630106423534943</v>
      </c>
      <c r="I54" s="189">
        <v>0.31942219842038622</v>
      </c>
      <c r="J54" s="189">
        <v>0.32254333260542301</v>
      </c>
      <c r="K54" s="189">
        <v>0.32566446679045979</v>
      </c>
      <c r="L54" s="189">
        <v>0.32878560097549658</v>
      </c>
      <c r="M54" s="189">
        <v>0.33190673516053337</v>
      </c>
      <c r="N54" s="189">
        <v>0.33502786934557016</v>
      </c>
      <c r="O54" s="189">
        <v>0.33814900353060695</v>
      </c>
      <c r="P54" s="189">
        <v>0.34127013771564374</v>
      </c>
      <c r="Q54" s="189">
        <v>0.34439127190068053</v>
      </c>
      <c r="R54" s="189">
        <v>0.34751240608571732</v>
      </c>
      <c r="S54" s="189">
        <v>0.35063354027075411</v>
      </c>
      <c r="T54" s="189">
        <v>0.3537546744557909</v>
      </c>
      <c r="U54" s="189">
        <v>0.35687580864082769</v>
      </c>
      <c r="V54" s="189">
        <v>0.35813848246879754</v>
      </c>
      <c r="W54" s="189">
        <v>0.35940115629676739</v>
      </c>
      <c r="X54" s="189">
        <v>0.36066383012473724</v>
      </c>
      <c r="Y54" s="189">
        <v>0.36192650395270709</v>
      </c>
      <c r="Z54" s="189">
        <v>0.36318917778067694</v>
      </c>
      <c r="AA54" s="189">
        <v>0.36445185160864679</v>
      </c>
      <c r="AB54" s="189">
        <v>0.36571452543661664</v>
      </c>
      <c r="AC54" s="189">
        <v>0.3669771992645865</v>
      </c>
      <c r="AD54" s="189">
        <v>0.36823987309255635</v>
      </c>
      <c r="AE54" s="189">
        <v>0.3695025469205262</v>
      </c>
      <c r="AF54" s="189">
        <v>0.37076522074849605</v>
      </c>
      <c r="AG54" s="189">
        <v>0.3720278945764659</v>
      </c>
      <c r="AH54" s="189">
        <v>0.37329056840443575</v>
      </c>
      <c r="AI54" s="189">
        <v>0.3745532422324056</v>
      </c>
      <c r="AJ54" s="189">
        <v>0.37581591606037518</v>
      </c>
    </row>
    <row r="55" spans="1:36" x14ac:dyDescent="0.35">
      <c r="A55" t="s">
        <v>1420</v>
      </c>
      <c r="B55" s="188" t="s">
        <v>1342</v>
      </c>
      <c r="C55" t="s">
        <v>1348</v>
      </c>
      <c r="D55" s="188">
        <v>30</v>
      </c>
      <c r="E55" t="s">
        <v>1418</v>
      </c>
      <c r="F55" t="s">
        <v>1363</v>
      </c>
      <c r="G55" s="189" t="s">
        <v>1419</v>
      </c>
      <c r="H55" s="189">
        <v>0.31495213903699626</v>
      </c>
      <c r="I55" s="189">
        <v>0.31672434802367988</v>
      </c>
      <c r="J55" s="189">
        <v>0.3184965570103635</v>
      </c>
      <c r="K55" s="189">
        <v>0.32026876599704712</v>
      </c>
      <c r="L55" s="189">
        <v>0.32204097498373074</v>
      </c>
      <c r="M55" s="189">
        <v>0.32381318397041436</v>
      </c>
      <c r="N55" s="189">
        <v>0.32558539295709799</v>
      </c>
      <c r="O55" s="189">
        <v>0.32735760194378161</v>
      </c>
      <c r="P55" s="189">
        <v>0.32912981093046523</v>
      </c>
      <c r="Q55" s="189">
        <v>0.33090201991714885</v>
      </c>
      <c r="R55" s="189">
        <v>0.33267422890383247</v>
      </c>
      <c r="S55" s="189">
        <v>0.33444643789051609</v>
      </c>
      <c r="T55" s="189">
        <v>0.33621864687719971</v>
      </c>
      <c r="U55" s="189">
        <v>0.33799085586388306</v>
      </c>
      <c r="V55" s="189">
        <v>0.33924985271567937</v>
      </c>
      <c r="W55" s="189">
        <v>0.34050884956747568</v>
      </c>
      <c r="X55" s="189">
        <v>0.34176784641927199</v>
      </c>
      <c r="Y55" s="189">
        <v>0.3430268432710683</v>
      </c>
      <c r="Z55" s="189">
        <v>0.34428584012286462</v>
      </c>
      <c r="AA55" s="189">
        <v>0.34554483697466093</v>
      </c>
      <c r="AB55" s="189">
        <v>0.34680383382645724</v>
      </c>
      <c r="AC55" s="189">
        <v>0.34806283067825355</v>
      </c>
      <c r="AD55" s="189">
        <v>0.34932182753004987</v>
      </c>
      <c r="AE55" s="189">
        <v>0.35058082438184618</v>
      </c>
      <c r="AF55" s="189">
        <v>0.35183982123364249</v>
      </c>
      <c r="AG55" s="189">
        <v>0.3530988180854388</v>
      </c>
      <c r="AH55" s="189">
        <v>0.35435781493723512</v>
      </c>
      <c r="AI55" s="189">
        <v>0.35561681178903143</v>
      </c>
      <c r="AJ55" s="189">
        <v>0.35687580864082769</v>
      </c>
    </row>
    <row r="56" spans="1:36" x14ac:dyDescent="0.35">
      <c r="A56" t="s">
        <v>1421</v>
      </c>
      <c r="B56" s="188" t="s">
        <v>1342</v>
      </c>
      <c r="C56" t="s">
        <v>1350</v>
      </c>
      <c r="D56" s="188">
        <v>30</v>
      </c>
      <c r="E56" t="s">
        <v>1418</v>
      </c>
      <c r="F56" t="s">
        <v>1363</v>
      </c>
      <c r="G56" s="189" t="s">
        <v>1419</v>
      </c>
      <c r="H56" s="189">
        <v>0.31317993005031264</v>
      </c>
      <c r="I56" s="189">
        <v>0.31317993005031264</v>
      </c>
      <c r="J56" s="189">
        <v>0.31317993005031264</v>
      </c>
      <c r="K56" s="189">
        <v>0.31317993005031264</v>
      </c>
      <c r="L56" s="189">
        <v>0.31317993005031264</v>
      </c>
      <c r="M56" s="189">
        <v>0.31317993005031264</v>
      </c>
      <c r="N56" s="189">
        <v>0.31317993005031264</v>
      </c>
      <c r="O56" s="189">
        <v>0.31317993005031264</v>
      </c>
      <c r="P56" s="189">
        <v>0.31317993005031264</v>
      </c>
      <c r="Q56" s="189">
        <v>0.31317993005031264</v>
      </c>
      <c r="R56" s="189">
        <v>0.31317993005031264</v>
      </c>
      <c r="S56" s="189">
        <v>0.31317993005031264</v>
      </c>
      <c r="T56" s="189">
        <v>0.31317993005031264</v>
      </c>
      <c r="U56" s="189">
        <v>0.31317993005031264</v>
      </c>
      <c r="V56" s="189">
        <v>0.31483399177121735</v>
      </c>
      <c r="W56" s="189">
        <v>0.31648805349212206</v>
      </c>
      <c r="X56" s="189">
        <v>0.31814211521302677</v>
      </c>
      <c r="Y56" s="189">
        <v>0.31979617693393148</v>
      </c>
      <c r="Z56" s="189">
        <v>0.32145023865483618</v>
      </c>
      <c r="AA56" s="189">
        <v>0.32310430037574089</v>
      </c>
      <c r="AB56" s="189">
        <v>0.3247583620966456</v>
      </c>
      <c r="AC56" s="189">
        <v>0.32641242381755031</v>
      </c>
      <c r="AD56" s="189">
        <v>0.32806648553845502</v>
      </c>
      <c r="AE56" s="189">
        <v>0.32972054725935973</v>
      </c>
      <c r="AF56" s="189">
        <v>0.33137460898026444</v>
      </c>
      <c r="AG56" s="189">
        <v>0.33302867070116915</v>
      </c>
      <c r="AH56" s="189">
        <v>0.33468273242207386</v>
      </c>
      <c r="AI56" s="189">
        <v>0.33633679414297857</v>
      </c>
      <c r="AJ56" s="189">
        <v>0.33799085586388306</v>
      </c>
    </row>
    <row r="57" spans="1:36" x14ac:dyDescent="0.35">
      <c r="A57" t="s">
        <v>1422</v>
      </c>
      <c r="B57" s="188" t="s">
        <v>1342</v>
      </c>
      <c r="C57" t="s">
        <v>1343</v>
      </c>
      <c r="D57" s="188">
        <v>30</v>
      </c>
      <c r="E57" t="s">
        <v>1418</v>
      </c>
      <c r="F57" t="s">
        <v>1345</v>
      </c>
      <c r="G57" s="189" t="s">
        <v>1423</v>
      </c>
      <c r="H57" s="189">
        <v>0.30596948724248807</v>
      </c>
      <c r="I57" s="189">
        <v>0.30895947555147468</v>
      </c>
      <c r="J57" s="189">
        <v>0.3119494638604613</v>
      </c>
      <c r="K57" s="189">
        <v>0.31493945216944791</v>
      </c>
      <c r="L57" s="189">
        <v>0.31792944047843452</v>
      </c>
      <c r="M57" s="189">
        <v>0.32091942878742113</v>
      </c>
      <c r="N57" s="189">
        <v>0.32390941709640775</v>
      </c>
      <c r="O57" s="189">
        <v>0.32689940540539436</v>
      </c>
      <c r="P57" s="189">
        <v>0.32988939371438097</v>
      </c>
      <c r="Q57" s="189">
        <v>0.33287938202336759</v>
      </c>
      <c r="R57" s="189">
        <v>0.3358693703323542</v>
      </c>
      <c r="S57" s="189">
        <v>0.33885935864134081</v>
      </c>
      <c r="T57" s="189">
        <v>0.34184934695032743</v>
      </c>
      <c r="U57" s="189">
        <v>0.34483933525931415</v>
      </c>
      <c r="V57" s="189">
        <v>0.34608840615670666</v>
      </c>
      <c r="W57" s="189">
        <v>0.34733747705409918</v>
      </c>
      <c r="X57" s="189">
        <v>0.34858654795149169</v>
      </c>
      <c r="Y57" s="189">
        <v>0.3498356188488842</v>
      </c>
      <c r="Z57" s="189">
        <v>0.35108468974627671</v>
      </c>
      <c r="AA57" s="189">
        <v>0.35233376064366922</v>
      </c>
      <c r="AB57" s="189">
        <v>0.35358283154106174</v>
      </c>
      <c r="AC57" s="189">
        <v>0.35483190243845425</v>
      </c>
      <c r="AD57" s="189">
        <v>0.35608097333584676</v>
      </c>
      <c r="AE57" s="189">
        <v>0.35733004423323927</v>
      </c>
      <c r="AF57" s="189">
        <v>0.35857911513063179</v>
      </c>
      <c r="AG57" s="189">
        <v>0.3598281860280243</v>
      </c>
      <c r="AH57" s="189">
        <v>0.36107725692541681</v>
      </c>
      <c r="AI57" s="189">
        <v>0.36232632782280932</v>
      </c>
      <c r="AJ57" s="189">
        <v>0.36357539872020173</v>
      </c>
    </row>
    <row r="58" spans="1:36" x14ac:dyDescent="0.35">
      <c r="A58" t="s">
        <v>1424</v>
      </c>
      <c r="B58" s="188" t="s">
        <v>1342</v>
      </c>
      <c r="C58" t="s">
        <v>1348</v>
      </c>
      <c r="D58" s="188">
        <v>30</v>
      </c>
      <c r="E58" t="s">
        <v>1418</v>
      </c>
      <c r="F58" t="s">
        <v>1345</v>
      </c>
      <c r="G58" s="189" t="s">
        <v>1423</v>
      </c>
      <c r="H58" s="189">
        <v>0.304672094613403</v>
      </c>
      <c r="I58" s="189">
        <v>0.30636469029330454</v>
      </c>
      <c r="J58" s="189">
        <v>0.30805728597320609</v>
      </c>
      <c r="K58" s="189">
        <v>0.30974988165310763</v>
      </c>
      <c r="L58" s="189">
        <v>0.31144247733300917</v>
      </c>
      <c r="M58" s="189">
        <v>0.31313507301291071</v>
      </c>
      <c r="N58" s="189">
        <v>0.31482766869281226</v>
      </c>
      <c r="O58" s="189">
        <v>0.3165202643727138</v>
      </c>
      <c r="P58" s="189">
        <v>0.31821286005261534</v>
      </c>
      <c r="Q58" s="189">
        <v>0.31990545573251689</v>
      </c>
      <c r="R58" s="189">
        <v>0.32159805141241843</v>
      </c>
      <c r="S58" s="189">
        <v>0.32329064709231997</v>
      </c>
      <c r="T58" s="189">
        <v>0.32498324277222151</v>
      </c>
      <c r="U58" s="189">
        <v>0.32667583845212333</v>
      </c>
      <c r="V58" s="189">
        <v>0.32788673823926939</v>
      </c>
      <c r="W58" s="189">
        <v>0.32909763802641545</v>
      </c>
      <c r="X58" s="189">
        <v>0.33030853781356151</v>
      </c>
      <c r="Y58" s="189">
        <v>0.33151943760070757</v>
      </c>
      <c r="Z58" s="189">
        <v>0.33273033738785363</v>
      </c>
      <c r="AA58" s="189">
        <v>0.33394123717499968</v>
      </c>
      <c r="AB58" s="189">
        <v>0.33515213696214574</v>
      </c>
      <c r="AC58" s="189">
        <v>0.3363630367492918</v>
      </c>
      <c r="AD58" s="189">
        <v>0.33757393653643786</v>
      </c>
      <c r="AE58" s="189">
        <v>0.33878483632358392</v>
      </c>
      <c r="AF58" s="189">
        <v>0.33999573611072997</v>
      </c>
      <c r="AG58" s="189">
        <v>0.34120663589787603</v>
      </c>
      <c r="AH58" s="189">
        <v>0.34241753568502209</v>
      </c>
      <c r="AI58" s="189">
        <v>0.34362843547216815</v>
      </c>
      <c r="AJ58" s="189">
        <v>0.34483933525931415</v>
      </c>
    </row>
    <row r="59" spans="1:36" x14ac:dyDescent="0.35">
      <c r="A59" t="s">
        <v>1425</v>
      </c>
      <c r="B59" s="188" t="s">
        <v>1342</v>
      </c>
      <c r="C59" t="s">
        <v>1350</v>
      </c>
      <c r="D59" s="188">
        <v>30</v>
      </c>
      <c r="E59" t="s">
        <v>1418</v>
      </c>
      <c r="F59" t="s">
        <v>1345</v>
      </c>
      <c r="G59" s="189" t="s">
        <v>1423</v>
      </c>
      <c r="H59" s="189">
        <v>0.30297949893350146</v>
      </c>
      <c r="I59" s="189">
        <v>0.30297949893350146</v>
      </c>
      <c r="J59" s="189">
        <v>0.30297949893350146</v>
      </c>
      <c r="K59" s="189">
        <v>0.30297949893350146</v>
      </c>
      <c r="L59" s="189">
        <v>0.30297949893350146</v>
      </c>
      <c r="M59" s="189">
        <v>0.30297949893350146</v>
      </c>
      <c r="N59" s="189">
        <v>0.30297949893350146</v>
      </c>
      <c r="O59" s="189">
        <v>0.30297949893350146</v>
      </c>
      <c r="P59" s="189">
        <v>0.30297949893350146</v>
      </c>
      <c r="Q59" s="189">
        <v>0.30297949893350146</v>
      </c>
      <c r="R59" s="189">
        <v>0.30297949893350146</v>
      </c>
      <c r="S59" s="189">
        <v>0.30297949893350146</v>
      </c>
      <c r="T59" s="189">
        <v>0.30297949893350146</v>
      </c>
      <c r="U59" s="189">
        <v>0.30297949893350146</v>
      </c>
      <c r="V59" s="189">
        <v>0.30455925490140956</v>
      </c>
      <c r="W59" s="189">
        <v>0.30613901086931766</v>
      </c>
      <c r="X59" s="189">
        <v>0.30771876683722577</v>
      </c>
      <c r="Y59" s="189">
        <v>0.30929852280513387</v>
      </c>
      <c r="Z59" s="189">
        <v>0.31087827877304197</v>
      </c>
      <c r="AA59" s="189">
        <v>0.31245803474095007</v>
      </c>
      <c r="AB59" s="189">
        <v>0.31403779070885818</v>
      </c>
      <c r="AC59" s="189">
        <v>0.31561754667676628</v>
      </c>
      <c r="AD59" s="189">
        <v>0.31719730264467438</v>
      </c>
      <c r="AE59" s="189">
        <v>0.31877705861258249</v>
      </c>
      <c r="AF59" s="189">
        <v>0.32035681458049059</v>
      </c>
      <c r="AG59" s="189">
        <v>0.32193657054839869</v>
      </c>
      <c r="AH59" s="189">
        <v>0.3235163265163068</v>
      </c>
      <c r="AI59" s="189">
        <v>0.3250960824842149</v>
      </c>
      <c r="AJ59" s="189">
        <v>0.32667583845212333</v>
      </c>
    </row>
    <row r="60" spans="1:36" x14ac:dyDescent="0.35">
      <c r="A60" t="s">
        <v>1426</v>
      </c>
      <c r="B60" s="188" t="s">
        <v>1342</v>
      </c>
      <c r="C60" t="s">
        <v>1343</v>
      </c>
      <c r="D60" s="188">
        <v>30</v>
      </c>
      <c r="E60" t="s">
        <v>1418</v>
      </c>
      <c r="F60" t="s">
        <v>1352</v>
      </c>
      <c r="G60" s="189" t="s">
        <v>1427</v>
      </c>
      <c r="H60" s="189">
        <v>0.29152443621241259</v>
      </c>
      <c r="I60" s="189">
        <v>0.29450992461701886</v>
      </c>
      <c r="J60" s="189">
        <v>0.29749541302162513</v>
      </c>
      <c r="K60" s="189">
        <v>0.30048090142623141</v>
      </c>
      <c r="L60" s="189">
        <v>0.30346638983083768</v>
      </c>
      <c r="M60" s="189">
        <v>0.30645187823544395</v>
      </c>
      <c r="N60" s="189">
        <v>0.30943736664005023</v>
      </c>
      <c r="O60" s="189">
        <v>0.3124228550446565</v>
      </c>
      <c r="P60" s="189">
        <v>0.31540834344926277</v>
      </c>
      <c r="Q60" s="189">
        <v>0.31839383185386905</v>
      </c>
      <c r="R60" s="189">
        <v>0.32137932025847532</v>
      </c>
      <c r="S60" s="189">
        <v>0.32436480866308159</v>
      </c>
      <c r="T60" s="189">
        <v>0.32735029706768787</v>
      </c>
      <c r="U60" s="189">
        <v>0.33033578547229403</v>
      </c>
      <c r="V60" s="189">
        <v>0.3313965155987656</v>
      </c>
      <c r="W60" s="189">
        <v>0.33245724572523716</v>
      </c>
      <c r="X60" s="189">
        <v>0.33351797585170873</v>
      </c>
      <c r="Y60" s="189">
        <v>0.33457870597818029</v>
      </c>
      <c r="Z60" s="189">
        <v>0.33563943610465186</v>
      </c>
      <c r="AA60" s="189">
        <v>0.33670016623112342</v>
      </c>
      <c r="AB60" s="189">
        <v>0.33776089635759499</v>
      </c>
      <c r="AC60" s="189">
        <v>0.33882162648406655</v>
      </c>
      <c r="AD60" s="189">
        <v>0.33988235661053812</v>
      </c>
      <c r="AE60" s="189">
        <v>0.34094308673700968</v>
      </c>
      <c r="AF60" s="189">
        <v>0.34200381686348125</v>
      </c>
      <c r="AG60" s="189">
        <v>0.34306454698995281</v>
      </c>
      <c r="AH60" s="189">
        <v>0.34412527711642438</v>
      </c>
      <c r="AI60" s="189">
        <v>0.34518600724289594</v>
      </c>
      <c r="AJ60" s="189">
        <v>0.34624673736936756</v>
      </c>
    </row>
    <row r="61" spans="1:36" x14ac:dyDescent="0.35">
      <c r="A61" t="s">
        <v>1428</v>
      </c>
      <c r="B61" s="188" t="s">
        <v>1342</v>
      </c>
      <c r="C61" t="s">
        <v>1348</v>
      </c>
      <c r="D61" s="188">
        <v>30</v>
      </c>
      <c r="E61" t="s">
        <v>1418</v>
      </c>
      <c r="F61" t="s">
        <v>1352</v>
      </c>
      <c r="G61" s="189" t="s">
        <v>1427</v>
      </c>
      <c r="H61" s="189">
        <v>0.29024488148558486</v>
      </c>
      <c r="I61" s="189">
        <v>0.29195081516336341</v>
      </c>
      <c r="J61" s="189">
        <v>0.29365674884114196</v>
      </c>
      <c r="K61" s="189">
        <v>0.29536268251892051</v>
      </c>
      <c r="L61" s="189">
        <v>0.29706861619669905</v>
      </c>
      <c r="M61" s="189">
        <v>0.2987745498744776</v>
      </c>
      <c r="N61" s="189">
        <v>0.30048048355225615</v>
      </c>
      <c r="O61" s="189">
        <v>0.3021864172300347</v>
      </c>
      <c r="P61" s="189">
        <v>0.30389235090781325</v>
      </c>
      <c r="Q61" s="189">
        <v>0.3055982845855918</v>
      </c>
      <c r="R61" s="189">
        <v>0.30730421826337034</v>
      </c>
      <c r="S61" s="189">
        <v>0.30901015194114889</v>
      </c>
      <c r="T61" s="189">
        <v>0.31071608561892744</v>
      </c>
      <c r="U61" s="189">
        <v>0.31242201929670571</v>
      </c>
      <c r="V61" s="189">
        <v>0.31361627037507828</v>
      </c>
      <c r="W61" s="189">
        <v>0.31481052145345084</v>
      </c>
      <c r="X61" s="189">
        <v>0.31600477253182341</v>
      </c>
      <c r="Y61" s="189">
        <v>0.31719902361019597</v>
      </c>
      <c r="Z61" s="189">
        <v>0.31839327468856854</v>
      </c>
      <c r="AA61" s="189">
        <v>0.31958752576694111</v>
      </c>
      <c r="AB61" s="189">
        <v>0.32078177684531367</v>
      </c>
      <c r="AC61" s="189">
        <v>0.32197602792368624</v>
      </c>
      <c r="AD61" s="189">
        <v>0.3231702790020588</v>
      </c>
      <c r="AE61" s="189">
        <v>0.32436453008043137</v>
      </c>
      <c r="AF61" s="189">
        <v>0.32555878115880393</v>
      </c>
      <c r="AG61" s="189">
        <v>0.3267530322371765</v>
      </c>
      <c r="AH61" s="189">
        <v>0.32794728331554907</v>
      </c>
      <c r="AI61" s="189">
        <v>0.32914153439392163</v>
      </c>
      <c r="AJ61" s="189">
        <v>0.33033578547229403</v>
      </c>
    </row>
    <row r="62" spans="1:36" x14ac:dyDescent="0.35">
      <c r="A62" t="s">
        <v>1429</v>
      </c>
      <c r="B62" s="188" t="s">
        <v>1342</v>
      </c>
      <c r="C62" t="s">
        <v>1350</v>
      </c>
      <c r="D62" s="188">
        <v>30</v>
      </c>
      <c r="E62" t="s">
        <v>1418</v>
      </c>
      <c r="F62" t="s">
        <v>1352</v>
      </c>
      <c r="G62" s="189" t="s">
        <v>1427</v>
      </c>
      <c r="H62" s="189">
        <v>0.28853894780780631</v>
      </c>
      <c r="I62" s="189">
        <v>0.28853894780780631</v>
      </c>
      <c r="J62" s="189">
        <v>0.28853894780780631</v>
      </c>
      <c r="K62" s="189">
        <v>0.28853894780780631</v>
      </c>
      <c r="L62" s="189">
        <v>0.28853894780780631</v>
      </c>
      <c r="M62" s="189">
        <v>0.28853894780780631</v>
      </c>
      <c r="N62" s="189">
        <v>0.28853894780780631</v>
      </c>
      <c r="O62" s="189">
        <v>0.28853894780780631</v>
      </c>
      <c r="P62" s="189">
        <v>0.28853894780780631</v>
      </c>
      <c r="Q62" s="189">
        <v>0.28853894780780631</v>
      </c>
      <c r="R62" s="189">
        <v>0.28853894780780631</v>
      </c>
      <c r="S62" s="189">
        <v>0.28853894780780631</v>
      </c>
      <c r="T62" s="189">
        <v>0.28853894780780631</v>
      </c>
      <c r="U62" s="189">
        <v>0.28853894780780631</v>
      </c>
      <c r="V62" s="189">
        <v>0.29013115257373295</v>
      </c>
      <c r="W62" s="189">
        <v>0.29172335733965959</v>
      </c>
      <c r="X62" s="189">
        <v>0.29331556210558624</v>
      </c>
      <c r="Y62" s="189">
        <v>0.29490776687151288</v>
      </c>
      <c r="Z62" s="189">
        <v>0.29649997163743952</v>
      </c>
      <c r="AA62" s="189">
        <v>0.29809217640336616</v>
      </c>
      <c r="AB62" s="189">
        <v>0.2996843811692928</v>
      </c>
      <c r="AC62" s="189">
        <v>0.30127658593521944</v>
      </c>
      <c r="AD62" s="189">
        <v>0.30286879070114608</v>
      </c>
      <c r="AE62" s="189">
        <v>0.30446099546707273</v>
      </c>
      <c r="AF62" s="189">
        <v>0.30605320023299937</v>
      </c>
      <c r="AG62" s="189">
        <v>0.30764540499892601</v>
      </c>
      <c r="AH62" s="189">
        <v>0.30923760976485265</v>
      </c>
      <c r="AI62" s="189">
        <v>0.31082981453077929</v>
      </c>
      <c r="AJ62" s="189">
        <v>0.31242201929670571</v>
      </c>
    </row>
    <row r="63" spans="1:36" x14ac:dyDescent="0.35">
      <c r="A63" t="s">
        <v>1430</v>
      </c>
      <c r="B63" s="188" t="s">
        <v>1342</v>
      </c>
      <c r="C63" t="s">
        <v>1343</v>
      </c>
      <c r="D63" s="188">
        <v>30</v>
      </c>
      <c r="E63" t="s">
        <v>1418</v>
      </c>
      <c r="F63" t="s">
        <v>1376</v>
      </c>
      <c r="G63" s="189" t="s">
        <v>1431</v>
      </c>
      <c r="H63" s="189">
        <v>0.27765622576712817</v>
      </c>
      <c r="I63" s="189">
        <v>0.28060501407588345</v>
      </c>
      <c r="J63" s="189">
        <v>0.28355380238463873</v>
      </c>
      <c r="K63" s="189">
        <v>0.28650259069339401</v>
      </c>
      <c r="L63" s="189">
        <v>0.28945137900214929</v>
      </c>
      <c r="M63" s="189">
        <v>0.29240016731090457</v>
      </c>
      <c r="N63" s="189">
        <v>0.29534895561965985</v>
      </c>
      <c r="O63" s="189">
        <v>0.29829774392841513</v>
      </c>
      <c r="P63" s="189">
        <v>0.30124653223717041</v>
      </c>
      <c r="Q63" s="189">
        <v>0.30419532054592568</v>
      </c>
      <c r="R63" s="189">
        <v>0.30714410885468096</v>
      </c>
      <c r="S63" s="189">
        <v>0.31009289716343624</v>
      </c>
      <c r="T63" s="189">
        <v>0.31304168547219152</v>
      </c>
      <c r="U63" s="189">
        <v>0.31599047378094702</v>
      </c>
      <c r="V63" s="189">
        <v>0.3169010371922204</v>
      </c>
      <c r="W63" s="189">
        <v>0.31781160060349378</v>
      </c>
      <c r="X63" s="189">
        <v>0.31872216401476716</v>
      </c>
      <c r="Y63" s="189">
        <v>0.31963272742604054</v>
      </c>
      <c r="Z63" s="189">
        <v>0.32054329083731392</v>
      </c>
      <c r="AA63" s="189">
        <v>0.3214538542485873</v>
      </c>
      <c r="AB63" s="189">
        <v>0.32236441765986068</v>
      </c>
      <c r="AC63" s="189">
        <v>0.32327498107113406</v>
      </c>
      <c r="AD63" s="189">
        <v>0.32418554448240744</v>
      </c>
      <c r="AE63" s="189">
        <v>0.32509610789368082</v>
      </c>
      <c r="AF63" s="189">
        <v>0.3260066713049542</v>
      </c>
      <c r="AG63" s="189">
        <v>0.32691723471622758</v>
      </c>
      <c r="AH63" s="189">
        <v>0.32782779812750096</v>
      </c>
      <c r="AI63" s="189">
        <v>0.32873836153877434</v>
      </c>
      <c r="AJ63" s="189">
        <v>0.32964892495004744</v>
      </c>
    </row>
    <row r="64" spans="1:36" x14ac:dyDescent="0.35">
      <c r="A64" t="s">
        <v>1432</v>
      </c>
      <c r="B64" s="188" t="s">
        <v>1342</v>
      </c>
      <c r="C64" t="s">
        <v>1348</v>
      </c>
      <c r="D64" s="188">
        <v>30</v>
      </c>
      <c r="E64" t="s">
        <v>1418</v>
      </c>
      <c r="F64" t="s">
        <v>1376</v>
      </c>
      <c r="G64" s="189" t="s">
        <v>1431</v>
      </c>
      <c r="H64" s="189">
        <v>0.27640290141848051</v>
      </c>
      <c r="I64" s="189">
        <v>0.27809836537858812</v>
      </c>
      <c r="J64" s="189">
        <v>0.27979382933869573</v>
      </c>
      <c r="K64" s="189">
        <v>0.28148929329880334</v>
      </c>
      <c r="L64" s="189">
        <v>0.28318475725891096</v>
      </c>
      <c r="M64" s="189">
        <v>0.28488022121901857</v>
      </c>
      <c r="N64" s="189">
        <v>0.28657568517912618</v>
      </c>
      <c r="O64" s="189">
        <v>0.2882711491392338</v>
      </c>
      <c r="P64" s="189">
        <v>0.28996661309934141</v>
      </c>
      <c r="Q64" s="189">
        <v>0.29166207705944902</v>
      </c>
      <c r="R64" s="189">
        <v>0.29335754101955663</v>
      </c>
      <c r="S64" s="189">
        <v>0.29505300497966425</v>
      </c>
      <c r="T64" s="189">
        <v>0.29674846893977186</v>
      </c>
      <c r="U64" s="189">
        <v>0.2984439328998798</v>
      </c>
      <c r="V64" s="189">
        <v>0.29961370229195095</v>
      </c>
      <c r="W64" s="189">
        <v>0.30078347168402209</v>
      </c>
      <c r="X64" s="189">
        <v>0.30195324107609323</v>
      </c>
      <c r="Y64" s="189">
        <v>0.30312301046816437</v>
      </c>
      <c r="Z64" s="189">
        <v>0.30429277986023551</v>
      </c>
      <c r="AA64" s="189">
        <v>0.30546254925230665</v>
      </c>
      <c r="AB64" s="189">
        <v>0.30663231864437779</v>
      </c>
      <c r="AC64" s="189">
        <v>0.30780208803644893</v>
      </c>
      <c r="AD64" s="189">
        <v>0.30897185742852007</v>
      </c>
      <c r="AE64" s="189">
        <v>0.31014162682059121</v>
      </c>
      <c r="AF64" s="189">
        <v>0.31131139621266235</v>
      </c>
      <c r="AG64" s="189">
        <v>0.31248116560473349</v>
      </c>
      <c r="AH64" s="189">
        <v>0.31365093499680463</v>
      </c>
      <c r="AI64" s="189">
        <v>0.31482070438887577</v>
      </c>
      <c r="AJ64" s="189">
        <v>0.31599047378094702</v>
      </c>
    </row>
    <row r="65" spans="1:36" x14ac:dyDescent="0.35">
      <c r="A65" t="s">
        <v>1433</v>
      </c>
      <c r="B65" s="188" t="s">
        <v>1342</v>
      </c>
      <c r="C65" t="s">
        <v>1350</v>
      </c>
      <c r="D65" s="188">
        <v>30</v>
      </c>
      <c r="E65" t="s">
        <v>1418</v>
      </c>
      <c r="F65" t="s">
        <v>1376</v>
      </c>
      <c r="G65" s="189" t="s">
        <v>1431</v>
      </c>
      <c r="H65" s="189">
        <v>0.27470743745837289</v>
      </c>
      <c r="I65" s="189">
        <v>0.27470743745837289</v>
      </c>
      <c r="J65" s="189">
        <v>0.27470743745837289</v>
      </c>
      <c r="K65" s="189">
        <v>0.27470743745837289</v>
      </c>
      <c r="L65" s="189">
        <v>0.27470743745837289</v>
      </c>
      <c r="M65" s="189">
        <v>0.27470743745837289</v>
      </c>
      <c r="N65" s="189">
        <v>0.27470743745837289</v>
      </c>
      <c r="O65" s="189">
        <v>0.27470743745837289</v>
      </c>
      <c r="P65" s="189">
        <v>0.27470743745837289</v>
      </c>
      <c r="Q65" s="189">
        <v>0.27470743745837289</v>
      </c>
      <c r="R65" s="189">
        <v>0.27470743745837289</v>
      </c>
      <c r="S65" s="189">
        <v>0.27470743745837289</v>
      </c>
      <c r="T65" s="189">
        <v>0.27470743745837289</v>
      </c>
      <c r="U65" s="189">
        <v>0.27470743745837289</v>
      </c>
      <c r="V65" s="189">
        <v>0.27628987048780668</v>
      </c>
      <c r="W65" s="189">
        <v>0.27787230351724046</v>
      </c>
      <c r="X65" s="189">
        <v>0.27945473654667424</v>
      </c>
      <c r="Y65" s="189">
        <v>0.28103716957610803</v>
      </c>
      <c r="Z65" s="189">
        <v>0.28261960260554181</v>
      </c>
      <c r="AA65" s="189">
        <v>0.28420203563497559</v>
      </c>
      <c r="AB65" s="189">
        <v>0.28578446866440937</v>
      </c>
      <c r="AC65" s="189">
        <v>0.28736690169384316</v>
      </c>
      <c r="AD65" s="189">
        <v>0.28894933472327694</v>
      </c>
      <c r="AE65" s="189">
        <v>0.29053176775271072</v>
      </c>
      <c r="AF65" s="189">
        <v>0.29211420078214451</v>
      </c>
      <c r="AG65" s="189">
        <v>0.29369663381157829</v>
      </c>
      <c r="AH65" s="189">
        <v>0.29527906684101207</v>
      </c>
      <c r="AI65" s="189">
        <v>0.29686149987044586</v>
      </c>
      <c r="AJ65" s="189">
        <v>0.2984439328998798</v>
      </c>
    </row>
    <row r="66" spans="1:36" x14ac:dyDescent="0.35">
      <c r="A66" t="s">
        <v>1434</v>
      </c>
      <c r="B66" s="188" t="s">
        <v>1342</v>
      </c>
      <c r="C66" t="s">
        <v>1343</v>
      </c>
      <c r="D66" s="188">
        <v>30</v>
      </c>
      <c r="E66" t="s">
        <v>1418</v>
      </c>
      <c r="F66" t="s">
        <v>1381</v>
      </c>
      <c r="G66" s="189" t="s">
        <v>1435</v>
      </c>
      <c r="H66" s="189">
        <v>0.26380732215278746</v>
      </c>
      <c r="I66" s="189">
        <v>0.26667469676307393</v>
      </c>
      <c r="J66" s="189">
        <v>0.26954207137336039</v>
      </c>
      <c r="K66" s="189">
        <v>0.27240944598364686</v>
      </c>
      <c r="L66" s="189">
        <v>0.27527682059393332</v>
      </c>
      <c r="M66" s="189">
        <v>0.27814419520421979</v>
      </c>
      <c r="N66" s="189">
        <v>0.28101156981450626</v>
      </c>
      <c r="O66" s="189">
        <v>0.28387894442479272</v>
      </c>
      <c r="P66" s="189">
        <v>0.28674631903507919</v>
      </c>
      <c r="Q66" s="189">
        <v>0.28961369364536566</v>
      </c>
      <c r="R66" s="189">
        <v>0.29248106825565212</v>
      </c>
      <c r="S66" s="189">
        <v>0.29534844286593859</v>
      </c>
      <c r="T66" s="189">
        <v>0.29821581747622505</v>
      </c>
      <c r="U66" s="189">
        <v>0.30108319208651146</v>
      </c>
      <c r="V66" s="189">
        <v>0.30188617508414411</v>
      </c>
      <c r="W66" s="189">
        <v>0.30268915808177677</v>
      </c>
      <c r="X66" s="189">
        <v>0.30349214107940942</v>
      </c>
      <c r="Y66" s="189">
        <v>0.30429512407704207</v>
      </c>
      <c r="Z66" s="189">
        <v>0.30509810707467472</v>
      </c>
      <c r="AA66" s="189">
        <v>0.30590109007230737</v>
      </c>
      <c r="AB66" s="189">
        <v>0.30670407306994002</v>
      </c>
      <c r="AC66" s="189">
        <v>0.30750705606757267</v>
      </c>
      <c r="AD66" s="189">
        <v>0.30831003906520532</v>
      </c>
      <c r="AE66" s="189">
        <v>0.30911302206283797</v>
      </c>
      <c r="AF66" s="189">
        <v>0.30991600506047062</v>
      </c>
      <c r="AG66" s="189">
        <v>0.31071898805810327</v>
      </c>
      <c r="AH66" s="189">
        <v>0.31152197105573592</v>
      </c>
      <c r="AI66" s="189">
        <v>0.31232495405336858</v>
      </c>
      <c r="AJ66" s="189">
        <v>0.31312793705100117</v>
      </c>
    </row>
    <row r="67" spans="1:36" x14ac:dyDescent="0.35">
      <c r="A67" t="s">
        <v>1436</v>
      </c>
      <c r="B67" s="188" t="s">
        <v>1342</v>
      </c>
      <c r="C67" t="s">
        <v>1348</v>
      </c>
      <c r="D67" s="188">
        <v>30</v>
      </c>
      <c r="E67" t="s">
        <v>1418</v>
      </c>
      <c r="F67" t="s">
        <v>1381</v>
      </c>
      <c r="G67" s="189" t="s">
        <v>1435</v>
      </c>
      <c r="H67" s="189">
        <v>0.26258963643776279</v>
      </c>
      <c r="I67" s="189">
        <v>0.26423932533302458</v>
      </c>
      <c r="J67" s="189">
        <v>0.26588901422828637</v>
      </c>
      <c r="K67" s="189">
        <v>0.26753870312354816</v>
      </c>
      <c r="L67" s="189">
        <v>0.26918839201880995</v>
      </c>
      <c r="M67" s="189">
        <v>0.27083808091407174</v>
      </c>
      <c r="N67" s="189">
        <v>0.27248776980933354</v>
      </c>
      <c r="O67" s="189">
        <v>0.27413745870459533</v>
      </c>
      <c r="P67" s="189">
        <v>0.27578714759985712</v>
      </c>
      <c r="Q67" s="189">
        <v>0.27743683649511891</v>
      </c>
      <c r="R67" s="189">
        <v>0.2790865253903807</v>
      </c>
      <c r="S67" s="189">
        <v>0.28073621428564249</v>
      </c>
      <c r="T67" s="189">
        <v>0.28238590318090429</v>
      </c>
      <c r="U67" s="189">
        <v>0.28403559207616635</v>
      </c>
      <c r="V67" s="189">
        <v>0.28517209874352267</v>
      </c>
      <c r="W67" s="189">
        <v>0.28630860541087899</v>
      </c>
      <c r="X67" s="189">
        <v>0.28744511207823531</v>
      </c>
      <c r="Y67" s="189">
        <v>0.28858161874559163</v>
      </c>
      <c r="Z67" s="189">
        <v>0.28971812541294795</v>
      </c>
      <c r="AA67" s="189">
        <v>0.29085463208030427</v>
      </c>
      <c r="AB67" s="189">
        <v>0.29199113874766058</v>
      </c>
      <c r="AC67" s="189">
        <v>0.2931276454150169</v>
      </c>
      <c r="AD67" s="189">
        <v>0.29426415208237322</v>
      </c>
      <c r="AE67" s="189">
        <v>0.29540065874972954</v>
      </c>
      <c r="AF67" s="189">
        <v>0.29653716541708586</v>
      </c>
      <c r="AG67" s="189">
        <v>0.29767367208444218</v>
      </c>
      <c r="AH67" s="189">
        <v>0.29881017875179849</v>
      </c>
      <c r="AI67" s="189">
        <v>0.29994668541915481</v>
      </c>
      <c r="AJ67" s="189">
        <v>0.30108319208651146</v>
      </c>
    </row>
    <row r="68" spans="1:36" x14ac:dyDescent="0.35">
      <c r="A68" t="s">
        <v>1437</v>
      </c>
      <c r="B68" s="188" t="s">
        <v>1342</v>
      </c>
      <c r="C68" t="s">
        <v>1350</v>
      </c>
      <c r="D68" s="188">
        <v>30</v>
      </c>
      <c r="E68" t="s">
        <v>1418</v>
      </c>
      <c r="F68" t="s">
        <v>1381</v>
      </c>
      <c r="G68" s="189" t="s">
        <v>1435</v>
      </c>
      <c r="H68" s="189">
        <v>0.26093994754250099</v>
      </c>
      <c r="I68" s="189">
        <v>0.26093994754250099</v>
      </c>
      <c r="J68" s="189">
        <v>0.26093994754250099</v>
      </c>
      <c r="K68" s="189">
        <v>0.26093994754250099</v>
      </c>
      <c r="L68" s="189">
        <v>0.26093994754250099</v>
      </c>
      <c r="M68" s="189">
        <v>0.26093994754250099</v>
      </c>
      <c r="N68" s="189">
        <v>0.26093994754250099</v>
      </c>
      <c r="O68" s="189">
        <v>0.26093994754250099</v>
      </c>
      <c r="P68" s="189">
        <v>0.26093994754250099</v>
      </c>
      <c r="Q68" s="189">
        <v>0.26093994754250099</v>
      </c>
      <c r="R68" s="189">
        <v>0.26093994754250099</v>
      </c>
      <c r="S68" s="189">
        <v>0.26093994754250099</v>
      </c>
      <c r="T68" s="189">
        <v>0.26093994754250099</v>
      </c>
      <c r="U68" s="189">
        <v>0.26093994754250099</v>
      </c>
      <c r="V68" s="189">
        <v>0.2624796571780787</v>
      </c>
      <c r="W68" s="189">
        <v>0.2640193668136564</v>
      </c>
      <c r="X68" s="189">
        <v>0.2655590764492341</v>
      </c>
      <c r="Y68" s="189">
        <v>0.2670987860848118</v>
      </c>
      <c r="Z68" s="189">
        <v>0.2686384957203895</v>
      </c>
      <c r="AA68" s="189">
        <v>0.2701782053559672</v>
      </c>
      <c r="AB68" s="189">
        <v>0.27171791499154491</v>
      </c>
      <c r="AC68" s="189">
        <v>0.27325762462712261</v>
      </c>
      <c r="AD68" s="189">
        <v>0.27479733426270031</v>
      </c>
      <c r="AE68" s="189">
        <v>0.27633704389827801</v>
      </c>
      <c r="AF68" s="189">
        <v>0.27787675353385571</v>
      </c>
      <c r="AG68" s="189">
        <v>0.27941646316943342</v>
      </c>
      <c r="AH68" s="189">
        <v>0.28095617280501112</v>
      </c>
      <c r="AI68" s="189">
        <v>0.28249588244058882</v>
      </c>
      <c r="AJ68" s="189">
        <v>0.28403559207616635</v>
      </c>
    </row>
    <row r="69" spans="1:36" x14ac:dyDescent="0.35">
      <c r="A69" t="s">
        <v>1438</v>
      </c>
      <c r="B69" s="188" t="s">
        <v>1342</v>
      </c>
      <c r="C69" t="s">
        <v>1343</v>
      </c>
      <c r="D69" s="188">
        <v>30</v>
      </c>
      <c r="E69" t="s">
        <v>1418</v>
      </c>
      <c r="F69" t="s">
        <v>1386</v>
      </c>
      <c r="G69" s="189" t="s">
        <v>1439</v>
      </c>
      <c r="H69" s="189">
        <v>0.25016796439579542</v>
      </c>
      <c r="I69" s="189">
        <v>0.2529549925300853</v>
      </c>
      <c r="J69" s="189">
        <v>0.25574202066437518</v>
      </c>
      <c r="K69" s="189">
        <v>0.25852904879866506</v>
      </c>
      <c r="L69" s="189">
        <v>0.26131607693295494</v>
      </c>
      <c r="M69" s="189">
        <v>0.26410310506724483</v>
      </c>
      <c r="N69" s="189">
        <v>0.26689013320153471</v>
      </c>
      <c r="O69" s="189">
        <v>0.26967716133582459</v>
      </c>
      <c r="P69" s="189">
        <v>0.27246418947011447</v>
      </c>
      <c r="Q69" s="189">
        <v>0.27525121760440435</v>
      </c>
      <c r="R69" s="189">
        <v>0.27803824573869423</v>
      </c>
      <c r="S69" s="189">
        <v>0.28082527387298412</v>
      </c>
      <c r="T69" s="189">
        <v>0.283612302007274</v>
      </c>
      <c r="U69" s="189">
        <v>0.28639933014156388</v>
      </c>
      <c r="V69" s="189">
        <v>0.28709651636638006</v>
      </c>
      <c r="W69" s="189">
        <v>0.28779370259119624</v>
      </c>
      <c r="X69" s="189">
        <v>0.28849088881601243</v>
      </c>
      <c r="Y69" s="189">
        <v>0.28918807504082861</v>
      </c>
      <c r="Z69" s="189">
        <v>0.28988526126564479</v>
      </c>
      <c r="AA69" s="189">
        <v>0.29058244749046097</v>
      </c>
      <c r="AB69" s="189">
        <v>0.29127963371527715</v>
      </c>
      <c r="AC69" s="189">
        <v>0.29197681994009334</v>
      </c>
      <c r="AD69" s="189">
        <v>0.29267400616490952</v>
      </c>
      <c r="AE69" s="189">
        <v>0.2933711923897257</v>
      </c>
      <c r="AF69" s="189">
        <v>0.29406837861454188</v>
      </c>
      <c r="AG69" s="189">
        <v>0.29476556483935806</v>
      </c>
      <c r="AH69" s="189">
        <v>0.29546275106417424</v>
      </c>
      <c r="AI69" s="189">
        <v>0.29615993728899043</v>
      </c>
      <c r="AJ69" s="189">
        <v>0.29685712351380666</v>
      </c>
    </row>
    <row r="70" spans="1:36" x14ac:dyDescent="0.35">
      <c r="A70" t="s">
        <v>1440</v>
      </c>
      <c r="B70" s="188" t="s">
        <v>1342</v>
      </c>
      <c r="C70" t="s">
        <v>1348</v>
      </c>
      <c r="D70" s="188">
        <v>30</v>
      </c>
      <c r="E70" t="s">
        <v>1418</v>
      </c>
      <c r="F70" t="s">
        <v>1386</v>
      </c>
      <c r="G70" s="189" t="s">
        <v>1439</v>
      </c>
      <c r="H70" s="189">
        <v>0.24898509531014731</v>
      </c>
      <c r="I70" s="189">
        <v>0.25058925435878909</v>
      </c>
      <c r="J70" s="189">
        <v>0.25219341340743084</v>
      </c>
      <c r="K70" s="189">
        <v>0.2537975724560726</v>
      </c>
      <c r="L70" s="189">
        <v>0.25540173150471435</v>
      </c>
      <c r="M70" s="189">
        <v>0.2570058905533561</v>
      </c>
      <c r="N70" s="189">
        <v>0.25861004960199785</v>
      </c>
      <c r="O70" s="189">
        <v>0.2602142086506396</v>
      </c>
      <c r="P70" s="189">
        <v>0.26181836769928135</v>
      </c>
      <c r="Q70" s="189">
        <v>0.2634225267479231</v>
      </c>
      <c r="R70" s="189">
        <v>0.26502668579656485</v>
      </c>
      <c r="S70" s="189">
        <v>0.2666308448452066</v>
      </c>
      <c r="T70" s="189">
        <v>0.26823500389384836</v>
      </c>
      <c r="U70" s="189">
        <v>0.26983916294249016</v>
      </c>
      <c r="V70" s="189">
        <v>0.27094317408909507</v>
      </c>
      <c r="W70" s="189">
        <v>0.27204718523569998</v>
      </c>
      <c r="X70" s="189">
        <v>0.27315119638230489</v>
      </c>
      <c r="Y70" s="189">
        <v>0.27425520752890981</v>
      </c>
      <c r="Z70" s="189">
        <v>0.27535921867551472</v>
      </c>
      <c r="AA70" s="189">
        <v>0.27646322982211963</v>
      </c>
      <c r="AB70" s="189">
        <v>0.27756724096872454</v>
      </c>
      <c r="AC70" s="189">
        <v>0.27867125211532945</v>
      </c>
      <c r="AD70" s="189">
        <v>0.27977526326193436</v>
      </c>
      <c r="AE70" s="189">
        <v>0.28087927440853927</v>
      </c>
      <c r="AF70" s="189">
        <v>0.28198328555514418</v>
      </c>
      <c r="AG70" s="189">
        <v>0.28308729670174909</v>
      </c>
      <c r="AH70" s="189">
        <v>0.284191307848354</v>
      </c>
      <c r="AI70" s="189">
        <v>0.28529531899495891</v>
      </c>
      <c r="AJ70" s="189">
        <v>0.28639933014156388</v>
      </c>
    </row>
    <row r="71" spans="1:36" x14ac:dyDescent="0.35">
      <c r="A71" t="s">
        <v>1441</v>
      </c>
      <c r="B71" s="188" t="s">
        <v>1342</v>
      </c>
      <c r="C71" t="s">
        <v>1350</v>
      </c>
      <c r="D71" s="188">
        <v>30</v>
      </c>
      <c r="E71" t="s">
        <v>1418</v>
      </c>
      <c r="F71" t="s">
        <v>1386</v>
      </c>
      <c r="G71" s="189" t="s">
        <v>1439</v>
      </c>
      <c r="H71" s="189">
        <v>0.24738093626150556</v>
      </c>
      <c r="I71" s="189">
        <v>0.24738093626150556</v>
      </c>
      <c r="J71" s="189">
        <v>0.24738093626150556</v>
      </c>
      <c r="K71" s="189">
        <v>0.24738093626150556</v>
      </c>
      <c r="L71" s="189">
        <v>0.24738093626150556</v>
      </c>
      <c r="M71" s="189">
        <v>0.24738093626150556</v>
      </c>
      <c r="N71" s="189">
        <v>0.24738093626150556</v>
      </c>
      <c r="O71" s="189">
        <v>0.24738093626150556</v>
      </c>
      <c r="P71" s="189">
        <v>0.24738093626150556</v>
      </c>
      <c r="Q71" s="189">
        <v>0.24738093626150556</v>
      </c>
      <c r="R71" s="189">
        <v>0.24738093626150556</v>
      </c>
      <c r="S71" s="189">
        <v>0.24738093626150556</v>
      </c>
      <c r="T71" s="189">
        <v>0.24738093626150556</v>
      </c>
      <c r="U71" s="189">
        <v>0.24738093626150556</v>
      </c>
      <c r="V71" s="189">
        <v>0.24887815137357119</v>
      </c>
      <c r="W71" s="189">
        <v>0.25037536648563685</v>
      </c>
      <c r="X71" s="189">
        <v>0.25187258159770248</v>
      </c>
      <c r="Y71" s="189">
        <v>0.25336979670976811</v>
      </c>
      <c r="Z71" s="189">
        <v>0.25486701182183374</v>
      </c>
      <c r="AA71" s="189">
        <v>0.25636422693389938</v>
      </c>
      <c r="AB71" s="189">
        <v>0.25786144204596501</v>
      </c>
      <c r="AC71" s="189">
        <v>0.25935865715803064</v>
      </c>
      <c r="AD71" s="189">
        <v>0.26085587227009627</v>
      </c>
      <c r="AE71" s="189">
        <v>0.2623530873821619</v>
      </c>
      <c r="AF71" s="189">
        <v>0.26385030249422753</v>
      </c>
      <c r="AG71" s="189">
        <v>0.26534751760629316</v>
      </c>
      <c r="AH71" s="189">
        <v>0.26684473271835879</v>
      </c>
      <c r="AI71" s="189">
        <v>0.26834194783042442</v>
      </c>
      <c r="AJ71" s="189">
        <v>0.26983916294249016</v>
      </c>
    </row>
    <row r="72" spans="1:36" x14ac:dyDescent="0.35">
      <c r="A72" t="s">
        <v>1442</v>
      </c>
      <c r="B72" s="188" t="s">
        <v>1342</v>
      </c>
      <c r="C72" t="s">
        <v>1343</v>
      </c>
      <c r="D72" s="188">
        <v>30</v>
      </c>
      <c r="E72" t="s">
        <v>1418</v>
      </c>
      <c r="F72" t="s">
        <v>1391</v>
      </c>
      <c r="G72" s="189" t="s">
        <v>1443</v>
      </c>
      <c r="H72" s="189">
        <v>0.23732722966705613</v>
      </c>
      <c r="I72" s="189">
        <v>0.24003207341619803</v>
      </c>
      <c r="J72" s="189">
        <v>0.24273691716533993</v>
      </c>
      <c r="K72" s="189">
        <v>0.24544176091448183</v>
      </c>
      <c r="L72" s="189">
        <v>0.24814660466362373</v>
      </c>
      <c r="M72" s="189">
        <v>0.25085144841276563</v>
      </c>
      <c r="N72" s="189">
        <v>0.2535562921619075</v>
      </c>
      <c r="O72" s="189">
        <v>0.25626113591104938</v>
      </c>
      <c r="P72" s="189">
        <v>0.25896597966019125</v>
      </c>
      <c r="Q72" s="189">
        <v>0.26167082340933312</v>
      </c>
      <c r="R72" s="189">
        <v>0.26437566715847499</v>
      </c>
      <c r="S72" s="189">
        <v>0.26708051090761686</v>
      </c>
      <c r="T72" s="189">
        <v>0.26978535465675874</v>
      </c>
      <c r="U72" s="189">
        <v>0.27249019840590066</v>
      </c>
      <c r="V72" s="189">
        <v>0.27309397605227376</v>
      </c>
      <c r="W72" s="189">
        <v>0.27369775369864685</v>
      </c>
      <c r="X72" s="189">
        <v>0.27430153134501994</v>
      </c>
      <c r="Y72" s="189">
        <v>0.27490530899139304</v>
      </c>
      <c r="Z72" s="189">
        <v>0.27550908663776613</v>
      </c>
      <c r="AA72" s="189">
        <v>0.27611286428413923</v>
      </c>
      <c r="AB72" s="189">
        <v>0.27671664193051232</v>
      </c>
      <c r="AC72" s="189">
        <v>0.27732041957688541</v>
      </c>
      <c r="AD72" s="189">
        <v>0.27792419722325851</v>
      </c>
      <c r="AE72" s="189">
        <v>0.2785279748696316</v>
      </c>
      <c r="AF72" s="189">
        <v>0.27913175251600469</v>
      </c>
      <c r="AG72" s="189">
        <v>0.27973553016237779</v>
      </c>
      <c r="AH72" s="189">
        <v>0.28033930780875088</v>
      </c>
      <c r="AI72" s="189">
        <v>0.28094308545512398</v>
      </c>
      <c r="AJ72" s="189">
        <v>0.28154686310149707</v>
      </c>
    </row>
    <row r="73" spans="1:36" x14ac:dyDescent="0.35">
      <c r="A73" t="s">
        <v>1444</v>
      </c>
      <c r="B73" s="188" t="s">
        <v>1342</v>
      </c>
      <c r="C73" t="s">
        <v>1348</v>
      </c>
      <c r="D73" s="188">
        <v>30</v>
      </c>
      <c r="E73" t="s">
        <v>1418</v>
      </c>
      <c r="F73" t="s">
        <v>1391</v>
      </c>
      <c r="G73" s="189" t="s">
        <v>1443</v>
      </c>
      <c r="H73" s="189">
        <v>0.23618665703515479</v>
      </c>
      <c r="I73" s="189">
        <v>0.23775092815239535</v>
      </c>
      <c r="J73" s="189">
        <v>0.2393151992696359</v>
      </c>
      <c r="K73" s="189">
        <v>0.24087947038687646</v>
      </c>
      <c r="L73" s="189">
        <v>0.24244374150411702</v>
      </c>
      <c r="M73" s="189">
        <v>0.24400801262135757</v>
      </c>
      <c r="N73" s="189">
        <v>0.24557228373859813</v>
      </c>
      <c r="O73" s="189">
        <v>0.24713655485583869</v>
      </c>
      <c r="P73" s="189">
        <v>0.24870082597307924</v>
      </c>
      <c r="Q73" s="189">
        <v>0.2502650970903198</v>
      </c>
      <c r="R73" s="189">
        <v>0.25182936820756036</v>
      </c>
      <c r="S73" s="189">
        <v>0.25339363932480091</v>
      </c>
      <c r="T73" s="189">
        <v>0.25495791044204147</v>
      </c>
      <c r="U73" s="189">
        <v>0.25652218155928197</v>
      </c>
      <c r="V73" s="189">
        <v>0.25758671601572319</v>
      </c>
      <c r="W73" s="189">
        <v>0.25865125047216442</v>
      </c>
      <c r="X73" s="189">
        <v>0.25971578492860564</v>
      </c>
      <c r="Y73" s="189">
        <v>0.26078031938504687</v>
      </c>
      <c r="Z73" s="189">
        <v>0.26184485384148809</v>
      </c>
      <c r="AA73" s="189">
        <v>0.26290938829792931</v>
      </c>
      <c r="AB73" s="189">
        <v>0.26397392275437054</v>
      </c>
      <c r="AC73" s="189">
        <v>0.26503845721081176</v>
      </c>
      <c r="AD73" s="189">
        <v>0.26610299166725299</v>
      </c>
      <c r="AE73" s="189">
        <v>0.26716752612369421</v>
      </c>
      <c r="AF73" s="189">
        <v>0.26823206058013543</v>
      </c>
      <c r="AG73" s="189">
        <v>0.26929659503657666</v>
      </c>
      <c r="AH73" s="189">
        <v>0.27036112949301788</v>
      </c>
      <c r="AI73" s="189">
        <v>0.27142566394945911</v>
      </c>
      <c r="AJ73" s="189">
        <v>0.27249019840590066</v>
      </c>
    </row>
    <row r="74" spans="1:36" x14ac:dyDescent="0.35">
      <c r="A74" t="s">
        <v>1445</v>
      </c>
      <c r="B74" s="188" t="s">
        <v>1342</v>
      </c>
      <c r="C74" t="s">
        <v>1350</v>
      </c>
      <c r="D74" s="188">
        <v>30</v>
      </c>
      <c r="E74" t="s">
        <v>1418</v>
      </c>
      <c r="F74" t="s">
        <v>1391</v>
      </c>
      <c r="G74" s="189" t="s">
        <v>1443</v>
      </c>
      <c r="H74" s="189">
        <v>0.23462238591791423</v>
      </c>
      <c r="I74" s="189">
        <v>0.23462238591791423</v>
      </c>
      <c r="J74" s="189">
        <v>0.23462238591791423</v>
      </c>
      <c r="K74" s="189">
        <v>0.23462238591791423</v>
      </c>
      <c r="L74" s="189">
        <v>0.23462238591791423</v>
      </c>
      <c r="M74" s="189">
        <v>0.23462238591791423</v>
      </c>
      <c r="N74" s="189">
        <v>0.23462238591791423</v>
      </c>
      <c r="O74" s="189">
        <v>0.23462238591791423</v>
      </c>
      <c r="P74" s="189">
        <v>0.23462238591791423</v>
      </c>
      <c r="Q74" s="189">
        <v>0.23462238591791423</v>
      </c>
      <c r="R74" s="189">
        <v>0.23462238591791423</v>
      </c>
      <c r="S74" s="189">
        <v>0.23462238591791423</v>
      </c>
      <c r="T74" s="189">
        <v>0.23462238591791423</v>
      </c>
      <c r="U74" s="189">
        <v>0.23462238591791423</v>
      </c>
      <c r="V74" s="189">
        <v>0.23608237229400542</v>
      </c>
      <c r="W74" s="189">
        <v>0.2375423586700966</v>
      </c>
      <c r="X74" s="189">
        <v>0.23900234504618778</v>
      </c>
      <c r="Y74" s="189">
        <v>0.24046233142227896</v>
      </c>
      <c r="Z74" s="189">
        <v>0.24192231779837015</v>
      </c>
      <c r="AA74" s="189">
        <v>0.24338230417446133</v>
      </c>
      <c r="AB74" s="189">
        <v>0.24484229055055251</v>
      </c>
      <c r="AC74" s="189">
        <v>0.24630227692664369</v>
      </c>
      <c r="AD74" s="189">
        <v>0.24776226330273488</v>
      </c>
      <c r="AE74" s="189">
        <v>0.24922224967882606</v>
      </c>
      <c r="AF74" s="189">
        <v>0.25068223605491724</v>
      </c>
      <c r="AG74" s="189">
        <v>0.25214222243100842</v>
      </c>
      <c r="AH74" s="189">
        <v>0.25360220880709961</v>
      </c>
      <c r="AI74" s="189">
        <v>0.25506219518319079</v>
      </c>
      <c r="AJ74" s="189">
        <v>0.25652218155928197</v>
      </c>
    </row>
    <row r="75" spans="1:36" x14ac:dyDescent="0.35">
      <c r="A75" t="s">
        <v>1446</v>
      </c>
      <c r="B75" s="188" t="s">
        <v>1342</v>
      </c>
      <c r="C75" t="s">
        <v>1343</v>
      </c>
      <c r="D75" s="188">
        <v>30</v>
      </c>
      <c r="E75" t="s">
        <v>1418</v>
      </c>
      <c r="F75" t="s">
        <v>1357</v>
      </c>
      <c r="G75" s="189" t="s">
        <v>1447</v>
      </c>
      <c r="H75" s="189">
        <v>0.22818215054957311</v>
      </c>
      <c r="I75" s="189">
        <v>0.23078390199455984</v>
      </c>
      <c r="J75" s="189">
        <v>0.23338565343954656</v>
      </c>
      <c r="K75" s="189">
        <v>0.23598740488453329</v>
      </c>
      <c r="L75" s="189">
        <v>0.23858915632952002</v>
      </c>
      <c r="M75" s="189">
        <v>0.24119090777450675</v>
      </c>
      <c r="N75" s="189">
        <v>0.24379265921949347</v>
      </c>
      <c r="O75" s="189">
        <v>0.2463944106644802</v>
      </c>
      <c r="P75" s="189">
        <v>0.24899616210946693</v>
      </c>
      <c r="Q75" s="189">
        <v>0.25159791355445366</v>
      </c>
      <c r="R75" s="189">
        <v>0.25419966499944041</v>
      </c>
      <c r="S75" s="189">
        <v>0.25680141644442717</v>
      </c>
      <c r="T75" s="189">
        <v>0.25940316788941392</v>
      </c>
      <c r="U75" s="189">
        <v>0.26200491933440062</v>
      </c>
      <c r="V75" s="189">
        <v>0.26258435664047414</v>
      </c>
      <c r="W75" s="189">
        <v>0.26316379394654765</v>
      </c>
      <c r="X75" s="189">
        <v>0.26374323125262117</v>
      </c>
      <c r="Y75" s="189">
        <v>0.26432266855869468</v>
      </c>
      <c r="Z75" s="189">
        <v>0.2649021058647682</v>
      </c>
      <c r="AA75" s="189">
        <v>0.26548154317084172</v>
      </c>
      <c r="AB75" s="189">
        <v>0.26606098047691523</v>
      </c>
      <c r="AC75" s="189">
        <v>0.26664041778298875</v>
      </c>
      <c r="AD75" s="189">
        <v>0.26721985508906226</v>
      </c>
      <c r="AE75" s="189">
        <v>0.26779929239513578</v>
      </c>
      <c r="AF75" s="189">
        <v>0.2683787297012093</v>
      </c>
      <c r="AG75" s="189">
        <v>0.26895816700728281</v>
      </c>
      <c r="AH75" s="189">
        <v>0.26953760431335633</v>
      </c>
      <c r="AI75" s="189">
        <v>0.27011704161942984</v>
      </c>
      <c r="AJ75" s="189">
        <v>0.27069647892550364</v>
      </c>
    </row>
    <row r="76" spans="1:36" x14ac:dyDescent="0.35">
      <c r="A76" t="s">
        <v>1448</v>
      </c>
      <c r="B76" s="188" t="s">
        <v>1342</v>
      </c>
      <c r="C76" t="s">
        <v>1348</v>
      </c>
      <c r="D76" s="188">
        <v>30</v>
      </c>
      <c r="E76" t="s">
        <v>1418</v>
      </c>
      <c r="F76" t="s">
        <v>1357</v>
      </c>
      <c r="G76" s="189" t="s">
        <v>1447</v>
      </c>
      <c r="H76" s="189">
        <v>0.22709348720429637</v>
      </c>
      <c r="I76" s="189">
        <v>0.22860657530400635</v>
      </c>
      <c r="J76" s="189">
        <v>0.23011966340371634</v>
      </c>
      <c r="K76" s="189">
        <v>0.23163275150342633</v>
      </c>
      <c r="L76" s="189">
        <v>0.23314583960313631</v>
      </c>
      <c r="M76" s="189">
        <v>0.2346589277028463</v>
      </c>
      <c r="N76" s="189">
        <v>0.23617201580255628</v>
      </c>
      <c r="O76" s="189">
        <v>0.23768510390226627</v>
      </c>
      <c r="P76" s="189">
        <v>0.23919819200197626</v>
      </c>
      <c r="Q76" s="189">
        <v>0.24071128010168624</v>
      </c>
      <c r="R76" s="189">
        <v>0.24222436820139623</v>
      </c>
      <c r="S76" s="189">
        <v>0.24373745630110621</v>
      </c>
      <c r="T76" s="189">
        <v>0.2452505444008162</v>
      </c>
      <c r="U76" s="189">
        <v>0.24676363250052624</v>
      </c>
      <c r="V76" s="189">
        <v>0.2477797182894512</v>
      </c>
      <c r="W76" s="189">
        <v>0.24879580407837615</v>
      </c>
      <c r="X76" s="189">
        <v>0.2498118898673011</v>
      </c>
      <c r="Y76" s="189">
        <v>0.25082797565622605</v>
      </c>
      <c r="Z76" s="189">
        <v>0.25184406144515104</v>
      </c>
      <c r="AA76" s="189">
        <v>0.25286014723407602</v>
      </c>
      <c r="AB76" s="189">
        <v>0.253876233023001</v>
      </c>
      <c r="AC76" s="189">
        <v>0.25489231881192598</v>
      </c>
      <c r="AD76" s="189">
        <v>0.25590840460085096</v>
      </c>
      <c r="AE76" s="189">
        <v>0.25692449038977594</v>
      </c>
      <c r="AF76" s="189">
        <v>0.25794057617870092</v>
      </c>
      <c r="AG76" s="189">
        <v>0.2589566619676259</v>
      </c>
      <c r="AH76" s="189">
        <v>0.25997274775655088</v>
      </c>
      <c r="AI76" s="189">
        <v>0.26098883354547586</v>
      </c>
      <c r="AJ76" s="189">
        <v>0.26200491933440062</v>
      </c>
    </row>
    <row r="77" spans="1:36" x14ac:dyDescent="0.35">
      <c r="A77" t="s">
        <v>1449</v>
      </c>
      <c r="B77" s="188" t="s">
        <v>1342</v>
      </c>
      <c r="C77" t="s">
        <v>1350</v>
      </c>
      <c r="D77" s="188">
        <v>30</v>
      </c>
      <c r="E77" t="s">
        <v>1418</v>
      </c>
      <c r="F77" t="s">
        <v>1357</v>
      </c>
      <c r="G77" s="189" t="s">
        <v>1447</v>
      </c>
      <c r="H77" s="189">
        <v>0.22558039910458638</v>
      </c>
      <c r="I77" s="189">
        <v>0.22558039910458638</v>
      </c>
      <c r="J77" s="189">
        <v>0.22558039910458638</v>
      </c>
      <c r="K77" s="189">
        <v>0.22558039910458638</v>
      </c>
      <c r="L77" s="189">
        <v>0.22558039910458638</v>
      </c>
      <c r="M77" s="189">
        <v>0.22558039910458638</v>
      </c>
      <c r="N77" s="189">
        <v>0.22558039910458638</v>
      </c>
      <c r="O77" s="189">
        <v>0.22558039910458638</v>
      </c>
      <c r="P77" s="189">
        <v>0.22558039910458638</v>
      </c>
      <c r="Q77" s="189">
        <v>0.22558039910458638</v>
      </c>
      <c r="R77" s="189">
        <v>0.22558039910458638</v>
      </c>
      <c r="S77" s="189">
        <v>0.22558039910458638</v>
      </c>
      <c r="T77" s="189">
        <v>0.22558039910458638</v>
      </c>
      <c r="U77" s="189">
        <v>0.22558039910458638</v>
      </c>
      <c r="V77" s="189">
        <v>0.2269926146643157</v>
      </c>
      <c r="W77" s="189">
        <v>0.22840483022404501</v>
      </c>
      <c r="X77" s="189">
        <v>0.22981704578377432</v>
      </c>
      <c r="Y77" s="189">
        <v>0.23122926134350363</v>
      </c>
      <c r="Z77" s="189">
        <v>0.23264147690323295</v>
      </c>
      <c r="AA77" s="189">
        <v>0.23405369246296226</v>
      </c>
      <c r="AB77" s="189">
        <v>0.23546590802269157</v>
      </c>
      <c r="AC77" s="189">
        <v>0.23687812358242089</v>
      </c>
      <c r="AD77" s="189">
        <v>0.2382903391421502</v>
      </c>
      <c r="AE77" s="189">
        <v>0.23970255470187951</v>
      </c>
      <c r="AF77" s="189">
        <v>0.24111477026160882</v>
      </c>
      <c r="AG77" s="189">
        <v>0.24252698582133814</v>
      </c>
      <c r="AH77" s="189">
        <v>0.24393920138106745</v>
      </c>
      <c r="AI77" s="189">
        <v>0.24535141694079676</v>
      </c>
      <c r="AJ77" s="189">
        <v>0.24676363250052624</v>
      </c>
    </row>
    <row r="78" spans="1:36" x14ac:dyDescent="0.35">
      <c r="A78" t="s">
        <v>1450</v>
      </c>
      <c r="B78" s="188" t="s">
        <v>1342</v>
      </c>
      <c r="C78" t="s">
        <v>1343</v>
      </c>
      <c r="D78" s="188">
        <v>30</v>
      </c>
      <c r="E78" t="s">
        <v>1418</v>
      </c>
      <c r="F78" t="s">
        <v>1400</v>
      </c>
      <c r="G78" s="189" t="s">
        <v>1451</v>
      </c>
      <c r="H78" s="189">
        <v>0.21713140838524053</v>
      </c>
      <c r="I78" s="189">
        <v>0.21963875915778158</v>
      </c>
      <c r="J78" s="189">
        <v>0.22214610993032263</v>
      </c>
      <c r="K78" s="189">
        <v>0.22465346070286368</v>
      </c>
      <c r="L78" s="189">
        <v>0.22716081147540473</v>
      </c>
      <c r="M78" s="189">
        <v>0.22966816224794578</v>
      </c>
      <c r="N78" s="189">
        <v>0.23217551302048683</v>
      </c>
      <c r="O78" s="189">
        <v>0.23468286379302788</v>
      </c>
      <c r="P78" s="189">
        <v>0.23719021456556894</v>
      </c>
      <c r="Q78" s="189">
        <v>0.23969756533810999</v>
      </c>
      <c r="R78" s="189">
        <v>0.24220491611065104</v>
      </c>
      <c r="S78" s="189">
        <v>0.24471226688319209</v>
      </c>
      <c r="T78" s="189">
        <v>0.24721961765573314</v>
      </c>
      <c r="U78" s="189">
        <v>0.24972696842827422</v>
      </c>
      <c r="V78" s="189">
        <v>0.25024842847540524</v>
      </c>
      <c r="W78" s="189">
        <v>0.25076988852253623</v>
      </c>
      <c r="X78" s="189">
        <v>0.25129134856966723</v>
      </c>
      <c r="Y78" s="189">
        <v>0.25181280861679822</v>
      </c>
      <c r="Z78" s="189">
        <v>0.25233426866392922</v>
      </c>
      <c r="AA78" s="189">
        <v>0.25285572871106021</v>
      </c>
      <c r="AB78" s="189">
        <v>0.25337718875819121</v>
      </c>
      <c r="AC78" s="189">
        <v>0.2538986488053222</v>
      </c>
      <c r="AD78" s="189">
        <v>0.2544201088524532</v>
      </c>
      <c r="AE78" s="189">
        <v>0.25494156889958419</v>
      </c>
      <c r="AF78" s="189">
        <v>0.25546302894671519</v>
      </c>
      <c r="AG78" s="189">
        <v>0.25598448899384618</v>
      </c>
      <c r="AH78" s="189">
        <v>0.25650594904097718</v>
      </c>
      <c r="AI78" s="189">
        <v>0.25702740908810817</v>
      </c>
      <c r="AJ78" s="189">
        <v>0.25754886913523939</v>
      </c>
    </row>
    <row r="79" spans="1:36" x14ac:dyDescent="0.35">
      <c r="A79" t="s">
        <v>1452</v>
      </c>
      <c r="B79" s="188" t="s">
        <v>1342</v>
      </c>
      <c r="C79" t="s">
        <v>1348</v>
      </c>
      <c r="D79" s="188">
        <v>30</v>
      </c>
      <c r="E79" t="s">
        <v>1418</v>
      </c>
      <c r="F79" t="s">
        <v>1400</v>
      </c>
      <c r="G79" s="189" t="s">
        <v>1451</v>
      </c>
      <c r="H79" s="189">
        <v>0.21608721792621363</v>
      </c>
      <c r="I79" s="189">
        <v>0.21755037823972778</v>
      </c>
      <c r="J79" s="189">
        <v>0.21901353855324193</v>
      </c>
      <c r="K79" s="189">
        <v>0.22047669886675608</v>
      </c>
      <c r="L79" s="189">
        <v>0.22193985918027023</v>
      </c>
      <c r="M79" s="189">
        <v>0.22340301949378438</v>
      </c>
      <c r="N79" s="189">
        <v>0.22486617980729853</v>
      </c>
      <c r="O79" s="189">
        <v>0.22632934012081268</v>
      </c>
      <c r="P79" s="189">
        <v>0.22779250043432683</v>
      </c>
      <c r="Q79" s="189">
        <v>0.22925566074784098</v>
      </c>
      <c r="R79" s="189">
        <v>0.23071882106135513</v>
      </c>
      <c r="S79" s="189">
        <v>0.23218198137486928</v>
      </c>
      <c r="T79" s="189">
        <v>0.23364514168838343</v>
      </c>
      <c r="U79" s="189">
        <v>0.23510830200189767</v>
      </c>
      <c r="V79" s="189">
        <v>0.23608287976365611</v>
      </c>
      <c r="W79" s="189">
        <v>0.23705745752541454</v>
      </c>
      <c r="X79" s="189">
        <v>0.23803203528717298</v>
      </c>
      <c r="Y79" s="189">
        <v>0.23900661304893142</v>
      </c>
      <c r="Z79" s="189">
        <v>0.23998119081068986</v>
      </c>
      <c r="AA79" s="189">
        <v>0.2409557685724483</v>
      </c>
      <c r="AB79" s="189">
        <v>0.24193034633420674</v>
      </c>
      <c r="AC79" s="189">
        <v>0.24290492409596517</v>
      </c>
      <c r="AD79" s="189">
        <v>0.24387950185772361</v>
      </c>
      <c r="AE79" s="189">
        <v>0.24485407961948205</v>
      </c>
      <c r="AF79" s="189">
        <v>0.24582865738124049</v>
      </c>
      <c r="AG79" s="189">
        <v>0.24680323514299893</v>
      </c>
      <c r="AH79" s="189">
        <v>0.24777781290475737</v>
      </c>
      <c r="AI79" s="189">
        <v>0.2487523906665158</v>
      </c>
      <c r="AJ79" s="189">
        <v>0.24972696842827422</v>
      </c>
    </row>
    <row r="80" spans="1:36" x14ac:dyDescent="0.35">
      <c r="A80" t="s">
        <v>1453</v>
      </c>
      <c r="B80" s="188" t="s">
        <v>1342</v>
      </c>
      <c r="C80" t="s">
        <v>1350</v>
      </c>
      <c r="D80" s="188">
        <v>30</v>
      </c>
      <c r="E80" t="s">
        <v>1418</v>
      </c>
      <c r="F80" t="s">
        <v>1400</v>
      </c>
      <c r="G80" s="189" t="s">
        <v>1451</v>
      </c>
      <c r="H80" s="189">
        <v>0.21462405761269948</v>
      </c>
      <c r="I80" s="189">
        <v>0.21462405761269948</v>
      </c>
      <c r="J80" s="189">
        <v>0.21462405761269948</v>
      </c>
      <c r="K80" s="189">
        <v>0.21462405761269948</v>
      </c>
      <c r="L80" s="189">
        <v>0.21462405761269948</v>
      </c>
      <c r="M80" s="189">
        <v>0.21462405761269948</v>
      </c>
      <c r="N80" s="189">
        <v>0.21462405761269948</v>
      </c>
      <c r="O80" s="189">
        <v>0.21462405761269948</v>
      </c>
      <c r="P80" s="189">
        <v>0.21462405761269948</v>
      </c>
      <c r="Q80" s="189">
        <v>0.21462405761269948</v>
      </c>
      <c r="R80" s="189">
        <v>0.21462405761269948</v>
      </c>
      <c r="S80" s="189">
        <v>0.21462405761269948</v>
      </c>
      <c r="T80" s="189">
        <v>0.21462405761269948</v>
      </c>
      <c r="U80" s="189">
        <v>0.21462405761269948</v>
      </c>
      <c r="V80" s="189">
        <v>0.21598967390531271</v>
      </c>
      <c r="W80" s="189">
        <v>0.21735529019792593</v>
      </c>
      <c r="X80" s="189">
        <v>0.21872090649053916</v>
      </c>
      <c r="Y80" s="189">
        <v>0.22008652278315238</v>
      </c>
      <c r="Z80" s="189">
        <v>0.22145213907576561</v>
      </c>
      <c r="AA80" s="189">
        <v>0.22281775536837883</v>
      </c>
      <c r="AB80" s="189">
        <v>0.22418337166099206</v>
      </c>
      <c r="AC80" s="189">
        <v>0.22554898795360528</v>
      </c>
      <c r="AD80" s="189">
        <v>0.22691460424621851</v>
      </c>
      <c r="AE80" s="189">
        <v>0.22828022053883174</v>
      </c>
      <c r="AF80" s="189">
        <v>0.22964583683144496</v>
      </c>
      <c r="AG80" s="189">
        <v>0.23101145312405819</v>
      </c>
      <c r="AH80" s="189">
        <v>0.23237706941667141</v>
      </c>
      <c r="AI80" s="189">
        <v>0.23374268570928464</v>
      </c>
      <c r="AJ80" s="189">
        <v>0.23510830200189767</v>
      </c>
    </row>
    <row r="81" spans="1:36" x14ac:dyDescent="0.35">
      <c r="A81" t="s">
        <v>1454</v>
      </c>
      <c r="B81" s="188" t="s">
        <v>1342</v>
      </c>
      <c r="C81" t="s">
        <v>1343</v>
      </c>
      <c r="D81" s="188">
        <v>30</v>
      </c>
      <c r="E81" t="s">
        <v>1418</v>
      </c>
      <c r="F81" t="s">
        <v>1405</v>
      </c>
      <c r="G81" s="189" t="s">
        <v>1455</v>
      </c>
      <c r="H81" s="189">
        <v>0.19923605357760349</v>
      </c>
      <c r="I81" s="189">
        <v>0.20159828588854806</v>
      </c>
      <c r="J81" s="189">
        <v>0.20396051819949262</v>
      </c>
      <c r="K81" s="189">
        <v>0.20632275051043719</v>
      </c>
      <c r="L81" s="189">
        <v>0.20868498282138176</v>
      </c>
      <c r="M81" s="189">
        <v>0.21104721513232633</v>
      </c>
      <c r="N81" s="189">
        <v>0.21340944744327089</v>
      </c>
      <c r="O81" s="189">
        <v>0.21577167975421546</v>
      </c>
      <c r="P81" s="189">
        <v>0.21813391206516003</v>
      </c>
      <c r="Q81" s="189">
        <v>0.2204961443761046</v>
      </c>
      <c r="R81" s="189">
        <v>0.22285837668704916</v>
      </c>
      <c r="S81" s="189">
        <v>0.22522060899799373</v>
      </c>
      <c r="T81" s="189">
        <v>0.2275828413089383</v>
      </c>
      <c r="U81" s="189">
        <v>0.22994507361988278</v>
      </c>
      <c r="V81" s="189">
        <v>0.23036530774655664</v>
      </c>
      <c r="W81" s="189">
        <v>0.2307855418732305</v>
      </c>
      <c r="X81" s="189">
        <v>0.23120577599990436</v>
      </c>
      <c r="Y81" s="189">
        <v>0.23162601012657821</v>
      </c>
      <c r="Z81" s="189">
        <v>0.23204624425325207</v>
      </c>
      <c r="AA81" s="189">
        <v>0.23246647837992593</v>
      </c>
      <c r="AB81" s="189">
        <v>0.23288671250659979</v>
      </c>
      <c r="AC81" s="189">
        <v>0.23330694663327364</v>
      </c>
      <c r="AD81" s="189">
        <v>0.2337271807599475</v>
      </c>
      <c r="AE81" s="189">
        <v>0.23414741488662136</v>
      </c>
      <c r="AF81" s="189">
        <v>0.23456764901329522</v>
      </c>
      <c r="AG81" s="189">
        <v>0.23498788313996907</v>
      </c>
      <c r="AH81" s="189">
        <v>0.23540811726664293</v>
      </c>
      <c r="AI81" s="189">
        <v>0.23582835139331679</v>
      </c>
      <c r="AJ81" s="189">
        <v>0.2362485855199907</v>
      </c>
    </row>
    <row r="82" spans="1:36" x14ac:dyDescent="0.35">
      <c r="A82" t="s">
        <v>1456</v>
      </c>
      <c r="B82" s="188" t="s">
        <v>1342</v>
      </c>
      <c r="C82" t="s">
        <v>1348</v>
      </c>
      <c r="D82" s="188">
        <v>30</v>
      </c>
      <c r="E82" t="s">
        <v>1418</v>
      </c>
      <c r="F82" t="s">
        <v>1405</v>
      </c>
      <c r="G82" s="189" t="s">
        <v>1455</v>
      </c>
      <c r="H82" s="189">
        <v>0.19825019798609134</v>
      </c>
      <c r="I82" s="189">
        <v>0.19962657470552375</v>
      </c>
      <c r="J82" s="189">
        <v>0.20100295142495617</v>
      </c>
      <c r="K82" s="189">
        <v>0.20237932814438858</v>
      </c>
      <c r="L82" s="189">
        <v>0.203755704863821</v>
      </c>
      <c r="M82" s="189">
        <v>0.20513208158325341</v>
      </c>
      <c r="N82" s="189">
        <v>0.20650845830268583</v>
      </c>
      <c r="O82" s="189">
        <v>0.20788483502211824</v>
      </c>
      <c r="P82" s="189">
        <v>0.20926121174155066</v>
      </c>
      <c r="Q82" s="189">
        <v>0.21063758846098307</v>
      </c>
      <c r="R82" s="189">
        <v>0.21201396518041549</v>
      </c>
      <c r="S82" s="189">
        <v>0.2133903418998479</v>
      </c>
      <c r="T82" s="189">
        <v>0.21476671861928032</v>
      </c>
      <c r="U82" s="189">
        <v>0.21614309533871287</v>
      </c>
      <c r="V82" s="189">
        <v>0.21706322722412419</v>
      </c>
      <c r="W82" s="189">
        <v>0.21798335910953551</v>
      </c>
      <c r="X82" s="189">
        <v>0.21890349099494683</v>
      </c>
      <c r="Y82" s="189">
        <v>0.21982362288035814</v>
      </c>
      <c r="Z82" s="189">
        <v>0.22074375476576946</v>
      </c>
      <c r="AA82" s="189">
        <v>0.22166388665118078</v>
      </c>
      <c r="AB82" s="189">
        <v>0.2225840185365921</v>
      </c>
      <c r="AC82" s="189">
        <v>0.22350415042200342</v>
      </c>
      <c r="AD82" s="189">
        <v>0.22442428230741474</v>
      </c>
      <c r="AE82" s="189">
        <v>0.22534441419282605</v>
      </c>
      <c r="AF82" s="189">
        <v>0.22626454607823737</v>
      </c>
      <c r="AG82" s="189">
        <v>0.22718467796364869</v>
      </c>
      <c r="AH82" s="189">
        <v>0.22810480984906001</v>
      </c>
      <c r="AI82" s="189">
        <v>0.22902494173447133</v>
      </c>
      <c r="AJ82" s="189">
        <v>0.22994507361988278</v>
      </c>
    </row>
    <row r="83" spans="1:36" x14ac:dyDescent="0.35">
      <c r="A83" t="s">
        <v>1457</v>
      </c>
      <c r="B83" s="188" t="s">
        <v>1342</v>
      </c>
      <c r="C83" t="s">
        <v>1350</v>
      </c>
      <c r="D83" s="188">
        <v>30</v>
      </c>
      <c r="E83" t="s">
        <v>1418</v>
      </c>
      <c r="F83" t="s">
        <v>1405</v>
      </c>
      <c r="G83" s="189" t="s">
        <v>1455</v>
      </c>
      <c r="H83" s="189">
        <v>0.19687382126665892</v>
      </c>
      <c r="I83" s="189">
        <v>0.19687382126665892</v>
      </c>
      <c r="J83" s="189">
        <v>0.19687382126665892</v>
      </c>
      <c r="K83" s="189">
        <v>0.19687382126665892</v>
      </c>
      <c r="L83" s="189">
        <v>0.19687382126665892</v>
      </c>
      <c r="M83" s="189">
        <v>0.19687382126665892</v>
      </c>
      <c r="N83" s="189">
        <v>0.19687382126665892</v>
      </c>
      <c r="O83" s="189">
        <v>0.19687382126665892</v>
      </c>
      <c r="P83" s="189">
        <v>0.19687382126665892</v>
      </c>
      <c r="Q83" s="189">
        <v>0.19687382126665892</v>
      </c>
      <c r="R83" s="189">
        <v>0.19687382126665892</v>
      </c>
      <c r="S83" s="189">
        <v>0.19687382126665892</v>
      </c>
      <c r="T83" s="189">
        <v>0.19687382126665892</v>
      </c>
      <c r="U83" s="189">
        <v>0.19687382126665892</v>
      </c>
      <c r="V83" s="189">
        <v>0.19815843953812917</v>
      </c>
      <c r="W83" s="189">
        <v>0.19944305780959942</v>
      </c>
      <c r="X83" s="189">
        <v>0.20072767608106967</v>
      </c>
      <c r="Y83" s="189">
        <v>0.20201229435253992</v>
      </c>
      <c r="Z83" s="189">
        <v>0.20329691262401017</v>
      </c>
      <c r="AA83" s="189">
        <v>0.20458153089548042</v>
      </c>
      <c r="AB83" s="189">
        <v>0.20586614916695067</v>
      </c>
      <c r="AC83" s="189">
        <v>0.20715076743842092</v>
      </c>
      <c r="AD83" s="189">
        <v>0.20843538570989117</v>
      </c>
      <c r="AE83" s="189">
        <v>0.20972000398136142</v>
      </c>
      <c r="AF83" s="189">
        <v>0.21100462225283168</v>
      </c>
      <c r="AG83" s="189">
        <v>0.21228924052430193</v>
      </c>
      <c r="AH83" s="189">
        <v>0.21357385879577218</v>
      </c>
      <c r="AI83" s="189">
        <v>0.21485847706724243</v>
      </c>
      <c r="AJ83" s="189">
        <v>0.21614309533871287</v>
      </c>
    </row>
    <row r="84" spans="1:36" x14ac:dyDescent="0.35">
      <c r="A84" t="s">
        <v>1458</v>
      </c>
      <c r="B84" s="188" t="s">
        <v>1342</v>
      </c>
      <c r="C84" t="s">
        <v>1343</v>
      </c>
      <c r="D84" s="188">
        <v>30</v>
      </c>
      <c r="E84" t="s">
        <v>1459</v>
      </c>
      <c r="F84" t="s">
        <v>1363</v>
      </c>
      <c r="G84" s="189" t="s">
        <v>1460</v>
      </c>
      <c r="H84" s="189">
        <v>0.50564216049382704</v>
      </c>
      <c r="I84" s="189">
        <v>0.51317530864197503</v>
      </c>
      <c r="J84" s="189">
        <v>0.52074944444444404</v>
      </c>
      <c r="K84" s="189">
        <v>0.52836456790123398</v>
      </c>
      <c r="L84" s="189">
        <v>0.53602067901234496</v>
      </c>
      <c r="M84" s="189">
        <v>0.54371777777777697</v>
      </c>
      <c r="N84" s="189">
        <v>0.55145586419753001</v>
      </c>
      <c r="O84" s="189">
        <v>0.55923493827160498</v>
      </c>
      <c r="P84" s="189">
        <v>0.56705499999999998</v>
      </c>
      <c r="Q84" s="189">
        <v>0.56754342732240404</v>
      </c>
      <c r="R84" s="189">
        <v>0.56803199890710299</v>
      </c>
      <c r="S84" s="189">
        <v>0.56852071475409804</v>
      </c>
      <c r="T84" s="189">
        <v>0.56900957486338799</v>
      </c>
      <c r="U84" s="189">
        <v>0.56949857923497205</v>
      </c>
      <c r="V84" s="189">
        <v>0.56998772786885199</v>
      </c>
      <c r="W84" s="189">
        <v>0.57047702076502704</v>
      </c>
      <c r="X84" s="189">
        <v>0.57096645792349698</v>
      </c>
      <c r="Y84" s="189">
        <v>0.57145603934426203</v>
      </c>
      <c r="Z84" s="189">
        <v>0.57194576502732197</v>
      </c>
      <c r="AA84" s="189">
        <v>0.57243563497267702</v>
      </c>
      <c r="AB84" s="189">
        <v>0.57292564918032696</v>
      </c>
      <c r="AC84" s="189">
        <v>0.573415807650273</v>
      </c>
      <c r="AD84" s="189">
        <v>0.57390611038251305</v>
      </c>
      <c r="AE84" s="189">
        <v>0.57439655737704898</v>
      </c>
      <c r="AF84" s="189">
        <v>0.57488714863387902</v>
      </c>
      <c r="AG84" s="189">
        <v>0.57537788415300495</v>
      </c>
      <c r="AH84" s="189">
        <v>0.57586876393442599</v>
      </c>
      <c r="AI84" s="189">
        <v>0.57635978797814202</v>
      </c>
      <c r="AJ84" s="189">
        <v>0.57685095628415295</v>
      </c>
    </row>
    <row r="85" spans="1:36" x14ac:dyDescent="0.35">
      <c r="A85" t="s">
        <v>1461</v>
      </c>
      <c r="B85" s="188" t="s">
        <v>1342</v>
      </c>
      <c r="C85" t="s">
        <v>1348</v>
      </c>
      <c r="D85" s="188">
        <v>30</v>
      </c>
      <c r="E85" t="s">
        <v>1459</v>
      </c>
      <c r="F85" t="s">
        <v>1363</v>
      </c>
      <c r="G85" s="189" t="s">
        <v>1460</v>
      </c>
      <c r="H85" s="189">
        <v>0.50197666666666596</v>
      </c>
      <c r="I85" s="189">
        <v>0.50580333333333305</v>
      </c>
      <c r="J85" s="189">
        <v>0.50963000000000003</v>
      </c>
      <c r="K85" s="189">
        <v>0.51345666666666601</v>
      </c>
      <c r="L85" s="189">
        <v>0.51728333333333298</v>
      </c>
      <c r="M85" s="189">
        <v>0.52110999999999996</v>
      </c>
      <c r="N85" s="189">
        <v>0.52493666666666605</v>
      </c>
      <c r="O85" s="189">
        <v>0.52876333333333303</v>
      </c>
      <c r="P85" s="189">
        <v>0.53259000000000001</v>
      </c>
      <c r="Q85" s="189">
        <v>0.53302050000000001</v>
      </c>
      <c r="R85" s="189">
        <v>0.53345100000000001</v>
      </c>
      <c r="S85" s="189">
        <v>0.53388150000000001</v>
      </c>
      <c r="T85" s="189">
        <v>0.53431200000000001</v>
      </c>
      <c r="U85" s="189">
        <v>0.53474250000000001</v>
      </c>
      <c r="V85" s="189">
        <v>0.53517300000000001</v>
      </c>
      <c r="W85" s="189">
        <v>0.53560350000000001</v>
      </c>
      <c r="X85" s="189">
        <v>0.53603399999999901</v>
      </c>
      <c r="Y85" s="189">
        <v>0.53646450000000001</v>
      </c>
      <c r="Z85" s="189">
        <v>0.53689500000000001</v>
      </c>
      <c r="AA85" s="189">
        <v>0.53732550000000001</v>
      </c>
      <c r="AB85" s="189">
        <v>0.53775600000000001</v>
      </c>
      <c r="AC85" s="189">
        <v>0.53818650000000001</v>
      </c>
      <c r="AD85" s="189">
        <v>0.53861700000000001</v>
      </c>
      <c r="AE85" s="189">
        <v>0.53904750000000001</v>
      </c>
      <c r="AF85" s="189">
        <v>0.53947800000000001</v>
      </c>
      <c r="AG85" s="189">
        <v>0.53990850000000001</v>
      </c>
      <c r="AH85" s="189">
        <v>0.54033900000000001</v>
      </c>
      <c r="AI85" s="189">
        <v>0.54076950000000001</v>
      </c>
      <c r="AJ85" s="189">
        <v>0.54120000000000001</v>
      </c>
    </row>
    <row r="86" spans="1:36" x14ac:dyDescent="0.35">
      <c r="A86" t="s">
        <v>1462</v>
      </c>
      <c r="B86" s="188" t="s">
        <v>1342</v>
      </c>
      <c r="C86" t="s">
        <v>1350</v>
      </c>
      <c r="D86" s="188">
        <v>30</v>
      </c>
      <c r="E86" t="s">
        <v>1459</v>
      </c>
      <c r="F86" t="s">
        <v>1363</v>
      </c>
      <c r="G86" s="189" t="s">
        <v>1460</v>
      </c>
      <c r="H86" s="189">
        <v>0.49883333333333302</v>
      </c>
      <c r="I86" s="189">
        <v>0.499516666666666</v>
      </c>
      <c r="J86" s="189">
        <v>0.50019999999999998</v>
      </c>
      <c r="K86" s="189">
        <v>0.50088333333333301</v>
      </c>
      <c r="L86" s="189">
        <v>0.50156666666666605</v>
      </c>
      <c r="M86" s="189">
        <v>0.50224999999999997</v>
      </c>
      <c r="N86" s="189">
        <v>0.50293333333333301</v>
      </c>
      <c r="O86" s="189">
        <v>0.50361666666666605</v>
      </c>
      <c r="P86" s="189">
        <v>0.50429999999999997</v>
      </c>
      <c r="Q86" s="189">
        <v>0.504915</v>
      </c>
      <c r="R86" s="189">
        <v>0.50553000000000003</v>
      </c>
      <c r="S86" s="189">
        <v>0.50614499999999996</v>
      </c>
      <c r="T86" s="189">
        <v>0.50675999999999999</v>
      </c>
      <c r="U86" s="189">
        <v>0.50737500000000002</v>
      </c>
      <c r="V86" s="189">
        <v>0.50799000000000005</v>
      </c>
      <c r="W86" s="189">
        <v>0.50860499999999997</v>
      </c>
      <c r="X86" s="189">
        <v>0.50922000000000001</v>
      </c>
      <c r="Y86" s="189">
        <v>0.50983499999999904</v>
      </c>
      <c r="Z86" s="189">
        <v>0.51044999999999996</v>
      </c>
      <c r="AA86" s="189">
        <v>0.51106499999999999</v>
      </c>
      <c r="AB86" s="189">
        <v>0.51168000000000002</v>
      </c>
      <c r="AC86" s="189">
        <v>0.51229499999999994</v>
      </c>
      <c r="AD86" s="189">
        <v>0.51290999999999998</v>
      </c>
      <c r="AE86" s="189">
        <v>0.51352500000000001</v>
      </c>
      <c r="AF86" s="189">
        <v>0.51414000000000004</v>
      </c>
      <c r="AG86" s="189">
        <v>0.51475499999999996</v>
      </c>
      <c r="AH86" s="189">
        <v>0.51536999999999999</v>
      </c>
      <c r="AI86" s="189">
        <v>0.51598500000000003</v>
      </c>
      <c r="AJ86" s="189">
        <v>0.51659999999999995</v>
      </c>
    </row>
    <row r="87" spans="1:36" x14ac:dyDescent="0.35">
      <c r="A87" t="s">
        <v>1463</v>
      </c>
      <c r="B87" s="188" t="s">
        <v>1342</v>
      </c>
      <c r="C87" t="s">
        <v>1343</v>
      </c>
      <c r="D87" s="188">
        <v>30</v>
      </c>
      <c r="E87" t="s">
        <v>1459</v>
      </c>
      <c r="F87" t="s">
        <v>1345</v>
      </c>
      <c r="G87" s="189" t="s">
        <v>1464</v>
      </c>
      <c r="H87" s="189">
        <v>0.47451171604938203</v>
      </c>
      <c r="I87" s="189">
        <v>0.48169441975308602</v>
      </c>
      <c r="J87" s="189">
        <v>0.488918111111111</v>
      </c>
      <c r="K87" s="189">
        <v>0.49618279012345601</v>
      </c>
      <c r="L87" s="189">
        <v>0.503488456790123</v>
      </c>
      <c r="M87" s="189">
        <v>0.51083511111111102</v>
      </c>
      <c r="N87" s="189">
        <v>0.51822275308641896</v>
      </c>
      <c r="O87" s="189">
        <v>0.52565138271604905</v>
      </c>
      <c r="P87" s="189">
        <v>0.53312099999999996</v>
      </c>
      <c r="Q87" s="189">
        <v>0.53352477522768604</v>
      </c>
      <c r="R87" s="189">
        <v>0.533928611657559</v>
      </c>
      <c r="S87" s="189">
        <v>0.53433250928961695</v>
      </c>
      <c r="T87" s="189">
        <v>0.534736468123861</v>
      </c>
      <c r="U87" s="189">
        <v>0.53514048816029103</v>
      </c>
      <c r="V87" s="189">
        <v>0.53554456939890704</v>
      </c>
      <c r="W87" s="189">
        <v>0.53594871183970805</v>
      </c>
      <c r="X87" s="189">
        <v>0.53635291548269504</v>
      </c>
      <c r="Y87" s="189">
        <v>0.53675718032786801</v>
      </c>
      <c r="Z87" s="189">
        <v>0.53716150637522697</v>
      </c>
      <c r="AA87" s="189">
        <v>0.53756589362477203</v>
      </c>
      <c r="AB87" s="189">
        <v>0.53797034207650196</v>
      </c>
      <c r="AC87" s="189">
        <v>0.53837485173041799</v>
      </c>
      <c r="AD87" s="189">
        <v>0.53877942258652001</v>
      </c>
      <c r="AE87" s="189">
        <v>0.53918405464480801</v>
      </c>
      <c r="AF87" s="189">
        <v>0.539588747905282</v>
      </c>
      <c r="AG87" s="189">
        <v>0.53999350236794097</v>
      </c>
      <c r="AH87" s="189">
        <v>0.54039831803278604</v>
      </c>
      <c r="AI87" s="189">
        <v>0.54080319489981699</v>
      </c>
      <c r="AJ87" s="189">
        <v>0.54120813296903403</v>
      </c>
    </row>
    <row r="88" spans="1:36" x14ac:dyDescent="0.35">
      <c r="A88" t="s">
        <v>1465</v>
      </c>
      <c r="B88" s="188" t="s">
        <v>1342</v>
      </c>
      <c r="C88" t="s">
        <v>1348</v>
      </c>
      <c r="D88" s="188">
        <v>30</v>
      </c>
      <c r="E88" t="s">
        <v>1459</v>
      </c>
      <c r="F88" t="s">
        <v>1345</v>
      </c>
      <c r="G88" s="189" t="s">
        <v>1464</v>
      </c>
      <c r="H88" s="189">
        <v>0.470960222222222</v>
      </c>
      <c r="I88" s="189">
        <v>0.474550444444444</v>
      </c>
      <c r="J88" s="189">
        <v>0.47814066666666599</v>
      </c>
      <c r="K88" s="189">
        <v>0.48173088888888799</v>
      </c>
      <c r="L88" s="189">
        <v>0.48532111111111098</v>
      </c>
      <c r="M88" s="189">
        <v>0.48891133333333298</v>
      </c>
      <c r="N88" s="189">
        <v>0.49250155555555503</v>
      </c>
      <c r="O88" s="189">
        <v>0.49609177777777702</v>
      </c>
      <c r="P88" s="189">
        <v>0.49968199999999902</v>
      </c>
      <c r="Q88" s="189">
        <v>0.50008589999999997</v>
      </c>
      <c r="R88" s="189">
        <v>0.50048979999999998</v>
      </c>
      <c r="S88" s="189">
        <v>0.5008937</v>
      </c>
      <c r="T88" s="189">
        <v>0.50129760000000001</v>
      </c>
      <c r="U88" s="189">
        <v>0.50170149999999902</v>
      </c>
      <c r="V88" s="189">
        <v>0.50210539999999904</v>
      </c>
      <c r="W88" s="189">
        <v>0.50250929999999905</v>
      </c>
      <c r="X88" s="189">
        <v>0.50291319999999995</v>
      </c>
      <c r="Y88" s="189">
        <v>0.50331709999999996</v>
      </c>
      <c r="Z88" s="189">
        <v>0.50372099999999997</v>
      </c>
      <c r="AA88" s="189">
        <v>0.50412489999999999</v>
      </c>
      <c r="AB88" s="189">
        <v>0.5045288</v>
      </c>
      <c r="AC88" s="189">
        <v>0.50493270000000001</v>
      </c>
      <c r="AD88" s="189">
        <v>0.50533660000000002</v>
      </c>
      <c r="AE88" s="189">
        <v>0.50574050000000004</v>
      </c>
      <c r="AF88" s="189">
        <v>0.50614440000000005</v>
      </c>
      <c r="AG88" s="189">
        <v>0.50654829999999995</v>
      </c>
      <c r="AH88" s="189">
        <v>0.50695219999999996</v>
      </c>
      <c r="AI88" s="189">
        <v>0.50735609999999998</v>
      </c>
      <c r="AJ88" s="189">
        <v>0.50775999999999999</v>
      </c>
    </row>
    <row r="89" spans="1:36" x14ac:dyDescent="0.35">
      <c r="A89" t="s">
        <v>1466</v>
      </c>
      <c r="B89" s="188" t="s">
        <v>1342</v>
      </c>
      <c r="C89" t="s">
        <v>1350</v>
      </c>
      <c r="D89" s="188">
        <v>30</v>
      </c>
      <c r="E89" t="s">
        <v>1459</v>
      </c>
      <c r="F89" t="s">
        <v>1345</v>
      </c>
      <c r="G89" s="189" t="s">
        <v>1464</v>
      </c>
      <c r="H89" s="189">
        <v>0.46801111111111099</v>
      </c>
      <c r="I89" s="189">
        <v>0.46865222222222203</v>
      </c>
      <c r="J89" s="189">
        <v>0.46929333333333301</v>
      </c>
      <c r="K89" s="189">
        <v>0.46993444444444399</v>
      </c>
      <c r="L89" s="189">
        <v>0.47057555555555503</v>
      </c>
      <c r="M89" s="189">
        <v>0.47121666666666601</v>
      </c>
      <c r="N89" s="189">
        <v>0.47185777777777699</v>
      </c>
      <c r="O89" s="189">
        <v>0.47249888888888802</v>
      </c>
      <c r="P89" s="189">
        <v>0.47314000000000001</v>
      </c>
      <c r="Q89" s="189">
        <v>0.473716999999999</v>
      </c>
      <c r="R89" s="189">
        <v>0.47429399999999999</v>
      </c>
      <c r="S89" s="189">
        <v>0.47487099999999899</v>
      </c>
      <c r="T89" s="189">
        <v>0.47544799999999998</v>
      </c>
      <c r="U89" s="189">
        <v>0.47602499999999898</v>
      </c>
      <c r="V89" s="189">
        <v>0.47660200000000003</v>
      </c>
      <c r="W89" s="189">
        <v>0.47717899999999902</v>
      </c>
      <c r="X89" s="189">
        <v>0.47775600000000001</v>
      </c>
      <c r="Y89" s="189">
        <v>0.47833299999999901</v>
      </c>
      <c r="Z89" s="189">
        <v>0.47891</v>
      </c>
      <c r="AA89" s="189">
        <v>0.479486999999999</v>
      </c>
      <c r="AB89" s="189">
        <v>0.48006399999999899</v>
      </c>
      <c r="AC89" s="189">
        <v>0.48064099999999899</v>
      </c>
      <c r="AD89" s="189">
        <v>0.48121799999999898</v>
      </c>
      <c r="AE89" s="189">
        <v>0.48179499999999897</v>
      </c>
      <c r="AF89" s="189">
        <v>0.48237199999999902</v>
      </c>
      <c r="AG89" s="189">
        <v>0.48294899999999902</v>
      </c>
      <c r="AH89" s="189">
        <v>0.48352599999999901</v>
      </c>
      <c r="AI89" s="189">
        <v>0.48410299999999901</v>
      </c>
      <c r="AJ89" s="189">
        <v>0.484679999999999</v>
      </c>
    </row>
    <row r="90" spans="1:36" x14ac:dyDescent="0.35">
      <c r="A90" t="s">
        <v>1467</v>
      </c>
      <c r="B90" s="188" t="s">
        <v>1342</v>
      </c>
      <c r="C90" t="s">
        <v>1343</v>
      </c>
      <c r="D90" s="188">
        <v>30</v>
      </c>
      <c r="E90" t="s">
        <v>1459</v>
      </c>
      <c r="F90" t="s">
        <v>1352</v>
      </c>
      <c r="G90" s="189" t="s">
        <v>1468</v>
      </c>
      <c r="H90" s="189">
        <v>0.46386182716049301</v>
      </c>
      <c r="I90" s="189">
        <v>0.47092464197530798</v>
      </c>
      <c r="J90" s="189">
        <v>0.47802844444444398</v>
      </c>
      <c r="K90" s="189">
        <v>0.48517323456790101</v>
      </c>
      <c r="L90" s="189">
        <v>0.49235901234567803</v>
      </c>
      <c r="M90" s="189">
        <v>0.49958577777777702</v>
      </c>
      <c r="N90" s="189">
        <v>0.50685353086419704</v>
      </c>
      <c r="O90" s="189">
        <v>0.51416227160493799</v>
      </c>
      <c r="P90" s="189">
        <v>0.52151199999999998</v>
      </c>
      <c r="Q90" s="189">
        <v>0.52188681530054604</v>
      </c>
      <c r="R90" s="189">
        <v>0.52226166338797797</v>
      </c>
      <c r="S90" s="189">
        <v>0.522636544262295</v>
      </c>
      <c r="T90" s="189">
        <v>0.52301145792349701</v>
      </c>
      <c r="U90" s="189">
        <v>0.52338640437158401</v>
      </c>
      <c r="V90" s="189">
        <v>0.523761383606557</v>
      </c>
      <c r="W90" s="189">
        <v>0.52413639562841496</v>
      </c>
      <c r="X90" s="189">
        <v>0.52451144043715803</v>
      </c>
      <c r="Y90" s="189">
        <v>0.52488651803278596</v>
      </c>
      <c r="Z90" s="189">
        <v>0.5252616284153</v>
      </c>
      <c r="AA90" s="189">
        <v>0.52563677158469901</v>
      </c>
      <c r="AB90" s="189">
        <v>0.52601194754098302</v>
      </c>
      <c r="AC90" s="189">
        <v>0.526387156284153</v>
      </c>
      <c r="AD90" s="189">
        <v>0.52676239781420697</v>
      </c>
      <c r="AE90" s="189">
        <v>0.52713767213114704</v>
      </c>
      <c r="AF90" s="189">
        <v>0.52751297923497198</v>
      </c>
      <c r="AG90" s="189">
        <v>0.52788831912568301</v>
      </c>
      <c r="AH90" s="189">
        <v>0.52826369180327803</v>
      </c>
      <c r="AI90" s="189">
        <v>0.52863909726775904</v>
      </c>
      <c r="AJ90" s="189">
        <v>0.52901453551912503</v>
      </c>
    </row>
    <row r="91" spans="1:36" x14ac:dyDescent="0.35">
      <c r="A91" t="s">
        <v>1469</v>
      </c>
      <c r="B91" s="188" t="s">
        <v>1342</v>
      </c>
      <c r="C91" t="s">
        <v>1348</v>
      </c>
      <c r="D91" s="188">
        <v>30</v>
      </c>
      <c r="E91" t="s">
        <v>1459</v>
      </c>
      <c r="F91" t="s">
        <v>1352</v>
      </c>
      <c r="G91" s="189" t="s">
        <v>1468</v>
      </c>
      <c r="H91" s="189">
        <v>0.460349333333333</v>
      </c>
      <c r="I91" s="189">
        <v>0.46385866666666598</v>
      </c>
      <c r="J91" s="189">
        <v>0.46736799999999901</v>
      </c>
      <c r="K91" s="189">
        <v>0.47087733333333298</v>
      </c>
      <c r="L91" s="189">
        <v>0.47438666666666601</v>
      </c>
      <c r="M91" s="189">
        <v>0.47789599999999899</v>
      </c>
      <c r="N91" s="189">
        <v>0.48140533333333302</v>
      </c>
      <c r="O91" s="189">
        <v>0.48491466666666599</v>
      </c>
      <c r="P91" s="189">
        <v>0.48842399999999903</v>
      </c>
      <c r="Q91" s="189">
        <v>0.488818799999999</v>
      </c>
      <c r="R91" s="189">
        <v>0.48921359999999903</v>
      </c>
      <c r="S91" s="189">
        <v>0.489608399999999</v>
      </c>
      <c r="T91" s="189">
        <v>0.49000319999999897</v>
      </c>
      <c r="U91" s="189">
        <v>0.490397999999999</v>
      </c>
      <c r="V91" s="189">
        <v>0.49079279999999897</v>
      </c>
      <c r="W91" s="189">
        <v>0.491187599999999</v>
      </c>
      <c r="X91" s="189">
        <v>0.49158239999999898</v>
      </c>
      <c r="Y91" s="189">
        <v>0.491977199999999</v>
      </c>
      <c r="Z91" s="189">
        <v>0.49237199999999998</v>
      </c>
      <c r="AA91" s="189">
        <v>0.49276679999999901</v>
      </c>
      <c r="AB91" s="189">
        <v>0.49316159999999998</v>
      </c>
      <c r="AC91" s="189">
        <v>0.49355639999999901</v>
      </c>
      <c r="AD91" s="189">
        <v>0.49395119999999998</v>
      </c>
      <c r="AE91" s="189">
        <v>0.49434600000000001</v>
      </c>
      <c r="AF91" s="189">
        <v>0.49474079999999898</v>
      </c>
      <c r="AG91" s="189">
        <v>0.49513559999999901</v>
      </c>
      <c r="AH91" s="189">
        <v>0.49553039999999998</v>
      </c>
      <c r="AI91" s="189">
        <v>0.49592519999999901</v>
      </c>
      <c r="AJ91" s="189">
        <v>0.49631999999999898</v>
      </c>
    </row>
    <row r="92" spans="1:36" x14ac:dyDescent="0.35">
      <c r="A92" t="s">
        <v>1470</v>
      </c>
      <c r="B92" s="188" t="s">
        <v>1342</v>
      </c>
      <c r="C92" t="s">
        <v>1350</v>
      </c>
      <c r="D92" s="188">
        <v>30</v>
      </c>
      <c r="E92" t="s">
        <v>1459</v>
      </c>
      <c r="F92" t="s">
        <v>1352</v>
      </c>
      <c r="G92" s="189" t="s">
        <v>1468</v>
      </c>
      <c r="H92" s="189">
        <v>0.45746666666666602</v>
      </c>
      <c r="I92" s="189">
        <v>0.45809333333333302</v>
      </c>
      <c r="J92" s="189">
        <v>0.45871999999999902</v>
      </c>
      <c r="K92" s="189">
        <v>0.45934666666666601</v>
      </c>
      <c r="L92" s="189">
        <v>0.45997333333333301</v>
      </c>
      <c r="M92" s="189">
        <v>0.46059999999999901</v>
      </c>
      <c r="N92" s="189">
        <v>0.46122666666666601</v>
      </c>
      <c r="O92" s="189">
        <v>0.461853333333333</v>
      </c>
      <c r="P92" s="189">
        <v>0.46248</v>
      </c>
      <c r="Q92" s="189">
        <v>0.46304399999999901</v>
      </c>
      <c r="R92" s="189">
        <v>0.46360799999999902</v>
      </c>
      <c r="S92" s="189">
        <v>0.46417199999999897</v>
      </c>
      <c r="T92" s="189">
        <v>0.46473599999999998</v>
      </c>
      <c r="U92" s="189">
        <v>0.46529999999999899</v>
      </c>
      <c r="V92" s="189">
        <v>0.465863999999999</v>
      </c>
      <c r="W92" s="189">
        <v>0.46642799999999901</v>
      </c>
      <c r="X92" s="189">
        <v>0.46699199999999902</v>
      </c>
      <c r="Y92" s="189">
        <v>0.46755599999999897</v>
      </c>
      <c r="Z92" s="189">
        <v>0.46811999999999898</v>
      </c>
      <c r="AA92" s="189">
        <v>0.46868399999999899</v>
      </c>
      <c r="AB92" s="189">
        <v>0.469247999999999</v>
      </c>
      <c r="AC92" s="189">
        <v>0.46981199999999901</v>
      </c>
      <c r="AD92" s="189">
        <v>0.47037599999999902</v>
      </c>
      <c r="AE92" s="189">
        <v>0.47093999999999903</v>
      </c>
      <c r="AF92" s="189">
        <v>0.47150399999999898</v>
      </c>
      <c r="AG92" s="189">
        <v>0.47206799999999899</v>
      </c>
      <c r="AH92" s="189">
        <v>0.472631999999999</v>
      </c>
      <c r="AI92" s="189">
        <v>0.47319599999999901</v>
      </c>
      <c r="AJ92" s="189">
        <v>0.47375999999999902</v>
      </c>
    </row>
    <row r="93" spans="1:36" x14ac:dyDescent="0.35">
      <c r="A93" t="s">
        <v>1471</v>
      </c>
      <c r="B93" s="188" t="s">
        <v>1342</v>
      </c>
      <c r="C93" t="s">
        <v>1343</v>
      </c>
      <c r="D93" s="188">
        <v>30</v>
      </c>
      <c r="E93" t="s">
        <v>1459</v>
      </c>
      <c r="F93" t="s">
        <v>1376</v>
      </c>
      <c r="G93" s="189" t="s">
        <v>1472</v>
      </c>
      <c r="H93" s="189">
        <v>0.45157349382716</v>
      </c>
      <c r="I93" s="189">
        <v>0.458497975308642</v>
      </c>
      <c r="J93" s="189">
        <v>0.46546344444444399</v>
      </c>
      <c r="K93" s="189">
        <v>0.472469901234567</v>
      </c>
      <c r="L93" s="189">
        <v>0.479517345679012</v>
      </c>
      <c r="M93" s="189">
        <v>0.48660577777777703</v>
      </c>
      <c r="N93" s="189">
        <v>0.49373519753086398</v>
      </c>
      <c r="O93" s="189">
        <v>0.50090560493827097</v>
      </c>
      <c r="P93" s="189">
        <v>0.50811699999999904</v>
      </c>
      <c r="Q93" s="189">
        <v>0.50845839999999998</v>
      </c>
      <c r="R93" s="189">
        <v>0.50879979999999903</v>
      </c>
      <c r="S93" s="189">
        <v>0.50914119999999996</v>
      </c>
      <c r="T93" s="189">
        <v>0.50948259999999901</v>
      </c>
      <c r="U93" s="189">
        <v>0.50982399999999894</v>
      </c>
      <c r="V93" s="189">
        <v>0.51016539999999999</v>
      </c>
      <c r="W93" s="189">
        <v>0.51050679999999904</v>
      </c>
      <c r="X93" s="189">
        <v>0.51084819999999997</v>
      </c>
      <c r="Y93" s="189">
        <v>0.51118959999999902</v>
      </c>
      <c r="Z93" s="189">
        <v>0.51153099999999996</v>
      </c>
      <c r="AA93" s="189">
        <v>0.51187239999999901</v>
      </c>
      <c r="AB93" s="189">
        <v>0.51221379999999905</v>
      </c>
      <c r="AC93" s="189">
        <v>0.51255519999999999</v>
      </c>
      <c r="AD93" s="189">
        <v>0.51289659999999904</v>
      </c>
      <c r="AE93" s="189">
        <v>0.51323799999999997</v>
      </c>
      <c r="AF93" s="189">
        <v>0.51357939999999902</v>
      </c>
      <c r="AG93" s="189">
        <v>0.51392079999999996</v>
      </c>
      <c r="AH93" s="189">
        <v>0.514262199999999</v>
      </c>
      <c r="AI93" s="189">
        <v>0.51460359999999905</v>
      </c>
      <c r="AJ93" s="189">
        <v>0.51494499999999999</v>
      </c>
    </row>
    <row r="94" spans="1:36" x14ac:dyDescent="0.35">
      <c r="A94" t="s">
        <v>1473</v>
      </c>
      <c r="B94" s="188" t="s">
        <v>1342</v>
      </c>
      <c r="C94" t="s">
        <v>1348</v>
      </c>
      <c r="D94" s="188">
        <v>30</v>
      </c>
      <c r="E94" t="s">
        <v>1459</v>
      </c>
      <c r="F94" t="s">
        <v>1376</v>
      </c>
      <c r="G94" s="189" t="s">
        <v>1472</v>
      </c>
      <c r="H94" s="189">
        <v>0.448106</v>
      </c>
      <c r="I94" s="189">
        <v>0.45152199999999998</v>
      </c>
      <c r="J94" s="189">
        <v>0.45493800000000001</v>
      </c>
      <c r="K94" s="189">
        <v>0.45835399999999998</v>
      </c>
      <c r="L94" s="189">
        <v>0.46177000000000001</v>
      </c>
      <c r="M94" s="189">
        <v>0.46518599999999999</v>
      </c>
      <c r="N94" s="189">
        <v>0.46860200000000002</v>
      </c>
      <c r="O94" s="189">
        <v>0.47201799999999999</v>
      </c>
      <c r="P94" s="189">
        <v>0.47543400000000002</v>
      </c>
      <c r="Q94" s="189">
        <v>0.47581830000000003</v>
      </c>
      <c r="R94" s="189">
        <v>0.47620259999999998</v>
      </c>
      <c r="S94" s="189">
        <v>0.47658689999999998</v>
      </c>
      <c r="T94" s="189">
        <v>0.47697119999999998</v>
      </c>
      <c r="U94" s="189">
        <v>0.47735549999999999</v>
      </c>
      <c r="V94" s="189">
        <v>0.47773979999999999</v>
      </c>
      <c r="W94" s="189">
        <v>0.4781241</v>
      </c>
      <c r="X94" s="189">
        <v>0.4785084</v>
      </c>
      <c r="Y94" s="189">
        <v>0.4788927</v>
      </c>
      <c r="Z94" s="189">
        <v>0.47927700000000001</v>
      </c>
      <c r="AA94" s="189">
        <v>0.47966130000000001</v>
      </c>
      <c r="AB94" s="189">
        <v>0.48004560000000002</v>
      </c>
      <c r="AC94" s="189">
        <v>0.48042990000000002</v>
      </c>
      <c r="AD94" s="189">
        <v>0.48081420000000002</v>
      </c>
      <c r="AE94" s="189">
        <v>0.48119849999999997</v>
      </c>
      <c r="AF94" s="189">
        <v>0.48158279999999998</v>
      </c>
      <c r="AG94" s="189">
        <v>0.48196709999999998</v>
      </c>
      <c r="AH94" s="189">
        <v>0.48235139999999999</v>
      </c>
      <c r="AI94" s="189">
        <v>0.48273569999999999</v>
      </c>
      <c r="AJ94" s="189">
        <v>0.48311999999999999</v>
      </c>
    </row>
    <row r="95" spans="1:36" x14ac:dyDescent="0.35">
      <c r="A95" t="s">
        <v>1474</v>
      </c>
      <c r="B95" s="188" t="s">
        <v>1342</v>
      </c>
      <c r="C95" t="s">
        <v>1350</v>
      </c>
      <c r="D95" s="188">
        <v>30</v>
      </c>
      <c r="E95" t="s">
        <v>1459</v>
      </c>
      <c r="F95" t="s">
        <v>1376</v>
      </c>
      <c r="G95" s="189" t="s">
        <v>1472</v>
      </c>
      <c r="H95" s="189">
        <v>0.44529999999999997</v>
      </c>
      <c r="I95" s="189">
        <v>0.44590999999999997</v>
      </c>
      <c r="J95" s="189">
        <v>0.44651999999999997</v>
      </c>
      <c r="K95" s="189">
        <v>0.44713000000000003</v>
      </c>
      <c r="L95" s="189">
        <v>0.44774000000000003</v>
      </c>
      <c r="M95" s="189">
        <v>0.44835000000000003</v>
      </c>
      <c r="N95" s="189">
        <v>0.44896000000000003</v>
      </c>
      <c r="O95" s="189">
        <v>0.44957000000000003</v>
      </c>
      <c r="P95" s="189">
        <v>0.45018000000000002</v>
      </c>
      <c r="Q95" s="189">
        <v>0.45072899999999999</v>
      </c>
      <c r="R95" s="189">
        <v>0.45127800000000001</v>
      </c>
      <c r="S95" s="189">
        <v>0.45182699999999998</v>
      </c>
      <c r="T95" s="189">
        <v>0.452376</v>
      </c>
      <c r="U95" s="189">
        <v>0.45292500000000002</v>
      </c>
      <c r="V95" s="189">
        <v>0.45347399999999999</v>
      </c>
      <c r="W95" s="189">
        <v>0.45402300000000001</v>
      </c>
      <c r="X95" s="189">
        <v>0.45457199999999998</v>
      </c>
      <c r="Y95" s="189">
        <v>0.455121</v>
      </c>
      <c r="Z95" s="189">
        <v>0.45567000000000002</v>
      </c>
      <c r="AA95" s="189">
        <v>0.45621899999999999</v>
      </c>
      <c r="AB95" s="189">
        <v>0.45676800000000001</v>
      </c>
      <c r="AC95" s="189">
        <v>0.45731699999999997</v>
      </c>
      <c r="AD95" s="189">
        <v>0.457866</v>
      </c>
      <c r="AE95" s="189">
        <v>0.45841500000000002</v>
      </c>
      <c r="AF95" s="189">
        <v>0.45896399999999998</v>
      </c>
      <c r="AG95" s="189">
        <v>0.459513</v>
      </c>
      <c r="AH95" s="189">
        <v>0.46006200000000003</v>
      </c>
      <c r="AI95" s="189">
        <v>0.46061099999999999</v>
      </c>
      <c r="AJ95" s="189">
        <v>0.46116000000000001</v>
      </c>
    </row>
    <row r="96" spans="1:36" x14ac:dyDescent="0.35">
      <c r="A96" t="s">
        <v>1475</v>
      </c>
      <c r="B96" s="188" t="s">
        <v>1342</v>
      </c>
      <c r="C96" t="s">
        <v>1343</v>
      </c>
      <c r="D96" s="188">
        <v>30</v>
      </c>
      <c r="E96" t="s">
        <v>1459</v>
      </c>
      <c r="F96" t="s">
        <v>1381</v>
      </c>
      <c r="G96" s="189" t="s">
        <v>1476</v>
      </c>
      <c r="H96" s="189">
        <v>0.43682749382716002</v>
      </c>
      <c r="I96" s="189">
        <v>0.44358597530864202</v>
      </c>
      <c r="J96" s="189">
        <v>0.45038544444444401</v>
      </c>
      <c r="K96" s="189">
        <v>0.45722590123456702</v>
      </c>
      <c r="L96" s="189">
        <v>0.46410734567901202</v>
      </c>
      <c r="M96" s="189">
        <v>0.47102977777777699</v>
      </c>
      <c r="N96" s="189">
        <v>0.477993197530864</v>
      </c>
      <c r="O96" s="189">
        <v>0.48499760493827099</v>
      </c>
      <c r="P96" s="189">
        <v>0.49204300000000001</v>
      </c>
      <c r="Q96" s="189">
        <v>0.49234430163934401</v>
      </c>
      <c r="R96" s="189">
        <v>0.49264556393442599</v>
      </c>
      <c r="S96" s="189">
        <v>0.49294678688524501</v>
      </c>
      <c r="T96" s="189">
        <v>0.49324797049180302</v>
      </c>
      <c r="U96" s="189">
        <v>0.49354911475409802</v>
      </c>
      <c r="V96" s="189">
        <v>0.493850219672131</v>
      </c>
      <c r="W96" s="189">
        <v>0.49415128524590102</v>
      </c>
      <c r="X96" s="189">
        <v>0.49445231147540902</v>
      </c>
      <c r="Y96" s="189">
        <v>0.49475329836065501</v>
      </c>
      <c r="Z96" s="189">
        <v>0.49505424590163899</v>
      </c>
      <c r="AA96" s="189">
        <v>0.49535515409836001</v>
      </c>
      <c r="AB96" s="189">
        <v>0.49565602295081901</v>
      </c>
      <c r="AC96" s="189">
        <v>0.495956852459016</v>
      </c>
      <c r="AD96" s="189">
        <v>0.49625764262295002</v>
      </c>
      <c r="AE96" s="189">
        <v>0.49655839344262198</v>
      </c>
      <c r="AF96" s="189">
        <v>0.49685910491803198</v>
      </c>
      <c r="AG96" s="189">
        <v>0.49715977704918002</v>
      </c>
      <c r="AH96" s="189">
        <v>0.49746040983606499</v>
      </c>
      <c r="AI96" s="189">
        <v>0.497761003278688</v>
      </c>
      <c r="AJ96" s="189">
        <v>0.49806155737704899</v>
      </c>
    </row>
    <row r="97" spans="1:36" x14ac:dyDescent="0.35">
      <c r="A97" t="s">
        <v>1477</v>
      </c>
      <c r="B97" s="188" t="s">
        <v>1342</v>
      </c>
      <c r="C97" t="s">
        <v>1348</v>
      </c>
      <c r="D97" s="188">
        <v>30</v>
      </c>
      <c r="E97" t="s">
        <v>1459</v>
      </c>
      <c r="F97" t="s">
        <v>1381</v>
      </c>
      <c r="G97" s="189" t="s">
        <v>1476</v>
      </c>
      <c r="H97" s="189">
        <v>0.43341400000000002</v>
      </c>
      <c r="I97" s="189">
        <v>0.436718</v>
      </c>
      <c r="J97" s="189">
        <v>0.44002200000000002</v>
      </c>
      <c r="K97" s="189">
        <v>0.443326</v>
      </c>
      <c r="L97" s="189">
        <v>0.44663000000000003</v>
      </c>
      <c r="M97" s="189">
        <v>0.449934</v>
      </c>
      <c r="N97" s="189">
        <v>0.45323799999999997</v>
      </c>
      <c r="O97" s="189">
        <v>0.456542</v>
      </c>
      <c r="P97" s="189">
        <v>0.45984599999999998</v>
      </c>
      <c r="Q97" s="189">
        <v>0.46021770000000001</v>
      </c>
      <c r="R97" s="189">
        <v>0.46058939999999998</v>
      </c>
      <c r="S97" s="189">
        <v>0.46096110000000001</v>
      </c>
      <c r="T97" s="189">
        <v>0.46133279999999999</v>
      </c>
      <c r="U97" s="189">
        <v>0.46170450000000002</v>
      </c>
      <c r="V97" s="189">
        <v>0.46207619999999999</v>
      </c>
      <c r="W97" s="189">
        <v>0.46244790000000002</v>
      </c>
      <c r="X97" s="189">
        <v>0.4628196</v>
      </c>
      <c r="Y97" s="189">
        <v>0.46319129999999997</v>
      </c>
      <c r="Z97" s="189">
        <v>0.463563</v>
      </c>
      <c r="AA97" s="189">
        <v>0.46393469999999998</v>
      </c>
      <c r="AB97" s="189">
        <v>0.46430640000000001</v>
      </c>
      <c r="AC97" s="189">
        <v>0.46467809999999998</v>
      </c>
      <c r="AD97" s="189">
        <v>0.46504980000000001</v>
      </c>
      <c r="AE97" s="189">
        <v>0.46542149999999999</v>
      </c>
      <c r="AF97" s="189">
        <v>0.46579320000000002</v>
      </c>
      <c r="AG97" s="189">
        <v>0.46616489999999999</v>
      </c>
      <c r="AH97" s="189">
        <v>0.46653660000000002</v>
      </c>
      <c r="AI97" s="189">
        <v>0.4669083</v>
      </c>
      <c r="AJ97" s="189">
        <v>0.46727999999999997</v>
      </c>
    </row>
    <row r="98" spans="1:36" x14ac:dyDescent="0.35">
      <c r="A98" t="s">
        <v>1478</v>
      </c>
      <c r="B98" s="188" t="s">
        <v>1342</v>
      </c>
      <c r="C98" t="s">
        <v>1350</v>
      </c>
      <c r="D98" s="188">
        <v>30</v>
      </c>
      <c r="E98" t="s">
        <v>1459</v>
      </c>
      <c r="F98" t="s">
        <v>1381</v>
      </c>
      <c r="G98" s="189" t="s">
        <v>1476</v>
      </c>
      <c r="H98" s="189">
        <v>0.43070000000000003</v>
      </c>
      <c r="I98" s="189">
        <v>0.43129000000000001</v>
      </c>
      <c r="J98" s="189">
        <v>0.43187999999999999</v>
      </c>
      <c r="K98" s="189">
        <v>0.43247000000000002</v>
      </c>
      <c r="L98" s="189">
        <v>0.43306</v>
      </c>
      <c r="M98" s="189">
        <v>0.43364999999999998</v>
      </c>
      <c r="N98" s="189">
        <v>0.43424000000000001</v>
      </c>
      <c r="O98" s="189">
        <v>0.43482999999999999</v>
      </c>
      <c r="P98" s="189">
        <v>0.43541999999999997</v>
      </c>
      <c r="Q98" s="189">
        <v>0.43595099999999998</v>
      </c>
      <c r="R98" s="189">
        <v>0.43648199999999998</v>
      </c>
      <c r="S98" s="189">
        <v>0.43701299999999998</v>
      </c>
      <c r="T98" s="189">
        <v>0.43754399999999999</v>
      </c>
      <c r="U98" s="189">
        <v>0.43807499999999899</v>
      </c>
      <c r="V98" s="189">
        <v>0.438605999999999</v>
      </c>
      <c r="W98" s="189">
        <v>0.439136999999999</v>
      </c>
      <c r="X98" s="189">
        <v>0.439667999999999</v>
      </c>
      <c r="Y98" s="189">
        <v>0.44019899999999901</v>
      </c>
      <c r="Z98" s="189">
        <v>0.44072999999999901</v>
      </c>
      <c r="AA98" s="189">
        <v>0.44126099999999902</v>
      </c>
      <c r="AB98" s="189">
        <v>0.44179199999999902</v>
      </c>
      <c r="AC98" s="189">
        <v>0.44232299999999902</v>
      </c>
      <c r="AD98" s="189">
        <v>0.44285399999999903</v>
      </c>
      <c r="AE98" s="189">
        <v>0.44338499999999897</v>
      </c>
      <c r="AF98" s="189">
        <v>0.44391599999999898</v>
      </c>
      <c r="AG98" s="189">
        <v>0.44444699999999898</v>
      </c>
      <c r="AH98" s="189">
        <v>0.44497799999999899</v>
      </c>
      <c r="AI98" s="189">
        <v>0.44550899999999899</v>
      </c>
      <c r="AJ98" s="189">
        <v>0.44603999999999899</v>
      </c>
    </row>
    <row r="99" spans="1:36" x14ac:dyDescent="0.35">
      <c r="A99" t="s">
        <v>1479</v>
      </c>
      <c r="B99" s="188" t="s">
        <v>1342</v>
      </c>
      <c r="C99" t="s">
        <v>1343</v>
      </c>
      <c r="D99" s="188">
        <v>30</v>
      </c>
      <c r="E99" t="s">
        <v>1459</v>
      </c>
      <c r="F99" t="s">
        <v>1386</v>
      </c>
      <c r="G99" s="189" t="s">
        <v>1480</v>
      </c>
      <c r="H99" s="189">
        <v>0.41388927160493799</v>
      </c>
      <c r="I99" s="189">
        <v>0.420389530864197</v>
      </c>
      <c r="J99" s="189">
        <v>0.42693077777777699</v>
      </c>
      <c r="K99" s="189">
        <v>0.43351301234567902</v>
      </c>
      <c r="L99" s="189">
        <v>0.44013623456790102</v>
      </c>
      <c r="M99" s="189">
        <v>0.446800444444444</v>
      </c>
      <c r="N99" s="189">
        <v>0.45350564197530802</v>
      </c>
      <c r="O99" s="189">
        <v>0.46025182716049301</v>
      </c>
      <c r="P99" s="189">
        <v>0.46703899999999998</v>
      </c>
      <c r="Q99" s="189">
        <v>0.467277926411657</v>
      </c>
      <c r="R99" s="189">
        <v>0.46751675227686701</v>
      </c>
      <c r="S99" s="189">
        <v>0.46775547759562802</v>
      </c>
      <c r="T99" s="189">
        <v>0.46799410236794098</v>
      </c>
      <c r="U99" s="189">
        <v>0.46823262659380599</v>
      </c>
      <c r="V99" s="189">
        <v>0.468471050273224</v>
      </c>
      <c r="W99" s="189">
        <v>0.46870937340619301</v>
      </c>
      <c r="X99" s="189">
        <v>0.46894759599271402</v>
      </c>
      <c r="Y99" s="189">
        <v>0.46918571803278603</v>
      </c>
      <c r="Z99" s="189">
        <v>0.46942373952641098</v>
      </c>
      <c r="AA99" s="189">
        <v>0.46966166047358798</v>
      </c>
      <c r="AB99" s="189">
        <v>0.46989948087431699</v>
      </c>
      <c r="AC99" s="189">
        <v>0.47013720072859699</v>
      </c>
      <c r="AD99" s="189">
        <v>0.470374820036429</v>
      </c>
      <c r="AE99" s="189">
        <v>0.470612338797814</v>
      </c>
      <c r="AF99" s="189">
        <v>0.47084975701275</v>
      </c>
      <c r="AG99" s="189">
        <v>0.471087074681238</v>
      </c>
      <c r="AH99" s="189">
        <v>0.47132429180327801</v>
      </c>
      <c r="AI99" s="189">
        <v>0.47156140837887001</v>
      </c>
      <c r="AJ99" s="189">
        <v>0.47179842440801401</v>
      </c>
    </row>
    <row r="100" spans="1:36" x14ac:dyDescent="0.35">
      <c r="A100" t="s">
        <v>1481</v>
      </c>
      <c r="B100" s="188" t="s">
        <v>1342</v>
      </c>
      <c r="C100" t="s">
        <v>1348</v>
      </c>
      <c r="D100" s="188">
        <v>30</v>
      </c>
      <c r="E100" t="s">
        <v>1459</v>
      </c>
      <c r="F100" t="s">
        <v>1386</v>
      </c>
      <c r="G100" s="189" t="s">
        <v>1480</v>
      </c>
      <c r="H100" s="189">
        <v>0.41055977777777702</v>
      </c>
      <c r="I100" s="189">
        <v>0.41368955555555498</v>
      </c>
      <c r="J100" s="189">
        <v>0.41681933333333299</v>
      </c>
      <c r="K100" s="189">
        <v>0.419949111111111</v>
      </c>
      <c r="L100" s="189">
        <v>0.42307888888888801</v>
      </c>
      <c r="M100" s="189">
        <v>0.42620866666666601</v>
      </c>
      <c r="N100" s="189">
        <v>0.42933844444444402</v>
      </c>
      <c r="O100" s="189">
        <v>0.43246822222222198</v>
      </c>
      <c r="P100" s="189">
        <v>0.43559799999999999</v>
      </c>
      <c r="Q100" s="189">
        <v>0.43595010000000001</v>
      </c>
      <c r="R100" s="189">
        <v>0.43630219999999997</v>
      </c>
      <c r="S100" s="189">
        <v>0.4366543</v>
      </c>
      <c r="T100" s="189">
        <v>0.43700640000000002</v>
      </c>
      <c r="U100" s="189">
        <v>0.43735849999999998</v>
      </c>
      <c r="V100" s="189">
        <v>0.43771060000000001</v>
      </c>
      <c r="W100" s="189">
        <v>0.43806270000000003</v>
      </c>
      <c r="X100" s="189">
        <v>0.43841479999999999</v>
      </c>
      <c r="Y100" s="189">
        <v>0.43876689999999902</v>
      </c>
      <c r="Z100" s="189">
        <v>0.43911899999999998</v>
      </c>
      <c r="AA100" s="189">
        <v>0.4394711</v>
      </c>
      <c r="AB100" s="189">
        <v>0.43982320000000003</v>
      </c>
      <c r="AC100" s="189">
        <v>0.44017529999999999</v>
      </c>
      <c r="AD100" s="189">
        <v>0.44052740000000001</v>
      </c>
      <c r="AE100" s="189">
        <v>0.44087949999999998</v>
      </c>
      <c r="AF100" s="189">
        <v>0.4412316</v>
      </c>
      <c r="AG100" s="189">
        <v>0.44158370000000002</v>
      </c>
      <c r="AH100" s="189">
        <v>0.44193579999999999</v>
      </c>
      <c r="AI100" s="189">
        <v>0.44228790000000001</v>
      </c>
      <c r="AJ100" s="189">
        <v>0.44263999999999998</v>
      </c>
    </row>
    <row r="101" spans="1:36" x14ac:dyDescent="0.35">
      <c r="A101" t="s">
        <v>1482</v>
      </c>
      <c r="B101" s="188" t="s">
        <v>1342</v>
      </c>
      <c r="C101" t="s">
        <v>1350</v>
      </c>
      <c r="D101" s="188">
        <v>30</v>
      </c>
      <c r="E101" t="s">
        <v>1459</v>
      </c>
      <c r="F101" t="s">
        <v>1386</v>
      </c>
      <c r="G101" s="189" t="s">
        <v>1480</v>
      </c>
      <c r="H101" s="189">
        <v>0.40798888888888801</v>
      </c>
      <c r="I101" s="189">
        <v>0.40854777777777701</v>
      </c>
      <c r="J101" s="189">
        <v>0.40910666666666601</v>
      </c>
      <c r="K101" s="189">
        <v>0.40966555555555501</v>
      </c>
      <c r="L101" s="189">
        <v>0.410224444444444</v>
      </c>
      <c r="M101" s="189">
        <v>0.410783333333333</v>
      </c>
      <c r="N101" s="189">
        <v>0.411342222222222</v>
      </c>
      <c r="O101" s="189">
        <v>0.411901111111111</v>
      </c>
      <c r="P101" s="189">
        <v>0.41245999999999999</v>
      </c>
      <c r="Q101" s="189">
        <v>0.41296299999999903</v>
      </c>
      <c r="R101" s="189">
        <v>0.413466</v>
      </c>
      <c r="S101" s="189">
        <v>0.41396899999999998</v>
      </c>
      <c r="T101" s="189">
        <v>0.41447200000000001</v>
      </c>
      <c r="U101" s="189">
        <v>0.41497499999999898</v>
      </c>
      <c r="V101" s="189">
        <v>0.41547799999999901</v>
      </c>
      <c r="W101" s="189">
        <v>0.41598099999999899</v>
      </c>
      <c r="X101" s="189">
        <v>0.41648399999999902</v>
      </c>
      <c r="Y101" s="189">
        <v>0.416986999999999</v>
      </c>
      <c r="Z101" s="189">
        <v>0.41748999999999897</v>
      </c>
      <c r="AA101" s="189">
        <v>0.417992999999999</v>
      </c>
      <c r="AB101" s="189">
        <v>0.41849599999999898</v>
      </c>
      <c r="AC101" s="189">
        <v>0.41899899999999901</v>
      </c>
      <c r="AD101" s="189">
        <v>0.41950199999999899</v>
      </c>
      <c r="AE101" s="189">
        <v>0.42000499999999902</v>
      </c>
      <c r="AF101" s="189">
        <v>0.42050799999999899</v>
      </c>
      <c r="AG101" s="189">
        <v>0.42101099999999902</v>
      </c>
      <c r="AH101" s="189">
        <v>0.421513999999999</v>
      </c>
      <c r="AI101" s="189">
        <v>0.42201699999999898</v>
      </c>
      <c r="AJ101" s="189">
        <v>0.42251999999999901</v>
      </c>
    </row>
    <row r="102" spans="1:36" x14ac:dyDescent="0.35">
      <c r="A102" t="s">
        <v>1483</v>
      </c>
      <c r="B102" s="188" t="s">
        <v>1342</v>
      </c>
      <c r="C102" t="s">
        <v>1343</v>
      </c>
      <c r="D102" s="188">
        <v>30</v>
      </c>
      <c r="E102" t="s">
        <v>1459</v>
      </c>
      <c r="F102" t="s">
        <v>1391</v>
      </c>
      <c r="G102" s="189" t="s">
        <v>1484</v>
      </c>
      <c r="H102" s="189">
        <v>0.381939604938271</v>
      </c>
      <c r="I102" s="189">
        <v>0.38808019753086398</v>
      </c>
      <c r="J102" s="189">
        <v>0.39426177777777699</v>
      </c>
      <c r="K102" s="189">
        <v>0.40048434567901198</v>
      </c>
      <c r="L102" s="189">
        <v>0.406747901234567</v>
      </c>
      <c r="M102" s="189">
        <v>0.413052444444444</v>
      </c>
      <c r="N102" s="189">
        <v>0.41939797530864198</v>
      </c>
      <c r="O102" s="189">
        <v>0.42578449382715999</v>
      </c>
      <c r="P102" s="189">
        <v>0.43221199999999999</v>
      </c>
      <c r="Q102" s="189">
        <v>0.43236404663023598</v>
      </c>
      <c r="R102" s="189">
        <v>0.43251590746812302</v>
      </c>
      <c r="S102" s="189">
        <v>0.432667582513661</v>
      </c>
      <c r="T102" s="189">
        <v>0.43281907176684797</v>
      </c>
      <c r="U102" s="189">
        <v>0.432970375227686</v>
      </c>
      <c r="V102" s="189">
        <v>0.43312149289617402</v>
      </c>
      <c r="W102" s="189">
        <v>0.43327242477231298</v>
      </c>
      <c r="X102" s="189">
        <v>0.43342317085610199</v>
      </c>
      <c r="Y102" s="189">
        <v>0.43357373114754</v>
      </c>
      <c r="Z102" s="189">
        <v>0.43372410564663</v>
      </c>
      <c r="AA102" s="189">
        <v>0.43387429435336899</v>
      </c>
      <c r="AB102" s="189">
        <v>0.43402429726775898</v>
      </c>
      <c r="AC102" s="189">
        <v>0.43417411438979903</v>
      </c>
      <c r="AD102" s="189">
        <v>0.43432374571948901</v>
      </c>
      <c r="AE102" s="189">
        <v>0.43447319125682998</v>
      </c>
      <c r="AF102" s="189">
        <v>0.43462245100182101</v>
      </c>
      <c r="AG102" s="189">
        <v>0.43477152495446197</v>
      </c>
      <c r="AH102" s="189">
        <v>0.43492041311475399</v>
      </c>
      <c r="AI102" s="189">
        <v>0.435069115482695</v>
      </c>
      <c r="AJ102" s="189">
        <v>0.43521763205828701</v>
      </c>
    </row>
    <row r="103" spans="1:36" x14ac:dyDescent="0.35">
      <c r="A103" t="s">
        <v>1485</v>
      </c>
      <c r="B103" s="188" t="s">
        <v>1342</v>
      </c>
      <c r="C103" t="s">
        <v>1348</v>
      </c>
      <c r="D103" s="188">
        <v>30</v>
      </c>
      <c r="E103" t="s">
        <v>1459</v>
      </c>
      <c r="F103" t="s">
        <v>1391</v>
      </c>
      <c r="G103" s="189" t="s">
        <v>1484</v>
      </c>
      <c r="H103" s="189">
        <v>0.37872711111111101</v>
      </c>
      <c r="I103" s="189">
        <v>0.38161422222222202</v>
      </c>
      <c r="J103" s="189">
        <v>0.38450133333333297</v>
      </c>
      <c r="K103" s="189">
        <v>0.38738844444444398</v>
      </c>
      <c r="L103" s="189">
        <v>0.39027555555555499</v>
      </c>
      <c r="M103" s="189">
        <v>0.39316266666666599</v>
      </c>
      <c r="N103" s="189">
        <v>0.396049777777777</v>
      </c>
      <c r="O103" s="189">
        <v>0.39893688888888801</v>
      </c>
      <c r="P103" s="189">
        <v>0.40182400000000001</v>
      </c>
      <c r="Q103" s="189">
        <v>0.40214879999999997</v>
      </c>
      <c r="R103" s="189">
        <v>0.40247359999999999</v>
      </c>
      <c r="S103" s="189">
        <v>0.4027984</v>
      </c>
      <c r="T103" s="189">
        <v>0.40312320000000001</v>
      </c>
      <c r="U103" s="189">
        <v>0.40344799999999997</v>
      </c>
      <c r="V103" s="189">
        <v>0.40377279999999999</v>
      </c>
      <c r="W103" s="189">
        <v>0.4040976</v>
      </c>
      <c r="X103" s="189">
        <v>0.40442240000000002</v>
      </c>
      <c r="Y103" s="189">
        <v>0.40474719999999997</v>
      </c>
      <c r="Z103" s="189">
        <v>0.40507199999999999</v>
      </c>
      <c r="AA103" s="189">
        <v>0.4053968</v>
      </c>
      <c r="AB103" s="189">
        <v>0.40572160000000002</v>
      </c>
      <c r="AC103" s="189">
        <v>0.40604639999999997</v>
      </c>
      <c r="AD103" s="189">
        <v>0.40637119999999999</v>
      </c>
      <c r="AE103" s="189">
        <v>0.406696</v>
      </c>
      <c r="AF103" s="189">
        <v>0.40702080000000002</v>
      </c>
      <c r="AG103" s="189">
        <v>0.40734559999999997</v>
      </c>
      <c r="AH103" s="189">
        <v>0.40767039999999999</v>
      </c>
      <c r="AI103" s="189">
        <v>0.4079952</v>
      </c>
      <c r="AJ103" s="189">
        <v>0.40832000000000002</v>
      </c>
    </row>
    <row r="104" spans="1:36" x14ac:dyDescent="0.35">
      <c r="A104" t="s">
        <v>1486</v>
      </c>
      <c r="B104" s="188" t="s">
        <v>1342</v>
      </c>
      <c r="C104" t="s">
        <v>1350</v>
      </c>
      <c r="D104" s="188">
        <v>30</v>
      </c>
      <c r="E104" t="s">
        <v>1459</v>
      </c>
      <c r="F104" t="s">
        <v>1391</v>
      </c>
      <c r="G104" s="189" t="s">
        <v>1484</v>
      </c>
      <c r="H104" s="189">
        <v>0.376355555555555</v>
      </c>
      <c r="I104" s="189">
        <v>0.37687111111111099</v>
      </c>
      <c r="J104" s="189">
        <v>0.37738666666666598</v>
      </c>
      <c r="K104" s="189">
        <v>0.37790222222222197</v>
      </c>
      <c r="L104" s="189">
        <v>0.37841777777777702</v>
      </c>
      <c r="M104" s="189">
        <v>0.37893333333333301</v>
      </c>
      <c r="N104" s="189">
        <v>0.379448888888888</v>
      </c>
      <c r="O104" s="189">
        <v>0.37996444444444399</v>
      </c>
      <c r="P104" s="189">
        <v>0.38047999999999998</v>
      </c>
      <c r="Q104" s="189">
        <v>0.380944</v>
      </c>
      <c r="R104" s="189">
        <v>0.38140800000000002</v>
      </c>
      <c r="S104" s="189">
        <v>0.38187199999999999</v>
      </c>
      <c r="T104" s="189">
        <v>0.38233600000000001</v>
      </c>
      <c r="U104" s="189">
        <v>0.38279999999999997</v>
      </c>
      <c r="V104" s="189">
        <v>0.38326399999999999</v>
      </c>
      <c r="W104" s="189">
        <v>0.38372800000000001</v>
      </c>
      <c r="X104" s="189">
        <v>0.38419199999999998</v>
      </c>
      <c r="Y104" s="189">
        <v>0.384656</v>
      </c>
      <c r="Z104" s="189">
        <v>0.38512000000000002</v>
      </c>
      <c r="AA104" s="189">
        <v>0.38558399999999998</v>
      </c>
      <c r="AB104" s="189">
        <v>0.386047999999999</v>
      </c>
      <c r="AC104" s="189">
        <v>0.38651199999999902</v>
      </c>
      <c r="AD104" s="189">
        <v>0.38697599999999899</v>
      </c>
      <c r="AE104" s="189">
        <v>0.38743999999999901</v>
      </c>
      <c r="AF104" s="189">
        <v>0.38790399999999903</v>
      </c>
      <c r="AG104" s="189">
        <v>0.38836799999999899</v>
      </c>
      <c r="AH104" s="189">
        <v>0.38883199999999901</v>
      </c>
      <c r="AI104" s="189">
        <v>0.38929599999999998</v>
      </c>
      <c r="AJ104" s="189">
        <v>0.389759999999999</v>
      </c>
    </row>
    <row r="105" spans="1:36" x14ac:dyDescent="0.35">
      <c r="A105" t="s">
        <v>1487</v>
      </c>
      <c r="B105" s="188" t="s">
        <v>1342</v>
      </c>
      <c r="C105" t="s">
        <v>1343</v>
      </c>
      <c r="D105" s="188">
        <v>30</v>
      </c>
      <c r="E105" t="s">
        <v>1459</v>
      </c>
      <c r="F105" t="s">
        <v>1357</v>
      </c>
      <c r="G105" s="189" t="s">
        <v>1488</v>
      </c>
      <c r="H105" s="189">
        <v>0.34507460493827102</v>
      </c>
      <c r="I105" s="189">
        <v>0.350800197530864</v>
      </c>
      <c r="J105" s="189">
        <v>0.35656677777777701</v>
      </c>
      <c r="K105" s="189">
        <v>0.362374345679012</v>
      </c>
      <c r="L105" s="189">
        <v>0.36822290123456702</v>
      </c>
      <c r="M105" s="189">
        <v>0.37411244444444403</v>
      </c>
      <c r="N105" s="189">
        <v>0.38004297530864101</v>
      </c>
      <c r="O105" s="189">
        <v>0.38601449382716002</v>
      </c>
      <c r="P105" s="189">
        <v>0.39202700000000001</v>
      </c>
      <c r="Q105" s="189">
        <v>0.39229039999999998</v>
      </c>
      <c r="R105" s="189">
        <v>0.39255380000000001</v>
      </c>
      <c r="S105" s="189">
        <v>0.39281719999999998</v>
      </c>
      <c r="T105" s="189">
        <v>0.3930806</v>
      </c>
      <c r="U105" s="189">
        <v>0.39334400000000003</v>
      </c>
      <c r="V105" s="189">
        <v>0.3936074</v>
      </c>
      <c r="W105" s="189">
        <v>0.39387080000000002</v>
      </c>
      <c r="X105" s="189">
        <v>0.39413419999999999</v>
      </c>
      <c r="Y105" s="189">
        <v>0.39439760000000001</v>
      </c>
      <c r="Z105" s="189">
        <v>0.39466099999999998</v>
      </c>
      <c r="AA105" s="189">
        <v>0.39492440000000001</v>
      </c>
      <c r="AB105" s="189">
        <v>0.39518779999999998</v>
      </c>
      <c r="AC105" s="189">
        <v>0.3954512</v>
      </c>
      <c r="AD105" s="189">
        <v>0.39571460000000003</v>
      </c>
      <c r="AE105" s="189">
        <v>0.395978</v>
      </c>
      <c r="AF105" s="189">
        <v>0.39624140000000002</v>
      </c>
      <c r="AG105" s="189">
        <v>0.39650479999999999</v>
      </c>
      <c r="AH105" s="189">
        <v>0.39676820000000002</v>
      </c>
      <c r="AI105" s="189">
        <v>0.39703159999999998</v>
      </c>
      <c r="AJ105" s="189">
        <v>0.39729500000000001</v>
      </c>
    </row>
    <row r="106" spans="1:36" x14ac:dyDescent="0.35">
      <c r="A106" t="s">
        <v>1489</v>
      </c>
      <c r="B106" s="188" t="s">
        <v>1342</v>
      </c>
      <c r="C106" t="s">
        <v>1348</v>
      </c>
      <c r="D106" s="188">
        <v>30</v>
      </c>
      <c r="E106" t="s">
        <v>1459</v>
      </c>
      <c r="F106" t="s">
        <v>1357</v>
      </c>
      <c r="G106" s="189" t="s">
        <v>1488</v>
      </c>
      <c r="H106" s="189">
        <v>0.34199711111111097</v>
      </c>
      <c r="I106" s="189">
        <v>0.34460422222222198</v>
      </c>
      <c r="J106" s="189">
        <v>0.34721133333333298</v>
      </c>
      <c r="K106" s="189">
        <v>0.34981844444444399</v>
      </c>
      <c r="L106" s="189">
        <v>0.35242555555555499</v>
      </c>
      <c r="M106" s="189">
        <v>0.355032666666666</v>
      </c>
      <c r="N106" s="189">
        <v>0.357639777777777</v>
      </c>
      <c r="O106" s="189">
        <v>0.36024688888888801</v>
      </c>
      <c r="P106" s="189">
        <v>0.36285400000000001</v>
      </c>
      <c r="Q106" s="189">
        <v>0.36314730000000001</v>
      </c>
      <c r="R106" s="189">
        <v>0.363440599999999</v>
      </c>
      <c r="S106" s="189">
        <v>0.3637339</v>
      </c>
      <c r="T106" s="189">
        <v>0.3640272</v>
      </c>
      <c r="U106" s="189">
        <v>0.36432049999999899</v>
      </c>
      <c r="V106" s="189">
        <v>0.36461379999999999</v>
      </c>
      <c r="W106" s="189">
        <v>0.36490709999999998</v>
      </c>
      <c r="X106" s="189">
        <v>0.36520039999999998</v>
      </c>
      <c r="Y106" s="189">
        <v>0.36549369999999998</v>
      </c>
      <c r="Z106" s="189">
        <v>0.36578699999999997</v>
      </c>
      <c r="AA106" s="189">
        <v>0.36608030000000003</v>
      </c>
      <c r="AB106" s="189">
        <v>0.36637360000000002</v>
      </c>
      <c r="AC106" s="189">
        <v>0.36666689999999902</v>
      </c>
      <c r="AD106" s="189">
        <v>0.36696020000000001</v>
      </c>
      <c r="AE106" s="189">
        <v>0.36725350000000001</v>
      </c>
      <c r="AF106" s="189">
        <v>0.36754679999999901</v>
      </c>
      <c r="AG106" s="189">
        <v>0.3678401</v>
      </c>
      <c r="AH106" s="189">
        <v>0.3681334</v>
      </c>
      <c r="AI106" s="189">
        <v>0.3684267</v>
      </c>
      <c r="AJ106" s="189">
        <v>0.36871999999999999</v>
      </c>
    </row>
    <row r="107" spans="1:36" x14ac:dyDescent="0.35">
      <c r="A107" t="s">
        <v>1490</v>
      </c>
      <c r="B107" s="188" t="s">
        <v>1342</v>
      </c>
      <c r="C107" t="s">
        <v>1350</v>
      </c>
      <c r="D107" s="188">
        <v>30</v>
      </c>
      <c r="E107" t="s">
        <v>1459</v>
      </c>
      <c r="F107" t="s">
        <v>1357</v>
      </c>
      <c r="G107" s="189" t="s">
        <v>1488</v>
      </c>
      <c r="H107" s="189">
        <v>0.33985555555555502</v>
      </c>
      <c r="I107" s="189">
        <v>0.34032111111111102</v>
      </c>
      <c r="J107" s="189">
        <v>0.34078666666666602</v>
      </c>
      <c r="K107" s="189">
        <v>0.34125222222222201</v>
      </c>
      <c r="L107" s="189">
        <v>0.34171777777777701</v>
      </c>
      <c r="M107" s="189">
        <v>0.34218333333333301</v>
      </c>
      <c r="N107" s="189">
        <v>0.342648888888888</v>
      </c>
      <c r="O107" s="189">
        <v>0.343114444444444</v>
      </c>
      <c r="P107" s="189">
        <v>0.34358</v>
      </c>
      <c r="Q107" s="189">
        <v>0.343998999999999</v>
      </c>
      <c r="R107" s="189">
        <v>0.344418</v>
      </c>
      <c r="S107" s="189">
        <v>0.34483699999999901</v>
      </c>
      <c r="T107" s="189">
        <v>0.34525600000000001</v>
      </c>
      <c r="U107" s="189">
        <v>0.34567499999999901</v>
      </c>
      <c r="V107" s="189">
        <v>0.34609400000000001</v>
      </c>
      <c r="W107" s="189">
        <v>0.34651299999999902</v>
      </c>
      <c r="X107" s="189">
        <v>0.34693200000000002</v>
      </c>
      <c r="Y107" s="189">
        <v>0.34735099999999902</v>
      </c>
      <c r="Z107" s="189">
        <v>0.34777000000000002</v>
      </c>
      <c r="AA107" s="189">
        <v>0.34818899999999903</v>
      </c>
      <c r="AB107" s="189">
        <v>0.34860799999999997</v>
      </c>
      <c r="AC107" s="189">
        <v>0.34902699999999998</v>
      </c>
      <c r="AD107" s="189">
        <v>0.34944599999999998</v>
      </c>
      <c r="AE107" s="189">
        <v>0.34986499999999998</v>
      </c>
      <c r="AF107" s="189">
        <v>0.35028399999999998</v>
      </c>
      <c r="AG107" s="189">
        <v>0.35070299999999999</v>
      </c>
      <c r="AH107" s="189">
        <v>0.35112199999999999</v>
      </c>
      <c r="AI107" s="189">
        <v>0.35154099999999999</v>
      </c>
      <c r="AJ107" s="189">
        <v>0.35196</v>
      </c>
    </row>
    <row r="108" spans="1:36" x14ac:dyDescent="0.35">
      <c r="A108" t="s">
        <v>1491</v>
      </c>
      <c r="B108" s="188" t="s">
        <v>1342</v>
      </c>
      <c r="C108" t="s">
        <v>1343</v>
      </c>
      <c r="D108" s="188">
        <v>30</v>
      </c>
      <c r="E108" t="s">
        <v>1459</v>
      </c>
      <c r="F108" t="s">
        <v>1400</v>
      </c>
      <c r="G108" s="189" t="s">
        <v>1492</v>
      </c>
      <c r="H108" s="189">
        <v>0.33360549382715998</v>
      </c>
      <c r="I108" s="189">
        <v>0.33920197530864199</v>
      </c>
      <c r="J108" s="189">
        <v>0.34483944444444398</v>
      </c>
      <c r="K108" s="189">
        <v>0.350517901234567</v>
      </c>
      <c r="L108" s="189">
        <v>0.356237345679012</v>
      </c>
      <c r="M108" s="189">
        <v>0.36199777777777697</v>
      </c>
      <c r="N108" s="189">
        <v>0.36779919753086399</v>
      </c>
      <c r="O108" s="189">
        <v>0.37364160493827098</v>
      </c>
      <c r="P108" s="189">
        <v>0.379525</v>
      </c>
      <c r="Q108" s="189">
        <v>0.37977999999999901</v>
      </c>
      <c r="R108" s="189">
        <v>0.38003500000000001</v>
      </c>
      <c r="S108" s="189">
        <v>0.38029000000000002</v>
      </c>
      <c r="T108" s="189">
        <v>0.38054499999999902</v>
      </c>
      <c r="U108" s="189">
        <v>0.38079999999999897</v>
      </c>
      <c r="V108" s="189">
        <v>0.38105499999999998</v>
      </c>
      <c r="W108" s="189">
        <v>0.38130999999999998</v>
      </c>
      <c r="X108" s="189">
        <v>0.38156499999999999</v>
      </c>
      <c r="Y108" s="189">
        <v>0.38181999999999999</v>
      </c>
      <c r="Z108" s="189">
        <v>0.382075</v>
      </c>
      <c r="AA108" s="189">
        <v>0.382329999999999</v>
      </c>
      <c r="AB108" s="189">
        <v>0.38258500000000001</v>
      </c>
      <c r="AC108" s="189">
        <v>0.38284000000000001</v>
      </c>
      <c r="AD108" s="189">
        <v>0.38309499999999902</v>
      </c>
      <c r="AE108" s="189">
        <v>0.38335000000000002</v>
      </c>
      <c r="AF108" s="189">
        <v>0.38360499999999997</v>
      </c>
      <c r="AG108" s="189">
        <v>0.38385999999999998</v>
      </c>
      <c r="AH108" s="189">
        <v>0.38411499999999998</v>
      </c>
      <c r="AI108" s="189">
        <v>0.38436999999999999</v>
      </c>
      <c r="AJ108" s="189">
        <v>0.38462499999999999</v>
      </c>
    </row>
    <row r="109" spans="1:36" x14ac:dyDescent="0.35">
      <c r="A109" t="s">
        <v>1493</v>
      </c>
      <c r="B109" s="188" t="s">
        <v>1342</v>
      </c>
      <c r="C109" t="s">
        <v>1348</v>
      </c>
      <c r="D109" s="188">
        <v>30</v>
      </c>
      <c r="E109" t="s">
        <v>1459</v>
      </c>
      <c r="F109" t="s">
        <v>1400</v>
      </c>
      <c r="G109" s="189" t="s">
        <v>1492</v>
      </c>
      <c r="H109" s="189">
        <v>0.33056999999999997</v>
      </c>
      <c r="I109" s="189">
        <v>0.33309</v>
      </c>
      <c r="J109" s="189">
        <v>0.33561000000000002</v>
      </c>
      <c r="K109" s="189">
        <v>0.33812999999999999</v>
      </c>
      <c r="L109" s="189">
        <v>0.34065000000000001</v>
      </c>
      <c r="M109" s="189">
        <v>0.34316999999999998</v>
      </c>
      <c r="N109" s="189">
        <v>0.34569</v>
      </c>
      <c r="O109" s="189">
        <v>0.34821000000000002</v>
      </c>
      <c r="P109" s="189">
        <v>0.35072999999999999</v>
      </c>
      <c r="Q109" s="189">
        <v>0.35101349999999998</v>
      </c>
      <c r="R109" s="189">
        <v>0.35129700000000003</v>
      </c>
      <c r="S109" s="189">
        <v>0.35158050000000002</v>
      </c>
      <c r="T109" s="189">
        <v>0.35186400000000001</v>
      </c>
      <c r="U109" s="189">
        <v>0.3521475</v>
      </c>
      <c r="V109" s="189">
        <v>0.35243099999999999</v>
      </c>
      <c r="W109" s="189">
        <v>0.35271449999999999</v>
      </c>
      <c r="X109" s="189">
        <v>0.35299799999999998</v>
      </c>
      <c r="Y109" s="189">
        <v>0.35328150000000003</v>
      </c>
      <c r="Z109" s="189">
        <v>0.35356500000000002</v>
      </c>
      <c r="AA109" s="189">
        <v>0.35384850000000001</v>
      </c>
      <c r="AB109" s="189">
        <v>0.354132</v>
      </c>
      <c r="AC109" s="189">
        <v>0.35441549999999999</v>
      </c>
      <c r="AD109" s="189">
        <v>0.35469899999999999</v>
      </c>
      <c r="AE109" s="189">
        <v>0.35498249999999998</v>
      </c>
      <c r="AF109" s="189">
        <v>0.35526600000000003</v>
      </c>
      <c r="AG109" s="189">
        <v>0.35554950000000002</v>
      </c>
      <c r="AH109" s="189">
        <v>0.35583300000000001</v>
      </c>
      <c r="AI109" s="189">
        <v>0.3561165</v>
      </c>
      <c r="AJ109" s="189">
        <v>0.35639999999999999</v>
      </c>
    </row>
    <row r="110" spans="1:36" x14ac:dyDescent="0.35">
      <c r="A110" t="s">
        <v>1494</v>
      </c>
      <c r="B110" s="188" t="s">
        <v>1342</v>
      </c>
      <c r="C110" t="s">
        <v>1350</v>
      </c>
      <c r="D110" s="188">
        <v>30</v>
      </c>
      <c r="E110" t="s">
        <v>1459</v>
      </c>
      <c r="F110" t="s">
        <v>1400</v>
      </c>
      <c r="G110" s="189" t="s">
        <v>1492</v>
      </c>
      <c r="H110" s="189">
        <v>0.32850000000000001</v>
      </c>
      <c r="I110" s="189">
        <v>0.32895000000000002</v>
      </c>
      <c r="J110" s="189">
        <v>0.32940000000000003</v>
      </c>
      <c r="K110" s="189">
        <v>0.32984999999999998</v>
      </c>
      <c r="L110" s="189">
        <v>0.33029999999999998</v>
      </c>
      <c r="M110" s="189">
        <v>0.33074999999999999</v>
      </c>
      <c r="N110" s="189">
        <v>0.33119999999999999</v>
      </c>
      <c r="O110" s="189">
        <v>0.33165</v>
      </c>
      <c r="P110" s="189">
        <v>0.33210000000000001</v>
      </c>
      <c r="Q110" s="189">
        <v>0.332505</v>
      </c>
      <c r="R110" s="189">
        <v>0.33290999999999998</v>
      </c>
      <c r="S110" s="189">
        <v>0.33331499999999997</v>
      </c>
      <c r="T110" s="189">
        <v>0.33372000000000002</v>
      </c>
      <c r="U110" s="189">
        <v>0.33412500000000001</v>
      </c>
      <c r="V110" s="189">
        <v>0.33452999999999999</v>
      </c>
      <c r="W110" s="189">
        <v>0.33493499999999998</v>
      </c>
      <c r="X110" s="189">
        <v>0.33534000000000003</v>
      </c>
      <c r="Y110" s="189">
        <v>0.33574500000000002</v>
      </c>
      <c r="Z110" s="189">
        <v>0.33615</v>
      </c>
      <c r="AA110" s="189">
        <v>0.33655499999999999</v>
      </c>
      <c r="AB110" s="189">
        <v>0.33695999999999998</v>
      </c>
      <c r="AC110" s="189">
        <v>0.33736500000000003</v>
      </c>
      <c r="AD110" s="189">
        <v>0.33777000000000001</v>
      </c>
      <c r="AE110" s="189">
        <v>0.338175</v>
      </c>
      <c r="AF110" s="189">
        <v>0.33857999999999999</v>
      </c>
      <c r="AG110" s="189">
        <v>0.33898499999999998</v>
      </c>
      <c r="AH110" s="189">
        <v>0.33939000000000002</v>
      </c>
      <c r="AI110" s="189">
        <v>0.33979500000000001</v>
      </c>
      <c r="AJ110" s="189">
        <v>0.3402</v>
      </c>
    </row>
    <row r="111" spans="1:36" x14ac:dyDescent="0.35">
      <c r="A111" t="s">
        <v>1495</v>
      </c>
      <c r="B111" s="188" t="s">
        <v>1342</v>
      </c>
      <c r="C111" t="s">
        <v>1343</v>
      </c>
      <c r="D111" s="188">
        <v>30</v>
      </c>
      <c r="E111" t="s">
        <v>1459</v>
      </c>
      <c r="F111" t="s">
        <v>1405</v>
      </c>
      <c r="G111" s="189" t="s">
        <v>1496</v>
      </c>
      <c r="H111" s="189">
        <v>0.26315238271604902</v>
      </c>
      <c r="I111" s="189">
        <v>0.267955753086419</v>
      </c>
      <c r="J111" s="189">
        <v>0.27280011111111102</v>
      </c>
      <c r="K111" s="189">
        <v>0.27768545679012302</v>
      </c>
      <c r="L111" s="189">
        <v>0.282611790123456</v>
      </c>
      <c r="M111" s="189">
        <v>0.28757911111111101</v>
      </c>
      <c r="N111" s="189">
        <v>0.292587419753086</v>
      </c>
      <c r="O111" s="189">
        <v>0.29763671604938202</v>
      </c>
      <c r="P111" s="189">
        <v>0.30272700000000002</v>
      </c>
      <c r="Q111" s="189">
        <v>0.30293039999999999</v>
      </c>
      <c r="R111" s="189">
        <v>0.30313380000000001</v>
      </c>
      <c r="S111" s="189">
        <v>0.30333719999999997</v>
      </c>
      <c r="T111" s="189">
        <v>0.30354059999999999</v>
      </c>
      <c r="U111" s="189">
        <v>0.30374400000000001</v>
      </c>
      <c r="V111" s="189">
        <v>0.30394739999999998</v>
      </c>
      <c r="W111" s="189">
        <v>0.3041508</v>
      </c>
      <c r="X111" s="189">
        <v>0.30435420000000002</v>
      </c>
      <c r="Y111" s="189">
        <v>0.30455759999999998</v>
      </c>
      <c r="Z111" s="189">
        <v>0.304761</v>
      </c>
      <c r="AA111" s="189">
        <v>0.30496439999999903</v>
      </c>
      <c r="AB111" s="189">
        <v>0.30516779999999999</v>
      </c>
      <c r="AC111" s="189">
        <v>0.30537120000000001</v>
      </c>
      <c r="AD111" s="189">
        <v>0.30557459999999997</v>
      </c>
      <c r="AE111" s="189">
        <v>0.30577799999999999</v>
      </c>
      <c r="AF111" s="189">
        <v>0.30598139999999902</v>
      </c>
      <c r="AG111" s="189">
        <v>0.30618479999999998</v>
      </c>
      <c r="AH111" s="189">
        <v>0.306388199999999</v>
      </c>
      <c r="AI111" s="189">
        <v>0.30659159999999902</v>
      </c>
      <c r="AJ111" s="189">
        <v>0.30679499999999998</v>
      </c>
    </row>
    <row r="112" spans="1:36" x14ac:dyDescent="0.35">
      <c r="A112" t="s">
        <v>1497</v>
      </c>
      <c r="B112" s="188" t="s">
        <v>1342</v>
      </c>
      <c r="C112" t="s">
        <v>1348</v>
      </c>
      <c r="D112" s="188">
        <v>30</v>
      </c>
      <c r="E112" t="s">
        <v>1459</v>
      </c>
      <c r="F112" t="s">
        <v>1405</v>
      </c>
      <c r="G112" s="189" t="s">
        <v>1496</v>
      </c>
      <c r="H112" s="189">
        <v>0.26037488888888799</v>
      </c>
      <c r="I112" s="189">
        <v>0.26235977777777703</v>
      </c>
      <c r="J112" s="189">
        <v>0.26434466666666601</v>
      </c>
      <c r="K112" s="189">
        <v>0.26632955555555499</v>
      </c>
      <c r="L112" s="189">
        <v>0.26831444444444402</v>
      </c>
      <c r="M112" s="189">
        <v>0.270299333333333</v>
      </c>
      <c r="N112" s="189">
        <v>0.27228422222222198</v>
      </c>
      <c r="O112" s="189">
        <v>0.27426911111111102</v>
      </c>
      <c r="P112" s="189">
        <v>0.276254</v>
      </c>
      <c r="Q112" s="189">
        <v>0.27647729999999998</v>
      </c>
      <c r="R112" s="189">
        <v>0.27670059999999902</v>
      </c>
      <c r="S112" s="189">
        <v>0.2769239</v>
      </c>
      <c r="T112" s="189">
        <v>0.27714719999999998</v>
      </c>
      <c r="U112" s="189">
        <v>0.27737050000000002</v>
      </c>
      <c r="V112" s="189">
        <v>0.2775938</v>
      </c>
      <c r="W112" s="189">
        <v>0.27781709999999998</v>
      </c>
      <c r="X112" s="189">
        <v>0.27804040000000002</v>
      </c>
      <c r="Y112" s="189">
        <v>0.2782637</v>
      </c>
      <c r="Z112" s="189">
        <v>0.27848699999999998</v>
      </c>
      <c r="AA112" s="189">
        <v>0.27871030000000002</v>
      </c>
      <c r="AB112" s="189">
        <v>0.2789336</v>
      </c>
      <c r="AC112" s="189">
        <v>0.27915689999999999</v>
      </c>
      <c r="AD112" s="189">
        <v>0.27938020000000002</v>
      </c>
      <c r="AE112" s="189">
        <v>0.2796035</v>
      </c>
      <c r="AF112" s="189">
        <v>0.27982679999999999</v>
      </c>
      <c r="AG112" s="189">
        <v>0.28005010000000002</v>
      </c>
      <c r="AH112" s="189">
        <v>0.28027340000000001</v>
      </c>
      <c r="AI112" s="189">
        <v>0.28049669999999999</v>
      </c>
      <c r="AJ112" s="189">
        <v>0.28072000000000003</v>
      </c>
    </row>
    <row r="113" spans="1:36" x14ac:dyDescent="0.35">
      <c r="A113" t="s">
        <v>1498</v>
      </c>
      <c r="B113" s="188" t="s">
        <v>1342</v>
      </c>
      <c r="C113" t="s">
        <v>1350</v>
      </c>
      <c r="D113" s="188">
        <v>30</v>
      </c>
      <c r="E113" t="s">
        <v>1459</v>
      </c>
      <c r="F113" t="s">
        <v>1405</v>
      </c>
      <c r="G113" s="189" t="s">
        <v>1496</v>
      </c>
      <c r="H113" s="189">
        <v>0.258744444444444</v>
      </c>
      <c r="I113" s="189">
        <v>0.25909888888888799</v>
      </c>
      <c r="J113" s="189">
        <v>0.25945333333333298</v>
      </c>
      <c r="K113" s="189">
        <v>0.25980777777777703</v>
      </c>
      <c r="L113" s="189">
        <v>0.26016222222222202</v>
      </c>
      <c r="M113" s="189">
        <v>0.26051666666666601</v>
      </c>
      <c r="N113" s="189">
        <v>0.260871111111111</v>
      </c>
      <c r="O113" s="189">
        <v>0.26122555555555499</v>
      </c>
      <c r="P113" s="189">
        <v>0.26157999999999998</v>
      </c>
      <c r="Q113" s="189">
        <v>0.26189899999999999</v>
      </c>
      <c r="R113" s="189">
        <v>0.26221800000000001</v>
      </c>
      <c r="S113" s="189">
        <v>0.26253699999999902</v>
      </c>
      <c r="T113" s="189">
        <v>0.26285599999999998</v>
      </c>
      <c r="U113" s="189">
        <v>0.26317499999999999</v>
      </c>
      <c r="V113" s="189">
        <v>0.26349400000000001</v>
      </c>
      <c r="W113" s="189">
        <v>0.26381299999999902</v>
      </c>
      <c r="X113" s="189">
        <v>0.26413199999999998</v>
      </c>
      <c r="Y113" s="189">
        <v>0.26445099999999999</v>
      </c>
      <c r="Z113" s="189">
        <v>0.26477000000000001</v>
      </c>
      <c r="AA113" s="189">
        <v>0.26508900000000002</v>
      </c>
      <c r="AB113" s="189">
        <v>0.26540799999999998</v>
      </c>
      <c r="AC113" s="189">
        <v>0.26572699999999999</v>
      </c>
      <c r="AD113" s="189">
        <v>0.266046</v>
      </c>
      <c r="AE113" s="189">
        <v>0.26636500000000002</v>
      </c>
      <c r="AF113" s="189">
        <v>0.26668399999999998</v>
      </c>
      <c r="AG113" s="189">
        <v>0.26700299999999999</v>
      </c>
      <c r="AH113" s="189">
        <v>0.267322</v>
      </c>
      <c r="AI113" s="189">
        <v>0.26764100000000002</v>
      </c>
      <c r="AJ113" s="189">
        <v>0.26795999999999998</v>
      </c>
    </row>
    <row r="114" spans="1:36" x14ac:dyDescent="0.35">
      <c r="A114" t="s">
        <v>1499</v>
      </c>
      <c r="B114" s="188" t="s">
        <v>1342</v>
      </c>
      <c r="C114" t="s">
        <v>1343</v>
      </c>
      <c r="D114" s="188">
        <v>30</v>
      </c>
      <c r="E114" t="s">
        <v>1500</v>
      </c>
      <c r="F114" t="s">
        <v>1501</v>
      </c>
      <c r="G114" s="189" t="s">
        <v>1502</v>
      </c>
      <c r="H114" s="189">
        <v>0.4082964</v>
      </c>
      <c r="I114" s="189">
        <v>0.41900310000000002</v>
      </c>
      <c r="J114" s="189">
        <v>0.42970979999999998</v>
      </c>
      <c r="K114" s="189">
        <v>0.44041649999999999</v>
      </c>
      <c r="L114" s="189">
        <v>0.4511232</v>
      </c>
      <c r="M114" s="189">
        <v>0.46182990000000002</v>
      </c>
      <c r="N114" s="189">
        <v>0.47253659999999997</v>
      </c>
      <c r="O114" s="189">
        <v>0.48324329999999999</v>
      </c>
      <c r="P114" s="189">
        <v>0.49395000000000006</v>
      </c>
      <c r="Q114" s="189">
        <v>0.49395000000000006</v>
      </c>
      <c r="R114" s="189">
        <v>0.49395000000000006</v>
      </c>
      <c r="S114" s="189">
        <v>0.49395000000000006</v>
      </c>
      <c r="T114" s="189">
        <v>0.49395000000000006</v>
      </c>
      <c r="U114" s="189">
        <v>0.49395000000000006</v>
      </c>
      <c r="V114" s="189">
        <v>0.49395000000000006</v>
      </c>
      <c r="W114" s="189">
        <v>0.49395000000000006</v>
      </c>
      <c r="X114" s="189">
        <v>0.49395000000000006</v>
      </c>
      <c r="Y114" s="189">
        <v>0.49395000000000006</v>
      </c>
      <c r="Z114" s="189">
        <v>0.49395000000000006</v>
      </c>
      <c r="AA114" s="189">
        <v>0.49395000000000006</v>
      </c>
      <c r="AB114" s="189">
        <v>0.49395000000000006</v>
      </c>
      <c r="AC114" s="189">
        <v>0.49395000000000006</v>
      </c>
      <c r="AD114" s="189">
        <v>0.49395000000000006</v>
      </c>
      <c r="AE114" s="189">
        <v>0.49395000000000006</v>
      </c>
      <c r="AF114" s="189">
        <v>0.49395000000000006</v>
      </c>
      <c r="AG114" s="189">
        <v>0.49395000000000006</v>
      </c>
      <c r="AH114" s="189">
        <v>0.49395000000000006</v>
      </c>
      <c r="AI114" s="189">
        <v>0.49395000000000006</v>
      </c>
      <c r="AJ114" s="189">
        <v>0.49395000000000006</v>
      </c>
    </row>
    <row r="115" spans="1:36" x14ac:dyDescent="0.35">
      <c r="A115" t="s">
        <v>1503</v>
      </c>
      <c r="B115" s="188" t="s">
        <v>1342</v>
      </c>
      <c r="C115" t="s">
        <v>1348</v>
      </c>
      <c r="D115" s="188">
        <v>30</v>
      </c>
      <c r="E115" t="s">
        <v>1500</v>
      </c>
      <c r="F115" t="s">
        <v>1501</v>
      </c>
      <c r="G115" s="189" t="s">
        <v>1502</v>
      </c>
      <c r="H115" s="189">
        <v>0.4082964</v>
      </c>
      <c r="I115" s="189">
        <v>0.41900310000000002</v>
      </c>
      <c r="J115" s="189">
        <v>0.42970979999999998</v>
      </c>
      <c r="K115" s="189">
        <v>0.44041649999999999</v>
      </c>
      <c r="L115" s="189">
        <v>0.4511232</v>
      </c>
      <c r="M115" s="189">
        <v>0.46182990000000002</v>
      </c>
      <c r="N115" s="189">
        <v>0.47253659999999997</v>
      </c>
      <c r="O115" s="189">
        <v>0.48324329999999999</v>
      </c>
      <c r="P115" s="189">
        <v>0.49395000000000006</v>
      </c>
      <c r="Q115" s="189">
        <v>0.49395000000000006</v>
      </c>
      <c r="R115" s="189">
        <v>0.49395000000000006</v>
      </c>
      <c r="S115" s="189">
        <v>0.49395000000000006</v>
      </c>
      <c r="T115" s="189">
        <v>0.49395000000000006</v>
      </c>
      <c r="U115" s="189">
        <v>0.49395000000000006</v>
      </c>
      <c r="V115" s="189">
        <v>0.49395000000000006</v>
      </c>
      <c r="W115" s="189">
        <v>0.49395000000000006</v>
      </c>
      <c r="X115" s="189">
        <v>0.49395000000000006</v>
      </c>
      <c r="Y115" s="189">
        <v>0.49395000000000006</v>
      </c>
      <c r="Z115" s="189">
        <v>0.49395000000000006</v>
      </c>
      <c r="AA115" s="189">
        <v>0.49395000000000006</v>
      </c>
      <c r="AB115" s="189">
        <v>0.49395000000000006</v>
      </c>
      <c r="AC115" s="189">
        <v>0.49395000000000006</v>
      </c>
      <c r="AD115" s="189">
        <v>0.49395000000000006</v>
      </c>
      <c r="AE115" s="189">
        <v>0.49395000000000006</v>
      </c>
      <c r="AF115" s="189">
        <v>0.49395000000000006</v>
      </c>
      <c r="AG115" s="189">
        <v>0.49395000000000006</v>
      </c>
      <c r="AH115" s="189">
        <v>0.49395000000000006</v>
      </c>
      <c r="AI115" s="189">
        <v>0.49395000000000006</v>
      </c>
      <c r="AJ115" s="189">
        <v>0.49395000000000006</v>
      </c>
    </row>
    <row r="116" spans="1:36" x14ac:dyDescent="0.35">
      <c r="A116" t="s">
        <v>1504</v>
      </c>
      <c r="B116" s="188" t="s">
        <v>1342</v>
      </c>
      <c r="C116" t="s">
        <v>1350</v>
      </c>
      <c r="D116" s="188">
        <v>30</v>
      </c>
      <c r="E116" t="s">
        <v>1500</v>
      </c>
      <c r="F116" t="s">
        <v>1501</v>
      </c>
      <c r="G116" s="189" t="s">
        <v>1502</v>
      </c>
      <c r="H116" s="189">
        <v>0.4082964</v>
      </c>
      <c r="I116" s="189">
        <v>0.41900310000000002</v>
      </c>
      <c r="J116" s="189">
        <v>0.42970979999999998</v>
      </c>
      <c r="K116" s="189">
        <v>0.44041649999999999</v>
      </c>
      <c r="L116" s="189">
        <v>0.4511232</v>
      </c>
      <c r="M116" s="189">
        <v>0.46182990000000002</v>
      </c>
      <c r="N116" s="189">
        <v>0.47253659999999997</v>
      </c>
      <c r="O116" s="189">
        <v>0.48324329999999999</v>
      </c>
      <c r="P116" s="189">
        <v>0.49395000000000006</v>
      </c>
      <c r="Q116" s="189">
        <v>0.49395000000000006</v>
      </c>
      <c r="R116" s="189">
        <v>0.49395000000000006</v>
      </c>
      <c r="S116" s="189">
        <v>0.49395000000000006</v>
      </c>
      <c r="T116" s="189">
        <v>0.49395000000000006</v>
      </c>
      <c r="U116" s="189">
        <v>0.49395000000000006</v>
      </c>
      <c r="V116" s="189">
        <v>0.49395000000000006</v>
      </c>
      <c r="W116" s="189">
        <v>0.49395000000000006</v>
      </c>
      <c r="X116" s="189">
        <v>0.49395000000000006</v>
      </c>
      <c r="Y116" s="189">
        <v>0.49395000000000006</v>
      </c>
      <c r="Z116" s="189">
        <v>0.49395000000000006</v>
      </c>
      <c r="AA116" s="189">
        <v>0.49395000000000006</v>
      </c>
      <c r="AB116" s="189">
        <v>0.49395000000000006</v>
      </c>
      <c r="AC116" s="189">
        <v>0.49395000000000006</v>
      </c>
      <c r="AD116" s="189">
        <v>0.49395000000000006</v>
      </c>
      <c r="AE116" s="189">
        <v>0.49395000000000006</v>
      </c>
      <c r="AF116" s="189">
        <v>0.49395000000000006</v>
      </c>
      <c r="AG116" s="189">
        <v>0.49395000000000006</v>
      </c>
      <c r="AH116" s="189">
        <v>0.49395000000000006</v>
      </c>
      <c r="AI116" s="189">
        <v>0.49395000000000006</v>
      </c>
      <c r="AJ116" s="189">
        <v>0.49395000000000006</v>
      </c>
    </row>
    <row r="117" spans="1:36" x14ac:dyDescent="0.35">
      <c r="A117" t="s">
        <v>1505</v>
      </c>
      <c r="B117" s="188" t="s">
        <v>1342</v>
      </c>
      <c r="C117" t="s">
        <v>1343</v>
      </c>
      <c r="D117" s="188">
        <v>30</v>
      </c>
      <c r="E117" t="s">
        <v>1500</v>
      </c>
      <c r="F117" t="s">
        <v>1506</v>
      </c>
      <c r="G117" s="189" t="s">
        <v>1507</v>
      </c>
      <c r="H117" s="189">
        <v>0.46543439999999997</v>
      </c>
      <c r="I117" s="189">
        <v>0.47881109999999999</v>
      </c>
      <c r="J117" s="189">
        <v>0.49218779999999995</v>
      </c>
      <c r="K117" s="189">
        <v>0.50556449999999997</v>
      </c>
      <c r="L117" s="189">
        <v>0.51894119999999999</v>
      </c>
      <c r="M117" s="189">
        <v>0.5323178999999999</v>
      </c>
      <c r="N117" s="189">
        <v>0.54569459999999992</v>
      </c>
      <c r="O117" s="189">
        <v>0.55907129999999994</v>
      </c>
      <c r="P117" s="189">
        <v>0.57244799999999996</v>
      </c>
      <c r="Q117" s="189">
        <v>0.57244799999999996</v>
      </c>
      <c r="R117" s="189">
        <v>0.57244799999999996</v>
      </c>
      <c r="S117" s="189">
        <v>0.57244799999999996</v>
      </c>
      <c r="T117" s="189">
        <v>0.57244799999999996</v>
      </c>
      <c r="U117" s="189">
        <v>0.57244799999999996</v>
      </c>
      <c r="V117" s="189">
        <v>0.57244799999999996</v>
      </c>
      <c r="W117" s="189">
        <v>0.57244799999999996</v>
      </c>
      <c r="X117" s="189">
        <v>0.57244799999999996</v>
      </c>
      <c r="Y117" s="189">
        <v>0.57244799999999996</v>
      </c>
      <c r="Z117" s="189">
        <v>0.57244799999999996</v>
      </c>
      <c r="AA117" s="189">
        <v>0.57244799999999996</v>
      </c>
      <c r="AB117" s="189">
        <v>0.57244799999999996</v>
      </c>
      <c r="AC117" s="189">
        <v>0.57244799999999996</v>
      </c>
      <c r="AD117" s="189">
        <v>0.57244799999999996</v>
      </c>
      <c r="AE117" s="189">
        <v>0.57244799999999996</v>
      </c>
      <c r="AF117" s="189">
        <v>0.57244799999999996</v>
      </c>
      <c r="AG117" s="189">
        <v>0.57244799999999996</v>
      </c>
      <c r="AH117" s="189">
        <v>0.57244799999999996</v>
      </c>
      <c r="AI117" s="189">
        <v>0.57244799999999996</v>
      </c>
      <c r="AJ117" s="189">
        <v>0.57244799999999996</v>
      </c>
    </row>
    <row r="118" spans="1:36" x14ac:dyDescent="0.35">
      <c r="A118" t="s">
        <v>1508</v>
      </c>
      <c r="B118" s="188" t="s">
        <v>1342</v>
      </c>
      <c r="C118" t="s">
        <v>1348</v>
      </c>
      <c r="D118" s="188">
        <v>30</v>
      </c>
      <c r="E118" t="s">
        <v>1500</v>
      </c>
      <c r="F118" t="s">
        <v>1506</v>
      </c>
      <c r="G118" s="189" t="s">
        <v>1507</v>
      </c>
      <c r="H118" s="189">
        <v>0.46543439999999997</v>
      </c>
      <c r="I118" s="189">
        <v>0.47881109999999999</v>
      </c>
      <c r="J118" s="189">
        <v>0.49218779999999995</v>
      </c>
      <c r="K118" s="189">
        <v>0.50556449999999997</v>
      </c>
      <c r="L118" s="189">
        <v>0.51894119999999999</v>
      </c>
      <c r="M118" s="189">
        <v>0.5323178999999999</v>
      </c>
      <c r="N118" s="189">
        <v>0.54569459999999992</v>
      </c>
      <c r="O118" s="189">
        <v>0.55907129999999994</v>
      </c>
      <c r="P118" s="189">
        <v>0.57244799999999996</v>
      </c>
      <c r="Q118" s="189">
        <v>0.57244799999999996</v>
      </c>
      <c r="R118" s="189">
        <v>0.57244799999999996</v>
      </c>
      <c r="S118" s="189">
        <v>0.57244799999999996</v>
      </c>
      <c r="T118" s="189">
        <v>0.57244799999999996</v>
      </c>
      <c r="U118" s="189">
        <v>0.57244799999999996</v>
      </c>
      <c r="V118" s="189">
        <v>0.57244799999999996</v>
      </c>
      <c r="W118" s="189">
        <v>0.57244799999999996</v>
      </c>
      <c r="X118" s="189">
        <v>0.57244799999999996</v>
      </c>
      <c r="Y118" s="189">
        <v>0.57244799999999996</v>
      </c>
      <c r="Z118" s="189">
        <v>0.57244799999999996</v>
      </c>
      <c r="AA118" s="189">
        <v>0.57244799999999996</v>
      </c>
      <c r="AB118" s="189">
        <v>0.57244799999999996</v>
      </c>
      <c r="AC118" s="189">
        <v>0.57244799999999996</v>
      </c>
      <c r="AD118" s="189">
        <v>0.57244799999999996</v>
      </c>
      <c r="AE118" s="189">
        <v>0.57244799999999996</v>
      </c>
      <c r="AF118" s="189">
        <v>0.57244799999999996</v>
      </c>
      <c r="AG118" s="189">
        <v>0.57244799999999996</v>
      </c>
      <c r="AH118" s="189">
        <v>0.57244799999999996</v>
      </c>
      <c r="AI118" s="189">
        <v>0.57244799999999996</v>
      </c>
      <c r="AJ118" s="189">
        <v>0.57244799999999996</v>
      </c>
    </row>
    <row r="119" spans="1:36" x14ac:dyDescent="0.35">
      <c r="A119" t="s">
        <v>1509</v>
      </c>
      <c r="B119" s="188" t="s">
        <v>1342</v>
      </c>
      <c r="C119" t="s">
        <v>1350</v>
      </c>
      <c r="D119" s="188">
        <v>30</v>
      </c>
      <c r="E119" t="s">
        <v>1500</v>
      </c>
      <c r="F119" t="s">
        <v>1506</v>
      </c>
      <c r="G119" s="189" t="s">
        <v>1507</v>
      </c>
      <c r="H119" s="189">
        <v>0.46543439999999997</v>
      </c>
      <c r="I119" s="189">
        <v>0.47881109999999999</v>
      </c>
      <c r="J119" s="189">
        <v>0.49218779999999995</v>
      </c>
      <c r="K119" s="189">
        <v>0.50556449999999997</v>
      </c>
      <c r="L119" s="189">
        <v>0.51894119999999999</v>
      </c>
      <c r="M119" s="189">
        <v>0.5323178999999999</v>
      </c>
      <c r="N119" s="189">
        <v>0.54569459999999992</v>
      </c>
      <c r="O119" s="189">
        <v>0.55907129999999994</v>
      </c>
      <c r="P119" s="189">
        <v>0.57244799999999996</v>
      </c>
      <c r="Q119" s="189">
        <v>0.57244799999999996</v>
      </c>
      <c r="R119" s="189">
        <v>0.57244799999999996</v>
      </c>
      <c r="S119" s="189">
        <v>0.57244799999999996</v>
      </c>
      <c r="T119" s="189">
        <v>0.57244799999999996</v>
      </c>
      <c r="U119" s="189">
        <v>0.57244799999999996</v>
      </c>
      <c r="V119" s="189">
        <v>0.57244799999999996</v>
      </c>
      <c r="W119" s="189">
        <v>0.57244799999999996</v>
      </c>
      <c r="X119" s="189">
        <v>0.57244799999999996</v>
      </c>
      <c r="Y119" s="189">
        <v>0.57244799999999996</v>
      </c>
      <c r="Z119" s="189">
        <v>0.57244799999999996</v>
      </c>
      <c r="AA119" s="189">
        <v>0.57244799999999996</v>
      </c>
      <c r="AB119" s="189">
        <v>0.57244799999999996</v>
      </c>
      <c r="AC119" s="189">
        <v>0.57244799999999996</v>
      </c>
      <c r="AD119" s="189">
        <v>0.57244799999999996</v>
      </c>
      <c r="AE119" s="189">
        <v>0.57244799999999996</v>
      </c>
      <c r="AF119" s="189">
        <v>0.57244799999999996</v>
      </c>
      <c r="AG119" s="189">
        <v>0.57244799999999996</v>
      </c>
      <c r="AH119" s="189">
        <v>0.57244799999999996</v>
      </c>
      <c r="AI119" s="189">
        <v>0.57244799999999996</v>
      </c>
      <c r="AJ119" s="189">
        <v>0.57244799999999996</v>
      </c>
    </row>
    <row r="120" spans="1:36" x14ac:dyDescent="0.35">
      <c r="A120" t="s">
        <v>1510</v>
      </c>
      <c r="B120" s="188" t="s">
        <v>1342</v>
      </c>
      <c r="C120" t="s">
        <v>1343</v>
      </c>
      <c r="D120" s="188">
        <v>30</v>
      </c>
      <c r="E120" t="s">
        <v>1500</v>
      </c>
      <c r="F120" t="s">
        <v>1511</v>
      </c>
      <c r="G120" s="189" t="s">
        <v>1512</v>
      </c>
      <c r="H120" s="189">
        <v>0.44129759999999996</v>
      </c>
      <c r="I120" s="189">
        <v>0.45911540000000001</v>
      </c>
      <c r="J120" s="189">
        <v>0.4769332</v>
      </c>
      <c r="K120" s="189">
        <v>0.49475100000000005</v>
      </c>
      <c r="L120" s="189">
        <v>0.51256880000000005</v>
      </c>
      <c r="M120" s="189">
        <v>0.53038660000000015</v>
      </c>
      <c r="N120" s="189">
        <v>0.54820440000000015</v>
      </c>
      <c r="O120" s="189">
        <v>0.56602220000000014</v>
      </c>
      <c r="P120" s="189">
        <v>0.58384000000000003</v>
      </c>
      <c r="Q120" s="189">
        <v>0.58384000000000003</v>
      </c>
      <c r="R120" s="189">
        <v>0.58384000000000003</v>
      </c>
      <c r="S120" s="189">
        <v>0.58384000000000003</v>
      </c>
      <c r="T120" s="189">
        <v>0.58384000000000003</v>
      </c>
      <c r="U120" s="189">
        <v>0.58384000000000003</v>
      </c>
      <c r="V120" s="189">
        <v>0.58384000000000003</v>
      </c>
      <c r="W120" s="189">
        <v>0.58384000000000003</v>
      </c>
      <c r="X120" s="189">
        <v>0.58384000000000003</v>
      </c>
      <c r="Y120" s="189">
        <v>0.58384000000000003</v>
      </c>
      <c r="Z120" s="189">
        <v>0.58384000000000003</v>
      </c>
      <c r="AA120" s="189">
        <v>0.58384000000000003</v>
      </c>
      <c r="AB120" s="189">
        <v>0.58384000000000003</v>
      </c>
      <c r="AC120" s="189">
        <v>0.58384000000000003</v>
      </c>
      <c r="AD120" s="189">
        <v>0.58384000000000003</v>
      </c>
      <c r="AE120" s="189">
        <v>0.58384000000000003</v>
      </c>
      <c r="AF120" s="189">
        <v>0.58384000000000003</v>
      </c>
      <c r="AG120" s="189">
        <v>0.58384000000000003</v>
      </c>
      <c r="AH120" s="189">
        <v>0.58384000000000003</v>
      </c>
      <c r="AI120" s="189">
        <v>0.58384000000000003</v>
      </c>
      <c r="AJ120" s="189">
        <v>0.58384000000000003</v>
      </c>
    </row>
    <row r="121" spans="1:36" x14ac:dyDescent="0.35">
      <c r="A121" t="s">
        <v>1513</v>
      </c>
      <c r="B121" s="188" t="s">
        <v>1342</v>
      </c>
      <c r="C121" t="s">
        <v>1348</v>
      </c>
      <c r="D121" s="188">
        <v>30</v>
      </c>
      <c r="E121" t="s">
        <v>1500</v>
      </c>
      <c r="F121" t="s">
        <v>1511</v>
      </c>
      <c r="G121" s="189" t="s">
        <v>1512</v>
      </c>
      <c r="H121" s="189">
        <v>0.44129759999999996</v>
      </c>
      <c r="I121" s="189">
        <v>0.45911540000000001</v>
      </c>
      <c r="J121" s="189">
        <v>0.4769332</v>
      </c>
      <c r="K121" s="189">
        <v>0.49475100000000005</v>
      </c>
      <c r="L121" s="189">
        <v>0.51256880000000005</v>
      </c>
      <c r="M121" s="189">
        <v>0.53038660000000015</v>
      </c>
      <c r="N121" s="189">
        <v>0.54820440000000015</v>
      </c>
      <c r="O121" s="189">
        <v>0.56602220000000014</v>
      </c>
      <c r="P121" s="189">
        <v>0.58384000000000003</v>
      </c>
      <c r="Q121" s="189">
        <v>0.58384000000000003</v>
      </c>
      <c r="R121" s="189">
        <v>0.58384000000000003</v>
      </c>
      <c r="S121" s="189">
        <v>0.58384000000000003</v>
      </c>
      <c r="T121" s="189">
        <v>0.58384000000000003</v>
      </c>
      <c r="U121" s="189">
        <v>0.58384000000000003</v>
      </c>
      <c r="V121" s="189">
        <v>0.58384000000000003</v>
      </c>
      <c r="W121" s="189">
        <v>0.58384000000000003</v>
      </c>
      <c r="X121" s="189">
        <v>0.58384000000000003</v>
      </c>
      <c r="Y121" s="189">
        <v>0.58384000000000003</v>
      </c>
      <c r="Z121" s="189">
        <v>0.58384000000000003</v>
      </c>
      <c r="AA121" s="189">
        <v>0.58384000000000003</v>
      </c>
      <c r="AB121" s="189">
        <v>0.58384000000000003</v>
      </c>
      <c r="AC121" s="189">
        <v>0.58384000000000003</v>
      </c>
      <c r="AD121" s="189">
        <v>0.58384000000000003</v>
      </c>
      <c r="AE121" s="189">
        <v>0.58384000000000003</v>
      </c>
      <c r="AF121" s="189">
        <v>0.58384000000000003</v>
      </c>
      <c r="AG121" s="189">
        <v>0.58384000000000003</v>
      </c>
      <c r="AH121" s="189">
        <v>0.58384000000000003</v>
      </c>
      <c r="AI121" s="189">
        <v>0.58384000000000003</v>
      </c>
      <c r="AJ121" s="189">
        <v>0.58384000000000003</v>
      </c>
    </row>
    <row r="122" spans="1:36" x14ac:dyDescent="0.35">
      <c r="A122" t="s">
        <v>1514</v>
      </c>
      <c r="B122" s="188" t="s">
        <v>1342</v>
      </c>
      <c r="C122" t="s">
        <v>1350</v>
      </c>
      <c r="D122" s="188">
        <v>30</v>
      </c>
      <c r="E122" t="s">
        <v>1500</v>
      </c>
      <c r="F122" t="s">
        <v>1511</v>
      </c>
      <c r="G122" s="189" t="s">
        <v>1512</v>
      </c>
      <c r="H122" s="189">
        <v>0.44129759999999996</v>
      </c>
      <c r="I122" s="189">
        <v>0.45911540000000001</v>
      </c>
      <c r="J122" s="189">
        <v>0.4769332</v>
      </c>
      <c r="K122" s="189">
        <v>0.49475100000000005</v>
      </c>
      <c r="L122" s="189">
        <v>0.51256880000000005</v>
      </c>
      <c r="M122" s="189">
        <v>0.53038660000000015</v>
      </c>
      <c r="N122" s="189">
        <v>0.54820440000000015</v>
      </c>
      <c r="O122" s="189">
        <v>0.56602220000000014</v>
      </c>
      <c r="P122" s="189">
        <v>0.58384000000000003</v>
      </c>
      <c r="Q122" s="189">
        <v>0.58384000000000003</v>
      </c>
      <c r="R122" s="189">
        <v>0.58384000000000003</v>
      </c>
      <c r="S122" s="189">
        <v>0.58384000000000003</v>
      </c>
      <c r="T122" s="189">
        <v>0.58384000000000003</v>
      </c>
      <c r="U122" s="189">
        <v>0.58384000000000003</v>
      </c>
      <c r="V122" s="189">
        <v>0.58384000000000003</v>
      </c>
      <c r="W122" s="189">
        <v>0.58384000000000003</v>
      </c>
      <c r="X122" s="189">
        <v>0.58384000000000003</v>
      </c>
      <c r="Y122" s="189">
        <v>0.58384000000000003</v>
      </c>
      <c r="Z122" s="189">
        <v>0.58384000000000003</v>
      </c>
      <c r="AA122" s="189">
        <v>0.58384000000000003</v>
      </c>
      <c r="AB122" s="189">
        <v>0.58384000000000003</v>
      </c>
      <c r="AC122" s="189">
        <v>0.58384000000000003</v>
      </c>
      <c r="AD122" s="189">
        <v>0.58384000000000003</v>
      </c>
      <c r="AE122" s="189">
        <v>0.58384000000000003</v>
      </c>
      <c r="AF122" s="189">
        <v>0.58384000000000003</v>
      </c>
      <c r="AG122" s="189">
        <v>0.58384000000000003</v>
      </c>
      <c r="AH122" s="189">
        <v>0.58384000000000003</v>
      </c>
      <c r="AI122" s="189">
        <v>0.58384000000000003</v>
      </c>
      <c r="AJ122" s="189">
        <v>0.58384000000000003</v>
      </c>
    </row>
    <row r="123" spans="1:36" x14ac:dyDescent="0.35">
      <c r="A123" t="s">
        <v>1515</v>
      </c>
      <c r="B123" s="188" t="s">
        <v>1342</v>
      </c>
      <c r="C123" t="s">
        <v>1343</v>
      </c>
      <c r="D123" s="188">
        <v>30</v>
      </c>
      <c r="E123" t="s">
        <v>1500</v>
      </c>
      <c r="F123" t="s">
        <v>1516</v>
      </c>
      <c r="G123" s="189" t="s">
        <v>1517</v>
      </c>
      <c r="H123" s="189">
        <v>0.49074600000000013</v>
      </c>
      <c r="I123" s="189">
        <v>0.50485250000000015</v>
      </c>
      <c r="J123" s="189">
        <v>0.51895900000000017</v>
      </c>
      <c r="K123" s="189">
        <v>0.53306550000000019</v>
      </c>
      <c r="L123" s="189">
        <v>0.54717200000000021</v>
      </c>
      <c r="M123" s="189">
        <v>0.56127850000000024</v>
      </c>
      <c r="N123" s="189">
        <v>0.57538500000000026</v>
      </c>
      <c r="O123" s="189">
        <v>0.58949150000000028</v>
      </c>
      <c r="P123" s="189">
        <v>0.60359800000000008</v>
      </c>
      <c r="Q123" s="189">
        <v>0.60359800000000008</v>
      </c>
      <c r="R123" s="189">
        <v>0.60359800000000008</v>
      </c>
      <c r="S123" s="189">
        <v>0.60359800000000008</v>
      </c>
      <c r="T123" s="189">
        <v>0.60359800000000008</v>
      </c>
      <c r="U123" s="189">
        <v>0.60359800000000008</v>
      </c>
      <c r="V123" s="189">
        <v>0.60359800000000008</v>
      </c>
      <c r="W123" s="189">
        <v>0.60359800000000008</v>
      </c>
      <c r="X123" s="189">
        <v>0.60359800000000008</v>
      </c>
      <c r="Y123" s="189">
        <v>0.60359800000000008</v>
      </c>
      <c r="Z123" s="189">
        <v>0.60359800000000008</v>
      </c>
      <c r="AA123" s="189">
        <v>0.60359800000000008</v>
      </c>
      <c r="AB123" s="189">
        <v>0.60359800000000008</v>
      </c>
      <c r="AC123" s="189">
        <v>0.60359800000000008</v>
      </c>
      <c r="AD123" s="189">
        <v>0.60359800000000008</v>
      </c>
      <c r="AE123" s="189">
        <v>0.60359800000000008</v>
      </c>
      <c r="AF123" s="189">
        <v>0.60359800000000008</v>
      </c>
      <c r="AG123" s="189">
        <v>0.60359800000000008</v>
      </c>
      <c r="AH123" s="189">
        <v>0.60359800000000008</v>
      </c>
      <c r="AI123" s="189">
        <v>0.60359800000000008</v>
      </c>
      <c r="AJ123" s="189">
        <v>0.60359800000000008</v>
      </c>
    </row>
    <row r="124" spans="1:36" x14ac:dyDescent="0.35">
      <c r="A124" t="s">
        <v>1518</v>
      </c>
      <c r="B124" s="188" t="s">
        <v>1342</v>
      </c>
      <c r="C124" t="s">
        <v>1348</v>
      </c>
      <c r="D124" s="188">
        <v>30</v>
      </c>
      <c r="E124" t="s">
        <v>1500</v>
      </c>
      <c r="F124" t="s">
        <v>1516</v>
      </c>
      <c r="G124" s="189" t="s">
        <v>1517</v>
      </c>
      <c r="H124" s="189">
        <v>0.49074600000000013</v>
      </c>
      <c r="I124" s="189">
        <v>0.50485250000000015</v>
      </c>
      <c r="J124" s="189">
        <v>0.51895900000000017</v>
      </c>
      <c r="K124" s="189">
        <v>0.53306550000000019</v>
      </c>
      <c r="L124" s="189">
        <v>0.54717200000000021</v>
      </c>
      <c r="M124" s="189">
        <v>0.56127850000000024</v>
      </c>
      <c r="N124" s="189">
        <v>0.57538500000000026</v>
      </c>
      <c r="O124" s="189">
        <v>0.58949150000000028</v>
      </c>
      <c r="P124" s="189">
        <v>0.60359800000000008</v>
      </c>
      <c r="Q124" s="189">
        <v>0.60359800000000008</v>
      </c>
      <c r="R124" s="189">
        <v>0.60359800000000008</v>
      </c>
      <c r="S124" s="189">
        <v>0.60359800000000008</v>
      </c>
      <c r="T124" s="189">
        <v>0.60359800000000008</v>
      </c>
      <c r="U124" s="189">
        <v>0.60359800000000008</v>
      </c>
      <c r="V124" s="189">
        <v>0.60359800000000008</v>
      </c>
      <c r="W124" s="189">
        <v>0.60359800000000008</v>
      </c>
      <c r="X124" s="189">
        <v>0.60359800000000008</v>
      </c>
      <c r="Y124" s="189">
        <v>0.60359800000000008</v>
      </c>
      <c r="Z124" s="189">
        <v>0.60359800000000008</v>
      </c>
      <c r="AA124" s="189">
        <v>0.60359800000000008</v>
      </c>
      <c r="AB124" s="189">
        <v>0.60359800000000008</v>
      </c>
      <c r="AC124" s="189">
        <v>0.60359800000000008</v>
      </c>
      <c r="AD124" s="189">
        <v>0.60359800000000008</v>
      </c>
      <c r="AE124" s="189">
        <v>0.60359800000000008</v>
      </c>
      <c r="AF124" s="189">
        <v>0.60359800000000008</v>
      </c>
      <c r="AG124" s="189">
        <v>0.60359800000000008</v>
      </c>
      <c r="AH124" s="189">
        <v>0.60359800000000008</v>
      </c>
      <c r="AI124" s="189">
        <v>0.60359800000000008</v>
      </c>
      <c r="AJ124" s="189">
        <v>0.60359800000000008</v>
      </c>
    </row>
    <row r="125" spans="1:36" x14ac:dyDescent="0.35">
      <c r="A125" t="s">
        <v>1519</v>
      </c>
      <c r="B125" s="188" t="s">
        <v>1342</v>
      </c>
      <c r="C125" t="s">
        <v>1350</v>
      </c>
      <c r="D125" s="188">
        <v>30</v>
      </c>
      <c r="E125" t="s">
        <v>1500</v>
      </c>
      <c r="F125" t="s">
        <v>1516</v>
      </c>
      <c r="G125" s="189" t="s">
        <v>1517</v>
      </c>
      <c r="H125" s="189">
        <v>0.49074600000000013</v>
      </c>
      <c r="I125" s="189">
        <v>0.50485250000000015</v>
      </c>
      <c r="J125" s="189">
        <v>0.51895900000000017</v>
      </c>
      <c r="K125" s="189">
        <v>0.53306550000000019</v>
      </c>
      <c r="L125" s="189">
        <v>0.54717200000000021</v>
      </c>
      <c r="M125" s="189">
        <v>0.56127850000000024</v>
      </c>
      <c r="N125" s="189">
        <v>0.57538500000000026</v>
      </c>
      <c r="O125" s="189">
        <v>0.58949150000000028</v>
      </c>
      <c r="P125" s="189">
        <v>0.60359800000000008</v>
      </c>
      <c r="Q125" s="189">
        <v>0.60359800000000008</v>
      </c>
      <c r="R125" s="189">
        <v>0.60359800000000008</v>
      </c>
      <c r="S125" s="189">
        <v>0.60359800000000008</v>
      </c>
      <c r="T125" s="189">
        <v>0.60359800000000008</v>
      </c>
      <c r="U125" s="189">
        <v>0.60359800000000008</v>
      </c>
      <c r="V125" s="189">
        <v>0.60359800000000008</v>
      </c>
      <c r="W125" s="189">
        <v>0.60359800000000008</v>
      </c>
      <c r="X125" s="189">
        <v>0.60359800000000008</v>
      </c>
      <c r="Y125" s="189">
        <v>0.60359800000000008</v>
      </c>
      <c r="Z125" s="189">
        <v>0.60359800000000008</v>
      </c>
      <c r="AA125" s="189">
        <v>0.60359800000000008</v>
      </c>
      <c r="AB125" s="189">
        <v>0.60359800000000008</v>
      </c>
      <c r="AC125" s="189">
        <v>0.60359800000000008</v>
      </c>
      <c r="AD125" s="189">
        <v>0.60359800000000008</v>
      </c>
      <c r="AE125" s="189">
        <v>0.60359800000000008</v>
      </c>
      <c r="AF125" s="189">
        <v>0.60359800000000008</v>
      </c>
      <c r="AG125" s="189">
        <v>0.60359800000000008</v>
      </c>
      <c r="AH125" s="189">
        <v>0.60359800000000008</v>
      </c>
      <c r="AI125" s="189">
        <v>0.60359800000000008</v>
      </c>
      <c r="AJ125" s="189">
        <v>0.60359800000000008</v>
      </c>
    </row>
    <row r="126" spans="1:36" x14ac:dyDescent="0.35">
      <c r="A126" t="s">
        <v>1520</v>
      </c>
      <c r="B126" s="188" t="s">
        <v>1342</v>
      </c>
      <c r="C126" t="s">
        <v>1343</v>
      </c>
      <c r="D126" s="188">
        <v>30</v>
      </c>
      <c r="E126" t="s">
        <v>1500</v>
      </c>
      <c r="F126" t="s">
        <v>1521</v>
      </c>
      <c r="G126" s="189" t="s">
        <v>1522</v>
      </c>
      <c r="H126" s="189">
        <v>0.37698620000000005</v>
      </c>
      <c r="I126" s="189">
        <v>0.38765730000000009</v>
      </c>
      <c r="J126" s="189">
        <v>0.39832840000000008</v>
      </c>
      <c r="K126" s="189">
        <v>0.40899950000000007</v>
      </c>
      <c r="L126" s="189">
        <v>0.41967060000000006</v>
      </c>
      <c r="M126" s="189">
        <v>0.43034170000000005</v>
      </c>
      <c r="N126" s="189">
        <v>0.44101280000000009</v>
      </c>
      <c r="O126" s="189">
        <v>0.45168390000000003</v>
      </c>
      <c r="P126" s="189">
        <v>0.46235499999999996</v>
      </c>
      <c r="Q126" s="189">
        <v>0.46235499999999996</v>
      </c>
      <c r="R126" s="189">
        <v>0.46235499999999996</v>
      </c>
      <c r="S126" s="189">
        <v>0.46235499999999996</v>
      </c>
      <c r="T126" s="189">
        <v>0.46235499999999996</v>
      </c>
      <c r="U126" s="189">
        <v>0.46235499999999996</v>
      </c>
      <c r="V126" s="189">
        <v>0.46235499999999996</v>
      </c>
      <c r="W126" s="189">
        <v>0.46235499999999996</v>
      </c>
      <c r="X126" s="189">
        <v>0.46235499999999996</v>
      </c>
      <c r="Y126" s="189">
        <v>0.46235499999999996</v>
      </c>
      <c r="Z126" s="189">
        <v>0.46235499999999996</v>
      </c>
      <c r="AA126" s="189">
        <v>0.46235499999999996</v>
      </c>
      <c r="AB126" s="189">
        <v>0.46235499999999996</v>
      </c>
      <c r="AC126" s="189">
        <v>0.46235499999999996</v>
      </c>
      <c r="AD126" s="189">
        <v>0.46235499999999996</v>
      </c>
      <c r="AE126" s="189">
        <v>0.46235499999999996</v>
      </c>
      <c r="AF126" s="189">
        <v>0.46235499999999996</v>
      </c>
      <c r="AG126" s="189">
        <v>0.46235499999999996</v>
      </c>
      <c r="AH126" s="189">
        <v>0.46235499999999996</v>
      </c>
      <c r="AI126" s="189">
        <v>0.46235499999999996</v>
      </c>
      <c r="AJ126" s="189">
        <v>0.46235499999999996</v>
      </c>
    </row>
    <row r="127" spans="1:36" x14ac:dyDescent="0.35">
      <c r="A127" t="s">
        <v>1523</v>
      </c>
      <c r="B127" s="188" t="s">
        <v>1342</v>
      </c>
      <c r="C127" t="s">
        <v>1348</v>
      </c>
      <c r="D127" s="188">
        <v>30</v>
      </c>
      <c r="E127" t="s">
        <v>1500</v>
      </c>
      <c r="F127" t="s">
        <v>1521</v>
      </c>
      <c r="G127" s="189" t="s">
        <v>1522</v>
      </c>
      <c r="H127" s="189">
        <v>0.37698620000000005</v>
      </c>
      <c r="I127" s="189">
        <v>0.38765730000000009</v>
      </c>
      <c r="J127" s="189">
        <v>0.39832840000000008</v>
      </c>
      <c r="K127" s="189">
        <v>0.40899950000000007</v>
      </c>
      <c r="L127" s="189">
        <v>0.41967060000000006</v>
      </c>
      <c r="M127" s="189">
        <v>0.43034170000000005</v>
      </c>
      <c r="N127" s="189">
        <v>0.44101280000000009</v>
      </c>
      <c r="O127" s="189">
        <v>0.45168390000000003</v>
      </c>
      <c r="P127" s="189">
        <v>0.46235499999999996</v>
      </c>
      <c r="Q127" s="189">
        <v>0.46235499999999996</v>
      </c>
      <c r="R127" s="189">
        <v>0.46235499999999996</v>
      </c>
      <c r="S127" s="189">
        <v>0.46235499999999996</v>
      </c>
      <c r="T127" s="189">
        <v>0.46235499999999996</v>
      </c>
      <c r="U127" s="189">
        <v>0.46235499999999996</v>
      </c>
      <c r="V127" s="189">
        <v>0.46235499999999996</v>
      </c>
      <c r="W127" s="189">
        <v>0.46235499999999996</v>
      </c>
      <c r="X127" s="189">
        <v>0.46235499999999996</v>
      </c>
      <c r="Y127" s="189">
        <v>0.46235499999999996</v>
      </c>
      <c r="Z127" s="189">
        <v>0.46235499999999996</v>
      </c>
      <c r="AA127" s="189">
        <v>0.46235499999999996</v>
      </c>
      <c r="AB127" s="189">
        <v>0.46235499999999996</v>
      </c>
      <c r="AC127" s="189">
        <v>0.46235499999999996</v>
      </c>
      <c r="AD127" s="189">
        <v>0.46235499999999996</v>
      </c>
      <c r="AE127" s="189">
        <v>0.46235499999999996</v>
      </c>
      <c r="AF127" s="189">
        <v>0.46235499999999996</v>
      </c>
      <c r="AG127" s="189">
        <v>0.46235499999999996</v>
      </c>
      <c r="AH127" s="189">
        <v>0.46235499999999996</v>
      </c>
      <c r="AI127" s="189">
        <v>0.46235499999999996</v>
      </c>
      <c r="AJ127" s="189">
        <v>0.46235499999999996</v>
      </c>
    </row>
    <row r="128" spans="1:36" x14ac:dyDescent="0.35">
      <c r="A128" t="s">
        <v>1524</v>
      </c>
      <c r="B128" s="188" t="s">
        <v>1342</v>
      </c>
      <c r="C128" t="s">
        <v>1350</v>
      </c>
      <c r="D128" s="188">
        <v>30</v>
      </c>
      <c r="E128" t="s">
        <v>1500</v>
      </c>
      <c r="F128" t="s">
        <v>1521</v>
      </c>
      <c r="G128" s="189" t="s">
        <v>1522</v>
      </c>
      <c r="H128" s="189">
        <v>0.37698620000000005</v>
      </c>
      <c r="I128" s="189">
        <v>0.38765730000000009</v>
      </c>
      <c r="J128" s="189">
        <v>0.39832840000000008</v>
      </c>
      <c r="K128" s="189">
        <v>0.40899950000000007</v>
      </c>
      <c r="L128" s="189">
        <v>0.41967060000000006</v>
      </c>
      <c r="M128" s="189">
        <v>0.43034170000000005</v>
      </c>
      <c r="N128" s="189">
        <v>0.44101280000000009</v>
      </c>
      <c r="O128" s="189">
        <v>0.45168390000000003</v>
      </c>
      <c r="P128" s="189">
        <v>0.46235499999999996</v>
      </c>
      <c r="Q128" s="189">
        <v>0.46235499999999996</v>
      </c>
      <c r="R128" s="189">
        <v>0.46235499999999996</v>
      </c>
      <c r="S128" s="189">
        <v>0.46235499999999996</v>
      </c>
      <c r="T128" s="189">
        <v>0.46235499999999996</v>
      </c>
      <c r="U128" s="189">
        <v>0.46235499999999996</v>
      </c>
      <c r="V128" s="189">
        <v>0.46235499999999996</v>
      </c>
      <c r="W128" s="189">
        <v>0.46235499999999996</v>
      </c>
      <c r="X128" s="189">
        <v>0.46235499999999996</v>
      </c>
      <c r="Y128" s="189">
        <v>0.46235499999999996</v>
      </c>
      <c r="Z128" s="189">
        <v>0.46235499999999996</v>
      </c>
      <c r="AA128" s="189">
        <v>0.46235499999999996</v>
      </c>
      <c r="AB128" s="189">
        <v>0.46235499999999996</v>
      </c>
      <c r="AC128" s="189">
        <v>0.46235499999999996</v>
      </c>
      <c r="AD128" s="189">
        <v>0.46235499999999996</v>
      </c>
      <c r="AE128" s="189">
        <v>0.46235499999999996</v>
      </c>
      <c r="AF128" s="189">
        <v>0.46235499999999996</v>
      </c>
      <c r="AG128" s="189">
        <v>0.46235499999999996</v>
      </c>
      <c r="AH128" s="189">
        <v>0.46235499999999996</v>
      </c>
      <c r="AI128" s="189">
        <v>0.46235499999999996</v>
      </c>
      <c r="AJ128" s="189">
        <v>0.46235499999999996</v>
      </c>
    </row>
    <row r="129" spans="1:36" x14ac:dyDescent="0.35">
      <c r="A129" t="s">
        <v>1525</v>
      </c>
      <c r="B129" s="188" t="s">
        <v>1342</v>
      </c>
      <c r="C129" t="s">
        <v>1343</v>
      </c>
      <c r="D129" s="188">
        <v>30</v>
      </c>
      <c r="E129" t="s">
        <v>1500</v>
      </c>
      <c r="F129" t="s">
        <v>1526</v>
      </c>
      <c r="G129" s="189" t="s">
        <v>1527</v>
      </c>
      <c r="H129" s="189">
        <v>0.425954</v>
      </c>
      <c r="I129" s="189">
        <v>0.43988249999999995</v>
      </c>
      <c r="J129" s="189">
        <v>0.45381100000000002</v>
      </c>
      <c r="K129" s="189">
        <v>0.46773950000000009</v>
      </c>
      <c r="L129" s="189">
        <v>0.4816680000000001</v>
      </c>
      <c r="M129" s="189">
        <v>0.49559650000000016</v>
      </c>
      <c r="N129" s="189">
        <v>0.50952500000000023</v>
      </c>
      <c r="O129" s="189">
        <v>0.52345350000000024</v>
      </c>
      <c r="P129" s="189">
        <v>0.53738200000000003</v>
      </c>
      <c r="Q129" s="189">
        <v>0.53738200000000003</v>
      </c>
      <c r="R129" s="189">
        <v>0.53738200000000003</v>
      </c>
      <c r="S129" s="189">
        <v>0.53738200000000003</v>
      </c>
      <c r="T129" s="189">
        <v>0.53738200000000003</v>
      </c>
      <c r="U129" s="189">
        <v>0.53738200000000003</v>
      </c>
      <c r="V129" s="189">
        <v>0.53738200000000003</v>
      </c>
      <c r="W129" s="189">
        <v>0.53738200000000003</v>
      </c>
      <c r="X129" s="189">
        <v>0.53738200000000003</v>
      </c>
      <c r="Y129" s="189">
        <v>0.53738200000000003</v>
      </c>
      <c r="Z129" s="189">
        <v>0.53738200000000003</v>
      </c>
      <c r="AA129" s="189">
        <v>0.53738200000000003</v>
      </c>
      <c r="AB129" s="189">
        <v>0.53738200000000003</v>
      </c>
      <c r="AC129" s="189">
        <v>0.53738200000000003</v>
      </c>
      <c r="AD129" s="189">
        <v>0.53738200000000003</v>
      </c>
      <c r="AE129" s="189">
        <v>0.53738200000000003</v>
      </c>
      <c r="AF129" s="189">
        <v>0.53738200000000003</v>
      </c>
      <c r="AG129" s="189">
        <v>0.53738200000000003</v>
      </c>
      <c r="AH129" s="189">
        <v>0.53738200000000003</v>
      </c>
      <c r="AI129" s="189">
        <v>0.53738200000000003</v>
      </c>
      <c r="AJ129" s="189">
        <v>0.53738200000000003</v>
      </c>
    </row>
    <row r="130" spans="1:36" x14ac:dyDescent="0.35">
      <c r="A130" t="s">
        <v>1528</v>
      </c>
      <c r="B130" s="188" t="s">
        <v>1342</v>
      </c>
      <c r="C130" t="s">
        <v>1348</v>
      </c>
      <c r="D130" s="188">
        <v>30</v>
      </c>
      <c r="E130" t="s">
        <v>1500</v>
      </c>
      <c r="F130" t="s">
        <v>1526</v>
      </c>
      <c r="G130" s="189" t="s">
        <v>1527</v>
      </c>
      <c r="H130" s="189">
        <v>0.425954</v>
      </c>
      <c r="I130" s="189">
        <v>0.43988249999999995</v>
      </c>
      <c r="J130" s="189">
        <v>0.45381100000000002</v>
      </c>
      <c r="K130" s="189">
        <v>0.46773950000000009</v>
      </c>
      <c r="L130" s="189">
        <v>0.4816680000000001</v>
      </c>
      <c r="M130" s="189">
        <v>0.49559650000000016</v>
      </c>
      <c r="N130" s="189">
        <v>0.50952500000000023</v>
      </c>
      <c r="O130" s="189">
        <v>0.52345350000000024</v>
      </c>
      <c r="P130" s="189">
        <v>0.53738200000000003</v>
      </c>
      <c r="Q130" s="189">
        <v>0.53738200000000003</v>
      </c>
      <c r="R130" s="189">
        <v>0.53738200000000003</v>
      </c>
      <c r="S130" s="189">
        <v>0.53738200000000003</v>
      </c>
      <c r="T130" s="189">
        <v>0.53738200000000003</v>
      </c>
      <c r="U130" s="189">
        <v>0.53738200000000003</v>
      </c>
      <c r="V130" s="189">
        <v>0.53738200000000003</v>
      </c>
      <c r="W130" s="189">
        <v>0.53738200000000003</v>
      </c>
      <c r="X130" s="189">
        <v>0.53738200000000003</v>
      </c>
      <c r="Y130" s="189">
        <v>0.53738200000000003</v>
      </c>
      <c r="Z130" s="189">
        <v>0.53738200000000003</v>
      </c>
      <c r="AA130" s="189">
        <v>0.53738200000000003</v>
      </c>
      <c r="AB130" s="189">
        <v>0.53738200000000003</v>
      </c>
      <c r="AC130" s="189">
        <v>0.53738200000000003</v>
      </c>
      <c r="AD130" s="189">
        <v>0.53738200000000003</v>
      </c>
      <c r="AE130" s="189">
        <v>0.53738200000000003</v>
      </c>
      <c r="AF130" s="189">
        <v>0.53738200000000003</v>
      </c>
      <c r="AG130" s="189">
        <v>0.53738200000000003</v>
      </c>
      <c r="AH130" s="189">
        <v>0.53738200000000003</v>
      </c>
      <c r="AI130" s="189">
        <v>0.53738200000000003</v>
      </c>
      <c r="AJ130" s="189">
        <v>0.53738200000000003</v>
      </c>
    </row>
    <row r="131" spans="1:36" x14ac:dyDescent="0.35">
      <c r="A131" t="s">
        <v>1529</v>
      </c>
      <c r="B131" s="188" t="s">
        <v>1342</v>
      </c>
      <c r="C131" t="s">
        <v>1350</v>
      </c>
      <c r="D131" s="188">
        <v>30</v>
      </c>
      <c r="E131" t="s">
        <v>1500</v>
      </c>
      <c r="F131" t="s">
        <v>1526</v>
      </c>
      <c r="G131" s="189" t="s">
        <v>1527</v>
      </c>
      <c r="H131" s="189">
        <v>0.425954</v>
      </c>
      <c r="I131" s="189">
        <v>0.43988249999999995</v>
      </c>
      <c r="J131" s="189">
        <v>0.45381100000000002</v>
      </c>
      <c r="K131" s="189">
        <v>0.46773950000000009</v>
      </c>
      <c r="L131" s="189">
        <v>0.4816680000000001</v>
      </c>
      <c r="M131" s="189">
        <v>0.49559650000000016</v>
      </c>
      <c r="N131" s="189">
        <v>0.50952500000000023</v>
      </c>
      <c r="O131" s="189">
        <v>0.52345350000000024</v>
      </c>
      <c r="P131" s="189">
        <v>0.53738200000000003</v>
      </c>
      <c r="Q131" s="189">
        <v>0.53738200000000003</v>
      </c>
      <c r="R131" s="189">
        <v>0.53738200000000003</v>
      </c>
      <c r="S131" s="189">
        <v>0.53738200000000003</v>
      </c>
      <c r="T131" s="189">
        <v>0.53738200000000003</v>
      </c>
      <c r="U131" s="189">
        <v>0.53738200000000003</v>
      </c>
      <c r="V131" s="189">
        <v>0.53738200000000003</v>
      </c>
      <c r="W131" s="189">
        <v>0.53738200000000003</v>
      </c>
      <c r="X131" s="189">
        <v>0.53738200000000003</v>
      </c>
      <c r="Y131" s="189">
        <v>0.53738200000000003</v>
      </c>
      <c r="Z131" s="189">
        <v>0.53738200000000003</v>
      </c>
      <c r="AA131" s="189">
        <v>0.53738200000000003</v>
      </c>
      <c r="AB131" s="189">
        <v>0.53738200000000003</v>
      </c>
      <c r="AC131" s="189">
        <v>0.53738200000000003</v>
      </c>
      <c r="AD131" s="189">
        <v>0.53738200000000003</v>
      </c>
      <c r="AE131" s="189">
        <v>0.53738200000000003</v>
      </c>
      <c r="AF131" s="189">
        <v>0.53738200000000003</v>
      </c>
      <c r="AG131" s="189">
        <v>0.53738200000000003</v>
      </c>
      <c r="AH131" s="189">
        <v>0.53738200000000003</v>
      </c>
      <c r="AI131" s="189">
        <v>0.53738200000000003</v>
      </c>
      <c r="AJ131" s="189">
        <v>0.53738200000000003</v>
      </c>
    </row>
    <row r="132" spans="1:36" x14ac:dyDescent="0.35">
      <c r="A132" t="s">
        <v>1530</v>
      </c>
      <c r="B132" s="188" t="s">
        <v>1342</v>
      </c>
      <c r="C132" t="s">
        <v>1343</v>
      </c>
      <c r="D132" s="188">
        <v>30</v>
      </c>
      <c r="E132" t="s">
        <v>1500</v>
      </c>
      <c r="F132" t="s">
        <v>1531</v>
      </c>
      <c r="G132" s="189" t="s">
        <v>1532</v>
      </c>
      <c r="H132" s="189">
        <v>0.40224440000000006</v>
      </c>
      <c r="I132" s="189">
        <v>0.42073860000000007</v>
      </c>
      <c r="J132" s="189">
        <v>0.43923280000000009</v>
      </c>
      <c r="K132" s="189">
        <v>0.45772700000000011</v>
      </c>
      <c r="L132" s="189">
        <v>0.47622120000000012</v>
      </c>
      <c r="M132" s="189">
        <v>0.49471540000000014</v>
      </c>
      <c r="N132" s="189">
        <v>0.51320960000000015</v>
      </c>
      <c r="O132" s="189">
        <v>0.53170380000000017</v>
      </c>
      <c r="P132" s="189">
        <v>0.55019799999999996</v>
      </c>
      <c r="Q132" s="189">
        <v>0.55019799999999996</v>
      </c>
      <c r="R132" s="189">
        <v>0.55019799999999996</v>
      </c>
      <c r="S132" s="189">
        <v>0.55019799999999996</v>
      </c>
      <c r="T132" s="189">
        <v>0.55019799999999996</v>
      </c>
      <c r="U132" s="189">
        <v>0.55019799999999996</v>
      </c>
      <c r="V132" s="189">
        <v>0.55019799999999996</v>
      </c>
      <c r="W132" s="189">
        <v>0.55019799999999996</v>
      </c>
      <c r="X132" s="189">
        <v>0.55019799999999996</v>
      </c>
      <c r="Y132" s="189">
        <v>0.55019799999999996</v>
      </c>
      <c r="Z132" s="189">
        <v>0.55019799999999996</v>
      </c>
      <c r="AA132" s="189">
        <v>0.55019799999999996</v>
      </c>
      <c r="AB132" s="189">
        <v>0.55019799999999996</v>
      </c>
      <c r="AC132" s="189">
        <v>0.55019799999999996</v>
      </c>
      <c r="AD132" s="189">
        <v>0.55019799999999996</v>
      </c>
      <c r="AE132" s="189">
        <v>0.55019799999999996</v>
      </c>
      <c r="AF132" s="189">
        <v>0.55019799999999996</v>
      </c>
      <c r="AG132" s="189">
        <v>0.55019799999999996</v>
      </c>
      <c r="AH132" s="189">
        <v>0.55019799999999996</v>
      </c>
      <c r="AI132" s="189">
        <v>0.55019799999999996</v>
      </c>
      <c r="AJ132" s="189">
        <v>0.55019799999999996</v>
      </c>
    </row>
    <row r="133" spans="1:36" x14ac:dyDescent="0.35">
      <c r="A133" t="s">
        <v>1533</v>
      </c>
      <c r="B133" s="188" t="s">
        <v>1342</v>
      </c>
      <c r="C133" t="s">
        <v>1348</v>
      </c>
      <c r="D133" s="188">
        <v>30</v>
      </c>
      <c r="E133" t="s">
        <v>1500</v>
      </c>
      <c r="F133" t="s">
        <v>1531</v>
      </c>
      <c r="G133" s="189" t="s">
        <v>1532</v>
      </c>
      <c r="H133" s="189">
        <v>0.40224440000000006</v>
      </c>
      <c r="I133" s="189">
        <v>0.42073860000000007</v>
      </c>
      <c r="J133" s="189">
        <v>0.43923280000000009</v>
      </c>
      <c r="K133" s="189">
        <v>0.45772700000000011</v>
      </c>
      <c r="L133" s="189">
        <v>0.47622120000000012</v>
      </c>
      <c r="M133" s="189">
        <v>0.49471540000000014</v>
      </c>
      <c r="N133" s="189">
        <v>0.51320960000000015</v>
      </c>
      <c r="O133" s="189">
        <v>0.53170380000000017</v>
      </c>
      <c r="P133" s="189">
        <v>0.55019799999999996</v>
      </c>
      <c r="Q133" s="189">
        <v>0.55019799999999996</v>
      </c>
      <c r="R133" s="189">
        <v>0.55019799999999996</v>
      </c>
      <c r="S133" s="189">
        <v>0.55019799999999996</v>
      </c>
      <c r="T133" s="189">
        <v>0.55019799999999996</v>
      </c>
      <c r="U133" s="189">
        <v>0.55019799999999996</v>
      </c>
      <c r="V133" s="189">
        <v>0.55019799999999996</v>
      </c>
      <c r="W133" s="189">
        <v>0.55019799999999996</v>
      </c>
      <c r="X133" s="189">
        <v>0.55019799999999996</v>
      </c>
      <c r="Y133" s="189">
        <v>0.55019799999999996</v>
      </c>
      <c r="Z133" s="189">
        <v>0.55019799999999996</v>
      </c>
      <c r="AA133" s="189">
        <v>0.55019799999999996</v>
      </c>
      <c r="AB133" s="189">
        <v>0.55019799999999996</v>
      </c>
      <c r="AC133" s="189">
        <v>0.55019799999999996</v>
      </c>
      <c r="AD133" s="189">
        <v>0.55019799999999996</v>
      </c>
      <c r="AE133" s="189">
        <v>0.55019799999999996</v>
      </c>
      <c r="AF133" s="189">
        <v>0.55019799999999996</v>
      </c>
      <c r="AG133" s="189">
        <v>0.55019799999999996</v>
      </c>
      <c r="AH133" s="189">
        <v>0.55019799999999996</v>
      </c>
      <c r="AI133" s="189">
        <v>0.55019799999999996</v>
      </c>
      <c r="AJ133" s="189">
        <v>0.55019799999999996</v>
      </c>
    </row>
    <row r="134" spans="1:36" x14ac:dyDescent="0.35">
      <c r="A134" t="s">
        <v>1534</v>
      </c>
      <c r="B134" s="188" t="s">
        <v>1342</v>
      </c>
      <c r="C134" t="s">
        <v>1350</v>
      </c>
      <c r="D134" s="188">
        <v>30</v>
      </c>
      <c r="E134" t="s">
        <v>1500</v>
      </c>
      <c r="F134" t="s">
        <v>1531</v>
      </c>
      <c r="G134" s="189" t="s">
        <v>1532</v>
      </c>
      <c r="H134" s="189">
        <v>0.40224440000000006</v>
      </c>
      <c r="I134" s="189">
        <v>0.42073860000000007</v>
      </c>
      <c r="J134" s="189">
        <v>0.43923280000000009</v>
      </c>
      <c r="K134" s="189">
        <v>0.45772700000000011</v>
      </c>
      <c r="L134" s="189">
        <v>0.47622120000000012</v>
      </c>
      <c r="M134" s="189">
        <v>0.49471540000000014</v>
      </c>
      <c r="N134" s="189">
        <v>0.51320960000000015</v>
      </c>
      <c r="O134" s="189">
        <v>0.53170380000000017</v>
      </c>
      <c r="P134" s="189">
        <v>0.55019799999999996</v>
      </c>
      <c r="Q134" s="189">
        <v>0.55019799999999996</v>
      </c>
      <c r="R134" s="189">
        <v>0.55019799999999996</v>
      </c>
      <c r="S134" s="189">
        <v>0.55019799999999996</v>
      </c>
      <c r="T134" s="189">
        <v>0.55019799999999996</v>
      </c>
      <c r="U134" s="189">
        <v>0.55019799999999996</v>
      </c>
      <c r="V134" s="189">
        <v>0.55019799999999996</v>
      </c>
      <c r="W134" s="189">
        <v>0.55019799999999996</v>
      </c>
      <c r="X134" s="189">
        <v>0.55019799999999996</v>
      </c>
      <c r="Y134" s="189">
        <v>0.55019799999999996</v>
      </c>
      <c r="Z134" s="189">
        <v>0.55019799999999996</v>
      </c>
      <c r="AA134" s="189">
        <v>0.55019799999999996</v>
      </c>
      <c r="AB134" s="189">
        <v>0.55019799999999996</v>
      </c>
      <c r="AC134" s="189">
        <v>0.55019799999999996</v>
      </c>
      <c r="AD134" s="189">
        <v>0.55019799999999996</v>
      </c>
      <c r="AE134" s="189">
        <v>0.55019799999999996</v>
      </c>
      <c r="AF134" s="189">
        <v>0.55019799999999996</v>
      </c>
      <c r="AG134" s="189">
        <v>0.55019799999999996</v>
      </c>
      <c r="AH134" s="189">
        <v>0.55019799999999996</v>
      </c>
      <c r="AI134" s="189">
        <v>0.55019799999999996</v>
      </c>
      <c r="AJ134" s="189">
        <v>0.55019799999999996</v>
      </c>
    </row>
    <row r="135" spans="1:36" x14ac:dyDescent="0.35">
      <c r="A135" t="s">
        <v>1535</v>
      </c>
      <c r="B135" s="188" t="s">
        <v>1342</v>
      </c>
      <c r="C135" t="s">
        <v>1343</v>
      </c>
      <c r="D135" s="188">
        <v>30</v>
      </c>
      <c r="E135" t="s">
        <v>1500</v>
      </c>
      <c r="F135" t="s">
        <v>1536</v>
      </c>
      <c r="G135" s="189" t="s">
        <v>1537</v>
      </c>
      <c r="H135" s="189">
        <v>0.45320579999999999</v>
      </c>
      <c r="I135" s="189">
        <v>0.46807770000000004</v>
      </c>
      <c r="J135" s="189">
        <v>0.48294960000000003</v>
      </c>
      <c r="K135" s="189">
        <v>0.49782150000000003</v>
      </c>
      <c r="L135" s="189">
        <v>0.51269340000000008</v>
      </c>
      <c r="M135" s="189">
        <v>0.52756530000000001</v>
      </c>
      <c r="N135" s="189">
        <v>0.54243720000000006</v>
      </c>
      <c r="O135" s="189">
        <v>0.5573091</v>
      </c>
      <c r="P135" s="189">
        <v>0.57218100000000005</v>
      </c>
      <c r="Q135" s="189">
        <v>0.57218100000000005</v>
      </c>
      <c r="R135" s="189">
        <v>0.57218100000000005</v>
      </c>
      <c r="S135" s="189">
        <v>0.57218100000000005</v>
      </c>
      <c r="T135" s="189">
        <v>0.57218100000000005</v>
      </c>
      <c r="U135" s="189">
        <v>0.57218100000000005</v>
      </c>
      <c r="V135" s="189">
        <v>0.57218100000000005</v>
      </c>
      <c r="W135" s="189">
        <v>0.57218100000000005</v>
      </c>
      <c r="X135" s="189">
        <v>0.57218100000000005</v>
      </c>
      <c r="Y135" s="189">
        <v>0.57218100000000005</v>
      </c>
      <c r="Z135" s="189">
        <v>0.57218100000000005</v>
      </c>
      <c r="AA135" s="189">
        <v>0.57218100000000005</v>
      </c>
      <c r="AB135" s="189">
        <v>0.57218100000000005</v>
      </c>
      <c r="AC135" s="189">
        <v>0.57218100000000005</v>
      </c>
      <c r="AD135" s="189">
        <v>0.57218100000000005</v>
      </c>
      <c r="AE135" s="189">
        <v>0.57218100000000005</v>
      </c>
      <c r="AF135" s="189">
        <v>0.57218100000000005</v>
      </c>
      <c r="AG135" s="189">
        <v>0.57218100000000005</v>
      </c>
      <c r="AH135" s="189">
        <v>0.57218100000000005</v>
      </c>
      <c r="AI135" s="189">
        <v>0.57218100000000005</v>
      </c>
      <c r="AJ135" s="189">
        <v>0.57218100000000005</v>
      </c>
    </row>
    <row r="136" spans="1:36" x14ac:dyDescent="0.35">
      <c r="A136" t="s">
        <v>1538</v>
      </c>
      <c r="B136" s="188" t="s">
        <v>1342</v>
      </c>
      <c r="C136" t="s">
        <v>1348</v>
      </c>
      <c r="D136" s="188">
        <v>30</v>
      </c>
      <c r="E136" t="s">
        <v>1500</v>
      </c>
      <c r="F136" t="s">
        <v>1536</v>
      </c>
      <c r="G136" s="189" t="s">
        <v>1537</v>
      </c>
      <c r="H136" s="189">
        <v>0.45320579999999999</v>
      </c>
      <c r="I136" s="189">
        <v>0.46807770000000004</v>
      </c>
      <c r="J136" s="189">
        <v>0.48294960000000003</v>
      </c>
      <c r="K136" s="189">
        <v>0.49782150000000003</v>
      </c>
      <c r="L136" s="189">
        <v>0.51269340000000008</v>
      </c>
      <c r="M136" s="189">
        <v>0.52756530000000001</v>
      </c>
      <c r="N136" s="189">
        <v>0.54243720000000006</v>
      </c>
      <c r="O136" s="189">
        <v>0.5573091</v>
      </c>
      <c r="P136" s="189">
        <v>0.57218100000000005</v>
      </c>
      <c r="Q136" s="189">
        <v>0.57218100000000005</v>
      </c>
      <c r="R136" s="189">
        <v>0.57218100000000005</v>
      </c>
      <c r="S136" s="189">
        <v>0.57218100000000005</v>
      </c>
      <c r="T136" s="189">
        <v>0.57218100000000005</v>
      </c>
      <c r="U136" s="189">
        <v>0.57218100000000005</v>
      </c>
      <c r="V136" s="189">
        <v>0.57218100000000005</v>
      </c>
      <c r="W136" s="189">
        <v>0.57218100000000005</v>
      </c>
      <c r="X136" s="189">
        <v>0.57218100000000005</v>
      </c>
      <c r="Y136" s="189">
        <v>0.57218100000000005</v>
      </c>
      <c r="Z136" s="189">
        <v>0.57218100000000005</v>
      </c>
      <c r="AA136" s="189">
        <v>0.57218100000000005</v>
      </c>
      <c r="AB136" s="189">
        <v>0.57218100000000005</v>
      </c>
      <c r="AC136" s="189">
        <v>0.57218100000000005</v>
      </c>
      <c r="AD136" s="189">
        <v>0.57218100000000005</v>
      </c>
      <c r="AE136" s="189">
        <v>0.57218100000000005</v>
      </c>
      <c r="AF136" s="189">
        <v>0.57218100000000005</v>
      </c>
      <c r="AG136" s="189">
        <v>0.57218100000000005</v>
      </c>
      <c r="AH136" s="189">
        <v>0.57218100000000005</v>
      </c>
      <c r="AI136" s="189">
        <v>0.57218100000000005</v>
      </c>
      <c r="AJ136" s="189">
        <v>0.57218100000000005</v>
      </c>
    </row>
    <row r="137" spans="1:36" x14ac:dyDescent="0.35">
      <c r="A137" t="s">
        <v>1539</v>
      </c>
      <c r="B137" s="188" t="s">
        <v>1342</v>
      </c>
      <c r="C137" t="s">
        <v>1350</v>
      </c>
      <c r="D137" s="188">
        <v>30</v>
      </c>
      <c r="E137" t="s">
        <v>1500</v>
      </c>
      <c r="F137" t="s">
        <v>1536</v>
      </c>
      <c r="G137" s="189" t="s">
        <v>1537</v>
      </c>
      <c r="H137" s="189">
        <v>0.45320579999999999</v>
      </c>
      <c r="I137" s="189">
        <v>0.46807770000000004</v>
      </c>
      <c r="J137" s="189">
        <v>0.48294960000000003</v>
      </c>
      <c r="K137" s="189">
        <v>0.49782150000000003</v>
      </c>
      <c r="L137" s="189">
        <v>0.51269340000000008</v>
      </c>
      <c r="M137" s="189">
        <v>0.52756530000000001</v>
      </c>
      <c r="N137" s="189">
        <v>0.54243720000000006</v>
      </c>
      <c r="O137" s="189">
        <v>0.5573091</v>
      </c>
      <c r="P137" s="189">
        <v>0.57218100000000005</v>
      </c>
      <c r="Q137" s="189">
        <v>0.57218100000000005</v>
      </c>
      <c r="R137" s="189">
        <v>0.57218100000000005</v>
      </c>
      <c r="S137" s="189">
        <v>0.57218100000000005</v>
      </c>
      <c r="T137" s="189">
        <v>0.57218100000000005</v>
      </c>
      <c r="U137" s="189">
        <v>0.57218100000000005</v>
      </c>
      <c r="V137" s="189">
        <v>0.57218100000000005</v>
      </c>
      <c r="W137" s="189">
        <v>0.57218100000000005</v>
      </c>
      <c r="X137" s="189">
        <v>0.57218100000000005</v>
      </c>
      <c r="Y137" s="189">
        <v>0.57218100000000005</v>
      </c>
      <c r="Z137" s="189">
        <v>0.57218100000000005</v>
      </c>
      <c r="AA137" s="189">
        <v>0.57218100000000005</v>
      </c>
      <c r="AB137" s="189">
        <v>0.57218100000000005</v>
      </c>
      <c r="AC137" s="189">
        <v>0.57218100000000005</v>
      </c>
      <c r="AD137" s="189">
        <v>0.57218100000000005</v>
      </c>
      <c r="AE137" s="189">
        <v>0.57218100000000005</v>
      </c>
      <c r="AF137" s="189">
        <v>0.57218100000000005</v>
      </c>
      <c r="AG137" s="189">
        <v>0.57218100000000005</v>
      </c>
      <c r="AH137" s="189">
        <v>0.57218100000000005</v>
      </c>
      <c r="AI137" s="189">
        <v>0.57218100000000005</v>
      </c>
      <c r="AJ137" s="189">
        <v>0.57218100000000005</v>
      </c>
    </row>
    <row r="138" spans="1:36" x14ac:dyDescent="0.35">
      <c r="A138" t="s">
        <v>1540</v>
      </c>
      <c r="B138" s="188" t="s">
        <v>1342</v>
      </c>
      <c r="C138" t="s">
        <v>1343</v>
      </c>
      <c r="D138" s="188">
        <v>30</v>
      </c>
      <c r="E138" t="s">
        <v>1500</v>
      </c>
      <c r="F138" t="s">
        <v>1541</v>
      </c>
      <c r="G138" s="189" t="s">
        <v>1542</v>
      </c>
      <c r="H138" s="189">
        <v>0.36594130000000002</v>
      </c>
      <c r="I138" s="189">
        <v>0.37668026250000003</v>
      </c>
      <c r="J138" s="189">
        <v>0.38741922500000003</v>
      </c>
      <c r="K138" s="189">
        <v>0.39815818750000004</v>
      </c>
      <c r="L138" s="189">
        <v>0.40889715000000004</v>
      </c>
      <c r="M138" s="189">
        <v>0.41963611250000005</v>
      </c>
      <c r="N138" s="189">
        <v>0.43037507500000005</v>
      </c>
      <c r="O138" s="189">
        <v>0.44111403750000006</v>
      </c>
      <c r="P138" s="189">
        <v>0.45185300000000006</v>
      </c>
      <c r="Q138" s="189">
        <v>0.45185300000000006</v>
      </c>
      <c r="R138" s="189">
        <v>0.45185300000000006</v>
      </c>
      <c r="S138" s="189">
        <v>0.45185300000000006</v>
      </c>
      <c r="T138" s="189">
        <v>0.45185300000000006</v>
      </c>
      <c r="U138" s="189">
        <v>0.45185300000000006</v>
      </c>
      <c r="V138" s="189">
        <v>0.45185300000000006</v>
      </c>
      <c r="W138" s="189">
        <v>0.45185300000000006</v>
      </c>
      <c r="X138" s="189">
        <v>0.45185300000000006</v>
      </c>
      <c r="Y138" s="189">
        <v>0.45185300000000006</v>
      </c>
      <c r="Z138" s="189">
        <v>0.45185300000000006</v>
      </c>
      <c r="AA138" s="189">
        <v>0.45185300000000006</v>
      </c>
      <c r="AB138" s="189">
        <v>0.45185300000000006</v>
      </c>
      <c r="AC138" s="189">
        <v>0.45185300000000006</v>
      </c>
      <c r="AD138" s="189">
        <v>0.45185300000000006</v>
      </c>
      <c r="AE138" s="189">
        <v>0.45185300000000006</v>
      </c>
      <c r="AF138" s="189">
        <v>0.45185300000000006</v>
      </c>
      <c r="AG138" s="189">
        <v>0.45185300000000006</v>
      </c>
      <c r="AH138" s="189">
        <v>0.45185300000000006</v>
      </c>
      <c r="AI138" s="189">
        <v>0.45185300000000006</v>
      </c>
      <c r="AJ138" s="189">
        <v>0.45185300000000006</v>
      </c>
    </row>
    <row r="139" spans="1:36" x14ac:dyDescent="0.35">
      <c r="A139" t="s">
        <v>1543</v>
      </c>
      <c r="B139" s="188" t="s">
        <v>1342</v>
      </c>
      <c r="C139" t="s">
        <v>1348</v>
      </c>
      <c r="D139" s="188">
        <v>30</v>
      </c>
      <c r="E139" t="s">
        <v>1500</v>
      </c>
      <c r="F139" t="s">
        <v>1541</v>
      </c>
      <c r="G139" s="189" t="s">
        <v>1542</v>
      </c>
      <c r="H139" s="189">
        <v>0.36594130000000002</v>
      </c>
      <c r="I139" s="189">
        <v>0.37668026250000003</v>
      </c>
      <c r="J139" s="189">
        <v>0.38741922500000003</v>
      </c>
      <c r="K139" s="189">
        <v>0.39815818750000004</v>
      </c>
      <c r="L139" s="189">
        <v>0.40889715000000004</v>
      </c>
      <c r="M139" s="189">
        <v>0.41963611250000005</v>
      </c>
      <c r="N139" s="189">
        <v>0.43037507500000005</v>
      </c>
      <c r="O139" s="189">
        <v>0.44111403750000006</v>
      </c>
      <c r="P139" s="189">
        <v>0.45185300000000006</v>
      </c>
      <c r="Q139" s="189">
        <v>0.45185300000000006</v>
      </c>
      <c r="R139" s="189">
        <v>0.45185300000000006</v>
      </c>
      <c r="S139" s="189">
        <v>0.45185300000000006</v>
      </c>
      <c r="T139" s="189">
        <v>0.45185300000000006</v>
      </c>
      <c r="U139" s="189">
        <v>0.45185300000000006</v>
      </c>
      <c r="V139" s="189">
        <v>0.45185300000000006</v>
      </c>
      <c r="W139" s="189">
        <v>0.45185300000000006</v>
      </c>
      <c r="X139" s="189">
        <v>0.45185300000000006</v>
      </c>
      <c r="Y139" s="189">
        <v>0.45185300000000006</v>
      </c>
      <c r="Z139" s="189">
        <v>0.45185300000000006</v>
      </c>
      <c r="AA139" s="189">
        <v>0.45185300000000006</v>
      </c>
      <c r="AB139" s="189">
        <v>0.45185300000000006</v>
      </c>
      <c r="AC139" s="189">
        <v>0.45185300000000006</v>
      </c>
      <c r="AD139" s="189">
        <v>0.45185300000000006</v>
      </c>
      <c r="AE139" s="189">
        <v>0.45185300000000006</v>
      </c>
      <c r="AF139" s="189">
        <v>0.45185300000000006</v>
      </c>
      <c r="AG139" s="189">
        <v>0.45185300000000006</v>
      </c>
      <c r="AH139" s="189">
        <v>0.45185300000000006</v>
      </c>
      <c r="AI139" s="189">
        <v>0.45185300000000006</v>
      </c>
      <c r="AJ139" s="189">
        <v>0.45185300000000006</v>
      </c>
    </row>
    <row r="140" spans="1:36" x14ac:dyDescent="0.35">
      <c r="A140" t="s">
        <v>1544</v>
      </c>
      <c r="B140" s="188" t="s">
        <v>1342</v>
      </c>
      <c r="C140" t="s">
        <v>1350</v>
      </c>
      <c r="D140" s="188">
        <v>30</v>
      </c>
      <c r="E140" t="s">
        <v>1500</v>
      </c>
      <c r="F140" t="s">
        <v>1541</v>
      </c>
      <c r="G140" s="189" t="s">
        <v>1542</v>
      </c>
      <c r="H140" s="189">
        <v>0.36594130000000002</v>
      </c>
      <c r="I140" s="189">
        <v>0.37668026250000003</v>
      </c>
      <c r="J140" s="189">
        <v>0.38741922500000003</v>
      </c>
      <c r="K140" s="189">
        <v>0.39815818750000004</v>
      </c>
      <c r="L140" s="189">
        <v>0.40889715000000004</v>
      </c>
      <c r="M140" s="189">
        <v>0.41963611250000005</v>
      </c>
      <c r="N140" s="189">
        <v>0.43037507500000005</v>
      </c>
      <c r="O140" s="189">
        <v>0.44111403750000006</v>
      </c>
      <c r="P140" s="189">
        <v>0.45185300000000006</v>
      </c>
      <c r="Q140" s="189">
        <v>0.45185300000000006</v>
      </c>
      <c r="R140" s="189">
        <v>0.45185300000000006</v>
      </c>
      <c r="S140" s="189">
        <v>0.45185300000000006</v>
      </c>
      <c r="T140" s="189">
        <v>0.45185300000000006</v>
      </c>
      <c r="U140" s="189">
        <v>0.45185300000000006</v>
      </c>
      <c r="V140" s="189">
        <v>0.45185300000000006</v>
      </c>
      <c r="W140" s="189">
        <v>0.45185300000000006</v>
      </c>
      <c r="X140" s="189">
        <v>0.45185300000000006</v>
      </c>
      <c r="Y140" s="189">
        <v>0.45185300000000006</v>
      </c>
      <c r="Z140" s="189">
        <v>0.45185300000000006</v>
      </c>
      <c r="AA140" s="189">
        <v>0.45185300000000006</v>
      </c>
      <c r="AB140" s="189">
        <v>0.45185300000000006</v>
      </c>
      <c r="AC140" s="189">
        <v>0.45185300000000006</v>
      </c>
      <c r="AD140" s="189">
        <v>0.45185300000000006</v>
      </c>
      <c r="AE140" s="189">
        <v>0.45185300000000006</v>
      </c>
      <c r="AF140" s="189">
        <v>0.45185300000000006</v>
      </c>
      <c r="AG140" s="189">
        <v>0.45185300000000006</v>
      </c>
      <c r="AH140" s="189">
        <v>0.45185300000000006</v>
      </c>
      <c r="AI140" s="189">
        <v>0.45185300000000006</v>
      </c>
      <c r="AJ140" s="189">
        <v>0.45185300000000006</v>
      </c>
    </row>
    <row r="141" spans="1:36" x14ac:dyDescent="0.35">
      <c r="A141" t="s">
        <v>1545</v>
      </c>
      <c r="B141" s="188" t="s">
        <v>1342</v>
      </c>
      <c r="C141" t="s">
        <v>1343</v>
      </c>
      <c r="D141" s="188">
        <v>30</v>
      </c>
      <c r="E141" t="s">
        <v>1500</v>
      </c>
      <c r="F141" t="s">
        <v>1546</v>
      </c>
      <c r="G141" s="189" t="s">
        <v>1547</v>
      </c>
      <c r="H141" s="189">
        <v>0.41228359999999997</v>
      </c>
      <c r="I141" s="189">
        <v>0.4263634</v>
      </c>
      <c r="J141" s="189">
        <v>0.44044319999999998</v>
      </c>
      <c r="K141" s="189">
        <v>0.45452299999999995</v>
      </c>
      <c r="L141" s="189">
        <v>0.46860279999999987</v>
      </c>
      <c r="M141" s="189">
        <v>0.48268259999999985</v>
      </c>
      <c r="N141" s="189">
        <v>0.49676239999999983</v>
      </c>
      <c r="O141" s="189">
        <v>0.5108421999999998</v>
      </c>
      <c r="P141" s="189">
        <v>0.524922</v>
      </c>
      <c r="Q141" s="189">
        <v>0.524922</v>
      </c>
      <c r="R141" s="189">
        <v>0.524922</v>
      </c>
      <c r="S141" s="189">
        <v>0.524922</v>
      </c>
      <c r="T141" s="189">
        <v>0.524922</v>
      </c>
      <c r="U141" s="189">
        <v>0.524922</v>
      </c>
      <c r="V141" s="189">
        <v>0.524922</v>
      </c>
      <c r="W141" s="189">
        <v>0.524922</v>
      </c>
      <c r="X141" s="189">
        <v>0.524922</v>
      </c>
      <c r="Y141" s="189">
        <v>0.524922</v>
      </c>
      <c r="Z141" s="189">
        <v>0.524922</v>
      </c>
      <c r="AA141" s="189">
        <v>0.524922</v>
      </c>
      <c r="AB141" s="189">
        <v>0.524922</v>
      </c>
      <c r="AC141" s="189">
        <v>0.524922</v>
      </c>
      <c r="AD141" s="189">
        <v>0.524922</v>
      </c>
      <c r="AE141" s="189">
        <v>0.524922</v>
      </c>
      <c r="AF141" s="189">
        <v>0.524922</v>
      </c>
      <c r="AG141" s="189">
        <v>0.524922</v>
      </c>
      <c r="AH141" s="189">
        <v>0.524922</v>
      </c>
      <c r="AI141" s="189">
        <v>0.524922</v>
      </c>
      <c r="AJ141" s="189">
        <v>0.524922</v>
      </c>
    </row>
    <row r="142" spans="1:36" x14ac:dyDescent="0.35">
      <c r="A142" t="s">
        <v>1548</v>
      </c>
      <c r="B142" s="188" t="s">
        <v>1342</v>
      </c>
      <c r="C142" t="s">
        <v>1348</v>
      </c>
      <c r="D142" s="188">
        <v>30</v>
      </c>
      <c r="E142" t="s">
        <v>1500</v>
      </c>
      <c r="F142" t="s">
        <v>1546</v>
      </c>
      <c r="G142" s="189" t="s">
        <v>1547</v>
      </c>
      <c r="H142" s="189">
        <v>0.41228359999999997</v>
      </c>
      <c r="I142" s="189">
        <v>0.4263634</v>
      </c>
      <c r="J142" s="189">
        <v>0.44044319999999998</v>
      </c>
      <c r="K142" s="189">
        <v>0.45452299999999995</v>
      </c>
      <c r="L142" s="189">
        <v>0.46860279999999987</v>
      </c>
      <c r="M142" s="189">
        <v>0.48268259999999985</v>
      </c>
      <c r="N142" s="189">
        <v>0.49676239999999983</v>
      </c>
      <c r="O142" s="189">
        <v>0.5108421999999998</v>
      </c>
      <c r="P142" s="189">
        <v>0.524922</v>
      </c>
      <c r="Q142" s="189">
        <v>0.524922</v>
      </c>
      <c r="R142" s="189">
        <v>0.524922</v>
      </c>
      <c r="S142" s="189">
        <v>0.524922</v>
      </c>
      <c r="T142" s="189">
        <v>0.524922</v>
      </c>
      <c r="U142" s="189">
        <v>0.524922</v>
      </c>
      <c r="V142" s="189">
        <v>0.524922</v>
      </c>
      <c r="W142" s="189">
        <v>0.524922</v>
      </c>
      <c r="X142" s="189">
        <v>0.524922</v>
      </c>
      <c r="Y142" s="189">
        <v>0.524922</v>
      </c>
      <c r="Z142" s="189">
        <v>0.524922</v>
      </c>
      <c r="AA142" s="189">
        <v>0.524922</v>
      </c>
      <c r="AB142" s="189">
        <v>0.524922</v>
      </c>
      <c r="AC142" s="189">
        <v>0.524922</v>
      </c>
      <c r="AD142" s="189">
        <v>0.524922</v>
      </c>
      <c r="AE142" s="189">
        <v>0.524922</v>
      </c>
      <c r="AF142" s="189">
        <v>0.524922</v>
      </c>
      <c r="AG142" s="189">
        <v>0.524922</v>
      </c>
      <c r="AH142" s="189">
        <v>0.524922</v>
      </c>
      <c r="AI142" s="189">
        <v>0.524922</v>
      </c>
      <c r="AJ142" s="189">
        <v>0.524922</v>
      </c>
    </row>
    <row r="143" spans="1:36" x14ac:dyDescent="0.35">
      <c r="A143" t="s">
        <v>1549</v>
      </c>
      <c r="B143" s="188" t="s">
        <v>1342</v>
      </c>
      <c r="C143" t="s">
        <v>1350</v>
      </c>
      <c r="D143" s="188">
        <v>30</v>
      </c>
      <c r="E143" t="s">
        <v>1500</v>
      </c>
      <c r="F143" t="s">
        <v>1546</v>
      </c>
      <c r="G143" s="189" t="s">
        <v>1547</v>
      </c>
      <c r="H143" s="189">
        <v>0.41228359999999997</v>
      </c>
      <c r="I143" s="189">
        <v>0.4263634</v>
      </c>
      <c r="J143" s="189">
        <v>0.44044319999999998</v>
      </c>
      <c r="K143" s="189">
        <v>0.45452299999999995</v>
      </c>
      <c r="L143" s="189">
        <v>0.46860279999999987</v>
      </c>
      <c r="M143" s="189">
        <v>0.48268259999999985</v>
      </c>
      <c r="N143" s="189">
        <v>0.49676239999999983</v>
      </c>
      <c r="O143" s="189">
        <v>0.5108421999999998</v>
      </c>
      <c r="P143" s="189">
        <v>0.524922</v>
      </c>
      <c r="Q143" s="189">
        <v>0.524922</v>
      </c>
      <c r="R143" s="189">
        <v>0.524922</v>
      </c>
      <c r="S143" s="189">
        <v>0.524922</v>
      </c>
      <c r="T143" s="189">
        <v>0.524922</v>
      </c>
      <c r="U143" s="189">
        <v>0.524922</v>
      </c>
      <c r="V143" s="189">
        <v>0.524922</v>
      </c>
      <c r="W143" s="189">
        <v>0.524922</v>
      </c>
      <c r="X143" s="189">
        <v>0.524922</v>
      </c>
      <c r="Y143" s="189">
        <v>0.524922</v>
      </c>
      <c r="Z143" s="189">
        <v>0.524922</v>
      </c>
      <c r="AA143" s="189">
        <v>0.524922</v>
      </c>
      <c r="AB143" s="189">
        <v>0.524922</v>
      </c>
      <c r="AC143" s="189">
        <v>0.524922</v>
      </c>
      <c r="AD143" s="189">
        <v>0.524922</v>
      </c>
      <c r="AE143" s="189">
        <v>0.524922</v>
      </c>
      <c r="AF143" s="189">
        <v>0.524922</v>
      </c>
      <c r="AG143" s="189">
        <v>0.524922</v>
      </c>
      <c r="AH143" s="189">
        <v>0.524922</v>
      </c>
      <c r="AI143" s="189">
        <v>0.524922</v>
      </c>
      <c r="AJ143" s="189">
        <v>0.524922</v>
      </c>
    </row>
    <row r="144" spans="1:36" x14ac:dyDescent="0.35">
      <c r="A144" t="s">
        <v>1550</v>
      </c>
      <c r="B144" s="188" t="s">
        <v>1342</v>
      </c>
      <c r="C144" t="s">
        <v>1343</v>
      </c>
      <c r="D144" s="188">
        <v>30</v>
      </c>
      <c r="E144" t="s">
        <v>1500</v>
      </c>
      <c r="F144" t="s">
        <v>1551</v>
      </c>
      <c r="G144" s="189" t="s">
        <v>1552</v>
      </c>
      <c r="H144" s="189">
        <v>0.38878759999999996</v>
      </c>
      <c r="I144" s="189">
        <v>0.40745089999999995</v>
      </c>
      <c r="J144" s="189">
        <v>0.42611419999999994</v>
      </c>
      <c r="K144" s="189">
        <v>0.44477749999999994</v>
      </c>
      <c r="L144" s="189">
        <v>0.46344079999999999</v>
      </c>
      <c r="M144" s="189">
        <v>0.48210410000000004</v>
      </c>
      <c r="N144" s="189">
        <v>0.50076740000000008</v>
      </c>
      <c r="O144" s="189">
        <v>0.51943070000000013</v>
      </c>
      <c r="P144" s="189">
        <v>0.53809400000000007</v>
      </c>
      <c r="Q144" s="189">
        <v>0.53809400000000007</v>
      </c>
      <c r="R144" s="189">
        <v>0.53809400000000007</v>
      </c>
      <c r="S144" s="189">
        <v>0.53809400000000007</v>
      </c>
      <c r="T144" s="189">
        <v>0.53809400000000007</v>
      </c>
      <c r="U144" s="189">
        <v>0.53809400000000007</v>
      </c>
      <c r="V144" s="189">
        <v>0.53809400000000007</v>
      </c>
      <c r="W144" s="189">
        <v>0.53809400000000007</v>
      </c>
      <c r="X144" s="189">
        <v>0.53809400000000007</v>
      </c>
      <c r="Y144" s="189">
        <v>0.53809400000000007</v>
      </c>
      <c r="Z144" s="189">
        <v>0.53809400000000007</v>
      </c>
      <c r="AA144" s="189">
        <v>0.53809400000000007</v>
      </c>
      <c r="AB144" s="189">
        <v>0.53809400000000007</v>
      </c>
      <c r="AC144" s="189">
        <v>0.53809400000000007</v>
      </c>
      <c r="AD144" s="189">
        <v>0.53809400000000007</v>
      </c>
      <c r="AE144" s="189">
        <v>0.53809400000000007</v>
      </c>
      <c r="AF144" s="189">
        <v>0.53809400000000007</v>
      </c>
      <c r="AG144" s="189">
        <v>0.53809400000000007</v>
      </c>
      <c r="AH144" s="189">
        <v>0.53809400000000007</v>
      </c>
      <c r="AI144" s="189">
        <v>0.53809400000000007</v>
      </c>
      <c r="AJ144" s="189">
        <v>0.53809400000000007</v>
      </c>
    </row>
    <row r="145" spans="1:36" x14ac:dyDescent="0.35">
      <c r="A145" t="s">
        <v>1553</v>
      </c>
      <c r="B145" s="188" t="s">
        <v>1342</v>
      </c>
      <c r="C145" t="s">
        <v>1348</v>
      </c>
      <c r="D145" s="188">
        <v>30</v>
      </c>
      <c r="E145" t="s">
        <v>1500</v>
      </c>
      <c r="F145" t="s">
        <v>1551</v>
      </c>
      <c r="G145" s="189" t="s">
        <v>1552</v>
      </c>
      <c r="H145" s="189">
        <v>0.38878759999999996</v>
      </c>
      <c r="I145" s="189">
        <v>0.40745089999999995</v>
      </c>
      <c r="J145" s="189">
        <v>0.42611419999999994</v>
      </c>
      <c r="K145" s="189">
        <v>0.44477749999999994</v>
      </c>
      <c r="L145" s="189">
        <v>0.46344079999999999</v>
      </c>
      <c r="M145" s="189">
        <v>0.48210410000000004</v>
      </c>
      <c r="N145" s="189">
        <v>0.50076740000000008</v>
      </c>
      <c r="O145" s="189">
        <v>0.51943070000000013</v>
      </c>
      <c r="P145" s="189">
        <v>0.53809400000000007</v>
      </c>
      <c r="Q145" s="189">
        <v>0.53809400000000007</v>
      </c>
      <c r="R145" s="189">
        <v>0.53809400000000007</v>
      </c>
      <c r="S145" s="189">
        <v>0.53809400000000007</v>
      </c>
      <c r="T145" s="189">
        <v>0.53809400000000007</v>
      </c>
      <c r="U145" s="189">
        <v>0.53809400000000007</v>
      </c>
      <c r="V145" s="189">
        <v>0.53809400000000007</v>
      </c>
      <c r="W145" s="189">
        <v>0.53809400000000007</v>
      </c>
      <c r="X145" s="189">
        <v>0.53809400000000007</v>
      </c>
      <c r="Y145" s="189">
        <v>0.53809400000000007</v>
      </c>
      <c r="Z145" s="189">
        <v>0.53809400000000007</v>
      </c>
      <c r="AA145" s="189">
        <v>0.53809400000000007</v>
      </c>
      <c r="AB145" s="189">
        <v>0.53809400000000007</v>
      </c>
      <c r="AC145" s="189">
        <v>0.53809400000000007</v>
      </c>
      <c r="AD145" s="189">
        <v>0.53809400000000007</v>
      </c>
      <c r="AE145" s="189">
        <v>0.53809400000000007</v>
      </c>
      <c r="AF145" s="189">
        <v>0.53809400000000007</v>
      </c>
      <c r="AG145" s="189">
        <v>0.53809400000000007</v>
      </c>
      <c r="AH145" s="189">
        <v>0.53809400000000007</v>
      </c>
      <c r="AI145" s="189">
        <v>0.53809400000000007</v>
      </c>
      <c r="AJ145" s="189">
        <v>0.53809400000000007</v>
      </c>
    </row>
    <row r="146" spans="1:36" x14ac:dyDescent="0.35">
      <c r="A146" t="s">
        <v>1554</v>
      </c>
      <c r="B146" s="188" t="s">
        <v>1342</v>
      </c>
      <c r="C146" t="s">
        <v>1350</v>
      </c>
      <c r="D146" s="188">
        <v>30</v>
      </c>
      <c r="E146" t="s">
        <v>1500</v>
      </c>
      <c r="F146" t="s">
        <v>1551</v>
      </c>
      <c r="G146" s="189" t="s">
        <v>1552</v>
      </c>
      <c r="H146" s="189">
        <v>0.38878759999999996</v>
      </c>
      <c r="I146" s="189">
        <v>0.40745089999999995</v>
      </c>
      <c r="J146" s="189">
        <v>0.42611419999999994</v>
      </c>
      <c r="K146" s="189">
        <v>0.44477749999999994</v>
      </c>
      <c r="L146" s="189">
        <v>0.46344079999999999</v>
      </c>
      <c r="M146" s="189">
        <v>0.48210410000000004</v>
      </c>
      <c r="N146" s="189">
        <v>0.50076740000000008</v>
      </c>
      <c r="O146" s="189">
        <v>0.51943070000000013</v>
      </c>
      <c r="P146" s="189">
        <v>0.53809400000000007</v>
      </c>
      <c r="Q146" s="189">
        <v>0.53809400000000007</v>
      </c>
      <c r="R146" s="189">
        <v>0.53809400000000007</v>
      </c>
      <c r="S146" s="189">
        <v>0.53809400000000007</v>
      </c>
      <c r="T146" s="189">
        <v>0.53809400000000007</v>
      </c>
      <c r="U146" s="189">
        <v>0.53809400000000007</v>
      </c>
      <c r="V146" s="189">
        <v>0.53809400000000007</v>
      </c>
      <c r="W146" s="189">
        <v>0.53809400000000007</v>
      </c>
      <c r="X146" s="189">
        <v>0.53809400000000007</v>
      </c>
      <c r="Y146" s="189">
        <v>0.53809400000000007</v>
      </c>
      <c r="Z146" s="189">
        <v>0.53809400000000007</v>
      </c>
      <c r="AA146" s="189">
        <v>0.53809400000000007</v>
      </c>
      <c r="AB146" s="189">
        <v>0.53809400000000007</v>
      </c>
      <c r="AC146" s="189">
        <v>0.53809400000000007</v>
      </c>
      <c r="AD146" s="189">
        <v>0.53809400000000007</v>
      </c>
      <c r="AE146" s="189">
        <v>0.53809400000000007</v>
      </c>
      <c r="AF146" s="189">
        <v>0.53809400000000007</v>
      </c>
      <c r="AG146" s="189">
        <v>0.53809400000000007</v>
      </c>
      <c r="AH146" s="189">
        <v>0.53809400000000007</v>
      </c>
      <c r="AI146" s="189">
        <v>0.53809400000000007</v>
      </c>
      <c r="AJ146" s="189">
        <v>0.53809400000000007</v>
      </c>
    </row>
    <row r="147" spans="1:36" x14ac:dyDescent="0.35">
      <c r="A147" t="s">
        <v>1555</v>
      </c>
      <c r="B147" s="188" t="s">
        <v>1342</v>
      </c>
      <c r="C147" t="s">
        <v>1343</v>
      </c>
      <c r="D147" s="188">
        <v>30</v>
      </c>
      <c r="E147" t="s">
        <v>1500</v>
      </c>
      <c r="F147" t="s">
        <v>1556</v>
      </c>
      <c r="G147" s="189" t="s">
        <v>1557</v>
      </c>
      <c r="H147" s="189">
        <v>0.43992700000000001</v>
      </c>
      <c r="I147" s="189">
        <v>0.45501249999999999</v>
      </c>
      <c r="J147" s="189">
        <v>0.47009800000000002</v>
      </c>
      <c r="K147" s="189">
        <v>0.48518350000000005</v>
      </c>
      <c r="L147" s="189">
        <v>0.50026900000000007</v>
      </c>
      <c r="M147" s="189">
        <v>0.51535450000000005</v>
      </c>
      <c r="N147" s="189">
        <v>0.53044000000000013</v>
      </c>
      <c r="O147" s="189">
        <v>0.54552550000000011</v>
      </c>
      <c r="P147" s="189">
        <v>0.56061099999999997</v>
      </c>
      <c r="Q147" s="189">
        <v>0.56061099999999997</v>
      </c>
      <c r="R147" s="189">
        <v>0.56061099999999997</v>
      </c>
      <c r="S147" s="189">
        <v>0.56061099999999997</v>
      </c>
      <c r="T147" s="189">
        <v>0.56061099999999997</v>
      </c>
      <c r="U147" s="189">
        <v>0.56061099999999997</v>
      </c>
      <c r="V147" s="189">
        <v>0.56061099999999997</v>
      </c>
      <c r="W147" s="189">
        <v>0.56061099999999997</v>
      </c>
      <c r="X147" s="189">
        <v>0.56061099999999997</v>
      </c>
      <c r="Y147" s="189">
        <v>0.56061099999999997</v>
      </c>
      <c r="Z147" s="189">
        <v>0.56061099999999997</v>
      </c>
      <c r="AA147" s="189">
        <v>0.56061099999999997</v>
      </c>
      <c r="AB147" s="189">
        <v>0.56061099999999997</v>
      </c>
      <c r="AC147" s="189">
        <v>0.56061099999999997</v>
      </c>
      <c r="AD147" s="189">
        <v>0.56061099999999997</v>
      </c>
      <c r="AE147" s="189">
        <v>0.56061099999999997</v>
      </c>
      <c r="AF147" s="189">
        <v>0.56061099999999997</v>
      </c>
      <c r="AG147" s="189">
        <v>0.56061099999999997</v>
      </c>
      <c r="AH147" s="189">
        <v>0.56061099999999997</v>
      </c>
      <c r="AI147" s="189">
        <v>0.56061099999999997</v>
      </c>
      <c r="AJ147" s="189">
        <v>0.56061099999999997</v>
      </c>
    </row>
    <row r="148" spans="1:36" x14ac:dyDescent="0.35">
      <c r="A148" t="s">
        <v>1558</v>
      </c>
      <c r="B148" s="188" t="s">
        <v>1342</v>
      </c>
      <c r="C148" t="s">
        <v>1348</v>
      </c>
      <c r="D148" s="188">
        <v>30</v>
      </c>
      <c r="E148" t="s">
        <v>1500</v>
      </c>
      <c r="F148" t="s">
        <v>1556</v>
      </c>
      <c r="G148" s="189" t="s">
        <v>1557</v>
      </c>
      <c r="H148" s="189">
        <v>0.43992700000000001</v>
      </c>
      <c r="I148" s="189">
        <v>0.45501249999999999</v>
      </c>
      <c r="J148" s="189">
        <v>0.47009800000000002</v>
      </c>
      <c r="K148" s="189">
        <v>0.48518350000000005</v>
      </c>
      <c r="L148" s="189">
        <v>0.50026900000000007</v>
      </c>
      <c r="M148" s="189">
        <v>0.51535450000000005</v>
      </c>
      <c r="N148" s="189">
        <v>0.53044000000000013</v>
      </c>
      <c r="O148" s="189">
        <v>0.54552550000000011</v>
      </c>
      <c r="P148" s="189">
        <v>0.56061099999999997</v>
      </c>
      <c r="Q148" s="189">
        <v>0.56061099999999997</v>
      </c>
      <c r="R148" s="189">
        <v>0.56061099999999997</v>
      </c>
      <c r="S148" s="189">
        <v>0.56061099999999997</v>
      </c>
      <c r="T148" s="189">
        <v>0.56061099999999997</v>
      </c>
      <c r="U148" s="189">
        <v>0.56061099999999997</v>
      </c>
      <c r="V148" s="189">
        <v>0.56061099999999997</v>
      </c>
      <c r="W148" s="189">
        <v>0.56061099999999997</v>
      </c>
      <c r="X148" s="189">
        <v>0.56061099999999997</v>
      </c>
      <c r="Y148" s="189">
        <v>0.56061099999999997</v>
      </c>
      <c r="Z148" s="189">
        <v>0.56061099999999997</v>
      </c>
      <c r="AA148" s="189">
        <v>0.56061099999999997</v>
      </c>
      <c r="AB148" s="189">
        <v>0.56061099999999997</v>
      </c>
      <c r="AC148" s="189">
        <v>0.56061099999999997</v>
      </c>
      <c r="AD148" s="189">
        <v>0.56061099999999997</v>
      </c>
      <c r="AE148" s="189">
        <v>0.56061099999999997</v>
      </c>
      <c r="AF148" s="189">
        <v>0.56061099999999997</v>
      </c>
      <c r="AG148" s="189">
        <v>0.56061099999999997</v>
      </c>
      <c r="AH148" s="189">
        <v>0.56061099999999997</v>
      </c>
      <c r="AI148" s="189">
        <v>0.56061099999999997</v>
      </c>
      <c r="AJ148" s="189">
        <v>0.56061099999999997</v>
      </c>
    </row>
    <row r="149" spans="1:36" x14ac:dyDescent="0.35">
      <c r="A149" t="s">
        <v>1559</v>
      </c>
      <c r="B149" s="188" t="s">
        <v>1342</v>
      </c>
      <c r="C149" t="s">
        <v>1350</v>
      </c>
      <c r="D149" s="188">
        <v>30</v>
      </c>
      <c r="E149" t="s">
        <v>1500</v>
      </c>
      <c r="F149" t="s">
        <v>1556</v>
      </c>
      <c r="G149" s="189" t="s">
        <v>1557</v>
      </c>
      <c r="H149" s="189">
        <v>0.43992700000000001</v>
      </c>
      <c r="I149" s="189">
        <v>0.45501249999999999</v>
      </c>
      <c r="J149" s="189">
        <v>0.47009800000000002</v>
      </c>
      <c r="K149" s="189">
        <v>0.48518350000000005</v>
      </c>
      <c r="L149" s="189">
        <v>0.50026900000000007</v>
      </c>
      <c r="M149" s="189">
        <v>0.51535450000000005</v>
      </c>
      <c r="N149" s="189">
        <v>0.53044000000000013</v>
      </c>
      <c r="O149" s="189">
        <v>0.54552550000000011</v>
      </c>
      <c r="P149" s="189">
        <v>0.56061099999999997</v>
      </c>
      <c r="Q149" s="189">
        <v>0.56061099999999997</v>
      </c>
      <c r="R149" s="189">
        <v>0.56061099999999997</v>
      </c>
      <c r="S149" s="189">
        <v>0.56061099999999997</v>
      </c>
      <c r="T149" s="189">
        <v>0.56061099999999997</v>
      </c>
      <c r="U149" s="189">
        <v>0.56061099999999997</v>
      </c>
      <c r="V149" s="189">
        <v>0.56061099999999997</v>
      </c>
      <c r="W149" s="189">
        <v>0.56061099999999997</v>
      </c>
      <c r="X149" s="189">
        <v>0.56061099999999997</v>
      </c>
      <c r="Y149" s="189">
        <v>0.56061099999999997</v>
      </c>
      <c r="Z149" s="189">
        <v>0.56061099999999997</v>
      </c>
      <c r="AA149" s="189">
        <v>0.56061099999999997</v>
      </c>
      <c r="AB149" s="189">
        <v>0.56061099999999997</v>
      </c>
      <c r="AC149" s="189">
        <v>0.56061099999999997</v>
      </c>
      <c r="AD149" s="189">
        <v>0.56061099999999997</v>
      </c>
      <c r="AE149" s="189">
        <v>0.56061099999999997</v>
      </c>
      <c r="AF149" s="189">
        <v>0.56061099999999997</v>
      </c>
      <c r="AG149" s="189">
        <v>0.56061099999999997</v>
      </c>
      <c r="AH149" s="189">
        <v>0.56061099999999997</v>
      </c>
      <c r="AI149" s="189">
        <v>0.56061099999999997</v>
      </c>
      <c r="AJ149" s="189">
        <v>0.56061099999999997</v>
      </c>
    </row>
    <row r="150" spans="1:36" x14ac:dyDescent="0.35">
      <c r="A150" t="s">
        <v>1560</v>
      </c>
      <c r="B150" s="188" t="s">
        <v>1342</v>
      </c>
      <c r="C150" t="s">
        <v>1343</v>
      </c>
      <c r="D150" s="188">
        <v>30</v>
      </c>
      <c r="E150" t="s">
        <v>1500</v>
      </c>
      <c r="F150" t="s">
        <v>1561</v>
      </c>
      <c r="G150" s="189" t="s">
        <v>1562</v>
      </c>
      <c r="H150" s="189">
        <v>0.35439799999999999</v>
      </c>
      <c r="I150" s="189">
        <v>0.36518925000000002</v>
      </c>
      <c r="J150" s="189">
        <v>0.3759805</v>
      </c>
      <c r="K150" s="189">
        <v>0.38677174999999997</v>
      </c>
      <c r="L150" s="189">
        <v>0.397563</v>
      </c>
      <c r="M150" s="189">
        <v>0.40835424999999997</v>
      </c>
      <c r="N150" s="189">
        <v>0.4191455</v>
      </c>
      <c r="O150" s="189">
        <v>0.42993674999999998</v>
      </c>
      <c r="P150" s="189">
        <v>0.44072800000000001</v>
      </c>
      <c r="Q150" s="189">
        <v>0.44072800000000001</v>
      </c>
      <c r="R150" s="189">
        <v>0.44072800000000001</v>
      </c>
      <c r="S150" s="189">
        <v>0.44072800000000001</v>
      </c>
      <c r="T150" s="189">
        <v>0.44072800000000001</v>
      </c>
      <c r="U150" s="189">
        <v>0.44072800000000001</v>
      </c>
      <c r="V150" s="189">
        <v>0.44072800000000001</v>
      </c>
      <c r="W150" s="189">
        <v>0.44072800000000001</v>
      </c>
      <c r="X150" s="189">
        <v>0.44072800000000001</v>
      </c>
      <c r="Y150" s="189">
        <v>0.44072800000000001</v>
      </c>
      <c r="Z150" s="189">
        <v>0.44072800000000001</v>
      </c>
      <c r="AA150" s="189">
        <v>0.44072800000000001</v>
      </c>
      <c r="AB150" s="189">
        <v>0.44072800000000001</v>
      </c>
      <c r="AC150" s="189">
        <v>0.44072800000000001</v>
      </c>
      <c r="AD150" s="189">
        <v>0.44072800000000001</v>
      </c>
      <c r="AE150" s="189">
        <v>0.44072800000000001</v>
      </c>
      <c r="AF150" s="189">
        <v>0.44072800000000001</v>
      </c>
      <c r="AG150" s="189">
        <v>0.44072800000000001</v>
      </c>
      <c r="AH150" s="189">
        <v>0.44072800000000001</v>
      </c>
      <c r="AI150" s="189">
        <v>0.44072800000000001</v>
      </c>
      <c r="AJ150" s="189">
        <v>0.44072800000000001</v>
      </c>
    </row>
    <row r="151" spans="1:36" x14ac:dyDescent="0.35">
      <c r="A151" t="s">
        <v>1563</v>
      </c>
      <c r="B151" s="188" t="s">
        <v>1342</v>
      </c>
      <c r="C151" t="s">
        <v>1348</v>
      </c>
      <c r="D151" s="188">
        <v>30</v>
      </c>
      <c r="E151" t="s">
        <v>1500</v>
      </c>
      <c r="F151" t="s">
        <v>1561</v>
      </c>
      <c r="G151" s="189" t="s">
        <v>1562</v>
      </c>
      <c r="H151" s="189">
        <v>0.35439799999999999</v>
      </c>
      <c r="I151" s="189">
        <v>0.36518925000000002</v>
      </c>
      <c r="J151" s="189">
        <v>0.3759805</v>
      </c>
      <c r="K151" s="189">
        <v>0.38677174999999997</v>
      </c>
      <c r="L151" s="189">
        <v>0.397563</v>
      </c>
      <c r="M151" s="189">
        <v>0.40835424999999997</v>
      </c>
      <c r="N151" s="189">
        <v>0.4191455</v>
      </c>
      <c r="O151" s="189">
        <v>0.42993674999999998</v>
      </c>
      <c r="P151" s="189">
        <v>0.44072800000000001</v>
      </c>
      <c r="Q151" s="189">
        <v>0.44072800000000001</v>
      </c>
      <c r="R151" s="189">
        <v>0.44072800000000001</v>
      </c>
      <c r="S151" s="189">
        <v>0.44072800000000001</v>
      </c>
      <c r="T151" s="189">
        <v>0.44072800000000001</v>
      </c>
      <c r="U151" s="189">
        <v>0.44072800000000001</v>
      </c>
      <c r="V151" s="189">
        <v>0.44072800000000001</v>
      </c>
      <c r="W151" s="189">
        <v>0.44072800000000001</v>
      </c>
      <c r="X151" s="189">
        <v>0.44072800000000001</v>
      </c>
      <c r="Y151" s="189">
        <v>0.44072800000000001</v>
      </c>
      <c r="Z151" s="189">
        <v>0.44072800000000001</v>
      </c>
      <c r="AA151" s="189">
        <v>0.44072800000000001</v>
      </c>
      <c r="AB151" s="189">
        <v>0.44072800000000001</v>
      </c>
      <c r="AC151" s="189">
        <v>0.44072800000000001</v>
      </c>
      <c r="AD151" s="189">
        <v>0.44072800000000001</v>
      </c>
      <c r="AE151" s="189">
        <v>0.44072800000000001</v>
      </c>
      <c r="AF151" s="189">
        <v>0.44072800000000001</v>
      </c>
      <c r="AG151" s="189">
        <v>0.44072800000000001</v>
      </c>
      <c r="AH151" s="189">
        <v>0.44072800000000001</v>
      </c>
      <c r="AI151" s="189">
        <v>0.44072800000000001</v>
      </c>
      <c r="AJ151" s="189">
        <v>0.44072800000000001</v>
      </c>
    </row>
    <row r="152" spans="1:36" x14ac:dyDescent="0.35">
      <c r="A152" t="s">
        <v>1564</v>
      </c>
      <c r="B152" s="188" t="s">
        <v>1342</v>
      </c>
      <c r="C152" t="s">
        <v>1350</v>
      </c>
      <c r="D152" s="188">
        <v>30</v>
      </c>
      <c r="E152" t="s">
        <v>1500</v>
      </c>
      <c r="F152" t="s">
        <v>1561</v>
      </c>
      <c r="G152" s="189" t="s">
        <v>1562</v>
      </c>
      <c r="H152" s="189">
        <v>0.35439799999999999</v>
      </c>
      <c r="I152" s="189">
        <v>0.36518925000000002</v>
      </c>
      <c r="J152" s="189">
        <v>0.3759805</v>
      </c>
      <c r="K152" s="189">
        <v>0.38677174999999997</v>
      </c>
      <c r="L152" s="189">
        <v>0.397563</v>
      </c>
      <c r="M152" s="189">
        <v>0.40835424999999997</v>
      </c>
      <c r="N152" s="189">
        <v>0.4191455</v>
      </c>
      <c r="O152" s="189">
        <v>0.42993674999999998</v>
      </c>
      <c r="P152" s="189">
        <v>0.44072800000000001</v>
      </c>
      <c r="Q152" s="189">
        <v>0.44072800000000001</v>
      </c>
      <c r="R152" s="189">
        <v>0.44072800000000001</v>
      </c>
      <c r="S152" s="189">
        <v>0.44072800000000001</v>
      </c>
      <c r="T152" s="189">
        <v>0.44072800000000001</v>
      </c>
      <c r="U152" s="189">
        <v>0.44072800000000001</v>
      </c>
      <c r="V152" s="189">
        <v>0.44072800000000001</v>
      </c>
      <c r="W152" s="189">
        <v>0.44072800000000001</v>
      </c>
      <c r="X152" s="189">
        <v>0.44072800000000001</v>
      </c>
      <c r="Y152" s="189">
        <v>0.44072800000000001</v>
      </c>
      <c r="Z152" s="189">
        <v>0.44072800000000001</v>
      </c>
      <c r="AA152" s="189">
        <v>0.44072800000000001</v>
      </c>
      <c r="AB152" s="189">
        <v>0.44072800000000001</v>
      </c>
      <c r="AC152" s="189">
        <v>0.44072800000000001</v>
      </c>
      <c r="AD152" s="189">
        <v>0.44072800000000001</v>
      </c>
      <c r="AE152" s="189">
        <v>0.44072800000000001</v>
      </c>
      <c r="AF152" s="189">
        <v>0.44072800000000001</v>
      </c>
      <c r="AG152" s="189">
        <v>0.44072800000000001</v>
      </c>
      <c r="AH152" s="189">
        <v>0.44072800000000001</v>
      </c>
      <c r="AI152" s="189">
        <v>0.44072800000000001</v>
      </c>
      <c r="AJ152" s="189">
        <v>0.44072800000000001</v>
      </c>
    </row>
    <row r="153" spans="1:36" x14ac:dyDescent="0.35">
      <c r="A153" t="s">
        <v>1565</v>
      </c>
      <c r="B153" s="188" t="s">
        <v>1342</v>
      </c>
      <c r="C153" t="s">
        <v>1343</v>
      </c>
      <c r="D153" s="188">
        <v>30</v>
      </c>
      <c r="E153" t="s">
        <v>1500</v>
      </c>
      <c r="F153" t="s">
        <v>1566</v>
      </c>
      <c r="G153" s="189" t="s">
        <v>1567</v>
      </c>
      <c r="H153" s="189">
        <v>0.39813259999999995</v>
      </c>
      <c r="I153" s="189">
        <v>0.41234589999999993</v>
      </c>
      <c r="J153" s="189">
        <v>0.42655919999999992</v>
      </c>
      <c r="K153" s="189">
        <v>0.44077249999999996</v>
      </c>
      <c r="L153" s="189">
        <v>0.45498579999999994</v>
      </c>
      <c r="M153" s="189">
        <v>0.46919909999999992</v>
      </c>
      <c r="N153" s="189">
        <v>0.48341239999999996</v>
      </c>
      <c r="O153" s="189">
        <v>0.4976257</v>
      </c>
      <c r="P153" s="189">
        <v>0.51183899999999993</v>
      </c>
      <c r="Q153" s="189">
        <v>0.51183899999999993</v>
      </c>
      <c r="R153" s="189">
        <v>0.51183899999999993</v>
      </c>
      <c r="S153" s="189">
        <v>0.51183899999999993</v>
      </c>
      <c r="T153" s="189">
        <v>0.51183899999999993</v>
      </c>
      <c r="U153" s="189">
        <v>0.51183899999999993</v>
      </c>
      <c r="V153" s="189">
        <v>0.51183899999999993</v>
      </c>
      <c r="W153" s="189">
        <v>0.51183899999999993</v>
      </c>
      <c r="X153" s="189">
        <v>0.51183899999999993</v>
      </c>
      <c r="Y153" s="189">
        <v>0.51183899999999993</v>
      </c>
      <c r="Z153" s="189">
        <v>0.51183899999999993</v>
      </c>
      <c r="AA153" s="189">
        <v>0.51183899999999993</v>
      </c>
      <c r="AB153" s="189">
        <v>0.51183899999999993</v>
      </c>
      <c r="AC153" s="189">
        <v>0.51183899999999993</v>
      </c>
      <c r="AD153" s="189">
        <v>0.51183899999999993</v>
      </c>
      <c r="AE153" s="189">
        <v>0.51183899999999993</v>
      </c>
      <c r="AF153" s="189">
        <v>0.51183899999999993</v>
      </c>
      <c r="AG153" s="189">
        <v>0.51183899999999993</v>
      </c>
      <c r="AH153" s="189">
        <v>0.51183899999999993</v>
      </c>
      <c r="AI153" s="189">
        <v>0.51183899999999993</v>
      </c>
      <c r="AJ153" s="189">
        <v>0.51183899999999993</v>
      </c>
    </row>
    <row r="154" spans="1:36" x14ac:dyDescent="0.35">
      <c r="A154" t="s">
        <v>1568</v>
      </c>
      <c r="B154" s="188" t="s">
        <v>1342</v>
      </c>
      <c r="C154" t="s">
        <v>1348</v>
      </c>
      <c r="D154" s="188">
        <v>30</v>
      </c>
      <c r="E154" t="s">
        <v>1500</v>
      </c>
      <c r="F154" t="s">
        <v>1566</v>
      </c>
      <c r="G154" s="189" t="s">
        <v>1567</v>
      </c>
      <c r="H154" s="189">
        <v>0.39813259999999995</v>
      </c>
      <c r="I154" s="189">
        <v>0.41234589999999993</v>
      </c>
      <c r="J154" s="189">
        <v>0.42655919999999992</v>
      </c>
      <c r="K154" s="189">
        <v>0.44077249999999996</v>
      </c>
      <c r="L154" s="189">
        <v>0.45498579999999994</v>
      </c>
      <c r="M154" s="189">
        <v>0.46919909999999992</v>
      </c>
      <c r="N154" s="189">
        <v>0.48341239999999996</v>
      </c>
      <c r="O154" s="189">
        <v>0.4976257</v>
      </c>
      <c r="P154" s="189">
        <v>0.51183899999999993</v>
      </c>
      <c r="Q154" s="189">
        <v>0.51183899999999993</v>
      </c>
      <c r="R154" s="189">
        <v>0.51183899999999993</v>
      </c>
      <c r="S154" s="189">
        <v>0.51183899999999993</v>
      </c>
      <c r="T154" s="189">
        <v>0.51183899999999993</v>
      </c>
      <c r="U154" s="189">
        <v>0.51183899999999993</v>
      </c>
      <c r="V154" s="189">
        <v>0.51183899999999993</v>
      </c>
      <c r="W154" s="189">
        <v>0.51183899999999993</v>
      </c>
      <c r="X154" s="189">
        <v>0.51183899999999993</v>
      </c>
      <c r="Y154" s="189">
        <v>0.51183899999999993</v>
      </c>
      <c r="Z154" s="189">
        <v>0.51183899999999993</v>
      </c>
      <c r="AA154" s="189">
        <v>0.51183899999999993</v>
      </c>
      <c r="AB154" s="189">
        <v>0.51183899999999993</v>
      </c>
      <c r="AC154" s="189">
        <v>0.51183899999999993</v>
      </c>
      <c r="AD154" s="189">
        <v>0.51183899999999993</v>
      </c>
      <c r="AE154" s="189">
        <v>0.51183899999999993</v>
      </c>
      <c r="AF154" s="189">
        <v>0.51183899999999993</v>
      </c>
      <c r="AG154" s="189">
        <v>0.51183899999999993</v>
      </c>
      <c r="AH154" s="189">
        <v>0.51183899999999993</v>
      </c>
      <c r="AI154" s="189">
        <v>0.51183899999999993</v>
      </c>
      <c r="AJ154" s="189">
        <v>0.51183899999999993</v>
      </c>
    </row>
    <row r="155" spans="1:36" x14ac:dyDescent="0.35">
      <c r="A155" t="s">
        <v>1569</v>
      </c>
      <c r="B155" s="188" t="s">
        <v>1342</v>
      </c>
      <c r="C155" t="s">
        <v>1350</v>
      </c>
      <c r="D155" s="188">
        <v>30</v>
      </c>
      <c r="E155" t="s">
        <v>1500</v>
      </c>
      <c r="F155" t="s">
        <v>1566</v>
      </c>
      <c r="G155" s="189" t="s">
        <v>1567</v>
      </c>
      <c r="H155" s="189">
        <v>0.39813259999999995</v>
      </c>
      <c r="I155" s="189">
        <v>0.41234589999999993</v>
      </c>
      <c r="J155" s="189">
        <v>0.42655919999999992</v>
      </c>
      <c r="K155" s="189">
        <v>0.44077249999999996</v>
      </c>
      <c r="L155" s="189">
        <v>0.45498579999999994</v>
      </c>
      <c r="M155" s="189">
        <v>0.46919909999999992</v>
      </c>
      <c r="N155" s="189">
        <v>0.48341239999999996</v>
      </c>
      <c r="O155" s="189">
        <v>0.4976257</v>
      </c>
      <c r="P155" s="189">
        <v>0.51183899999999993</v>
      </c>
      <c r="Q155" s="189">
        <v>0.51183899999999993</v>
      </c>
      <c r="R155" s="189">
        <v>0.51183899999999993</v>
      </c>
      <c r="S155" s="189">
        <v>0.51183899999999993</v>
      </c>
      <c r="T155" s="189">
        <v>0.51183899999999993</v>
      </c>
      <c r="U155" s="189">
        <v>0.51183899999999993</v>
      </c>
      <c r="V155" s="189">
        <v>0.51183899999999993</v>
      </c>
      <c r="W155" s="189">
        <v>0.51183899999999993</v>
      </c>
      <c r="X155" s="189">
        <v>0.51183899999999993</v>
      </c>
      <c r="Y155" s="189">
        <v>0.51183899999999993</v>
      </c>
      <c r="Z155" s="189">
        <v>0.51183899999999993</v>
      </c>
      <c r="AA155" s="189">
        <v>0.51183899999999993</v>
      </c>
      <c r="AB155" s="189">
        <v>0.51183899999999993</v>
      </c>
      <c r="AC155" s="189">
        <v>0.51183899999999993</v>
      </c>
      <c r="AD155" s="189">
        <v>0.51183899999999993</v>
      </c>
      <c r="AE155" s="189">
        <v>0.51183899999999993</v>
      </c>
      <c r="AF155" s="189">
        <v>0.51183899999999993</v>
      </c>
      <c r="AG155" s="189">
        <v>0.51183899999999993</v>
      </c>
      <c r="AH155" s="189">
        <v>0.51183899999999993</v>
      </c>
      <c r="AI155" s="189">
        <v>0.51183899999999993</v>
      </c>
      <c r="AJ155" s="189">
        <v>0.51183899999999993</v>
      </c>
    </row>
    <row r="156" spans="1:36" x14ac:dyDescent="0.35">
      <c r="A156" t="s">
        <v>1570</v>
      </c>
      <c r="B156" s="188" t="s">
        <v>1342</v>
      </c>
      <c r="C156" t="s">
        <v>1343</v>
      </c>
      <c r="D156" s="188">
        <v>30</v>
      </c>
      <c r="E156" t="s">
        <v>1500</v>
      </c>
      <c r="F156" t="s">
        <v>1571</v>
      </c>
      <c r="G156" s="189" t="s">
        <v>1572</v>
      </c>
      <c r="H156" s="189">
        <v>0.37486800000000003</v>
      </c>
      <c r="I156" s="189">
        <v>0.39369150000000003</v>
      </c>
      <c r="J156" s="189">
        <v>0.41251500000000002</v>
      </c>
      <c r="K156" s="189">
        <v>0.43133850000000001</v>
      </c>
      <c r="L156" s="189">
        <v>0.45016200000000001</v>
      </c>
      <c r="M156" s="189">
        <v>0.46898550000000006</v>
      </c>
      <c r="N156" s="189">
        <v>0.48780900000000005</v>
      </c>
      <c r="O156" s="189">
        <v>0.50663250000000004</v>
      </c>
      <c r="P156" s="189">
        <v>0.52545600000000003</v>
      </c>
      <c r="Q156" s="189">
        <v>0.52545600000000003</v>
      </c>
      <c r="R156" s="189">
        <v>0.52545600000000003</v>
      </c>
      <c r="S156" s="189">
        <v>0.52545600000000003</v>
      </c>
      <c r="T156" s="189">
        <v>0.52545600000000003</v>
      </c>
      <c r="U156" s="189">
        <v>0.52545600000000003</v>
      </c>
      <c r="V156" s="189">
        <v>0.52545600000000003</v>
      </c>
      <c r="W156" s="189">
        <v>0.52545600000000003</v>
      </c>
      <c r="X156" s="189">
        <v>0.52545600000000003</v>
      </c>
      <c r="Y156" s="189">
        <v>0.52545600000000003</v>
      </c>
      <c r="Z156" s="189">
        <v>0.52545600000000003</v>
      </c>
      <c r="AA156" s="189">
        <v>0.52545600000000003</v>
      </c>
      <c r="AB156" s="189">
        <v>0.52545600000000003</v>
      </c>
      <c r="AC156" s="189">
        <v>0.52545600000000003</v>
      </c>
      <c r="AD156" s="189">
        <v>0.52545600000000003</v>
      </c>
      <c r="AE156" s="189">
        <v>0.52545600000000003</v>
      </c>
      <c r="AF156" s="189">
        <v>0.52545600000000003</v>
      </c>
      <c r="AG156" s="189">
        <v>0.52545600000000003</v>
      </c>
      <c r="AH156" s="189">
        <v>0.52545600000000003</v>
      </c>
      <c r="AI156" s="189">
        <v>0.52545600000000003</v>
      </c>
      <c r="AJ156" s="189">
        <v>0.52545600000000003</v>
      </c>
    </row>
    <row r="157" spans="1:36" x14ac:dyDescent="0.35">
      <c r="A157" t="s">
        <v>1573</v>
      </c>
      <c r="B157" s="188" t="s">
        <v>1342</v>
      </c>
      <c r="C157" t="s">
        <v>1348</v>
      </c>
      <c r="D157" s="188">
        <v>30</v>
      </c>
      <c r="E157" t="s">
        <v>1500</v>
      </c>
      <c r="F157" t="s">
        <v>1571</v>
      </c>
      <c r="G157" s="189" t="s">
        <v>1572</v>
      </c>
      <c r="H157" s="189">
        <v>0.37486800000000003</v>
      </c>
      <c r="I157" s="189">
        <v>0.39369150000000003</v>
      </c>
      <c r="J157" s="189">
        <v>0.41251500000000002</v>
      </c>
      <c r="K157" s="189">
        <v>0.43133850000000001</v>
      </c>
      <c r="L157" s="189">
        <v>0.45016200000000001</v>
      </c>
      <c r="M157" s="189">
        <v>0.46898550000000006</v>
      </c>
      <c r="N157" s="189">
        <v>0.48780900000000005</v>
      </c>
      <c r="O157" s="189">
        <v>0.50663250000000004</v>
      </c>
      <c r="P157" s="189">
        <v>0.52545600000000003</v>
      </c>
      <c r="Q157" s="189">
        <v>0.52545600000000003</v>
      </c>
      <c r="R157" s="189">
        <v>0.52545600000000003</v>
      </c>
      <c r="S157" s="189">
        <v>0.52545600000000003</v>
      </c>
      <c r="T157" s="189">
        <v>0.52545600000000003</v>
      </c>
      <c r="U157" s="189">
        <v>0.52545600000000003</v>
      </c>
      <c r="V157" s="189">
        <v>0.52545600000000003</v>
      </c>
      <c r="W157" s="189">
        <v>0.52545600000000003</v>
      </c>
      <c r="X157" s="189">
        <v>0.52545600000000003</v>
      </c>
      <c r="Y157" s="189">
        <v>0.52545600000000003</v>
      </c>
      <c r="Z157" s="189">
        <v>0.52545600000000003</v>
      </c>
      <c r="AA157" s="189">
        <v>0.52545600000000003</v>
      </c>
      <c r="AB157" s="189">
        <v>0.52545600000000003</v>
      </c>
      <c r="AC157" s="189">
        <v>0.52545600000000003</v>
      </c>
      <c r="AD157" s="189">
        <v>0.52545600000000003</v>
      </c>
      <c r="AE157" s="189">
        <v>0.52545600000000003</v>
      </c>
      <c r="AF157" s="189">
        <v>0.52545600000000003</v>
      </c>
      <c r="AG157" s="189">
        <v>0.52545600000000003</v>
      </c>
      <c r="AH157" s="189">
        <v>0.52545600000000003</v>
      </c>
      <c r="AI157" s="189">
        <v>0.52545600000000003</v>
      </c>
      <c r="AJ157" s="189">
        <v>0.52545600000000003</v>
      </c>
    </row>
    <row r="158" spans="1:36" x14ac:dyDescent="0.35">
      <c r="A158" t="s">
        <v>1574</v>
      </c>
      <c r="B158" s="188" t="s">
        <v>1342</v>
      </c>
      <c r="C158" t="s">
        <v>1350</v>
      </c>
      <c r="D158" s="188">
        <v>30</v>
      </c>
      <c r="E158" t="s">
        <v>1500</v>
      </c>
      <c r="F158" t="s">
        <v>1571</v>
      </c>
      <c r="G158" s="189" t="s">
        <v>1572</v>
      </c>
      <c r="H158" s="189">
        <v>0.37486800000000003</v>
      </c>
      <c r="I158" s="189">
        <v>0.39369150000000003</v>
      </c>
      <c r="J158" s="189">
        <v>0.41251500000000002</v>
      </c>
      <c r="K158" s="189">
        <v>0.43133850000000001</v>
      </c>
      <c r="L158" s="189">
        <v>0.45016200000000001</v>
      </c>
      <c r="M158" s="189">
        <v>0.46898550000000006</v>
      </c>
      <c r="N158" s="189">
        <v>0.48780900000000005</v>
      </c>
      <c r="O158" s="189">
        <v>0.50663250000000004</v>
      </c>
      <c r="P158" s="189">
        <v>0.52545600000000003</v>
      </c>
      <c r="Q158" s="189">
        <v>0.52545600000000003</v>
      </c>
      <c r="R158" s="189">
        <v>0.52545600000000003</v>
      </c>
      <c r="S158" s="189">
        <v>0.52545600000000003</v>
      </c>
      <c r="T158" s="189">
        <v>0.52545600000000003</v>
      </c>
      <c r="U158" s="189">
        <v>0.52545600000000003</v>
      </c>
      <c r="V158" s="189">
        <v>0.52545600000000003</v>
      </c>
      <c r="W158" s="189">
        <v>0.52545600000000003</v>
      </c>
      <c r="X158" s="189">
        <v>0.52545600000000003</v>
      </c>
      <c r="Y158" s="189">
        <v>0.52545600000000003</v>
      </c>
      <c r="Z158" s="189">
        <v>0.52545600000000003</v>
      </c>
      <c r="AA158" s="189">
        <v>0.52545600000000003</v>
      </c>
      <c r="AB158" s="189">
        <v>0.52545600000000003</v>
      </c>
      <c r="AC158" s="189">
        <v>0.52545600000000003</v>
      </c>
      <c r="AD158" s="189">
        <v>0.52545600000000003</v>
      </c>
      <c r="AE158" s="189">
        <v>0.52545600000000003</v>
      </c>
      <c r="AF158" s="189">
        <v>0.52545600000000003</v>
      </c>
      <c r="AG158" s="189">
        <v>0.52545600000000003</v>
      </c>
      <c r="AH158" s="189">
        <v>0.52545600000000003</v>
      </c>
      <c r="AI158" s="189">
        <v>0.52545600000000003</v>
      </c>
      <c r="AJ158" s="189">
        <v>0.52545600000000003</v>
      </c>
    </row>
    <row r="159" spans="1:36" x14ac:dyDescent="0.35">
      <c r="A159" t="s">
        <v>1575</v>
      </c>
      <c r="B159" s="188" t="s">
        <v>1342</v>
      </c>
      <c r="C159" t="s">
        <v>1343</v>
      </c>
      <c r="D159" s="188">
        <v>30</v>
      </c>
      <c r="E159" t="s">
        <v>1500</v>
      </c>
      <c r="F159" t="s">
        <v>1576</v>
      </c>
      <c r="G159" s="189" t="s">
        <v>1577</v>
      </c>
      <c r="H159" s="189">
        <v>0.42618539999999994</v>
      </c>
      <c r="I159" s="189">
        <v>0.44147559999999991</v>
      </c>
      <c r="J159" s="189">
        <v>0.45676579999999994</v>
      </c>
      <c r="K159" s="189">
        <v>0.47205599999999992</v>
      </c>
      <c r="L159" s="189">
        <v>0.4873461999999999</v>
      </c>
      <c r="M159" s="189">
        <v>0.50263639999999987</v>
      </c>
      <c r="N159" s="189">
        <v>0.51792659999999979</v>
      </c>
      <c r="O159" s="189">
        <v>0.53321679999999982</v>
      </c>
      <c r="P159" s="189">
        <v>0.54850699999999997</v>
      </c>
      <c r="Q159" s="189">
        <v>0.54850699999999997</v>
      </c>
      <c r="R159" s="189">
        <v>0.54850699999999997</v>
      </c>
      <c r="S159" s="189">
        <v>0.54850699999999997</v>
      </c>
      <c r="T159" s="189">
        <v>0.54850699999999997</v>
      </c>
      <c r="U159" s="189">
        <v>0.54850699999999997</v>
      </c>
      <c r="V159" s="189">
        <v>0.54850699999999997</v>
      </c>
      <c r="W159" s="189">
        <v>0.54850699999999997</v>
      </c>
      <c r="X159" s="189">
        <v>0.54850699999999997</v>
      </c>
      <c r="Y159" s="189">
        <v>0.54850699999999997</v>
      </c>
      <c r="Z159" s="189">
        <v>0.54850699999999997</v>
      </c>
      <c r="AA159" s="189">
        <v>0.54850699999999997</v>
      </c>
      <c r="AB159" s="189">
        <v>0.54850699999999997</v>
      </c>
      <c r="AC159" s="189">
        <v>0.54850699999999997</v>
      </c>
      <c r="AD159" s="189">
        <v>0.54850699999999997</v>
      </c>
      <c r="AE159" s="189">
        <v>0.54850699999999997</v>
      </c>
      <c r="AF159" s="189">
        <v>0.54850699999999997</v>
      </c>
      <c r="AG159" s="189">
        <v>0.54850699999999997</v>
      </c>
      <c r="AH159" s="189">
        <v>0.54850699999999997</v>
      </c>
      <c r="AI159" s="189">
        <v>0.54850699999999997</v>
      </c>
      <c r="AJ159" s="189">
        <v>0.54850699999999997</v>
      </c>
    </row>
    <row r="160" spans="1:36" x14ac:dyDescent="0.35">
      <c r="A160" t="s">
        <v>1578</v>
      </c>
      <c r="B160" s="188" t="s">
        <v>1342</v>
      </c>
      <c r="C160" t="s">
        <v>1348</v>
      </c>
      <c r="D160" s="188">
        <v>30</v>
      </c>
      <c r="E160" t="s">
        <v>1500</v>
      </c>
      <c r="F160" t="s">
        <v>1576</v>
      </c>
      <c r="G160" s="189" t="s">
        <v>1577</v>
      </c>
      <c r="H160" s="189">
        <v>0.42618539999999994</v>
      </c>
      <c r="I160" s="189">
        <v>0.44147559999999991</v>
      </c>
      <c r="J160" s="189">
        <v>0.45676579999999994</v>
      </c>
      <c r="K160" s="189">
        <v>0.47205599999999992</v>
      </c>
      <c r="L160" s="189">
        <v>0.4873461999999999</v>
      </c>
      <c r="M160" s="189">
        <v>0.50263639999999987</v>
      </c>
      <c r="N160" s="189">
        <v>0.51792659999999979</v>
      </c>
      <c r="O160" s="189">
        <v>0.53321679999999982</v>
      </c>
      <c r="P160" s="189">
        <v>0.54850699999999997</v>
      </c>
      <c r="Q160" s="189">
        <v>0.54850699999999997</v>
      </c>
      <c r="R160" s="189">
        <v>0.54850699999999997</v>
      </c>
      <c r="S160" s="189">
        <v>0.54850699999999997</v>
      </c>
      <c r="T160" s="189">
        <v>0.54850699999999997</v>
      </c>
      <c r="U160" s="189">
        <v>0.54850699999999997</v>
      </c>
      <c r="V160" s="189">
        <v>0.54850699999999997</v>
      </c>
      <c r="W160" s="189">
        <v>0.54850699999999997</v>
      </c>
      <c r="X160" s="189">
        <v>0.54850699999999997</v>
      </c>
      <c r="Y160" s="189">
        <v>0.54850699999999997</v>
      </c>
      <c r="Z160" s="189">
        <v>0.54850699999999997</v>
      </c>
      <c r="AA160" s="189">
        <v>0.54850699999999997</v>
      </c>
      <c r="AB160" s="189">
        <v>0.54850699999999997</v>
      </c>
      <c r="AC160" s="189">
        <v>0.54850699999999997</v>
      </c>
      <c r="AD160" s="189">
        <v>0.54850699999999997</v>
      </c>
      <c r="AE160" s="189">
        <v>0.54850699999999997</v>
      </c>
      <c r="AF160" s="189">
        <v>0.54850699999999997</v>
      </c>
      <c r="AG160" s="189">
        <v>0.54850699999999997</v>
      </c>
      <c r="AH160" s="189">
        <v>0.54850699999999997</v>
      </c>
      <c r="AI160" s="189">
        <v>0.54850699999999997</v>
      </c>
      <c r="AJ160" s="189">
        <v>0.54850699999999997</v>
      </c>
    </row>
    <row r="161" spans="1:36" x14ac:dyDescent="0.35">
      <c r="A161" t="s">
        <v>1579</v>
      </c>
      <c r="B161" s="188" t="s">
        <v>1342</v>
      </c>
      <c r="C161" t="s">
        <v>1350</v>
      </c>
      <c r="D161" s="188">
        <v>30</v>
      </c>
      <c r="E161" t="s">
        <v>1500</v>
      </c>
      <c r="F161" t="s">
        <v>1576</v>
      </c>
      <c r="G161" s="189" t="s">
        <v>1577</v>
      </c>
      <c r="H161" s="189">
        <v>0.42618539999999994</v>
      </c>
      <c r="I161" s="189">
        <v>0.44147559999999991</v>
      </c>
      <c r="J161" s="189">
        <v>0.45676579999999994</v>
      </c>
      <c r="K161" s="189">
        <v>0.47205599999999992</v>
      </c>
      <c r="L161" s="189">
        <v>0.4873461999999999</v>
      </c>
      <c r="M161" s="189">
        <v>0.50263639999999987</v>
      </c>
      <c r="N161" s="189">
        <v>0.51792659999999979</v>
      </c>
      <c r="O161" s="189">
        <v>0.53321679999999982</v>
      </c>
      <c r="P161" s="189">
        <v>0.54850699999999997</v>
      </c>
      <c r="Q161" s="189">
        <v>0.54850699999999997</v>
      </c>
      <c r="R161" s="189">
        <v>0.54850699999999997</v>
      </c>
      <c r="S161" s="189">
        <v>0.54850699999999997</v>
      </c>
      <c r="T161" s="189">
        <v>0.54850699999999997</v>
      </c>
      <c r="U161" s="189">
        <v>0.54850699999999997</v>
      </c>
      <c r="V161" s="189">
        <v>0.54850699999999997</v>
      </c>
      <c r="W161" s="189">
        <v>0.54850699999999997</v>
      </c>
      <c r="X161" s="189">
        <v>0.54850699999999997</v>
      </c>
      <c r="Y161" s="189">
        <v>0.54850699999999997</v>
      </c>
      <c r="Z161" s="189">
        <v>0.54850699999999997</v>
      </c>
      <c r="AA161" s="189">
        <v>0.54850699999999997</v>
      </c>
      <c r="AB161" s="189">
        <v>0.54850699999999997</v>
      </c>
      <c r="AC161" s="189">
        <v>0.54850699999999997</v>
      </c>
      <c r="AD161" s="189">
        <v>0.54850699999999997</v>
      </c>
      <c r="AE161" s="189">
        <v>0.54850699999999997</v>
      </c>
      <c r="AF161" s="189">
        <v>0.54850699999999997</v>
      </c>
      <c r="AG161" s="189">
        <v>0.54850699999999997</v>
      </c>
      <c r="AH161" s="189">
        <v>0.54850699999999997</v>
      </c>
      <c r="AI161" s="189">
        <v>0.54850699999999997</v>
      </c>
      <c r="AJ161" s="189">
        <v>0.54850699999999997</v>
      </c>
    </row>
    <row r="162" spans="1:36" x14ac:dyDescent="0.35">
      <c r="A162" t="s">
        <v>1580</v>
      </c>
      <c r="B162" s="188" t="s">
        <v>1342</v>
      </c>
      <c r="C162" t="s">
        <v>1343</v>
      </c>
      <c r="D162" s="188">
        <v>30</v>
      </c>
      <c r="E162" t="s">
        <v>1500</v>
      </c>
      <c r="F162" t="s">
        <v>1581</v>
      </c>
      <c r="G162" s="189" t="s">
        <v>1582</v>
      </c>
      <c r="H162" s="189">
        <v>0.34001559999999997</v>
      </c>
      <c r="I162" s="189">
        <v>0.35082465000000002</v>
      </c>
      <c r="J162" s="189">
        <v>0.3616337</v>
      </c>
      <c r="K162" s="189">
        <v>0.37244275000000004</v>
      </c>
      <c r="L162" s="189">
        <v>0.38325180000000003</v>
      </c>
      <c r="M162" s="189">
        <v>0.39406085000000007</v>
      </c>
      <c r="N162" s="189">
        <v>0.40486990000000006</v>
      </c>
      <c r="O162" s="189">
        <v>0.4156789500000001</v>
      </c>
      <c r="P162" s="189">
        <v>0.42648800000000003</v>
      </c>
      <c r="Q162" s="189">
        <v>0.42648800000000003</v>
      </c>
      <c r="R162" s="189">
        <v>0.42648800000000003</v>
      </c>
      <c r="S162" s="189">
        <v>0.42648800000000003</v>
      </c>
      <c r="T162" s="189">
        <v>0.42648800000000003</v>
      </c>
      <c r="U162" s="189">
        <v>0.42648800000000003</v>
      </c>
      <c r="V162" s="189">
        <v>0.42648800000000003</v>
      </c>
      <c r="W162" s="189">
        <v>0.42648800000000003</v>
      </c>
      <c r="X162" s="189">
        <v>0.42648800000000003</v>
      </c>
      <c r="Y162" s="189">
        <v>0.42648800000000003</v>
      </c>
      <c r="Z162" s="189">
        <v>0.42648800000000003</v>
      </c>
      <c r="AA162" s="189">
        <v>0.42648800000000003</v>
      </c>
      <c r="AB162" s="189">
        <v>0.42648800000000003</v>
      </c>
      <c r="AC162" s="189">
        <v>0.42648800000000003</v>
      </c>
      <c r="AD162" s="189">
        <v>0.42648800000000003</v>
      </c>
      <c r="AE162" s="189">
        <v>0.42648800000000003</v>
      </c>
      <c r="AF162" s="189">
        <v>0.42648800000000003</v>
      </c>
      <c r="AG162" s="189">
        <v>0.42648800000000003</v>
      </c>
      <c r="AH162" s="189">
        <v>0.42648800000000003</v>
      </c>
      <c r="AI162" s="189">
        <v>0.42648800000000003</v>
      </c>
      <c r="AJ162" s="189">
        <v>0.42648800000000003</v>
      </c>
    </row>
    <row r="163" spans="1:36" x14ac:dyDescent="0.35">
      <c r="A163" t="s">
        <v>1583</v>
      </c>
      <c r="B163" s="188" t="s">
        <v>1342</v>
      </c>
      <c r="C163" t="s">
        <v>1348</v>
      </c>
      <c r="D163" s="188">
        <v>30</v>
      </c>
      <c r="E163" t="s">
        <v>1500</v>
      </c>
      <c r="F163" t="s">
        <v>1581</v>
      </c>
      <c r="G163" s="189" t="s">
        <v>1582</v>
      </c>
      <c r="H163" s="189">
        <v>0.34001559999999997</v>
      </c>
      <c r="I163" s="189">
        <v>0.35082465000000002</v>
      </c>
      <c r="J163" s="189">
        <v>0.3616337</v>
      </c>
      <c r="K163" s="189">
        <v>0.37244275000000004</v>
      </c>
      <c r="L163" s="189">
        <v>0.38325180000000003</v>
      </c>
      <c r="M163" s="189">
        <v>0.39406085000000007</v>
      </c>
      <c r="N163" s="189">
        <v>0.40486990000000006</v>
      </c>
      <c r="O163" s="189">
        <v>0.4156789500000001</v>
      </c>
      <c r="P163" s="189">
        <v>0.42648800000000003</v>
      </c>
      <c r="Q163" s="189">
        <v>0.42648800000000003</v>
      </c>
      <c r="R163" s="189">
        <v>0.42648800000000003</v>
      </c>
      <c r="S163" s="189">
        <v>0.42648800000000003</v>
      </c>
      <c r="T163" s="189">
        <v>0.42648800000000003</v>
      </c>
      <c r="U163" s="189">
        <v>0.42648800000000003</v>
      </c>
      <c r="V163" s="189">
        <v>0.42648800000000003</v>
      </c>
      <c r="W163" s="189">
        <v>0.42648800000000003</v>
      </c>
      <c r="X163" s="189">
        <v>0.42648800000000003</v>
      </c>
      <c r="Y163" s="189">
        <v>0.42648800000000003</v>
      </c>
      <c r="Z163" s="189">
        <v>0.42648800000000003</v>
      </c>
      <c r="AA163" s="189">
        <v>0.42648800000000003</v>
      </c>
      <c r="AB163" s="189">
        <v>0.42648800000000003</v>
      </c>
      <c r="AC163" s="189">
        <v>0.42648800000000003</v>
      </c>
      <c r="AD163" s="189">
        <v>0.42648800000000003</v>
      </c>
      <c r="AE163" s="189">
        <v>0.42648800000000003</v>
      </c>
      <c r="AF163" s="189">
        <v>0.42648800000000003</v>
      </c>
      <c r="AG163" s="189">
        <v>0.42648800000000003</v>
      </c>
      <c r="AH163" s="189">
        <v>0.42648800000000003</v>
      </c>
      <c r="AI163" s="189">
        <v>0.42648800000000003</v>
      </c>
      <c r="AJ163" s="189">
        <v>0.42648800000000003</v>
      </c>
    </row>
    <row r="164" spans="1:36" x14ac:dyDescent="0.35">
      <c r="A164" t="s">
        <v>1584</v>
      </c>
      <c r="B164" s="188" t="s">
        <v>1342</v>
      </c>
      <c r="C164" t="s">
        <v>1350</v>
      </c>
      <c r="D164" s="188">
        <v>30</v>
      </c>
      <c r="E164" t="s">
        <v>1500</v>
      </c>
      <c r="F164" t="s">
        <v>1581</v>
      </c>
      <c r="G164" s="189" t="s">
        <v>1582</v>
      </c>
      <c r="H164" s="189">
        <v>0.34001559999999997</v>
      </c>
      <c r="I164" s="189">
        <v>0.35082465000000002</v>
      </c>
      <c r="J164" s="189">
        <v>0.3616337</v>
      </c>
      <c r="K164" s="189">
        <v>0.37244275000000004</v>
      </c>
      <c r="L164" s="189">
        <v>0.38325180000000003</v>
      </c>
      <c r="M164" s="189">
        <v>0.39406085000000007</v>
      </c>
      <c r="N164" s="189">
        <v>0.40486990000000006</v>
      </c>
      <c r="O164" s="189">
        <v>0.4156789500000001</v>
      </c>
      <c r="P164" s="189">
        <v>0.42648800000000003</v>
      </c>
      <c r="Q164" s="189">
        <v>0.42648800000000003</v>
      </c>
      <c r="R164" s="189">
        <v>0.42648800000000003</v>
      </c>
      <c r="S164" s="189">
        <v>0.42648800000000003</v>
      </c>
      <c r="T164" s="189">
        <v>0.42648800000000003</v>
      </c>
      <c r="U164" s="189">
        <v>0.42648800000000003</v>
      </c>
      <c r="V164" s="189">
        <v>0.42648800000000003</v>
      </c>
      <c r="W164" s="189">
        <v>0.42648800000000003</v>
      </c>
      <c r="X164" s="189">
        <v>0.42648800000000003</v>
      </c>
      <c r="Y164" s="189">
        <v>0.42648800000000003</v>
      </c>
      <c r="Z164" s="189">
        <v>0.42648800000000003</v>
      </c>
      <c r="AA164" s="189">
        <v>0.42648800000000003</v>
      </c>
      <c r="AB164" s="189">
        <v>0.42648800000000003</v>
      </c>
      <c r="AC164" s="189">
        <v>0.42648800000000003</v>
      </c>
      <c r="AD164" s="189">
        <v>0.42648800000000003</v>
      </c>
      <c r="AE164" s="189">
        <v>0.42648800000000003</v>
      </c>
      <c r="AF164" s="189">
        <v>0.42648800000000003</v>
      </c>
      <c r="AG164" s="189">
        <v>0.42648800000000003</v>
      </c>
      <c r="AH164" s="189">
        <v>0.42648800000000003</v>
      </c>
      <c r="AI164" s="189">
        <v>0.42648800000000003</v>
      </c>
      <c r="AJ164" s="189">
        <v>0.42648800000000003</v>
      </c>
    </row>
    <row r="165" spans="1:36" x14ac:dyDescent="0.35">
      <c r="A165" t="s">
        <v>1585</v>
      </c>
      <c r="B165" s="188" t="s">
        <v>1342</v>
      </c>
      <c r="C165" t="s">
        <v>1343</v>
      </c>
      <c r="D165" s="188">
        <v>30</v>
      </c>
      <c r="E165" t="s">
        <v>1500</v>
      </c>
      <c r="F165" t="s">
        <v>1586</v>
      </c>
      <c r="G165" s="189" t="s">
        <v>1587</v>
      </c>
      <c r="H165" s="189">
        <v>0.38068859999999999</v>
      </c>
      <c r="I165" s="189">
        <v>0.39503540000000004</v>
      </c>
      <c r="J165" s="189">
        <v>0.40938220000000003</v>
      </c>
      <c r="K165" s="189">
        <v>0.42372900000000008</v>
      </c>
      <c r="L165" s="189">
        <v>0.43807580000000007</v>
      </c>
      <c r="M165" s="189">
        <v>0.45242260000000012</v>
      </c>
      <c r="N165" s="189">
        <v>0.46676940000000011</v>
      </c>
      <c r="O165" s="189">
        <v>0.48111620000000016</v>
      </c>
      <c r="P165" s="189">
        <v>0.49546299999999999</v>
      </c>
      <c r="Q165" s="189">
        <v>0.49546299999999999</v>
      </c>
      <c r="R165" s="189">
        <v>0.49546299999999999</v>
      </c>
      <c r="S165" s="189">
        <v>0.49546299999999999</v>
      </c>
      <c r="T165" s="189">
        <v>0.49546299999999999</v>
      </c>
      <c r="U165" s="189">
        <v>0.49546299999999999</v>
      </c>
      <c r="V165" s="189">
        <v>0.49546299999999999</v>
      </c>
      <c r="W165" s="189">
        <v>0.49546299999999999</v>
      </c>
      <c r="X165" s="189">
        <v>0.49546299999999999</v>
      </c>
      <c r="Y165" s="189">
        <v>0.49546299999999999</v>
      </c>
      <c r="Z165" s="189">
        <v>0.49546299999999999</v>
      </c>
      <c r="AA165" s="189">
        <v>0.49546299999999999</v>
      </c>
      <c r="AB165" s="189">
        <v>0.49546299999999999</v>
      </c>
      <c r="AC165" s="189">
        <v>0.49546299999999999</v>
      </c>
      <c r="AD165" s="189">
        <v>0.49546299999999999</v>
      </c>
      <c r="AE165" s="189">
        <v>0.49546299999999999</v>
      </c>
      <c r="AF165" s="189">
        <v>0.49546299999999999</v>
      </c>
      <c r="AG165" s="189">
        <v>0.49546299999999999</v>
      </c>
      <c r="AH165" s="189">
        <v>0.49546299999999999</v>
      </c>
      <c r="AI165" s="189">
        <v>0.49546299999999999</v>
      </c>
      <c r="AJ165" s="189">
        <v>0.49546299999999999</v>
      </c>
    </row>
    <row r="166" spans="1:36" x14ac:dyDescent="0.35">
      <c r="A166" t="s">
        <v>1588</v>
      </c>
      <c r="B166" s="188" t="s">
        <v>1342</v>
      </c>
      <c r="C166" t="s">
        <v>1348</v>
      </c>
      <c r="D166" s="188">
        <v>30</v>
      </c>
      <c r="E166" t="s">
        <v>1500</v>
      </c>
      <c r="F166" t="s">
        <v>1586</v>
      </c>
      <c r="G166" s="189" t="s">
        <v>1587</v>
      </c>
      <c r="H166" s="189">
        <v>0.38068859999999999</v>
      </c>
      <c r="I166" s="189">
        <v>0.39503540000000004</v>
      </c>
      <c r="J166" s="189">
        <v>0.40938220000000003</v>
      </c>
      <c r="K166" s="189">
        <v>0.42372900000000008</v>
      </c>
      <c r="L166" s="189">
        <v>0.43807580000000007</v>
      </c>
      <c r="M166" s="189">
        <v>0.45242260000000012</v>
      </c>
      <c r="N166" s="189">
        <v>0.46676940000000011</v>
      </c>
      <c r="O166" s="189">
        <v>0.48111620000000016</v>
      </c>
      <c r="P166" s="189">
        <v>0.49546299999999999</v>
      </c>
      <c r="Q166" s="189">
        <v>0.49546299999999999</v>
      </c>
      <c r="R166" s="189">
        <v>0.49546299999999999</v>
      </c>
      <c r="S166" s="189">
        <v>0.49546299999999999</v>
      </c>
      <c r="T166" s="189">
        <v>0.49546299999999999</v>
      </c>
      <c r="U166" s="189">
        <v>0.49546299999999999</v>
      </c>
      <c r="V166" s="189">
        <v>0.49546299999999999</v>
      </c>
      <c r="W166" s="189">
        <v>0.49546299999999999</v>
      </c>
      <c r="X166" s="189">
        <v>0.49546299999999999</v>
      </c>
      <c r="Y166" s="189">
        <v>0.49546299999999999</v>
      </c>
      <c r="Z166" s="189">
        <v>0.49546299999999999</v>
      </c>
      <c r="AA166" s="189">
        <v>0.49546299999999999</v>
      </c>
      <c r="AB166" s="189">
        <v>0.49546299999999999</v>
      </c>
      <c r="AC166" s="189">
        <v>0.49546299999999999</v>
      </c>
      <c r="AD166" s="189">
        <v>0.49546299999999999</v>
      </c>
      <c r="AE166" s="189">
        <v>0.49546299999999999</v>
      </c>
      <c r="AF166" s="189">
        <v>0.49546299999999999</v>
      </c>
      <c r="AG166" s="189">
        <v>0.49546299999999999</v>
      </c>
      <c r="AH166" s="189">
        <v>0.49546299999999999</v>
      </c>
      <c r="AI166" s="189">
        <v>0.49546299999999999</v>
      </c>
      <c r="AJ166" s="189">
        <v>0.49546299999999999</v>
      </c>
    </row>
    <row r="167" spans="1:36" x14ac:dyDescent="0.35">
      <c r="A167" t="s">
        <v>1589</v>
      </c>
      <c r="B167" s="188" t="s">
        <v>1342</v>
      </c>
      <c r="C167" t="s">
        <v>1350</v>
      </c>
      <c r="D167" s="188">
        <v>30</v>
      </c>
      <c r="E167" t="s">
        <v>1500</v>
      </c>
      <c r="F167" t="s">
        <v>1586</v>
      </c>
      <c r="G167" s="189" t="s">
        <v>1587</v>
      </c>
      <c r="H167" s="189">
        <v>0.38068859999999999</v>
      </c>
      <c r="I167" s="189">
        <v>0.39503540000000004</v>
      </c>
      <c r="J167" s="189">
        <v>0.40938220000000003</v>
      </c>
      <c r="K167" s="189">
        <v>0.42372900000000008</v>
      </c>
      <c r="L167" s="189">
        <v>0.43807580000000007</v>
      </c>
      <c r="M167" s="189">
        <v>0.45242260000000012</v>
      </c>
      <c r="N167" s="189">
        <v>0.46676940000000011</v>
      </c>
      <c r="O167" s="189">
        <v>0.48111620000000016</v>
      </c>
      <c r="P167" s="189">
        <v>0.49546299999999999</v>
      </c>
      <c r="Q167" s="189">
        <v>0.49546299999999999</v>
      </c>
      <c r="R167" s="189">
        <v>0.49546299999999999</v>
      </c>
      <c r="S167" s="189">
        <v>0.49546299999999999</v>
      </c>
      <c r="T167" s="189">
        <v>0.49546299999999999</v>
      </c>
      <c r="U167" s="189">
        <v>0.49546299999999999</v>
      </c>
      <c r="V167" s="189">
        <v>0.49546299999999999</v>
      </c>
      <c r="W167" s="189">
        <v>0.49546299999999999</v>
      </c>
      <c r="X167" s="189">
        <v>0.49546299999999999</v>
      </c>
      <c r="Y167" s="189">
        <v>0.49546299999999999</v>
      </c>
      <c r="Z167" s="189">
        <v>0.49546299999999999</v>
      </c>
      <c r="AA167" s="189">
        <v>0.49546299999999999</v>
      </c>
      <c r="AB167" s="189">
        <v>0.49546299999999999</v>
      </c>
      <c r="AC167" s="189">
        <v>0.49546299999999999</v>
      </c>
      <c r="AD167" s="189">
        <v>0.49546299999999999</v>
      </c>
      <c r="AE167" s="189">
        <v>0.49546299999999999</v>
      </c>
      <c r="AF167" s="189">
        <v>0.49546299999999999</v>
      </c>
      <c r="AG167" s="189">
        <v>0.49546299999999999</v>
      </c>
      <c r="AH167" s="189">
        <v>0.49546299999999999</v>
      </c>
      <c r="AI167" s="189">
        <v>0.49546299999999999</v>
      </c>
      <c r="AJ167" s="189">
        <v>0.49546299999999999</v>
      </c>
    </row>
    <row r="168" spans="1:36" x14ac:dyDescent="0.35">
      <c r="A168" t="s">
        <v>1590</v>
      </c>
      <c r="B168" s="188" t="s">
        <v>1342</v>
      </c>
      <c r="C168" t="s">
        <v>1343</v>
      </c>
      <c r="D168" s="188">
        <v>30</v>
      </c>
      <c r="E168" t="s">
        <v>1500</v>
      </c>
      <c r="F168" t="s">
        <v>1591</v>
      </c>
      <c r="G168" s="189" t="s">
        <v>1592</v>
      </c>
      <c r="H168" s="189">
        <v>0.35785119999999998</v>
      </c>
      <c r="I168" s="189">
        <v>0.3767993</v>
      </c>
      <c r="J168" s="189">
        <v>0.39574740000000008</v>
      </c>
      <c r="K168" s="189">
        <v>0.41469550000000011</v>
      </c>
      <c r="L168" s="189">
        <v>0.43364360000000013</v>
      </c>
      <c r="M168" s="189">
        <v>0.45259170000000015</v>
      </c>
      <c r="N168" s="189">
        <v>0.47153980000000018</v>
      </c>
      <c r="O168" s="189">
        <v>0.4904879000000002</v>
      </c>
      <c r="P168" s="189">
        <v>0.509436</v>
      </c>
      <c r="Q168" s="189">
        <v>0.509436</v>
      </c>
      <c r="R168" s="189">
        <v>0.509436</v>
      </c>
      <c r="S168" s="189">
        <v>0.509436</v>
      </c>
      <c r="T168" s="189">
        <v>0.509436</v>
      </c>
      <c r="U168" s="189">
        <v>0.509436</v>
      </c>
      <c r="V168" s="189">
        <v>0.509436</v>
      </c>
      <c r="W168" s="189">
        <v>0.509436</v>
      </c>
      <c r="X168" s="189">
        <v>0.509436</v>
      </c>
      <c r="Y168" s="189">
        <v>0.509436</v>
      </c>
      <c r="Z168" s="189">
        <v>0.509436</v>
      </c>
      <c r="AA168" s="189">
        <v>0.509436</v>
      </c>
      <c r="AB168" s="189">
        <v>0.509436</v>
      </c>
      <c r="AC168" s="189">
        <v>0.509436</v>
      </c>
      <c r="AD168" s="189">
        <v>0.509436</v>
      </c>
      <c r="AE168" s="189">
        <v>0.509436</v>
      </c>
      <c r="AF168" s="189">
        <v>0.509436</v>
      </c>
      <c r="AG168" s="189">
        <v>0.509436</v>
      </c>
      <c r="AH168" s="189">
        <v>0.509436</v>
      </c>
      <c r="AI168" s="189">
        <v>0.509436</v>
      </c>
      <c r="AJ168" s="189">
        <v>0.509436</v>
      </c>
    </row>
    <row r="169" spans="1:36" x14ac:dyDescent="0.35">
      <c r="A169" t="s">
        <v>1593</v>
      </c>
      <c r="B169" s="188" t="s">
        <v>1342</v>
      </c>
      <c r="C169" t="s">
        <v>1348</v>
      </c>
      <c r="D169" s="188">
        <v>30</v>
      </c>
      <c r="E169" t="s">
        <v>1500</v>
      </c>
      <c r="F169" t="s">
        <v>1591</v>
      </c>
      <c r="G169" s="189" t="s">
        <v>1592</v>
      </c>
      <c r="H169" s="189">
        <v>0.35785119999999998</v>
      </c>
      <c r="I169" s="189">
        <v>0.3767993</v>
      </c>
      <c r="J169" s="189">
        <v>0.39574740000000008</v>
      </c>
      <c r="K169" s="189">
        <v>0.41469550000000011</v>
      </c>
      <c r="L169" s="189">
        <v>0.43364360000000013</v>
      </c>
      <c r="M169" s="189">
        <v>0.45259170000000015</v>
      </c>
      <c r="N169" s="189">
        <v>0.47153980000000018</v>
      </c>
      <c r="O169" s="189">
        <v>0.4904879000000002</v>
      </c>
      <c r="P169" s="189">
        <v>0.509436</v>
      </c>
      <c r="Q169" s="189">
        <v>0.509436</v>
      </c>
      <c r="R169" s="189">
        <v>0.509436</v>
      </c>
      <c r="S169" s="189">
        <v>0.509436</v>
      </c>
      <c r="T169" s="189">
        <v>0.509436</v>
      </c>
      <c r="U169" s="189">
        <v>0.509436</v>
      </c>
      <c r="V169" s="189">
        <v>0.509436</v>
      </c>
      <c r="W169" s="189">
        <v>0.509436</v>
      </c>
      <c r="X169" s="189">
        <v>0.509436</v>
      </c>
      <c r="Y169" s="189">
        <v>0.509436</v>
      </c>
      <c r="Z169" s="189">
        <v>0.509436</v>
      </c>
      <c r="AA169" s="189">
        <v>0.509436</v>
      </c>
      <c r="AB169" s="189">
        <v>0.509436</v>
      </c>
      <c r="AC169" s="189">
        <v>0.509436</v>
      </c>
      <c r="AD169" s="189">
        <v>0.509436</v>
      </c>
      <c r="AE169" s="189">
        <v>0.509436</v>
      </c>
      <c r="AF169" s="189">
        <v>0.509436</v>
      </c>
      <c r="AG169" s="189">
        <v>0.509436</v>
      </c>
      <c r="AH169" s="189">
        <v>0.509436</v>
      </c>
      <c r="AI169" s="189">
        <v>0.509436</v>
      </c>
      <c r="AJ169" s="189">
        <v>0.509436</v>
      </c>
    </row>
    <row r="170" spans="1:36" x14ac:dyDescent="0.35">
      <c r="A170" t="s">
        <v>1594</v>
      </c>
      <c r="B170" s="188" t="s">
        <v>1342</v>
      </c>
      <c r="C170" t="s">
        <v>1350</v>
      </c>
      <c r="D170" s="188">
        <v>30</v>
      </c>
      <c r="E170" t="s">
        <v>1500</v>
      </c>
      <c r="F170" t="s">
        <v>1591</v>
      </c>
      <c r="G170" s="189" t="s">
        <v>1592</v>
      </c>
      <c r="H170" s="189">
        <v>0.35785119999999998</v>
      </c>
      <c r="I170" s="189">
        <v>0.3767993</v>
      </c>
      <c r="J170" s="189">
        <v>0.39574740000000008</v>
      </c>
      <c r="K170" s="189">
        <v>0.41469550000000011</v>
      </c>
      <c r="L170" s="189">
        <v>0.43364360000000013</v>
      </c>
      <c r="M170" s="189">
        <v>0.45259170000000015</v>
      </c>
      <c r="N170" s="189">
        <v>0.47153980000000018</v>
      </c>
      <c r="O170" s="189">
        <v>0.4904879000000002</v>
      </c>
      <c r="P170" s="189">
        <v>0.509436</v>
      </c>
      <c r="Q170" s="189">
        <v>0.509436</v>
      </c>
      <c r="R170" s="189">
        <v>0.509436</v>
      </c>
      <c r="S170" s="189">
        <v>0.509436</v>
      </c>
      <c r="T170" s="189">
        <v>0.509436</v>
      </c>
      <c r="U170" s="189">
        <v>0.509436</v>
      </c>
      <c r="V170" s="189">
        <v>0.509436</v>
      </c>
      <c r="W170" s="189">
        <v>0.509436</v>
      </c>
      <c r="X170" s="189">
        <v>0.509436</v>
      </c>
      <c r="Y170" s="189">
        <v>0.509436</v>
      </c>
      <c r="Z170" s="189">
        <v>0.509436</v>
      </c>
      <c r="AA170" s="189">
        <v>0.509436</v>
      </c>
      <c r="AB170" s="189">
        <v>0.509436</v>
      </c>
      <c r="AC170" s="189">
        <v>0.509436</v>
      </c>
      <c r="AD170" s="189">
        <v>0.509436</v>
      </c>
      <c r="AE170" s="189">
        <v>0.509436</v>
      </c>
      <c r="AF170" s="189">
        <v>0.509436</v>
      </c>
      <c r="AG170" s="189">
        <v>0.509436</v>
      </c>
      <c r="AH170" s="189">
        <v>0.509436</v>
      </c>
      <c r="AI170" s="189">
        <v>0.509436</v>
      </c>
      <c r="AJ170" s="189">
        <v>0.509436</v>
      </c>
    </row>
    <row r="171" spans="1:36" x14ac:dyDescent="0.35">
      <c r="A171" t="s">
        <v>1595</v>
      </c>
      <c r="B171" s="188" t="s">
        <v>1342</v>
      </c>
      <c r="C171" t="s">
        <v>1343</v>
      </c>
      <c r="D171" s="188">
        <v>30</v>
      </c>
      <c r="E171" t="s">
        <v>1500</v>
      </c>
      <c r="F171" t="s">
        <v>1596</v>
      </c>
      <c r="G171" s="189" t="s">
        <v>1597</v>
      </c>
      <c r="H171" s="189">
        <v>0.4090974</v>
      </c>
      <c r="I171" s="189">
        <v>0.42461010000000005</v>
      </c>
      <c r="J171" s="189">
        <v>0.44012280000000004</v>
      </c>
      <c r="K171" s="189">
        <v>0.45563550000000003</v>
      </c>
      <c r="L171" s="189">
        <v>0.47114819999999996</v>
      </c>
      <c r="M171" s="189">
        <v>0.48666089999999995</v>
      </c>
      <c r="N171" s="189">
        <v>0.50217359999999989</v>
      </c>
      <c r="O171" s="189">
        <v>0.51768629999999982</v>
      </c>
      <c r="P171" s="189">
        <v>0.53319899999999998</v>
      </c>
      <c r="Q171" s="189">
        <v>0.53319899999999998</v>
      </c>
      <c r="R171" s="189">
        <v>0.53319899999999998</v>
      </c>
      <c r="S171" s="189">
        <v>0.53319899999999998</v>
      </c>
      <c r="T171" s="189">
        <v>0.53319899999999998</v>
      </c>
      <c r="U171" s="189">
        <v>0.53319899999999998</v>
      </c>
      <c r="V171" s="189">
        <v>0.53319899999999998</v>
      </c>
      <c r="W171" s="189">
        <v>0.53319899999999998</v>
      </c>
      <c r="X171" s="189">
        <v>0.53319899999999998</v>
      </c>
      <c r="Y171" s="189">
        <v>0.53319899999999998</v>
      </c>
      <c r="Z171" s="189">
        <v>0.53319899999999998</v>
      </c>
      <c r="AA171" s="189">
        <v>0.53319899999999998</v>
      </c>
      <c r="AB171" s="189">
        <v>0.53319899999999998</v>
      </c>
      <c r="AC171" s="189">
        <v>0.53319899999999998</v>
      </c>
      <c r="AD171" s="189">
        <v>0.53319899999999998</v>
      </c>
      <c r="AE171" s="189">
        <v>0.53319899999999998</v>
      </c>
      <c r="AF171" s="189">
        <v>0.53319899999999998</v>
      </c>
      <c r="AG171" s="189">
        <v>0.53319899999999998</v>
      </c>
      <c r="AH171" s="189">
        <v>0.53319899999999998</v>
      </c>
      <c r="AI171" s="189">
        <v>0.53319899999999998</v>
      </c>
      <c r="AJ171" s="189">
        <v>0.53319899999999998</v>
      </c>
    </row>
    <row r="172" spans="1:36" x14ac:dyDescent="0.35">
      <c r="A172" t="s">
        <v>1598</v>
      </c>
      <c r="B172" s="188" t="s">
        <v>1342</v>
      </c>
      <c r="C172" t="s">
        <v>1348</v>
      </c>
      <c r="D172" s="188">
        <v>30</v>
      </c>
      <c r="E172" t="s">
        <v>1500</v>
      </c>
      <c r="F172" t="s">
        <v>1596</v>
      </c>
      <c r="G172" s="189" t="s">
        <v>1597</v>
      </c>
      <c r="H172" s="189">
        <v>0.4090974</v>
      </c>
      <c r="I172" s="189">
        <v>0.42461010000000005</v>
      </c>
      <c r="J172" s="189">
        <v>0.44012280000000004</v>
      </c>
      <c r="K172" s="189">
        <v>0.45563550000000003</v>
      </c>
      <c r="L172" s="189">
        <v>0.47114819999999996</v>
      </c>
      <c r="M172" s="189">
        <v>0.48666089999999995</v>
      </c>
      <c r="N172" s="189">
        <v>0.50217359999999989</v>
      </c>
      <c r="O172" s="189">
        <v>0.51768629999999982</v>
      </c>
      <c r="P172" s="189">
        <v>0.53319899999999998</v>
      </c>
      <c r="Q172" s="189">
        <v>0.53319899999999998</v>
      </c>
      <c r="R172" s="189">
        <v>0.53319899999999998</v>
      </c>
      <c r="S172" s="189">
        <v>0.53319899999999998</v>
      </c>
      <c r="T172" s="189">
        <v>0.53319899999999998</v>
      </c>
      <c r="U172" s="189">
        <v>0.53319899999999998</v>
      </c>
      <c r="V172" s="189">
        <v>0.53319899999999998</v>
      </c>
      <c r="W172" s="189">
        <v>0.53319899999999998</v>
      </c>
      <c r="X172" s="189">
        <v>0.53319899999999998</v>
      </c>
      <c r="Y172" s="189">
        <v>0.53319899999999998</v>
      </c>
      <c r="Z172" s="189">
        <v>0.53319899999999998</v>
      </c>
      <c r="AA172" s="189">
        <v>0.53319899999999998</v>
      </c>
      <c r="AB172" s="189">
        <v>0.53319899999999998</v>
      </c>
      <c r="AC172" s="189">
        <v>0.53319899999999998</v>
      </c>
      <c r="AD172" s="189">
        <v>0.53319899999999998</v>
      </c>
      <c r="AE172" s="189">
        <v>0.53319899999999998</v>
      </c>
      <c r="AF172" s="189">
        <v>0.53319899999999998</v>
      </c>
      <c r="AG172" s="189">
        <v>0.53319899999999998</v>
      </c>
      <c r="AH172" s="189">
        <v>0.53319899999999998</v>
      </c>
      <c r="AI172" s="189">
        <v>0.53319899999999998</v>
      </c>
      <c r="AJ172" s="189">
        <v>0.53319899999999998</v>
      </c>
    </row>
    <row r="173" spans="1:36" x14ac:dyDescent="0.35">
      <c r="A173" t="s">
        <v>1599</v>
      </c>
      <c r="B173" s="188" t="s">
        <v>1342</v>
      </c>
      <c r="C173" t="s">
        <v>1350</v>
      </c>
      <c r="D173" s="188">
        <v>30</v>
      </c>
      <c r="E173" t="s">
        <v>1500</v>
      </c>
      <c r="F173" t="s">
        <v>1596</v>
      </c>
      <c r="G173" s="189" t="s">
        <v>1597</v>
      </c>
      <c r="H173" s="189">
        <v>0.4090974</v>
      </c>
      <c r="I173" s="189">
        <v>0.42461010000000005</v>
      </c>
      <c r="J173" s="189">
        <v>0.44012280000000004</v>
      </c>
      <c r="K173" s="189">
        <v>0.45563550000000003</v>
      </c>
      <c r="L173" s="189">
        <v>0.47114819999999996</v>
      </c>
      <c r="M173" s="189">
        <v>0.48666089999999995</v>
      </c>
      <c r="N173" s="189">
        <v>0.50217359999999989</v>
      </c>
      <c r="O173" s="189">
        <v>0.51768629999999982</v>
      </c>
      <c r="P173" s="189">
        <v>0.53319899999999998</v>
      </c>
      <c r="Q173" s="189">
        <v>0.53319899999999998</v>
      </c>
      <c r="R173" s="189">
        <v>0.53319899999999998</v>
      </c>
      <c r="S173" s="189">
        <v>0.53319899999999998</v>
      </c>
      <c r="T173" s="189">
        <v>0.53319899999999998</v>
      </c>
      <c r="U173" s="189">
        <v>0.53319899999999998</v>
      </c>
      <c r="V173" s="189">
        <v>0.53319899999999998</v>
      </c>
      <c r="W173" s="189">
        <v>0.53319899999999998</v>
      </c>
      <c r="X173" s="189">
        <v>0.53319899999999998</v>
      </c>
      <c r="Y173" s="189">
        <v>0.53319899999999998</v>
      </c>
      <c r="Z173" s="189">
        <v>0.53319899999999998</v>
      </c>
      <c r="AA173" s="189">
        <v>0.53319899999999998</v>
      </c>
      <c r="AB173" s="189">
        <v>0.53319899999999998</v>
      </c>
      <c r="AC173" s="189">
        <v>0.53319899999999998</v>
      </c>
      <c r="AD173" s="189">
        <v>0.53319899999999998</v>
      </c>
      <c r="AE173" s="189">
        <v>0.53319899999999998</v>
      </c>
      <c r="AF173" s="189">
        <v>0.53319899999999998</v>
      </c>
      <c r="AG173" s="189">
        <v>0.53319899999999998</v>
      </c>
      <c r="AH173" s="189">
        <v>0.53319899999999998</v>
      </c>
      <c r="AI173" s="189">
        <v>0.53319899999999998</v>
      </c>
      <c r="AJ173" s="189">
        <v>0.53319899999999998</v>
      </c>
    </row>
    <row r="174" spans="1:36" x14ac:dyDescent="0.35">
      <c r="A174" t="s">
        <v>1600</v>
      </c>
      <c r="B174" s="188" t="s">
        <v>1342</v>
      </c>
      <c r="C174" t="s">
        <v>1343</v>
      </c>
      <c r="D174" s="188">
        <v>30</v>
      </c>
      <c r="E174" t="s">
        <v>1500</v>
      </c>
      <c r="F174" t="s">
        <v>1601</v>
      </c>
      <c r="G174" s="189" t="s">
        <v>1602</v>
      </c>
      <c r="H174" s="189">
        <v>0.31810379999999999</v>
      </c>
      <c r="I174" s="189">
        <v>0.32890395</v>
      </c>
      <c r="J174" s="189">
        <v>0.33970410000000001</v>
      </c>
      <c r="K174" s="189">
        <v>0.35050425000000002</v>
      </c>
      <c r="L174" s="189">
        <v>0.36130440000000003</v>
      </c>
      <c r="M174" s="189">
        <v>0.37210455000000003</v>
      </c>
      <c r="N174" s="189">
        <v>0.38290470000000004</v>
      </c>
      <c r="O174" s="189">
        <v>0.39370485000000005</v>
      </c>
      <c r="P174" s="189">
        <v>0.404505</v>
      </c>
      <c r="Q174" s="189">
        <v>0.404505</v>
      </c>
      <c r="R174" s="189">
        <v>0.404505</v>
      </c>
      <c r="S174" s="189">
        <v>0.404505</v>
      </c>
      <c r="T174" s="189">
        <v>0.404505</v>
      </c>
      <c r="U174" s="189">
        <v>0.404505</v>
      </c>
      <c r="V174" s="189">
        <v>0.404505</v>
      </c>
      <c r="W174" s="189">
        <v>0.404505</v>
      </c>
      <c r="X174" s="189">
        <v>0.404505</v>
      </c>
      <c r="Y174" s="189">
        <v>0.404505</v>
      </c>
      <c r="Z174" s="189">
        <v>0.404505</v>
      </c>
      <c r="AA174" s="189">
        <v>0.404505</v>
      </c>
      <c r="AB174" s="189">
        <v>0.404505</v>
      </c>
      <c r="AC174" s="189">
        <v>0.404505</v>
      </c>
      <c r="AD174" s="189">
        <v>0.404505</v>
      </c>
      <c r="AE174" s="189">
        <v>0.404505</v>
      </c>
      <c r="AF174" s="189">
        <v>0.404505</v>
      </c>
      <c r="AG174" s="189">
        <v>0.404505</v>
      </c>
      <c r="AH174" s="189">
        <v>0.404505</v>
      </c>
      <c r="AI174" s="189">
        <v>0.404505</v>
      </c>
      <c r="AJ174" s="189">
        <v>0.404505</v>
      </c>
    </row>
    <row r="175" spans="1:36" x14ac:dyDescent="0.35">
      <c r="A175" t="s">
        <v>1603</v>
      </c>
      <c r="B175" s="188" t="s">
        <v>1342</v>
      </c>
      <c r="C175" t="s">
        <v>1348</v>
      </c>
      <c r="D175" s="188">
        <v>30</v>
      </c>
      <c r="E175" t="s">
        <v>1500</v>
      </c>
      <c r="F175" t="s">
        <v>1601</v>
      </c>
      <c r="G175" s="189" t="s">
        <v>1602</v>
      </c>
      <c r="H175" s="189">
        <v>0.31810379999999999</v>
      </c>
      <c r="I175" s="189">
        <v>0.32890395</v>
      </c>
      <c r="J175" s="189">
        <v>0.33970410000000001</v>
      </c>
      <c r="K175" s="189">
        <v>0.35050425000000002</v>
      </c>
      <c r="L175" s="189">
        <v>0.36130440000000003</v>
      </c>
      <c r="M175" s="189">
        <v>0.37210455000000003</v>
      </c>
      <c r="N175" s="189">
        <v>0.38290470000000004</v>
      </c>
      <c r="O175" s="189">
        <v>0.39370485000000005</v>
      </c>
      <c r="P175" s="189">
        <v>0.404505</v>
      </c>
      <c r="Q175" s="189">
        <v>0.404505</v>
      </c>
      <c r="R175" s="189">
        <v>0.404505</v>
      </c>
      <c r="S175" s="189">
        <v>0.404505</v>
      </c>
      <c r="T175" s="189">
        <v>0.404505</v>
      </c>
      <c r="U175" s="189">
        <v>0.404505</v>
      </c>
      <c r="V175" s="189">
        <v>0.404505</v>
      </c>
      <c r="W175" s="189">
        <v>0.404505</v>
      </c>
      <c r="X175" s="189">
        <v>0.404505</v>
      </c>
      <c r="Y175" s="189">
        <v>0.404505</v>
      </c>
      <c r="Z175" s="189">
        <v>0.404505</v>
      </c>
      <c r="AA175" s="189">
        <v>0.404505</v>
      </c>
      <c r="AB175" s="189">
        <v>0.404505</v>
      </c>
      <c r="AC175" s="189">
        <v>0.404505</v>
      </c>
      <c r="AD175" s="189">
        <v>0.404505</v>
      </c>
      <c r="AE175" s="189">
        <v>0.404505</v>
      </c>
      <c r="AF175" s="189">
        <v>0.404505</v>
      </c>
      <c r="AG175" s="189">
        <v>0.404505</v>
      </c>
      <c r="AH175" s="189">
        <v>0.404505</v>
      </c>
      <c r="AI175" s="189">
        <v>0.404505</v>
      </c>
      <c r="AJ175" s="189">
        <v>0.404505</v>
      </c>
    </row>
    <row r="176" spans="1:36" x14ac:dyDescent="0.35">
      <c r="A176" t="s">
        <v>1604</v>
      </c>
      <c r="B176" s="188" t="s">
        <v>1342</v>
      </c>
      <c r="C176" t="s">
        <v>1350</v>
      </c>
      <c r="D176" s="188">
        <v>30</v>
      </c>
      <c r="E176" t="s">
        <v>1500</v>
      </c>
      <c r="F176" t="s">
        <v>1601</v>
      </c>
      <c r="G176" s="189" t="s">
        <v>1602</v>
      </c>
      <c r="H176" s="189">
        <v>0.31810379999999999</v>
      </c>
      <c r="I176" s="189">
        <v>0.32890395</v>
      </c>
      <c r="J176" s="189">
        <v>0.33970410000000001</v>
      </c>
      <c r="K176" s="189">
        <v>0.35050425000000002</v>
      </c>
      <c r="L176" s="189">
        <v>0.36130440000000003</v>
      </c>
      <c r="M176" s="189">
        <v>0.37210455000000003</v>
      </c>
      <c r="N176" s="189">
        <v>0.38290470000000004</v>
      </c>
      <c r="O176" s="189">
        <v>0.39370485000000005</v>
      </c>
      <c r="P176" s="189">
        <v>0.404505</v>
      </c>
      <c r="Q176" s="189">
        <v>0.404505</v>
      </c>
      <c r="R176" s="189">
        <v>0.404505</v>
      </c>
      <c r="S176" s="189">
        <v>0.404505</v>
      </c>
      <c r="T176" s="189">
        <v>0.404505</v>
      </c>
      <c r="U176" s="189">
        <v>0.404505</v>
      </c>
      <c r="V176" s="189">
        <v>0.404505</v>
      </c>
      <c r="W176" s="189">
        <v>0.404505</v>
      </c>
      <c r="X176" s="189">
        <v>0.404505</v>
      </c>
      <c r="Y176" s="189">
        <v>0.404505</v>
      </c>
      <c r="Z176" s="189">
        <v>0.404505</v>
      </c>
      <c r="AA176" s="189">
        <v>0.404505</v>
      </c>
      <c r="AB176" s="189">
        <v>0.404505</v>
      </c>
      <c r="AC176" s="189">
        <v>0.404505</v>
      </c>
      <c r="AD176" s="189">
        <v>0.404505</v>
      </c>
      <c r="AE176" s="189">
        <v>0.404505</v>
      </c>
      <c r="AF176" s="189">
        <v>0.404505</v>
      </c>
      <c r="AG176" s="189">
        <v>0.404505</v>
      </c>
      <c r="AH176" s="189">
        <v>0.404505</v>
      </c>
      <c r="AI176" s="189">
        <v>0.404505</v>
      </c>
      <c r="AJ176" s="189">
        <v>0.404505</v>
      </c>
    </row>
    <row r="177" spans="1:36" x14ac:dyDescent="0.35">
      <c r="A177" t="s">
        <v>1605</v>
      </c>
      <c r="B177" s="188" t="s">
        <v>1342</v>
      </c>
      <c r="C177" t="s">
        <v>1343</v>
      </c>
      <c r="D177" s="188">
        <v>30</v>
      </c>
      <c r="E177" t="s">
        <v>1500</v>
      </c>
      <c r="F177" t="s">
        <v>1606</v>
      </c>
      <c r="G177" s="189" t="s">
        <v>1607</v>
      </c>
      <c r="H177" s="189">
        <v>0.35466499999999995</v>
      </c>
      <c r="I177" s="189">
        <v>0.36912749999999994</v>
      </c>
      <c r="J177" s="189">
        <v>0.38358999999999993</v>
      </c>
      <c r="K177" s="189">
        <v>0.39805249999999992</v>
      </c>
      <c r="L177" s="189">
        <v>0.41251499999999991</v>
      </c>
      <c r="M177" s="189">
        <v>0.4269774999999999</v>
      </c>
      <c r="N177" s="189">
        <v>0.44143999999999989</v>
      </c>
      <c r="O177" s="189">
        <v>0.45590249999999988</v>
      </c>
      <c r="P177" s="189">
        <v>0.47036499999999998</v>
      </c>
      <c r="Q177" s="189">
        <v>0.47036499999999998</v>
      </c>
      <c r="R177" s="189">
        <v>0.47036499999999998</v>
      </c>
      <c r="S177" s="189">
        <v>0.47036499999999998</v>
      </c>
      <c r="T177" s="189">
        <v>0.47036499999999998</v>
      </c>
      <c r="U177" s="189">
        <v>0.47036499999999998</v>
      </c>
      <c r="V177" s="189">
        <v>0.47036499999999998</v>
      </c>
      <c r="W177" s="189">
        <v>0.47036499999999998</v>
      </c>
      <c r="X177" s="189">
        <v>0.47036499999999998</v>
      </c>
      <c r="Y177" s="189">
        <v>0.47036499999999998</v>
      </c>
      <c r="Z177" s="189">
        <v>0.47036499999999998</v>
      </c>
      <c r="AA177" s="189">
        <v>0.47036499999999998</v>
      </c>
      <c r="AB177" s="189">
        <v>0.47036499999999998</v>
      </c>
      <c r="AC177" s="189">
        <v>0.47036499999999998</v>
      </c>
      <c r="AD177" s="189">
        <v>0.47036499999999998</v>
      </c>
      <c r="AE177" s="189">
        <v>0.47036499999999998</v>
      </c>
      <c r="AF177" s="189">
        <v>0.47036499999999998</v>
      </c>
      <c r="AG177" s="189">
        <v>0.47036499999999998</v>
      </c>
      <c r="AH177" s="189">
        <v>0.47036499999999998</v>
      </c>
      <c r="AI177" s="189">
        <v>0.47036499999999998</v>
      </c>
      <c r="AJ177" s="189">
        <v>0.47036499999999998</v>
      </c>
    </row>
    <row r="178" spans="1:36" x14ac:dyDescent="0.35">
      <c r="A178" t="s">
        <v>1608</v>
      </c>
      <c r="B178" s="188" t="s">
        <v>1342</v>
      </c>
      <c r="C178" t="s">
        <v>1348</v>
      </c>
      <c r="D178" s="188">
        <v>30</v>
      </c>
      <c r="E178" t="s">
        <v>1500</v>
      </c>
      <c r="F178" t="s">
        <v>1606</v>
      </c>
      <c r="G178" s="189" t="s">
        <v>1607</v>
      </c>
      <c r="H178" s="189">
        <v>0.35466499999999995</v>
      </c>
      <c r="I178" s="189">
        <v>0.36912749999999994</v>
      </c>
      <c r="J178" s="189">
        <v>0.38358999999999993</v>
      </c>
      <c r="K178" s="189">
        <v>0.39805249999999992</v>
      </c>
      <c r="L178" s="189">
        <v>0.41251499999999991</v>
      </c>
      <c r="M178" s="189">
        <v>0.4269774999999999</v>
      </c>
      <c r="N178" s="189">
        <v>0.44143999999999989</v>
      </c>
      <c r="O178" s="189">
        <v>0.45590249999999988</v>
      </c>
      <c r="P178" s="189">
        <v>0.47036499999999998</v>
      </c>
      <c r="Q178" s="189">
        <v>0.47036499999999998</v>
      </c>
      <c r="R178" s="189">
        <v>0.47036499999999998</v>
      </c>
      <c r="S178" s="189">
        <v>0.47036499999999998</v>
      </c>
      <c r="T178" s="189">
        <v>0.47036499999999998</v>
      </c>
      <c r="U178" s="189">
        <v>0.47036499999999998</v>
      </c>
      <c r="V178" s="189">
        <v>0.47036499999999998</v>
      </c>
      <c r="W178" s="189">
        <v>0.47036499999999998</v>
      </c>
      <c r="X178" s="189">
        <v>0.47036499999999998</v>
      </c>
      <c r="Y178" s="189">
        <v>0.47036499999999998</v>
      </c>
      <c r="Z178" s="189">
        <v>0.47036499999999998</v>
      </c>
      <c r="AA178" s="189">
        <v>0.47036499999999998</v>
      </c>
      <c r="AB178" s="189">
        <v>0.47036499999999998</v>
      </c>
      <c r="AC178" s="189">
        <v>0.47036499999999998</v>
      </c>
      <c r="AD178" s="189">
        <v>0.47036499999999998</v>
      </c>
      <c r="AE178" s="189">
        <v>0.47036499999999998</v>
      </c>
      <c r="AF178" s="189">
        <v>0.47036499999999998</v>
      </c>
      <c r="AG178" s="189">
        <v>0.47036499999999998</v>
      </c>
      <c r="AH178" s="189">
        <v>0.47036499999999998</v>
      </c>
      <c r="AI178" s="189">
        <v>0.47036499999999998</v>
      </c>
      <c r="AJ178" s="189">
        <v>0.47036499999999998</v>
      </c>
    </row>
    <row r="179" spans="1:36" x14ac:dyDescent="0.35">
      <c r="A179" t="s">
        <v>1609</v>
      </c>
      <c r="B179" s="188" t="s">
        <v>1342</v>
      </c>
      <c r="C179" t="s">
        <v>1350</v>
      </c>
      <c r="D179" s="188">
        <v>30</v>
      </c>
      <c r="E179" t="s">
        <v>1500</v>
      </c>
      <c r="F179" t="s">
        <v>1606</v>
      </c>
      <c r="G179" s="189" t="s">
        <v>1607</v>
      </c>
      <c r="H179" s="189">
        <v>0.35466499999999995</v>
      </c>
      <c r="I179" s="189">
        <v>0.36912749999999994</v>
      </c>
      <c r="J179" s="189">
        <v>0.38358999999999993</v>
      </c>
      <c r="K179" s="189">
        <v>0.39805249999999992</v>
      </c>
      <c r="L179" s="189">
        <v>0.41251499999999991</v>
      </c>
      <c r="M179" s="189">
        <v>0.4269774999999999</v>
      </c>
      <c r="N179" s="189">
        <v>0.44143999999999989</v>
      </c>
      <c r="O179" s="189">
        <v>0.45590249999999988</v>
      </c>
      <c r="P179" s="189">
        <v>0.47036499999999998</v>
      </c>
      <c r="Q179" s="189">
        <v>0.47036499999999998</v>
      </c>
      <c r="R179" s="189">
        <v>0.47036499999999998</v>
      </c>
      <c r="S179" s="189">
        <v>0.47036499999999998</v>
      </c>
      <c r="T179" s="189">
        <v>0.47036499999999998</v>
      </c>
      <c r="U179" s="189">
        <v>0.47036499999999998</v>
      </c>
      <c r="V179" s="189">
        <v>0.47036499999999998</v>
      </c>
      <c r="W179" s="189">
        <v>0.47036499999999998</v>
      </c>
      <c r="X179" s="189">
        <v>0.47036499999999998</v>
      </c>
      <c r="Y179" s="189">
        <v>0.47036499999999998</v>
      </c>
      <c r="Z179" s="189">
        <v>0.47036499999999998</v>
      </c>
      <c r="AA179" s="189">
        <v>0.47036499999999998</v>
      </c>
      <c r="AB179" s="189">
        <v>0.47036499999999998</v>
      </c>
      <c r="AC179" s="189">
        <v>0.47036499999999998</v>
      </c>
      <c r="AD179" s="189">
        <v>0.47036499999999998</v>
      </c>
      <c r="AE179" s="189">
        <v>0.47036499999999998</v>
      </c>
      <c r="AF179" s="189">
        <v>0.47036499999999998</v>
      </c>
      <c r="AG179" s="189">
        <v>0.47036499999999998</v>
      </c>
      <c r="AH179" s="189">
        <v>0.47036499999999998</v>
      </c>
      <c r="AI179" s="189">
        <v>0.47036499999999998</v>
      </c>
      <c r="AJ179" s="189">
        <v>0.47036499999999998</v>
      </c>
    </row>
    <row r="180" spans="1:36" x14ac:dyDescent="0.35">
      <c r="A180" t="s">
        <v>1610</v>
      </c>
      <c r="B180" s="188" t="s">
        <v>1342</v>
      </c>
      <c r="C180" t="s">
        <v>1343</v>
      </c>
      <c r="D180" s="188">
        <v>30</v>
      </c>
      <c r="E180" t="s">
        <v>1500</v>
      </c>
      <c r="F180" t="s">
        <v>1611</v>
      </c>
      <c r="G180" s="189" t="s">
        <v>1612</v>
      </c>
      <c r="H180" s="189">
        <v>0.33236159999999998</v>
      </c>
      <c r="I180" s="189">
        <v>0.3514254</v>
      </c>
      <c r="J180" s="189">
        <v>0.37048919999999996</v>
      </c>
      <c r="K180" s="189">
        <v>0.38955299999999998</v>
      </c>
      <c r="L180" s="189">
        <v>0.4086168</v>
      </c>
      <c r="M180" s="189">
        <v>0.42768059999999997</v>
      </c>
      <c r="N180" s="189">
        <v>0.44674439999999999</v>
      </c>
      <c r="O180" s="189">
        <v>0.46580819999999995</v>
      </c>
      <c r="P180" s="189">
        <v>0.48487199999999997</v>
      </c>
      <c r="Q180" s="189">
        <v>0.48487199999999997</v>
      </c>
      <c r="R180" s="189">
        <v>0.48487199999999997</v>
      </c>
      <c r="S180" s="189">
        <v>0.48487199999999997</v>
      </c>
      <c r="T180" s="189">
        <v>0.48487199999999997</v>
      </c>
      <c r="U180" s="189">
        <v>0.48487199999999997</v>
      </c>
      <c r="V180" s="189">
        <v>0.48487199999999997</v>
      </c>
      <c r="W180" s="189">
        <v>0.48487199999999997</v>
      </c>
      <c r="X180" s="189">
        <v>0.48487199999999997</v>
      </c>
      <c r="Y180" s="189">
        <v>0.48487199999999997</v>
      </c>
      <c r="Z180" s="189">
        <v>0.48487199999999997</v>
      </c>
      <c r="AA180" s="189">
        <v>0.48487199999999997</v>
      </c>
      <c r="AB180" s="189">
        <v>0.48487199999999997</v>
      </c>
      <c r="AC180" s="189">
        <v>0.48487199999999997</v>
      </c>
      <c r="AD180" s="189">
        <v>0.48487199999999997</v>
      </c>
      <c r="AE180" s="189">
        <v>0.48487199999999997</v>
      </c>
      <c r="AF180" s="189">
        <v>0.48487199999999997</v>
      </c>
      <c r="AG180" s="189">
        <v>0.48487199999999997</v>
      </c>
      <c r="AH180" s="189">
        <v>0.48487199999999997</v>
      </c>
      <c r="AI180" s="189">
        <v>0.48487199999999997</v>
      </c>
      <c r="AJ180" s="189">
        <v>0.48487199999999997</v>
      </c>
    </row>
    <row r="181" spans="1:36" x14ac:dyDescent="0.35">
      <c r="A181" t="s">
        <v>1613</v>
      </c>
      <c r="B181" s="188" t="s">
        <v>1342</v>
      </c>
      <c r="C181" t="s">
        <v>1348</v>
      </c>
      <c r="D181" s="188">
        <v>30</v>
      </c>
      <c r="E181" t="s">
        <v>1500</v>
      </c>
      <c r="F181" t="s">
        <v>1611</v>
      </c>
      <c r="G181" s="189" t="s">
        <v>1612</v>
      </c>
      <c r="H181" s="189">
        <v>0.33236159999999998</v>
      </c>
      <c r="I181" s="189">
        <v>0.3514254</v>
      </c>
      <c r="J181" s="189">
        <v>0.37048919999999996</v>
      </c>
      <c r="K181" s="189">
        <v>0.38955299999999998</v>
      </c>
      <c r="L181" s="189">
        <v>0.4086168</v>
      </c>
      <c r="M181" s="189">
        <v>0.42768059999999997</v>
      </c>
      <c r="N181" s="189">
        <v>0.44674439999999999</v>
      </c>
      <c r="O181" s="189">
        <v>0.46580819999999995</v>
      </c>
      <c r="P181" s="189">
        <v>0.48487199999999997</v>
      </c>
      <c r="Q181" s="189">
        <v>0.48487199999999997</v>
      </c>
      <c r="R181" s="189">
        <v>0.48487199999999997</v>
      </c>
      <c r="S181" s="189">
        <v>0.48487199999999997</v>
      </c>
      <c r="T181" s="189">
        <v>0.48487199999999997</v>
      </c>
      <c r="U181" s="189">
        <v>0.48487199999999997</v>
      </c>
      <c r="V181" s="189">
        <v>0.48487199999999997</v>
      </c>
      <c r="W181" s="189">
        <v>0.48487199999999997</v>
      </c>
      <c r="X181" s="189">
        <v>0.48487199999999997</v>
      </c>
      <c r="Y181" s="189">
        <v>0.48487199999999997</v>
      </c>
      <c r="Z181" s="189">
        <v>0.48487199999999997</v>
      </c>
      <c r="AA181" s="189">
        <v>0.48487199999999997</v>
      </c>
      <c r="AB181" s="189">
        <v>0.48487199999999997</v>
      </c>
      <c r="AC181" s="189">
        <v>0.48487199999999997</v>
      </c>
      <c r="AD181" s="189">
        <v>0.48487199999999997</v>
      </c>
      <c r="AE181" s="189">
        <v>0.48487199999999997</v>
      </c>
      <c r="AF181" s="189">
        <v>0.48487199999999997</v>
      </c>
      <c r="AG181" s="189">
        <v>0.48487199999999997</v>
      </c>
      <c r="AH181" s="189">
        <v>0.48487199999999997</v>
      </c>
      <c r="AI181" s="189">
        <v>0.48487199999999997</v>
      </c>
      <c r="AJ181" s="189">
        <v>0.48487199999999997</v>
      </c>
    </row>
    <row r="182" spans="1:36" x14ac:dyDescent="0.35">
      <c r="A182" t="s">
        <v>1614</v>
      </c>
      <c r="B182" s="188" t="s">
        <v>1342</v>
      </c>
      <c r="C182" t="s">
        <v>1350</v>
      </c>
      <c r="D182" s="188">
        <v>30</v>
      </c>
      <c r="E182" t="s">
        <v>1500</v>
      </c>
      <c r="F182" t="s">
        <v>1611</v>
      </c>
      <c r="G182" s="189" t="s">
        <v>1612</v>
      </c>
      <c r="H182" s="189">
        <v>0.33236159999999998</v>
      </c>
      <c r="I182" s="189">
        <v>0.3514254</v>
      </c>
      <c r="J182" s="189">
        <v>0.37048919999999996</v>
      </c>
      <c r="K182" s="189">
        <v>0.38955299999999998</v>
      </c>
      <c r="L182" s="189">
        <v>0.4086168</v>
      </c>
      <c r="M182" s="189">
        <v>0.42768059999999997</v>
      </c>
      <c r="N182" s="189">
        <v>0.44674439999999999</v>
      </c>
      <c r="O182" s="189">
        <v>0.46580819999999995</v>
      </c>
      <c r="P182" s="189">
        <v>0.48487199999999997</v>
      </c>
      <c r="Q182" s="189">
        <v>0.48487199999999997</v>
      </c>
      <c r="R182" s="189">
        <v>0.48487199999999997</v>
      </c>
      <c r="S182" s="189">
        <v>0.48487199999999997</v>
      </c>
      <c r="T182" s="189">
        <v>0.48487199999999997</v>
      </c>
      <c r="U182" s="189">
        <v>0.48487199999999997</v>
      </c>
      <c r="V182" s="189">
        <v>0.48487199999999997</v>
      </c>
      <c r="W182" s="189">
        <v>0.48487199999999997</v>
      </c>
      <c r="X182" s="189">
        <v>0.48487199999999997</v>
      </c>
      <c r="Y182" s="189">
        <v>0.48487199999999997</v>
      </c>
      <c r="Z182" s="189">
        <v>0.48487199999999997</v>
      </c>
      <c r="AA182" s="189">
        <v>0.48487199999999997</v>
      </c>
      <c r="AB182" s="189">
        <v>0.48487199999999997</v>
      </c>
      <c r="AC182" s="189">
        <v>0.48487199999999997</v>
      </c>
      <c r="AD182" s="189">
        <v>0.48487199999999997</v>
      </c>
      <c r="AE182" s="189">
        <v>0.48487199999999997</v>
      </c>
      <c r="AF182" s="189">
        <v>0.48487199999999997</v>
      </c>
      <c r="AG182" s="189">
        <v>0.48487199999999997</v>
      </c>
      <c r="AH182" s="189">
        <v>0.48487199999999997</v>
      </c>
      <c r="AI182" s="189">
        <v>0.48487199999999997</v>
      </c>
      <c r="AJ182" s="189">
        <v>0.48487199999999997</v>
      </c>
    </row>
    <row r="183" spans="1:36" x14ac:dyDescent="0.35">
      <c r="A183" t="s">
        <v>1615</v>
      </c>
      <c r="B183" s="188" t="s">
        <v>1342</v>
      </c>
      <c r="C183" t="s">
        <v>1343</v>
      </c>
      <c r="D183" s="188">
        <v>30</v>
      </c>
      <c r="E183" t="s">
        <v>1500</v>
      </c>
      <c r="F183" t="s">
        <v>1616</v>
      </c>
      <c r="G183" s="189" t="s">
        <v>1617</v>
      </c>
      <c r="H183" s="189">
        <v>0.38335859999999999</v>
      </c>
      <c r="I183" s="189">
        <v>0.39912940000000002</v>
      </c>
      <c r="J183" s="189">
        <v>0.41490020000000005</v>
      </c>
      <c r="K183" s="189">
        <v>0.43067100000000003</v>
      </c>
      <c r="L183" s="189">
        <v>0.44644180000000006</v>
      </c>
      <c r="M183" s="189">
        <v>0.46221260000000003</v>
      </c>
      <c r="N183" s="189">
        <v>0.4779834</v>
      </c>
      <c r="O183" s="189">
        <v>0.49375419999999998</v>
      </c>
      <c r="P183" s="189">
        <v>0.50952500000000001</v>
      </c>
      <c r="Q183" s="189">
        <v>0.50952500000000001</v>
      </c>
      <c r="R183" s="189">
        <v>0.50952500000000001</v>
      </c>
      <c r="S183" s="189">
        <v>0.50952500000000001</v>
      </c>
      <c r="T183" s="189">
        <v>0.50952500000000001</v>
      </c>
      <c r="U183" s="189">
        <v>0.50952500000000001</v>
      </c>
      <c r="V183" s="189">
        <v>0.50952500000000001</v>
      </c>
      <c r="W183" s="189">
        <v>0.50952500000000001</v>
      </c>
      <c r="X183" s="189">
        <v>0.50952500000000001</v>
      </c>
      <c r="Y183" s="189">
        <v>0.50952500000000001</v>
      </c>
      <c r="Z183" s="189">
        <v>0.50952500000000001</v>
      </c>
      <c r="AA183" s="189">
        <v>0.50952500000000001</v>
      </c>
      <c r="AB183" s="189">
        <v>0.50952500000000001</v>
      </c>
      <c r="AC183" s="189">
        <v>0.50952500000000001</v>
      </c>
      <c r="AD183" s="189">
        <v>0.50952500000000001</v>
      </c>
      <c r="AE183" s="189">
        <v>0.50952500000000001</v>
      </c>
      <c r="AF183" s="189">
        <v>0.50952500000000001</v>
      </c>
      <c r="AG183" s="189">
        <v>0.50952500000000001</v>
      </c>
      <c r="AH183" s="189">
        <v>0.50952500000000001</v>
      </c>
      <c r="AI183" s="189">
        <v>0.50952500000000001</v>
      </c>
      <c r="AJ183" s="189">
        <v>0.50952500000000001</v>
      </c>
    </row>
    <row r="184" spans="1:36" x14ac:dyDescent="0.35">
      <c r="A184" t="s">
        <v>1618</v>
      </c>
      <c r="B184" s="188" t="s">
        <v>1342</v>
      </c>
      <c r="C184" t="s">
        <v>1348</v>
      </c>
      <c r="D184" s="188">
        <v>30</v>
      </c>
      <c r="E184" t="s">
        <v>1500</v>
      </c>
      <c r="F184" t="s">
        <v>1616</v>
      </c>
      <c r="G184" s="189" t="s">
        <v>1617</v>
      </c>
      <c r="H184" s="189">
        <v>0.38335859999999999</v>
      </c>
      <c r="I184" s="189">
        <v>0.39912940000000002</v>
      </c>
      <c r="J184" s="189">
        <v>0.41490020000000005</v>
      </c>
      <c r="K184" s="189">
        <v>0.43067100000000003</v>
      </c>
      <c r="L184" s="189">
        <v>0.44644180000000006</v>
      </c>
      <c r="M184" s="189">
        <v>0.46221260000000003</v>
      </c>
      <c r="N184" s="189">
        <v>0.4779834</v>
      </c>
      <c r="O184" s="189">
        <v>0.49375419999999998</v>
      </c>
      <c r="P184" s="189">
        <v>0.50952500000000001</v>
      </c>
      <c r="Q184" s="189">
        <v>0.50952500000000001</v>
      </c>
      <c r="R184" s="189">
        <v>0.50952500000000001</v>
      </c>
      <c r="S184" s="189">
        <v>0.50952500000000001</v>
      </c>
      <c r="T184" s="189">
        <v>0.50952500000000001</v>
      </c>
      <c r="U184" s="189">
        <v>0.50952500000000001</v>
      </c>
      <c r="V184" s="189">
        <v>0.50952500000000001</v>
      </c>
      <c r="W184" s="189">
        <v>0.50952500000000001</v>
      </c>
      <c r="X184" s="189">
        <v>0.50952500000000001</v>
      </c>
      <c r="Y184" s="189">
        <v>0.50952500000000001</v>
      </c>
      <c r="Z184" s="189">
        <v>0.50952500000000001</v>
      </c>
      <c r="AA184" s="189">
        <v>0.50952500000000001</v>
      </c>
      <c r="AB184" s="189">
        <v>0.50952500000000001</v>
      </c>
      <c r="AC184" s="189">
        <v>0.50952500000000001</v>
      </c>
      <c r="AD184" s="189">
        <v>0.50952500000000001</v>
      </c>
      <c r="AE184" s="189">
        <v>0.50952500000000001</v>
      </c>
      <c r="AF184" s="189">
        <v>0.50952500000000001</v>
      </c>
      <c r="AG184" s="189">
        <v>0.50952500000000001</v>
      </c>
      <c r="AH184" s="189">
        <v>0.50952500000000001</v>
      </c>
      <c r="AI184" s="189">
        <v>0.50952500000000001</v>
      </c>
      <c r="AJ184" s="189">
        <v>0.50952500000000001</v>
      </c>
    </row>
    <row r="185" spans="1:36" x14ac:dyDescent="0.35">
      <c r="A185" t="s">
        <v>1619</v>
      </c>
      <c r="B185" s="188" t="s">
        <v>1342</v>
      </c>
      <c r="C185" t="s">
        <v>1350</v>
      </c>
      <c r="D185" s="188">
        <v>30</v>
      </c>
      <c r="E185" t="s">
        <v>1500</v>
      </c>
      <c r="F185" t="s">
        <v>1616</v>
      </c>
      <c r="G185" s="189" t="s">
        <v>1617</v>
      </c>
      <c r="H185" s="189">
        <v>0.38335859999999999</v>
      </c>
      <c r="I185" s="189">
        <v>0.39912940000000002</v>
      </c>
      <c r="J185" s="189">
        <v>0.41490020000000005</v>
      </c>
      <c r="K185" s="189">
        <v>0.43067100000000003</v>
      </c>
      <c r="L185" s="189">
        <v>0.44644180000000006</v>
      </c>
      <c r="M185" s="189">
        <v>0.46221260000000003</v>
      </c>
      <c r="N185" s="189">
        <v>0.4779834</v>
      </c>
      <c r="O185" s="189">
        <v>0.49375419999999998</v>
      </c>
      <c r="P185" s="189">
        <v>0.50952500000000001</v>
      </c>
      <c r="Q185" s="189">
        <v>0.50952500000000001</v>
      </c>
      <c r="R185" s="189">
        <v>0.50952500000000001</v>
      </c>
      <c r="S185" s="189">
        <v>0.50952500000000001</v>
      </c>
      <c r="T185" s="189">
        <v>0.50952500000000001</v>
      </c>
      <c r="U185" s="189">
        <v>0.50952500000000001</v>
      </c>
      <c r="V185" s="189">
        <v>0.50952500000000001</v>
      </c>
      <c r="W185" s="189">
        <v>0.50952500000000001</v>
      </c>
      <c r="X185" s="189">
        <v>0.50952500000000001</v>
      </c>
      <c r="Y185" s="189">
        <v>0.50952500000000001</v>
      </c>
      <c r="Z185" s="189">
        <v>0.50952500000000001</v>
      </c>
      <c r="AA185" s="189">
        <v>0.50952500000000001</v>
      </c>
      <c r="AB185" s="189">
        <v>0.50952500000000001</v>
      </c>
      <c r="AC185" s="189">
        <v>0.50952500000000001</v>
      </c>
      <c r="AD185" s="189">
        <v>0.50952500000000001</v>
      </c>
      <c r="AE185" s="189">
        <v>0.50952500000000001</v>
      </c>
      <c r="AF185" s="189">
        <v>0.50952500000000001</v>
      </c>
      <c r="AG185" s="189">
        <v>0.50952500000000001</v>
      </c>
      <c r="AH185" s="189">
        <v>0.50952500000000001</v>
      </c>
      <c r="AI185" s="189">
        <v>0.50952500000000001</v>
      </c>
      <c r="AJ185" s="189">
        <v>0.50952500000000001</v>
      </c>
    </row>
    <row r="186" spans="1:36" x14ac:dyDescent="0.35">
      <c r="A186" t="s">
        <v>1620</v>
      </c>
      <c r="B186" s="188" t="s">
        <v>1342</v>
      </c>
      <c r="C186" t="s">
        <v>1343</v>
      </c>
      <c r="D186" s="188">
        <v>30</v>
      </c>
      <c r="E186" t="s">
        <v>1500</v>
      </c>
      <c r="F186" t="s">
        <v>1621</v>
      </c>
      <c r="G186" s="189" t="s">
        <v>1622</v>
      </c>
      <c r="H186" s="189">
        <v>0.28727419999999998</v>
      </c>
      <c r="I186" s="189">
        <v>0.29791192499999997</v>
      </c>
      <c r="J186" s="189">
        <v>0.3085496499999999</v>
      </c>
      <c r="K186" s="189">
        <v>0.31918737499999988</v>
      </c>
      <c r="L186" s="189">
        <v>0.32982509999999987</v>
      </c>
      <c r="M186" s="189">
        <v>0.34046282499999986</v>
      </c>
      <c r="N186" s="189">
        <v>0.35110054999999984</v>
      </c>
      <c r="O186" s="189">
        <v>0.36173827499999983</v>
      </c>
      <c r="P186" s="189">
        <v>0.37237599999999998</v>
      </c>
      <c r="Q186" s="189">
        <v>0.37237599999999998</v>
      </c>
      <c r="R186" s="189">
        <v>0.37237599999999998</v>
      </c>
      <c r="S186" s="189">
        <v>0.37237599999999998</v>
      </c>
      <c r="T186" s="189">
        <v>0.37237599999999998</v>
      </c>
      <c r="U186" s="189">
        <v>0.37237599999999998</v>
      </c>
      <c r="V186" s="189">
        <v>0.37237599999999998</v>
      </c>
      <c r="W186" s="189">
        <v>0.37237599999999998</v>
      </c>
      <c r="X186" s="189">
        <v>0.37237599999999998</v>
      </c>
      <c r="Y186" s="189">
        <v>0.37237599999999998</v>
      </c>
      <c r="Z186" s="189">
        <v>0.37237599999999998</v>
      </c>
      <c r="AA186" s="189">
        <v>0.37237599999999998</v>
      </c>
      <c r="AB186" s="189">
        <v>0.37237599999999998</v>
      </c>
      <c r="AC186" s="189">
        <v>0.37237599999999998</v>
      </c>
      <c r="AD186" s="189">
        <v>0.37237599999999998</v>
      </c>
      <c r="AE186" s="189">
        <v>0.37237599999999998</v>
      </c>
      <c r="AF186" s="189">
        <v>0.37237599999999998</v>
      </c>
      <c r="AG186" s="189">
        <v>0.37237599999999998</v>
      </c>
      <c r="AH186" s="189">
        <v>0.37237599999999998</v>
      </c>
      <c r="AI186" s="189">
        <v>0.37237599999999998</v>
      </c>
      <c r="AJ186" s="189">
        <v>0.37237599999999998</v>
      </c>
    </row>
    <row r="187" spans="1:36" x14ac:dyDescent="0.35">
      <c r="A187" t="s">
        <v>1623</v>
      </c>
      <c r="B187" s="188" t="s">
        <v>1342</v>
      </c>
      <c r="C187" t="s">
        <v>1348</v>
      </c>
      <c r="D187" s="188">
        <v>30</v>
      </c>
      <c r="E187" t="s">
        <v>1500</v>
      </c>
      <c r="F187" t="s">
        <v>1621</v>
      </c>
      <c r="G187" s="189" t="s">
        <v>1622</v>
      </c>
      <c r="H187" s="189">
        <v>0.28727419999999998</v>
      </c>
      <c r="I187" s="189">
        <v>0.29791192499999997</v>
      </c>
      <c r="J187" s="189">
        <v>0.3085496499999999</v>
      </c>
      <c r="K187" s="189">
        <v>0.31918737499999988</v>
      </c>
      <c r="L187" s="189">
        <v>0.32982509999999987</v>
      </c>
      <c r="M187" s="189">
        <v>0.34046282499999986</v>
      </c>
      <c r="N187" s="189">
        <v>0.35110054999999984</v>
      </c>
      <c r="O187" s="189">
        <v>0.36173827499999983</v>
      </c>
      <c r="P187" s="189">
        <v>0.37237599999999998</v>
      </c>
      <c r="Q187" s="189">
        <v>0.37237599999999998</v>
      </c>
      <c r="R187" s="189">
        <v>0.37237599999999998</v>
      </c>
      <c r="S187" s="189">
        <v>0.37237599999999998</v>
      </c>
      <c r="T187" s="189">
        <v>0.37237599999999998</v>
      </c>
      <c r="U187" s="189">
        <v>0.37237599999999998</v>
      </c>
      <c r="V187" s="189">
        <v>0.37237599999999998</v>
      </c>
      <c r="W187" s="189">
        <v>0.37237599999999998</v>
      </c>
      <c r="X187" s="189">
        <v>0.37237599999999998</v>
      </c>
      <c r="Y187" s="189">
        <v>0.37237599999999998</v>
      </c>
      <c r="Z187" s="189">
        <v>0.37237599999999998</v>
      </c>
      <c r="AA187" s="189">
        <v>0.37237599999999998</v>
      </c>
      <c r="AB187" s="189">
        <v>0.37237599999999998</v>
      </c>
      <c r="AC187" s="189">
        <v>0.37237599999999998</v>
      </c>
      <c r="AD187" s="189">
        <v>0.37237599999999998</v>
      </c>
      <c r="AE187" s="189">
        <v>0.37237599999999998</v>
      </c>
      <c r="AF187" s="189">
        <v>0.37237599999999998</v>
      </c>
      <c r="AG187" s="189">
        <v>0.37237599999999998</v>
      </c>
      <c r="AH187" s="189">
        <v>0.37237599999999998</v>
      </c>
      <c r="AI187" s="189">
        <v>0.37237599999999998</v>
      </c>
      <c r="AJ187" s="189">
        <v>0.37237599999999998</v>
      </c>
    </row>
    <row r="188" spans="1:36" x14ac:dyDescent="0.35">
      <c r="A188" t="s">
        <v>1624</v>
      </c>
      <c r="B188" s="188" t="s">
        <v>1342</v>
      </c>
      <c r="C188" t="s">
        <v>1350</v>
      </c>
      <c r="D188" s="188">
        <v>30</v>
      </c>
      <c r="E188" t="s">
        <v>1500</v>
      </c>
      <c r="F188" t="s">
        <v>1621</v>
      </c>
      <c r="G188" s="189" t="s">
        <v>1622</v>
      </c>
      <c r="H188" s="189">
        <v>0.28727419999999998</v>
      </c>
      <c r="I188" s="189">
        <v>0.29791192499999997</v>
      </c>
      <c r="J188" s="189">
        <v>0.3085496499999999</v>
      </c>
      <c r="K188" s="189">
        <v>0.31918737499999988</v>
      </c>
      <c r="L188" s="189">
        <v>0.32982509999999987</v>
      </c>
      <c r="M188" s="189">
        <v>0.34046282499999986</v>
      </c>
      <c r="N188" s="189">
        <v>0.35110054999999984</v>
      </c>
      <c r="O188" s="189">
        <v>0.36173827499999983</v>
      </c>
      <c r="P188" s="189">
        <v>0.37237599999999998</v>
      </c>
      <c r="Q188" s="189">
        <v>0.37237599999999998</v>
      </c>
      <c r="R188" s="189">
        <v>0.37237599999999998</v>
      </c>
      <c r="S188" s="189">
        <v>0.37237599999999998</v>
      </c>
      <c r="T188" s="189">
        <v>0.37237599999999998</v>
      </c>
      <c r="U188" s="189">
        <v>0.37237599999999998</v>
      </c>
      <c r="V188" s="189">
        <v>0.37237599999999998</v>
      </c>
      <c r="W188" s="189">
        <v>0.37237599999999998</v>
      </c>
      <c r="X188" s="189">
        <v>0.37237599999999998</v>
      </c>
      <c r="Y188" s="189">
        <v>0.37237599999999998</v>
      </c>
      <c r="Z188" s="189">
        <v>0.37237599999999998</v>
      </c>
      <c r="AA188" s="189">
        <v>0.37237599999999998</v>
      </c>
      <c r="AB188" s="189">
        <v>0.37237599999999998</v>
      </c>
      <c r="AC188" s="189">
        <v>0.37237599999999998</v>
      </c>
      <c r="AD188" s="189">
        <v>0.37237599999999998</v>
      </c>
      <c r="AE188" s="189">
        <v>0.37237599999999998</v>
      </c>
      <c r="AF188" s="189">
        <v>0.37237599999999998</v>
      </c>
      <c r="AG188" s="189">
        <v>0.37237599999999998</v>
      </c>
      <c r="AH188" s="189">
        <v>0.37237599999999998</v>
      </c>
      <c r="AI188" s="189">
        <v>0.37237599999999998</v>
      </c>
      <c r="AJ188" s="189">
        <v>0.37237599999999998</v>
      </c>
    </row>
    <row r="189" spans="1:36" x14ac:dyDescent="0.35">
      <c r="A189" t="s">
        <v>1625</v>
      </c>
      <c r="B189" s="188" t="s">
        <v>1342</v>
      </c>
      <c r="C189" t="s">
        <v>1343</v>
      </c>
      <c r="D189" s="188">
        <v>30</v>
      </c>
      <c r="E189" t="s">
        <v>1500</v>
      </c>
      <c r="F189" t="s">
        <v>1626</v>
      </c>
      <c r="G189" s="189" t="s">
        <v>1627</v>
      </c>
      <c r="H189" s="189">
        <v>0.31815719999999997</v>
      </c>
      <c r="I189" s="189">
        <v>0.33261079999999993</v>
      </c>
      <c r="J189" s="189">
        <v>0.34706439999999994</v>
      </c>
      <c r="K189" s="189">
        <v>0.36151799999999989</v>
      </c>
      <c r="L189" s="189">
        <v>0.37597159999999991</v>
      </c>
      <c r="M189" s="189">
        <v>0.39042519999999986</v>
      </c>
      <c r="N189" s="189">
        <v>0.40487879999999987</v>
      </c>
      <c r="O189" s="189">
        <v>0.41933239999999983</v>
      </c>
      <c r="P189" s="189">
        <v>0.433786</v>
      </c>
      <c r="Q189" s="189">
        <v>0.433786</v>
      </c>
      <c r="R189" s="189">
        <v>0.433786</v>
      </c>
      <c r="S189" s="189">
        <v>0.433786</v>
      </c>
      <c r="T189" s="189">
        <v>0.433786</v>
      </c>
      <c r="U189" s="189">
        <v>0.433786</v>
      </c>
      <c r="V189" s="189">
        <v>0.433786</v>
      </c>
      <c r="W189" s="189">
        <v>0.433786</v>
      </c>
      <c r="X189" s="189">
        <v>0.433786</v>
      </c>
      <c r="Y189" s="189">
        <v>0.433786</v>
      </c>
      <c r="Z189" s="189">
        <v>0.433786</v>
      </c>
      <c r="AA189" s="189">
        <v>0.433786</v>
      </c>
      <c r="AB189" s="189">
        <v>0.433786</v>
      </c>
      <c r="AC189" s="189">
        <v>0.433786</v>
      </c>
      <c r="AD189" s="189">
        <v>0.433786</v>
      </c>
      <c r="AE189" s="189">
        <v>0.433786</v>
      </c>
      <c r="AF189" s="189">
        <v>0.433786</v>
      </c>
      <c r="AG189" s="189">
        <v>0.433786</v>
      </c>
      <c r="AH189" s="189">
        <v>0.433786</v>
      </c>
      <c r="AI189" s="189">
        <v>0.433786</v>
      </c>
      <c r="AJ189" s="189">
        <v>0.433786</v>
      </c>
    </row>
    <row r="190" spans="1:36" x14ac:dyDescent="0.35">
      <c r="A190" t="s">
        <v>1628</v>
      </c>
      <c r="B190" s="188" t="s">
        <v>1342</v>
      </c>
      <c r="C190" t="s">
        <v>1348</v>
      </c>
      <c r="D190" s="188">
        <v>30</v>
      </c>
      <c r="E190" t="s">
        <v>1500</v>
      </c>
      <c r="F190" t="s">
        <v>1626</v>
      </c>
      <c r="G190" s="189" t="s">
        <v>1627</v>
      </c>
      <c r="H190" s="189">
        <v>0.31815719999999997</v>
      </c>
      <c r="I190" s="189">
        <v>0.33261079999999993</v>
      </c>
      <c r="J190" s="189">
        <v>0.34706439999999994</v>
      </c>
      <c r="K190" s="189">
        <v>0.36151799999999989</v>
      </c>
      <c r="L190" s="189">
        <v>0.37597159999999991</v>
      </c>
      <c r="M190" s="189">
        <v>0.39042519999999986</v>
      </c>
      <c r="N190" s="189">
        <v>0.40487879999999987</v>
      </c>
      <c r="O190" s="189">
        <v>0.41933239999999983</v>
      </c>
      <c r="P190" s="189">
        <v>0.433786</v>
      </c>
      <c r="Q190" s="189">
        <v>0.433786</v>
      </c>
      <c r="R190" s="189">
        <v>0.433786</v>
      </c>
      <c r="S190" s="189">
        <v>0.433786</v>
      </c>
      <c r="T190" s="189">
        <v>0.433786</v>
      </c>
      <c r="U190" s="189">
        <v>0.433786</v>
      </c>
      <c r="V190" s="189">
        <v>0.433786</v>
      </c>
      <c r="W190" s="189">
        <v>0.433786</v>
      </c>
      <c r="X190" s="189">
        <v>0.433786</v>
      </c>
      <c r="Y190" s="189">
        <v>0.433786</v>
      </c>
      <c r="Z190" s="189">
        <v>0.433786</v>
      </c>
      <c r="AA190" s="189">
        <v>0.433786</v>
      </c>
      <c r="AB190" s="189">
        <v>0.433786</v>
      </c>
      <c r="AC190" s="189">
        <v>0.433786</v>
      </c>
      <c r="AD190" s="189">
        <v>0.433786</v>
      </c>
      <c r="AE190" s="189">
        <v>0.433786</v>
      </c>
      <c r="AF190" s="189">
        <v>0.433786</v>
      </c>
      <c r="AG190" s="189">
        <v>0.433786</v>
      </c>
      <c r="AH190" s="189">
        <v>0.433786</v>
      </c>
      <c r="AI190" s="189">
        <v>0.433786</v>
      </c>
      <c r="AJ190" s="189">
        <v>0.433786</v>
      </c>
    </row>
    <row r="191" spans="1:36" x14ac:dyDescent="0.35">
      <c r="A191" t="s">
        <v>1629</v>
      </c>
      <c r="B191" s="188" t="s">
        <v>1342</v>
      </c>
      <c r="C191" t="s">
        <v>1350</v>
      </c>
      <c r="D191" s="188">
        <v>30</v>
      </c>
      <c r="E191" t="s">
        <v>1500</v>
      </c>
      <c r="F191" t="s">
        <v>1626</v>
      </c>
      <c r="G191" s="189" t="s">
        <v>1627</v>
      </c>
      <c r="H191" s="189">
        <v>0.31815719999999997</v>
      </c>
      <c r="I191" s="189">
        <v>0.33261079999999993</v>
      </c>
      <c r="J191" s="189">
        <v>0.34706439999999994</v>
      </c>
      <c r="K191" s="189">
        <v>0.36151799999999989</v>
      </c>
      <c r="L191" s="189">
        <v>0.37597159999999991</v>
      </c>
      <c r="M191" s="189">
        <v>0.39042519999999986</v>
      </c>
      <c r="N191" s="189">
        <v>0.40487879999999987</v>
      </c>
      <c r="O191" s="189">
        <v>0.41933239999999983</v>
      </c>
      <c r="P191" s="189">
        <v>0.433786</v>
      </c>
      <c r="Q191" s="189">
        <v>0.433786</v>
      </c>
      <c r="R191" s="189">
        <v>0.433786</v>
      </c>
      <c r="S191" s="189">
        <v>0.433786</v>
      </c>
      <c r="T191" s="189">
        <v>0.433786</v>
      </c>
      <c r="U191" s="189">
        <v>0.433786</v>
      </c>
      <c r="V191" s="189">
        <v>0.433786</v>
      </c>
      <c r="W191" s="189">
        <v>0.433786</v>
      </c>
      <c r="X191" s="189">
        <v>0.433786</v>
      </c>
      <c r="Y191" s="189">
        <v>0.433786</v>
      </c>
      <c r="Z191" s="189">
        <v>0.433786</v>
      </c>
      <c r="AA191" s="189">
        <v>0.433786</v>
      </c>
      <c r="AB191" s="189">
        <v>0.433786</v>
      </c>
      <c r="AC191" s="189">
        <v>0.433786</v>
      </c>
      <c r="AD191" s="189">
        <v>0.433786</v>
      </c>
      <c r="AE191" s="189">
        <v>0.433786</v>
      </c>
      <c r="AF191" s="189">
        <v>0.433786</v>
      </c>
      <c r="AG191" s="189">
        <v>0.433786</v>
      </c>
      <c r="AH191" s="189">
        <v>0.433786</v>
      </c>
      <c r="AI191" s="189">
        <v>0.433786</v>
      </c>
      <c r="AJ191" s="189">
        <v>0.433786</v>
      </c>
    </row>
    <row r="192" spans="1:36" x14ac:dyDescent="0.35">
      <c r="A192" t="s">
        <v>1630</v>
      </c>
      <c r="B192" s="188" t="s">
        <v>1342</v>
      </c>
      <c r="C192" t="s">
        <v>1343</v>
      </c>
      <c r="D192" s="188">
        <v>30</v>
      </c>
      <c r="E192" t="s">
        <v>1500</v>
      </c>
      <c r="F192" t="s">
        <v>1631</v>
      </c>
      <c r="G192" s="189" t="s">
        <v>1632</v>
      </c>
      <c r="H192" s="189">
        <v>0.29711760000000004</v>
      </c>
      <c r="I192" s="189">
        <v>0.31609240000000005</v>
      </c>
      <c r="J192" s="189">
        <v>0.33506720000000006</v>
      </c>
      <c r="K192" s="189">
        <v>0.35404200000000002</v>
      </c>
      <c r="L192" s="189">
        <v>0.37301680000000004</v>
      </c>
      <c r="M192" s="189">
        <v>0.39199160000000005</v>
      </c>
      <c r="N192" s="189">
        <v>0.41096640000000006</v>
      </c>
      <c r="O192" s="189">
        <v>0.42994120000000008</v>
      </c>
      <c r="P192" s="189">
        <v>0.44891599999999998</v>
      </c>
      <c r="Q192" s="189">
        <v>0.44891599999999998</v>
      </c>
      <c r="R192" s="189">
        <v>0.44891599999999998</v>
      </c>
      <c r="S192" s="189">
        <v>0.44891599999999998</v>
      </c>
      <c r="T192" s="189">
        <v>0.44891599999999998</v>
      </c>
      <c r="U192" s="189">
        <v>0.44891599999999998</v>
      </c>
      <c r="V192" s="189">
        <v>0.44891599999999998</v>
      </c>
      <c r="W192" s="189">
        <v>0.44891599999999998</v>
      </c>
      <c r="X192" s="189">
        <v>0.44891599999999998</v>
      </c>
      <c r="Y192" s="189">
        <v>0.44891599999999998</v>
      </c>
      <c r="Z192" s="189">
        <v>0.44891599999999998</v>
      </c>
      <c r="AA192" s="189">
        <v>0.44891599999999998</v>
      </c>
      <c r="AB192" s="189">
        <v>0.44891599999999998</v>
      </c>
      <c r="AC192" s="189">
        <v>0.44891599999999998</v>
      </c>
      <c r="AD192" s="189">
        <v>0.44891599999999998</v>
      </c>
      <c r="AE192" s="189">
        <v>0.44891599999999998</v>
      </c>
      <c r="AF192" s="189">
        <v>0.44891599999999998</v>
      </c>
      <c r="AG192" s="189">
        <v>0.44891599999999998</v>
      </c>
      <c r="AH192" s="189">
        <v>0.44891599999999998</v>
      </c>
      <c r="AI192" s="189">
        <v>0.44891599999999998</v>
      </c>
      <c r="AJ192" s="189">
        <v>0.44891599999999998</v>
      </c>
    </row>
    <row r="193" spans="1:36" x14ac:dyDescent="0.35">
      <c r="A193" t="s">
        <v>1633</v>
      </c>
      <c r="B193" s="188" t="s">
        <v>1342</v>
      </c>
      <c r="C193" t="s">
        <v>1348</v>
      </c>
      <c r="D193" s="188">
        <v>30</v>
      </c>
      <c r="E193" t="s">
        <v>1500</v>
      </c>
      <c r="F193" t="s">
        <v>1631</v>
      </c>
      <c r="G193" s="189" t="s">
        <v>1632</v>
      </c>
      <c r="H193" s="189">
        <v>0.29711760000000004</v>
      </c>
      <c r="I193" s="189">
        <v>0.31609240000000005</v>
      </c>
      <c r="J193" s="189">
        <v>0.33506720000000006</v>
      </c>
      <c r="K193" s="189">
        <v>0.35404200000000002</v>
      </c>
      <c r="L193" s="189">
        <v>0.37301680000000004</v>
      </c>
      <c r="M193" s="189">
        <v>0.39199160000000005</v>
      </c>
      <c r="N193" s="189">
        <v>0.41096640000000006</v>
      </c>
      <c r="O193" s="189">
        <v>0.42994120000000008</v>
      </c>
      <c r="P193" s="189">
        <v>0.44891599999999998</v>
      </c>
      <c r="Q193" s="189">
        <v>0.44891599999999998</v>
      </c>
      <c r="R193" s="189">
        <v>0.44891599999999998</v>
      </c>
      <c r="S193" s="189">
        <v>0.44891599999999998</v>
      </c>
      <c r="T193" s="189">
        <v>0.44891599999999998</v>
      </c>
      <c r="U193" s="189">
        <v>0.44891599999999998</v>
      </c>
      <c r="V193" s="189">
        <v>0.44891599999999998</v>
      </c>
      <c r="W193" s="189">
        <v>0.44891599999999998</v>
      </c>
      <c r="X193" s="189">
        <v>0.44891599999999998</v>
      </c>
      <c r="Y193" s="189">
        <v>0.44891599999999998</v>
      </c>
      <c r="Z193" s="189">
        <v>0.44891599999999998</v>
      </c>
      <c r="AA193" s="189">
        <v>0.44891599999999998</v>
      </c>
      <c r="AB193" s="189">
        <v>0.44891599999999998</v>
      </c>
      <c r="AC193" s="189">
        <v>0.44891599999999998</v>
      </c>
      <c r="AD193" s="189">
        <v>0.44891599999999998</v>
      </c>
      <c r="AE193" s="189">
        <v>0.44891599999999998</v>
      </c>
      <c r="AF193" s="189">
        <v>0.44891599999999998</v>
      </c>
      <c r="AG193" s="189">
        <v>0.44891599999999998</v>
      </c>
      <c r="AH193" s="189">
        <v>0.44891599999999998</v>
      </c>
      <c r="AI193" s="189">
        <v>0.44891599999999998</v>
      </c>
      <c r="AJ193" s="189">
        <v>0.44891599999999998</v>
      </c>
    </row>
    <row r="194" spans="1:36" x14ac:dyDescent="0.35">
      <c r="A194" t="s">
        <v>1634</v>
      </c>
      <c r="B194" s="188" t="s">
        <v>1342</v>
      </c>
      <c r="C194" t="s">
        <v>1350</v>
      </c>
      <c r="D194" s="188">
        <v>30</v>
      </c>
      <c r="E194" t="s">
        <v>1500</v>
      </c>
      <c r="F194" t="s">
        <v>1631</v>
      </c>
      <c r="G194" s="189" t="s">
        <v>1632</v>
      </c>
      <c r="H194" s="189">
        <v>0.29711760000000004</v>
      </c>
      <c r="I194" s="189">
        <v>0.31609240000000005</v>
      </c>
      <c r="J194" s="189">
        <v>0.33506720000000006</v>
      </c>
      <c r="K194" s="189">
        <v>0.35404200000000002</v>
      </c>
      <c r="L194" s="189">
        <v>0.37301680000000004</v>
      </c>
      <c r="M194" s="189">
        <v>0.39199160000000005</v>
      </c>
      <c r="N194" s="189">
        <v>0.41096640000000006</v>
      </c>
      <c r="O194" s="189">
        <v>0.42994120000000008</v>
      </c>
      <c r="P194" s="189">
        <v>0.44891599999999998</v>
      </c>
      <c r="Q194" s="189">
        <v>0.44891599999999998</v>
      </c>
      <c r="R194" s="189">
        <v>0.44891599999999998</v>
      </c>
      <c r="S194" s="189">
        <v>0.44891599999999998</v>
      </c>
      <c r="T194" s="189">
        <v>0.44891599999999998</v>
      </c>
      <c r="U194" s="189">
        <v>0.44891599999999998</v>
      </c>
      <c r="V194" s="189">
        <v>0.44891599999999998</v>
      </c>
      <c r="W194" s="189">
        <v>0.44891599999999998</v>
      </c>
      <c r="X194" s="189">
        <v>0.44891599999999998</v>
      </c>
      <c r="Y194" s="189">
        <v>0.44891599999999998</v>
      </c>
      <c r="Z194" s="189">
        <v>0.44891599999999998</v>
      </c>
      <c r="AA194" s="189">
        <v>0.44891599999999998</v>
      </c>
      <c r="AB194" s="189">
        <v>0.44891599999999998</v>
      </c>
      <c r="AC194" s="189">
        <v>0.44891599999999998</v>
      </c>
      <c r="AD194" s="189">
        <v>0.44891599999999998</v>
      </c>
      <c r="AE194" s="189">
        <v>0.44891599999999998</v>
      </c>
      <c r="AF194" s="189">
        <v>0.44891599999999998</v>
      </c>
      <c r="AG194" s="189">
        <v>0.44891599999999998</v>
      </c>
      <c r="AH194" s="189">
        <v>0.44891599999999998</v>
      </c>
      <c r="AI194" s="189">
        <v>0.44891599999999998</v>
      </c>
      <c r="AJ194" s="189">
        <v>0.44891599999999998</v>
      </c>
    </row>
    <row r="195" spans="1:36" x14ac:dyDescent="0.35">
      <c r="A195" t="s">
        <v>1635</v>
      </c>
      <c r="B195" s="188" t="s">
        <v>1342</v>
      </c>
      <c r="C195" t="s">
        <v>1343</v>
      </c>
      <c r="D195" s="188">
        <v>30</v>
      </c>
      <c r="E195" t="s">
        <v>1500</v>
      </c>
      <c r="F195" t="s">
        <v>1636</v>
      </c>
      <c r="G195" s="189" t="s">
        <v>1637</v>
      </c>
      <c r="H195" s="189">
        <v>0.34683300000000006</v>
      </c>
      <c r="I195" s="189">
        <v>0.36280850000000009</v>
      </c>
      <c r="J195" s="189">
        <v>0.37878400000000007</v>
      </c>
      <c r="K195" s="189">
        <v>0.3947595000000001</v>
      </c>
      <c r="L195" s="189">
        <v>0.41073500000000013</v>
      </c>
      <c r="M195" s="189">
        <v>0.42671050000000016</v>
      </c>
      <c r="N195" s="189">
        <v>0.44268600000000013</v>
      </c>
      <c r="O195" s="189">
        <v>0.45866150000000017</v>
      </c>
      <c r="P195" s="189">
        <v>0.47463700000000003</v>
      </c>
      <c r="Q195" s="189">
        <v>0.47463700000000003</v>
      </c>
      <c r="R195" s="189">
        <v>0.47463700000000003</v>
      </c>
      <c r="S195" s="189">
        <v>0.47463700000000003</v>
      </c>
      <c r="T195" s="189">
        <v>0.47463700000000003</v>
      </c>
      <c r="U195" s="189">
        <v>0.47463700000000003</v>
      </c>
      <c r="V195" s="189">
        <v>0.47463700000000003</v>
      </c>
      <c r="W195" s="189">
        <v>0.47463700000000003</v>
      </c>
      <c r="X195" s="189">
        <v>0.47463700000000003</v>
      </c>
      <c r="Y195" s="189">
        <v>0.47463700000000003</v>
      </c>
      <c r="Z195" s="189">
        <v>0.47463700000000003</v>
      </c>
      <c r="AA195" s="189">
        <v>0.47463700000000003</v>
      </c>
      <c r="AB195" s="189">
        <v>0.47463700000000003</v>
      </c>
      <c r="AC195" s="189">
        <v>0.47463700000000003</v>
      </c>
      <c r="AD195" s="189">
        <v>0.47463700000000003</v>
      </c>
      <c r="AE195" s="189">
        <v>0.47463700000000003</v>
      </c>
      <c r="AF195" s="189">
        <v>0.47463700000000003</v>
      </c>
      <c r="AG195" s="189">
        <v>0.47463700000000003</v>
      </c>
      <c r="AH195" s="189">
        <v>0.47463700000000003</v>
      </c>
      <c r="AI195" s="189">
        <v>0.47463700000000003</v>
      </c>
      <c r="AJ195" s="189">
        <v>0.47463700000000003</v>
      </c>
    </row>
    <row r="196" spans="1:36" x14ac:dyDescent="0.35">
      <c r="A196" t="s">
        <v>1638</v>
      </c>
      <c r="B196" s="188" t="s">
        <v>1342</v>
      </c>
      <c r="C196" t="s">
        <v>1348</v>
      </c>
      <c r="D196" s="188">
        <v>30</v>
      </c>
      <c r="E196" t="s">
        <v>1500</v>
      </c>
      <c r="F196" t="s">
        <v>1636</v>
      </c>
      <c r="G196" s="189" t="s">
        <v>1637</v>
      </c>
      <c r="H196" s="189">
        <v>0.34683300000000006</v>
      </c>
      <c r="I196" s="189">
        <v>0.36280850000000009</v>
      </c>
      <c r="J196" s="189">
        <v>0.37878400000000007</v>
      </c>
      <c r="K196" s="189">
        <v>0.3947595000000001</v>
      </c>
      <c r="L196" s="189">
        <v>0.41073500000000013</v>
      </c>
      <c r="M196" s="189">
        <v>0.42671050000000016</v>
      </c>
      <c r="N196" s="189">
        <v>0.44268600000000013</v>
      </c>
      <c r="O196" s="189">
        <v>0.45866150000000017</v>
      </c>
      <c r="P196" s="189">
        <v>0.47463700000000003</v>
      </c>
      <c r="Q196" s="189">
        <v>0.47463700000000003</v>
      </c>
      <c r="R196" s="189">
        <v>0.47463700000000003</v>
      </c>
      <c r="S196" s="189">
        <v>0.47463700000000003</v>
      </c>
      <c r="T196" s="189">
        <v>0.47463700000000003</v>
      </c>
      <c r="U196" s="189">
        <v>0.47463700000000003</v>
      </c>
      <c r="V196" s="189">
        <v>0.47463700000000003</v>
      </c>
      <c r="W196" s="189">
        <v>0.47463700000000003</v>
      </c>
      <c r="X196" s="189">
        <v>0.47463700000000003</v>
      </c>
      <c r="Y196" s="189">
        <v>0.47463700000000003</v>
      </c>
      <c r="Z196" s="189">
        <v>0.47463700000000003</v>
      </c>
      <c r="AA196" s="189">
        <v>0.47463700000000003</v>
      </c>
      <c r="AB196" s="189">
        <v>0.47463700000000003</v>
      </c>
      <c r="AC196" s="189">
        <v>0.47463700000000003</v>
      </c>
      <c r="AD196" s="189">
        <v>0.47463700000000003</v>
      </c>
      <c r="AE196" s="189">
        <v>0.47463700000000003</v>
      </c>
      <c r="AF196" s="189">
        <v>0.47463700000000003</v>
      </c>
      <c r="AG196" s="189">
        <v>0.47463700000000003</v>
      </c>
      <c r="AH196" s="189">
        <v>0.47463700000000003</v>
      </c>
      <c r="AI196" s="189">
        <v>0.47463700000000003</v>
      </c>
      <c r="AJ196" s="189">
        <v>0.47463700000000003</v>
      </c>
    </row>
    <row r="197" spans="1:36" x14ac:dyDescent="0.35">
      <c r="A197" t="s">
        <v>1639</v>
      </c>
      <c r="B197" s="188" t="s">
        <v>1342</v>
      </c>
      <c r="C197" t="s">
        <v>1350</v>
      </c>
      <c r="D197" s="188">
        <v>30</v>
      </c>
      <c r="E197" t="s">
        <v>1500</v>
      </c>
      <c r="F197" t="s">
        <v>1636</v>
      </c>
      <c r="G197" s="189" t="s">
        <v>1637</v>
      </c>
      <c r="H197" s="189">
        <v>0.34683300000000006</v>
      </c>
      <c r="I197" s="189">
        <v>0.36280850000000009</v>
      </c>
      <c r="J197" s="189">
        <v>0.37878400000000007</v>
      </c>
      <c r="K197" s="189">
        <v>0.3947595000000001</v>
      </c>
      <c r="L197" s="189">
        <v>0.41073500000000013</v>
      </c>
      <c r="M197" s="189">
        <v>0.42671050000000016</v>
      </c>
      <c r="N197" s="189">
        <v>0.44268600000000013</v>
      </c>
      <c r="O197" s="189">
        <v>0.45866150000000017</v>
      </c>
      <c r="P197" s="189">
        <v>0.47463700000000003</v>
      </c>
      <c r="Q197" s="189">
        <v>0.47463700000000003</v>
      </c>
      <c r="R197" s="189">
        <v>0.47463700000000003</v>
      </c>
      <c r="S197" s="189">
        <v>0.47463700000000003</v>
      </c>
      <c r="T197" s="189">
        <v>0.47463700000000003</v>
      </c>
      <c r="U197" s="189">
        <v>0.47463700000000003</v>
      </c>
      <c r="V197" s="189">
        <v>0.47463700000000003</v>
      </c>
      <c r="W197" s="189">
        <v>0.47463700000000003</v>
      </c>
      <c r="X197" s="189">
        <v>0.47463700000000003</v>
      </c>
      <c r="Y197" s="189">
        <v>0.47463700000000003</v>
      </c>
      <c r="Z197" s="189">
        <v>0.47463700000000003</v>
      </c>
      <c r="AA197" s="189">
        <v>0.47463700000000003</v>
      </c>
      <c r="AB197" s="189">
        <v>0.47463700000000003</v>
      </c>
      <c r="AC197" s="189">
        <v>0.47463700000000003</v>
      </c>
      <c r="AD197" s="189">
        <v>0.47463700000000003</v>
      </c>
      <c r="AE197" s="189">
        <v>0.47463700000000003</v>
      </c>
      <c r="AF197" s="189">
        <v>0.47463700000000003</v>
      </c>
      <c r="AG197" s="189">
        <v>0.47463700000000003</v>
      </c>
      <c r="AH197" s="189">
        <v>0.47463700000000003</v>
      </c>
      <c r="AI197" s="189">
        <v>0.47463700000000003</v>
      </c>
      <c r="AJ197" s="189">
        <v>0.47463700000000003</v>
      </c>
    </row>
    <row r="198" spans="1:36" x14ac:dyDescent="0.35">
      <c r="A198" t="s">
        <v>1640</v>
      </c>
      <c r="B198" s="188" t="s">
        <v>1342</v>
      </c>
      <c r="C198" t="s">
        <v>1343</v>
      </c>
      <c r="D198" s="188">
        <v>30</v>
      </c>
      <c r="E198" t="s">
        <v>1500</v>
      </c>
      <c r="F198" t="s">
        <v>1641</v>
      </c>
      <c r="G198" s="189" t="s">
        <v>1642</v>
      </c>
      <c r="H198" s="189">
        <v>0.24957380000000007</v>
      </c>
      <c r="I198" s="189">
        <v>0.2598177000000001</v>
      </c>
      <c r="J198" s="189">
        <v>0.27006160000000007</v>
      </c>
      <c r="K198" s="189">
        <v>0.2803055000000001</v>
      </c>
      <c r="L198" s="189">
        <v>0.29054940000000012</v>
      </c>
      <c r="M198" s="189">
        <v>0.30079330000000015</v>
      </c>
      <c r="N198" s="189">
        <v>0.31103720000000018</v>
      </c>
      <c r="O198" s="189">
        <v>0.32128110000000021</v>
      </c>
      <c r="P198" s="189">
        <v>0.33152500000000001</v>
      </c>
      <c r="Q198" s="189">
        <v>0.33152500000000001</v>
      </c>
      <c r="R198" s="189">
        <v>0.33152500000000001</v>
      </c>
      <c r="S198" s="189">
        <v>0.33152500000000001</v>
      </c>
      <c r="T198" s="189">
        <v>0.33152500000000001</v>
      </c>
      <c r="U198" s="189">
        <v>0.33152500000000001</v>
      </c>
      <c r="V198" s="189">
        <v>0.33152500000000001</v>
      </c>
      <c r="W198" s="189">
        <v>0.33152500000000001</v>
      </c>
      <c r="X198" s="189">
        <v>0.33152500000000001</v>
      </c>
      <c r="Y198" s="189">
        <v>0.33152500000000001</v>
      </c>
      <c r="Z198" s="189">
        <v>0.33152500000000001</v>
      </c>
      <c r="AA198" s="189">
        <v>0.33152500000000001</v>
      </c>
      <c r="AB198" s="189">
        <v>0.33152500000000001</v>
      </c>
      <c r="AC198" s="189">
        <v>0.33152500000000001</v>
      </c>
      <c r="AD198" s="189">
        <v>0.33152500000000001</v>
      </c>
      <c r="AE198" s="189">
        <v>0.33152500000000001</v>
      </c>
      <c r="AF198" s="189">
        <v>0.33152500000000001</v>
      </c>
      <c r="AG198" s="189">
        <v>0.33152500000000001</v>
      </c>
      <c r="AH198" s="189">
        <v>0.33152500000000001</v>
      </c>
      <c r="AI198" s="189">
        <v>0.33152500000000001</v>
      </c>
      <c r="AJ198" s="189">
        <v>0.33152500000000001</v>
      </c>
    </row>
    <row r="199" spans="1:36" x14ac:dyDescent="0.35">
      <c r="A199" t="s">
        <v>1643</v>
      </c>
      <c r="B199" s="188" t="s">
        <v>1342</v>
      </c>
      <c r="C199" t="s">
        <v>1348</v>
      </c>
      <c r="D199" s="188">
        <v>30</v>
      </c>
      <c r="E199" t="s">
        <v>1500</v>
      </c>
      <c r="F199" t="s">
        <v>1641</v>
      </c>
      <c r="G199" s="189" t="s">
        <v>1642</v>
      </c>
      <c r="H199" s="189">
        <v>0.24957380000000007</v>
      </c>
      <c r="I199" s="189">
        <v>0.2598177000000001</v>
      </c>
      <c r="J199" s="189">
        <v>0.27006160000000007</v>
      </c>
      <c r="K199" s="189">
        <v>0.2803055000000001</v>
      </c>
      <c r="L199" s="189">
        <v>0.29054940000000012</v>
      </c>
      <c r="M199" s="189">
        <v>0.30079330000000015</v>
      </c>
      <c r="N199" s="189">
        <v>0.31103720000000018</v>
      </c>
      <c r="O199" s="189">
        <v>0.32128110000000021</v>
      </c>
      <c r="P199" s="189">
        <v>0.33152500000000001</v>
      </c>
      <c r="Q199" s="189">
        <v>0.33152500000000001</v>
      </c>
      <c r="R199" s="189">
        <v>0.33152500000000001</v>
      </c>
      <c r="S199" s="189">
        <v>0.33152500000000001</v>
      </c>
      <c r="T199" s="189">
        <v>0.33152500000000001</v>
      </c>
      <c r="U199" s="189">
        <v>0.33152500000000001</v>
      </c>
      <c r="V199" s="189">
        <v>0.33152500000000001</v>
      </c>
      <c r="W199" s="189">
        <v>0.33152500000000001</v>
      </c>
      <c r="X199" s="189">
        <v>0.33152500000000001</v>
      </c>
      <c r="Y199" s="189">
        <v>0.33152500000000001</v>
      </c>
      <c r="Z199" s="189">
        <v>0.33152500000000001</v>
      </c>
      <c r="AA199" s="189">
        <v>0.33152500000000001</v>
      </c>
      <c r="AB199" s="189">
        <v>0.33152500000000001</v>
      </c>
      <c r="AC199" s="189">
        <v>0.33152500000000001</v>
      </c>
      <c r="AD199" s="189">
        <v>0.33152500000000001</v>
      </c>
      <c r="AE199" s="189">
        <v>0.33152500000000001</v>
      </c>
      <c r="AF199" s="189">
        <v>0.33152500000000001</v>
      </c>
      <c r="AG199" s="189">
        <v>0.33152500000000001</v>
      </c>
      <c r="AH199" s="189">
        <v>0.33152500000000001</v>
      </c>
      <c r="AI199" s="189">
        <v>0.33152500000000001</v>
      </c>
      <c r="AJ199" s="189">
        <v>0.33152500000000001</v>
      </c>
    </row>
    <row r="200" spans="1:36" x14ac:dyDescent="0.35">
      <c r="A200" t="s">
        <v>1644</v>
      </c>
      <c r="B200" s="188" t="s">
        <v>1342</v>
      </c>
      <c r="C200" t="s">
        <v>1350</v>
      </c>
      <c r="D200" s="188">
        <v>30</v>
      </c>
      <c r="E200" t="s">
        <v>1500</v>
      </c>
      <c r="F200" t="s">
        <v>1641</v>
      </c>
      <c r="G200" s="189" t="s">
        <v>1642</v>
      </c>
      <c r="H200" s="189">
        <v>0.24957380000000007</v>
      </c>
      <c r="I200" s="189">
        <v>0.2598177000000001</v>
      </c>
      <c r="J200" s="189">
        <v>0.27006160000000007</v>
      </c>
      <c r="K200" s="189">
        <v>0.2803055000000001</v>
      </c>
      <c r="L200" s="189">
        <v>0.29054940000000012</v>
      </c>
      <c r="M200" s="189">
        <v>0.30079330000000015</v>
      </c>
      <c r="N200" s="189">
        <v>0.31103720000000018</v>
      </c>
      <c r="O200" s="189">
        <v>0.32128110000000021</v>
      </c>
      <c r="P200" s="189">
        <v>0.33152500000000001</v>
      </c>
      <c r="Q200" s="189">
        <v>0.33152500000000001</v>
      </c>
      <c r="R200" s="189">
        <v>0.33152500000000001</v>
      </c>
      <c r="S200" s="189">
        <v>0.33152500000000001</v>
      </c>
      <c r="T200" s="189">
        <v>0.33152500000000001</v>
      </c>
      <c r="U200" s="189">
        <v>0.33152500000000001</v>
      </c>
      <c r="V200" s="189">
        <v>0.33152500000000001</v>
      </c>
      <c r="W200" s="189">
        <v>0.33152500000000001</v>
      </c>
      <c r="X200" s="189">
        <v>0.33152500000000001</v>
      </c>
      <c r="Y200" s="189">
        <v>0.33152500000000001</v>
      </c>
      <c r="Z200" s="189">
        <v>0.33152500000000001</v>
      </c>
      <c r="AA200" s="189">
        <v>0.33152500000000001</v>
      </c>
      <c r="AB200" s="189">
        <v>0.33152500000000001</v>
      </c>
      <c r="AC200" s="189">
        <v>0.33152500000000001</v>
      </c>
      <c r="AD200" s="189">
        <v>0.33152500000000001</v>
      </c>
      <c r="AE200" s="189">
        <v>0.33152500000000001</v>
      </c>
      <c r="AF200" s="189">
        <v>0.33152500000000001</v>
      </c>
      <c r="AG200" s="189">
        <v>0.33152500000000001</v>
      </c>
      <c r="AH200" s="189">
        <v>0.33152500000000001</v>
      </c>
      <c r="AI200" s="189">
        <v>0.33152500000000001</v>
      </c>
      <c r="AJ200" s="189">
        <v>0.33152500000000001</v>
      </c>
    </row>
    <row r="201" spans="1:36" x14ac:dyDescent="0.35">
      <c r="A201" t="s">
        <v>1645</v>
      </c>
      <c r="B201" s="188" t="s">
        <v>1342</v>
      </c>
      <c r="C201" t="s">
        <v>1343</v>
      </c>
      <c r="D201" s="188">
        <v>30</v>
      </c>
      <c r="E201" t="s">
        <v>1500</v>
      </c>
      <c r="F201" t="s">
        <v>1646</v>
      </c>
      <c r="G201" s="189" t="s">
        <v>1647</v>
      </c>
      <c r="H201" s="189">
        <v>0.27371060000000003</v>
      </c>
      <c r="I201" s="189">
        <v>0.28801290000000007</v>
      </c>
      <c r="J201" s="189">
        <v>0.30231520000000006</v>
      </c>
      <c r="K201" s="189">
        <v>0.31661750000000011</v>
      </c>
      <c r="L201" s="189">
        <v>0.33091980000000015</v>
      </c>
      <c r="M201" s="189">
        <v>0.34522210000000014</v>
      </c>
      <c r="N201" s="189">
        <v>0.35952440000000019</v>
      </c>
      <c r="O201" s="189">
        <v>0.37382670000000023</v>
      </c>
      <c r="P201" s="189">
        <v>0.388129</v>
      </c>
      <c r="Q201" s="189">
        <v>0.388129</v>
      </c>
      <c r="R201" s="189">
        <v>0.388129</v>
      </c>
      <c r="S201" s="189">
        <v>0.388129</v>
      </c>
      <c r="T201" s="189">
        <v>0.388129</v>
      </c>
      <c r="U201" s="189">
        <v>0.388129</v>
      </c>
      <c r="V201" s="189">
        <v>0.388129</v>
      </c>
      <c r="W201" s="189">
        <v>0.388129</v>
      </c>
      <c r="X201" s="189">
        <v>0.388129</v>
      </c>
      <c r="Y201" s="189">
        <v>0.388129</v>
      </c>
      <c r="Z201" s="189">
        <v>0.388129</v>
      </c>
      <c r="AA201" s="189">
        <v>0.388129</v>
      </c>
      <c r="AB201" s="189">
        <v>0.388129</v>
      </c>
      <c r="AC201" s="189">
        <v>0.388129</v>
      </c>
      <c r="AD201" s="189">
        <v>0.388129</v>
      </c>
      <c r="AE201" s="189">
        <v>0.388129</v>
      </c>
      <c r="AF201" s="189">
        <v>0.388129</v>
      </c>
      <c r="AG201" s="189">
        <v>0.388129</v>
      </c>
      <c r="AH201" s="189">
        <v>0.388129</v>
      </c>
      <c r="AI201" s="189">
        <v>0.388129</v>
      </c>
      <c r="AJ201" s="189">
        <v>0.388129</v>
      </c>
    </row>
    <row r="202" spans="1:36" x14ac:dyDescent="0.35">
      <c r="A202" t="s">
        <v>1648</v>
      </c>
      <c r="B202" s="188" t="s">
        <v>1342</v>
      </c>
      <c r="C202" t="s">
        <v>1348</v>
      </c>
      <c r="D202" s="188">
        <v>30</v>
      </c>
      <c r="E202" t="s">
        <v>1500</v>
      </c>
      <c r="F202" t="s">
        <v>1646</v>
      </c>
      <c r="G202" s="189" t="s">
        <v>1647</v>
      </c>
      <c r="H202" s="189">
        <v>0.27371060000000003</v>
      </c>
      <c r="I202" s="189">
        <v>0.28801290000000007</v>
      </c>
      <c r="J202" s="189">
        <v>0.30231520000000006</v>
      </c>
      <c r="K202" s="189">
        <v>0.31661750000000011</v>
      </c>
      <c r="L202" s="189">
        <v>0.33091980000000015</v>
      </c>
      <c r="M202" s="189">
        <v>0.34522210000000014</v>
      </c>
      <c r="N202" s="189">
        <v>0.35952440000000019</v>
      </c>
      <c r="O202" s="189">
        <v>0.37382670000000023</v>
      </c>
      <c r="P202" s="189">
        <v>0.388129</v>
      </c>
      <c r="Q202" s="189">
        <v>0.388129</v>
      </c>
      <c r="R202" s="189">
        <v>0.388129</v>
      </c>
      <c r="S202" s="189">
        <v>0.388129</v>
      </c>
      <c r="T202" s="189">
        <v>0.388129</v>
      </c>
      <c r="U202" s="189">
        <v>0.388129</v>
      </c>
      <c r="V202" s="189">
        <v>0.388129</v>
      </c>
      <c r="W202" s="189">
        <v>0.388129</v>
      </c>
      <c r="X202" s="189">
        <v>0.388129</v>
      </c>
      <c r="Y202" s="189">
        <v>0.388129</v>
      </c>
      <c r="Z202" s="189">
        <v>0.388129</v>
      </c>
      <c r="AA202" s="189">
        <v>0.388129</v>
      </c>
      <c r="AB202" s="189">
        <v>0.388129</v>
      </c>
      <c r="AC202" s="189">
        <v>0.388129</v>
      </c>
      <c r="AD202" s="189">
        <v>0.388129</v>
      </c>
      <c r="AE202" s="189">
        <v>0.388129</v>
      </c>
      <c r="AF202" s="189">
        <v>0.388129</v>
      </c>
      <c r="AG202" s="189">
        <v>0.388129</v>
      </c>
      <c r="AH202" s="189">
        <v>0.388129</v>
      </c>
      <c r="AI202" s="189">
        <v>0.388129</v>
      </c>
      <c r="AJ202" s="189">
        <v>0.388129</v>
      </c>
    </row>
    <row r="203" spans="1:36" x14ac:dyDescent="0.35">
      <c r="A203" t="s">
        <v>1649</v>
      </c>
      <c r="B203" s="188" t="s">
        <v>1342</v>
      </c>
      <c r="C203" t="s">
        <v>1350</v>
      </c>
      <c r="D203" s="188">
        <v>30</v>
      </c>
      <c r="E203" t="s">
        <v>1500</v>
      </c>
      <c r="F203" t="s">
        <v>1646</v>
      </c>
      <c r="G203" s="189" t="s">
        <v>1647</v>
      </c>
      <c r="H203" s="189">
        <v>0.27371060000000003</v>
      </c>
      <c r="I203" s="189">
        <v>0.28801290000000007</v>
      </c>
      <c r="J203" s="189">
        <v>0.30231520000000006</v>
      </c>
      <c r="K203" s="189">
        <v>0.31661750000000011</v>
      </c>
      <c r="L203" s="189">
        <v>0.33091980000000015</v>
      </c>
      <c r="M203" s="189">
        <v>0.34522210000000014</v>
      </c>
      <c r="N203" s="189">
        <v>0.35952440000000019</v>
      </c>
      <c r="O203" s="189">
        <v>0.37382670000000023</v>
      </c>
      <c r="P203" s="189">
        <v>0.388129</v>
      </c>
      <c r="Q203" s="189">
        <v>0.388129</v>
      </c>
      <c r="R203" s="189">
        <v>0.388129</v>
      </c>
      <c r="S203" s="189">
        <v>0.388129</v>
      </c>
      <c r="T203" s="189">
        <v>0.388129</v>
      </c>
      <c r="U203" s="189">
        <v>0.388129</v>
      </c>
      <c r="V203" s="189">
        <v>0.388129</v>
      </c>
      <c r="W203" s="189">
        <v>0.388129</v>
      </c>
      <c r="X203" s="189">
        <v>0.388129</v>
      </c>
      <c r="Y203" s="189">
        <v>0.388129</v>
      </c>
      <c r="Z203" s="189">
        <v>0.388129</v>
      </c>
      <c r="AA203" s="189">
        <v>0.388129</v>
      </c>
      <c r="AB203" s="189">
        <v>0.388129</v>
      </c>
      <c r="AC203" s="189">
        <v>0.388129</v>
      </c>
      <c r="AD203" s="189">
        <v>0.388129</v>
      </c>
      <c r="AE203" s="189">
        <v>0.388129</v>
      </c>
      <c r="AF203" s="189">
        <v>0.388129</v>
      </c>
      <c r="AG203" s="189">
        <v>0.388129</v>
      </c>
      <c r="AH203" s="189">
        <v>0.388129</v>
      </c>
      <c r="AI203" s="189">
        <v>0.388129</v>
      </c>
      <c r="AJ203" s="189">
        <v>0.388129</v>
      </c>
    </row>
    <row r="204" spans="1:36" x14ac:dyDescent="0.35">
      <c r="A204" t="s">
        <v>1650</v>
      </c>
      <c r="B204" s="188" t="s">
        <v>1342</v>
      </c>
      <c r="C204" t="s">
        <v>1343</v>
      </c>
      <c r="D204" s="188">
        <v>30</v>
      </c>
      <c r="E204" t="s">
        <v>1500</v>
      </c>
      <c r="F204" t="s">
        <v>1651</v>
      </c>
      <c r="G204" s="189" t="s">
        <v>1652</v>
      </c>
      <c r="H204" s="189">
        <v>0.25443319999999997</v>
      </c>
      <c r="I204" s="189">
        <v>0.27293629999999997</v>
      </c>
      <c r="J204" s="189">
        <v>0.2914393999999999</v>
      </c>
      <c r="K204" s="189">
        <v>0.3099424999999999</v>
      </c>
      <c r="L204" s="189">
        <v>0.32844559999999989</v>
      </c>
      <c r="M204" s="189">
        <v>0.34694869999999989</v>
      </c>
      <c r="N204" s="189">
        <v>0.36545179999999983</v>
      </c>
      <c r="O204" s="189">
        <v>0.38395489999999982</v>
      </c>
      <c r="P204" s="189">
        <v>0.40245799999999998</v>
      </c>
      <c r="Q204" s="189">
        <v>0.40245799999999998</v>
      </c>
      <c r="R204" s="189">
        <v>0.40245799999999998</v>
      </c>
      <c r="S204" s="189">
        <v>0.40245799999999998</v>
      </c>
      <c r="T204" s="189">
        <v>0.40245799999999998</v>
      </c>
      <c r="U204" s="189">
        <v>0.40245799999999998</v>
      </c>
      <c r="V204" s="189">
        <v>0.40245799999999998</v>
      </c>
      <c r="W204" s="189">
        <v>0.40245799999999998</v>
      </c>
      <c r="X204" s="189">
        <v>0.40245799999999998</v>
      </c>
      <c r="Y204" s="189">
        <v>0.40245799999999998</v>
      </c>
      <c r="Z204" s="189">
        <v>0.40245799999999998</v>
      </c>
      <c r="AA204" s="189">
        <v>0.40245799999999998</v>
      </c>
      <c r="AB204" s="189">
        <v>0.40245799999999998</v>
      </c>
      <c r="AC204" s="189">
        <v>0.40245799999999998</v>
      </c>
      <c r="AD204" s="189">
        <v>0.40245799999999998</v>
      </c>
      <c r="AE204" s="189">
        <v>0.40245799999999998</v>
      </c>
      <c r="AF204" s="189">
        <v>0.40245799999999998</v>
      </c>
      <c r="AG204" s="189">
        <v>0.40245799999999998</v>
      </c>
      <c r="AH204" s="189">
        <v>0.40245799999999998</v>
      </c>
      <c r="AI204" s="189">
        <v>0.40245799999999998</v>
      </c>
      <c r="AJ204" s="189">
        <v>0.40245799999999998</v>
      </c>
    </row>
    <row r="205" spans="1:36" x14ac:dyDescent="0.35">
      <c r="A205" t="s">
        <v>1653</v>
      </c>
      <c r="B205" s="188" t="s">
        <v>1342</v>
      </c>
      <c r="C205" t="s">
        <v>1348</v>
      </c>
      <c r="D205" s="188">
        <v>30</v>
      </c>
      <c r="E205" t="s">
        <v>1500</v>
      </c>
      <c r="F205" t="s">
        <v>1651</v>
      </c>
      <c r="G205" s="189" t="s">
        <v>1652</v>
      </c>
      <c r="H205" s="189">
        <v>0.25443319999999997</v>
      </c>
      <c r="I205" s="189">
        <v>0.27293629999999997</v>
      </c>
      <c r="J205" s="189">
        <v>0.2914393999999999</v>
      </c>
      <c r="K205" s="189">
        <v>0.3099424999999999</v>
      </c>
      <c r="L205" s="189">
        <v>0.32844559999999989</v>
      </c>
      <c r="M205" s="189">
        <v>0.34694869999999989</v>
      </c>
      <c r="N205" s="189">
        <v>0.36545179999999983</v>
      </c>
      <c r="O205" s="189">
        <v>0.38395489999999982</v>
      </c>
      <c r="P205" s="189">
        <v>0.40245799999999998</v>
      </c>
      <c r="Q205" s="189">
        <v>0.40245799999999998</v>
      </c>
      <c r="R205" s="189">
        <v>0.40245799999999998</v>
      </c>
      <c r="S205" s="189">
        <v>0.40245799999999998</v>
      </c>
      <c r="T205" s="189">
        <v>0.40245799999999998</v>
      </c>
      <c r="U205" s="189">
        <v>0.40245799999999998</v>
      </c>
      <c r="V205" s="189">
        <v>0.40245799999999998</v>
      </c>
      <c r="W205" s="189">
        <v>0.40245799999999998</v>
      </c>
      <c r="X205" s="189">
        <v>0.40245799999999998</v>
      </c>
      <c r="Y205" s="189">
        <v>0.40245799999999998</v>
      </c>
      <c r="Z205" s="189">
        <v>0.40245799999999998</v>
      </c>
      <c r="AA205" s="189">
        <v>0.40245799999999998</v>
      </c>
      <c r="AB205" s="189">
        <v>0.40245799999999998</v>
      </c>
      <c r="AC205" s="189">
        <v>0.40245799999999998</v>
      </c>
      <c r="AD205" s="189">
        <v>0.40245799999999998</v>
      </c>
      <c r="AE205" s="189">
        <v>0.40245799999999998</v>
      </c>
      <c r="AF205" s="189">
        <v>0.40245799999999998</v>
      </c>
      <c r="AG205" s="189">
        <v>0.40245799999999998</v>
      </c>
      <c r="AH205" s="189">
        <v>0.40245799999999998</v>
      </c>
      <c r="AI205" s="189">
        <v>0.40245799999999998</v>
      </c>
      <c r="AJ205" s="189">
        <v>0.40245799999999998</v>
      </c>
    </row>
    <row r="206" spans="1:36" x14ac:dyDescent="0.35">
      <c r="A206" t="s">
        <v>1654</v>
      </c>
      <c r="B206" s="188" t="s">
        <v>1342</v>
      </c>
      <c r="C206" t="s">
        <v>1350</v>
      </c>
      <c r="D206" s="188">
        <v>30</v>
      </c>
      <c r="E206" t="s">
        <v>1500</v>
      </c>
      <c r="F206" t="s">
        <v>1651</v>
      </c>
      <c r="G206" s="189" t="s">
        <v>1652</v>
      </c>
      <c r="H206" s="189">
        <v>0.25443319999999997</v>
      </c>
      <c r="I206" s="189">
        <v>0.27293629999999997</v>
      </c>
      <c r="J206" s="189">
        <v>0.2914393999999999</v>
      </c>
      <c r="K206" s="189">
        <v>0.3099424999999999</v>
      </c>
      <c r="L206" s="189">
        <v>0.32844559999999989</v>
      </c>
      <c r="M206" s="189">
        <v>0.34694869999999989</v>
      </c>
      <c r="N206" s="189">
        <v>0.36545179999999983</v>
      </c>
      <c r="O206" s="189">
        <v>0.38395489999999982</v>
      </c>
      <c r="P206" s="189">
        <v>0.40245799999999998</v>
      </c>
      <c r="Q206" s="189">
        <v>0.40245799999999998</v>
      </c>
      <c r="R206" s="189">
        <v>0.40245799999999998</v>
      </c>
      <c r="S206" s="189">
        <v>0.40245799999999998</v>
      </c>
      <c r="T206" s="189">
        <v>0.40245799999999998</v>
      </c>
      <c r="U206" s="189">
        <v>0.40245799999999998</v>
      </c>
      <c r="V206" s="189">
        <v>0.40245799999999998</v>
      </c>
      <c r="W206" s="189">
        <v>0.40245799999999998</v>
      </c>
      <c r="X206" s="189">
        <v>0.40245799999999998</v>
      </c>
      <c r="Y206" s="189">
        <v>0.40245799999999998</v>
      </c>
      <c r="Z206" s="189">
        <v>0.40245799999999998</v>
      </c>
      <c r="AA206" s="189">
        <v>0.40245799999999998</v>
      </c>
      <c r="AB206" s="189">
        <v>0.40245799999999998</v>
      </c>
      <c r="AC206" s="189">
        <v>0.40245799999999998</v>
      </c>
      <c r="AD206" s="189">
        <v>0.40245799999999998</v>
      </c>
      <c r="AE206" s="189">
        <v>0.40245799999999998</v>
      </c>
      <c r="AF206" s="189">
        <v>0.40245799999999998</v>
      </c>
      <c r="AG206" s="189">
        <v>0.40245799999999998</v>
      </c>
      <c r="AH206" s="189">
        <v>0.40245799999999998</v>
      </c>
      <c r="AI206" s="189">
        <v>0.40245799999999998</v>
      </c>
      <c r="AJ206" s="189">
        <v>0.40245799999999998</v>
      </c>
    </row>
    <row r="207" spans="1:36" x14ac:dyDescent="0.35">
      <c r="A207" t="s">
        <v>1655</v>
      </c>
      <c r="B207" s="188" t="s">
        <v>1342</v>
      </c>
      <c r="C207" t="s">
        <v>1343</v>
      </c>
      <c r="D207" s="188">
        <v>30</v>
      </c>
      <c r="E207" t="s">
        <v>1500</v>
      </c>
      <c r="F207" t="s">
        <v>1656</v>
      </c>
      <c r="G207" s="189" t="s">
        <v>1657</v>
      </c>
      <c r="H207" s="189">
        <v>0.30160320000000002</v>
      </c>
      <c r="I207" s="189">
        <v>0.31752530000000001</v>
      </c>
      <c r="J207" s="189">
        <v>0.33344740000000006</v>
      </c>
      <c r="K207" s="189">
        <v>0.34936950000000006</v>
      </c>
      <c r="L207" s="189">
        <v>0.36529160000000011</v>
      </c>
      <c r="M207" s="189">
        <v>0.3812137000000001</v>
      </c>
      <c r="N207" s="189">
        <v>0.39713580000000009</v>
      </c>
      <c r="O207" s="189">
        <v>0.41305790000000014</v>
      </c>
      <c r="P207" s="189">
        <v>0.42897999999999997</v>
      </c>
      <c r="Q207" s="189">
        <v>0.42897999999999997</v>
      </c>
      <c r="R207" s="189">
        <v>0.42897999999999997</v>
      </c>
      <c r="S207" s="189">
        <v>0.42897999999999997</v>
      </c>
      <c r="T207" s="189">
        <v>0.42897999999999997</v>
      </c>
      <c r="U207" s="189">
        <v>0.42897999999999997</v>
      </c>
      <c r="V207" s="189">
        <v>0.42897999999999997</v>
      </c>
      <c r="W207" s="189">
        <v>0.42897999999999997</v>
      </c>
      <c r="X207" s="189">
        <v>0.42897999999999997</v>
      </c>
      <c r="Y207" s="189">
        <v>0.42897999999999997</v>
      </c>
      <c r="Z207" s="189">
        <v>0.42897999999999997</v>
      </c>
      <c r="AA207" s="189">
        <v>0.42897999999999997</v>
      </c>
      <c r="AB207" s="189">
        <v>0.42897999999999997</v>
      </c>
      <c r="AC207" s="189">
        <v>0.42897999999999997</v>
      </c>
      <c r="AD207" s="189">
        <v>0.42897999999999997</v>
      </c>
      <c r="AE207" s="189">
        <v>0.42897999999999997</v>
      </c>
      <c r="AF207" s="189">
        <v>0.42897999999999997</v>
      </c>
      <c r="AG207" s="189">
        <v>0.42897999999999997</v>
      </c>
      <c r="AH207" s="189">
        <v>0.42897999999999997</v>
      </c>
      <c r="AI207" s="189">
        <v>0.42897999999999997</v>
      </c>
      <c r="AJ207" s="189">
        <v>0.42897999999999997</v>
      </c>
    </row>
    <row r="208" spans="1:36" x14ac:dyDescent="0.35">
      <c r="A208" t="s">
        <v>1658</v>
      </c>
      <c r="B208" s="188" t="s">
        <v>1342</v>
      </c>
      <c r="C208" t="s">
        <v>1348</v>
      </c>
      <c r="D208" s="188">
        <v>30</v>
      </c>
      <c r="E208" t="s">
        <v>1500</v>
      </c>
      <c r="F208" t="s">
        <v>1656</v>
      </c>
      <c r="G208" s="189" t="s">
        <v>1657</v>
      </c>
      <c r="H208" s="189">
        <v>0.30160320000000002</v>
      </c>
      <c r="I208" s="189">
        <v>0.31752530000000001</v>
      </c>
      <c r="J208" s="189">
        <v>0.33344740000000006</v>
      </c>
      <c r="K208" s="189">
        <v>0.34936950000000006</v>
      </c>
      <c r="L208" s="189">
        <v>0.36529160000000011</v>
      </c>
      <c r="M208" s="189">
        <v>0.3812137000000001</v>
      </c>
      <c r="N208" s="189">
        <v>0.39713580000000009</v>
      </c>
      <c r="O208" s="189">
        <v>0.41305790000000014</v>
      </c>
      <c r="P208" s="189">
        <v>0.42897999999999997</v>
      </c>
      <c r="Q208" s="189">
        <v>0.42897999999999997</v>
      </c>
      <c r="R208" s="189">
        <v>0.42897999999999997</v>
      </c>
      <c r="S208" s="189">
        <v>0.42897999999999997</v>
      </c>
      <c r="T208" s="189">
        <v>0.42897999999999997</v>
      </c>
      <c r="U208" s="189">
        <v>0.42897999999999997</v>
      </c>
      <c r="V208" s="189">
        <v>0.42897999999999997</v>
      </c>
      <c r="W208" s="189">
        <v>0.42897999999999997</v>
      </c>
      <c r="X208" s="189">
        <v>0.42897999999999997</v>
      </c>
      <c r="Y208" s="189">
        <v>0.42897999999999997</v>
      </c>
      <c r="Z208" s="189">
        <v>0.42897999999999997</v>
      </c>
      <c r="AA208" s="189">
        <v>0.42897999999999997</v>
      </c>
      <c r="AB208" s="189">
        <v>0.42897999999999997</v>
      </c>
      <c r="AC208" s="189">
        <v>0.42897999999999997</v>
      </c>
      <c r="AD208" s="189">
        <v>0.42897999999999997</v>
      </c>
      <c r="AE208" s="189">
        <v>0.42897999999999997</v>
      </c>
      <c r="AF208" s="189">
        <v>0.42897999999999997</v>
      </c>
      <c r="AG208" s="189">
        <v>0.42897999999999997</v>
      </c>
      <c r="AH208" s="189">
        <v>0.42897999999999997</v>
      </c>
      <c r="AI208" s="189">
        <v>0.42897999999999997</v>
      </c>
      <c r="AJ208" s="189">
        <v>0.42897999999999997</v>
      </c>
    </row>
    <row r="209" spans="1:36" x14ac:dyDescent="0.35">
      <c r="A209" t="s">
        <v>1659</v>
      </c>
      <c r="B209" s="188" t="s">
        <v>1342</v>
      </c>
      <c r="C209" t="s">
        <v>1350</v>
      </c>
      <c r="D209" s="188">
        <v>30</v>
      </c>
      <c r="E209" t="s">
        <v>1500</v>
      </c>
      <c r="F209" t="s">
        <v>1656</v>
      </c>
      <c r="G209" s="189" t="s">
        <v>1657</v>
      </c>
      <c r="H209" s="189">
        <v>0.30160320000000002</v>
      </c>
      <c r="I209" s="189">
        <v>0.31752530000000001</v>
      </c>
      <c r="J209" s="189">
        <v>0.33344740000000006</v>
      </c>
      <c r="K209" s="189">
        <v>0.34936950000000006</v>
      </c>
      <c r="L209" s="189">
        <v>0.36529160000000011</v>
      </c>
      <c r="M209" s="189">
        <v>0.3812137000000001</v>
      </c>
      <c r="N209" s="189">
        <v>0.39713580000000009</v>
      </c>
      <c r="O209" s="189">
        <v>0.41305790000000014</v>
      </c>
      <c r="P209" s="189">
        <v>0.42897999999999997</v>
      </c>
      <c r="Q209" s="189">
        <v>0.42897999999999997</v>
      </c>
      <c r="R209" s="189">
        <v>0.42897999999999997</v>
      </c>
      <c r="S209" s="189">
        <v>0.42897999999999997</v>
      </c>
      <c r="T209" s="189">
        <v>0.42897999999999997</v>
      </c>
      <c r="U209" s="189">
        <v>0.42897999999999997</v>
      </c>
      <c r="V209" s="189">
        <v>0.42897999999999997</v>
      </c>
      <c r="W209" s="189">
        <v>0.42897999999999997</v>
      </c>
      <c r="X209" s="189">
        <v>0.42897999999999997</v>
      </c>
      <c r="Y209" s="189">
        <v>0.42897999999999997</v>
      </c>
      <c r="Z209" s="189">
        <v>0.42897999999999997</v>
      </c>
      <c r="AA209" s="189">
        <v>0.42897999999999997</v>
      </c>
      <c r="AB209" s="189">
        <v>0.42897999999999997</v>
      </c>
      <c r="AC209" s="189">
        <v>0.42897999999999997</v>
      </c>
      <c r="AD209" s="189">
        <v>0.42897999999999997</v>
      </c>
      <c r="AE209" s="189">
        <v>0.42897999999999997</v>
      </c>
      <c r="AF209" s="189">
        <v>0.42897999999999997</v>
      </c>
      <c r="AG209" s="189">
        <v>0.42897999999999997</v>
      </c>
      <c r="AH209" s="189">
        <v>0.42897999999999997</v>
      </c>
      <c r="AI209" s="189">
        <v>0.42897999999999997</v>
      </c>
      <c r="AJ209" s="189">
        <v>0.42897999999999997</v>
      </c>
    </row>
    <row r="210" spans="1:36" x14ac:dyDescent="0.35">
      <c r="A210" t="s">
        <v>1660</v>
      </c>
      <c r="B210" s="188" t="s">
        <v>1342</v>
      </c>
      <c r="C210" t="s">
        <v>1343</v>
      </c>
      <c r="D210" s="188">
        <v>30</v>
      </c>
      <c r="E210" t="s">
        <v>1500</v>
      </c>
      <c r="F210" t="s">
        <v>1661</v>
      </c>
      <c r="G210" s="189" t="s">
        <v>1662</v>
      </c>
      <c r="H210" s="189">
        <v>0.20893639999999997</v>
      </c>
      <c r="I210" s="189">
        <v>0.21848609999999996</v>
      </c>
      <c r="J210" s="189">
        <v>0.22803579999999996</v>
      </c>
      <c r="K210" s="189">
        <v>0.23758549999999998</v>
      </c>
      <c r="L210" s="189">
        <v>0.2471352</v>
      </c>
      <c r="M210" s="189">
        <v>0.25668489999999999</v>
      </c>
      <c r="N210" s="189">
        <v>0.26623460000000004</v>
      </c>
      <c r="O210" s="189">
        <v>0.27578430000000004</v>
      </c>
      <c r="P210" s="189">
        <v>0.28533399999999998</v>
      </c>
      <c r="Q210" s="189">
        <v>0.28533399999999998</v>
      </c>
      <c r="R210" s="189">
        <v>0.28533399999999998</v>
      </c>
      <c r="S210" s="189">
        <v>0.28533399999999998</v>
      </c>
      <c r="T210" s="189">
        <v>0.28533399999999998</v>
      </c>
      <c r="U210" s="189">
        <v>0.28533399999999998</v>
      </c>
      <c r="V210" s="189">
        <v>0.28533399999999998</v>
      </c>
      <c r="W210" s="189">
        <v>0.28533399999999998</v>
      </c>
      <c r="X210" s="189">
        <v>0.28533399999999998</v>
      </c>
      <c r="Y210" s="189">
        <v>0.28533399999999998</v>
      </c>
      <c r="Z210" s="189">
        <v>0.28533399999999998</v>
      </c>
      <c r="AA210" s="189">
        <v>0.28533399999999998</v>
      </c>
      <c r="AB210" s="189">
        <v>0.28533399999999998</v>
      </c>
      <c r="AC210" s="189">
        <v>0.28533399999999998</v>
      </c>
      <c r="AD210" s="189">
        <v>0.28533399999999998</v>
      </c>
      <c r="AE210" s="189">
        <v>0.28533399999999998</v>
      </c>
      <c r="AF210" s="189">
        <v>0.28533399999999998</v>
      </c>
      <c r="AG210" s="189">
        <v>0.28533399999999998</v>
      </c>
      <c r="AH210" s="189">
        <v>0.28533399999999998</v>
      </c>
      <c r="AI210" s="189">
        <v>0.28533399999999998</v>
      </c>
      <c r="AJ210" s="189">
        <v>0.28533399999999998</v>
      </c>
    </row>
    <row r="211" spans="1:36" x14ac:dyDescent="0.35">
      <c r="A211" t="s">
        <v>1663</v>
      </c>
      <c r="B211" s="188" t="s">
        <v>1342</v>
      </c>
      <c r="C211" t="s">
        <v>1348</v>
      </c>
      <c r="D211" s="188">
        <v>30</v>
      </c>
      <c r="E211" t="s">
        <v>1500</v>
      </c>
      <c r="F211" t="s">
        <v>1661</v>
      </c>
      <c r="G211" s="189" t="s">
        <v>1662</v>
      </c>
      <c r="H211" s="189">
        <v>0.20893639999999997</v>
      </c>
      <c r="I211" s="189">
        <v>0.21848609999999996</v>
      </c>
      <c r="J211" s="189">
        <v>0.22803579999999996</v>
      </c>
      <c r="K211" s="189">
        <v>0.23758549999999998</v>
      </c>
      <c r="L211" s="189">
        <v>0.2471352</v>
      </c>
      <c r="M211" s="189">
        <v>0.25668489999999999</v>
      </c>
      <c r="N211" s="189">
        <v>0.26623460000000004</v>
      </c>
      <c r="O211" s="189">
        <v>0.27578430000000004</v>
      </c>
      <c r="P211" s="189">
        <v>0.28533399999999998</v>
      </c>
      <c r="Q211" s="189">
        <v>0.28533399999999998</v>
      </c>
      <c r="R211" s="189">
        <v>0.28533399999999998</v>
      </c>
      <c r="S211" s="189">
        <v>0.28533399999999998</v>
      </c>
      <c r="T211" s="189">
        <v>0.28533399999999998</v>
      </c>
      <c r="U211" s="189">
        <v>0.28533399999999998</v>
      </c>
      <c r="V211" s="189">
        <v>0.28533399999999998</v>
      </c>
      <c r="W211" s="189">
        <v>0.28533399999999998</v>
      </c>
      <c r="X211" s="189">
        <v>0.28533399999999998</v>
      </c>
      <c r="Y211" s="189">
        <v>0.28533399999999998</v>
      </c>
      <c r="Z211" s="189">
        <v>0.28533399999999998</v>
      </c>
      <c r="AA211" s="189">
        <v>0.28533399999999998</v>
      </c>
      <c r="AB211" s="189">
        <v>0.28533399999999998</v>
      </c>
      <c r="AC211" s="189">
        <v>0.28533399999999998</v>
      </c>
      <c r="AD211" s="189">
        <v>0.28533399999999998</v>
      </c>
      <c r="AE211" s="189">
        <v>0.28533399999999998</v>
      </c>
      <c r="AF211" s="189">
        <v>0.28533399999999998</v>
      </c>
      <c r="AG211" s="189">
        <v>0.28533399999999998</v>
      </c>
      <c r="AH211" s="189">
        <v>0.28533399999999998</v>
      </c>
      <c r="AI211" s="189">
        <v>0.28533399999999998</v>
      </c>
      <c r="AJ211" s="189">
        <v>0.28533399999999998</v>
      </c>
    </row>
    <row r="212" spans="1:36" x14ac:dyDescent="0.35">
      <c r="A212" t="s">
        <v>1664</v>
      </c>
      <c r="B212" s="188" t="s">
        <v>1342</v>
      </c>
      <c r="C212" t="s">
        <v>1350</v>
      </c>
      <c r="D212" s="188">
        <v>30</v>
      </c>
      <c r="E212" t="s">
        <v>1500</v>
      </c>
      <c r="F212" t="s">
        <v>1661</v>
      </c>
      <c r="G212" s="189" t="s">
        <v>1662</v>
      </c>
      <c r="H212" s="189">
        <v>0.20893639999999997</v>
      </c>
      <c r="I212" s="189">
        <v>0.21848609999999996</v>
      </c>
      <c r="J212" s="189">
        <v>0.22803579999999996</v>
      </c>
      <c r="K212" s="189">
        <v>0.23758549999999998</v>
      </c>
      <c r="L212" s="189">
        <v>0.2471352</v>
      </c>
      <c r="M212" s="189">
        <v>0.25668489999999999</v>
      </c>
      <c r="N212" s="189">
        <v>0.26623460000000004</v>
      </c>
      <c r="O212" s="189">
        <v>0.27578430000000004</v>
      </c>
      <c r="P212" s="189">
        <v>0.28533399999999998</v>
      </c>
      <c r="Q212" s="189">
        <v>0.28533399999999998</v>
      </c>
      <c r="R212" s="189">
        <v>0.28533399999999998</v>
      </c>
      <c r="S212" s="189">
        <v>0.28533399999999998</v>
      </c>
      <c r="T212" s="189">
        <v>0.28533399999999998</v>
      </c>
      <c r="U212" s="189">
        <v>0.28533399999999998</v>
      </c>
      <c r="V212" s="189">
        <v>0.28533399999999998</v>
      </c>
      <c r="W212" s="189">
        <v>0.28533399999999998</v>
      </c>
      <c r="X212" s="189">
        <v>0.28533399999999998</v>
      </c>
      <c r="Y212" s="189">
        <v>0.28533399999999998</v>
      </c>
      <c r="Z212" s="189">
        <v>0.28533399999999998</v>
      </c>
      <c r="AA212" s="189">
        <v>0.28533399999999998</v>
      </c>
      <c r="AB212" s="189">
        <v>0.28533399999999998</v>
      </c>
      <c r="AC212" s="189">
        <v>0.28533399999999998</v>
      </c>
      <c r="AD212" s="189">
        <v>0.28533399999999998</v>
      </c>
      <c r="AE212" s="189">
        <v>0.28533399999999998</v>
      </c>
      <c r="AF212" s="189">
        <v>0.28533399999999998</v>
      </c>
      <c r="AG212" s="189">
        <v>0.28533399999999998</v>
      </c>
      <c r="AH212" s="189">
        <v>0.28533399999999998</v>
      </c>
      <c r="AI212" s="189">
        <v>0.28533399999999998</v>
      </c>
      <c r="AJ212" s="189">
        <v>0.28533399999999998</v>
      </c>
    </row>
    <row r="213" spans="1:36" x14ac:dyDescent="0.35">
      <c r="A213" t="s">
        <v>1665</v>
      </c>
      <c r="B213" s="188" t="s">
        <v>1342</v>
      </c>
      <c r="C213" t="s">
        <v>1343</v>
      </c>
      <c r="D213" s="188">
        <v>30</v>
      </c>
      <c r="E213" t="s">
        <v>1500</v>
      </c>
      <c r="F213" t="s">
        <v>1666</v>
      </c>
      <c r="G213" s="189" t="s">
        <v>1667</v>
      </c>
      <c r="H213" s="189">
        <v>0.22493860000000002</v>
      </c>
      <c r="I213" s="189">
        <v>0.23835090000000006</v>
      </c>
      <c r="J213" s="189">
        <v>0.25176320000000008</v>
      </c>
      <c r="K213" s="189">
        <v>0.26517550000000012</v>
      </c>
      <c r="L213" s="189">
        <v>0.27858780000000011</v>
      </c>
      <c r="M213" s="189">
        <v>0.29200010000000015</v>
      </c>
      <c r="N213" s="189">
        <v>0.30541240000000019</v>
      </c>
      <c r="O213" s="189">
        <v>0.31882470000000018</v>
      </c>
      <c r="P213" s="189">
        <v>0.332237</v>
      </c>
      <c r="Q213" s="189">
        <v>0.332237</v>
      </c>
      <c r="R213" s="189">
        <v>0.332237</v>
      </c>
      <c r="S213" s="189">
        <v>0.332237</v>
      </c>
      <c r="T213" s="189">
        <v>0.332237</v>
      </c>
      <c r="U213" s="189">
        <v>0.332237</v>
      </c>
      <c r="V213" s="189">
        <v>0.332237</v>
      </c>
      <c r="W213" s="189">
        <v>0.332237</v>
      </c>
      <c r="X213" s="189">
        <v>0.332237</v>
      </c>
      <c r="Y213" s="189">
        <v>0.332237</v>
      </c>
      <c r="Z213" s="189">
        <v>0.332237</v>
      </c>
      <c r="AA213" s="189">
        <v>0.332237</v>
      </c>
      <c r="AB213" s="189">
        <v>0.332237</v>
      </c>
      <c r="AC213" s="189">
        <v>0.332237</v>
      </c>
      <c r="AD213" s="189">
        <v>0.332237</v>
      </c>
      <c r="AE213" s="189">
        <v>0.332237</v>
      </c>
      <c r="AF213" s="189">
        <v>0.332237</v>
      </c>
      <c r="AG213" s="189">
        <v>0.332237</v>
      </c>
      <c r="AH213" s="189">
        <v>0.332237</v>
      </c>
      <c r="AI213" s="189">
        <v>0.332237</v>
      </c>
      <c r="AJ213" s="189">
        <v>0.332237</v>
      </c>
    </row>
    <row r="214" spans="1:36" x14ac:dyDescent="0.35">
      <c r="A214" t="s">
        <v>1668</v>
      </c>
      <c r="B214" s="188" t="s">
        <v>1342</v>
      </c>
      <c r="C214" t="s">
        <v>1348</v>
      </c>
      <c r="D214" s="188">
        <v>30</v>
      </c>
      <c r="E214" t="s">
        <v>1500</v>
      </c>
      <c r="F214" t="s">
        <v>1666</v>
      </c>
      <c r="G214" s="189" t="s">
        <v>1667</v>
      </c>
      <c r="H214" s="189">
        <v>0.22493860000000002</v>
      </c>
      <c r="I214" s="189">
        <v>0.23835090000000006</v>
      </c>
      <c r="J214" s="189">
        <v>0.25176320000000008</v>
      </c>
      <c r="K214" s="189">
        <v>0.26517550000000012</v>
      </c>
      <c r="L214" s="189">
        <v>0.27858780000000011</v>
      </c>
      <c r="M214" s="189">
        <v>0.29200010000000015</v>
      </c>
      <c r="N214" s="189">
        <v>0.30541240000000019</v>
      </c>
      <c r="O214" s="189">
        <v>0.31882470000000018</v>
      </c>
      <c r="P214" s="189">
        <v>0.332237</v>
      </c>
      <c r="Q214" s="189">
        <v>0.332237</v>
      </c>
      <c r="R214" s="189">
        <v>0.332237</v>
      </c>
      <c r="S214" s="189">
        <v>0.332237</v>
      </c>
      <c r="T214" s="189">
        <v>0.332237</v>
      </c>
      <c r="U214" s="189">
        <v>0.332237</v>
      </c>
      <c r="V214" s="189">
        <v>0.332237</v>
      </c>
      <c r="W214" s="189">
        <v>0.332237</v>
      </c>
      <c r="X214" s="189">
        <v>0.332237</v>
      </c>
      <c r="Y214" s="189">
        <v>0.332237</v>
      </c>
      <c r="Z214" s="189">
        <v>0.332237</v>
      </c>
      <c r="AA214" s="189">
        <v>0.332237</v>
      </c>
      <c r="AB214" s="189">
        <v>0.332237</v>
      </c>
      <c r="AC214" s="189">
        <v>0.332237</v>
      </c>
      <c r="AD214" s="189">
        <v>0.332237</v>
      </c>
      <c r="AE214" s="189">
        <v>0.332237</v>
      </c>
      <c r="AF214" s="189">
        <v>0.332237</v>
      </c>
      <c r="AG214" s="189">
        <v>0.332237</v>
      </c>
      <c r="AH214" s="189">
        <v>0.332237</v>
      </c>
      <c r="AI214" s="189">
        <v>0.332237</v>
      </c>
      <c r="AJ214" s="189">
        <v>0.332237</v>
      </c>
    </row>
    <row r="215" spans="1:36" x14ac:dyDescent="0.35">
      <c r="A215" t="s">
        <v>1669</v>
      </c>
      <c r="B215" s="188" t="s">
        <v>1342</v>
      </c>
      <c r="C215" t="s">
        <v>1350</v>
      </c>
      <c r="D215" s="188">
        <v>30</v>
      </c>
      <c r="E215" t="s">
        <v>1500</v>
      </c>
      <c r="F215" t="s">
        <v>1666</v>
      </c>
      <c r="G215" s="189" t="s">
        <v>1667</v>
      </c>
      <c r="H215" s="189">
        <v>0.22493860000000002</v>
      </c>
      <c r="I215" s="189">
        <v>0.23835090000000006</v>
      </c>
      <c r="J215" s="189">
        <v>0.25176320000000008</v>
      </c>
      <c r="K215" s="189">
        <v>0.26517550000000012</v>
      </c>
      <c r="L215" s="189">
        <v>0.27858780000000011</v>
      </c>
      <c r="M215" s="189">
        <v>0.29200010000000015</v>
      </c>
      <c r="N215" s="189">
        <v>0.30541240000000019</v>
      </c>
      <c r="O215" s="189">
        <v>0.31882470000000018</v>
      </c>
      <c r="P215" s="189">
        <v>0.332237</v>
      </c>
      <c r="Q215" s="189">
        <v>0.332237</v>
      </c>
      <c r="R215" s="189">
        <v>0.332237</v>
      </c>
      <c r="S215" s="189">
        <v>0.332237</v>
      </c>
      <c r="T215" s="189">
        <v>0.332237</v>
      </c>
      <c r="U215" s="189">
        <v>0.332237</v>
      </c>
      <c r="V215" s="189">
        <v>0.332237</v>
      </c>
      <c r="W215" s="189">
        <v>0.332237</v>
      </c>
      <c r="X215" s="189">
        <v>0.332237</v>
      </c>
      <c r="Y215" s="189">
        <v>0.332237</v>
      </c>
      <c r="Z215" s="189">
        <v>0.332237</v>
      </c>
      <c r="AA215" s="189">
        <v>0.332237</v>
      </c>
      <c r="AB215" s="189">
        <v>0.332237</v>
      </c>
      <c r="AC215" s="189">
        <v>0.332237</v>
      </c>
      <c r="AD215" s="189">
        <v>0.332237</v>
      </c>
      <c r="AE215" s="189">
        <v>0.332237</v>
      </c>
      <c r="AF215" s="189">
        <v>0.332237</v>
      </c>
      <c r="AG215" s="189">
        <v>0.332237</v>
      </c>
      <c r="AH215" s="189">
        <v>0.332237</v>
      </c>
      <c r="AI215" s="189">
        <v>0.332237</v>
      </c>
      <c r="AJ215" s="189">
        <v>0.332237</v>
      </c>
    </row>
    <row r="216" spans="1:36" x14ac:dyDescent="0.35">
      <c r="A216" t="s">
        <v>1670</v>
      </c>
      <c r="B216" s="188" t="s">
        <v>1342</v>
      </c>
      <c r="C216" t="s">
        <v>1343</v>
      </c>
      <c r="D216" s="188">
        <v>30</v>
      </c>
      <c r="E216" t="s">
        <v>1500</v>
      </c>
      <c r="F216" t="s">
        <v>1671</v>
      </c>
      <c r="G216" s="189" t="s">
        <v>1672</v>
      </c>
      <c r="H216" s="189">
        <v>0.2086694</v>
      </c>
      <c r="I216" s="189">
        <v>0.22609559999999998</v>
      </c>
      <c r="J216" s="189">
        <v>0.24352179999999998</v>
      </c>
      <c r="K216" s="189">
        <v>0.26094799999999996</v>
      </c>
      <c r="L216" s="189">
        <v>0.27837419999999996</v>
      </c>
      <c r="M216" s="189">
        <v>0.29580039999999996</v>
      </c>
      <c r="N216" s="189">
        <v>0.31322659999999991</v>
      </c>
      <c r="O216" s="189">
        <v>0.33065279999999991</v>
      </c>
      <c r="P216" s="189">
        <v>0.34807900000000003</v>
      </c>
      <c r="Q216" s="189">
        <v>0.34807900000000003</v>
      </c>
      <c r="R216" s="189">
        <v>0.34807900000000003</v>
      </c>
      <c r="S216" s="189">
        <v>0.34807900000000003</v>
      </c>
      <c r="T216" s="189">
        <v>0.34807900000000003</v>
      </c>
      <c r="U216" s="189">
        <v>0.34807900000000003</v>
      </c>
      <c r="V216" s="189">
        <v>0.34807900000000003</v>
      </c>
      <c r="W216" s="189">
        <v>0.34807900000000003</v>
      </c>
      <c r="X216" s="189">
        <v>0.34807900000000003</v>
      </c>
      <c r="Y216" s="189">
        <v>0.34807900000000003</v>
      </c>
      <c r="Z216" s="189">
        <v>0.34807900000000003</v>
      </c>
      <c r="AA216" s="189">
        <v>0.34807900000000003</v>
      </c>
      <c r="AB216" s="189">
        <v>0.34807900000000003</v>
      </c>
      <c r="AC216" s="189">
        <v>0.34807900000000003</v>
      </c>
      <c r="AD216" s="189">
        <v>0.34807900000000003</v>
      </c>
      <c r="AE216" s="189">
        <v>0.34807900000000003</v>
      </c>
      <c r="AF216" s="189">
        <v>0.34807900000000003</v>
      </c>
      <c r="AG216" s="189">
        <v>0.34807900000000003</v>
      </c>
      <c r="AH216" s="189">
        <v>0.34807900000000003</v>
      </c>
      <c r="AI216" s="189">
        <v>0.34807900000000003</v>
      </c>
      <c r="AJ216" s="189">
        <v>0.34807900000000003</v>
      </c>
    </row>
    <row r="217" spans="1:36" x14ac:dyDescent="0.35">
      <c r="A217" t="s">
        <v>1673</v>
      </c>
      <c r="B217" s="188" t="s">
        <v>1342</v>
      </c>
      <c r="C217" t="s">
        <v>1348</v>
      </c>
      <c r="D217" s="188">
        <v>30</v>
      </c>
      <c r="E217" t="s">
        <v>1500</v>
      </c>
      <c r="F217" t="s">
        <v>1671</v>
      </c>
      <c r="G217" s="189" t="s">
        <v>1672</v>
      </c>
      <c r="H217" s="189">
        <v>0.2086694</v>
      </c>
      <c r="I217" s="189">
        <v>0.22609559999999998</v>
      </c>
      <c r="J217" s="189">
        <v>0.24352179999999998</v>
      </c>
      <c r="K217" s="189">
        <v>0.26094799999999996</v>
      </c>
      <c r="L217" s="189">
        <v>0.27837419999999996</v>
      </c>
      <c r="M217" s="189">
        <v>0.29580039999999996</v>
      </c>
      <c r="N217" s="189">
        <v>0.31322659999999991</v>
      </c>
      <c r="O217" s="189">
        <v>0.33065279999999991</v>
      </c>
      <c r="P217" s="189">
        <v>0.34807900000000003</v>
      </c>
      <c r="Q217" s="189">
        <v>0.34807900000000003</v>
      </c>
      <c r="R217" s="189">
        <v>0.34807900000000003</v>
      </c>
      <c r="S217" s="189">
        <v>0.34807900000000003</v>
      </c>
      <c r="T217" s="189">
        <v>0.34807900000000003</v>
      </c>
      <c r="U217" s="189">
        <v>0.34807900000000003</v>
      </c>
      <c r="V217" s="189">
        <v>0.34807900000000003</v>
      </c>
      <c r="W217" s="189">
        <v>0.34807900000000003</v>
      </c>
      <c r="X217" s="189">
        <v>0.34807900000000003</v>
      </c>
      <c r="Y217" s="189">
        <v>0.34807900000000003</v>
      </c>
      <c r="Z217" s="189">
        <v>0.34807900000000003</v>
      </c>
      <c r="AA217" s="189">
        <v>0.34807900000000003</v>
      </c>
      <c r="AB217" s="189">
        <v>0.34807900000000003</v>
      </c>
      <c r="AC217" s="189">
        <v>0.34807900000000003</v>
      </c>
      <c r="AD217" s="189">
        <v>0.34807900000000003</v>
      </c>
      <c r="AE217" s="189">
        <v>0.34807900000000003</v>
      </c>
      <c r="AF217" s="189">
        <v>0.34807900000000003</v>
      </c>
      <c r="AG217" s="189">
        <v>0.34807900000000003</v>
      </c>
      <c r="AH217" s="189">
        <v>0.34807900000000003</v>
      </c>
      <c r="AI217" s="189">
        <v>0.34807900000000003</v>
      </c>
      <c r="AJ217" s="189">
        <v>0.34807900000000003</v>
      </c>
    </row>
    <row r="218" spans="1:36" x14ac:dyDescent="0.35">
      <c r="A218" t="s">
        <v>1674</v>
      </c>
      <c r="B218" s="188" t="s">
        <v>1342</v>
      </c>
      <c r="C218" t="s">
        <v>1350</v>
      </c>
      <c r="D218" s="188">
        <v>30</v>
      </c>
      <c r="E218" t="s">
        <v>1500</v>
      </c>
      <c r="F218" t="s">
        <v>1671</v>
      </c>
      <c r="G218" s="189" t="s">
        <v>1672</v>
      </c>
      <c r="H218" s="189">
        <v>0.2086694</v>
      </c>
      <c r="I218" s="189">
        <v>0.22609559999999998</v>
      </c>
      <c r="J218" s="189">
        <v>0.24352179999999998</v>
      </c>
      <c r="K218" s="189">
        <v>0.26094799999999996</v>
      </c>
      <c r="L218" s="189">
        <v>0.27837419999999996</v>
      </c>
      <c r="M218" s="189">
        <v>0.29580039999999996</v>
      </c>
      <c r="N218" s="189">
        <v>0.31322659999999991</v>
      </c>
      <c r="O218" s="189">
        <v>0.33065279999999991</v>
      </c>
      <c r="P218" s="189">
        <v>0.34807900000000003</v>
      </c>
      <c r="Q218" s="189">
        <v>0.34807900000000003</v>
      </c>
      <c r="R218" s="189">
        <v>0.34807900000000003</v>
      </c>
      <c r="S218" s="189">
        <v>0.34807900000000003</v>
      </c>
      <c r="T218" s="189">
        <v>0.34807900000000003</v>
      </c>
      <c r="U218" s="189">
        <v>0.34807900000000003</v>
      </c>
      <c r="V218" s="189">
        <v>0.34807900000000003</v>
      </c>
      <c r="W218" s="189">
        <v>0.34807900000000003</v>
      </c>
      <c r="X218" s="189">
        <v>0.34807900000000003</v>
      </c>
      <c r="Y218" s="189">
        <v>0.34807900000000003</v>
      </c>
      <c r="Z218" s="189">
        <v>0.34807900000000003</v>
      </c>
      <c r="AA218" s="189">
        <v>0.34807900000000003</v>
      </c>
      <c r="AB218" s="189">
        <v>0.34807900000000003</v>
      </c>
      <c r="AC218" s="189">
        <v>0.34807900000000003</v>
      </c>
      <c r="AD218" s="189">
        <v>0.34807900000000003</v>
      </c>
      <c r="AE218" s="189">
        <v>0.34807900000000003</v>
      </c>
      <c r="AF218" s="189">
        <v>0.34807900000000003</v>
      </c>
      <c r="AG218" s="189">
        <v>0.34807900000000003</v>
      </c>
      <c r="AH218" s="189">
        <v>0.34807900000000003</v>
      </c>
      <c r="AI218" s="189">
        <v>0.34807900000000003</v>
      </c>
      <c r="AJ218" s="189">
        <v>0.34807900000000003</v>
      </c>
    </row>
    <row r="219" spans="1:36" x14ac:dyDescent="0.35">
      <c r="A219" t="s">
        <v>1675</v>
      </c>
      <c r="B219" s="188" t="s">
        <v>1342</v>
      </c>
      <c r="C219" t="s">
        <v>1343</v>
      </c>
      <c r="D219" s="188">
        <v>30</v>
      </c>
      <c r="E219" t="s">
        <v>1500</v>
      </c>
      <c r="F219" t="s">
        <v>1676</v>
      </c>
      <c r="G219" s="189" t="s">
        <v>1677</v>
      </c>
      <c r="H219" s="189">
        <v>0.25163859999999999</v>
      </c>
      <c r="I219" s="189">
        <v>0.2670534</v>
      </c>
      <c r="J219" s="189">
        <v>0.2824682</v>
      </c>
      <c r="K219" s="189">
        <v>0.29788300000000001</v>
      </c>
      <c r="L219" s="189">
        <v>0.31329780000000002</v>
      </c>
      <c r="M219" s="189">
        <v>0.32871260000000002</v>
      </c>
      <c r="N219" s="189">
        <v>0.34412740000000003</v>
      </c>
      <c r="O219" s="189">
        <v>0.35954220000000003</v>
      </c>
      <c r="P219" s="189">
        <v>0.37495700000000004</v>
      </c>
      <c r="Q219" s="189">
        <v>0.37495700000000004</v>
      </c>
      <c r="R219" s="189">
        <v>0.37495700000000004</v>
      </c>
      <c r="S219" s="189">
        <v>0.37495700000000004</v>
      </c>
      <c r="T219" s="189">
        <v>0.37495700000000004</v>
      </c>
      <c r="U219" s="189">
        <v>0.37495700000000004</v>
      </c>
      <c r="V219" s="189">
        <v>0.37495700000000004</v>
      </c>
      <c r="W219" s="189">
        <v>0.37495700000000004</v>
      </c>
      <c r="X219" s="189">
        <v>0.37495700000000004</v>
      </c>
      <c r="Y219" s="189">
        <v>0.37495700000000004</v>
      </c>
      <c r="Z219" s="189">
        <v>0.37495700000000004</v>
      </c>
      <c r="AA219" s="189">
        <v>0.37495700000000004</v>
      </c>
      <c r="AB219" s="189">
        <v>0.37495700000000004</v>
      </c>
      <c r="AC219" s="189">
        <v>0.37495700000000004</v>
      </c>
      <c r="AD219" s="189">
        <v>0.37495700000000004</v>
      </c>
      <c r="AE219" s="189">
        <v>0.37495700000000004</v>
      </c>
      <c r="AF219" s="189">
        <v>0.37495700000000004</v>
      </c>
      <c r="AG219" s="189">
        <v>0.37495700000000004</v>
      </c>
      <c r="AH219" s="189">
        <v>0.37495700000000004</v>
      </c>
      <c r="AI219" s="189">
        <v>0.37495700000000004</v>
      </c>
      <c r="AJ219" s="189">
        <v>0.37495700000000004</v>
      </c>
    </row>
    <row r="220" spans="1:36" x14ac:dyDescent="0.35">
      <c r="A220" t="s">
        <v>1678</v>
      </c>
      <c r="B220" s="188" t="s">
        <v>1342</v>
      </c>
      <c r="C220" t="s">
        <v>1348</v>
      </c>
      <c r="D220" s="188">
        <v>30</v>
      </c>
      <c r="E220" t="s">
        <v>1500</v>
      </c>
      <c r="F220" t="s">
        <v>1676</v>
      </c>
      <c r="G220" s="189" t="s">
        <v>1677</v>
      </c>
      <c r="H220" s="189">
        <v>0.25163859999999999</v>
      </c>
      <c r="I220" s="189">
        <v>0.2670534</v>
      </c>
      <c r="J220" s="189">
        <v>0.2824682</v>
      </c>
      <c r="K220" s="189">
        <v>0.29788300000000001</v>
      </c>
      <c r="L220" s="189">
        <v>0.31329780000000002</v>
      </c>
      <c r="M220" s="189">
        <v>0.32871260000000002</v>
      </c>
      <c r="N220" s="189">
        <v>0.34412740000000003</v>
      </c>
      <c r="O220" s="189">
        <v>0.35954220000000003</v>
      </c>
      <c r="P220" s="189">
        <v>0.37495700000000004</v>
      </c>
      <c r="Q220" s="189">
        <v>0.37495700000000004</v>
      </c>
      <c r="R220" s="189">
        <v>0.37495700000000004</v>
      </c>
      <c r="S220" s="189">
        <v>0.37495700000000004</v>
      </c>
      <c r="T220" s="189">
        <v>0.37495700000000004</v>
      </c>
      <c r="U220" s="189">
        <v>0.37495700000000004</v>
      </c>
      <c r="V220" s="189">
        <v>0.37495700000000004</v>
      </c>
      <c r="W220" s="189">
        <v>0.37495700000000004</v>
      </c>
      <c r="X220" s="189">
        <v>0.37495700000000004</v>
      </c>
      <c r="Y220" s="189">
        <v>0.37495700000000004</v>
      </c>
      <c r="Z220" s="189">
        <v>0.37495700000000004</v>
      </c>
      <c r="AA220" s="189">
        <v>0.37495700000000004</v>
      </c>
      <c r="AB220" s="189">
        <v>0.37495700000000004</v>
      </c>
      <c r="AC220" s="189">
        <v>0.37495700000000004</v>
      </c>
      <c r="AD220" s="189">
        <v>0.37495700000000004</v>
      </c>
      <c r="AE220" s="189">
        <v>0.37495700000000004</v>
      </c>
      <c r="AF220" s="189">
        <v>0.37495700000000004</v>
      </c>
      <c r="AG220" s="189">
        <v>0.37495700000000004</v>
      </c>
      <c r="AH220" s="189">
        <v>0.37495700000000004</v>
      </c>
      <c r="AI220" s="189">
        <v>0.37495700000000004</v>
      </c>
      <c r="AJ220" s="189">
        <v>0.37495700000000004</v>
      </c>
    </row>
    <row r="221" spans="1:36" x14ac:dyDescent="0.35">
      <c r="A221" t="s">
        <v>1679</v>
      </c>
      <c r="B221" s="188" t="s">
        <v>1342</v>
      </c>
      <c r="C221" t="s">
        <v>1350</v>
      </c>
      <c r="D221" s="188">
        <v>30</v>
      </c>
      <c r="E221" t="s">
        <v>1500</v>
      </c>
      <c r="F221" t="s">
        <v>1676</v>
      </c>
      <c r="G221" s="189" t="s">
        <v>1677</v>
      </c>
      <c r="H221" s="189">
        <v>0.25163859999999999</v>
      </c>
      <c r="I221" s="189">
        <v>0.2670534</v>
      </c>
      <c r="J221" s="189">
        <v>0.2824682</v>
      </c>
      <c r="K221" s="189">
        <v>0.29788300000000001</v>
      </c>
      <c r="L221" s="189">
        <v>0.31329780000000002</v>
      </c>
      <c r="M221" s="189">
        <v>0.32871260000000002</v>
      </c>
      <c r="N221" s="189">
        <v>0.34412740000000003</v>
      </c>
      <c r="O221" s="189">
        <v>0.35954220000000003</v>
      </c>
      <c r="P221" s="189">
        <v>0.37495700000000004</v>
      </c>
      <c r="Q221" s="189">
        <v>0.37495700000000004</v>
      </c>
      <c r="R221" s="189">
        <v>0.37495700000000004</v>
      </c>
      <c r="S221" s="189">
        <v>0.37495700000000004</v>
      </c>
      <c r="T221" s="189">
        <v>0.37495700000000004</v>
      </c>
      <c r="U221" s="189">
        <v>0.37495700000000004</v>
      </c>
      <c r="V221" s="189">
        <v>0.37495700000000004</v>
      </c>
      <c r="W221" s="189">
        <v>0.37495700000000004</v>
      </c>
      <c r="X221" s="189">
        <v>0.37495700000000004</v>
      </c>
      <c r="Y221" s="189">
        <v>0.37495700000000004</v>
      </c>
      <c r="Z221" s="189">
        <v>0.37495700000000004</v>
      </c>
      <c r="AA221" s="189">
        <v>0.37495700000000004</v>
      </c>
      <c r="AB221" s="189">
        <v>0.37495700000000004</v>
      </c>
      <c r="AC221" s="189">
        <v>0.37495700000000004</v>
      </c>
      <c r="AD221" s="189">
        <v>0.37495700000000004</v>
      </c>
      <c r="AE221" s="189">
        <v>0.37495700000000004</v>
      </c>
      <c r="AF221" s="189">
        <v>0.37495700000000004</v>
      </c>
      <c r="AG221" s="189">
        <v>0.37495700000000004</v>
      </c>
      <c r="AH221" s="189">
        <v>0.37495700000000004</v>
      </c>
      <c r="AI221" s="189">
        <v>0.37495700000000004</v>
      </c>
      <c r="AJ221" s="189">
        <v>0.37495700000000004</v>
      </c>
    </row>
    <row r="222" spans="1:36" x14ac:dyDescent="0.35">
      <c r="A222" t="s">
        <v>1680</v>
      </c>
      <c r="B222" s="188" t="s">
        <v>1342</v>
      </c>
      <c r="C222" t="s">
        <v>1343</v>
      </c>
      <c r="D222" s="188">
        <v>30</v>
      </c>
      <c r="E222" t="s">
        <v>1500</v>
      </c>
      <c r="F222" t="s">
        <v>1681</v>
      </c>
      <c r="G222" s="189" t="s">
        <v>1682</v>
      </c>
      <c r="H222" s="189">
        <v>0.18704240000000003</v>
      </c>
      <c r="I222" s="189">
        <v>0.18828172500000001</v>
      </c>
      <c r="J222" s="189">
        <v>0.18952105</v>
      </c>
      <c r="K222" s="189">
        <v>0.19076037499999998</v>
      </c>
      <c r="L222" s="189">
        <v>0.1919997</v>
      </c>
      <c r="M222" s="189">
        <v>0.19323902499999998</v>
      </c>
      <c r="N222" s="189">
        <v>0.19447834999999997</v>
      </c>
      <c r="O222" s="189">
        <v>0.19571767499999995</v>
      </c>
      <c r="P222" s="189">
        <v>0.19695699999999999</v>
      </c>
      <c r="Q222" s="189">
        <v>0.19695699999999999</v>
      </c>
      <c r="R222" s="189">
        <v>0.19695699999999999</v>
      </c>
      <c r="S222" s="189">
        <v>0.19695699999999999</v>
      </c>
      <c r="T222" s="189">
        <v>0.19695699999999999</v>
      </c>
      <c r="U222" s="189">
        <v>0.19695699999999999</v>
      </c>
      <c r="V222" s="189">
        <v>0.19695699999999999</v>
      </c>
      <c r="W222" s="189">
        <v>0.19695699999999999</v>
      </c>
      <c r="X222" s="189">
        <v>0.19695699999999999</v>
      </c>
      <c r="Y222" s="189">
        <v>0.19695699999999999</v>
      </c>
      <c r="Z222" s="189">
        <v>0.19695699999999999</v>
      </c>
      <c r="AA222" s="189">
        <v>0.19695699999999999</v>
      </c>
      <c r="AB222" s="189">
        <v>0.19695699999999999</v>
      </c>
      <c r="AC222" s="189">
        <v>0.19695699999999999</v>
      </c>
      <c r="AD222" s="189">
        <v>0.19695699999999999</v>
      </c>
      <c r="AE222" s="189">
        <v>0.19695699999999999</v>
      </c>
      <c r="AF222" s="189">
        <v>0.19695699999999999</v>
      </c>
      <c r="AG222" s="189">
        <v>0.19695699999999999</v>
      </c>
      <c r="AH222" s="189">
        <v>0.19695699999999999</v>
      </c>
      <c r="AI222" s="189">
        <v>0.19695699999999999</v>
      </c>
      <c r="AJ222" s="189">
        <v>0.19695699999999999</v>
      </c>
    </row>
    <row r="223" spans="1:36" x14ac:dyDescent="0.35">
      <c r="A223" t="s">
        <v>1683</v>
      </c>
      <c r="B223" s="188" t="s">
        <v>1342</v>
      </c>
      <c r="C223" t="s">
        <v>1348</v>
      </c>
      <c r="D223" s="188">
        <v>30</v>
      </c>
      <c r="E223" t="s">
        <v>1500</v>
      </c>
      <c r="F223" t="s">
        <v>1681</v>
      </c>
      <c r="G223" s="189" t="s">
        <v>1682</v>
      </c>
      <c r="H223" s="189">
        <v>0.18704240000000003</v>
      </c>
      <c r="I223" s="189">
        <v>0.18828172500000001</v>
      </c>
      <c r="J223" s="189">
        <v>0.18952105</v>
      </c>
      <c r="K223" s="189">
        <v>0.19076037499999998</v>
      </c>
      <c r="L223" s="189">
        <v>0.1919997</v>
      </c>
      <c r="M223" s="189">
        <v>0.19323902499999998</v>
      </c>
      <c r="N223" s="189">
        <v>0.19447834999999997</v>
      </c>
      <c r="O223" s="189">
        <v>0.19571767499999995</v>
      </c>
      <c r="P223" s="189">
        <v>0.19695699999999999</v>
      </c>
      <c r="Q223" s="189">
        <v>0.19695699999999999</v>
      </c>
      <c r="R223" s="189">
        <v>0.19695699999999999</v>
      </c>
      <c r="S223" s="189">
        <v>0.19695699999999999</v>
      </c>
      <c r="T223" s="189">
        <v>0.19695699999999999</v>
      </c>
      <c r="U223" s="189">
        <v>0.19695699999999999</v>
      </c>
      <c r="V223" s="189">
        <v>0.19695699999999999</v>
      </c>
      <c r="W223" s="189">
        <v>0.19695699999999999</v>
      </c>
      <c r="X223" s="189">
        <v>0.19695699999999999</v>
      </c>
      <c r="Y223" s="189">
        <v>0.19695699999999999</v>
      </c>
      <c r="Z223" s="189">
        <v>0.19695699999999999</v>
      </c>
      <c r="AA223" s="189">
        <v>0.19695699999999999</v>
      </c>
      <c r="AB223" s="189">
        <v>0.19695699999999999</v>
      </c>
      <c r="AC223" s="189">
        <v>0.19695699999999999</v>
      </c>
      <c r="AD223" s="189">
        <v>0.19695699999999999</v>
      </c>
      <c r="AE223" s="189">
        <v>0.19695699999999999</v>
      </c>
      <c r="AF223" s="189">
        <v>0.19695699999999999</v>
      </c>
      <c r="AG223" s="189">
        <v>0.19695699999999999</v>
      </c>
      <c r="AH223" s="189">
        <v>0.19695699999999999</v>
      </c>
      <c r="AI223" s="189">
        <v>0.19695699999999999</v>
      </c>
      <c r="AJ223" s="189">
        <v>0.19695699999999999</v>
      </c>
    </row>
    <row r="224" spans="1:36" x14ac:dyDescent="0.35">
      <c r="A224" t="s">
        <v>1684</v>
      </c>
      <c r="B224" s="188" t="s">
        <v>1342</v>
      </c>
      <c r="C224" t="s">
        <v>1350</v>
      </c>
      <c r="D224" s="188">
        <v>30</v>
      </c>
      <c r="E224" t="s">
        <v>1500</v>
      </c>
      <c r="F224" t="s">
        <v>1681</v>
      </c>
      <c r="G224" s="189" t="s">
        <v>1682</v>
      </c>
      <c r="H224" s="189">
        <v>0.18704240000000003</v>
      </c>
      <c r="I224" s="189">
        <v>0.18828172500000001</v>
      </c>
      <c r="J224" s="189">
        <v>0.18952105</v>
      </c>
      <c r="K224" s="189">
        <v>0.19076037499999998</v>
      </c>
      <c r="L224" s="189">
        <v>0.1919997</v>
      </c>
      <c r="M224" s="189">
        <v>0.19323902499999998</v>
      </c>
      <c r="N224" s="189">
        <v>0.19447834999999997</v>
      </c>
      <c r="O224" s="189">
        <v>0.19571767499999995</v>
      </c>
      <c r="P224" s="189">
        <v>0.19695699999999999</v>
      </c>
      <c r="Q224" s="189">
        <v>0.19695699999999999</v>
      </c>
      <c r="R224" s="189">
        <v>0.19695699999999999</v>
      </c>
      <c r="S224" s="189">
        <v>0.19695699999999999</v>
      </c>
      <c r="T224" s="189">
        <v>0.19695699999999999</v>
      </c>
      <c r="U224" s="189">
        <v>0.19695699999999999</v>
      </c>
      <c r="V224" s="189">
        <v>0.19695699999999999</v>
      </c>
      <c r="W224" s="189">
        <v>0.19695699999999999</v>
      </c>
      <c r="X224" s="189">
        <v>0.19695699999999999</v>
      </c>
      <c r="Y224" s="189">
        <v>0.19695699999999999</v>
      </c>
      <c r="Z224" s="189">
        <v>0.19695699999999999</v>
      </c>
      <c r="AA224" s="189">
        <v>0.19695699999999999</v>
      </c>
      <c r="AB224" s="189">
        <v>0.19695699999999999</v>
      </c>
      <c r="AC224" s="189">
        <v>0.19695699999999999</v>
      </c>
      <c r="AD224" s="189">
        <v>0.19695699999999999</v>
      </c>
      <c r="AE224" s="189">
        <v>0.19695699999999999</v>
      </c>
      <c r="AF224" s="189">
        <v>0.19695699999999999</v>
      </c>
      <c r="AG224" s="189">
        <v>0.19695699999999999</v>
      </c>
      <c r="AH224" s="189">
        <v>0.19695699999999999</v>
      </c>
      <c r="AI224" s="189">
        <v>0.19695699999999999</v>
      </c>
      <c r="AJ224" s="189">
        <v>0.19695699999999999</v>
      </c>
    </row>
    <row r="225" spans="1:36" x14ac:dyDescent="0.35">
      <c r="A225" t="s">
        <v>1685</v>
      </c>
      <c r="B225" s="188" t="s">
        <v>1342</v>
      </c>
      <c r="C225" t="s">
        <v>1343</v>
      </c>
      <c r="D225" s="188">
        <v>30</v>
      </c>
      <c r="E225" t="s">
        <v>1500</v>
      </c>
      <c r="F225" t="s">
        <v>1686</v>
      </c>
      <c r="G225" s="189" t="s">
        <v>1687</v>
      </c>
      <c r="H225" s="189">
        <v>0.13750499999999999</v>
      </c>
      <c r="I225" s="189">
        <v>0.1480515</v>
      </c>
      <c r="J225" s="189">
        <v>0.15859799999999999</v>
      </c>
      <c r="K225" s="189">
        <v>0.1691445</v>
      </c>
      <c r="L225" s="189">
        <v>0.17969099999999999</v>
      </c>
      <c r="M225" s="189">
        <v>0.1902375</v>
      </c>
      <c r="N225" s="189">
        <v>0.20078399999999999</v>
      </c>
      <c r="O225" s="189">
        <v>0.2113305</v>
      </c>
      <c r="P225" s="189">
        <v>0.22187699999999999</v>
      </c>
      <c r="Q225" s="189">
        <v>0.22187699999999999</v>
      </c>
      <c r="R225" s="189">
        <v>0.22187699999999999</v>
      </c>
      <c r="S225" s="189">
        <v>0.22187699999999999</v>
      </c>
      <c r="T225" s="189">
        <v>0.22187699999999999</v>
      </c>
      <c r="U225" s="189">
        <v>0.22187699999999999</v>
      </c>
      <c r="V225" s="189">
        <v>0.22187699999999999</v>
      </c>
      <c r="W225" s="189">
        <v>0.22187699999999999</v>
      </c>
      <c r="X225" s="189">
        <v>0.22187699999999999</v>
      </c>
      <c r="Y225" s="189">
        <v>0.22187699999999999</v>
      </c>
      <c r="Z225" s="189">
        <v>0.22187699999999999</v>
      </c>
      <c r="AA225" s="189">
        <v>0.22187699999999999</v>
      </c>
      <c r="AB225" s="189">
        <v>0.22187699999999999</v>
      </c>
      <c r="AC225" s="189">
        <v>0.22187699999999999</v>
      </c>
      <c r="AD225" s="189">
        <v>0.22187699999999999</v>
      </c>
      <c r="AE225" s="189">
        <v>0.22187699999999999</v>
      </c>
      <c r="AF225" s="189">
        <v>0.22187699999999999</v>
      </c>
      <c r="AG225" s="189">
        <v>0.22187699999999999</v>
      </c>
      <c r="AH225" s="189">
        <v>0.22187699999999999</v>
      </c>
      <c r="AI225" s="189">
        <v>0.22187699999999999</v>
      </c>
      <c r="AJ225" s="189">
        <v>0.22187699999999999</v>
      </c>
    </row>
    <row r="226" spans="1:36" x14ac:dyDescent="0.35">
      <c r="A226" t="s">
        <v>1688</v>
      </c>
      <c r="B226" s="188" t="s">
        <v>1342</v>
      </c>
      <c r="C226" t="s">
        <v>1348</v>
      </c>
      <c r="D226" s="188">
        <v>30</v>
      </c>
      <c r="E226" t="s">
        <v>1500</v>
      </c>
      <c r="F226" t="s">
        <v>1686</v>
      </c>
      <c r="G226" s="189" t="s">
        <v>1687</v>
      </c>
      <c r="H226" s="189">
        <v>0.13750499999999999</v>
      </c>
      <c r="I226" s="189">
        <v>0.1480515</v>
      </c>
      <c r="J226" s="189">
        <v>0.15859799999999999</v>
      </c>
      <c r="K226" s="189">
        <v>0.1691445</v>
      </c>
      <c r="L226" s="189">
        <v>0.17969099999999999</v>
      </c>
      <c r="M226" s="189">
        <v>0.1902375</v>
      </c>
      <c r="N226" s="189">
        <v>0.20078399999999999</v>
      </c>
      <c r="O226" s="189">
        <v>0.2113305</v>
      </c>
      <c r="P226" s="189">
        <v>0.22187699999999999</v>
      </c>
      <c r="Q226" s="189">
        <v>0.22187699999999999</v>
      </c>
      <c r="R226" s="189">
        <v>0.22187699999999999</v>
      </c>
      <c r="S226" s="189">
        <v>0.22187699999999999</v>
      </c>
      <c r="T226" s="189">
        <v>0.22187699999999999</v>
      </c>
      <c r="U226" s="189">
        <v>0.22187699999999999</v>
      </c>
      <c r="V226" s="189">
        <v>0.22187699999999999</v>
      </c>
      <c r="W226" s="189">
        <v>0.22187699999999999</v>
      </c>
      <c r="X226" s="189">
        <v>0.22187699999999999</v>
      </c>
      <c r="Y226" s="189">
        <v>0.22187699999999999</v>
      </c>
      <c r="Z226" s="189">
        <v>0.22187699999999999</v>
      </c>
      <c r="AA226" s="189">
        <v>0.22187699999999999</v>
      </c>
      <c r="AB226" s="189">
        <v>0.22187699999999999</v>
      </c>
      <c r="AC226" s="189">
        <v>0.22187699999999999</v>
      </c>
      <c r="AD226" s="189">
        <v>0.22187699999999999</v>
      </c>
      <c r="AE226" s="189">
        <v>0.22187699999999999</v>
      </c>
      <c r="AF226" s="189">
        <v>0.22187699999999999</v>
      </c>
      <c r="AG226" s="189">
        <v>0.22187699999999999</v>
      </c>
      <c r="AH226" s="189">
        <v>0.22187699999999999</v>
      </c>
      <c r="AI226" s="189">
        <v>0.22187699999999999</v>
      </c>
      <c r="AJ226" s="189">
        <v>0.22187699999999999</v>
      </c>
    </row>
    <row r="227" spans="1:36" x14ac:dyDescent="0.35">
      <c r="A227" t="s">
        <v>1689</v>
      </c>
      <c r="B227" s="188" t="s">
        <v>1342</v>
      </c>
      <c r="C227" t="s">
        <v>1350</v>
      </c>
      <c r="D227" s="188">
        <v>30</v>
      </c>
      <c r="E227" t="s">
        <v>1500</v>
      </c>
      <c r="F227" t="s">
        <v>1686</v>
      </c>
      <c r="G227" s="189" t="s">
        <v>1687</v>
      </c>
      <c r="H227" s="189">
        <v>0.13750499999999999</v>
      </c>
      <c r="I227" s="189">
        <v>0.1480515</v>
      </c>
      <c r="J227" s="189">
        <v>0.15859799999999999</v>
      </c>
      <c r="K227" s="189">
        <v>0.1691445</v>
      </c>
      <c r="L227" s="189">
        <v>0.17969099999999999</v>
      </c>
      <c r="M227" s="189">
        <v>0.1902375</v>
      </c>
      <c r="N227" s="189">
        <v>0.20078399999999999</v>
      </c>
      <c r="O227" s="189">
        <v>0.2113305</v>
      </c>
      <c r="P227" s="189">
        <v>0.22187699999999999</v>
      </c>
      <c r="Q227" s="189">
        <v>0.22187699999999999</v>
      </c>
      <c r="R227" s="189">
        <v>0.22187699999999999</v>
      </c>
      <c r="S227" s="189">
        <v>0.22187699999999999</v>
      </c>
      <c r="T227" s="189">
        <v>0.22187699999999999</v>
      </c>
      <c r="U227" s="189">
        <v>0.22187699999999999</v>
      </c>
      <c r="V227" s="189">
        <v>0.22187699999999999</v>
      </c>
      <c r="W227" s="189">
        <v>0.22187699999999999</v>
      </c>
      <c r="X227" s="189">
        <v>0.22187699999999999</v>
      </c>
      <c r="Y227" s="189">
        <v>0.22187699999999999</v>
      </c>
      <c r="Z227" s="189">
        <v>0.22187699999999999</v>
      </c>
      <c r="AA227" s="189">
        <v>0.22187699999999999</v>
      </c>
      <c r="AB227" s="189">
        <v>0.22187699999999999</v>
      </c>
      <c r="AC227" s="189">
        <v>0.22187699999999999</v>
      </c>
      <c r="AD227" s="189">
        <v>0.22187699999999999</v>
      </c>
      <c r="AE227" s="189">
        <v>0.22187699999999999</v>
      </c>
      <c r="AF227" s="189">
        <v>0.22187699999999999</v>
      </c>
      <c r="AG227" s="189">
        <v>0.22187699999999999</v>
      </c>
      <c r="AH227" s="189">
        <v>0.22187699999999999</v>
      </c>
      <c r="AI227" s="189">
        <v>0.22187699999999999</v>
      </c>
      <c r="AJ227" s="189">
        <v>0.22187699999999999</v>
      </c>
    </row>
    <row r="228" spans="1:36" x14ac:dyDescent="0.35">
      <c r="A228" t="s">
        <v>1690</v>
      </c>
      <c r="B228" s="188" t="s">
        <v>1342</v>
      </c>
      <c r="C228" t="s">
        <v>1343</v>
      </c>
      <c r="D228" s="188">
        <v>30</v>
      </c>
      <c r="E228" t="s">
        <v>1500</v>
      </c>
      <c r="F228" t="s">
        <v>1691</v>
      </c>
      <c r="G228" s="189" t="s">
        <v>1692</v>
      </c>
      <c r="H228" s="189">
        <v>0.1276794</v>
      </c>
      <c r="I228" s="189">
        <v>0.14132310000000001</v>
      </c>
      <c r="J228" s="189">
        <v>0.15496680000000002</v>
      </c>
      <c r="K228" s="189">
        <v>0.16861050000000002</v>
      </c>
      <c r="L228" s="189">
        <v>0.18225420000000003</v>
      </c>
      <c r="M228" s="189">
        <v>0.19589790000000004</v>
      </c>
      <c r="N228" s="189">
        <v>0.20954160000000005</v>
      </c>
      <c r="O228" s="189">
        <v>0.22318530000000006</v>
      </c>
      <c r="P228" s="189">
        <v>0.23682900000000001</v>
      </c>
      <c r="Q228" s="189">
        <v>0.23682900000000001</v>
      </c>
      <c r="R228" s="189">
        <v>0.23682900000000001</v>
      </c>
      <c r="S228" s="189">
        <v>0.23682900000000001</v>
      </c>
      <c r="T228" s="189">
        <v>0.23682900000000001</v>
      </c>
      <c r="U228" s="189">
        <v>0.23682900000000001</v>
      </c>
      <c r="V228" s="189">
        <v>0.23682900000000001</v>
      </c>
      <c r="W228" s="189">
        <v>0.23682900000000001</v>
      </c>
      <c r="X228" s="189">
        <v>0.23682900000000001</v>
      </c>
      <c r="Y228" s="189">
        <v>0.23682900000000001</v>
      </c>
      <c r="Z228" s="189">
        <v>0.23682900000000001</v>
      </c>
      <c r="AA228" s="189">
        <v>0.23682900000000001</v>
      </c>
      <c r="AB228" s="189">
        <v>0.23682900000000001</v>
      </c>
      <c r="AC228" s="189">
        <v>0.23682900000000001</v>
      </c>
      <c r="AD228" s="189">
        <v>0.23682900000000001</v>
      </c>
      <c r="AE228" s="189">
        <v>0.23682900000000001</v>
      </c>
      <c r="AF228" s="189">
        <v>0.23682900000000001</v>
      </c>
      <c r="AG228" s="189">
        <v>0.23682900000000001</v>
      </c>
      <c r="AH228" s="189">
        <v>0.23682900000000001</v>
      </c>
      <c r="AI228" s="189">
        <v>0.23682900000000001</v>
      </c>
      <c r="AJ228" s="189">
        <v>0.23682900000000001</v>
      </c>
    </row>
    <row r="229" spans="1:36" x14ac:dyDescent="0.35">
      <c r="A229" t="s">
        <v>1693</v>
      </c>
      <c r="B229" s="188" t="s">
        <v>1342</v>
      </c>
      <c r="C229" t="s">
        <v>1348</v>
      </c>
      <c r="D229" s="188">
        <v>30</v>
      </c>
      <c r="E229" t="s">
        <v>1500</v>
      </c>
      <c r="F229" t="s">
        <v>1691</v>
      </c>
      <c r="G229" s="189" t="s">
        <v>1692</v>
      </c>
      <c r="H229" s="189">
        <v>0.1276794</v>
      </c>
      <c r="I229" s="189">
        <v>0.14132310000000001</v>
      </c>
      <c r="J229" s="189">
        <v>0.15496680000000002</v>
      </c>
      <c r="K229" s="189">
        <v>0.16861050000000002</v>
      </c>
      <c r="L229" s="189">
        <v>0.18225420000000003</v>
      </c>
      <c r="M229" s="189">
        <v>0.19589790000000004</v>
      </c>
      <c r="N229" s="189">
        <v>0.20954160000000005</v>
      </c>
      <c r="O229" s="189">
        <v>0.22318530000000006</v>
      </c>
      <c r="P229" s="189">
        <v>0.23682900000000001</v>
      </c>
      <c r="Q229" s="189">
        <v>0.23682900000000001</v>
      </c>
      <c r="R229" s="189">
        <v>0.23682900000000001</v>
      </c>
      <c r="S229" s="189">
        <v>0.23682900000000001</v>
      </c>
      <c r="T229" s="189">
        <v>0.23682900000000001</v>
      </c>
      <c r="U229" s="189">
        <v>0.23682900000000001</v>
      </c>
      <c r="V229" s="189">
        <v>0.23682900000000001</v>
      </c>
      <c r="W229" s="189">
        <v>0.23682900000000001</v>
      </c>
      <c r="X229" s="189">
        <v>0.23682900000000001</v>
      </c>
      <c r="Y229" s="189">
        <v>0.23682900000000001</v>
      </c>
      <c r="Z229" s="189">
        <v>0.23682900000000001</v>
      </c>
      <c r="AA229" s="189">
        <v>0.23682900000000001</v>
      </c>
      <c r="AB229" s="189">
        <v>0.23682900000000001</v>
      </c>
      <c r="AC229" s="189">
        <v>0.23682900000000001</v>
      </c>
      <c r="AD229" s="189">
        <v>0.23682900000000001</v>
      </c>
      <c r="AE229" s="189">
        <v>0.23682900000000001</v>
      </c>
      <c r="AF229" s="189">
        <v>0.23682900000000001</v>
      </c>
      <c r="AG229" s="189">
        <v>0.23682900000000001</v>
      </c>
      <c r="AH229" s="189">
        <v>0.23682900000000001</v>
      </c>
      <c r="AI229" s="189">
        <v>0.23682900000000001</v>
      </c>
      <c r="AJ229" s="189">
        <v>0.23682900000000001</v>
      </c>
    </row>
    <row r="230" spans="1:36" x14ac:dyDescent="0.35">
      <c r="A230" t="s">
        <v>1694</v>
      </c>
      <c r="B230" s="188" t="s">
        <v>1342</v>
      </c>
      <c r="C230" t="s">
        <v>1350</v>
      </c>
      <c r="D230" s="188">
        <v>30</v>
      </c>
      <c r="E230" t="s">
        <v>1500</v>
      </c>
      <c r="F230" t="s">
        <v>1691</v>
      </c>
      <c r="G230" s="189" t="s">
        <v>1692</v>
      </c>
      <c r="H230" s="189">
        <v>0.1276794</v>
      </c>
      <c r="I230" s="189">
        <v>0.14132310000000001</v>
      </c>
      <c r="J230" s="189">
        <v>0.15496680000000002</v>
      </c>
      <c r="K230" s="189">
        <v>0.16861050000000002</v>
      </c>
      <c r="L230" s="189">
        <v>0.18225420000000003</v>
      </c>
      <c r="M230" s="189">
        <v>0.19589790000000004</v>
      </c>
      <c r="N230" s="189">
        <v>0.20954160000000005</v>
      </c>
      <c r="O230" s="189">
        <v>0.22318530000000006</v>
      </c>
      <c r="P230" s="189">
        <v>0.23682900000000001</v>
      </c>
      <c r="Q230" s="189">
        <v>0.23682900000000001</v>
      </c>
      <c r="R230" s="189">
        <v>0.23682900000000001</v>
      </c>
      <c r="S230" s="189">
        <v>0.23682900000000001</v>
      </c>
      <c r="T230" s="189">
        <v>0.23682900000000001</v>
      </c>
      <c r="U230" s="189">
        <v>0.23682900000000001</v>
      </c>
      <c r="V230" s="189">
        <v>0.23682900000000001</v>
      </c>
      <c r="W230" s="189">
        <v>0.23682900000000001</v>
      </c>
      <c r="X230" s="189">
        <v>0.23682900000000001</v>
      </c>
      <c r="Y230" s="189">
        <v>0.23682900000000001</v>
      </c>
      <c r="Z230" s="189">
        <v>0.23682900000000001</v>
      </c>
      <c r="AA230" s="189">
        <v>0.23682900000000001</v>
      </c>
      <c r="AB230" s="189">
        <v>0.23682900000000001</v>
      </c>
      <c r="AC230" s="189">
        <v>0.23682900000000001</v>
      </c>
      <c r="AD230" s="189">
        <v>0.23682900000000001</v>
      </c>
      <c r="AE230" s="189">
        <v>0.23682900000000001</v>
      </c>
      <c r="AF230" s="189">
        <v>0.23682900000000001</v>
      </c>
      <c r="AG230" s="189">
        <v>0.23682900000000001</v>
      </c>
      <c r="AH230" s="189">
        <v>0.23682900000000001</v>
      </c>
      <c r="AI230" s="189">
        <v>0.23682900000000001</v>
      </c>
      <c r="AJ230" s="189">
        <v>0.23682900000000001</v>
      </c>
    </row>
    <row r="231" spans="1:36" x14ac:dyDescent="0.35">
      <c r="A231" t="s">
        <v>1695</v>
      </c>
      <c r="B231" s="188" t="s">
        <v>1342</v>
      </c>
      <c r="C231" t="s">
        <v>1343</v>
      </c>
      <c r="D231" s="188">
        <v>30</v>
      </c>
      <c r="E231" t="s">
        <v>1500</v>
      </c>
      <c r="F231" t="s">
        <v>1696</v>
      </c>
      <c r="G231" s="189" t="s">
        <v>1697</v>
      </c>
      <c r="H231" s="189">
        <v>0.15916759999999999</v>
      </c>
      <c r="I231" s="189">
        <v>0.1720014</v>
      </c>
      <c r="J231" s="189">
        <v>0.18483519999999998</v>
      </c>
      <c r="K231" s="189">
        <v>0.19766899999999998</v>
      </c>
      <c r="L231" s="189">
        <v>0.21050279999999996</v>
      </c>
      <c r="M231" s="189">
        <v>0.22333659999999994</v>
      </c>
      <c r="N231" s="189">
        <v>0.23617039999999995</v>
      </c>
      <c r="O231" s="189">
        <v>0.24900419999999993</v>
      </c>
      <c r="P231" s="189">
        <v>0.26183800000000002</v>
      </c>
      <c r="Q231" s="189">
        <v>0.26183800000000002</v>
      </c>
      <c r="R231" s="189">
        <v>0.26183800000000002</v>
      </c>
      <c r="S231" s="189">
        <v>0.26183800000000002</v>
      </c>
      <c r="T231" s="189">
        <v>0.26183800000000002</v>
      </c>
      <c r="U231" s="189">
        <v>0.26183800000000002</v>
      </c>
      <c r="V231" s="189">
        <v>0.26183800000000002</v>
      </c>
      <c r="W231" s="189">
        <v>0.26183800000000002</v>
      </c>
      <c r="X231" s="189">
        <v>0.26183800000000002</v>
      </c>
      <c r="Y231" s="189">
        <v>0.26183800000000002</v>
      </c>
      <c r="Z231" s="189">
        <v>0.26183800000000002</v>
      </c>
      <c r="AA231" s="189">
        <v>0.26183800000000002</v>
      </c>
      <c r="AB231" s="189">
        <v>0.26183800000000002</v>
      </c>
      <c r="AC231" s="189">
        <v>0.26183800000000002</v>
      </c>
      <c r="AD231" s="189">
        <v>0.26183800000000002</v>
      </c>
      <c r="AE231" s="189">
        <v>0.26183800000000002</v>
      </c>
      <c r="AF231" s="189">
        <v>0.26183800000000002</v>
      </c>
      <c r="AG231" s="189">
        <v>0.26183800000000002</v>
      </c>
      <c r="AH231" s="189">
        <v>0.26183800000000002</v>
      </c>
      <c r="AI231" s="189">
        <v>0.26183800000000002</v>
      </c>
      <c r="AJ231" s="189">
        <v>0.26183800000000002</v>
      </c>
    </row>
    <row r="232" spans="1:36" x14ac:dyDescent="0.35">
      <c r="A232" t="s">
        <v>1698</v>
      </c>
      <c r="B232" s="188" t="s">
        <v>1342</v>
      </c>
      <c r="C232" t="s">
        <v>1348</v>
      </c>
      <c r="D232" s="188">
        <v>30</v>
      </c>
      <c r="E232" t="s">
        <v>1500</v>
      </c>
      <c r="F232" t="s">
        <v>1696</v>
      </c>
      <c r="G232" s="189" t="s">
        <v>1697</v>
      </c>
      <c r="H232" s="189">
        <v>0.15916759999999999</v>
      </c>
      <c r="I232" s="189">
        <v>0.1720014</v>
      </c>
      <c r="J232" s="189">
        <v>0.18483519999999998</v>
      </c>
      <c r="K232" s="189">
        <v>0.19766899999999998</v>
      </c>
      <c r="L232" s="189">
        <v>0.21050279999999996</v>
      </c>
      <c r="M232" s="189">
        <v>0.22333659999999994</v>
      </c>
      <c r="N232" s="189">
        <v>0.23617039999999995</v>
      </c>
      <c r="O232" s="189">
        <v>0.24900419999999993</v>
      </c>
      <c r="P232" s="189">
        <v>0.26183800000000002</v>
      </c>
      <c r="Q232" s="189">
        <v>0.26183800000000002</v>
      </c>
      <c r="R232" s="189">
        <v>0.26183800000000002</v>
      </c>
      <c r="S232" s="189">
        <v>0.26183800000000002</v>
      </c>
      <c r="T232" s="189">
        <v>0.26183800000000002</v>
      </c>
      <c r="U232" s="189">
        <v>0.26183800000000002</v>
      </c>
      <c r="V232" s="189">
        <v>0.26183800000000002</v>
      </c>
      <c r="W232" s="189">
        <v>0.26183800000000002</v>
      </c>
      <c r="X232" s="189">
        <v>0.26183800000000002</v>
      </c>
      <c r="Y232" s="189">
        <v>0.26183800000000002</v>
      </c>
      <c r="Z232" s="189">
        <v>0.26183800000000002</v>
      </c>
      <c r="AA232" s="189">
        <v>0.26183800000000002</v>
      </c>
      <c r="AB232" s="189">
        <v>0.26183800000000002</v>
      </c>
      <c r="AC232" s="189">
        <v>0.26183800000000002</v>
      </c>
      <c r="AD232" s="189">
        <v>0.26183800000000002</v>
      </c>
      <c r="AE232" s="189">
        <v>0.26183800000000002</v>
      </c>
      <c r="AF232" s="189">
        <v>0.26183800000000002</v>
      </c>
      <c r="AG232" s="189">
        <v>0.26183800000000002</v>
      </c>
      <c r="AH232" s="189">
        <v>0.26183800000000002</v>
      </c>
      <c r="AI232" s="189">
        <v>0.26183800000000002</v>
      </c>
      <c r="AJ232" s="189">
        <v>0.26183800000000002</v>
      </c>
    </row>
    <row r="233" spans="1:36" x14ac:dyDescent="0.35">
      <c r="A233" t="s">
        <v>1699</v>
      </c>
      <c r="B233" s="188" t="s">
        <v>1342</v>
      </c>
      <c r="C233" t="s">
        <v>1350</v>
      </c>
      <c r="D233" s="188">
        <v>30</v>
      </c>
      <c r="E233" t="s">
        <v>1500</v>
      </c>
      <c r="F233" t="s">
        <v>1696</v>
      </c>
      <c r="G233" s="189" t="s">
        <v>1697</v>
      </c>
      <c r="H233" s="189">
        <v>0.15916759999999999</v>
      </c>
      <c r="I233" s="189">
        <v>0.1720014</v>
      </c>
      <c r="J233" s="189">
        <v>0.18483519999999998</v>
      </c>
      <c r="K233" s="189">
        <v>0.19766899999999998</v>
      </c>
      <c r="L233" s="189">
        <v>0.21050279999999996</v>
      </c>
      <c r="M233" s="189">
        <v>0.22333659999999994</v>
      </c>
      <c r="N233" s="189">
        <v>0.23617039999999995</v>
      </c>
      <c r="O233" s="189">
        <v>0.24900419999999993</v>
      </c>
      <c r="P233" s="189">
        <v>0.26183800000000002</v>
      </c>
      <c r="Q233" s="189">
        <v>0.26183800000000002</v>
      </c>
      <c r="R233" s="189">
        <v>0.26183800000000002</v>
      </c>
      <c r="S233" s="189">
        <v>0.26183800000000002</v>
      </c>
      <c r="T233" s="189">
        <v>0.26183800000000002</v>
      </c>
      <c r="U233" s="189">
        <v>0.26183800000000002</v>
      </c>
      <c r="V233" s="189">
        <v>0.26183800000000002</v>
      </c>
      <c r="W233" s="189">
        <v>0.26183800000000002</v>
      </c>
      <c r="X233" s="189">
        <v>0.26183800000000002</v>
      </c>
      <c r="Y233" s="189">
        <v>0.26183800000000002</v>
      </c>
      <c r="Z233" s="189">
        <v>0.26183800000000002</v>
      </c>
      <c r="AA233" s="189">
        <v>0.26183800000000002</v>
      </c>
      <c r="AB233" s="189">
        <v>0.26183800000000002</v>
      </c>
      <c r="AC233" s="189">
        <v>0.26183800000000002</v>
      </c>
      <c r="AD233" s="189">
        <v>0.26183800000000002</v>
      </c>
      <c r="AE233" s="189">
        <v>0.26183800000000002</v>
      </c>
      <c r="AF233" s="189">
        <v>0.26183800000000002</v>
      </c>
      <c r="AG233" s="189">
        <v>0.26183800000000002</v>
      </c>
      <c r="AH233" s="189">
        <v>0.26183800000000002</v>
      </c>
      <c r="AI233" s="189">
        <v>0.26183800000000002</v>
      </c>
      <c r="AJ233" s="189">
        <v>0.26183800000000002</v>
      </c>
    </row>
    <row r="234" spans="1:36" x14ac:dyDescent="0.35">
      <c r="A234" t="s">
        <v>1700</v>
      </c>
      <c r="B234" s="188" t="s">
        <v>1342</v>
      </c>
      <c r="C234" t="s">
        <v>1343</v>
      </c>
      <c r="D234" s="188">
        <v>30</v>
      </c>
      <c r="E234" t="s">
        <v>1701</v>
      </c>
      <c r="F234" t="s">
        <v>1363</v>
      </c>
      <c r="G234" s="189" t="s">
        <v>1702</v>
      </c>
      <c r="H234" s="189">
        <v>0.19099632441961986</v>
      </c>
      <c r="I234" s="189">
        <v>0.19257447441794359</v>
      </c>
      <c r="J234" s="189">
        <v>0.19415262441626732</v>
      </c>
      <c r="K234" s="189">
        <v>0.19573077441459105</v>
      </c>
      <c r="L234" s="189">
        <v>0.19730892441291478</v>
      </c>
      <c r="M234" s="189">
        <v>0.19888707441123851</v>
      </c>
      <c r="N234" s="189">
        <v>0.20046522440956224</v>
      </c>
      <c r="O234" s="189">
        <v>0.20204337440788597</v>
      </c>
      <c r="P234" s="189">
        <v>0.2036215244062097</v>
      </c>
      <c r="Q234" s="189">
        <v>0.20519967440453343</v>
      </c>
      <c r="R234" s="189">
        <v>0.20677782440285716</v>
      </c>
      <c r="S234" s="189">
        <v>0.20835597440118089</v>
      </c>
      <c r="T234" s="189">
        <v>0.20993412439950462</v>
      </c>
      <c r="U234" s="189">
        <v>0.21151227439782833</v>
      </c>
      <c r="V234" s="189">
        <v>0.21192096163018181</v>
      </c>
      <c r="W234" s="189">
        <v>0.2123296488625353</v>
      </c>
      <c r="X234" s="189">
        <v>0.21273833609488879</v>
      </c>
      <c r="Y234" s="189">
        <v>0.21314702332724228</v>
      </c>
      <c r="Z234" s="189">
        <v>0.21355571055959577</v>
      </c>
      <c r="AA234" s="189">
        <v>0.21396439779194926</v>
      </c>
      <c r="AB234" s="189">
        <v>0.21437308502430275</v>
      </c>
      <c r="AC234" s="189">
        <v>0.21478177225665623</v>
      </c>
      <c r="AD234" s="189">
        <v>0.21519045948900972</v>
      </c>
      <c r="AE234" s="189">
        <v>0.21559914672136321</v>
      </c>
      <c r="AF234" s="189">
        <v>0.2160078339537167</v>
      </c>
      <c r="AG234" s="189">
        <v>0.21641652118607019</v>
      </c>
      <c r="AH234" s="189">
        <v>0.21682520841842368</v>
      </c>
      <c r="AI234" s="189">
        <v>0.21723389565077716</v>
      </c>
      <c r="AJ234" s="189">
        <v>0.21764258288313071</v>
      </c>
    </row>
    <row r="235" spans="1:36" x14ac:dyDescent="0.35">
      <c r="A235" t="s">
        <v>1703</v>
      </c>
      <c r="B235" s="188" t="s">
        <v>1342</v>
      </c>
      <c r="C235" t="s">
        <v>1348</v>
      </c>
      <c r="D235" s="188">
        <v>30</v>
      </c>
      <c r="E235" t="s">
        <v>1701</v>
      </c>
      <c r="F235" t="s">
        <v>1363</v>
      </c>
      <c r="G235" s="189" t="s">
        <v>1702</v>
      </c>
      <c r="H235" s="189">
        <v>0.18911915078230479</v>
      </c>
      <c r="I235" s="189">
        <v>0.19007157623485682</v>
      </c>
      <c r="J235" s="189">
        <v>0.19102400168740885</v>
      </c>
      <c r="K235" s="189">
        <v>0.19197642713996088</v>
      </c>
      <c r="L235" s="189">
        <v>0.19292885259251291</v>
      </c>
      <c r="M235" s="189">
        <v>0.19388127804506494</v>
      </c>
      <c r="N235" s="189">
        <v>0.19483370349761697</v>
      </c>
      <c r="O235" s="189">
        <v>0.195786128950169</v>
      </c>
      <c r="P235" s="189">
        <v>0.19673855440272103</v>
      </c>
      <c r="Q235" s="189">
        <v>0.19769097985527306</v>
      </c>
      <c r="R235" s="189">
        <v>0.19864340530782509</v>
      </c>
      <c r="S235" s="189">
        <v>0.19959583076037712</v>
      </c>
      <c r="T235" s="189">
        <v>0.20054825621292915</v>
      </c>
      <c r="U235" s="189">
        <v>0.20150068166548099</v>
      </c>
      <c r="V235" s="189">
        <v>0.20216812118097119</v>
      </c>
      <c r="W235" s="189">
        <v>0.202835560696461</v>
      </c>
      <c r="X235" s="189">
        <v>0.20350300021195081</v>
      </c>
      <c r="Y235" s="189">
        <v>0.20417043972744062</v>
      </c>
      <c r="Z235" s="189">
        <v>0.20483787924293043</v>
      </c>
      <c r="AA235" s="189">
        <v>0.20550531875842024</v>
      </c>
      <c r="AB235" s="189">
        <v>0.20617275827391005</v>
      </c>
      <c r="AC235" s="189">
        <v>0.20684019778939985</v>
      </c>
      <c r="AD235" s="189">
        <v>0.20750763730488966</v>
      </c>
      <c r="AE235" s="189">
        <v>0.20817507682037947</v>
      </c>
      <c r="AF235" s="189">
        <v>0.20884251633586928</v>
      </c>
      <c r="AG235" s="189">
        <v>0.20950995585135909</v>
      </c>
      <c r="AH235" s="189">
        <v>0.2101773953668489</v>
      </c>
      <c r="AI235" s="189">
        <v>0.21084483488233871</v>
      </c>
      <c r="AJ235" s="189">
        <v>0.21151227439782833</v>
      </c>
    </row>
    <row r="236" spans="1:36" x14ac:dyDescent="0.35">
      <c r="A236" t="s">
        <v>1704</v>
      </c>
      <c r="B236" s="188" t="s">
        <v>1342</v>
      </c>
      <c r="C236" t="s">
        <v>1350</v>
      </c>
      <c r="D236" s="188">
        <v>30</v>
      </c>
      <c r="E236" t="s">
        <v>1701</v>
      </c>
      <c r="F236" t="s">
        <v>1363</v>
      </c>
      <c r="G236" s="189" t="s">
        <v>1702</v>
      </c>
      <c r="H236" s="189">
        <v>0.18626187442464867</v>
      </c>
      <c r="I236" s="189">
        <v>0.18626187442464867</v>
      </c>
      <c r="J236" s="189">
        <v>0.18626187442464867</v>
      </c>
      <c r="K236" s="189">
        <v>0.18626187442464867</v>
      </c>
      <c r="L236" s="189">
        <v>0.18626187442464867</v>
      </c>
      <c r="M236" s="189">
        <v>0.18626187442464867</v>
      </c>
      <c r="N236" s="189">
        <v>0.18626187442464867</v>
      </c>
      <c r="O236" s="189">
        <v>0.18626187442464867</v>
      </c>
      <c r="P236" s="189">
        <v>0.18626187442464867</v>
      </c>
      <c r="Q236" s="189">
        <v>0.18626187442464867</v>
      </c>
      <c r="R236" s="189">
        <v>0.18626187442464867</v>
      </c>
      <c r="S236" s="189">
        <v>0.18626187442464867</v>
      </c>
      <c r="T236" s="189">
        <v>0.18626187442464867</v>
      </c>
      <c r="U236" s="189">
        <v>0.18626187442464867</v>
      </c>
      <c r="V236" s="189">
        <v>0.18727779490737084</v>
      </c>
      <c r="W236" s="189">
        <v>0.18829371539009301</v>
      </c>
      <c r="X236" s="189">
        <v>0.18930963587281519</v>
      </c>
      <c r="Y236" s="189">
        <v>0.19032555635553736</v>
      </c>
      <c r="Z236" s="189">
        <v>0.19134147683825953</v>
      </c>
      <c r="AA236" s="189">
        <v>0.1923573973209817</v>
      </c>
      <c r="AB236" s="189">
        <v>0.19337331780370387</v>
      </c>
      <c r="AC236" s="189">
        <v>0.19438923828642604</v>
      </c>
      <c r="AD236" s="189">
        <v>0.19540515876914821</v>
      </c>
      <c r="AE236" s="189">
        <v>0.19642107925187038</v>
      </c>
      <c r="AF236" s="189">
        <v>0.19743699973459256</v>
      </c>
      <c r="AG236" s="189">
        <v>0.19845292021731473</v>
      </c>
      <c r="AH236" s="189">
        <v>0.1994688407000369</v>
      </c>
      <c r="AI236" s="189">
        <v>0.20048476118275907</v>
      </c>
      <c r="AJ236" s="189">
        <v>0.20150068166548138</v>
      </c>
    </row>
    <row r="237" spans="1:36" x14ac:dyDescent="0.35">
      <c r="A237" t="s">
        <v>1705</v>
      </c>
      <c r="B237" s="188" t="s">
        <v>1342</v>
      </c>
      <c r="C237" t="s">
        <v>1343</v>
      </c>
      <c r="D237" s="188">
        <v>30</v>
      </c>
      <c r="E237" t="s">
        <v>1701</v>
      </c>
      <c r="F237" t="s">
        <v>1345</v>
      </c>
      <c r="G237" s="189" t="s">
        <v>1706</v>
      </c>
      <c r="H237" s="189">
        <v>0.18407024722423404</v>
      </c>
      <c r="I237" s="189">
        <v>0.18559116895522068</v>
      </c>
      <c r="J237" s="189">
        <v>0.18711209068620732</v>
      </c>
      <c r="K237" s="189">
        <v>0.18863301241719396</v>
      </c>
      <c r="L237" s="189">
        <v>0.1901539341481806</v>
      </c>
      <c r="M237" s="189">
        <v>0.19167485587916724</v>
      </c>
      <c r="N237" s="189">
        <v>0.19319577761015388</v>
      </c>
      <c r="O237" s="189">
        <v>0.19471669934114053</v>
      </c>
      <c r="P237" s="189">
        <v>0.19623762107212717</v>
      </c>
      <c r="Q237" s="189">
        <v>0.19775854280311381</v>
      </c>
      <c r="R237" s="189">
        <v>0.19927946453410045</v>
      </c>
      <c r="S237" s="189">
        <v>0.20080038626508709</v>
      </c>
      <c r="T237" s="189">
        <v>0.20232130799607373</v>
      </c>
      <c r="U237" s="189">
        <v>0.20384222972706026</v>
      </c>
      <c r="V237" s="189">
        <v>0.20423609678248811</v>
      </c>
      <c r="W237" s="189">
        <v>0.20462996383791596</v>
      </c>
      <c r="X237" s="189">
        <v>0.20502383089334381</v>
      </c>
      <c r="Y237" s="189">
        <v>0.20541769794877165</v>
      </c>
      <c r="Z237" s="189">
        <v>0.2058115650041995</v>
      </c>
      <c r="AA237" s="189">
        <v>0.20620543205962735</v>
      </c>
      <c r="AB237" s="189">
        <v>0.2065992991150552</v>
      </c>
      <c r="AC237" s="189">
        <v>0.20699316617048305</v>
      </c>
      <c r="AD237" s="189">
        <v>0.2073870332259109</v>
      </c>
      <c r="AE237" s="189">
        <v>0.20778090028133875</v>
      </c>
      <c r="AF237" s="189">
        <v>0.2081747673367666</v>
      </c>
      <c r="AG237" s="189">
        <v>0.20856863439219445</v>
      </c>
      <c r="AH237" s="189">
        <v>0.2089625014476223</v>
      </c>
      <c r="AI237" s="189">
        <v>0.20935636850305014</v>
      </c>
      <c r="AJ237" s="189">
        <v>0.2097502355584778</v>
      </c>
    </row>
    <row r="238" spans="1:36" x14ac:dyDescent="0.35">
      <c r="A238" t="s">
        <v>1707</v>
      </c>
      <c r="B238" s="188" t="s">
        <v>1342</v>
      </c>
      <c r="C238" t="s">
        <v>1348</v>
      </c>
      <c r="D238" s="188">
        <v>30</v>
      </c>
      <c r="E238" t="s">
        <v>1701</v>
      </c>
      <c r="F238" t="s">
        <v>1345</v>
      </c>
      <c r="G238" s="189" t="s">
        <v>1706</v>
      </c>
      <c r="H238" s="189">
        <v>0.18226114531322418</v>
      </c>
      <c r="I238" s="189">
        <v>0.1831790330738742</v>
      </c>
      <c r="J238" s="189">
        <v>0.18409692083452422</v>
      </c>
      <c r="K238" s="189">
        <v>0.18501480859517425</v>
      </c>
      <c r="L238" s="189">
        <v>0.18593269635582427</v>
      </c>
      <c r="M238" s="189">
        <v>0.18685058411647429</v>
      </c>
      <c r="N238" s="189">
        <v>0.18776847187712431</v>
      </c>
      <c r="O238" s="189">
        <v>0.18868635963777433</v>
      </c>
      <c r="P238" s="189">
        <v>0.18960424739842435</v>
      </c>
      <c r="Q238" s="189">
        <v>0.19052213515907437</v>
      </c>
      <c r="R238" s="189">
        <v>0.1914400229197244</v>
      </c>
      <c r="S238" s="189">
        <v>0.19235791068037442</v>
      </c>
      <c r="T238" s="189">
        <v>0.19327579844102444</v>
      </c>
      <c r="U238" s="189">
        <v>0.19419368620167426</v>
      </c>
      <c r="V238" s="189">
        <v>0.19483692243670001</v>
      </c>
      <c r="W238" s="189">
        <v>0.19548015867172575</v>
      </c>
      <c r="X238" s="189">
        <v>0.19612339490675149</v>
      </c>
      <c r="Y238" s="189">
        <v>0.19676663114177723</v>
      </c>
      <c r="Z238" s="189">
        <v>0.19740986737680297</v>
      </c>
      <c r="AA238" s="189">
        <v>0.19805310361182871</v>
      </c>
      <c r="AB238" s="189">
        <v>0.19869633984685445</v>
      </c>
      <c r="AC238" s="189">
        <v>0.19933957608188019</v>
      </c>
      <c r="AD238" s="189">
        <v>0.19998281231690593</v>
      </c>
      <c r="AE238" s="189">
        <v>0.20062604855193167</v>
      </c>
      <c r="AF238" s="189">
        <v>0.20126928478695741</v>
      </c>
      <c r="AG238" s="189">
        <v>0.20191252102198315</v>
      </c>
      <c r="AH238" s="189">
        <v>0.20255575725700889</v>
      </c>
      <c r="AI238" s="189">
        <v>0.20319899349203463</v>
      </c>
      <c r="AJ238" s="189">
        <v>0.20384222972706026</v>
      </c>
    </row>
    <row r="239" spans="1:36" x14ac:dyDescent="0.35">
      <c r="A239" t="s">
        <v>1708</v>
      </c>
      <c r="B239" s="188" t="s">
        <v>1342</v>
      </c>
      <c r="C239" t="s">
        <v>1350</v>
      </c>
      <c r="D239" s="188">
        <v>30</v>
      </c>
      <c r="E239" t="s">
        <v>1701</v>
      </c>
      <c r="F239" t="s">
        <v>1345</v>
      </c>
      <c r="G239" s="189" t="s">
        <v>1706</v>
      </c>
      <c r="H239" s="189">
        <v>0.17950748203127412</v>
      </c>
      <c r="I239" s="189">
        <v>0.17950748203127412</v>
      </c>
      <c r="J239" s="189">
        <v>0.17950748203127412</v>
      </c>
      <c r="K239" s="189">
        <v>0.17950748203127412</v>
      </c>
      <c r="L239" s="189">
        <v>0.17950748203127412</v>
      </c>
      <c r="M239" s="189">
        <v>0.17950748203127412</v>
      </c>
      <c r="N239" s="189">
        <v>0.17950748203127412</v>
      </c>
      <c r="O239" s="189">
        <v>0.17950748203127412</v>
      </c>
      <c r="P239" s="189">
        <v>0.17950748203127412</v>
      </c>
      <c r="Q239" s="189">
        <v>0.17950748203127412</v>
      </c>
      <c r="R239" s="189">
        <v>0.17950748203127412</v>
      </c>
      <c r="S239" s="189">
        <v>0.17950748203127412</v>
      </c>
      <c r="T239" s="189">
        <v>0.17950748203127412</v>
      </c>
      <c r="U239" s="189">
        <v>0.17950748203127412</v>
      </c>
      <c r="V239" s="189">
        <v>0.1804865623093008</v>
      </c>
      <c r="W239" s="189">
        <v>0.18146564258732747</v>
      </c>
      <c r="X239" s="189">
        <v>0.18244472286535415</v>
      </c>
      <c r="Y239" s="189">
        <v>0.18342380314338083</v>
      </c>
      <c r="Z239" s="189">
        <v>0.18440288342140751</v>
      </c>
      <c r="AA239" s="189">
        <v>0.18538196369943419</v>
      </c>
      <c r="AB239" s="189">
        <v>0.18636104397746087</v>
      </c>
      <c r="AC239" s="189">
        <v>0.18734012425548754</v>
      </c>
      <c r="AD239" s="189">
        <v>0.18831920453351422</v>
      </c>
      <c r="AE239" s="189">
        <v>0.1892982848115409</v>
      </c>
      <c r="AF239" s="189">
        <v>0.19027736508956758</v>
      </c>
      <c r="AG239" s="189">
        <v>0.19125644536759426</v>
      </c>
      <c r="AH239" s="189">
        <v>0.19223552564562094</v>
      </c>
      <c r="AI239" s="189">
        <v>0.19321460592364761</v>
      </c>
      <c r="AJ239" s="189">
        <v>0.19419368620167426</v>
      </c>
    </row>
    <row r="240" spans="1:36" x14ac:dyDescent="0.35">
      <c r="A240" t="s">
        <v>1709</v>
      </c>
      <c r="B240" s="188" t="s">
        <v>1342</v>
      </c>
      <c r="C240" t="s">
        <v>1343</v>
      </c>
      <c r="D240" s="188">
        <v>30</v>
      </c>
      <c r="E240" t="s">
        <v>1701</v>
      </c>
      <c r="F240" t="s">
        <v>1352</v>
      </c>
      <c r="G240" s="189" t="s">
        <v>1710</v>
      </c>
      <c r="H240" s="189">
        <v>0.17424411565457232</v>
      </c>
      <c r="I240" s="189">
        <v>0.17568384676805721</v>
      </c>
      <c r="J240" s="189">
        <v>0.17712357788154209</v>
      </c>
      <c r="K240" s="189">
        <v>0.17856330899502698</v>
      </c>
      <c r="L240" s="189">
        <v>0.18000304010851187</v>
      </c>
      <c r="M240" s="189">
        <v>0.18144277122199676</v>
      </c>
      <c r="N240" s="189">
        <v>0.18288250233548164</v>
      </c>
      <c r="O240" s="189">
        <v>0.18432223344896653</v>
      </c>
      <c r="P240" s="189">
        <v>0.18576196456245142</v>
      </c>
      <c r="Q240" s="189">
        <v>0.18720169567593631</v>
      </c>
      <c r="R240" s="189">
        <v>0.1886414267894212</v>
      </c>
      <c r="S240" s="189">
        <v>0.19008115790290608</v>
      </c>
      <c r="T240" s="189">
        <v>0.19152088901639097</v>
      </c>
      <c r="U240" s="189">
        <v>0.19296062012987605</v>
      </c>
      <c r="V240" s="189">
        <v>0.19333346157379985</v>
      </c>
      <c r="W240" s="189">
        <v>0.19370630301772365</v>
      </c>
      <c r="X240" s="189">
        <v>0.19407914446164745</v>
      </c>
      <c r="Y240" s="189">
        <v>0.19445198590557125</v>
      </c>
      <c r="Z240" s="189">
        <v>0.19482482734949505</v>
      </c>
      <c r="AA240" s="189">
        <v>0.19519766879341885</v>
      </c>
      <c r="AB240" s="189">
        <v>0.19557051023734265</v>
      </c>
      <c r="AC240" s="189">
        <v>0.19594335168126645</v>
      </c>
      <c r="AD240" s="189">
        <v>0.19631619312519025</v>
      </c>
      <c r="AE240" s="189">
        <v>0.19668903456911405</v>
      </c>
      <c r="AF240" s="189">
        <v>0.19706187601303785</v>
      </c>
      <c r="AG240" s="189">
        <v>0.19743471745696164</v>
      </c>
      <c r="AH240" s="189">
        <v>0.19780755890088544</v>
      </c>
      <c r="AI240" s="189">
        <v>0.19818040034480924</v>
      </c>
      <c r="AJ240" s="189">
        <v>0.19855324178873304</v>
      </c>
    </row>
    <row r="241" spans="1:36" x14ac:dyDescent="0.35">
      <c r="A241" t="s">
        <v>1711</v>
      </c>
      <c r="B241" s="188" t="s">
        <v>1342</v>
      </c>
      <c r="C241" t="s">
        <v>1348</v>
      </c>
      <c r="D241" s="188">
        <v>30</v>
      </c>
      <c r="E241" t="s">
        <v>1701</v>
      </c>
      <c r="F241" t="s">
        <v>1352</v>
      </c>
      <c r="G241" s="189" t="s">
        <v>1710</v>
      </c>
      <c r="H241" s="189">
        <v>0.17253158814202493</v>
      </c>
      <c r="I241" s="189">
        <v>0.17340047675132736</v>
      </c>
      <c r="J241" s="189">
        <v>0.17426936536062979</v>
      </c>
      <c r="K241" s="189">
        <v>0.17513825396993221</v>
      </c>
      <c r="L241" s="189">
        <v>0.17600714257923464</v>
      </c>
      <c r="M241" s="189">
        <v>0.17687603118853706</v>
      </c>
      <c r="N241" s="189">
        <v>0.17774491979783949</v>
      </c>
      <c r="O241" s="189">
        <v>0.17861380840714192</v>
      </c>
      <c r="P241" s="189">
        <v>0.17948269701644434</v>
      </c>
      <c r="Q241" s="189">
        <v>0.18035158562574677</v>
      </c>
      <c r="R241" s="189">
        <v>0.18122047423504919</v>
      </c>
      <c r="S241" s="189">
        <v>0.18208936284435162</v>
      </c>
      <c r="T241" s="189">
        <v>0.18295825145365405</v>
      </c>
      <c r="U241" s="189">
        <v>0.18382714006295633</v>
      </c>
      <c r="V241" s="189">
        <v>0.18443603873408432</v>
      </c>
      <c r="W241" s="189">
        <v>0.1850449374052123</v>
      </c>
      <c r="X241" s="189">
        <v>0.18565383607634028</v>
      </c>
      <c r="Y241" s="189">
        <v>0.18626273474746827</v>
      </c>
      <c r="Z241" s="189">
        <v>0.18687163341859625</v>
      </c>
      <c r="AA241" s="189">
        <v>0.18748053208972423</v>
      </c>
      <c r="AB241" s="189">
        <v>0.18808943076085222</v>
      </c>
      <c r="AC241" s="189">
        <v>0.1886983294319802</v>
      </c>
      <c r="AD241" s="189">
        <v>0.18930722810310818</v>
      </c>
      <c r="AE241" s="189">
        <v>0.18991612677423617</v>
      </c>
      <c r="AF241" s="189">
        <v>0.19052502544536415</v>
      </c>
      <c r="AG241" s="189">
        <v>0.19113392411649213</v>
      </c>
      <c r="AH241" s="189">
        <v>0.19174282278762012</v>
      </c>
      <c r="AI241" s="189">
        <v>0.1923517214587481</v>
      </c>
      <c r="AJ241" s="189">
        <v>0.19296062012987605</v>
      </c>
    </row>
    <row r="242" spans="1:36" x14ac:dyDescent="0.35">
      <c r="A242" t="s">
        <v>1712</v>
      </c>
      <c r="B242" s="188" t="s">
        <v>1342</v>
      </c>
      <c r="C242" t="s">
        <v>1350</v>
      </c>
      <c r="D242" s="188">
        <v>30</v>
      </c>
      <c r="E242" t="s">
        <v>1701</v>
      </c>
      <c r="F242" t="s">
        <v>1352</v>
      </c>
      <c r="G242" s="189" t="s">
        <v>1710</v>
      </c>
      <c r="H242" s="189">
        <v>0.16992492231411765</v>
      </c>
      <c r="I242" s="189">
        <v>0.16992492231411765</v>
      </c>
      <c r="J242" s="189">
        <v>0.16992492231411765</v>
      </c>
      <c r="K242" s="189">
        <v>0.16992492231411765</v>
      </c>
      <c r="L242" s="189">
        <v>0.16992492231411765</v>
      </c>
      <c r="M242" s="189">
        <v>0.16992492231411765</v>
      </c>
      <c r="N242" s="189">
        <v>0.16992492231411765</v>
      </c>
      <c r="O242" s="189">
        <v>0.16992492231411765</v>
      </c>
      <c r="P242" s="189">
        <v>0.16992492231411765</v>
      </c>
      <c r="Q242" s="189">
        <v>0.16992492231411765</v>
      </c>
      <c r="R242" s="189">
        <v>0.16992492231411765</v>
      </c>
      <c r="S242" s="189">
        <v>0.16992492231411765</v>
      </c>
      <c r="T242" s="189">
        <v>0.16992492231411765</v>
      </c>
      <c r="U242" s="189">
        <v>0.16992492231411765</v>
      </c>
      <c r="V242" s="189">
        <v>0.1708517368307069</v>
      </c>
      <c r="W242" s="189">
        <v>0.17177855134729614</v>
      </c>
      <c r="X242" s="189">
        <v>0.17270536586388538</v>
      </c>
      <c r="Y242" s="189">
        <v>0.17363218038047462</v>
      </c>
      <c r="Z242" s="189">
        <v>0.17455899489706386</v>
      </c>
      <c r="AA242" s="189">
        <v>0.1754858094136531</v>
      </c>
      <c r="AB242" s="189">
        <v>0.17641262393024235</v>
      </c>
      <c r="AC242" s="189">
        <v>0.17733943844683159</v>
      </c>
      <c r="AD242" s="189">
        <v>0.17826625296342083</v>
      </c>
      <c r="AE242" s="189">
        <v>0.17919306748001007</v>
      </c>
      <c r="AF242" s="189">
        <v>0.18011988199659931</v>
      </c>
      <c r="AG242" s="189">
        <v>0.18104669651318855</v>
      </c>
      <c r="AH242" s="189">
        <v>0.1819735110297778</v>
      </c>
      <c r="AI242" s="189">
        <v>0.18290032554636704</v>
      </c>
      <c r="AJ242" s="189">
        <v>0.18382714006295633</v>
      </c>
    </row>
    <row r="243" spans="1:36" x14ac:dyDescent="0.35">
      <c r="A243" t="s">
        <v>1713</v>
      </c>
      <c r="B243" s="188" t="s">
        <v>1342</v>
      </c>
      <c r="C243" t="s">
        <v>1343</v>
      </c>
      <c r="D243" s="188">
        <v>30</v>
      </c>
      <c r="E243" t="s">
        <v>1701</v>
      </c>
      <c r="F243" t="s">
        <v>1376</v>
      </c>
      <c r="G243" s="189" t="s">
        <v>1714</v>
      </c>
      <c r="H243" s="189">
        <v>0.16503701443759086</v>
      </c>
      <c r="I243" s="189">
        <v>0.16640066981080015</v>
      </c>
      <c r="J243" s="189">
        <v>0.16776432518400944</v>
      </c>
      <c r="K243" s="189">
        <v>0.16912798055721873</v>
      </c>
      <c r="L243" s="189">
        <v>0.17049163593042801</v>
      </c>
      <c r="M243" s="189">
        <v>0.1718552913036373</v>
      </c>
      <c r="N243" s="189">
        <v>0.17321894667684659</v>
      </c>
      <c r="O243" s="189">
        <v>0.17458260205005588</v>
      </c>
      <c r="P243" s="189">
        <v>0.17594625742326517</v>
      </c>
      <c r="Q243" s="189">
        <v>0.17730991279647446</v>
      </c>
      <c r="R243" s="189">
        <v>0.17867356816968374</v>
      </c>
      <c r="S243" s="189">
        <v>0.18003722354289303</v>
      </c>
      <c r="T243" s="189">
        <v>0.18140087891610232</v>
      </c>
      <c r="U243" s="189">
        <v>0.18276453428931144</v>
      </c>
      <c r="V243" s="189">
        <v>0.18311767470115622</v>
      </c>
      <c r="W243" s="189">
        <v>0.18347081511300101</v>
      </c>
      <c r="X243" s="189">
        <v>0.18382395552484579</v>
      </c>
      <c r="Y243" s="189">
        <v>0.18417709593669057</v>
      </c>
      <c r="Z243" s="189">
        <v>0.18453023634853535</v>
      </c>
      <c r="AA243" s="189">
        <v>0.18488337676038014</v>
      </c>
      <c r="AB243" s="189">
        <v>0.18523651717222492</v>
      </c>
      <c r="AC243" s="189">
        <v>0.1855896575840697</v>
      </c>
      <c r="AD243" s="189">
        <v>0.18594279799591448</v>
      </c>
      <c r="AE243" s="189">
        <v>0.18629593840775927</v>
      </c>
      <c r="AF243" s="189">
        <v>0.18664907881960405</v>
      </c>
      <c r="AG243" s="189">
        <v>0.18700221923144883</v>
      </c>
      <c r="AH243" s="189">
        <v>0.18735535964329361</v>
      </c>
      <c r="AI243" s="189">
        <v>0.18770850005513839</v>
      </c>
      <c r="AJ243" s="189">
        <v>0.18806164046698304</v>
      </c>
    </row>
    <row r="244" spans="1:36" x14ac:dyDescent="0.35">
      <c r="A244" t="s">
        <v>1715</v>
      </c>
      <c r="B244" s="188" t="s">
        <v>1342</v>
      </c>
      <c r="C244" t="s">
        <v>1348</v>
      </c>
      <c r="D244" s="188">
        <v>30</v>
      </c>
      <c r="E244" t="s">
        <v>1701</v>
      </c>
      <c r="F244" t="s">
        <v>1376</v>
      </c>
      <c r="G244" s="189" t="s">
        <v>1714</v>
      </c>
      <c r="H244" s="189">
        <v>0.16341497729302887</v>
      </c>
      <c r="I244" s="189">
        <v>0.16423795361805082</v>
      </c>
      <c r="J244" s="189">
        <v>0.16506092994307278</v>
      </c>
      <c r="K244" s="189">
        <v>0.16588390626809474</v>
      </c>
      <c r="L244" s="189">
        <v>0.1667068825931167</v>
      </c>
      <c r="M244" s="189">
        <v>0.16752985891813865</v>
      </c>
      <c r="N244" s="189">
        <v>0.16835283524316061</v>
      </c>
      <c r="O244" s="189">
        <v>0.16917581156818257</v>
      </c>
      <c r="P244" s="189">
        <v>0.16999878789320452</v>
      </c>
      <c r="Q244" s="189">
        <v>0.17082176421822648</v>
      </c>
      <c r="R244" s="189">
        <v>0.17164474054324844</v>
      </c>
      <c r="S244" s="189">
        <v>0.17246771686827039</v>
      </c>
      <c r="T244" s="189">
        <v>0.17329069319329235</v>
      </c>
      <c r="U244" s="189">
        <v>0.17411366951831436</v>
      </c>
      <c r="V244" s="189">
        <v>0.17469039383638083</v>
      </c>
      <c r="W244" s="189">
        <v>0.17526711815444729</v>
      </c>
      <c r="X244" s="189">
        <v>0.17584384247251375</v>
      </c>
      <c r="Y244" s="189">
        <v>0.17642056679058021</v>
      </c>
      <c r="Z244" s="189">
        <v>0.17699729110864668</v>
      </c>
      <c r="AA244" s="189">
        <v>0.17757401542671314</v>
      </c>
      <c r="AB244" s="189">
        <v>0.1781507397447796</v>
      </c>
      <c r="AC244" s="189">
        <v>0.17872746406284606</v>
      </c>
      <c r="AD244" s="189">
        <v>0.17930418838091253</v>
      </c>
      <c r="AE244" s="189">
        <v>0.17988091269897899</v>
      </c>
      <c r="AF244" s="189">
        <v>0.18045763701704545</v>
      </c>
      <c r="AG244" s="189">
        <v>0.18103436133511192</v>
      </c>
      <c r="AH244" s="189">
        <v>0.18161108565317838</v>
      </c>
      <c r="AI244" s="189">
        <v>0.18218780997124484</v>
      </c>
      <c r="AJ244" s="189">
        <v>0.18276453428931144</v>
      </c>
    </row>
    <row r="245" spans="1:36" x14ac:dyDescent="0.35">
      <c r="A245" t="s">
        <v>1716</v>
      </c>
      <c r="B245" s="188" t="s">
        <v>1342</v>
      </c>
      <c r="C245" t="s">
        <v>1350</v>
      </c>
      <c r="D245" s="188">
        <v>30</v>
      </c>
      <c r="E245" t="s">
        <v>1701</v>
      </c>
      <c r="F245" t="s">
        <v>1376</v>
      </c>
      <c r="G245" s="189" t="s">
        <v>1714</v>
      </c>
      <c r="H245" s="189">
        <v>0.160946048317963</v>
      </c>
      <c r="I245" s="189">
        <v>0.160946048317963</v>
      </c>
      <c r="J245" s="189">
        <v>0.160946048317963</v>
      </c>
      <c r="K245" s="189">
        <v>0.160946048317963</v>
      </c>
      <c r="L245" s="189">
        <v>0.160946048317963</v>
      </c>
      <c r="M245" s="189">
        <v>0.160946048317963</v>
      </c>
      <c r="N245" s="189">
        <v>0.160946048317963</v>
      </c>
      <c r="O245" s="189">
        <v>0.160946048317963</v>
      </c>
      <c r="P245" s="189">
        <v>0.160946048317963</v>
      </c>
      <c r="Q245" s="189">
        <v>0.160946048317963</v>
      </c>
      <c r="R245" s="189">
        <v>0.160946048317963</v>
      </c>
      <c r="S245" s="189">
        <v>0.160946048317963</v>
      </c>
      <c r="T245" s="189">
        <v>0.160946048317963</v>
      </c>
      <c r="U245" s="189">
        <v>0.160946048317963</v>
      </c>
      <c r="V245" s="189">
        <v>0.16182388973131975</v>
      </c>
      <c r="W245" s="189">
        <v>0.16270173114467651</v>
      </c>
      <c r="X245" s="189">
        <v>0.16357957255803326</v>
      </c>
      <c r="Y245" s="189">
        <v>0.16445741397139002</v>
      </c>
      <c r="Z245" s="189">
        <v>0.16533525538474678</v>
      </c>
      <c r="AA245" s="189">
        <v>0.16621309679810353</v>
      </c>
      <c r="AB245" s="189">
        <v>0.16709093821146029</v>
      </c>
      <c r="AC245" s="189">
        <v>0.16796877962481704</v>
      </c>
      <c r="AD245" s="189">
        <v>0.1688466210381738</v>
      </c>
      <c r="AE245" s="189">
        <v>0.16972446245153056</v>
      </c>
      <c r="AF245" s="189">
        <v>0.17060230386488731</v>
      </c>
      <c r="AG245" s="189">
        <v>0.17148014527824407</v>
      </c>
      <c r="AH245" s="189">
        <v>0.17235798669160082</v>
      </c>
      <c r="AI245" s="189">
        <v>0.17323582810495758</v>
      </c>
      <c r="AJ245" s="189">
        <v>0.17411366951831436</v>
      </c>
    </row>
    <row r="246" spans="1:36" x14ac:dyDescent="0.35">
      <c r="A246" t="s">
        <v>1717</v>
      </c>
      <c r="B246" s="188" t="s">
        <v>1342</v>
      </c>
      <c r="C246" t="s">
        <v>1343</v>
      </c>
      <c r="D246" s="188">
        <v>30</v>
      </c>
      <c r="E246" t="s">
        <v>1701</v>
      </c>
      <c r="F246" t="s">
        <v>1381</v>
      </c>
      <c r="G246" s="189" t="s">
        <v>1718</v>
      </c>
      <c r="H246" s="189">
        <v>0.15749162696260974</v>
      </c>
      <c r="I246" s="189">
        <v>0.15879293687829685</v>
      </c>
      <c r="J246" s="189">
        <v>0.16009424679398396</v>
      </c>
      <c r="K246" s="189">
        <v>0.16139555670967107</v>
      </c>
      <c r="L246" s="189">
        <v>0.16269686662535818</v>
      </c>
      <c r="M246" s="189">
        <v>0.16399817654104529</v>
      </c>
      <c r="N246" s="189">
        <v>0.1652994864567324</v>
      </c>
      <c r="O246" s="189">
        <v>0.16660079637241951</v>
      </c>
      <c r="P246" s="189">
        <v>0.16790210628810662</v>
      </c>
      <c r="Q246" s="189">
        <v>0.16920341620379373</v>
      </c>
      <c r="R246" s="189">
        <v>0.17050472611948084</v>
      </c>
      <c r="S246" s="189">
        <v>0.17180603603516795</v>
      </c>
      <c r="T246" s="189">
        <v>0.17310734595085506</v>
      </c>
      <c r="U246" s="189">
        <v>0.17440865586654219</v>
      </c>
      <c r="V246" s="189">
        <v>0.17474565092305852</v>
      </c>
      <c r="W246" s="189">
        <v>0.17508264597957485</v>
      </c>
      <c r="X246" s="189">
        <v>0.17541964103609117</v>
      </c>
      <c r="Y246" s="189">
        <v>0.1757566360926075</v>
      </c>
      <c r="Z246" s="189">
        <v>0.17609363114912382</v>
      </c>
      <c r="AA246" s="189">
        <v>0.17643062620564015</v>
      </c>
      <c r="AB246" s="189">
        <v>0.17676762126215648</v>
      </c>
      <c r="AC246" s="189">
        <v>0.1771046163186728</v>
      </c>
      <c r="AD246" s="189">
        <v>0.17744161137518913</v>
      </c>
      <c r="AE246" s="189">
        <v>0.17777860643170545</v>
      </c>
      <c r="AF246" s="189">
        <v>0.17811560148822178</v>
      </c>
      <c r="AG246" s="189">
        <v>0.17845259654473811</v>
      </c>
      <c r="AH246" s="189">
        <v>0.17878959160125443</v>
      </c>
      <c r="AI246" s="189">
        <v>0.17912658665777076</v>
      </c>
      <c r="AJ246" s="189">
        <v>0.17946358171428689</v>
      </c>
    </row>
    <row r="247" spans="1:36" x14ac:dyDescent="0.35">
      <c r="A247" t="s">
        <v>1719</v>
      </c>
      <c r="B247" s="188" t="s">
        <v>1342</v>
      </c>
      <c r="C247" t="s">
        <v>1348</v>
      </c>
      <c r="D247" s="188">
        <v>30</v>
      </c>
      <c r="E247" t="s">
        <v>1701</v>
      </c>
      <c r="F247" t="s">
        <v>1381</v>
      </c>
      <c r="G247" s="189" t="s">
        <v>1718</v>
      </c>
      <c r="H247" s="189">
        <v>0.15594374832604216</v>
      </c>
      <c r="I247" s="189">
        <v>0.15672909869620674</v>
      </c>
      <c r="J247" s="189">
        <v>0.15751444906637133</v>
      </c>
      <c r="K247" s="189">
        <v>0.15829979943653591</v>
      </c>
      <c r="L247" s="189">
        <v>0.15908514980670049</v>
      </c>
      <c r="M247" s="189">
        <v>0.15987050017686508</v>
      </c>
      <c r="N247" s="189">
        <v>0.16065585054702966</v>
      </c>
      <c r="O247" s="189">
        <v>0.16144120091719424</v>
      </c>
      <c r="P247" s="189">
        <v>0.16222655128735883</v>
      </c>
      <c r="Q247" s="189">
        <v>0.16301190165752341</v>
      </c>
      <c r="R247" s="189">
        <v>0.163797252027688</v>
      </c>
      <c r="S247" s="189">
        <v>0.16458260239785258</v>
      </c>
      <c r="T247" s="189">
        <v>0.16536795276801716</v>
      </c>
      <c r="U247" s="189">
        <v>0.16615330313818158</v>
      </c>
      <c r="V247" s="189">
        <v>0.16670365998673894</v>
      </c>
      <c r="W247" s="189">
        <v>0.16725401683529631</v>
      </c>
      <c r="X247" s="189">
        <v>0.16780437368385367</v>
      </c>
      <c r="Y247" s="189">
        <v>0.16835473053241104</v>
      </c>
      <c r="Z247" s="189">
        <v>0.16890508738096841</v>
      </c>
      <c r="AA247" s="189">
        <v>0.16945544422952577</v>
      </c>
      <c r="AB247" s="189">
        <v>0.17000580107808314</v>
      </c>
      <c r="AC247" s="189">
        <v>0.1705561579266405</v>
      </c>
      <c r="AD247" s="189">
        <v>0.17110651477519787</v>
      </c>
      <c r="AE247" s="189">
        <v>0.17165687162375523</v>
      </c>
      <c r="AF247" s="189">
        <v>0.1722072284723126</v>
      </c>
      <c r="AG247" s="189">
        <v>0.17275758532086996</v>
      </c>
      <c r="AH247" s="189">
        <v>0.17330794216942733</v>
      </c>
      <c r="AI247" s="189">
        <v>0.17385829901798469</v>
      </c>
      <c r="AJ247" s="189">
        <v>0.17440865586654219</v>
      </c>
    </row>
    <row r="248" spans="1:36" x14ac:dyDescent="0.35">
      <c r="A248" t="s">
        <v>1720</v>
      </c>
      <c r="B248" s="188" t="s">
        <v>1342</v>
      </c>
      <c r="C248" t="s">
        <v>1350</v>
      </c>
      <c r="D248" s="188">
        <v>30</v>
      </c>
      <c r="E248" t="s">
        <v>1701</v>
      </c>
      <c r="F248" t="s">
        <v>1381</v>
      </c>
      <c r="G248" s="189" t="s">
        <v>1718</v>
      </c>
      <c r="H248" s="189">
        <v>0.15358769721554841</v>
      </c>
      <c r="I248" s="189">
        <v>0.15358769721554841</v>
      </c>
      <c r="J248" s="189">
        <v>0.15358769721554841</v>
      </c>
      <c r="K248" s="189">
        <v>0.15358769721554841</v>
      </c>
      <c r="L248" s="189">
        <v>0.15358769721554841</v>
      </c>
      <c r="M248" s="189">
        <v>0.15358769721554841</v>
      </c>
      <c r="N248" s="189">
        <v>0.15358769721554841</v>
      </c>
      <c r="O248" s="189">
        <v>0.15358769721554841</v>
      </c>
      <c r="P248" s="189">
        <v>0.15358769721554841</v>
      </c>
      <c r="Q248" s="189">
        <v>0.15358769721554841</v>
      </c>
      <c r="R248" s="189">
        <v>0.15358769721554841</v>
      </c>
      <c r="S248" s="189">
        <v>0.15358769721554841</v>
      </c>
      <c r="T248" s="189">
        <v>0.15358769721554841</v>
      </c>
      <c r="U248" s="189">
        <v>0.15358769721554841</v>
      </c>
      <c r="V248" s="189">
        <v>0.15442540427705728</v>
      </c>
      <c r="W248" s="189">
        <v>0.15526311133856616</v>
      </c>
      <c r="X248" s="189">
        <v>0.15610081840007503</v>
      </c>
      <c r="Y248" s="189">
        <v>0.15693852546158391</v>
      </c>
      <c r="Z248" s="189">
        <v>0.15777623252309278</v>
      </c>
      <c r="AA248" s="189">
        <v>0.15861393958460165</v>
      </c>
      <c r="AB248" s="189">
        <v>0.15945164664611053</v>
      </c>
      <c r="AC248" s="189">
        <v>0.1602893537076194</v>
      </c>
      <c r="AD248" s="189">
        <v>0.16112706076912828</v>
      </c>
      <c r="AE248" s="189">
        <v>0.16196476783063715</v>
      </c>
      <c r="AF248" s="189">
        <v>0.16280247489214603</v>
      </c>
      <c r="AG248" s="189">
        <v>0.1636401819536549</v>
      </c>
      <c r="AH248" s="189">
        <v>0.16447788901516378</v>
      </c>
      <c r="AI248" s="189">
        <v>0.16531559607667265</v>
      </c>
      <c r="AJ248" s="189">
        <v>0.16615330313818158</v>
      </c>
    </row>
    <row r="249" spans="1:36" x14ac:dyDescent="0.35">
      <c r="A249" t="s">
        <v>1721</v>
      </c>
      <c r="B249" s="188" t="s">
        <v>1342</v>
      </c>
      <c r="C249" t="s">
        <v>1343</v>
      </c>
      <c r="D249" s="188">
        <v>30</v>
      </c>
      <c r="E249" t="s">
        <v>1701</v>
      </c>
      <c r="F249" t="s">
        <v>1386</v>
      </c>
      <c r="G249" s="189" t="s">
        <v>1722</v>
      </c>
      <c r="H249" s="189">
        <v>0.1554031876782071</v>
      </c>
      <c r="I249" s="189">
        <v>0.15668724139557105</v>
      </c>
      <c r="J249" s="189">
        <v>0.15797129511293501</v>
      </c>
      <c r="K249" s="189">
        <v>0.15925534883029896</v>
      </c>
      <c r="L249" s="189">
        <v>0.16053940254766291</v>
      </c>
      <c r="M249" s="189">
        <v>0.16182345626502687</v>
      </c>
      <c r="N249" s="189">
        <v>0.16310750998239082</v>
      </c>
      <c r="O249" s="189">
        <v>0.16439156369975477</v>
      </c>
      <c r="P249" s="189">
        <v>0.16567561741711873</v>
      </c>
      <c r="Q249" s="189">
        <v>0.16695967113448268</v>
      </c>
      <c r="R249" s="189">
        <v>0.16824372485184663</v>
      </c>
      <c r="S249" s="189">
        <v>0.16952777856921059</v>
      </c>
      <c r="T249" s="189">
        <v>0.17081183228657454</v>
      </c>
      <c r="U249" s="189">
        <v>0.17209588600393849</v>
      </c>
      <c r="V249" s="189">
        <v>0.17242841229136371</v>
      </c>
      <c r="W249" s="189">
        <v>0.17276093857878894</v>
      </c>
      <c r="X249" s="189">
        <v>0.17309346486621416</v>
      </c>
      <c r="Y249" s="189">
        <v>0.17342599115363938</v>
      </c>
      <c r="Z249" s="189">
        <v>0.1737585174410646</v>
      </c>
      <c r="AA249" s="189">
        <v>0.17409104372848982</v>
      </c>
      <c r="AB249" s="189">
        <v>0.17442357001591505</v>
      </c>
      <c r="AC249" s="189">
        <v>0.17475609630334027</v>
      </c>
      <c r="AD249" s="189">
        <v>0.17508862259076549</v>
      </c>
      <c r="AE249" s="189">
        <v>0.17542114887819071</v>
      </c>
      <c r="AF249" s="189">
        <v>0.17575367516561594</v>
      </c>
      <c r="AG249" s="189">
        <v>0.17608620145304116</v>
      </c>
      <c r="AH249" s="189">
        <v>0.17641872774046638</v>
      </c>
      <c r="AI249" s="189">
        <v>0.1767512540278916</v>
      </c>
      <c r="AJ249" s="189">
        <v>0.17708378031531663</v>
      </c>
    </row>
    <row r="250" spans="1:36" x14ac:dyDescent="0.35">
      <c r="A250" t="s">
        <v>1723</v>
      </c>
      <c r="B250" s="188" t="s">
        <v>1342</v>
      </c>
      <c r="C250" t="s">
        <v>1348</v>
      </c>
      <c r="D250" s="188">
        <v>30</v>
      </c>
      <c r="E250" t="s">
        <v>1701</v>
      </c>
      <c r="F250" t="s">
        <v>1386</v>
      </c>
      <c r="G250" s="189" t="s">
        <v>1722</v>
      </c>
      <c r="H250" s="189">
        <v>0.15387583489824816</v>
      </c>
      <c r="I250" s="189">
        <v>0.15465077102229247</v>
      </c>
      <c r="J250" s="189">
        <v>0.15542570714633677</v>
      </c>
      <c r="K250" s="189">
        <v>0.15620064327038108</v>
      </c>
      <c r="L250" s="189">
        <v>0.15697557939442539</v>
      </c>
      <c r="M250" s="189">
        <v>0.15775051551846969</v>
      </c>
      <c r="N250" s="189">
        <v>0.158525451642514</v>
      </c>
      <c r="O250" s="189">
        <v>0.1593003877665583</v>
      </c>
      <c r="P250" s="189">
        <v>0.16007532389060261</v>
      </c>
      <c r="Q250" s="189">
        <v>0.16085026001464692</v>
      </c>
      <c r="R250" s="189">
        <v>0.16162519613869122</v>
      </c>
      <c r="S250" s="189">
        <v>0.16240013226273553</v>
      </c>
      <c r="T250" s="189">
        <v>0.16317506838677984</v>
      </c>
      <c r="U250" s="189">
        <v>0.16395000451082395</v>
      </c>
      <c r="V250" s="189">
        <v>0.16449306327703159</v>
      </c>
      <c r="W250" s="189">
        <v>0.16503612204323923</v>
      </c>
      <c r="X250" s="189">
        <v>0.16557918080944686</v>
      </c>
      <c r="Y250" s="189">
        <v>0.1661222395756545</v>
      </c>
      <c r="Z250" s="189">
        <v>0.16666529834186214</v>
      </c>
      <c r="AA250" s="189">
        <v>0.16720835710806978</v>
      </c>
      <c r="AB250" s="189">
        <v>0.16775141587427742</v>
      </c>
      <c r="AC250" s="189">
        <v>0.16829447464048505</v>
      </c>
      <c r="AD250" s="189">
        <v>0.16883753340669269</v>
      </c>
      <c r="AE250" s="189">
        <v>0.16938059217290033</v>
      </c>
      <c r="AF250" s="189">
        <v>0.16992365093910797</v>
      </c>
      <c r="AG250" s="189">
        <v>0.17046670970531561</v>
      </c>
      <c r="AH250" s="189">
        <v>0.17100976847152324</v>
      </c>
      <c r="AI250" s="189">
        <v>0.17155282723773088</v>
      </c>
      <c r="AJ250" s="189">
        <v>0.17209588600393849</v>
      </c>
    </row>
    <row r="251" spans="1:36" x14ac:dyDescent="0.35">
      <c r="A251" t="s">
        <v>1724</v>
      </c>
      <c r="B251" s="188" t="s">
        <v>1342</v>
      </c>
      <c r="C251" t="s">
        <v>1350</v>
      </c>
      <c r="D251" s="188">
        <v>30</v>
      </c>
      <c r="E251" t="s">
        <v>1701</v>
      </c>
      <c r="F251" t="s">
        <v>1386</v>
      </c>
      <c r="G251" s="189" t="s">
        <v>1722</v>
      </c>
      <c r="H251" s="189">
        <v>0.15155102652611524</v>
      </c>
      <c r="I251" s="189">
        <v>0.15155102652611524</v>
      </c>
      <c r="J251" s="189">
        <v>0.15155102652611524</v>
      </c>
      <c r="K251" s="189">
        <v>0.15155102652611524</v>
      </c>
      <c r="L251" s="189">
        <v>0.15155102652611524</v>
      </c>
      <c r="M251" s="189">
        <v>0.15155102652611524</v>
      </c>
      <c r="N251" s="189">
        <v>0.15155102652611524</v>
      </c>
      <c r="O251" s="189">
        <v>0.15155102652611524</v>
      </c>
      <c r="P251" s="189">
        <v>0.15155102652611524</v>
      </c>
      <c r="Q251" s="189">
        <v>0.15155102652611524</v>
      </c>
      <c r="R251" s="189">
        <v>0.15155102652611524</v>
      </c>
      <c r="S251" s="189">
        <v>0.15155102652611524</v>
      </c>
      <c r="T251" s="189">
        <v>0.15155102652611524</v>
      </c>
      <c r="U251" s="189">
        <v>0.15155102652611524</v>
      </c>
      <c r="V251" s="189">
        <v>0.15237762505842917</v>
      </c>
      <c r="W251" s="189">
        <v>0.15320422359074309</v>
      </c>
      <c r="X251" s="189">
        <v>0.15403082212305702</v>
      </c>
      <c r="Y251" s="189">
        <v>0.15485742065537095</v>
      </c>
      <c r="Z251" s="189">
        <v>0.15568401918768487</v>
      </c>
      <c r="AA251" s="189">
        <v>0.1565106177199988</v>
      </c>
      <c r="AB251" s="189">
        <v>0.15733721625231273</v>
      </c>
      <c r="AC251" s="189">
        <v>0.15816381478462666</v>
      </c>
      <c r="AD251" s="189">
        <v>0.15899041331694058</v>
      </c>
      <c r="AE251" s="189">
        <v>0.15981701184925451</v>
      </c>
      <c r="AF251" s="189">
        <v>0.16064361038156844</v>
      </c>
      <c r="AG251" s="189">
        <v>0.16147020891388236</v>
      </c>
      <c r="AH251" s="189">
        <v>0.16229680744619629</v>
      </c>
      <c r="AI251" s="189">
        <v>0.16312340597851022</v>
      </c>
      <c r="AJ251" s="189">
        <v>0.16395000451082395</v>
      </c>
    </row>
    <row r="252" spans="1:36" x14ac:dyDescent="0.35">
      <c r="A252" t="s">
        <v>1725</v>
      </c>
      <c r="B252" s="188" t="s">
        <v>1342</v>
      </c>
      <c r="C252" t="s">
        <v>1343</v>
      </c>
      <c r="D252" s="188">
        <v>30</v>
      </c>
      <c r="E252" t="s">
        <v>1701</v>
      </c>
      <c r="F252" t="s">
        <v>1391</v>
      </c>
      <c r="G252" s="189" t="s">
        <v>1726</v>
      </c>
      <c r="H252" s="189">
        <v>0.14806816747117116</v>
      </c>
      <c r="I252" s="189">
        <v>0.14929161393777982</v>
      </c>
      <c r="J252" s="189">
        <v>0.15051506040438847</v>
      </c>
      <c r="K252" s="189">
        <v>0.15173850687099713</v>
      </c>
      <c r="L252" s="189">
        <v>0.15296195333760579</v>
      </c>
      <c r="M252" s="189">
        <v>0.15418539980421445</v>
      </c>
      <c r="N252" s="189">
        <v>0.1554088462708231</v>
      </c>
      <c r="O252" s="189">
        <v>0.15663229273743176</v>
      </c>
      <c r="P252" s="189">
        <v>0.15785573920404042</v>
      </c>
      <c r="Q252" s="189">
        <v>0.15907918567064908</v>
      </c>
      <c r="R252" s="189">
        <v>0.16030263213725773</v>
      </c>
      <c r="S252" s="189">
        <v>0.16152607860386639</v>
      </c>
      <c r="T252" s="189">
        <v>0.16274952507047505</v>
      </c>
      <c r="U252" s="189">
        <v>0.16397297153708384</v>
      </c>
      <c r="V252" s="189">
        <v>0.1642898026056781</v>
      </c>
      <c r="W252" s="189">
        <v>0.16460663367427236</v>
      </c>
      <c r="X252" s="189">
        <v>0.16492346474286662</v>
      </c>
      <c r="Y252" s="189">
        <v>0.16524029581146088</v>
      </c>
      <c r="Z252" s="189">
        <v>0.16555712688005514</v>
      </c>
      <c r="AA252" s="189">
        <v>0.1658739579486494</v>
      </c>
      <c r="AB252" s="189">
        <v>0.16619078901724366</v>
      </c>
      <c r="AC252" s="189">
        <v>0.16650762008583792</v>
      </c>
      <c r="AD252" s="189">
        <v>0.16682445115443217</v>
      </c>
      <c r="AE252" s="189">
        <v>0.16714128222302643</v>
      </c>
      <c r="AF252" s="189">
        <v>0.16745811329162069</v>
      </c>
      <c r="AG252" s="189">
        <v>0.16777494436021495</v>
      </c>
      <c r="AH252" s="189">
        <v>0.16809177542880921</v>
      </c>
      <c r="AI252" s="189">
        <v>0.16840860649740347</v>
      </c>
      <c r="AJ252" s="189">
        <v>0.16872543756599792</v>
      </c>
    </row>
    <row r="253" spans="1:36" x14ac:dyDescent="0.35">
      <c r="A253" t="s">
        <v>1727</v>
      </c>
      <c r="B253" s="188" t="s">
        <v>1342</v>
      </c>
      <c r="C253" t="s">
        <v>1348</v>
      </c>
      <c r="D253" s="188">
        <v>30</v>
      </c>
      <c r="E253" t="s">
        <v>1701</v>
      </c>
      <c r="F253" t="s">
        <v>1391</v>
      </c>
      <c r="G253" s="189" t="s">
        <v>1726</v>
      </c>
      <c r="H253" s="189">
        <v>0.14661290564167245</v>
      </c>
      <c r="I253" s="189">
        <v>0.14735126483178154</v>
      </c>
      <c r="J253" s="189">
        <v>0.14808962402189063</v>
      </c>
      <c r="K253" s="189">
        <v>0.14882798321199972</v>
      </c>
      <c r="L253" s="189">
        <v>0.14956634240210881</v>
      </c>
      <c r="M253" s="189">
        <v>0.1503047015922179</v>
      </c>
      <c r="N253" s="189">
        <v>0.15104306078232699</v>
      </c>
      <c r="O253" s="189">
        <v>0.15178141997243608</v>
      </c>
      <c r="P253" s="189">
        <v>0.15251977916254517</v>
      </c>
      <c r="Q253" s="189">
        <v>0.15325813835265426</v>
      </c>
      <c r="R253" s="189">
        <v>0.15399649754276334</v>
      </c>
      <c r="S253" s="189">
        <v>0.15473485673287243</v>
      </c>
      <c r="T253" s="189">
        <v>0.15547321592298152</v>
      </c>
      <c r="U253" s="189">
        <v>0.15621157511309053</v>
      </c>
      <c r="V253" s="189">
        <v>0.15672900154135674</v>
      </c>
      <c r="W253" s="189">
        <v>0.15724642796962296</v>
      </c>
      <c r="X253" s="189">
        <v>0.15776385439788917</v>
      </c>
      <c r="Y253" s="189">
        <v>0.15828128082615539</v>
      </c>
      <c r="Z253" s="189">
        <v>0.15879870725442161</v>
      </c>
      <c r="AA253" s="189">
        <v>0.15931613368268782</v>
      </c>
      <c r="AB253" s="189">
        <v>0.15983356011095404</v>
      </c>
      <c r="AC253" s="189">
        <v>0.16035098653922025</v>
      </c>
      <c r="AD253" s="189">
        <v>0.16086841296748647</v>
      </c>
      <c r="AE253" s="189">
        <v>0.16138583939575268</v>
      </c>
      <c r="AF253" s="189">
        <v>0.1619032658240189</v>
      </c>
      <c r="AG253" s="189">
        <v>0.16242069225228511</v>
      </c>
      <c r="AH253" s="189">
        <v>0.16293811868055133</v>
      </c>
      <c r="AI253" s="189">
        <v>0.16345554510881755</v>
      </c>
      <c r="AJ253" s="189">
        <v>0.16397297153708384</v>
      </c>
    </row>
    <row r="254" spans="1:36" x14ac:dyDescent="0.35">
      <c r="A254" t="s">
        <v>1728</v>
      </c>
      <c r="B254" s="188" t="s">
        <v>1342</v>
      </c>
      <c r="C254" t="s">
        <v>1350</v>
      </c>
      <c r="D254" s="188">
        <v>30</v>
      </c>
      <c r="E254" t="s">
        <v>1701</v>
      </c>
      <c r="F254" t="s">
        <v>1391</v>
      </c>
      <c r="G254" s="189" t="s">
        <v>1726</v>
      </c>
      <c r="H254" s="189">
        <v>0.14439782807134519</v>
      </c>
      <c r="I254" s="189">
        <v>0.14439782807134519</v>
      </c>
      <c r="J254" s="189">
        <v>0.14439782807134519</v>
      </c>
      <c r="K254" s="189">
        <v>0.14439782807134519</v>
      </c>
      <c r="L254" s="189">
        <v>0.14439782807134519</v>
      </c>
      <c r="M254" s="189">
        <v>0.14439782807134519</v>
      </c>
      <c r="N254" s="189">
        <v>0.14439782807134519</v>
      </c>
      <c r="O254" s="189">
        <v>0.14439782807134519</v>
      </c>
      <c r="P254" s="189">
        <v>0.14439782807134519</v>
      </c>
      <c r="Q254" s="189">
        <v>0.14439782807134519</v>
      </c>
      <c r="R254" s="189">
        <v>0.14439782807134519</v>
      </c>
      <c r="S254" s="189">
        <v>0.14439782807134519</v>
      </c>
      <c r="T254" s="189">
        <v>0.14439782807134519</v>
      </c>
      <c r="U254" s="189">
        <v>0.14439782807134519</v>
      </c>
      <c r="V254" s="189">
        <v>0.14518541120746153</v>
      </c>
      <c r="W254" s="189">
        <v>0.14597299434357788</v>
      </c>
      <c r="X254" s="189">
        <v>0.14676057747969423</v>
      </c>
      <c r="Y254" s="189">
        <v>0.14754816061581058</v>
      </c>
      <c r="Z254" s="189">
        <v>0.14833574375192693</v>
      </c>
      <c r="AA254" s="189">
        <v>0.14912332688804328</v>
      </c>
      <c r="AB254" s="189">
        <v>0.14991091002415963</v>
      </c>
      <c r="AC254" s="189">
        <v>0.15069849316027598</v>
      </c>
      <c r="AD254" s="189">
        <v>0.15148607629639232</v>
      </c>
      <c r="AE254" s="189">
        <v>0.15227365943250867</v>
      </c>
      <c r="AF254" s="189">
        <v>0.15306124256862502</v>
      </c>
      <c r="AG254" s="189">
        <v>0.15384882570474137</v>
      </c>
      <c r="AH254" s="189">
        <v>0.15463640884085772</v>
      </c>
      <c r="AI254" s="189">
        <v>0.15542399197697407</v>
      </c>
      <c r="AJ254" s="189">
        <v>0.15621157511309053</v>
      </c>
    </row>
    <row r="255" spans="1:36" x14ac:dyDescent="0.35">
      <c r="A255" t="s">
        <v>1729</v>
      </c>
      <c r="B255" s="188" t="s">
        <v>1342</v>
      </c>
      <c r="C255" t="s">
        <v>1343</v>
      </c>
      <c r="D255" s="188">
        <v>30</v>
      </c>
      <c r="E255" t="s">
        <v>1701</v>
      </c>
      <c r="F255" t="s">
        <v>1357</v>
      </c>
      <c r="G255" s="189" t="s">
        <v>1730</v>
      </c>
      <c r="H255" s="189">
        <v>0.14062506107983974</v>
      </c>
      <c r="I255" s="189">
        <v>0.14178700720933618</v>
      </c>
      <c r="J255" s="189">
        <v>0.14294895333883262</v>
      </c>
      <c r="K255" s="189">
        <v>0.14411089946832906</v>
      </c>
      <c r="L255" s="189">
        <v>0.1452728455978255</v>
      </c>
      <c r="M255" s="189">
        <v>0.14643479172732193</v>
      </c>
      <c r="N255" s="189">
        <v>0.14759673785681837</v>
      </c>
      <c r="O255" s="189">
        <v>0.14875868398631481</v>
      </c>
      <c r="P255" s="189">
        <v>0.14992063011581125</v>
      </c>
      <c r="Q255" s="189">
        <v>0.15108257624530769</v>
      </c>
      <c r="R255" s="189">
        <v>0.15224452237480413</v>
      </c>
      <c r="S255" s="189">
        <v>0.15340646850430056</v>
      </c>
      <c r="T255" s="189">
        <v>0.154568414633797</v>
      </c>
      <c r="U255" s="189">
        <v>0.15573036076329341</v>
      </c>
      <c r="V255" s="189">
        <v>0.15603126533403266</v>
      </c>
      <c r="W255" s="189">
        <v>0.15633216990477192</v>
      </c>
      <c r="X255" s="189">
        <v>0.15663307447551117</v>
      </c>
      <c r="Y255" s="189">
        <v>0.15693397904625042</v>
      </c>
      <c r="Z255" s="189">
        <v>0.15723488361698967</v>
      </c>
      <c r="AA255" s="189">
        <v>0.15753578818772893</v>
      </c>
      <c r="AB255" s="189">
        <v>0.15783669275846818</v>
      </c>
      <c r="AC255" s="189">
        <v>0.15813759732920743</v>
      </c>
      <c r="AD255" s="189">
        <v>0.15843850189994668</v>
      </c>
      <c r="AE255" s="189">
        <v>0.15873940647068593</v>
      </c>
      <c r="AF255" s="189">
        <v>0.15904031104142519</v>
      </c>
      <c r="AG255" s="189">
        <v>0.15934121561216444</v>
      </c>
      <c r="AH255" s="189">
        <v>0.15964212018290369</v>
      </c>
      <c r="AI255" s="189">
        <v>0.15994302475364294</v>
      </c>
      <c r="AJ255" s="189">
        <v>0.16024392932438219</v>
      </c>
    </row>
    <row r="256" spans="1:36" x14ac:dyDescent="0.35">
      <c r="A256" t="s">
        <v>1731</v>
      </c>
      <c r="B256" s="188" t="s">
        <v>1342</v>
      </c>
      <c r="C256" t="s">
        <v>1348</v>
      </c>
      <c r="D256" s="188">
        <v>30</v>
      </c>
      <c r="E256" t="s">
        <v>1701</v>
      </c>
      <c r="F256" t="s">
        <v>1357</v>
      </c>
      <c r="G256" s="189" t="s">
        <v>1730</v>
      </c>
      <c r="H256" s="189">
        <v>0.13924295250677138</v>
      </c>
      <c r="I256" s="189">
        <v>0.13994419577857836</v>
      </c>
      <c r="J256" s="189">
        <v>0.14064543905038535</v>
      </c>
      <c r="K256" s="189">
        <v>0.14134668232219233</v>
      </c>
      <c r="L256" s="189">
        <v>0.14204792559399931</v>
      </c>
      <c r="M256" s="189">
        <v>0.1427491688658063</v>
      </c>
      <c r="N256" s="189">
        <v>0.14345041213761328</v>
      </c>
      <c r="O256" s="189">
        <v>0.14415165540942027</v>
      </c>
      <c r="P256" s="189">
        <v>0.14485289868122725</v>
      </c>
      <c r="Q256" s="189">
        <v>0.14555414195303423</v>
      </c>
      <c r="R256" s="189">
        <v>0.14625538522484122</v>
      </c>
      <c r="S256" s="189">
        <v>0.1469566284966482</v>
      </c>
      <c r="T256" s="189">
        <v>0.14765787176845518</v>
      </c>
      <c r="U256" s="189">
        <v>0.14835911504026239</v>
      </c>
      <c r="V256" s="189">
        <v>0.1488505314217978</v>
      </c>
      <c r="W256" s="189">
        <v>0.14934194780333321</v>
      </c>
      <c r="X256" s="189">
        <v>0.14983336418486862</v>
      </c>
      <c r="Y256" s="189">
        <v>0.15032478056640403</v>
      </c>
      <c r="Z256" s="189">
        <v>0.15081619694793943</v>
      </c>
      <c r="AA256" s="189">
        <v>0.15130761332947484</v>
      </c>
      <c r="AB256" s="189">
        <v>0.15179902971101025</v>
      </c>
      <c r="AC256" s="189">
        <v>0.15229044609254566</v>
      </c>
      <c r="AD256" s="189">
        <v>0.15278186247408107</v>
      </c>
      <c r="AE256" s="189">
        <v>0.15327327885561648</v>
      </c>
      <c r="AF256" s="189">
        <v>0.15376469523715189</v>
      </c>
      <c r="AG256" s="189">
        <v>0.1542561116186873</v>
      </c>
      <c r="AH256" s="189">
        <v>0.15474752800022271</v>
      </c>
      <c r="AI256" s="189">
        <v>0.15523894438175811</v>
      </c>
      <c r="AJ256" s="189">
        <v>0.15573036076329341</v>
      </c>
    </row>
    <row r="257" spans="1:36" x14ac:dyDescent="0.35">
      <c r="A257" t="s">
        <v>1732</v>
      </c>
      <c r="B257" s="188" t="s">
        <v>1342</v>
      </c>
      <c r="C257" t="s">
        <v>1350</v>
      </c>
      <c r="D257" s="188">
        <v>30</v>
      </c>
      <c r="E257" t="s">
        <v>1701</v>
      </c>
      <c r="F257" t="s">
        <v>1357</v>
      </c>
      <c r="G257" s="189" t="s">
        <v>1730</v>
      </c>
      <c r="H257" s="189">
        <v>0.13713922269135043</v>
      </c>
      <c r="I257" s="189">
        <v>0.13713922269135043</v>
      </c>
      <c r="J257" s="189">
        <v>0.13713922269135043</v>
      </c>
      <c r="K257" s="189">
        <v>0.13713922269135043</v>
      </c>
      <c r="L257" s="189">
        <v>0.13713922269135043</v>
      </c>
      <c r="M257" s="189">
        <v>0.13713922269135043</v>
      </c>
      <c r="N257" s="189">
        <v>0.13713922269135043</v>
      </c>
      <c r="O257" s="189">
        <v>0.13713922269135043</v>
      </c>
      <c r="P257" s="189">
        <v>0.13713922269135043</v>
      </c>
      <c r="Q257" s="189">
        <v>0.13713922269135043</v>
      </c>
      <c r="R257" s="189">
        <v>0.13713922269135043</v>
      </c>
      <c r="S257" s="189">
        <v>0.13713922269135043</v>
      </c>
      <c r="T257" s="189">
        <v>0.13713922269135043</v>
      </c>
      <c r="U257" s="189">
        <v>0.13713922269135043</v>
      </c>
      <c r="V257" s="189">
        <v>0.13788721551461122</v>
      </c>
      <c r="W257" s="189">
        <v>0.13863520833787202</v>
      </c>
      <c r="X257" s="189">
        <v>0.13938320116113281</v>
      </c>
      <c r="Y257" s="189">
        <v>0.14013119398439361</v>
      </c>
      <c r="Z257" s="189">
        <v>0.14087918680765441</v>
      </c>
      <c r="AA257" s="189">
        <v>0.1416271796309152</v>
      </c>
      <c r="AB257" s="189">
        <v>0.142375172454176</v>
      </c>
      <c r="AC257" s="189">
        <v>0.14312316527743679</v>
      </c>
      <c r="AD257" s="189">
        <v>0.14387115810069759</v>
      </c>
      <c r="AE257" s="189">
        <v>0.14461915092395838</v>
      </c>
      <c r="AF257" s="189">
        <v>0.14536714374721918</v>
      </c>
      <c r="AG257" s="189">
        <v>0.14611513657047998</v>
      </c>
      <c r="AH257" s="189">
        <v>0.14686312939374077</v>
      </c>
      <c r="AI257" s="189">
        <v>0.14761112221700157</v>
      </c>
      <c r="AJ257" s="189">
        <v>0.14835911504026239</v>
      </c>
    </row>
    <row r="258" spans="1:36" x14ac:dyDescent="0.35">
      <c r="A258" t="s">
        <v>1733</v>
      </c>
      <c r="B258" s="188" t="s">
        <v>1342</v>
      </c>
      <c r="C258" t="s">
        <v>1343</v>
      </c>
      <c r="D258" s="188">
        <v>30</v>
      </c>
      <c r="E258" t="s">
        <v>1701</v>
      </c>
      <c r="F258" t="s">
        <v>1400</v>
      </c>
      <c r="G258" s="189" t="s">
        <v>1734</v>
      </c>
      <c r="H258" s="189">
        <v>0.13498464379683944</v>
      </c>
      <c r="I258" s="189">
        <v>0.13609998471258236</v>
      </c>
      <c r="J258" s="189">
        <v>0.13721532562832528</v>
      </c>
      <c r="K258" s="189">
        <v>0.1383306665440682</v>
      </c>
      <c r="L258" s="189">
        <v>0.13944600745981112</v>
      </c>
      <c r="M258" s="189">
        <v>0.14056134837555403</v>
      </c>
      <c r="N258" s="189">
        <v>0.14167668929129695</v>
      </c>
      <c r="O258" s="189">
        <v>0.14279203020703987</v>
      </c>
      <c r="P258" s="189">
        <v>0.14390737112278279</v>
      </c>
      <c r="Q258" s="189">
        <v>0.14502271203852571</v>
      </c>
      <c r="R258" s="189">
        <v>0.14613805295426863</v>
      </c>
      <c r="S258" s="189">
        <v>0.14725339387001155</v>
      </c>
      <c r="T258" s="189">
        <v>0.14836873478575446</v>
      </c>
      <c r="U258" s="189">
        <v>0.14948407570149747</v>
      </c>
      <c r="V258" s="189">
        <v>0.14977291110527388</v>
      </c>
      <c r="W258" s="189">
        <v>0.1500617465090503</v>
      </c>
      <c r="X258" s="189">
        <v>0.15035058191282671</v>
      </c>
      <c r="Y258" s="189">
        <v>0.15063941731660313</v>
      </c>
      <c r="Z258" s="189">
        <v>0.15092825272037955</v>
      </c>
      <c r="AA258" s="189">
        <v>0.15121708812415596</v>
      </c>
      <c r="AB258" s="189">
        <v>0.15150592352793238</v>
      </c>
      <c r="AC258" s="189">
        <v>0.1517947589317088</v>
      </c>
      <c r="AD258" s="189">
        <v>0.15208359433548521</v>
      </c>
      <c r="AE258" s="189">
        <v>0.15237242973926163</v>
      </c>
      <c r="AF258" s="189">
        <v>0.15266126514303804</v>
      </c>
      <c r="AG258" s="189">
        <v>0.15295010054681446</v>
      </c>
      <c r="AH258" s="189">
        <v>0.15323893595059088</v>
      </c>
      <c r="AI258" s="189">
        <v>0.15352777135436729</v>
      </c>
      <c r="AJ258" s="189">
        <v>0.15381660675814374</v>
      </c>
    </row>
    <row r="259" spans="1:36" x14ac:dyDescent="0.35">
      <c r="A259" t="s">
        <v>1735</v>
      </c>
      <c r="B259" s="188" t="s">
        <v>1342</v>
      </c>
      <c r="C259" t="s">
        <v>1348</v>
      </c>
      <c r="D259" s="188">
        <v>30</v>
      </c>
      <c r="E259" t="s">
        <v>1701</v>
      </c>
      <c r="F259" t="s">
        <v>1400</v>
      </c>
      <c r="G259" s="189" t="s">
        <v>1734</v>
      </c>
      <c r="H259" s="189">
        <v>0.13365797106872407</v>
      </c>
      <c r="I259" s="189">
        <v>0.13433108774176186</v>
      </c>
      <c r="J259" s="189">
        <v>0.13500420441479966</v>
      </c>
      <c r="K259" s="189">
        <v>0.13567732108783745</v>
      </c>
      <c r="L259" s="189">
        <v>0.13635043776087524</v>
      </c>
      <c r="M259" s="189">
        <v>0.13702355443391304</v>
      </c>
      <c r="N259" s="189">
        <v>0.13769667110695083</v>
      </c>
      <c r="O259" s="189">
        <v>0.13836978777998862</v>
      </c>
      <c r="P259" s="189">
        <v>0.13904290445302642</v>
      </c>
      <c r="Q259" s="189">
        <v>0.13971602112606421</v>
      </c>
      <c r="R259" s="189">
        <v>0.140389137799102</v>
      </c>
      <c r="S259" s="189">
        <v>0.1410622544721398</v>
      </c>
      <c r="T259" s="189">
        <v>0.14173537114517759</v>
      </c>
      <c r="U259" s="189">
        <v>0.14240848781821538</v>
      </c>
      <c r="V259" s="189">
        <v>0.14288019367710086</v>
      </c>
      <c r="W259" s="189">
        <v>0.14335189953598634</v>
      </c>
      <c r="X259" s="189">
        <v>0.14382360539487182</v>
      </c>
      <c r="Y259" s="189">
        <v>0.1442953112537573</v>
      </c>
      <c r="Z259" s="189">
        <v>0.14476701711264278</v>
      </c>
      <c r="AA259" s="189">
        <v>0.14523872297152826</v>
      </c>
      <c r="AB259" s="189">
        <v>0.14571042883041374</v>
      </c>
      <c r="AC259" s="189">
        <v>0.14618213468929922</v>
      </c>
      <c r="AD259" s="189">
        <v>0.1466538405481847</v>
      </c>
      <c r="AE259" s="189">
        <v>0.14712554640707018</v>
      </c>
      <c r="AF259" s="189">
        <v>0.14759725226595566</v>
      </c>
      <c r="AG259" s="189">
        <v>0.14806895812484114</v>
      </c>
      <c r="AH259" s="189">
        <v>0.14854066398372662</v>
      </c>
      <c r="AI259" s="189">
        <v>0.1490123698426121</v>
      </c>
      <c r="AJ259" s="189">
        <v>0.14948407570149747</v>
      </c>
    </row>
    <row r="260" spans="1:36" x14ac:dyDescent="0.35">
      <c r="A260" t="s">
        <v>1736</v>
      </c>
      <c r="B260" s="188" t="s">
        <v>1342</v>
      </c>
      <c r="C260" t="s">
        <v>1350</v>
      </c>
      <c r="D260" s="188">
        <v>30</v>
      </c>
      <c r="E260" t="s">
        <v>1701</v>
      </c>
      <c r="F260" t="s">
        <v>1400</v>
      </c>
      <c r="G260" s="189" t="s">
        <v>1734</v>
      </c>
      <c r="H260" s="189">
        <v>0.13163862104961069</v>
      </c>
      <c r="I260" s="189">
        <v>0.13163862104961069</v>
      </c>
      <c r="J260" s="189">
        <v>0.13163862104961069</v>
      </c>
      <c r="K260" s="189">
        <v>0.13163862104961069</v>
      </c>
      <c r="L260" s="189">
        <v>0.13163862104961069</v>
      </c>
      <c r="M260" s="189">
        <v>0.13163862104961069</v>
      </c>
      <c r="N260" s="189">
        <v>0.13163862104961069</v>
      </c>
      <c r="O260" s="189">
        <v>0.13163862104961069</v>
      </c>
      <c r="P260" s="189">
        <v>0.13163862104961069</v>
      </c>
      <c r="Q260" s="189">
        <v>0.13163862104961069</v>
      </c>
      <c r="R260" s="189">
        <v>0.13163862104961069</v>
      </c>
      <c r="S260" s="189">
        <v>0.13163862104961069</v>
      </c>
      <c r="T260" s="189">
        <v>0.13163862104961069</v>
      </c>
      <c r="U260" s="189">
        <v>0.13163862104961069</v>
      </c>
      <c r="V260" s="189">
        <v>0.13235661216751768</v>
      </c>
      <c r="W260" s="189">
        <v>0.13307460328542467</v>
      </c>
      <c r="X260" s="189">
        <v>0.13379259440333166</v>
      </c>
      <c r="Y260" s="189">
        <v>0.13451058552123865</v>
      </c>
      <c r="Z260" s="189">
        <v>0.13522857663914564</v>
      </c>
      <c r="AA260" s="189">
        <v>0.13594656775705263</v>
      </c>
      <c r="AB260" s="189">
        <v>0.13666455887495962</v>
      </c>
      <c r="AC260" s="189">
        <v>0.13738254999286661</v>
      </c>
      <c r="AD260" s="189">
        <v>0.13810054111077361</v>
      </c>
      <c r="AE260" s="189">
        <v>0.1388185322286806</v>
      </c>
      <c r="AF260" s="189">
        <v>0.13953652334658759</v>
      </c>
      <c r="AG260" s="189">
        <v>0.14025451446449458</v>
      </c>
      <c r="AH260" s="189">
        <v>0.14097250558240157</v>
      </c>
      <c r="AI260" s="189">
        <v>0.14169049670030856</v>
      </c>
      <c r="AJ260" s="189">
        <v>0.14240848781821538</v>
      </c>
    </row>
    <row r="261" spans="1:36" x14ac:dyDescent="0.35">
      <c r="A261" t="s">
        <v>1737</v>
      </c>
      <c r="B261" s="188" t="s">
        <v>1342</v>
      </c>
      <c r="C261" t="s">
        <v>1343</v>
      </c>
      <c r="D261" s="188">
        <v>30</v>
      </c>
      <c r="E261" t="s">
        <v>1701</v>
      </c>
      <c r="F261" t="s">
        <v>1405</v>
      </c>
      <c r="G261" s="189" t="s">
        <v>1738</v>
      </c>
      <c r="H261" s="189">
        <v>0.12278875859490863</v>
      </c>
      <c r="I261" s="189">
        <v>0.12380332827188835</v>
      </c>
      <c r="J261" s="189">
        <v>0.12481789794886806</v>
      </c>
      <c r="K261" s="189">
        <v>0.12583246762584779</v>
      </c>
      <c r="L261" s="189">
        <v>0.12684703730282751</v>
      </c>
      <c r="M261" s="189">
        <v>0.12786160697980722</v>
      </c>
      <c r="N261" s="189">
        <v>0.12887617665678694</v>
      </c>
      <c r="O261" s="189">
        <v>0.12989074633376665</v>
      </c>
      <c r="P261" s="189">
        <v>0.13090531601074637</v>
      </c>
      <c r="Q261" s="189">
        <v>0.13191988568772609</v>
      </c>
      <c r="R261" s="189">
        <v>0.1329344553647058</v>
      </c>
      <c r="S261" s="189">
        <v>0.13394902504168552</v>
      </c>
      <c r="T261" s="189">
        <v>0.13496359471866523</v>
      </c>
      <c r="U261" s="189">
        <v>0.13597816439564503</v>
      </c>
      <c r="V261" s="189">
        <v>0.13624090347225692</v>
      </c>
      <c r="W261" s="189">
        <v>0.13650364254886882</v>
      </c>
      <c r="X261" s="189">
        <v>0.13676638162548072</v>
      </c>
      <c r="Y261" s="189">
        <v>0.13702912070209261</v>
      </c>
      <c r="Z261" s="189">
        <v>0.13729185977870451</v>
      </c>
      <c r="AA261" s="189">
        <v>0.1375545988553164</v>
      </c>
      <c r="AB261" s="189">
        <v>0.1378173379319283</v>
      </c>
      <c r="AC261" s="189">
        <v>0.13808007700854019</v>
      </c>
      <c r="AD261" s="189">
        <v>0.13834281608515209</v>
      </c>
      <c r="AE261" s="189">
        <v>0.13860555516176398</v>
      </c>
      <c r="AF261" s="189">
        <v>0.13886829423837588</v>
      </c>
      <c r="AG261" s="189">
        <v>0.13913103331498777</v>
      </c>
      <c r="AH261" s="189">
        <v>0.13939377239159967</v>
      </c>
      <c r="AI261" s="189">
        <v>0.13965651146821156</v>
      </c>
      <c r="AJ261" s="189">
        <v>0.13991925054482326</v>
      </c>
    </row>
    <row r="262" spans="1:36" x14ac:dyDescent="0.35">
      <c r="A262" t="s">
        <v>1739</v>
      </c>
      <c r="B262" s="188" t="s">
        <v>1342</v>
      </c>
      <c r="C262" t="s">
        <v>1348</v>
      </c>
      <c r="D262" s="188">
        <v>30</v>
      </c>
      <c r="E262" t="s">
        <v>1701</v>
      </c>
      <c r="F262" t="s">
        <v>1405</v>
      </c>
      <c r="G262" s="189" t="s">
        <v>1738</v>
      </c>
      <c r="H262" s="189">
        <v>0.12158195097024145</v>
      </c>
      <c r="I262" s="189">
        <v>0.12219425143899877</v>
      </c>
      <c r="J262" s="189">
        <v>0.12280655190775609</v>
      </c>
      <c r="K262" s="189">
        <v>0.12341885237651341</v>
      </c>
      <c r="L262" s="189">
        <v>0.12403115284527073</v>
      </c>
      <c r="M262" s="189">
        <v>0.12464345331402805</v>
      </c>
      <c r="N262" s="189">
        <v>0.12525575378278539</v>
      </c>
      <c r="O262" s="189">
        <v>0.12586805425154271</v>
      </c>
      <c r="P262" s="189">
        <v>0.12648035472030003</v>
      </c>
      <c r="Q262" s="189">
        <v>0.12709265518905735</v>
      </c>
      <c r="R262" s="189">
        <v>0.12770495565781467</v>
      </c>
      <c r="S262" s="189">
        <v>0.12831725612657199</v>
      </c>
      <c r="T262" s="189">
        <v>0.12892955659532931</v>
      </c>
      <c r="U262" s="189">
        <v>0.12954185706408672</v>
      </c>
      <c r="V262" s="189">
        <v>0.12997094421952393</v>
      </c>
      <c r="W262" s="189">
        <v>0.13040003137496115</v>
      </c>
      <c r="X262" s="189">
        <v>0.13082911853039836</v>
      </c>
      <c r="Y262" s="189">
        <v>0.13125820568583557</v>
      </c>
      <c r="Z262" s="189">
        <v>0.13168729284127279</v>
      </c>
      <c r="AA262" s="189">
        <v>0.13211637999671</v>
      </c>
      <c r="AB262" s="189">
        <v>0.13254546715214721</v>
      </c>
      <c r="AC262" s="189">
        <v>0.13297455430758442</v>
      </c>
      <c r="AD262" s="189">
        <v>0.13340364146302164</v>
      </c>
      <c r="AE262" s="189">
        <v>0.13383272861845885</v>
      </c>
      <c r="AF262" s="189">
        <v>0.13426181577389606</v>
      </c>
      <c r="AG262" s="189">
        <v>0.13469090292933328</v>
      </c>
      <c r="AH262" s="189">
        <v>0.13511999008477049</v>
      </c>
      <c r="AI262" s="189">
        <v>0.1355490772402077</v>
      </c>
      <c r="AJ262" s="189">
        <v>0.13597816439564503</v>
      </c>
    </row>
    <row r="263" spans="1:36" x14ac:dyDescent="0.35">
      <c r="A263" t="s">
        <v>1740</v>
      </c>
      <c r="B263" s="188" t="s">
        <v>1342</v>
      </c>
      <c r="C263" t="s">
        <v>1350</v>
      </c>
      <c r="D263" s="188">
        <v>30</v>
      </c>
      <c r="E263" t="s">
        <v>1701</v>
      </c>
      <c r="F263" t="s">
        <v>1405</v>
      </c>
      <c r="G263" s="189" t="s">
        <v>1738</v>
      </c>
      <c r="H263" s="189">
        <v>0.11974504956396949</v>
      </c>
      <c r="I263" s="189">
        <v>0.11974504956396949</v>
      </c>
      <c r="J263" s="189">
        <v>0.11974504956396949</v>
      </c>
      <c r="K263" s="189">
        <v>0.11974504956396949</v>
      </c>
      <c r="L263" s="189">
        <v>0.11974504956396949</v>
      </c>
      <c r="M263" s="189">
        <v>0.11974504956396949</v>
      </c>
      <c r="N263" s="189">
        <v>0.11974504956396949</v>
      </c>
      <c r="O263" s="189">
        <v>0.11974504956396949</v>
      </c>
      <c r="P263" s="189">
        <v>0.11974504956396949</v>
      </c>
      <c r="Q263" s="189">
        <v>0.11974504956396949</v>
      </c>
      <c r="R263" s="189">
        <v>0.11974504956396949</v>
      </c>
      <c r="S263" s="189">
        <v>0.11974504956396949</v>
      </c>
      <c r="T263" s="189">
        <v>0.11974504956396949</v>
      </c>
      <c r="U263" s="189">
        <v>0.11974504956396949</v>
      </c>
      <c r="V263" s="189">
        <v>0.12039817006397731</v>
      </c>
      <c r="W263" s="189">
        <v>0.12105129056398513</v>
      </c>
      <c r="X263" s="189">
        <v>0.12170441106399295</v>
      </c>
      <c r="Y263" s="189">
        <v>0.12235753156400077</v>
      </c>
      <c r="Z263" s="189">
        <v>0.12301065206400859</v>
      </c>
      <c r="AA263" s="189">
        <v>0.12366377256401641</v>
      </c>
      <c r="AB263" s="189">
        <v>0.12431689306402423</v>
      </c>
      <c r="AC263" s="189">
        <v>0.12497001356403205</v>
      </c>
      <c r="AD263" s="189">
        <v>0.12562313406403985</v>
      </c>
      <c r="AE263" s="189">
        <v>0.12627625456404767</v>
      </c>
      <c r="AF263" s="189">
        <v>0.12692937506405549</v>
      </c>
      <c r="AG263" s="189">
        <v>0.12758249556406331</v>
      </c>
      <c r="AH263" s="189">
        <v>0.12823561606407113</v>
      </c>
      <c r="AI263" s="189">
        <v>0.12888873656407895</v>
      </c>
      <c r="AJ263" s="189">
        <v>0.12954185706408672</v>
      </c>
    </row>
    <row r="264" spans="1:36" x14ac:dyDescent="0.35">
      <c r="A264" t="s">
        <v>1741</v>
      </c>
      <c r="B264" s="188" t="s">
        <v>1342</v>
      </c>
      <c r="C264" t="s">
        <v>1343</v>
      </c>
      <c r="D264" s="188">
        <v>30</v>
      </c>
      <c r="E264" t="s">
        <v>1742</v>
      </c>
      <c r="F264" t="s">
        <v>1363</v>
      </c>
      <c r="G264" s="189" t="s">
        <v>1743</v>
      </c>
      <c r="H264" s="189">
        <v>0.18613626334678623</v>
      </c>
      <c r="I264" s="189">
        <v>0.18663573637026787</v>
      </c>
      <c r="J264" s="189">
        <v>0.1871352093937495</v>
      </c>
      <c r="K264" s="189">
        <v>0.18763468241723114</v>
      </c>
      <c r="L264" s="189">
        <v>0.18813415544071277</v>
      </c>
      <c r="M264" s="189">
        <v>0.1886336284641944</v>
      </c>
      <c r="N264" s="189">
        <v>0.18913310148767604</v>
      </c>
      <c r="O264" s="189">
        <v>0.18963257451115767</v>
      </c>
      <c r="P264" s="189">
        <v>0.1901320475346393</v>
      </c>
      <c r="Q264" s="189">
        <v>0.19063152055812094</v>
      </c>
      <c r="R264" s="189">
        <v>0.19113099358160257</v>
      </c>
      <c r="S264" s="189">
        <v>0.1916304666050842</v>
      </c>
      <c r="T264" s="189">
        <v>0.19212993962856584</v>
      </c>
      <c r="U264" s="189">
        <v>0.19262941265204728</v>
      </c>
      <c r="V264" s="189">
        <v>0.19262941265204728</v>
      </c>
      <c r="W264" s="189">
        <v>0.19262941265204728</v>
      </c>
      <c r="X264" s="189">
        <v>0.19262941265204728</v>
      </c>
      <c r="Y264" s="189">
        <v>0.19262941265204728</v>
      </c>
      <c r="Z264" s="189">
        <v>0.19262941265204728</v>
      </c>
      <c r="AA264" s="189">
        <v>0.19262941265204728</v>
      </c>
      <c r="AB264" s="189">
        <v>0.19262941265204728</v>
      </c>
      <c r="AC264" s="189">
        <v>0.19262941265204728</v>
      </c>
      <c r="AD264" s="189">
        <v>0.19262941265204728</v>
      </c>
      <c r="AE264" s="189">
        <v>0.19262941265204728</v>
      </c>
      <c r="AF264" s="189">
        <v>0.19262941265204728</v>
      </c>
      <c r="AG264" s="189">
        <v>0.19262941265204728</v>
      </c>
      <c r="AH264" s="189">
        <v>0.19262941265204728</v>
      </c>
      <c r="AI264" s="189">
        <v>0.19262941265204728</v>
      </c>
      <c r="AJ264" s="189">
        <v>0.19262941265204728</v>
      </c>
    </row>
    <row r="265" spans="1:36" x14ac:dyDescent="0.35">
      <c r="A265" t="s">
        <v>1744</v>
      </c>
      <c r="B265" s="188" t="s">
        <v>1342</v>
      </c>
      <c r="C265" t="s">
        <v>1348</v>
      </c>
      <c r="D265" s="188">
        <v>30</v>
      </c>
      <c r="E265" t="s">
        <v>1742</v>
      </c>
      <c r="F265" t="s">
        <v>1363</v>
      </c>
      <c r="G265" s="189" t="s">
        <v>1743</v>
      </c>
      <c r="H265" s="189">
        <v>0.18522703111078531</v>
      </c>
      <c r="I265" s="189">
        <v>0.18542342672226664</v>
      </c>
      <c r="J265" s="189">
        <v>0.18561982233374796</v>
      </c>
      <c r="K265" s="189">
        <v>0.18581621794522929</v>
      </c>
      <c r="L265" s="189">
        <v>0.18601261355671062</v>
      </c>
      <c r="M265" s="189">
        <v>0.18620900916819194</v>
      </c>
      <c r="N265" s="189">
        <v>0.18640540477967327</v>
      </c>
      <c r="O265" s="189">
        <v>0.18660180039115459</v>
      </c>
      <c r="P265" s="189">
        <v>0.18679819600263592</v>
      </c>
      <c r="Q265" s="189">
        <v>0.18699459161411724</v>
      </c>
      <c r="R265" s="189">
        <v>0.18719098722559857</v>
      </c>
      <c r="S265" s="189">
        <v>0.1873873828370799</v>
      </c>
      <c r="T265" s="189">
        <v>0.18758377844856122</v>
      </c>
      <c r="U265" s="189">
        <v>0.18778017406004235</v>
      </c>
      <c r="V265" s="189">
        <v>0.18810345663284267</v>
      </c>
      <c r="W265" s="189">
        <v>0.18842673920564298</v>
      </c>
      <c r="X265" s="189">
        <v>0.1887500217784433</v>
      </c>
      <c r="Y265" s="189">
        <v>0.18907330435124362</v>
      </c>
      <c r="Z265" s="189">
        <v>0.18939658692404393</v>
      </c>
      <c r="AA265" s="189">
        <v>0.18971986949684425</v>
      </c>
      <c r="AB265" s="189">
        <v>0.19004315206964456</v>
      </c>
      <c r="AC265" s="189">
        <v>0.19036643464244488</v>
      </c>
      <c r="AD265" s="189">
        <v>0.19068971721524519</v>
      </c>
      <c r="AE265" s="189">
        <v>0.19101299978804551</v>
      </c>
      <c r="AF265" s="189">
        <v>0.19133628236084582</v>
      </c>
      <c r="AG265" s="189">
        <v>0.19165956493364614</v>
      </c>
      <c r="AH265" s="189">
        <v>0.19198284750644645</v>
      </c>
      <c r="AI265" s="189">
        <v>0.19230613007924677</v>
      </c>
      <c r="AJ265" s="189">
        <v>0.19262941265204728</v>
      </c>
    </row>
    <row r="266" spans="1:36" x14ac:dyDescent="0.35">
      <c r="A266" t="s">
        <v>1745</v>
      </c>
      <c r="B266" s="188" t="s">
        <v>1342</v>
      </c>
      <c r="C266" t="s">
        <v>1350</v>
      </c>
      <c r="D266" s="188">
        <v>30</v>
      </c>
      <c r="E266" t="s">
        <v>1742</v>
      </c>
      <c r="F266" t="s">
        <v>1363</v>
      </c>
      <c r="G266" s="189" t="s">
        <v>1743</v>
      </c>
      <c r="H266" s="189">
        <v>0.18463784427634133</v>
      </c>
      <c r="I266" s="189">
        <v>0.18463784427634133</v>
      </c>
      <c r="J266" s="189">
        <v>0.18463784427634133</v>
      </c>
      <c r="K266" s="189">
        <v>0.18463784427634133</v>
      </c>
      <c r="L266" s="189">
        <v>0.18463784427634133</v>
      </c>
      <c r="M266" s="189">
        <v>0.18463784427634133</v>
      </c>
      <c r="N266" s="189">
        <v>0.18463784427634133</v>
      </c>
      <c r="O266" s="189">
        <v>0.18463784427634133</v>
      </c>
      <c r="P266" s="189">
        <v>0.18463784427634133</v>
      </c>
      <c r="Q266" s="189">
        <v>0.18463784427634133</v>
      </c>
      <c r="R266" s="189">
        <v>0.18463784427634133</v>
      </c>
      <c r="S266" s="189">
        <v>0.18463784427634133</v>
      </c>
      <c r="T266" s="189">
        <v>0.18463784427634133</v>
      </c>
      <c r="U266" s="189">
        <v>0.18463784427634133</v>
      </c>
      <c r="V266" s="189">
        <v>0.18484733292858807</v>
      </c>
      <c r="W266" s="189">
        <v>0.18505682158083481</v>
      </c>
      <c r="X266" s="189">
        <v>0.18526631023308154</v>
      </c>
      <c r="Y266" s="189">
        <v>0.18547579888532828</v>
      </c>
      <c r="Z266" s="189">
        <v>0.18568528753757502</v>
      </c>
      <c r="AA266" s="189">
        <v>0.18589477618982175</v>
      </c>
      <c r="AB266" s="189">
        <v>0.18610426484206849</v>
      </c>
      <c r="AC266" s="189">
        <v>0.18631375349431523</v>
      </c>
      <c r="AD266" s="189">
        <v>0.18652324214656196</v>
      </c>
      <c r="AE266" s="189">
        <v>0.1867327307988087</v>
      </c>
      <c r="AF266" s="189">
        <v>0.18694221945105544</v>
      </c>
      <c r="AG266" s="189">
        <v>0.18715170810330217</v>
      </c>
      <c r="AH266" s="189">
        <v>0.18736119675554891</v>
      </c>
      <c r="AI266" s="189">
        <v>0.18757068540779565</v>
      </c>
      <c r="AJ266" s="189">
        <v>0.18778017406004235</v>
      </c>
    </row>
    <row r="267" spans="1:36" x14ac:dyDescent="0.35">
      <c r="A267" t="s">
        <v>1746</v>
      </c>
      <c r="B267" s="188" t="s">
        <v>1342</v>
      </c>
      <c r="C267" t="s">
        <v>1343</v>
      </c>
      <c r="D267" s="188">
        <v>30</v>
      </c>
      <c r="E267" t="s">
        <v>1742</v>
      </c>
      <c r="F267" t="s">
        <v>1345</v>
      </c>
      <c r="G267" s="189" t="s">
        <v>1747</v>
      </c>
      <c r="H267" s="189">
        <v>0.18325664081259391</v>
      </c>
      <c r="I267" s="189">
        <v>0.18374838673471561</v>
      </c>
      <c r="J267" s="189">
        <v>0.18424013265683731</v>
      </c>
      <c r="K267" s="189">
        <v>0.18473187857895901</v>
      </c>
      <c r="L267" s="189">
        <v>0.18522362450108071</v>
      </c>
      <c r="M267" s="189">
        <v>0.18571537042320241</v>
      </c>
      <c r="N267" s="189">
        <v>0.18620711634532411</v>
      </c>
      <c r="O267" s="189">
        <v>0.18669886226744581</v>
      </c>
      <c r="P267" s="189">
        <v>0.18719060818956751</v>
      </c>
      <c r="Q267" s="189">
        <v>0.18768235411168921</v>
      </c>
      <c r="R267" s="189">
        <v>0.18817410003381091</v>
      </c>
      <c r="S267" s="189">
        <v>0.18866584595593261</v>
      </c>
      <c r="T267" s="189">
        <v>0.18915759187805431</v>
      </c>
      <c r="U267" s="189">
        <v>0.1896493378001759</v>
      </c>
      <c r="V267" s="189">
        <v>0.1896493378001759</v>
      </c>
      <c r="W267" s="189">
        <v>0.1896493378001759</v>
      </c>
      <c r="X267" s="189">
        <v>0.1896493378001759</v>
      </c>
      <c r="Y267" s="189">
        <v>0.1896493378001759</v>
      </c>
      <c r="Z267" s="189">
        <v>0.1896493378001759</v>
      </c>
      <c r="AA267" s="189">
        <v>0.1896493378001759</v>
      </c>
      <c r="AB267" s="189">
        <v>0.1896493378001759</v>
      </c>
      <c r="AC267" s="189">
        <v>0.1896493378001759</v>
      </c>
      <c r="AD267" s="189">
        <v>0.1896493378001759</v>
      </c>
      <c r="AE267" s="189">
        <v>0.1896493378001759</v>
      </c>
      <c r="AF267" s="189">
        <v>0.1896493378001759</v>
      </c>
      <c r="AG267" s="189">
        <v>0.1896493378001759</v>
      </c>
      <c r="AH267" s="189">
        <v>0.1896493378001759</v>
      </c>
      <c r="AI267" s="189">
        <v>0.1896493378001759</v>
      </c>
      <c r="AJ267" s="189">
        <v>0.1896493378001759</v>
      </c>
    </row>
    <row r="268" spans="1:36" x14ac:dyDescent="0.35">
      <c r="A268" t="s">
        <v>1748</v>
      </c>
      <c r="B268" s="188" t="s">
        <v>1342</v>
      </c>
      <c r="C268" t="s">
        <v>1348</v>
      </c>
      <c r="D268" s="188">
        <v>30</v>
      </c>
      <c r="E268" t="s">
        <v>1742</v>
      </c>
      <c r="F268" t="s">
        <v>1345</v>
      </c>
      <c r="G268" s="189" t="s">
        <v>1747</v>
      </c>
      <c r="H268" s="189">
        <v>0.18236147486109083</v>
      </c>
      <c r="I268" s="189">
        <v>0.18255483213271151</v>
      </c>
      <c r="J268" s="189">
        <v>0.18274818940433218</v>
      </c>
      <c r="K268" s="189">
        <v>0.18294154667595286</v>
      </c>
      <c r="L268" s="189">
        <v>0.18313490394757354</v>
      </c>
      <c r="M268" s="189">
        <v>0.18332826121919421</v>
      </c>
      <c r="N268" s="189">
        <v>0.18352161849081489</v>
      </c>
      <c r="O268" s="189">
        <v>0.18371497576243556</v>
      </c>
      <c r="P268" s="189">
        <v>0.18390833303405624</v>
      </c>
      <c r="Q268" s="189">
        <v>0.18410169030567691</v>
      </c>
      <c r="R268" s="189">
        <v>0.18429504757729759</v>
      </c>
      <c r="S268" s="189">
        <v>0.18448840484891826</v>
      </c>
      <c r="T268" s="189">
        <v>0.18468176212053894</v>
      </c>
      <c r="U268" s="189">
        <v>0.1848751193921595</v>
      </c>
      <c r="V268" s="189">
        <v>0.1851934006193606</v>
      </c>
      <c r="W268" s="189">
        <v>0.18551168184656169</v>
      </c>
      <c r="X268" s="189">
        <v>0.18582996307376279</v>
      </c>
      <c r="Y268" s="189">
        <v>0.18614824430096388</v>
      </c>
      <c r="Z268" s="189">
        <v>0.18646652552816498</v>
      </c>
      <c r="AA268" s="189">
        <v>0.18678480675536607</v>
      </c>
      <c r="AB268" s="189">
        <v>0.18710308798256717</v>
      </c>
      <c r="AC268" s="189">
        <v>0.18742136920976826</v>
      </c>
      <c r="AD268" s="189">
        <v>0.18773965043696936</v>
      </c>
      <c r="AE268" s="189">
        <v>0.18805793166417045</v>
      </c>
      <c r="AF268" s="189">
        <v>0.18837621289137155</v>
      </c>
      <c r="AG268" s="189">
        <v>0.18869449411857264</v>
      </c>
      <c r="AH268" s="189">
        <v>0.18901277534577374</v>
      </c>
      <c r="AI268" s="189">
        <v>0.18933105657297483</v>
      </c>
      <c r="AJ268" s="189">
        <v>0.1896493378001759</v>
      </c>
    </row>
    <row r="269" spans="1:36" x14ac:dyDescent="0.35">
      <c r="A269" t="s">
        <v>1749</v>
      </c>
      <c r="B269" s="188" t="s">
        <v>1342</v>
      </c>
      <c r="C269" t="s">
        <v>1350</v>
      </c>
      <c r="D269" s="188">
        <v>30</v>
      </c>
      <c r="E269" t="s">
        <v>1742</v>
      </c>
      <c r="F269" t="s">
        <v>1345</v>
      </c>
      <c r="G269" s="189" t="s">
        <v>1747</v>
      </c>
      <c r="H269" s="189">
        <v>0.18178140304622881</v>
      </c>
      <c r="I269" s="189">
        <v>0.18178140304622881</v>
      </c>
      <c r="J269" s="189">
        <v>0.18178140304622881</v>
      </c>
      <c r="K269" s="189">
        <v>0.18178140304622881</v>
      </c>
      <c r="L269" s="189">
        <v>0.18178140304622881</v>
      </c>
      <c r="M269" s="189">
        <v>0.18178140304622881</v>
      </c>
      <c r="N269" s="189">
        <v>0.18178140304622881</v>
      </c>
      <c r="O269" s="189">
        <v>0.18178140304622881</v>
      </c>
      <c r="P269" s="189">
        <v>0.18178140304622881</v>
      </c>
      <c r="Q269" s="189">
        <v>0.18178140304622881</v>
      </c>
      <c r="R269" s="189">
        <v>0.18178140304622881</v>
      </c>
      <c r="S269" s="189">
        <v>0.18178140304622881</v>
      </c>
      <c r="T269" s="189">
        <v>0.18178140304622881</v>
      </c>
      <c r="U269" s="189">
        <v>0.18178140304622881</v>
      </c>
      <c r="V269" s="189">
        <v>0.18198765080262419</v>
      </c>
      <c r="W269" s="189">
        <v>0.18219389855901957</v>
      </c>
      <c r="X269" s="189">
        <v>0.18240014631541496</v>
      </c>
      <c r="Y269" s="189">
        <v>0.18260639407181034</v>
      </c>
      <c r="Z269" s="189">
        <v>0.18281264182820572</v>
      </c>
      <c r="AA269" s="189">
        <v>0.18301888958460111</v>
      </c>
      <c r="AB269" s="189">
        <v>0.18322513734099649</v>
      </c>
      <c r="AC269" s="189">
        <v>0.18343138509739187</v>
      </c>
      <c r="AD269" s="189">
        <v>0.18363763285378726</v>
      </c>
      <c r="AE269" s="189">
        <v>0.18384388061018264</v>
      </c>
      <c r="AF269" s="189">
        <v>0.18405012836657803</v>
      </c>
      <c r="AG269" s="189">
        <v>0.18425637612297341</v>
      </c>
      <c r="AH269" s="189">
        <v>0.18446262387936879</v>
      </c>
      <c r="AI269" s="189">
        <v>0.18466887163576418</v>
      </c>
      <c r="AJ269" s="189">
        <v>0.1848751193921595</v>
      </c>
    </row>
    <row r="270" spans="1:36" x14ac:dyDescent="0.35">
      <c r="A270" t="s">
        <v>1750</v>
      </c>
      <c r="B270" s="188" t="s">
        <v>1342</v>
      </c>
      <c r="C270" t="s">
        <v>1343</v>
      </c>
      <c r="D270" s="188">
        <v>30</v>
      </c>
      <c r="E270" t="s">
        <v>1742</v>
      </c>
      <c r="F270" t="s">
        <v>1352</v>
      </c>
      <c r="G270" s="189" t="s">
        <v>1751</v>
      </c>
      <c r="H270" s="189">
        <v>0.1709623052948763</v>
      </c>
      <c r="I270" s="189">
        <v>0.17142106092901047</v>
      </c>
      <c r="J270" s="189">
        <v>0.17187981656314463</v>
      </c>
      <c r="K270" s="189">
        <v>0.1723385721972788</v>
      </c>
      <c r="L270" s="189">
        <v>0.17279732783141297</v>
      </c>
      <c r="M270" s="189">
        <v>0.17325608346554713</v>
      </c>
      <c r="N270" s="189">
        <v>0.1737148390996813</v>
      </c>
      <c r="O270" s="189">
        <v>0.17417359473381547</v>
      </c>
      <c r="P270" s="189">
        <v>0.17463235036794963</v>
      </c>
      <c r="Q270" s="189">
        <v>0.1750911060020838</v>
      </c>
      <c r="R270" s="189">
        <v>0.17554986163621797</v>
      </c>
      <c r="S270" s="189">
        <v>0.17600861727035214</v>
      </c>
      <c r="T270" s="189">
        <v>0.1764673729044863</v>
      </c>
      <c r="U270" s="189">
        <v>0.17692612853862053</v>
      </c>
      <c r="V270" s="189">
        <v>0.17692612853862053</v>
      </c>
      <c r="W270" s="189">
        <v>0.17692612853862053</v>
      </c>
      <c r="X270" s="189">
        <v>0.17692612853862053</v>
      </c>
      <c r="Y270" s="189">
        <v>0.17692612853862053</v>
      </c>
      <c r="Z270" s="189">
        <v>0.17692612853862053</v>
      </c>
      <c r="AA270" s="189">
        <v>0.17692612853862053</v>
      </c>
      <c r="AB270" s="189">
        <v>0.17692612853862053</v>
      </c>
      <c r="AC270" s="189">
        <v>0.17692612853862053</v>
      </c>
      <c r="AD270" s="189">
        <v>0.17692612853862053</v>
      </c>
      <c r="AE270" s="189">
        <v>0.17692612853862053</v>
      </c>
      <c r="AF270" s="189">
        <v>0.17692612853862053</v>
      </c>
      <c r="AG270" s="189">
        <v>0.17692612853862053</v>
      </c>
      <c r="AH270" s="189">
        <v>0.17692612853862053</v>
      </c>
      <c r="AI270" s="189">
        <v>0.17692612853862053</v>
      </c>
      <c r="AJ270" s="189">
        <v>0.17692612853862053</v>
      </c>
    </row>
    <row r="271" spans="1:36" x14ac:dyDescent="0.35">
      <c r="A271" t="s">
        <v>1752</v>
      </c>
      <c r="B271" s="188" t="s">
        <v>1342</v>
      </c>
      <c r="C271" t="s">
        <v>1348</v>
      </c>
      <c r="D271" s="188">
        <v>30</v>
      </c>
      <c r="E271" t="s">
        <v>1742</v>
      </c>
      <c r="F271" t="s">
        <v>1352</v>
      </c>
      <c r="G271" s="189" t="s">
        <v>1751</v>
      </c>
      <c r="H271" s="189">
        <v>0.17012719430510895</v>
      </c>
      <c r="I271" s="189">
        <v>0.17030757960932066</v>
      </c>
      <c r="J271" s="189">
        <v>0.17048796491353238</v>
      </c>
      <c r="K271" s="189">
        <v>0.1706683502177441</v>
      </c>
      <c r="L271" s="189">
        <v>0.17084873552195581</v>
      </c>
      <c r="M271" s="189">
        <v>0.17102912082616753</v>
      </c>
      <c r="N271" s="189">
        <v>0.17120950613037925</v>
      </c>
      <c r="O271" s="189">
        <v>0.17138989143459096</v>
      </c>
      <c r="P271" s="189">
        <v>0.17157027673880268</v>
      </c>
      <c r="Q271" s="189">
        <v>0.1717506620430144</v>
      </c>
      <c r="R271" s="189">
        <v>0.17193104734722611</v>
      </c>
      <c r="S271" s="189">
        <v>0.17211143265143783</v>
      </c>
      <c r="T271" s="189">
        <v>0.17229181795564955</v>
      </c>
      <c r="U271" s="189">
        <v>0.17247220325986126</v>
      </c>
      <c r="V271" s="189">
        <v>0.17276913161177854</v>
      </c>
      <c r="W271" s="189">
        <v>0.17306605996369581</v>
      </c>
      <c r="X271" s="189">
        <v>0.17336298831561309</v>
      </c>
      <c r="Y271" s="189">
        <v>0.17365991666753036</v>
      </c>
      <c r="Z271" s="189">
        <v>0.17395684501944764</v>
      </c>
      <c r="AA271" s="189">
        <v>0.17425377337136491</v>
      </c>
      <c r="AB271" s="189">
        <v>0.17455070172328219</v>
      </c>
      <c r="AC271" s="189">
        <v>0.17484763007519946</v>
      </c>
      <c r="AD271" s="189">
        <v>0.17514455842711674</v>
      </c>
      <c r="AE271" s="189">
        <v>0.17544148677903401</v>
      </c>
      <c r="AF271" s="189">
        <v>0.17573841513095129</v>
      </c>
      <c r="AG271" s="189">
        <v>0.17603534348286856</v>
      </c>
      <c r="AH271" s="189">
        <v>0.17633227183478584</v>
      </c>
      <c r="AI271" s="189">
        <v>0.17662920018670311</v>
      </c>
      <c r="AJ271" s="189">
        <v>0.17692612853862053</v>
      </c>
    </row>
    <row r="272" spans="1:36" x14ac:dyDescent="0.35">
      <c r="A272" t="s">
        <v>1753</v>
      </c>
      <c r="B272" s="188" t="s">
        <v>1342</v>
      </c>
      <c r="C272" t="s">
        <v>1350</v>
      </c>
      <c r="D272" s="188">
        <v>30</v>
      </c>
      <c r="E272" t="s">
        <v>1742</v>
      </c>
      <c r="F272" t="s">
        <v>1352</v>
      </c>
      <c r="G272" s="189" t="s">
        <v>1751</v>
      </c>
      <c r="H272" s="189">
        <v>0.1695860383924738</v>
      </c>
      <c r="I272" s="189">
        <v>0.1695860383924738</v>
      </c>
      <c r="J272" s="189">
        <v>0.1695860383924738</v>
      </c>
      <c r="K272" s="189">
        <v>0.1695860383924738</v>
      </c>
      <c r="L272" s="189">
        <v>0.1695860383924738</v>
      </c>
      <c r="M272" s="189">
        <v>0.1695860383924738</v>
      </c>
      <c r="N272" s="189">
        <v>0.1695860383924738</v>
      </c>
      <c r="O272" s="189">
        <v>0.1695860383924738</v>
      </c>
      <c r="P272" s="189">
        <v>0.1695860383924738</v>
      </c>
      <c r="Q272" s="189">
        <v>0.1695860383924738</v>
      </c>
      <c r="R272" s="189">
        <v>0.1695860383924738</v>
      </c>
      <c r="S272" s="189">
        <v>0.1695860383924738</v>
      </c>
      <c r="T272" s="189">
        <v>0.1695860383924738</v>
      </c>
      <c r="U272" s="189">
        <v>0.1695860383924738</v>
      </c>
      <c r="V272" s="189">
        <v>0.16977844938363296</v>
      </c>
      <c r="W272" s="189">
        <v>0.16997086037479212</v>
      </c>
      <c r="X272" s="189">
        <v>0.17016327136595127</v>
      </c>
      <c r="Y272" s="189">
        <v>0.17035568235711043</v>
      </c>
      <c r="Z272" s="189">
        <v>0.17054809334826959</v>
      </c>
      <c r="AA272" s="189">
        <v>0.17074050433942875</v>
      </c>
      <c r="AB272" s="189">
        <v>0.17093291533058791</v>
      </c>
      <c r="AC272" s="189">
        <v>0.17112532632174707</v>
      </c>
      <c r="AD272" s="189">
        <v>0.17131773731290623</v>
      </c>
      <c r="AE272" s="189">
        <v>0.17151014830406539</v>
      </c>
      <c r="AF272" s="189">
        <v>0.17170255929522454</v>
      </c>
      <c r="AG272" s="189">
        <v>0.1718949702863837</v>
      </c>
      <c r="AH272" s="189">
        <v>0.17208738127754286</v>
      </c>
      <c r="AI272" s="189">
        <v>0.17227979226870202</v>
      </c>
      <c r="AJ272" s="189">
        <v>0.17247220325986126</v>
      </c>
    </row>
    <row r="273" spans="1:36" x14ac:dyDescent="0.35">
      <c r="A273" t="s">
        <v>1754</v>
      </c>
      <c r="B273" s="188" t="s">
        <v>1342</v>
      </c>
      <c r="C273" t="s">
        <v>1343</v>
      </c>
      <c r="D273" s="188">
        <v>30</v>
      </c>
      <c r="E273" t="s">
        <v>1742</v>
      </c>
      <c r="F273" t="s">
        <v>1376</v>
      </c>
      <c r="G273" s="189" t="s">
        <v>1755</v>
      </c>
      <c r="H273" s="189">
        <v>0.16155501919045362</v>
      </c>
      <c r="I273" s="189">
        <v>0.16198853156704707</v>
      </c>
      <c r="J273" s="189">
        <v>0.16242204394364052</v>
      </c>
      <c r="K273" s="189">
        <v>0.16285555632023396</v>
      </c>
      <c r="L273" s="189">
        <v>0.16328906869682741</v>
      </c>
      <c r="M273" s="189">
        <v>0.16372258107342086</v>
      </c>
      <c r="N273" s="189">
        <v>0.16415609345001431</v>
      </c>
      <c r="O273" s="189">
        <v>0.16458960582660775</v>
      </c>
      <c r="P273" s="189">
        <v>0.1650231182032012</v>
      </c>
      <c r="Q273" s="189">
        <v>0.16545663057979465</v>
      </c>
      <c r="R273" s="189">
        <v>0.1658901429563881</v>
      </c>
      <c r="S273" s="189">
        <v>0.16632365533298155</v>
      </c>
      <c r="T273" s="189">
        <v>0.16675716770957499</v>
      </c>
      <c r="U273" s="189">
        <v>0.16719068008616828</v>
      </c>
      <c r="V273" s="189">
        <v>0.16719068008616828</v>
      </c>
      <c r="W273" s="189">
        <v>0.16719068008616828</v>
      </c>
      <c r="X273" s="189">
        <v>0.16719068008616828</v>
      </c>
      <c r="Y273" s="189">
        <v>0.16719068008616828</v>
      </c>
      <c r="Z273" s="189">
        <v>0.16719068008616828</v>
      </c>
      <c r="AA273" s="189">
        <v>0.16719068008616828</v>
      </c>
      <c r="AB273" s="189">
        <v>0.16719068008616828</v>
      </c>
      <c r="AC273" s="189">
        <v>0.16719068008616828</v>
      </c>
      <c r="AD273" s="189">
        <v>0.16719068008616828</v>
      </c>
      <c r="AE273" s="189">
        <v>0.16719068008616828</v>
      </c>
      <c r="AF273" s="189">
        <v>0.16719068008616828</v>
      </c>
      <c r="AG273" s="189">
        <v>0.16719068008616828</v>
      </c>
      <c r="AH273" s="189">
        <v>0.16719068008616828</v>
      </c>
      <c r="AI273" s="189">
        <v>0.16719068008616828</v>
      </c>
      <c r="AJ273" s="189">
        <v>0.16719068008616828</v>
      </c>
    </row>
    <row r="274" spans="1:36" x14ac:dyDescent="0.35">
      <c r="A274" t="s">
        <v>1756</v>
      </c>
      <c r="B274" s="188" t="s">
        <v>1342</v>
      </c>
      <c r="C274" t="s">
        <v>1348</v>
      </c>
      <c r="D274" s="188">
        <v>30</v>
      </c>
      <c r="E274" t="s">
        <v>1742</v>
      </c>
      <c r="F274" t="s">
        <v>1376</v>
      </c>
      <c r="G274" s="189" t="s">
        <v>1755</v>
      </c>
      <c r="H274" s="189">
        <v>0.16076586059935175</v>
      </c>
      <c r="I274" s="189">
        <v>0.16093632011224457</v>
      </c>
      <c r="J274" s="189">
        <v>0.16110677962513739</v>
      </c>
      <c r="K274" s="189">
        <v>0.16127723913803022</v>
      </c>
      <c r="L274" s="189">
        <v>0.16144769865092304</v>
      </c>
      <c r="M274" s="189">
        <v>0.16161815816381586</v>
      </c>
      <c r="N274" s="189">
        <v>0.16178861767670868</v>
      </c>
      <c r="O274" s="189">
        <v>0.16195907718960151</v>
      </c>
      <c r="P274" s="189">
        <v>0.16212953670249433</v>
      </c>
      <c r="Q274" s="189">
        <v>0.16229999621538715</v>
      </c>
      <c r="R274" s="189">
        <v>0.16247045572827998</v>
      </c>
      <c r="S274" s="189">
        <v>0.1626409152411728</v>
      </c>
      <c r="T274" s="189">
        <v>0.16281137475406562</v>
      </c>
      <c r="U274" s="189">
        <v>0.16298183426695853</v>
      </c>
      <c r="V274" s="189">
        <v>0.16326242398823917</v>
      </c>
      <c r="W274" s="189">
        <v>0.16354301370951982</v>
      </c>
      <c r="X274" s="189">
        <v>0.16382360343080046</v>
      </c>
      <c r="Y274" s="189">
        <v>0.16410419315208111</v>
      </c>
      <c r="Z274" s="189">
        <v>0.16438478287336175</v>
      </c>
      <c r="AA274" s="189">
        <v>0.1646653725946424</v>
      </c>
      <c r="AB274" s="189">
        <v>0.16494596231592304</v>
      </c>
      <c r="AC274" s="189">
        <v>0.16522655203720368</v>
      </c>
      <c r="AD274" s="189">
        <v>0.16550714175848433</v>
      </c>
      <c r="AE274" s="189">
        <v>0.16578773147976497</v>
      </c>
      <c r="AF274" s="189">
        <v>0.16606832120104562</v>
      </c>
      <c r="AG274" s="189">
        <v>0.16634891092232626</v>
      </c>
      <c r="AH274" s="189">
        <v>0.1666295006436069</v>
      </c>
      <c r="AI274" s="189">
        <v>0.16691009036488755</v>
      </c>
      <c r="AJ274" s="189">
        <v>0.16719068008616828</v>
      </c>
    </row>
    <row r="275" spans="1:36" x14ac:dyDescent="0.35">
      <c r="A275" t="s">
        <v>1757</v>
      </c>
      <c r="B275" s="188" t="s">
        <v>1342</v>
      </c>
      <c r="C275" t="s">
        <v>1350</v>
      </c>
      <c r="D275" s="188">
        <v>30</v>
      </c>
      <c r="E275" t="s">
        <v>1742</v>
      </c>
      <c r="F275" t="s">
        <v>1376</v>
      </c>
      <c r="G275" s="189" t="s">
        <v>1755</v>
      </c>
      <c r="H275" s="189">
        <v>0.16025448206067328</v>
      </c>
      <c r="I275" s="189">
        <v>0.16025448206067328</v>
      </c>
      <c r="J275" s="189">
        <v>0.16025448206067328</v>
      </c>
      <c r="K275" s="189">
        <v>0.16025448206067328</v>
      </c>
      <c r="L275" s="189">
        <v>0.16025448206067328</v>
      </c>
      <c r="M275" s="189">
        <v>0.16025448206067328</v>
      </c>
      <c r="N275" s="189">
        <v>0.16025448206067328</v>
      </c>
      <c r="O275" s="189">
        <v>0.16025448206067328</v>
      </c>
      <c r="P275" s="189">
        <v>0.16025448206067328</v>
      </c>
      <c r="Q275" s="189">
        <v>0.16025448206067328</v>
      </c>
      <c r="R275" s="189">
        <v>0.16025448206067328</v>
      </c>
      <c r="S275" s="189">
        <v>0.16025448206067328</v>
      </c>
      <c r="T275" s="189">
        <v>0.16025448206067328</v>
      </c>
      <c r="U275" s="189">
        <v>0.16025448206067328</v>
      </c>
      <c r="V275" s="189">
        <v>0.16043630554109228</v>
      </c>
      <c r="W275" s="189">
        <v>0.16061812902151129</v>
      </c>
      <c r="X275" s="189">
        <v>0.1607999525019303</v>
      </c>
      <c r="Y275" s="189">
        <v>0.16098177598234931</v>
      </c>
      <c r="Z275" s="189">
        <v>0.16116359946276831</v>
      </c>
      <c r="AA275" s="189">
        <v>0.16134542294318732</v>
      </c>
      <c r="AB275" s="189">
        <v>0.16152724642360633</v>
      </c>
      <c r="AC275" s="189">
        <v>0.16170906990402534</v>
      </c>
      <c r="AD275" s="189">
        <v>0.16189089338444435</v>
      </c>
      <c r="AE275" s="189">
        <v>0.16207271686486335</v>
      </c>
      <c r="AF275" s="189">
        <v>0.16225454034528236</v>
      </c>
      <c r="AG275" s="189">
        <v>0.16243636382570137</v>
      </c>
      <c r="AH275" s="189">
        <v>0.16261818730612038</v>
      </c>
      <c r="AI275" s="189">
        <v>0.16280001078653938</v>
      </c>
      <c r="AJ275" s="189">
        <v>0.16298183426695853</v>
      </c>
    </row>
    <row r="276" spans="1:36" x14ac:dyDescent="0.35">
      <c r="A276" t="s">
        <v>1758</v>
      </c>
      <c r="B276" s="188" t="s">
        <v>1342</v>
      </c>
      <c r="C276" t="s">
        <v>1343</v>
      </c>
      <c r="D276" s="188">
        <v>30</v>
      </c>
      <c r="E276" t="s">
        <v>1742</v>
      </c>
      <c r="F276" t="s">
        <v>1381</v>
      </c>
      <c r="G276" s="189" t="s">
        <v>1759</v>
      </c>
      <c r="H276" s="189">
        <v>0.15301864708871657</v>
      </c>
      <c r="I276" s="189">
        <v>0.15342925319488984</v>
      </c>
      <c r="J276" s="189">
        <v>0.15383985930106311</v>
      </c>
      <c r="K276" s="189">
        <v>0.15425046540723639</v>
      </c>
      <c r="L276" s="189">
        <v>0.15466107151340966</v>
      </c>
      <c r="M276" s="189">
        <v>0.15507167761958293</v>
      </c>
      <c r="N276" s="189">
        <v>0.1554822837257562</v>
      </c>
      <c r="O276" s="189">
        <v>0.15589288983192948</v>
      </c>
      <c r="P276" s="189">
        <v>0.15630349593810275</v>
      </c>
      <c r="Q276" s="189">
        <v>0.15671410204427602</v>
      </c>
      <c r="R276" s="189">
        <v>0.15712470815044929</v>
      </c>
      <c r="S276" s="189">
        <v>0.15753531425662257</v>
      </c>
      <c r="T276" s="189">
        <v>0.15794592036279584</v>
      </c>
      <c r="U276" s="189">
        <v>0.15835652646896928</v>
      </c>
      <c r="V276" s="189">
        <v>0.15835652646896928</v>
      </c>
      <c r="W276" s="189">
        <v>0.15835652646896928</v>
      </c>
      <c r="X276" s="189">
        <v>0.15835652646896928</v>
      </c>
      <c r="Y276" s="189">
        <v>0.15835652646896928</v>
      </c>
      <c r="Z276" s="189">
        <v>0.15835652646896928</v>
      </c>
      <c r="AA276" s="189">
        <v>0.15835652646896928</v>
      </c>
      <c r="AB276" s="189">
        <v>0.15835652646896928</v>
      </c>
      <c r="AC276" s="189">
        <v>0.15835652646896928</v>
      </c>
      <c r="AD276" s="189">
        <v>0.15835652646896928</v>
      </c>
      <c r="AE276" s="189">
        <v>0.15835652646896928</v>
      </c>
      <c r="AF276" s="189">
        <v>0.15835652646896928</v>
      </c>
      <c r="AG276" s="189">
        <v>0.15835652646896928</v>
      </c>
      <c r="AH276" s="189">
        <v>0.15835652646896928</v>
      </c>
      <c r="AI276" s="189">
        <v>0.15835652646896928</v>
      </c>
      <c r="AJ276" s="189">
        <v>0.15835652646896928</v>
      </c>
    </row>
    <row r="277" spans="1:36" x14ac:dyDescent="0.35">
      <c r="A277" t="s">
        <v>1760</v>
      </c>
      <c r="B277" s="188" t="s">
        <v>1342</v>
      </c>
      <c r="C277" t="s">
        <v>1348</v>
      </c>
      <c r="D277" s="188">
        <v>30</v>
      </c>
      <c r="E277" t="s">
        <v>1742</v>
      </c>
      <c r="F277" t="s">
        <v>1381</v>
      </c>
      <c r="G277" s="189" t="s">
        <v>1759</v>
      </c>
      <c r="H277" s="189">
        <v>0.15227118668449058</v>
      </c>
      <c r="I277" s="189">
        <v>0.15243263932258852</v>
      </c>
      <c r="J277" s="189">
        <v>0.15259409196068646</v>
      </c>
      <c r="K277" s="189">
        <v>0.1527555445987844</v>
      </c>
      <c r="L277" s="189">
        <v>0.15291699723688235</v>
      </c>
      <c r="M277" s="189">
        <v>0.15307844987498029</v>
      </c>
      <c r="N277" s="189">
        <v>0.15323990251307823</v>
      </c>
      <c r="O277" s="189">
        <v>0.15340135515117617</v>
      </c>
      <c r="P277" s="189">
        <v>0.15356280778927411</v>
      </c>
      <c r="Q277" s="189">
        <v>0.15372426042737206</v>
      </c>
      <c r="R277" s="189">
        <v>0.15388571306547</v>
      </c>
      <c r="S277" s="189">
        <v>0.15404716570356794</v>
      </c>
      <c r="T277" s="189">
        <v>0.15420861834166588</v>
      </c>
      <c r="U277" s="189">
        <v>0.15437007097976382</v>
      </c>
      <c r="V277" s="189">
        <v>0.15463583467904418</v>
      </c>
      <c r="W277" s="189">
        <v>0.15490159837832454</v>
      </c>
      <c r="X277" s="189">
        <v>0.1551673620776049</v>
      </c>
      <c r="Y277" s="189">
        <v>0.15543312577688526</v>
      </c>
      <c r="Z277" s="189">
        <v>0.15569888947616561</v>
      </c>
      <c r="AA277" s="189">
        <v>0.15596465317544597</v>
      </c>
      <c r="AB277" s="189">
        <v>0.15623041687472633</v>
      </c>
      <c r="AC277" s="189">
        <v>0.15649618057400669</v>
      </c>
      <c r="AD277" s="189">
        <v>0.15676194427328705</v>
      </c>
      <c r="AE277" s="189">
        <v>0.1570277079725674</v>
      </c>
      <c r="AF277" s="189">
        <v>0.15729347167184776</v>
      </c>
      <c r="AG277" s="189">
        <v>0.15755923537112812</v>
      </c>
      <c r="AH277" s="189">
        <v>0.15782499907040848</v>
      </c>
      <c r="AI277" s="189">
        <v>0.15809076276968884</v>
      </c>
      <c r="AJ277" s="189">
        <v>0.15835652646896928</v>
      </c>
    </row>
    <row r="278" spans="1:36" x14ac:dyDescent="0.35">
      <c r="A278" t="s">
        <v>1761</v>
      </c>
      <c r="B278" s="188" t="s">
        <v>1342</v>
      </c>
      <c r="C278" t="s">
        <v>1350</v>
      </c>
      <c r="D278" s="188">
        <v>30</v>
      </c>
      <c r="E278" t="s">
        <v>1742</v>
      </c>
      <c r="F278" t="s">
        <v>1381</v>
      </c>
      <c r="G278" s="189" t="s">
        <v>1759</v>
      </c>
      <c r="H278" s="189">
        <v>0.15178682877019675</v>
      </c>
      <c r="I278" s="189">
        <v>0.15178682877019675</v>
      </c>
      <c r="J278" s="189">
        <v>0.15178682877019675</v>
      </c>
      <c r="K278" s="189">
        <v>0.15178682877019675</v>
      </c>
      <c r="L278" s="189">
        <v>0.15178682877019675</v>
      </c>
      <c r="M278" s="189">
        <v>0.15178682877019675</v>
      </c>
      <c r="N278" s="189">
        <v>0.15178682877019675</v>
      </c>
      <c r="O278" s="189">
        <v>0.15178682877019675</v>
      </c>
      <c r="P278" s="189">
        <v>0.15178682877019675</v>
      </c>
      <c r="Q278" s="189">
        <v>0.15178682877019675</v>
      </c>
      <c r="R278" s="189">
        <v>0.15178682877019675</v>
      </c>
      <c r="S278" s="189">
        <v>0.15178682877019675</v>
      </c>
      <c r="T278" s="189">
        <v>0.15178682877019675</v>
      </c>
      <c r="U278" s="189">
        <v>0.15178682877019675</v>
      </c>
      <c r="V278" s="189">
        <v>0.15195904491750123</v>
      </c>
      <c r="W278" s="189">
        <v>0.15213126106480571</v>
      </c>
      <c r="X278" s="189">
        <v>0.15230347721211018</v>
      </c>
      <c r="Y278" s="189">
        <v>0.15247569335941466</v>
      </c>
      <c r="Z278" s="189">
        <v>0.15264790950671914</v>
      </c>
      <c r="AA278" s="189">
        <v>0.15282012565402361</v>
      </c>
      <c r="AB278" s="189">
        <v>0.15299234180132809</v>
      </c>
      <c r="AC278" s="189">
        <v>0.15316455794863257</v>
      </c>
      <c r="AD278" s="189">
        <v>0.15333677409593705</v>
      </c>
      <c r="AE278" s="189">
        <v>0.15350899024324152</v>
      </c>
      <c r="AF278" s="189">
        <v>0.153681206390546</v>
      </c>
      <c r="AG278" s="189">
        <v>0.15385342253785048</v>
      </c>
      <c r="AH278" s="189">
        <v>0.15402563868515495</v>
      </c>
      <c r="AI278" s="189">
        <v>0.15419785483245943</v>
      </c>
      <c r="AJ278" s="189">
        <v>0.15437007097976382</v>
      </c>
    </row>
    <row r="279" spans="1:36" x14ac:dyDescent="0.35">
      <c r="A279" t="s">
        <v>1762</v>
      </c>
      <c r="B279" s="188" t="s">
        <v>1342</v>
      </c>
      <c r="C279" t="s">
        <v>1343</v>
      </c>
      <c r="D279" s="188">
        <v>30</v>
      </c>
      <c r="E279" t="s">
        <v>1742</v>
      </c>
      <c r="F279" t="s">
        <v>1386</v>
      </c>
      <c r="G279" s="189" t="s">
        <v>1763</v>
      </c>
      <c r="H279" s="189">
        <v>0.15111981661670154</v>
      </c>
      <c r="I279" s="189">
        <v>0.15152532745245367</v>
      </c>
      <c r="J279" s="189">
        <v>0.15193083828820581</v>
      </c>
      <c r="K279" s="189">
        <v>0.15233634912395794</v>
      </c>
      <c r="L279" s="189">
        <v>0.15274185995971007</v>
      </c>
      <c r="M279" s="189">
        <v>0.1531473707954622</v>
      </c>
      <c r="N279" s="189">
        <v>0.15355288163121433</v>
      </c>
      <c r="O279" s="189">
        <v>0.15395839246696646</v>
      </c>
      <c r="P279" s="189">
        <v>0.1543639033027186</v>
      </c>
      <c r="Q279" s="189">
        <v>0.15476941413847073</v>
      </c>
      <c r="R279" s="189">
        <v>0.15517492497422286</v>
      </c>
      <c r="S279" s="189">
        <v>0.15558043580997499</v>
      </c>
      <c r="T279" s="189">
        <v>0.15598594664572712</v>
      </c>
      <c r="U279" s="189">
        <v>0.15639145748147906</v>
      </c>
      <c r="V279" s="189">
        <v>0.15639145748147906</v>
      </c>
      <c r="W279" s="189">
        <v>0.15639145748147906</v>
      </c>
      <c r="X279" s="189">
        <v>0.15639145748147906</v>
      </c>
      <c r="Y279" s="189">
        <v>0.15639145748147906</v>
      </c>
      <c r="Z279" s="189">
        <v>0.15639145748147906</v>
      </c>
      <c r="AA279" s="189">
        <v>0.15639145748147906</v>
      </c>
      <c r="AB279" s="189">
        <v>0.15639145748147906</v>
      </c>
      <c r="AC279" s="189">
        <v>0.15639145748147906</v>
      </c>
      <c r="AD279" s="189">
        <v>0.15639145748147906</v>
      </c>
      <c r="AE279" s="189">
        <v>0.15639145748147906</v>
      </c>
      <c r="AF279" s="189">
        <v>0.15639145748147906</v>
      </c>
      <c r="AG279" s="189">
        <v>0.15639145748147906</v>
      </c>
      <c r="AH279" s="189">
        <v>0.15639145748147906</v>
      </c>
      <c r="AI279" s="189">
        <v>0.15639145748147906</v>
      </c>
      <c r="AJ279" s="189">
        <v>0.15639145748147906</v>
      </c>
    </row>
    <row r="280" spans="1:36" x14ac:dyDescent="0.35">
      <c r="A280" t="s">
        <v>1764</v>
      </c>
      <c r="B280" s="188" t="s">
        <v>1342</v>
      </c>
      <c r="C280" t="s">
        <v>1348</v>
      </c>
      <c r="D280" s="188">
        <v>30</v>
      </c>
      <c r="E280" t="s">
        <v>1742</v>
      </c>
      <c r="F280" t="s">
        <v>1386</v>
      </c>
      <c r="G280" s="189" t="s">
        <v>1763</v>
      </c>
      <c r="H280" s="189">
        <v>0.15038163155648857</v>
      </c>
      <c r="I280" s="189">
        <v>0.15054108070550304</v>
      </c>
      <c r="J280" s="189">
        <v>0.15070052985451751</v>
      </c>
      <c r="K280" s="189">
        <v>0.15085997900353199</v>
      </c>
      <c r="L280" s="189">
        <v>0.15101942815254646</v>
      </c>
      <c r="M280" s="189">
        <v>0.15117887730156093</v>
      </c>
      <c r="N280" s="189">
        <v>0.15133832645057541</v>
      </c>
      <c r="O280" s="189">
        <v>0.15149777559958988</v>
      </c>
      <c r="P280" s="189">
        <v>0.15165722474860435</v>
      </c>
      <c r="Q280" s="189">
        <v>0.15181667389761883</v>
      </c>
      <c r="R280" s="189">
        <v>0.1519761230466333</v>
      </c>
      <c r="S280" s="189">
        <v>0.15213557219564777</v>
      </c>
      <c r="T280" s="189">
        <v>0.15229502134466225</v>
      </c>
      <c r="U280" s="189">
        <v>0.15245447049367689</v>
      </c>
      <c r="V280" s="189">
        <v>0.1527169362928637</v>
      </c>
      <c r="W280" s="189">
        <v>0.15297940209205052</v>
      </c>
      <c r="X280" s="189">
        <v>0.15324186789123734</v>
      </c>
      <c r="Y280" s="189">
        <v>0.15350433369042416</v>
      </c>
      <c r="Z280" s="189">
        <v>0.15376679948961097</v>
      </c>
      <c r="AA280" s="189">
        <v>0.15402926528879779</v>
      </c>
      <c r="AB280" s="189">
        <v>0.15429173108798461</v>
      </c>
      <c r="AC280" s="189">
        <v>0.15455419688717142</v>
      </c>
      <c r="AD280" s="189">
        <v>0.15481666268635824</v>
      </c>
      <c r="AE280" s="189">
        <v>0.15507912848554506</v>
      </c>
      <c r="AF280" s="189">
        <v>0.15534159428473188</v>
      </c>
      <c r="AG280" s="189">
        <v>0.15560406008391869</v>
      </c>
      <c r="AH280" s="189">
        <v>0.15586652588310551</v>
      </c>
      <c r="AI280" s="189">
        <v>0.15612899168229233</v>
      </c>
      <c r="AJ280" s="189">
        <v>0.15639145748147906</v>
      </c>
    </row>
    <row r="281" spans="1:36" x14ac:dyDescent="0.35">
      <c r="A281" t="s">
        <v>1765</v>
      </c>
      <c r="B281" s="188" t="s">
        <v>1342</v>
      </c>
      <c r="C281" t="s">
        <v>1350</v>
      </c>
      <c r="D281" s="188">
        <v>30</v>
      </c>
      <c r="E281" t="s">
        <v>1742</v>
      </c>
      <c r="F281" t="s">
        <v>1386</v>
      </c>
      <c r="G281" s="189" t="s">
        <v>1763</v>
      </c>
      <c r="H281" s="189">
        <v>0.14990328410944515</v>
      </c>
      <c r="I281" s="189">
        <v>0.14990328410944515</v>
      </c>
      <c r="J281" s="189">
        <v>0.14990328410944515</v>
      </c>
      <c r="K281" s="189">
        <v>0.14990328410944515</v>
      </c>
      <c r="L281" s="189">
        <v>0.14990328410944515</v>
      </c>
      <c r="M281" s="189">
        <v>0.14990328410944515</v>
      </c>
      <c r="N281" s="189">
        <v>0.14990328410944515</v>
      </c>
      <c r="O281" s="189">
        <v>0.14990328410944515</v>
      </c>
      <c r="P281" s="189">
        <v>0.14990328410944515</v>
      </c>
      <c r="Q281" s="189">
        <v>0.14990328410944515</v>
      </c>
      <c r="R281" s="189">
        <v>0.14990328410944515</v>
      </c>
      <c r="S281" s="189">
        <v>0.14990328410944515</v>
      </c>
      <c r="T281" s="189">
        <v>0.14990328410944515</v>
      </c>
      <c r="U281" s="189">
        <v>0.14990328410944515</v>
      </c>
      <c r="V281" s="189">
        <v>0.15007336320172726</v>
      </c>
      <c r="W281" s="189">
        <v>0.15024344229400938</v>
      </c>
      <c r="X281" s="189">
        <v>0.15041352138629149</v>
      </c>
      <c r="Y281" s="189">
        <v>0.15058360047857361</v>
      </c>
      <c r="Z281" s="189">
        <v>0.15075367957085573</v>
      </c>
      <c r="AA281" s="189">
        <v>0.15092375866313784</v>
      </c>
      <c r="AB281" s="189">
        <v>0.15109383775541996</v>
      </c>
      <c r="AC281" s="189">
        <v>0.15126391684770207</v>
      </c>
      <c r="AD281" s="189">
        <v>0.15143399593998419</v>
      </c>
      <c r="AE281" s="189">
        <v>0.15160407503226631</v>
      </c>
      <c r="AF281" s="189">
        <v>0.15177415412454842</v>
      </c>
      <c r="AG281" s="189">
        <v>0.15194423321683054</v>
      </c>
      <c r="AH281" s="189">
        <v>0.15211431230911265</v>
      </c>
      <c r="AI281" s="189">
        <v>0.15228439140139477</v>
      </c>
      <c r="AJ281" s="189">
        <v>0.15245447049367689</v>
      </c>
    </row>
    <row r="282" spans="1:36" x14ac:dyDescent="0.35">
      <c r="A282" t="s">
        <v>1766</v>
      </c>
      <c r="B282" s="188" t="s">
        <v>1342</v>
      </c>
      <c r="C282" t="s">
        <v>1343</v>
      </c>
      <c r="D282" s="188">
        <v>30</v>
      </c>
      <c r="E282" t="s">
        <v>1742</v>
      </c>
      <c r="F282" t="s">
        <v>1391</v>
      </c>
      <c r="G282" s="189" t="s">
        <v>1767</v>
      </c>
      <c r="H282" s="189">
        <v>0.14445744626160617</v>
      </c>
      <c r="I282" s="189">
        <v>0.14484507947262798</v>
      </c>
      <c r="J282" s="189">
        <v>0.14523271268364979</v>
      </c>
      <c r="K282" s="189">
        <v>0.1456203458946716</v>
      </c>
      <c r="L282" s="189">
        <v>0.14600797910569341</v>
      </c>
      <c r="M282" s="189">
        <v>0.14639561231671522</v>
      </c>
      <c r="N282" s="189">
        <v>0.14678324552773703</v>
      </c>
      <c r="O282" s="189">
        <v>0.14717087873875884</v>
      </c>
      <c r="P282" s="189">
        <v>0.14755851194978065</v>
      </c>
      <c r="Q282" s="189">
        <v>0.14794614516080246</v>
      </c>
      <c r="R282" s="189">
        <v>0.14833377837182427</v>
      </c>
      <c r="S282" s="189">
        <v>0.14872141158284607</v>
      </c>
      <c r="T282" s="189">
        <v>0.14910904479386788</v>
      </c>
      <c r="U282" s="189">
        <v>0.14949667800488989</v>
      </c>
      <c r="V282" s="189">
        <v>0.14949667800488989</v>
      </c>
      <c r="W282" s="189">
        <v>0.14949667800488989</v>
      </c>
      <c r="X282" s="189">
        <v>0.14949667800488989</v>
      </c>
      <c r="Y282" s="189">
        <v>0.14949667800488989</v>
      </c>
      <c r="Z282" s="189">
        <v>0.14949667800488989</v>
      </c>
      <c r="AA282" s="189">
        <v>0.14949667800488989</v>
      </c>
      <c r="AB282" s="189">
        <v>0.14949667800488989</v>
      </c>
      <c r="AC282" s="189">
        <v>0.14949667800488989</v>
      </c>
      <c r="AD282" s="189">
        <v>0.14949667800488989</v>
      </c>
      <c r="AE282" s="189">
        <v>0.14949667800488989</v>
      </c>
      <c r="AF282" s="189">
        <v>0.14949667800488989</v>
      </c>
      <c r="AG282" s="189">
        <v>0.14949667800488989</v>
      </c>
      <c r="AH282" s="189">
        <v>0.14949667800488989</v>
      </c>
      <c r="AI282" s="189">
        <v>0.14949667800488989</v>
      </c>
      <c r="AJ282" s="189">
        <v>0.14949667800488989</v>
      </c>
    </row>
    <row r="283" spans="1:36" x14ac:dyDescent="0.35">
      <c r="A283" t="s">
        <v>1768</v>
      </c>
      <c r="B283" s="188" t="s">
        <v>1342</v>
      </c>
      <c r="C283" t="s">
        <v>1348</v>
      </c>
      <c r="D283" s="188">
        <v>30</v>
      </c>
      <c r="E283" t="s">
        <v>1742</v>
      </c>
      <c r="F283" t="s">
        <v>1391</v>
      </c>
      <c r="G283" s="189" t="s">
        <v>1767</v>
      </c>
      <c r="H283" s="189">
        <v>0.14375180532678888</v>
      </c>
      <c r="I283" s="189">
        <v>0.14390422489287161</v>
      </c>
      <c r="J283" s="189">
        <v>0.14405664445895433</v>
      </c>
      <c r="K283" s="189">
        <v>0.14420906402503705</v>
      </c>
      <c r="L283" s="189">
        <v>0.14436148359111978</v>
      </c>
      <c r="M283" s="189">
        <v>0.1445139031572025</v>
      </c>
      <c r="N283" s="189">
        <v>0.14466632272328522</v>
      </c>
      <c r="O283" s="189">
        <v>0.14481874228936795</v>
      </c>
      <c r="P283" s="189">
        <v>0.14497116185545067</v>
      </c>
      <c r="Q283" s="189">
        <v>0.14512358142153339</v>
      </c>
      <c r="R283" s="189">
        <v>0.14527600098761612</v>
      </c>
      <c r="S283" s="189">
        <v>0.14542842055369884</v>
      </c>
      <c r="T283" s="189">
        <v>0.14558084011978156</v>
      </c>
      <c r="U283" s="189">
        <v>0.14573325968586431</v>
      </c>
      <c r="V283" s="189">
        <v>0.14598415424046601</v>
      </c>
      <c r="W283" s="189">
        <v>0.14623504879506771</v>
      </c>
      <c r="X283" s="189">
        <v>0.14648594334966941</v>
      </c>
      <c r="Y283" s="189">
        <v>0.14673683790427111</v>
      </c>
      <c r="Z283" s="189">
        <v>0.14698773245887281</v>
      </c>
      <c r="AA283" s="189">
        <v>0.14723862701347451</v>
      </c>
      <c r="AB283" s="189">
        <v>0.14748952156807621</v>
      </c>
      <c r="AC283" s="189">
        <v>0.14774041612267791</v>
      </c>
      <c r="AD283" s="189">
        <v>0.14799131067727961</v>
      </c>
      <c r="AE283" s="189">
        <v>0.14824220523188131</v>
      </c>
      <c r="AF283" s="189">
        <v>0.14849309978648301</v>
      </c>
      <c r="AG283" s="189">
        <v>0.14874399434108471</v>
      </c>
      <c r="AH283" s="189">
        <v>0.14899488889568641</v>
      </c>
      <c r="AI283" s="189">
        <v>0.14924578345028811</v>
      </c>
      <c r="AJ283" s="189">
        <v>0.14949667800488989</v>
      </c>
    </row>
    <row r="284" spans="1:36" x14ac:dyDescent="0.35">
      <c r="A284" t="s">
        <v>1769</v>
      </c>
      <c r="B284" s="188" t="s">
        <v>1342</v>
      </c>
      <c r="C284" t="s">
        <v>1350</v>
      </c>
      <c r="D284" s="188">
        <v>30</v>
      </c>
      <c r="E284" t="s">
        <v>1742</v>
      </c>
      <c r="F284" t="s">
        <v>1391</v>
      </c>
      <c r="G284" s="189" t="s">
        <v>1767</v>
      </c>
      <c r="H284" s="189">
        <v>0.14329454662854071</v>
      </c>
      <c r="I284" s="189">
        <v>0.14329454662854071</v>
      </c>
      <c r="J284" s="189">
        <v>0.14329454662854071</v>
      </c>
      <c r="K284" s="189">
        <v>0.14329454662854071</v>
      </c>
      <c r="L284" s="189">
        <v>0.14329454662854071</v>
      </c>
      <c r="M284" s="189">
        <v>0.14329454662854071</v>
      </c>
      <c r="N284" s="189">
        <v>0.14329454662854071</v>
      </c>
      <c r="O284" s="189">
        <v>0.14329454662854071</v>
      </c>
      <c r="P284" s="189">
        <v>0.14329454662854071</v>
      </c>
      <c r="Q284" s="189">
        <v>0.14329454662854071</v>
      </c>
      <c r="R284" s="189">
        <v>0.14329454662854071</v>
      </c>
      <c r="S284" s="189">
        <v>0.14329454662854071</v>
      </c>
      <c r="T284" s="189">
        <v>0.14329454662854071</v>
      </c>
      <c r="U284" s="189">
        <v>0.14329454662854071</v>
      </c>
      <c r="V284" s="189">
        <v>0.14345712749902895</v>
      </c>
      <c r="W284" s="189">
        <v>0.14361970836951718</v>
      </c>
      <c r="X284" s="189">
        <v>0.14378228924000541</v>
      </c>
      <c r="Y284" s="189">
        <v>0.14394487011049364</v>
      </c>
      <c r="Z284" s="189">
        <v>0.14410745098098188</v>
      </c>
      <c r="AA284" s="189">
        <v>0.14427003185147011</v>
      </c>
      <c r="AB284" s="189">
        <v>0.14443261272195834</v>
      </c>
      <c r="AC284" s="189">
        <v>0.14459519359244657</v>
      </c>
      <c r="AD284" s="189">
        <v>0.14475777446293481</v>
      </c>
      <c r="AE284" s="189">
        <v>0.14492035533342304</v>
      </c>
      <c r="AF284" s="189">
        <v>0.14508293620391127</v>
      </c>
      <c r="AG284" s="189">
        <v>0.1452455170743995</v>
      </c>
      <c r="AH284" s="189">
        <v>0.14540809794488774</v>
      </c>
      <c r="AI284" s="189">
        <v>0.14557067881537597</v>
      </c>
      <c r="AJ284" s="189">
        <v>0.14573325968586431</v>
      </c>
    </row>
    <row r="285" spans="1:36" x14ac:dyDescent="0.35">
      <c r="A285" t="s">
        <v>1770</v>
      </c>
      <c r="B285" s="188" t="s">
        <v>1342</v>
      </c>
      <c r="C285" t="s">
        <v>1343</v>
      </c>
      <c r="D285" s="188">
        <v>30</v>
      </c>
      <c r="E285" t="s">
        <v>1742</v>
      </c>
      <c r="F285" t="s">
        <v>1357</v>
      </c>
      <c r="G285" s="189" t="s">
        <v>1771</v>
      </c>
      <c r="H285" s="189">
        <v>0.13761038344547222</v>
      </c>
      <c r="I285" s="189">
        <v>0.1379796434330004</v>
      </c>
      <c r="J285" s="189">
        <v>0.13834890342052858</v>
      </c>
      <c r="K285" s="189">
        <v>0.13871816340805676</v>
      </c>
      <c r="L285" s="189">
        <v>0.13908742339558494</v>
      </c>
      <c r="M285" s="189">
        <v>0.13945668338311312</v>
      </c>
      <c r="N285" s="189">
        <v>0.1398259433706413</v>
      </c>
      <c r="O285" s="189">
        <v>0.14019520335816948</v>
      </c>
      <c r="P285" s="189">
        <v>0.14056446334569767</v>
      </c>
      <c r="Q285" s="189">
        <v>0.14093372333322585</v>
      </c>
      <c r="R285" s="189">
        <v>0.14130298332075403</v>
      </c>
      <c r="S285" s="189">
        <v>0.14167224330828221</v>
      </c>
      <c r="T285" s="189">
        <v>0.14204150329581039</v>
      </c>
      <c r="U285" s="189">
        <v>0.14241076328333849</v>
      </c>
      <c r="V285" s="189">
        <v>0.14241076328333849</v>
      </c>
      <c r="W285" s="189">
        <v>0.14241076328333849</v>
      </c>
      <c r="X285" s="189">
        <v>0.14241076328333849</v>
      </c>
      <c r="Y285" s="189">
        <v>0.14241076328333849</v>
      </c>
      <c r="Z285" s="189">
        <v>0.14241076328333849</v>
      </c>
      <c r="AA285" s="189">
        <v>0.14241076328333849</v>
      </c>
      <c r="AB285" s="189">
        <v>0.14241076328333849</v>
      </c>
      <c r="AC285" s="189">
        <v>0.14241076328333849</v>
      </c>
      <c r="AD285" s="189">
        <v>0.14241076328333849</v>
      </c>
      <c r="AE285" s="189">
        <v>0.14241076328333849</v>
      </c>
      <c r="AF285" s="189">
        <v>0.14241076328333849</v>
      </c>
      <c r="AG285" s="189">
        <v>0.14241076328333849</v>
      </c>
      <c r="AH285" s="189">
        <v>0.14241076328333849</v>
      </c>
      <c r="AI285" s="189">
        <v>0.14241076328333849</v>
      </c>
      <c r="AJ285" s="189">
        <v>0.14241076328333849</v>
      </c>
    </row>
    <row r="286" spans="1:36" x14ac:dyDescent="0.35">
      <c r="A286" t="s">
        <v>1772</v>
      </c>
      <c r="B286" s="188" t="s">
        <v>1342</v>
      </c>
      <c r="C286" t="s">
        <v>1348</v>
      </c>
      <c r="D286" s="188">
        <v>30</v>
      </c>
      <c r="E286" t="s">
        <v>1742</v>
      </c>
      <c r="F286" t="s">
        <v>1357</v>
      </c>
      <c r="G286" s="189" t="s">
        <v>1771</v>
      </c>
      <c r="H286" s="189">
        <v>0.13693818881564895</v>
      </c>
      <c r="I286" s="189">
        <v>0.13708338392656938</v>
      </c>
      <c r="J286" s="189">
        <v>0.13722857903748981</v>
      </c>
      <c r="K286" s="189">
        <v>0.13737377414841023</v>
      </c>
      <c r="L286" s="189">
        <v>0.13751896925933066</v>
      </c>
      <c r="M286" s="189">
        <v>0.13766416437025109</v>
      </c>
      <c r="N286" s="189">
        <v>0.13780935948117151</v>
      </c>
      <c r="O286" s="189">
        <v>0.13795455459209194</v>
      </c>
      <c r="P286" s="189">
        <v>0.13809974970301236</v>
      </c>
      <c r="Q286" s="189">
        <v>0.13824494481393279</v>
      </c>
      <c r="R286" s="189">
        <v>0.13839013992485322</v>
      </c>
      <c r="S286" s="189">
        <v>0.13853533503577364</v>
      </c>
      <c r="T286" s="189">
        <v>0.13868053014669407</v>
      </c>
      <c r="U286" s="189">
        <v>0.13882572525761461</v>
      </c>
      <c r="V286" s="189">
        <v>0.13906472779266288</v>
      </c>
      <c r="W286" s="189">
        <v>0.13930373032771115</v>
      </c>
      <c r="X286" s="189">
        <v>0.13954273286275942</v>
      </c>
      <c r="Y286" s="189">
        <v>0.13978173539780769</v>
      </c>
      <c r="Z286" s="189">
        <v>0.14002073793285597</v>
      </c>
      <c r="AA286" s="189">
        <v>0.14025974046790424</v>
      </c>
      <c r="AB286" s="189">
        <v>0.14049874300295251</v>
      </c>
      <c r="AC286" s="189">
        <v>0.14073774553800078</v>
      </c>
      <c r="AD286" s="189">
        <v>0.14097674807304905</v>
      </c>
      <c r="AE286" s="189">
        <v>0.14121575060809732</v>
      </c>
      <c r="AF286" s="189">
        <v>0.1414547531431456</v>
      </c>
      <c r="AG286" s="189">
        <v>0.14169375567819387</v>
      </c>
      <c r="AH286" s="189">
        <v>0.14193275821324214</v>
      </c>
      <c r="AI286" s="189">
        <v>0.14217176074829041</v>
      </c>
      <c r="AJ286" s="189">
        <v>0.14241076328333849</v>
      </c>
    </row>
    <row r="287" spans="1:36" x14ac:dyDescent="0.35">
      <c r="A287" t="s">
        <v>1773</v>
      </c>
      <c r="B287" s="188" t="s">
        <v>1342</v>
      </c>
      <c r="C287" t="s">
        <v>1350</v>
      </c>
      <c r="D287" s="188">
        <v>30</v>
      </c>
      <c r="E287" t="s">
        <v>1742</v>
      </c>
      <c r="F287" t="s">
        <v>1357</v>
      </c>
      <c r="G287" s="189" t="s">
        <v>1771</v>
      </c>
      <c r="H287" s="189">
        <v>0.13650260348288767</v>
      </c>
      <c r="I287" s="189">
        <v>0.13650260348288767</v>
      </c>
      <c r="J287" s="189">
        <v>0.13650260348288767</v>
      </c>
      <c r="K287" s="189">
        <v>0.13650260348288767</v>
      </c>
      <c r="L287" s="189">
        <v>0.13650260348288767</v>
      </c>
      <c r="M287" s="189">
        <v>0.13650260348288767</v>
      </c>
      <c r="N287" s="189">
        <v>0.13650260348288767</v>
      </c>
      <c r="O287" s="189">
        <v>0.13650260348288767</v>
      </c>
      <c r="P287" s="189">
        <v>0.13650260348288767</v>
      </c>
      <c r="Q287" s="189">
        <v>0.13650260348288767</v>
      </c>
      <c r="R287" s="189">
        <v>0.13650260348288767</v>
      </c>
      <c r="S287" s="189">
        <v>0.13650260348288767</v>
      </c>
      <c r="T287" s="189">
        <v>0.13650260348288767</v>
      </c>
      <c r="U287" s="189">
        <v>0.13650260348288767</v>
      </c>
      <c r="V287" s="189">
        <v>0.13665747826786948</v>
      </c>
      <c r="W287" s="189">
        <v>0.13681235305285128</v>
      </c>
      <c r="X287" s="189">
        <v>0.13696722783783308</v>
      </c>
      <c r="Y287" s="189">
        <v>0.13712210262281488</v>
      </c>
      <c r="Z287" s="189">
        <v>0.13727697740779668</v>
      </c>
      <c r="AA287" s="189">
        <v>0.13743185219277848</v>
      </c>
      <c r="AB287" s="189">
        <v>0.13758672697776028</v>
      </c>
      <c r="AC287" s="189">
        <v>0.13774160176274208</v>
      </c>
      <c r="AD287" s="189">
        <v>0.13789647654772388</v>
      </c>
      <c r="AE287" s="189">
        <v>0.13805135133270569</v>
      </c>
      <c r="AF287" s="189">
        <v>0.13820622611768749</v>
      </c>
      <c r="AG287" s="189">
        <v>0.13836110090266929</v>
      </c>
      <c r="AH287" s="189">
        <v>0.13851597568765109</v>
      </c>
      <c r="AI287" s="189">
        <v>0.13867085047263289</v>
      </c>
      <c r="AJ287" s="189">
        <v>0.13882572525761461</v>
      </c>
    </row>
    <row r="288" spans="1:36" x14ac:dyDescent="0.35">
      <c r="A288" t="s">
        <v>1774</v>
      </c>
      <c r="B288" s="188" t="s">
        <v>1342</v>
      </c>
      <c r="C288" t="s">
        <v>1343</v>
      </c>
      <c r="D288" s="188">
        <v>30</v>
      </c>
      <c r="E288" t="s">
        <v>1742</v>
      </c>
      <c r="F288" t="s">
        <v>1400</v>
      </c>
      <c r="G288" s="189" t="s">
        <v>1775</v>
      </c>
      <c r="H288" s="189">
        <v>0.13213273837366618</v>
      </c>
      <c r="I288" s="189">
        <v>0.13248729979630228</v>
      </c>
      <c r="J288" s="189">
        <v>0.13284186121893837</v>
      </c>
      <c r="K288" s="189">
        <v>0.13319642264157447</v>
      </c>
      <c r="L288" s="189">
        <v>0.13355098406421057</v>
      </c>
      <c r="M288" s="189">
        <v>0.13390554548684666</v>
      </c>
      <c r="N288" s="189">
        <v>0.13426010690948276</v>
      </c>
      <c r="O288" s="189">
        <v>0.13461466833211885</v>
      </c>
      <c r="P288" s="189">
        <v>0.13496922975475495</v>
      </c>
      <c r="Q288" s="189">
        <v>0.13532379117739105</v>
      </c>
      <c r="R288" s="189">
        <v>0.13567835260002714</v>
      </c>
      <c r="S288" s="189">
        <v>0.13603291402266324</v>
      </c>
      <c r="T288" s="189">
        <v>0.13638747544529933</v>
      </c>
      <c r="U288" s="189">
        <v>0.13674203686793523</v>
      </c>
      <c r="V288" s="189">
        <v>0.13674203686793523</v>
      </c>
      <c r="W288" s="189">
        <v>0.13674203686793523</v>
      </c>
      <c r="X288" s="189">
        <v>0.13674203686793523</v>
      </c>
      <c r="Y288" s="189">
        <v>0.13674203686793523</v>
      </c>
      <c r="Z288" s="189">
        <v>0.13674203686793523</v>
      </c>
      <c r="AA288" s="189">
        <v>0.13674203686793523</v>
      </c>
      <c r="AB288" s="189">
        <v>0.13674203686793523</v>
      </c>
      <c r="AC288" s="189">
        <v>0.13674203686793523</v>
      </c>
      <c r="AD288" s="189">
        <v>0.13674203686793523</v>
      </c>
      <c r="AE288" s="189">
        <v>0.13674203686793523</v>
      </c>
      <c r="AF288" s="189">
        <v>0.13674203686793523</v>
      </c>
      <c r="AG288" s="189">
        <v>0.13674203686793523</v>
      </c>
      <c r="AH288" s="189">
        <v>0.13674203686793523</v>
      </c>
      <c r="AI288" s="189">
        <v>0.13674203686793523</v>
      </c>
      <c r="AJ288" s="189">
        <v>0.13674203686793523</v>
      </c>
    </row>
    <row r="289" spans="1:36" x14ac:dyDescent="0.35">
      <c r="A289" t="s">
        <v>1776</v>
      </c>
      <c r="B289" s="188" t="s">
        <v>1342</v>
      </c>
      <c r="C289" t="s">
        <v>1348</v>
      </c>
      <c r="D289" s="188">
        <v>30</v>
      </c>
      <c r="E289" t="s">
        <v>1742</v>
      </c>
      <c r="F289" t="s">
        <v>1400</v>
      </c>
      <c r="G289" s="189" t="s">
        <v>1775</v>
      </c>
      <c r="H289" s="189">
        <v>0.13148730076252971</v>
      </c>
      <c r="I289" s="189">
        <v>0.13162671631478698</v>
      </c>
      <c r="J289" s="189">
        <v>0.13176613186704425</v>
      </c>
      <c r="K289" s="189">
        <v>0.13190554741930152</v>
      </c>
      <c r="L289" s="189">
        <v>0.13204496297155879</v>
      </c>
      <c r="M289" s="189">
        <v>0.13218437852381607</v>
      </c>
      <c r="N289" s="189">
        <v>0.13232379407607334</v>
      </c>
      <c r="O289" s="189">
        <v>0.13246320962833061</v>
      </c>
      <c r="P289" s="189">
        <v>0.13260262518058788</v>
      </c>
      <c r="Q289" s="189">
        <v>0.13274204073284515</v>
      </c>
      <c r="R289" s="189">
        <v>0.13288145628510242</v>
      </c>
      <c r="S289" s="189">
        <v>0.13302087183735969</v>
      </c>
      <c r="T289" s="189">
        <v>0.13316028738961697</v>
      </c>
      <c r="U289" s="189">
        <v>0.13329970294187421</v>
      </c>
      <c r="V289" s="189">
        <v>0.13352919187027829</v>
      </c>
      <c r="W289" s="189">
        <v>0.13375868079868236</v>
      </c>
      <c r="X289" s="189">
        <v>0.13398816972708644</v>
      </c>
      <c r="Y289" s="189">
        <v>0.13421765865549051</v>
      </c>
      <c r="Z289" s="189">
        <v>0.13444714758389459</v>
      </c>
      <c r="AA289" s="189">
        <v>0.13467663651229866</v>
      </c>
      <c r="AB289" s="189">
        <v>0.13490612544070274</v>
      </c>
      <c r="AC289" s="189">
        <v>0.13513561436910682</v>
      </c>
      <c r="AD289" s="189">
        <v>0.13536510329751089</v>
      </c>
      <c r="AE289" s="189">
        <v>0.13559459222591497</v>
      </c>
      <c r="AF289" s="189">
        <v>0.13582408115431904</v>
      </c>
      <c r="AG289" s="189">
        <v>0.13605357008272312</v>
      </c>
      <c r="AH289" s="189">
        <v>0.13628305901112719</v>
      </c>
      <c r="AI289" s="189">
        <v>0.13651254793953127</v>
      </c>
      <c r="AJ289" s="189">
        <v>0.13674203686793523</v>
      </c>
    </row>
    <row r="290" spans="1:36" x14ac:dyDescent="0.35">
      <c r="A290" t="s">
        <v>1777</v>
      </c>
      <c r="B290" s="188" t="s">
        <v>1342</v>
      </c>
      <c r="C290" t="s">
        <v>1350</v>
      </c>
      <c r="D290" s="188">
        <v>30</v>
      </c>
      <c r="E290" t="s">
        <v>1742</v>
      </c>
      <c r="F290" t="s">
        <v>1400</v>
      </c>
      <c r="G290" s="189" t="s">
        <v>1775</v>
      </c>
      <c r="H290" s="189">
        <v>0.13106905410575789</v>
      </c>
      <c r="I290" s="189">
        <v>0.13106905410575789</v>
      </c>
      <c r="J290" s="189">
        <v>0.13106905410575789</v>
      </c>
      <c r="K290" s="189">
        <v>0.13106905410575789</v>
      </c>
      <c r="L290" s="189">
        <v>0.13106905410575789</v>
      </c>
      <c r="M290" s="189">
        <v>0.13106905410575789</v>
      </c>
      <c r="N290" s="189">
        <v>0.13106905410575789</v>
      </c>
      <c r="O290" s="189">
        <v>0.13106905410575789</v>
      </c>
      <c r="P290" s="189">
        <v>0.13106905410575789</v>
      </c>
      <c r="Q290" s="189">
        <v>0.13106905410575789</v>
      </c>
      <c r="R290" s="189">
        <v>0.13106905410575789</v>
      </c>
      <c r="S290" s="189">
        <v>0.13106905410575789</v>
      </c>
      <c r="T290" s="189">
        <v>0.13106905410575789</v>
      </c>
      <c r="U290" s="189">
        <v>0.13106905410575789</v>
      </c>
      <c r="V290" s="189">
        <v>0.13121776402816565</v>
      </c>
      <c r="W290" s="189">
        <v>0.13136647395057341</v>
      </c>
      <c r="X290" s="189">
        <v>0.13151518387298117</v>
      </c>
      <c r="Y290" s="189">
        <v>0.13166389379538893</v>
      </c>
      <c r="Z290" s="189">
        <v>0.13181260371779668</v>
      </c>
      <c r="AA290" s="189">
        <v>0.13196131364020444</v>
      </c>
      <c r="AB290" s="189">
        <v>0.1321100235626122</v>
      </c>
      <c r="AC290" s="189">
        <v>0.13225873348501996</v>
      </c>
      <c r="AD290" s="189">
        <v>0.13240744340742772</v>
      </c>
      <c r="AE290" s="189">
        <v>0.13255615332983547</v>
      </c>
      <c r="AF290" s="189">
        <v>0.13270486325224323</v>
      </c>
      <c r="AG290" s="189">
        <v>0.13285357317465099</v>
      </c>
      <c r="AH290" s="189">
        <v>0.13300228309705875</v>
      </c>
      <c r="AI290" s="189">
        <v>0.13315099301946651</v>
      </c>
      <c r="AJ290" s="189">
        <v>0.13329970294187421</v>
      </c>
    </row>
    <row r="291" spans="1:36" x14ac:dyDescent="0.35">
      <c r="A291" t="s">
        <v>1778</v>
      </c>
      <c r="B291" s="188" t="s">
        <v>1342</v>
      </c>
      <c r="C291" t="s">
        <v>1343</v>
      </c>
      <c r="D291" s="188">
        <v>30</v>
      </c>
      <c r="E291" t="s">
        <v>1742</v>
      </c>
      <c r="F291" t="s">
        <v>1405</v>
      </c>
      <c r="G291" s="189" t="s">
        <v>1779</v>
      </c>
      <c r="H291" s="189">
        <v>0.12063165679892487</v>
      </c>
      <c r="I291" s="189">
        <v>0.12095535652978658</v>
      </c>
      <c r="J291" s="189">
        <v>0.12127905626064828</v>
      </c>
      <c r="K291" s="189">
        <v>0.12160275599150998</v>
      </c>
      <c r="L291" s="189">
        <v>0.12192645572237168</v>
      </c>
      <c r="M291" s="189">
        <v>0.12225015545323338</v>
      </c>
      <c r="N291" s="189">
        <v>0.12257385518409508</v>
      </c>
      <c r="O291" s="189">
        <v>0.12289755491495678</v>
      </c>
      <c r="P291" s="189">
        <v>0.12322125464581848</v>
      </c>
      <c r="Q291" s="189">
        <v>0.12354495437668019</v>
      </c>
      <c r="R291" s="189">
        <v>0.12386865410754189</v>
      </c>
      <c r="S291" s="189">
        <v>0.12419235383840359</v>
      </c>
      <c r="T291" s="189">
        <v>0.12451605356926529</v>
      </c>
      <c r="U291" s="189">
        <v>0.12483975330012691</v>
      </c>
      <c r="V291" s="189">
        <v>0.12483975330012691</v>
      </c>
      <c r="W291" s="189">
        <v>0.12483975330012691</v>
      </c>
      <c r="X291" s="189">
        <v>0.12483975330012691</v>
      </c>
      <c r="Y291" s="189">
        <v>0.12483975330012691</v>
      </c>
      <c r="Z291" s="189">
        <v>0.12483975330012691</v>
      </c>
      <c r="AA291" s="189">
        <v>0.12483975330012691</v>
      </c>
      <c r="AB291" s="189">
        <v>0.12483975330012691</v>
      </c>
      <c r="AC291" s="189">
        <v>0.12483975330012691</v>
      </c>
      <c r="AD291" s="189">
        <v>0.12483975330012691</v>
      </c>
      <c r="AE291" s="189">
        <v>0.12483975330012691</v>
      </c>
      <c r="AF291" s="189">
        <v>0.12483975330012691</v>
      </c>
      <c r="AG291" s="189">
        <v>0.12483975330012691</v>
      </c>
      <c r="AH291" s="189">
        <v>0.12483975330012691</v>
      </c>
      <c r="AI291" s="189">
        <v>0.12483975330012691</v>
      </c>
      <c r="AJ291" s="189">
        <v>0.12483975330012691</v>
      </c>
    </row>
    <row r="292" spans="1:36" x14ac:dyDescent="0.35">
      <c r="A292" t="s">
        <v>1780</v>
      </c>
      <c r="B292" s="188" t="s">
        <v>1342</v>
      </c>
      <c r="C292" t="s">
        <v>1348</v>
      </c>
      <c r="D292" s="188">
        <v>30</v>
      </c>
      <c r="E292" t="s">
        <v>1742</v>
      </c>
      <c r="F292" t="s">
        <v>1405</v>
      </c>
      <c r="G292" s="189" t="s">
        <v>1779</v>
      </c>
      <c r="H292" s="189">
        <v>0.12004239928901429</v>
      </c>
      <c r="I292" s="189">
        <v>0.1201696798499058</v>
      </c>
      <c r="J292" s="189">
        <v>0.12029696041079731</v>
      </c>
      <c r="K292" s="189">
        <v>0.12042424097168881</v>
      </c>
      <c r="L292" s="189">
        <v>0.12055152153258032</v>
      </c>
      <c r="M292" s="189">
        <v>0.12067880209347183</v>
      </c>
      <c r="N292" s="189">
        <v>0.12080608265436334</v>
      </c>
      <c r="O292" s="189">
        <v>0.12093336321525484</v>
      </c>
      <c r="P292" s="189">
        <v>0.12106064377614635</v>
      </c>
      <c r="Q292" s="189">
        <v>0.12118792433703786</v>
      </c>
      <c r="R292" s="189">
        <v>0.12131520489792937</v>
      </c>
      <c r="S292" s="189">
        <v>0.12144248545882087</v>
      </c>
      <c r="T292" s="189">
        <v>0.12156976601971238</v>
      </c>
      <c r="U292" s="189">
        <v>0.12169704658060394</v>
      </c>
      <c r="V292" s="189">
        <v>0.12190656036190547</v>
      </c>
      <c r="W292" s="189">
        <v>0.12211607414320701</v>
      </c>
      <c r="X292" s="189">
        <v>0.12232558792450854</v>
      </c>
      <c r="Y292" s="189">
        <v>0.12253510170581007</v>
      </c>
      <c r="Z292" s="189">
        <v>0.1227446154871116</v>
      </c>
      <c r="AA292" s="189">
        <v>0.12295412926841313</v>
      </c>
      <c r="AB292" s="189">
        <v>0.12316364304971467</v>
      </c>
      <c r="AC292" s="189">
        <v>0.1233731568310162</v>
      </c>
      <c r="AD292" s="189">
        <v>0.12358267061231773</v>
      </c>
      <c r="AE292" s="189">
        <v>0.12379218439361926</v>
      </c>
      <c r="AF292" s="189">
        <v>0.12400169817492079</v>
      </c>
      <c r="AG292" s="189">
        <v>0.12421121195622233</v>
      </c>
      <c r="AH292" s="189">
        <v>0.12442072573752386</v>
      </c>
      <c r="AI292" s="189">
        <v>0.12463023951882539</v>
      </c>
      <c r="AJ292" s="189">
        <v>0.12483975330012691</v>
      </c>
    </row>
    <row r="293" spans="1:36" x14ac:dyDescent="0.35">
      <c r="A293" t="s">
        <v>1781</v>
      </c>
      <c r="B293" s="188" t="s">
        <v>1342</v>
      </c>
      <c r="C293" t="s">
        <v>1350</v>
      </c>
      <c r="D293" s="188">
        <v>30</v>
      </c>
      <c r="E293" t="s">
        <v>1742</v>
      </c>
      <c r="F293" t="s">
        <v>1405</v>
      </c>
      <c r="G293" s="189" t="s">
        <v>1779</v>
      </c>
      <c r="H293" s="189">
        <v>0.11966055760633977</v>
      </c>
      <c r="I293" s="189">
        <v>0.11966055760633977</v>
      </c>
      <c r="J293" s="189">
        <v>0.11966055760633977</v>
      </c>
      <c r="K293" s="189">
        <v>0.11966055760633977</v>
      </c>
      <c r="L293" s="189">
        <v>0.11966055760633977</v>
      </c>
      <c r="M293" s="189">
        <v>0.11966055760633977</v>
      </c>
      <c r="N293" s="189">
        <v>0.11966055760633977</v>
      </c>
      <c r="O293" s="189">
        <v>0.11966055760633977</v>
      </c>
      <c r="P293" s="189">
        <v>0.11966055760633977</v>
      </c>
      <c r="Q293" s="189">
        <v>0.11966055760633977</v>
      </c>
      <c r="R293" s="189">
        <v>0.11966055760633977</v>
      </c>
      <c r="S293" s="189">
        <v>0.11966055760633977</v>
      </c>
      <c r="T293" s="189">
        <v>0.11966055760633977</v>
      </c>
      <c r="U293" s="189">
        <v>0.11966055760633977</v>
      </c>
      <c r="V293" s="189">
        <v>0.11979632353795738</v>
      </c>
      <c r="W293" s="189">
        <v>0.119932089469575</v>
      </c>
      <c r="X293" s="189">
        <v>0.12006785540119261</v>
      </c>
      <c r="Y293" s="189">
        <v>0.12020362133281022</v>
      </c>
      <c r="Z293" s="189">
        <v>0.12033938726442783</v>
      </c>
      <c r="AA293" s="189">
        <v>0.12047515319604545</v>
      </c>
      <c r="AB293" s="189">
        <v>0.12061091912766306</v>
      </c>
      <c r="AC293" s="189">
        <v>0.12074668505928067</v>
      </c>
      <c r="AD293" s="189">
        <v>0.12088245099089828</v>
      </c>
      <c r="AE293" s="189">
        <v>0.12101821692251589</v>
      </c>
      <c r="AF293" s="189">
        <v>0.12115398285413351</v>
      </c>
      <c r="AG293" s="189">
        <v>0.12128974878575112</v>
      </c>
      <c r="AH293" s="189">
        <v>0.12142551471736873</v>
      </c>
      <c r="AI293" s="189">
        <v>0.12156128064898634</v>
      </c>
      <c r="AJ293" s="189">
        <v>0.12169704658060394</v>
      </c>
    </row>
    <row r="294" spans="1:36" x14ac:dyDescent="0.35">
      <c r="A294" t="s">
        <v>1782</v>
      </c>
      <c r="B294" s="188" t="s">
        <v>1342</v>
      </c>
      <c r="C294" t="s">
        <v>1343</v>
      </c>
      <c r="D294" s="188">
        <v>30</v>
      </c>
      <c r="E294" t="s">
        <v>236</v>
      </c>
      <c r="F294" t="s">
        <v>1783</v>
      </c>
      <c r="G294" s="189" t="s">
        <v>1784</v>
      </c>
      <c r="H294" s="189">
        <v>0.9</v>
      </c>
      <c r="I294" s="189">
        <v>0.9</v>
      </c>
      <c r="J294" s="189">
        <v>0.9</v>
      </c>
      <c r="K294" s="189">
        <v>0.9</v>
      </c>
      <c r="L294" s="189">
        <v>0.9</v>
      </c>
      <c r="M294" s="189">
        <v>0.9</v>
      </c>
      <c r="N294" s="189">
        <v>0.9</v>
      </c>
      <c r="O294" s="189">
        <v>0.9</v>
      </c>
      <c r="P294" s="189">
        <v>0.9</v>
      </c>
      <c r="Q294" s="189">
        <v>0.9</v>
      </c>
      <c r="R294" s="189">
        <v>0.9</v>
      </c>
      <c r="S294" s="189">
        <v>0.9</v>
      </c>
      <c r="T294" s="189">
        <v>0.9</v>
      </c>
      <c r="U294" s="189">
        <v>0.9</v>
      </c>
      <c r="V294" s="189">
        <v>0.9</v>
      </c>
      <c r="W294" s="189">
        <v>0.9</v>
      </c>
      <c r="X294" s="189">
        <v>0.9</v>
      </c>
      <c r="Y294" s="189">
        <v>0.9</v>
      </c>
      <c r="Z294" s="189">
        <v>0.9</v>
      </c>
      <c r="AA294" s="189">
        <v>0.9</v>
      </c>
      <c r="AB294" s="189">
        <v>0.9</v>
      </c>
      <c r="AC294" s="189">
        <v>0.9</v>
      </c>
      <c r="AD294" s="189">
        <v>0.9</v>
      </c>
      <c r="AE294" s="189">
        <v>0.9</v>
      </c>
      <c r="AF294" s="189">
        <v>0.9</v>
      </c>
      <c r="AG294" s="189">
        <v>0.9</v>
      </c>
      <c r="AH294" s="189">
        <v>0.9</v>
      </c>
      <c r="AI294" s="189">
        <v>0.9</v>
      </c>
      <c r="AJ294" s="189">
        <v>0.9</v>
      </c>
    </row>
    <row r="295" spans="1:36" x14ac:dyDescent="0.35">
      <c r="A295" t="s">
        <v>1785</v>
      </c>
      <c r="B295" s="188" t="s">
        <v>1342</v>
      </c>
      <c r="C295" t="s">
        <v>1348</v>
      </c>
      <c r="D295" s="188">
        <v>30</v>
      </c>
      <c r="E295" t="s">
        <v>236</v>
      </c>
      <c r="F295" t="s">
        <v>1783</v>
      </c>
      <c r="G295" s="189" t="s">
        <v>1784</v>
      </c>
      <c r="H295" s="189">
        <v>0.9</v>
      </c>
      <c r="I295" s="189">
        <v>0.9</v>
      </c>
      <c r="J295" s="189">
        <v>0.9</v>
      </c>
      <c r="K295" s="189">
        <v>0.9</v>
      </c>
      <c r="L295" s="189">
        <v>0.9</v>
      </c>
      <c r="M295" s="189">
        <v>0.9</v>
      </c>
      <c r="N295" s="189">
        <v>0.9</v>
      </c>
      <c r="O295" s="189">
        <v>0.9</v>
      </c>
      <c r="P295" s="189">
        <v>0.9</v>
      </c>
      <c r="Q295" s="189">
        <v>0.9</v>
      </c>
      <c r="R295" s="189">
        <v>0.9</v>
      </c>
      <c r="S295" s="189">
        <v>0.9</v>
      </c>
      <c r="T295" s="189">
        <v>0.9</v>
      </c>
      <c r="U295" s="189">
        <v>0.9</v>
      </c>
      <c r="V295" s="189">
        <v>0.9</v>
      </c>
      <c r="W295" s="189">
        <v>0.9</v>
      </c>
      <c r="X295" s="189">
        <v>0.9</v>
      </c>
      <c r="Y295" s="189">
        <v>0.9</v>
      </c>
      <c r="Z295" s="189">
        <v>0.9</v>
      </c>
      <c r="AA295" s="189">
        <v>0.9</v>
      </c>
      <c r="AB295" s="189">
        <v>0.9</v>
      </c>
      <c r="AC295" s="189">
        <v>0.9</v>
      </c>
      <c r="AD295" s="189">
        <v>0.9</v>
      </c>
      <c r="AE295" s="189">
        <v>0.9</v>
      </c>
      <c r="AF295" s="189">
        <v>0.9</v>
      </c>
      <c r="AG295" s="189">
        <v>0.9</v>
      </c>
      <c r="AH295" s="189">
        <v>0.9</v>
      </c>
      <c r="AI295" s="189">
        <v>0.9</v>
      </c>
      <c r="AJ295" s="189">
        <v>0.9</v>
      </c>
    </row>
    <row r="296" spans="1:36" x14ac:dyDescent="0.35">
      <c r="A296" t="s">
        <v>1786</v>
      </c>
      <c r="B296" s="188" t="s">
        <v>1342</v>
      </c>
      <c r="C296" t="s">
        <v>1350</v>
      </c>
      <c r="D296" s="188">
        <v>30</v>
      </c>
      <c r="E296" t="s">
        <v>236</v>
      </c>
      <c r="F296" t="s">
        <v>1783</v>
      </c>
      <c r="G296" s="189" t="s">
        <v>1784</v>
      </c>
      <c r="H296" s="189">
        <v>0.9</v>
      </c>
      <c r="I296" s="189">
        <v>0.9</v>
      </c>
      <c r="J296" s="189">
        <v>0.9</v>
      </c>
      <c r="K296" s="189">
        <v>0.9</v>
      </c>
      <c r="L296" s="189">
        <v>0.9</v>
      </c>
      <c r="M296" s="189">
        <v>0.9</v>
      </c>
      <c r="N296" s="189">
        <v>0.9</v>
      </c>
      <c r="O296" s="189">
        <v>0.9</v>
      </c>
      <c r="P296" s="189">
        <v>0.9</v>
      </c>
      <c r="Q296" s="189">
        <v>0.9</v>
      </c>
      <c r="R296" s="189">
        <v>0.9</v>
      </c>
      <c r="S296" s="189">
        <v>0.9</v>
      </c>
      <c r="T296" s="189">
        <v>0.9</v>
      </c>
      <c r="U296" s="189">
        <v>0.9</v>
      </c>
      <c r="V296" s="189">
        <v>0.9</v>
      </c>
      <c r="W296" s="189">
        <v>0.9</v>
      </c>
      <c r="X296" s="189">
        <v>0.9</v>
      </c>
      <c r="Y296" s="189">
        <v>0.9</v>
      </c>
      <c r="Z296" s="189">
        <v>0.9</v>
      </c>
      <c r="AA296" s="189">
        <v>0.9</v>
      </c>
      <c r="AB296" s="189">
        <v>0.9</v>
      </c>
      <c r="AC296" s="189">
        <v>0.9</v>
      </c>
      <c r="AD296" s="189">
        <v>0.9</v>
      </c>
      <c r="AE296" s="189">
        <v>0.9</v>
      </c>
      <c r="AF296" s="189">
        <v>0.9</v>
      </c>
      <c r="AG296" s="189">
        <v>0.9</v>
      </c>
      <c r="AH296" s="189">
        <v>0.9</v>
      </c>
      <c r="AI296" s="189">
        <v>0.9</v>
      </c>
      <c r="AJ296" s="189">
        <v>0.9</v>
      </c>
    </row>
    <row r="297" spans="1:36" x14ac:dyDescent="0.35">
      <c r="A297" t="s">
        <v>1787</v>
      </c>
      <c r="B297" s="188" t="s">
        <v>1342</v>
      </c>
      <c r="C297" t="s">
        <v>1343</v>
      </c>
      <c r="D297" s="188">
        <v>30</v>
      </c>
      <c r="E297" t="s">
        <v>236</v>
      </c>
      <c r="F297" t="s">
        <v>1788</v>
      </c>
      <c r="G297" s="189" t="s">
        <v>1789</v>
      </c>
      <c r="H297" s="189">
        <v>0.8</v>
      </c>
      <c r="I297" s="189">
        <v>0.8</v>
      </c>
      <c r="J297" s="189">
        <v>0.8</v>
      </c>
      <c r="K297" s="189">
        <v>0.8</v>
      </c>
      <c r="L297" s="189">
        <v>0.8</v>
      </c>
      <c r="M297" s="189">
        <v>0.8</v>
      </c>
      <c r="N297" s="189">
        <v>0.8</v>
      </c>
      <c r="O297" s="189">
        <v>0.8</v>
      </c>
      <c r="P297" s="189">
        <v>0.8</v>
      </c>
      <c r="Q297" s="189">
        <v>0.8</v>
      </c>
      <c r="R297" s="189">
        <v>0.8</v>
      </c>
      <c r="S297" s="189">
        <v>0.8</v>
      </c>
      <c r="T297" s="189">
        <v>0.8</v>
      </c>
      <c r="U297" s="189">
        <v>0.8</v>
      </c>
      <c r="V297" s="189">
        <v>0.8</v>
      </c>
      <c r="W297" s="189">
        <v>0.8</v>
      </c>
      <c r="X297" s="189">
        <v>0.8</v>
      </c>
      <c r="Y297" s="189">
        <v>0.8</v>
      </c>
      <c r="Z297" s="189">
        <v>0.8</v>
      </c>
      <c r="AA297" s="189">
        <v>0.8</v>
      </c>
      <c r="AB297" s="189">
        <v>0.8</v>
      </c>
      <c r="AC297" s="189">
        <v>0.8</v>
      </c>
      <c r="AD297" s="189">
        <v>0.8</v>
      </c>
      <c r="AE297" s="189">
        <v>0.8</v>
      </c>
      <c r="AF297" s="189">
        <v>0.8</v>
      </c>
      <c r="AG297" s="189">
        <v>0.8</v>
      </c>
      <c r="AH297" s="189">
        <v>0.8</v>
      </c>
      <c r="AI297" s="189">
        <v>0.8</v>
      </c>
      <c r="AJ297" s="189">
        <v>0.8</v>
      </c>
    </row>
    <row r="298" spans="1:36" x14ac:dyDescent="0.35">
      <c r="A298" t="s">
        <v>1790</v>
      </c>
      <c r="B298" s="188" t="s">
        <v>1342</v>
      </c>
      <c r="C298" t="s">
        <v>1348</v>
      </c>
      <c r="D298" s="188">
        <v>30</v>
      </c>
      <c r="E298" t="s">
        <v>236</v>
      </c>
      <c r="F298" t="s">
        <v>1788</v>
      </c>
      <c r="G298" s="189" t="s">
        <v>1789</v>
      </c>
      <c r="H298" s="189">
        <v>0.8</v>
      </c>
      <c r="I298" s="189">
        <v>0.8</v>
      </c>
      <c r="J298" s="189">
        <v>0.8</v>
      </c>
      <c r="K298" s="189">
        <v>0.8</v>
      </c>
      <c r="L298" s="189">
        <v>0.8</v>
      </c>
      <c r="M298" s="189">
        <v>0.8</v>
      </c>
      <c r="N298" s="189">
        <v>0.8</v>
      </c>
      <c r="O298" s="189">
        <v>0.8</v>
      </c>
      <c r="P298" s="189">
        <v>0.8</v>
      </c>
      <c r="Q298" s="189">
        <v>0.8</v>
      </c>
      <c r="R298" s="189">
        <v>0.8</v>
      </c>
      <c r="S298" s="189">
        <v>0.8</v>
      </c>
      <c r="T298" s="189">
        <v>0.8</v>
      </c>
      <c r="U298" s="189">
        <v>0.8</v>
      </c>
      <c r="V298" s="189">
        <v>0.8</v>
      </c>
      <c r="W298" s="189">
        <v>0.8</v>
      </c>
      <c r="X298" s="189">
        <v>0.8</v>
      </c>
      <c r="Y298" s="189">
        <v>0.8</v>
      </c>
      <c r="Z298" s="189">
        <v>0.8</v>
      </c>
      <c r="AA298" s="189">
        <v>0.8</v>
      </c>
      <c r="AB298" s="189">
        <v>0.8</v>
      </c>
      <c r="AC298" s="189">
        <v>0.8</v>
      </c>
      <c r="AD298" s="189">
        <v>0.8</v>
      </c>
      <c r="AE298" s="189">
        <v>0.8</v>
      </c>
      <c r="AF298" s="189">
        <v>0.8</v>
      </c>
      <c r="AG298" s="189">
        <v>0.8</v>
      </c>
      <c r="AH298" s="189">
        <v>0.8</v>
      </c>
      <c r="AI298" s="189">
        <v>0.8</v>
      </c>
      <c r="AJ298" s="189">
        <v>0.8</v>
      </c>
    </row>
    <row r="299" spans="1:36" x14ac:dyDescent="0.35">
      <c r="A299" t="s">
        <v>1791</v>
      </c>
      <c r="B299" s="188" t="s">
        <v>1342</v>
      </c>
      <c r="C299" t="s">
        <v>1350</v>
      </c>
      <c r="D299" s="188">
        <v>30</v>
      </c>
      <c r="E299" t="s">
        <v>236</v>
      </c>
      <c r="F299" t="s">
        <v>1788</v>
      </c>
      <c r="G299" s="189" t="s">
        <v>1789</v>
      </c>
      <c r="H299" s="189">
        <v>0.8</v>
      </c>
      <c r="I299" s="189">
        <v>0.8</v>
      </c>
      <c r="J299" s="189">
        <v>0.8</v>
      </c>
      <c r="K299" s="189">
        <v>0.8</v>
      </c>
      <c r="L299" s="189">
        <v>0.8</v>
      </c>
      <c r="M299" s="189">
        <v>0.8</v>
      </c>
      <c r="N299" s="189">
        <v>0.8</v>
      </c>
      <c r="O299" s="189">
        <v>0.8</v>
      </c>
      <c r="P299" s="189">
        <v>0.8</v>
      </c>
      <c r="Q299" s="189">
        <v>0.8</v>
      </c>
      <c r="R299" s="189">
        <v>0.8</v>
      </c>
      <c r="S299" s="189">
        <v>0.8</v>
      </c>
      <c r="T299" s="189">
        <v>0.8</v>
      </c>
      <c r="U299" s="189">
        <v>0.8</v>
      </c>
      <c r="V299" s="189">
        <v>0.8</v>
      </c>
      <c r="W299" s="189">
        <v>0.8</v>
      </c>
      <c r="X299" s="189">
        <v>0.8</v>
      </c>
      <c r="Y299" s="189">
        <v>0.8</v>
      </c>
      <c r="Z299" s="189">
        <v>0.8</v>
      </c>
      <c r="AA299" s="189">
        <v>0.8</v>
      </c>
      <c r="AB299" s="189">
        <v>0.8</v>
      </c>
      <c r="AC299" s="189">
        <v>0.8</v>
      </c>
      <c r="AD299" s="189">
        <v>0.8</v>
      </c>
      <c r="AE299" s="189">
        <v>0.8</v>
      </c>
      <c r="AF299" s="189">
        <v>0.8</v>
      </c>
      <c r="AG299" s="189">
        <v>0.8</v>
      </c>
      <c r="AH299" s="189">
        <v>0.8</v>
      </c>
      <c r="AI299" s="189">
        <v>0.8</v>
      </c>
      <c r="AJ299" s="189">
        <v>0.8</v>
      </c>
    </row>
    <row r="300" spans="1:36" x14ac:dyDescent="0.35">
      <c r="A300" t="s">
        <v>1792</v>
      </c>
      <c r="B300" s="188" t="s">
        <v>1342</v>
      </c>
      <c r="C300" t="s">
        <v>1343</v>
      </c>
      <c r="D300" s="188">
        <v>30</v>
      </c>
      <c r="E300" t="s">
        <v>236</v>
      </c>
      <c r="F300" t="s">
        <v>1793</v>
      </c>
      <c r="G300" s="189" t="s">
        <v>1794</v>
      </c>
      <c r="H300" s="189">
        <v>0.9</v>
      </c>
      <c r="I300" s="189">
        <v>0.9</v>
      </c>
      <c r="J300" s="189">
        <v>0.9</v>
      </c>
      <c r="K300" s="189">
        <v>0.9</v>
      </c>
      <c r="L300" s="189">
        <v>0.9</v>
      </c>
      <c r="M300" s="189">
        <v>0.9</v>
      </c>
      <c r="N300" s="189">
        <v>0.9</v>
      </c>
      <c r="O300" s="189">
        <v>0.9</v>
      </c>
      <c r="P300" s="189">
        <v>0.9</v>
      </c>
      <c r="Q300" s="189">
        <v>0.9</v>
      </c>
      <c r="R300" s="189">
        <v>0.9</v>
      </c>
      <c r="S300" s="189">
        <v>0.9</v>
      </c>
      <c r="T300" s="189">
        <v>0.9</v>
      </c>
      <c r="U300" s="189">
        <v>0.9</v>
      </c>
      <c r="V300" s="189">
        <v>0.9</v>
      </c>
      <c r="W300" s="189">
        <v>0.9</v>
      </c>
      <c r="X300" s="189">
        <v>0.9</v>
      </c>
      <c r="Y300" s="189">
        <v>0.9</v>
      </c>
      <c r="Z300" s="189">
        <v>0.9</v>
      </c>
      <c r="AA300" s="189">
        <v>0.9</v>
      </c>
      <c r="AB300" s="189">
        <v>0.9</v>
      </c>
      <c r="AC300" s="189">
        <v>0.9</v>
      </c>
      <c r="AD300" s="189">
        <v>0.9</v>
      </c>
      <c r="AE300" s="189">
        <v>0.9</v>
      </c>
      <c r="AF300" s="189">
        <v>0.9</v>
      </c>
      <c r="AG300" s="189">
        <v>0.9</v>
      </c>
      <c r="AH300" s="189">
        <v>0.9</v>
      </c>
      <c r="AI300" s="189">
        <v>0.9</v>
      </c>
      <c r="AJ300" s="189">
        <v>0.9</v>
      </c>
    </row>
    <row r="301" spans="1:36" x14ac:dyDescent="0.35">
      <c r="A301" t="s">
        <v>1795</v>
      </c>
      <c r="B301" s="188" t="s">
        <v>1342</v>
      </c>
      <c r="C301" t="s">
        <v>1348</v>
      </c>
      <c r="D301" s="188">
        <v>30</v>
      </c>
      <c r="E301" t="s">
        <v>236</v>
      </c>
      <c r="F301" t="s">
        <v>1793</v>
      </c>
      <c r="G301" s="189" t="s">
        <v>1794</v>
      </c>
      <c r="H301" s="189">
        <v>0.9</v>
      </c>
      <c r="I301" s="189">
        <v>0.9</v>
      </c>
      <c r="J301" s="189">
        <v>0.9</v>
      </c>
      <c r="K301" s="189">
        <v>0.9</v>
      </c>
      <c r="L301" s="189">
        <v>0.9</v>
      </c>
      <c r="M301" s="189">
        <v>0.9</v>
      </c>
      <c r="N301" s="189">
        <v>0.9</v>
      </c>
      <c r="O301" s="189">
        <v>0.9</v>
      </c>
      <c r="P301" s="189">
        <v>0.9</v>
      </c>
      <c r="Q301" s="189">
        <v>0.9</v>
      </c>
      <c r="R301" s="189">
        <v>0.9</v>
      </c>
      <c r="S301" s="189">
        <v>0.9</v>
      </c>
      <c r="T301" s="189">
        <v>0.9</v>
      </c>
      <c r="U301" s="189">
        <v>0.9</v>
      </c>
      <c r="V301" s="189">
        <v>0.9</v>
      </c>
      <c r="W301" s="189">
        <v>0.9</v>
      </c>
      <c r="X301" s="189">
        <v>0.9</v>
      </c>
      <c r="Y301" s="189">
        <v>0.9</v>
      </c>
      <c r="Z301" s="189">
        <v>0.9</v>
      </c>
      <c r="AA301" s="189">
        <v>0.9</v>
      </c>
      <c r="AB301" s="189">
        <v>0.9</v>
      </c>
      <c r="AC301" s="189">
        <v>0.9</v>
      </c>
      <c r="AD301" s="189">
        <v>0.9</v>
      </c>
      <c r="AE301" s="189">
        <v>0.9</v>
      </c>
      <c r="AF301" s="189">
        <v>0.9</v>
      </c>
      <c r="AG301" s="189">
        <v>0.9</v>
      </c>
      <c r="AH301" s="189">
        <v>0.9</v>
      </c>
      <c r="AI301" s="189">
        <v>0.9</v>
      </c>
      <c r="AJ301" s="189">
        <v>0.9</v>
      </c>
    </row>
    <row r="302" spans="1:36" x14ac:dyDescent="0.35">
      <c r="A302" t="s">
        <v>1796</v>
      </c>
      <c r="B302" s="188" t="s">
        <v>1342</v>
      </c>
      <c r="C302" t="s">
        <v>1350</v>
      </c>
      <c r="D302" s="188">
        <v>30</v>
      </c>
      <c r="E302" t="s">
        <v>236</v>
      </c>
      <c r="F302" t="s">
        <v>1793</v>
      </c>
      <c r="G302" s="189" t="s">
        <v>1794</v>
      </c>
      <c r="H302" s="189">
        <v>0.9</v>
      </c>
      <c r="I302" s="189">
        <v>0.9</v>
      </c>
      <c r="J302" s="189">
        <v>0.9</v>
      </c>
      <c r="K302" s="189">
        <v>0.9</v>
      </c>
      <c r="L302" s="189">
        <v>0.9</v>
      </c>
      <c r="M302" s="189">
        <v>0.9</v>
      </c>
      <c r="N302" s="189">
        <v>0.9</v>
      </c>
      <c r="O302" s="189">
        <v>0.9</v>
      </c>
      <c r="P302" s="189">
        <v>0.9</v>
      </c>
      <c r="Q302" s="189">
        <v>0.9</v>
      </c>
      <c r="R302" s="189">
        <v>0.9</v>
      </c>
      <c r="S302" s="189">
        <v>0.9</v>
      </c>
      <c r="T302" s="189">
        <v>0.9</v>
      </c>
      <c r="U302" s="189">
        <v>0.9</v>
      </c>
      <c r="V302" s="189">
        <v>0.9</v>
      </c>
      <c r="W302" s="189">
        <v>0.9</v>
      </c>
      <c r="X302" s="189">
        <v>0.9</v>
      </c>
      <c r="Y302" s="189">
        <v>0.9</v>
      </c>
      <c r="Z302" s="189">
        <v>0.9</v>
      </c>
      <c r="AA302" s="189">
        <v>0.9</v>
      </c>
      <c r="AB302" s="189">
        <v>0.9</v>
      </c>
      <c r="AC302" s="189">
        <v>0.9</v>
      </c>
      <c r="AD302" s="189">
        <v>0.9</v>
      </c>
      <c r="AE302" s="189">
        <v>0.9</v>
      </c>
      <c r="AF302" s="189">
        <v>0.9</v>
      </c>
      <c r="AG302" s="189">
        <v>0.9</v>
      </c>
      <c r="AH302" s="189">
        <v>0.9</v>
      </c>
      <c r="AI302" s="189">
        <v>0.9</v>
      </c>
      <c r="AJ302" s="189">
        <v>0.9</v>
      </c>
    </row>
    <row r="303" spans="1:36" x14ac:dyDescent="0.35">
      <c r="A303" t="s">
        <v>1797</v>
      </c>
      <c r="B303" s="188" t="s">
        <v>1342</v>
      </c>
      <c r="C303" t="s">
        <v>1343</v>
      </c>
      <c r="D303" s="188">
        <v>30</v>
      </c>
      <c r="E303" t="s">
        <v>236</v>
      </c>
      <c r="F303" t="s">
        <v>1798</v>
      </c>
      <c r="G303" s="189" t="s">
        <v>1799</v>
      </c>
      <c r="H303" s="189">
        <v>0.8</v>
      </c>
      <c r="I303" s="189">
        <v>0.8</v>
      </c>
      <c r="J303" s="189">
        <v>0.8</v>
      </c>
      <c r="K303" s="189">
        <v>0.8</v>
      </c>
      <c r="L303" s="189">
        <v>0.8</v>
      </c>
      <c r="M303" s="189">
        <v>0.8</v>
      </c>
      <c r="N303" s="189">
        <v>0.8</v>
      </c>
      <c r="O303" s="189">
        <v>0.8</v>
      </c>
      <c r="P303" s="189">
        <v>0.8</v>
      </c>
      <c r="Q303" s="189">
        <v>0.8</v>
      </c>
      <c r="R303" s="189">
        <v>0.8</v>
      </c>
      <c r="S303" s="189">
        <v>0.8</v>
      </c>
      <c r="T303" s="189">
        <v>0.8</v>
      </c>
      <c r="U303" s="189">
        <v>0.8</v>
      </c>
      <c r="V303" s="189">
        <v>0.8</v>
      </c>
      <c r="W303" s="189">
        <v>0.8</v>
      </c>
      <c r="X303" s="189">
        <v>0.8</v>
      </c>
      <c r="Y303" s="189">
        <v>0.8</v>
      </c>
      <c r="Z303" s="189">
        <v>0.8</v>
      </c>
      <c r="AA303" s="189">
        <v>0.8</v>
      </c>
      <c r="AB303" s="189">
        <v>0.8</v>
      </c>
      <c r="AC303" s="189">
        <v>0.8</v>
      </c>
      <c r="AD303" s="189">
        <v>0.8</v>
      </c>
      <c r="AE303" s="189">
        <v>0.8</v>
      </c>
      <c r="AF303" s="189">
        <v>0.8</v>
      </c>
      <c r="AG303" s="189">
        <v>0.8</v>
      </c>
      <c r="AH303" s="189">
        <v>0.8</v>
      </c>
      <c r="AI303" s="189">
        <v>0.8</v>
      </c>
      <c r="AJ303" s="189">
        <v>0.8</v>
      </c>
    </row>
    <row r="304" spans="1:36" x14ac:dyDescent="0.35">
      <c r="A304" t="s">
        <v>1800</v>
      </c>
      <c r="B304" s="188" t="s">
        <v>1342</v>
      </c>
      <c r="C304" t="s">
        <v>1348</v>
      </c>
      <c r="D304" s="188">
        <v>30</v>
      </c>
      <c r="E304" t="s">
        <v>236</v>
      </c>
      <c r="F304" t="s">
        <v>1798</v>
      </c>
      <c r="G304" s="189" t="s">
        <v>1799</v>
      </c>
      <c r="H304" s="189">
        <v>0.8</v>
      </c>
      <c r="I304" s="189">
        <v>0.8</v>
      </c>
      <c r="J304" s="189">
        <v>0.8</v>
      </c>
      <c r="K304" s="189">
        <v>0.8</v>
      </c>
      <c r="L304" s="189">
        <v>0.8</v>
      </c>
      <c r="M304" s="189">
        <v>0.8</v>
      </c>
      <c r="N304" s="189">
        <v>0.8</v>
      </c>
      <c r="O304" s="189">
        <v>0.8</v>
      </c>
      <c r="P304" s="189">
        <v>0.8</v>
      </c>
      <c r="Q304" s="189">
        <v>0.8</v>
      </c>
      <c r="R304" s="189">
        <v>0.8</v>
      </c>
      <c r="S304" s="189">
        <v>0.8</v>
      </c>
      <c r="T304" s="189">
        <v>0.8</v>
      </c>
      <c r="U304" s="189">
        <v>0.8</v>
      </c>
      <c r="V304" s="189">
        <v>0.8</v>
      </c>
      <c r="W304" s="189">
        <v>0.8</v>
      </c>
      <c r="X304" s="189">
        <v>0.8</v>
      </c>
      <c r="Y304" s="189">
        <v>0.8</v>
      </c>
      <c r="Z304" s="189">
        <v>0.8</v>
      </c>
      <c r="AA304" s="189">
        <v>0.8</v>
      </c>
      <c r="AB304" s="189">
        <v>0.8</v>
      </c>
      <c r="AC304" s="189">
        <v>0.8</v>
      </c>
      <c r="AD304" s="189">
        <v>0.8</v>
      </c>
      <c r="AE304" s="189">
        <v>0.8</v>
      </c>
      <c r="AF304" s="189">
        <v>0.8</v>
      </c>
      <c r="AG304" s="189">
        <v>0.8</v>
      </c>
      <c r="AH304" s="189">
        <v>0.8</v>
      </c>
      <c r="AI304" s="189">
        <v>0.8</v>
      </c>
      <c r="AJ304" s="189">
        <v>0.8</v>
      </c>
    </row>
    <row r="305" spans="1:36" x14ac:dyDescent="0.35">
      <c r="A305" t="s">
        <v>1801</v>
      </c>
      <c r="B305" s="188" t="s">
        <v>1342</v>
      </c>
      <c r="C305" t="s">
        <v>1350</v>
      </c>
      <c r="D305" s="188">
        <v>30</v>
      </c>
      <c r="E305" t="s">
        <v>236</v>
      </c>
      <c r="F305" t="s">
        <v>1798</v>
      </c>
      <c r="G305" s="189" t="s">
        <v>1799</v>
      </c>
      <c r="H305" s="189">
        <v>0.8</v>
      </c>
      <c r="I305" s="189">
        <v>0.8</v>
      </c>
      <c r="J305" s="189">
        <v>0.8</v>
      </c>
      <c r="K305" s="189">
        <v>0.8</v>
      </c>
      <c r="L305" s="189">
        <v>0.8</v>
      </c>
      <c r="M305" s="189">
        <v>0.8</v>
      </c>
      <c r="N305" s="189">
        <v>0.8</v>
      </c>
      <c r="O305" s="189">
        <v>0.8</v>
      </c>
      <c r="P305" s="189">
        <v>0.8</v>
      </c>
      <c r="Q305" s="189">
        <v>0.8</v>
      </c>
      <c r="R305" s="189">
        <v>0.8</v>
      </c>
      <c r="S305" s="189">
        <v>0.8</v>
      </c>
      <c r="T305" s="189">
        <v>0.8</v>
      </c>
      <c r="U305" s="189">
        <v>0.8</v>
      </c>
      <c r="V305" s="189">
        <v>0.8</v>
      </c>
      <c r="W305" s="189">
        <v>0.8</v>
      </c>
      <c r="X305" s="189">
        <v>0.8</v>
      </c>
      <c r="Y305" s="189">
        <v>0.8</v>
      </c>
      <c r="Z305" s="189">
        <v>0.8</v>
      </c>
      <c r="AA305" s="189">
        <v>0.8</v>
      </c>
      <c r="AB305" s="189">
        <v>0.8</v>
      </c>
      <c r="AC305" s="189">
        <v>0.8</v>
      </c>
      <c r="AD305" s="189">
        <v>0.8</v>
      </c>
      <c r="AE305" s="189">
        <v>0.8</v>
      </c>
      <c r="AF305" s="189">
        <v>0.8</v>
      </c>
      <c r="AG305" s="189">
        <v>0.8</v>
      </c>
      <c r="AH305" s="189">
        <v>0.8</v>
      </c>
      <c r="AI305" s="189">
        <v>0.8</v>
      </c>
      <c r="AJ305" s="189">
        <v>0.8</v>
      </c>
    </row>
    <row r="306" spans="1:36" x14ac:dyDescent="0.35">
      <c r="A306" t="s">
        <v>1802</v>
      </c>
      <c r="B306" s="188" t="s">
        <v>1342</v>
      </c>
      <c r="C306" t="s">
        <v>1343</v>
      </c>
      <c r="D306" s="188">
        <v>30</v>
      </c>
      <c r="E306" t="s">
        <v>236</v>
      </c>
      <c r="F306" t="s">
        <v>1803</v>
      </c>
      <c r="G306" s="189" t="s">
        <v>1804</v>
      </c>
      <c r="H306" s="189">
        <v>0.9</v>
      </c>
      <c r="I306" s="189">
        <v>0.9</v>
      </c>
      <c r="J306" s="189">
        <v>0.9</v>
      </c>
      <c r="K306" s="189">
        <v>0.9</v>
      </c>
      <c r="L306" s="189">
        <v>0.9</v>
      </c>
      <c r="M306" s="189">
        <v>0.9</v>
      </c>
      <c r="N306" s="189">
        <v>0.9</v>
      </c>
      <c r="O306" s="189">
        <v>0.9</v>
      </c>
      <c r="P306" s="189">
        <v>0.9</v>
      </c>
      <c r="Q306" s="189">
        <v>0.9</v>
      </c>
      <c r="R306" s="189">
        <v>0.9</v>
      </c>
      <c r="S306" s="189">
        <v>0.9</v>
      </c>
      <c r="T306" s="189">
        <v>0.9</v>
      </c>
      <c r="U306" s="189">
        <v>0.9</v>
      </c>
      <c r="V306" s="189">
        <v>0.9</v>
      </c>
      <c r="W306" s="189">
        <v>0.9</v>
      </c>
      <c r="X306" s="189">
        <v>0.9</v>
      </c>
      <c r="Y306" s="189">
        <v>0.9</v>
      </c>
      <c r="Z306" s="189">
        <v>0.9</v>
      </c>
      <c r="AA306" s="189">
        <v>0.9</v>
      </c>
      <c r="AB306" s="189">
        <v>0.9</v>
      </c>
      <c r="AC306" s="189">
        <v>0.9</v>
      </c>
      <c r="AD306" s="189">
        <v>0.9</v>
      </c>
      <c r="AE306" s="189">
        <v>0.9</v>
      </c>
      <c r="AF306" s="189">
        <v>0.9</v>
      </c>
      <c r="AG306" s="189">
        <v>0.9</v>
      </c>
      <c r="AH306" s="189">
        <v>0.9</v>
      </c>
      <c r="AI306" s="189">
        <v>0.9</v>
      </c>
      <c r="AJ306" s="189">
        <v>0.9</v>
      </c>
    </row>
    <row r="307" spans="1:36" x14ac:dyDescent="0.35">
      <c r="A307" t="s">
        <v>1805</v>
      </c>
      <c r="B307" s="188" t="s">
        <v>1342</v>
      </c>
      <c r="C307" t="s">
        <v>1348</v>
      </c>
      <c r="D307" s="188">
        <v>30</v>
      </c>
      <c r="E307" t="s">
        <v>236</v>
      </c>
      <c r="F307" t="s">
        <v>1803</v>
      </c>
      <c r="G307" s="189" t="s">
        <v>1804</v>
      </c>
      <c r="H307" s="189">
        <v>0.9</v>
      </c>
      <c r="I307" s="189">
        <v>0.9</v>
      </c>
      <c r="J307" s="189">
        <v>0.9</v>
      </c>
      <c r="K307" s="189">
        <v>0.9</v>
      </c>
      <c r="L307" s="189">
        <v>0.9</v>
      </c>
      <c r="M307" s="189">
        <v>0.9</v>
      </c>
      <c r="N307" s="189">
        <v>0.9</v>
      </c>
      <c r="O307" s="189">
        <v>0.9</v>
      </c>
      <c r="P307" s="189">
        <v>0.9</v>
      </c>
      <c r="Q307" s="189">
        <v>0.9</v>
      </c>
      <c r="R307" s="189">
        <v>0.9</v>
      </c>
      <c r="S307" s="189">
        <v>0.9</v>
      </c>
      <c r="T307" s="189">
        <v>0.9</v>
      </c>
      <c r="U307" s="189">
        <v>0.9</v>
      </c>
      <c r="V307" s="189">
        <v>0.9</v>
      </c>
      <c r="W307" s="189">
        <v>0.9</v>
      </c>
      <c r="X307" s="189">
        <v>0.9</v>
      </c>
      <c r="Y307" s="189">
        <v>0.9</v>
      </c>
      <c r="Z307" s="189">
        <v>0.9</v>
      </c>
      <c r="AA307" s="189">
        <v>0.9</v>
      </c>
      <c r="AB307" s="189">
        <v>0.9</v>
      </c>
      <c r="AC307" s="189">
        <v>0.9</v>
      </c>
      <c r="AD307" s="189">
        <v>0.9</v>
      </c>
      <c r="AE307" s="189">
        <v>0.9</v>
      </c>
      <c r="AF307" s="189">
        <v>0.9</v>
      </c>
      <c r="AG307" s="189">
        <v>0.9</v>
      </c>
      <c r="AH307" s="189">
        <v>0.9</v>
      </c>
      <c r="AI307" s="189">
        <v>0.9</v>
      </c>
      <c r="AJ307" s="189">
        <v>0.9</v>
      </c>
    </row>
    <row r="308" spans="1:36" x14ac:dyDescent="0.35">
      <c r="A308" t="s">
        <v>1806</v>
      </c>
      <c r="B308" s="188" t="s">
        <v>1342</v>
      </c>
      <c r="C308" t="s">
        <v>1350</v>
      </c>
      <c r="D308" s="188">
        <v>30</v>
      </c>
      <c r="E308" t="s">
        <v>236</v>
      </c>
      <c r="F308" t="s">
        <v>1803</v>
      </c>
      <c r="G308" s="189" t="s">
        <v>1804</v>
      </c>
      <c r="H308" s="189">
        <v>0.9</v>
      </c>
      <c r="I308" s="189">
        <v>0.9</v>
      </c>
      <c r="J308" s="189">
        <v>0.9</v>
      </c>
      <c r="K308" s="189">
        <v>0.9</v>
      </c>
      <c r="L308" s="189">
        <v>0.9</v>
      </c>
      <c r="M308" s="189">
        <v>0.9</v>
      </c>
      <c r="N308" s="189">
        <v>0.9</v>
      </c>
      <c r="O308" s="189">
        <v>0.9</v>
      </c>
      <c r="P308" s="189">
        <v>0.9</v>
      </c>
      <c r="Q308" s="189">
        <v>0.9</v>
      </c>
      <c r="R308" s="189">
        <v>0.9</v>
      </c>
      <c r="S308" s="189">
        <v>0.9</v>
      </c>
      <c r="T308" s="189">
        <v>0.9</v>
      </c>
      <c r="U308" s="189">
        <v>0.9</v>
      </c>
      <c r="V308" s="189">
        <v>0.9</v>
      </c>
      <c r="W308" s="189">
        <v>0.9</v>
      </c>
      <c r="X308" s="189">
        <v>0.9</v>
      </c>
      <c r="Y308" s="189">
        <v>0.9</v>
      </c>
      <c r="Z308" s="189">
        <v>0.9</v>
      </c>
      <c r="AA308" s="189">
        <v>0.9</v>
      </c>
      <c r="AB308" s="189">
        <v>0.9</v>
      </c>
      <c r="AC308" s="189">
        <v>0.9</v>
      </c>
      <c r="AD308" s="189">
        <v>0.9</v>
      </c>
      <c r="AE308" s="189">
        <v>0.9</v>
      </c>
      <c r="AF308" s="189">
        <v>0.9</v>
      </c>
      <c r="AG308" s="189">
        <v>0.9</v>
      </c>
      <c r="AH308" s="189">
        <v>0.9</v>
      </c>
      <c r="AI308" s="189">
        <v>0.9</v>
      </c>
      <c r="AJ308" s="189">
        <v>0.9</v>
      </c>
    </row>
    <row r="309" spans="1:36" x14ac:dyDescent="0.35">
      <c r="A309" t="s">
        <v>1807</v>
      </c>
      <c r="B309" s="188" t="s">
        <v>1342</v>
      </c>
      <c r="C309" t="s">
        <v>1343</v>
      </c>
      <c r="D309" s="188">
        <v>30</v>
      </c>
      <c r="E309" t="s">
        <v>236</v>
      </c>
      <c r="F309" t="s">
        <v>1808</v>
      </c>
      <c r="G309" s="189" t="s">
        <v>1809</v>
      </c>
      <c r="H309" s="189">
        <v>0.8</v>
      </c>
      <c r="I309" s="189">
        <v>0.8</v>
      </c>
      <c r="J309" s="189">
        <v>0.8</v>
      </c>
      <c r="K309" s="189">
        <v>0.8</v>
      </c>
      <c r="L309" s="189">
        <v>0.8</v>
      </c>
      <c r="M309" s="189">
        <v>0.8</v>
      </c>
      <c r="N309" s="189">
        <v>0.8</v>
      </c>
      <c r="O309" s="189">
        <v>0.8</v>
      </c>
      <c r="P309" s="189">
        <v>0.8</v>
      </c>
      <c r="Q309" s="189">
        <v>0.8</v>
      </c>
      <c r="R309" s="189">
        <v>0.8</v>
      </c>
      <c r="S309" s="189">
        <v>0.8</v>
      </c>
      <c r="T309" s="189">
        <v>0.8</v>
      </c>
      <c r="U309" s="189">
        <v>0.8</v>
      </c>
      <c r="V309" s="189">
        <v>0.8</v>
      </c>
      <c r="W309" s="189">
        <v>0.8</v>
      </c>
      <c r="X309" s="189">
        <v>0.8</v>
      </c>
      <c r="Y309" s="189">
        <v>0.8</v>
      </c>
      <c r="Z309" s="189">
        <v>0.8</v>
      </c>
      <c r="AA309" s="189">
        <v>0.8</v>
      </c>
      <c r="AB309" s="189">
        <v>0.8</v>
      </c>
      <c r="AC309" s="189">
        <v>0.8</v>
      </c>
      <c r="AD309" s="189">
        <v>0.8</v>
      </c>
      <c r="AE309" s="189">
        <v>0.8</v>
      </c>
      <c r="AF309" s="189">
        <v>0.8</v>
      </c>
      <c r="AG309" s="189">
        <v>0.8</v>
      </c>
      <c r="AH309" s="189">
        <v>0.8</v>
      </c>
      <c r="AI309" s="189">
        <v>0.8</v>
      </c>
      <c r="AJ309" s="189">
        <v>0.8</v>
      </c>
    </row>
    <row r="310" spans="1:36" x14ac:dyDescent="0.35">
      <c r="A310" t="s">
        <v>1810</v>
      </c>
      <c r="B310" s="188" t="s">
        <v>1342</v>
      </c>
      <c r="C310" t="s">
        <v>1348</v>
      </c>
      <c r="D310" s="188">
        <v>30</v>
      </c>
      <c r="E310" t="s">
        <v>236</v>
      </c>
      <c r="F310" t="s">
        <v>1808</v>
      </c>
      <c r="G310" s="189" t="s">
        <v>1809</v>
      </c>
      <c r="H310" s="189">
        <v>0.8</v>
      </c>
      <c r="I310" s="189">
        <v>0.8</v>
      </c>
      <c r="J310" s="189">
        <v>0.8</v>
      </c>
      <c r="K310" s="189">
        <v>0.8</v>
      </c>
      <c r="L310" s="189">
        <v>0.8</v>
      </c>
      <c r="M310" s="189">
        <v>0.8</v>
      </c>
      <c r="N310" s="189">
        <v>0.8</v>
      </c>
      <c r="O310" s="189">
        <v>0.8</v>
      </c>
      <c r="P310" s="189">
        <v>0.8</v>
      </c>
      <c r="Q310" s="189">
        <v>0.8</v>
      </c>
      <c r="R310" s="189">
        <v>0.8</v>
      </c>
      <c r="S310" s="189">
        <v>0.8</v>
      </c>
      <c r="T310" s="189">
        <v>0.8</v>
      </c>
      <c r="U310" s="189">
        <v>0.8</v>
      </c>
      <c r="V310" s="189">
        <v>0.8</v>
      </c>
      <c r="W310" s="189">
        <v>0.8</v>
      </c>
      <c r="X310" s="189">
        <v>0.8</v>
      </c>
      <c r="Y310" s="189">
        <v>0.8</v>
      </c>
      <c r="Z310" s="189">
        <v>0.8</v>
      </c>
      <c r="AA310" s="189">
        <v>0.8</v>
      </c>
      <c r="AB310" s="189">
        <v>0.8</v>
      </c>
      <c r="AC310" s="189">
        <v>0.8</v>
      </c>
      <c r="AD310" s="189">
        <v>0.8</v>
      </c>
      <c r="AE310" s="189">
        <v>0.8</v>
      </c>
      <c r="AF310" s="189">
        <v>0.8</v>
      </c>
      <c r="AG310" s="189">
        <v>0.8</v>
      </c>
      <c r="AH310" s="189">
        <v>0.8</v>
      </c>
      <c r="AI310" s="189">
        <v>0.8</v>
      </c>
      <c r="AJ310" s="189">
        <v>0.8</v>
      </c>
    </row>
    <row r="311" spans="1:36" x14ac:dyDescent="0.35">
      <c r="A311" t="s">
        <v>1811</v>
      </c>
      <c r="B311" s="188" t="s">
        <v>1342</v>
      </c>
      <c r="C311" t="s">
        <v>1350</v>
      </c>
      <c r="D311" s="188">
        <v>30</v>
      </c>
      <c r="E311" t="s">
        <v>236</v>
      </c>
      <c r="F311" t="s">
        <v>1808</v>
      </c>
      <c r="G311" s="189" t="s">
        <v>1809</v>
      </c>
      <c r="H311" s="189">
        <v>0.8</v>
      </c>
      <c r="I311" s="189">
        <v>0.8</v>
      </c>
      <c r="J311" s="189">
        <v>0.8</v>
      </c>
      <c r="K311" s="189">
        <v>0.8</v>
      </c>
      <c r="L311" s="189">
        <v>0.8</v>
      </c>
      <c r="M311" s="189">
        <v>0.8</v>
      </c>
      <c r="N311" s="189">
        <v>0.8</v>
      </c>
      <c r="O311" s="189">
        <v>0.8</v>
      </c>
      <c r="P311" s="189">
        <v>0.8</v>
      </c>
      <c r="Q311" s="189">
        <v>0.8</v>
      </c>
      <c r="R311" s="189">
        <v>0.8</v>
      </c>
      <c r="S311" s="189">
        <v>0.8</v>
      </c>
      <c r="T311" s="189">
        <v>0.8</v>
      </c>
      <c r="U311" s="189">
        <v>0.8</v>
      </c>
      <c r="V311" s="189">
        <v>0.8</v>
      </c>
      <c r="W311" s="189">
        <v>0.8</v>
      </c>
      <c r="X311" s="189">
        <v>0.8</v>
      </c>
      <c r="Y311" s="189">
        <v>0.8</v>
      </c>
      <c r="Z311" s="189">
        <v>0.8</v>
      </c>
      <c r="AA311" s="189">
        <v>0.8</v>
      </c>
      <c r="AB311" s="189">
        <v>0.8</v>
      </c>
      <c r="AC311" s="189">
        <v>0.8</v>
      </c>
      <c r="AD311" s="189">
        <v>0.8</v>
      </c>
      <c r="AE311" s="189">
        <v>0.8</v>
      </c>
      <c r="AF311" s="189">
        <v>0.8</v>
      </c>
      <c r="AG311" s="189">
        <v>0.8</v>
      </c>
      <c r="AH311" s="189">
        <v>0.8</v>
      </c>
      <c r="AI311" s="189">
        <v>0.8</v>
      </c>
      <c r="AJ311" s="189">
        <v>0.8</v>
      </c>
    </row>
    <row r="312" spans="1:36" x14ac:dyDescent="0.35">
      <c r="A312" t="s">
        <v>1812</v>
      </c>
      <c r="B312" s="188" t="s">
        <v>1342</v>
      </c>
      <c r="C312" t="s">
        <v>1343</v>
      </c>
      <c r="D312" s="188">
        <v>60</v>
      </c>
      <c r="E312" t="s">
        <v>692</v>
      </c>
      <c r="F312" t="s">
        <v>692</v>
      </c>
      <c r="G312" s="189" t="s">
        <v>1813</v>
      </c>
      <c r="H312" s="189"/>
      <c r="I312" s="189"/>
      <c r="J312" s="189"/>
      <c r="K312" s="189"/>
      <c r="L312" s="189"/>
      <c r="M312" s="189"/>
      <c r="N312" s="189"/>
      <c r="O312" s="189"/>
      <c r="P312" s="189">
        <v>0.93</v>
      </c>
      <c r="Q312" s="189">
        <v>0.93</v>
      </c>
      <c r="R312" s="189">
        <v>0.93</v>
      </c>
      <c r="S312" s="189">
        <v>0.93</v>
      </c>
      <c r="T312" s="189">
        <v>0.93</v>
      </c>
      <c r="U312" s="189">
        <v>0.93</v>
      </c>
      <c r="V312" s="189">
        <v>0.93</v>
      </c>
      <c r="W312" s="189">
        <v>0.93</v>
      </c>
      <c r="X312" s="189">
        <v>0.93</v>
      </c>
      <c r="Y312" s="189">
        <v>0.93</v>
      </c>
      <c r="Z312" s="189">
        <v>0.93</v>
      </c>
      <c r="AA312" s="189">
        <v>0.93</v>
      </c>
      <c r="AB312" s="189">
        <v>0.93</v>
      </c>
      <c r="AC312" s="189">
        <v>0.93</v>
      </c>
      <c r="AD312" s="189">
        <v>0.93</v>
      </c>
      <c r="AE312" s="189">
        <v>0.93</v>
      </c>
      <c r="AF312" s="189">
        <v>0.93</v>
      </c>
      <c r="AG312" s="189">
        <v>0.93</v>
      </c>
      <c r="AH312" s="189">
        <v>0.93</v>
      </c>
      <c r="AI312" s="189">
        <v>0.93</v>
      </c>
      <c r="AJ312" s="189">
        <v>0.93</v>
      </c>
    </row>
    <row r="313" spans="1:36" x14ac:dyDescent="0.35">
      <c r="A313" t="s">
        <v>1814</v>
      </c>
      <c r="B313" s="188" t="s">
        <v>1342</v>
      </c>
      <c r="C313" t="s">
        <v>1348</v>
      </c>
      <c r="D313" s="188">
        <v>60</v>
      </c>
      <c r="E313" t="s">
        <v>692</v>
      </c>
      <c r="F313" t="s">
        <v>692</v>
      </c>
      <c r="G313" s="189" t="s">
        <v>1813</v>
      </c>
      <c r="H313" s="189"/>
      <c r="I313" s="189"/>
      <c r="J313" s="189"/>
      <c r="K313" s="189"/>
      <c r="L313" s="189"/>
      <c r="M313" s="189"/>
      <c r="N313" s="189"/>
      <c r="O313" s="189"/>
      <c r="P313" s="189">
        <v>0.93</v>
      </c>
      <c r="Q313" s="189">
        <v>0.93</v>
      </c>
      <c r="R313" s="189">
        <v>0.93</v>
      </c>
      <c r="S313" s="189">
        <v>0.93</v>
      </c>
      <c r="T313" s="189">
        <v>0.93</v>
      </c>
      <c r="U313" s="189">
        <v>0.93</v>
      </c>
      <c r="V313" s="189">
        <v>0.93</v>
      </c>
      <c r="W313" s="189">
        <v>0.93</v>
      </c>
      <c r="X313" s="189">
        <v>0.93</v>
      </c>
      <c r="Y313" s="189">
        <v>0.93</v>
      </c>
      <c r="Z313" s="189">
        <v>0.93</v>
      </c>
      <c r="AA313" s="189">
        <v>0.93</v>
      </c>
      <c r="AB313" s="189">
        <v>0.93</v>
      </c>
      <c r="AC313" s="189">
        <v>0.93</v>
      </c>
      <c r="AD313" s="189">
        <v>0.93</v>
      </c>
      <c r="AE313" s="189">
        <v>0.93</v>
      </c>
      <c r="AF313" s="189">
        <v>0.93</v>
      </c>
      <c r="AG313" s="189">
        <v>0.93</v>
      </c>
      <c r="AH313" s="189">
        <v>0.93</v>
      </c>
      <c r="AI313" s="189">
        <v>0.93</v>
      </c>
      <c r="AJ313" s="189">
        <v>0.93</v>
      </c>
    </row>
    <row r="314" spans="1:36" x14ac:dyDescent="0.35">
      <c r="A314" t="s">
        <v>1815</v>
      </c>
      <c r="B314" s="188" t="s">
        <v>1342</v>
      </c>
      <c r="C314" t="s">
        <v>1350</v>
      </c>
      <c r="D314" s="188">
        <v>60</v>
      </c>
      <c r="E314" t="s">
        <v>692</v>
      </c>
      <c r="F314" t="s">
        <v>692</v>
      </c>
      <c r="G314" s="189" t="s">
        <v>1813</v>
      </c>
      <c r="H314" s="189"/>
      <c r="I314" s="189"/>
      <c r="J314" s="189"/>
      <c r="K314" s="189"/>
      <c r="L314" s="189"/>
      <c r="M314" s="189"/>
      <c r="N314" s="189"/>
      <c r="O314" s="189"/>
      <c r="P314" s="189">
        <v>0.93</v>
      </c>
      <c r="Q314" s="189">
        <v>0.93</v>
      </c>
      <c r="R314" s="189">
        <v>0.93</v>
      </c>
      <c r="S314" s="189">
        <v>0.93</v>
      </c>
      <c r="T314" s="189">
        <v>0.93</v>
      </c>
      <c r="U314" s="189">
        <v>0.93</v>
      </c>
      <c r="V314" s="189">
        <v>0.93</v>
      </c>
      <c r="W314" s="189">
        <v>0.93</v>
      </c>
      <c r="X314" s="189">
        <v>0.93</v>
      </c>
      <c r="Y314" s="189">
        <v>0.93</v>
      </c>
      <c r="Z314" s="189">
        <v>0.93</v>
      </c>
      <c r="AA314" s="189">
        <v>0.93</v>
      </c>
      <c r="AB314" s="189">
        <v>0.93</v>
      </c>
      <c r="AC314" s="189">
        <v>0.93</v>
      </c>
      <c r="AD314" s="189">
        <v>0.93</v>
      </c>
      <c r="AE314" s="189">
        <v>0.93</v>
      </c>
      <c r="AF314" s="189">
        <v>0.93</v>
      </c>
      <c r="AG314" s="189">
        <v>0.93</v>
      </c>
      <c r="AH314" s="189">
        <v>0.93</v>
      </c>
      <c r="AI314" s="189">
        <v>0.93</v>
      </c>
      <c r="AJ314" s="189">
        <v>0.93</v>
      </c>
    </row>
    <row r="315" spans="1:36" x14ac:dyDescent="0.35">
      <c r="A315" t="s">
        <v>1816</v>
      </c>
      <c r="B315" s="188" t="s">
        <v>1342</v>
      </c>
      <c r="C315" t="s">
        <v>1343</v>
      </c>
      <c r="D315" s="188">
        <v>60</v>
      </c>
      <c r="E315" t="s">
        <v>692</v>
      </c>
      <c r="F315" t="s">
        <v>1817</v>
      </c>
      <c r="G315" s="189" t="s">
        <v>1818</v>
      </c>
      <c r="H315" s="189"/>
      <c r="I315" s="189"/>
      <c r="J315" s="189"/>
      <c r="K315" s="189"/>
      <c r="L315" s="189"/>
      <c r="M315" s="189"/>
      <c r="N315" s="189"/>
      <c r="O315" s="189"/>
      <c r="P315" s="189">
        <v>0.93</v>
      </c>
      <c r="Q315" s="189">
        <v>0.93</v>
      </c>
      <c r="R315" s="189">
        <v>0.93</v>
      </c>
      <c r="S315" s="189">
        <v>0.93</v>
      </c>
      <c r="T315" s="189">
        <v>0.93</v>
      </c>
      <c r="U315" s="189">
        <v>0.93</v>
      </c>
      <c r="V315" s="189">
        <v>0.93</v>
      </c>
      <c r="W315" s="189">
        <v>0.93</v>
      </c>
      <c r="X315" s="189">
        <v>0.93</v>
      </c>
      <c r="Y315" s="189">
        <v>0.93</v>
      </c>
      <c r="Z315" s="189">
        <v>0.93</v>
      </c>
      <c r="AA315" s="189">
        <v>0.93</v>
      </c>
      <c r="AB315" s="189">
        <v>0.93</v>
      </c>
      <c r="AC315" s="189">
        <v>0.93</v>
      </c>
      <c r="AD315" s="189">
        <v>0.93</v>
      </c>
      <c r="AE315" s="189">
        <v>0.93</v>
      </c>
      <c r="AF315" s="189">
        <v>0.93</v>
      </c>
      <c r="AG315" s="189">
        <v>0.93</v>
      </c>
      <c r="AH315" s="189">
        <v>0.93</v>
      </c>
      <c r="AI315" s="189">
        <v>0.93</v>
      </c>
      <c r="AJ315" s="189">
        <v>0.93</v>
      </c>
    </row>
    <row r="316" spans="1:36" x14ac:dyDescent="0.35">
      <c r="A316" t="s">
        <v>1819</v>
      </c>
      <c r="B316" s="188" t="s">
        <v>1342</v>
      </c>
      <c r="C316" t="s">
        <v>1348</v>
      </c>
      <c r="D316" s="188">
        <v>60</v>
      </c>
      <c r="E316" t="s">
        <v>692</v>
      </c>
      <c r="F316" t="s">
        <v>1817</v>
      </c>
      <c r="G316" s="189" t="s">
        <v>1818</v>
      </c>
      <c r="H316" s="189"/>
      <c r="I316" s="189"/>
      <c r="J316" s="189"/>
      <c r="K316" s="189"/>
      <c r="L316" s="189"/>
      <c r="M316" s="189"/>
      <c r="N316" s="189"/>
      <c r="O316" s="189"/>
      <c r="P316" s="189">
        <v>0.93</v>
      </c>
      <c r="Q316" s="189">
        <v>0.93</v>
      </c>
      <c r="R316" s="189">
        <v>0.93</v>
      </c>
      <c r="S316" s="189">
        <v>0.93</v>
      </c>
      <c r="T316" s="189">
        <v>0.93</v>
      </c>
      <c r="U316" s="189">
        <v>0.93</v>
      </c>
      <c r="V316" s="189">
        <v>0.93</v>
      </c>
      <c r="W316" s="189">
        <v>0.93</v>
      </c>
      <c r="X316" s="189">
        <v>0.93</v>
      </c>
      <c r="Y316" s="189">
        <v>0.93</v>
      </c>
      <c r="Z316" s="189">
        <v>0.93</v>
      </c>
      <c r="AA316" s="189">
        <v>0.93</v>
      </c>
      <c r="AB316" s="189">
        <v>0.93</v>
      </c>
      <c r="AC316" s="189">
        <v>0.93</v>
      </c>
      <c r="AD316" s="189">
        <v>0.93</v>
      </c>
      <c r="AE316" s="189">
        <v>0.93</v>
      </c>
      <c r="AF316" s="189">
        <v>0.93</v>
      </c>
      <c r="AG316" s="189">
        <v>0.93</v>
      </c>
      <c r="AH316" s="189">
        <v>0.93</v>
      </c>
      <c r="AI316" s="189">
        <v>0.93</v>
      </c>
      <c r="AJ316" s="189">
        <v>0.93</v>
      </c>
    </row>
    <row r="317" spans="1:36" x14ac:dyDescent="0.35">
      <c r="A317" t="s">
        <v>1820</v>
      </c>
      <c r="B317" s="188" t="s">
        <v>1342</v>
      </c>
      <c r="C317" t="s">
        <v>1350</v>
      </c>
      <c r="D317" s="188">
        <v>60</v>
      </c>
      <c r="E317" t="s">
        <v>692</v>
      </c>
      <c r="F317" t="s">
        <v>1817</v>
      </c>
      <c r="G317" s="189" t="s">
        <v>1818</v>
      </c>
      <c r="H317" s="189"/>
      <c r="I317" s="189"/>
      <c r="J317" s="189"/>
      <c r="K317" s="189"/>
      <c r="L317" s="189"/>
      <c r="M317" s="189"/>
      <c r="N317" s="189"/>
      <c r="O317" s="189"/>
      <c r="P317" s="189">
        <v>0.93</v>
      </c>
      <c r="Q317" s="189">
        <v>0.93</v>
      </c>
      <c r="R317" s="189">
        <v>0.93</v>
      </c>
      <c r="S317" s="189">
        <v>0.93</v>
      </c>
      <c r="T317" s="189">
        <v>0.93</v>
      </c>
      <c r="U317" s="189">
        <v>0.93</v>
      </c>
      <c r="V317" s="189">
        <v>0.93</v>
      </c>
      <c r="W317" s="189">
        <v>0.93</v>
      </c>
      <c r="X317" s="189">
        <v>0.93</v>
      </c>
      <c r="Y317" s="189">
        <v>0.93</v>
      </c>
      <c r="Z317" s="189">
        <v>0.93</v>
      </c>
      <c r="AA317" s="189">
        <v>0.93</v>
      </c>
      <c r="AB317" s="189">
        <v>0.93</v>
      </c>
      <c r="AC317" s="189">
        <v>0.93</v>
      </c>
      <c r="AD317" s="189">
        <v>0.93</v>
      </c>
      <c r="AE317" s="189">
        <v>0.93</v>
      </c>
      <c r="AF317" s="189">
        <v>0.93</v>
      </c>
      <c r="AG317" s="189">
        <v>0.93</v>
      </c>
      <c r="AH317" s="189">
        <v>0.93</v>
      </c>
      <c r="AI317" s="189">
        <v>0.93</v>
      </c>
      <c r="AJ317" s="189">
        <v>0.93</v>
      </c>
    </row>
    <row r="318" spans="1:36" x14ac:dyDescent="0.35">
      <c r="A318" t="s">
        <v>1821</v>
      </c>
      <c r="B318" s="188" t="s">
        <v>1342</v>
      </c>
      <c r="C318" t="s">
        <v>1343</v>
      </c>
      <c r="D318" s="188">
        <v>45</v>
      </c>
      <c r="E318" t="s">
        <v>1822</v>
      </c>
      <c r="F318" t="s">
        <v>1823</v>
      </c>
      <c r="G318" s="189" t="s">
        <v>1824</v>
      </c>
      <c r="H318" s="189">
        <v>0.6</v>
      </c>
      <c r="I318" s="189">
        <v>0.6</v>
      </c>
      <c r="J318" s="189">
        <v>0.6</v>
      </c>
      <c r="K318" s="189">
        <v>0.6</v>
      </c>
      <c r="L318" s="189">
        <v>0.6</v>
      </c>
      <c r="M318" s="189">
        <v>0.6</v>
      </c>
      <c r="N318" s="189">
        <v>0.6</v>
      </c>
      <c r="O318" s="189">
        <v>0.6</v>
      </c>
      <c r="P318" s="189">
        <v>0.6</v>
      </c>
      <c r="Q318" s="189">
        <v>0.6</v>
      </c>
      <c r="R318" s="189">
        <v>0.6</v>
      </c>
      <c r="S318" s="189">
        <v>0.6</v>
      </c>
      <c r="T318" s="189">
        <v>0.6</v>
      </c>
      <c r="U318" s="189">
        <v>0.6</v>
      </c>
      <c r="V318" s="189">
        <v>0.6</v>
      </c>
      <c r="W318" s="189">
        <v>0.6</v>
      </c>
      <c r="X318" s="189">
        <v>0.6</v>
      </c>
      <c r="Y318" s="189">
        <v>0.6</v>
      </c>
      <c r="Z318" s="189">
        <v>0.6</v>
      </c>
      <c r="AA318" s="189">
        <v>0.6</v>
      </c>
      <c r="AB318" s="189">
        <v>0.6</v>
      </c>
      <c r="AC318" s="189">
        <v>0.6</v>
      </c>
      <c r="AD318" s="189">
        <v>0.6</v>
      </c>
      <c r="AE318" s="189">
        <v>0.6</v>
      </c>
      <c r="AF318" s="189">
        <v>0.6</v>
      </c>
      <c r="AG318" s="189">
        <v>0.6</v>
      </c>
      <c r="AH318" s="189">
        <v>0.6</v>
      </c>
      <c r="AI318" s="189">
        <v>0.6</v>
      </c>
      <c r="AJ318" s="189">
        <v>0.6</v>
      </c>
    </row>
    <row r="319" spans="1:36" x14ac:dyDescent="0.35">
      <c r="A319" t="s">
        <v>1825</v>
      </c>
      <c r="B319" s="188" t="s">
        <v>1342</v>
      </c>
      <c r="C319" t="s">
        <v>1348</v>
      </c>
      <c r="D319" s="188">
        <v>45</v>
      </c>
      <c r="E319" t="s">
        <v>1822</v>
      </c>
      <c r="F319" t="s">
        <v>1823</v>
      </c>
      <c r="G319" s="189" t="s">
        <v>1824</v>
      </c>
      <c r="H319" s="189">
        <v>0.6</v>
      </c>
      <c r="I319" s="189">
        <v>0.6</v>
      </c>
      <c r="J319" s="189">
        <v>0.6</v>
      </c>
      <c r="K319" s="189">
        <v>0.6</v>
      </c>
      <c r="L319" s="189">
        <v>0.6</v>
      </c>
      <c r="M319" s="189">
        <v>0.6</v>
      </c>
      <c r="N319" s="189">
        <v>0.6</v>
      </c>
      <c r="O319" s="189">
        <v>0.6</v>
      </c>
      <c r="P319" s="189">
        <v>0.6</v>
      </c>
      <c r="Q319" s="189">
        <v>0.6</v>
      </c>
      <c r="R319" s="189">
        <v>0.6</v>
      </c>
      <c r="S319" s="189">
        <v>0.6</v>
      </c>
      <c r="T319" s="189">
        <v>0.6</v>
      </c>
      <c r="U319" s="189">
        <v>0.6</v>
      </c>
      <c r="V319" s="189">
        <v>0.6</v>
      </c>
      <c r="W319" s="189">
        <v>0.6</v>
      </c>
      <c r="X319" s="189">
        <v>0.6</v>
      </c>
      <c r="Y319" s="189">
        <v>0.6</v>
      </c>
      <c r="Z319" s="189">
        <v>0.6</v>
      </c>
      <c r="AA319" s="189">
        <v>0.6</v>
      </c>
      <c r="AB319" s="189">
        <v>0.6</v>
      </c>
      <c r="AC319" s="189">
        <v>0.6</v>
      </c>
      <c r="AD319" s="189">
        <v>0.6</v>
      </c>
      <c r="AE319" s="189">
        <v>0.6</v>
      </c>
      <c r="AF319" s="189">
        <v>0.6</v>
      </c>
      <c r="AG319" s="189">
        <v>0.6</v>
      </c>
      <c r="AH319" s="189">
        <v>0.6</v>
      </c>
      <c r="AI319" s="189">
        <v>0.6</v>
      </c>
      <c r="AJ319" s="189">
        <v>0.6</v>
      </c>
    </row>
    <row r="320" spans="1:36" x14ac:dyDescent="0.35">
      <c r="A320" t="s">
        <v>1826</v>
      </c>
      <c r="B320" s="188" t="s">
        <v>1342</v>
      </c>
      <c r="C320" t="s">
        <v>1350</v>
      </c>
      <c r="D320" s="188">
        <v>45</v>
      </c>
      <c r="E320" t="s">
        <v>1822</v>
      </c>
      <c r="F320" t="s">
        <v>1823</v>
      </c>
      <c r="G320" s="189" t="s">
        <v>1824</v>
      </c>
      <c r="H320" s="189">
        <v>0.6</v>
      </c>
      <c r="I320" s="189">
        <v>0.6</v>
      </c>
      <c r="J320" s="189">
        <v>0.6</v>
      </c>
      <c r="K320" s="189">
        <v>0.6</v>
      </c>
      <c r="L320" s="189">
        <v>0.6</v>
      </c>
      <c r="M320" s="189">
        <v>0.6</v>
      </c>
      <c r="N320" s="189">
        <v>0.6</v>
      </c>
      <c r="O320" s="189">
        <v>0.6</v>
      </c>
      <c r="P320" s="189">
        <v>0.6</v>
      </c>
      <c r="Q320" s="189">
        <v>0.6</v>
      </c>
      <c r="R320" s="189">
        <v>0.6</v>
      </c>
      <c r="S320" s="189">
        <v>0.6</v>
      </c>
      <c r="T320" s="189">
        <v>0.6</v>
      </c>
      <c r="U320" s="189">
        <v>0.6</v>
      </c>
      <c r="V320" s="189">
        <v>0.6</v>
      </c>
      <c r="W320" s="189">
        <v>0.6</v>
      </c>
      <c r="X320" s="189">
        <v>0.6</v>
      </c>
      <c r="Y320" s="189">
        <v>0.6</v>
      </c>
      <c r="Z320" s="189">
        <v>0.6</v>
      </c>
      <c r="AA320" s="189">
        <v>0.6</v>
      </c>
      <c r="AB320" s="189">
        <v>0.6</v>
      </c>
      <c r="AC320" s="189">
        <v>0.6</v>
      </c>
      <c r="AD320" s="189">
        <v>0.6</v>
      </c>
      <c r="AE320" s="189">
        <v>0.6</v>
      </c>
      <c r="AF320" s="189">
        <v>0.6</v>
      </c>
      <c r="AG320" s="189">
        <v>0.6</v>
      </c>
      <c r="AH320" s="189">
        <v>0.6</v>
      </c>
      <c r="AI320" s="189">
        <v>0.6</v>
      </c>
      <c r="AJ320" s="189">
        <v>0.6</v>
      </c>
    </row>
    <row r="321" spans="1:36" x14ac:dyDescent="0.35">
      <c r="A321" t="s">
        <v>1827</v>
      </c>
      <c r="B321" s="188" t="s">
        <v>1342</v>
      </c>
      <c r="C321" t="s">
        <v>1343</v>
      </c>
      <c r="D321" s="188" t="s">
        <v>555</v>
      </c>
      <c r="E321" t="s">
        <v>1828</v>
      </c>
      <c r="F321" t="s">
        <v>1829</v>
      </c>
      <c r="G321" s="189" t="s">
        <v>1830</v>
      </c>
      <c r="H321" s="189">
        <v>0.85</v>
      </c>
      <c r="I321" s="189">
        <v>0.85</v>
      </c>
      <c r="J321" s="189">
        <v>0.85</v>
      </c>
      <c r="K321" s="189">
        <v>0.85</v>
      </c>
      <c r="L321" s="189">
        <v>0.85</v>
      </c>
      <c r="M321" s="189">
        <v>0.85</v>
      </c>
      <c r="N321" s="189">
        <v>0.85</v>
      </c>
      <c r="O321" s="189">
        <v>0.85</v>
      </c>
      <c r="P321" s="189">
        <v>0.85</v>
      </c>
      <c r="Q321" s="189">
        <v>0.85</v>
      </c>
      <c r="R321" s="189">
        <v>0.85</v>
      </c>
      <c r="S321" s="189">
        <v>0.85</v>
      </c>
      <c r="T321" s="189">
        <v>0.85</v>
      </c>
      <c r="U321" s="189">
        <v>0.85</v>
      </c>
      <c r="V321" s="189">
        <v>0.85</v>
      </c>
      <c r="W321" s="189">
        <v>0.85</v>
      </c>
      <c r="X321" s="189">
        <v>0.85</v>
      </c>
      <c r="Y321" s="189">
        <v>0.85</v>
      </c>
      <c r="Z321" s="189">
        <v>0.85</v>
      </c>
      <c r="AA321" s="189">
        <v>0.85</v>
      </c>
      <c r="AB321" s="189">
        <v>0.85</v>
      </c>
      <c r="AC321" s="189">
        <v>0.85</v>
      </c>
      <c r="AD321" s="189">
        <v>0.85</v>
      </c>
      <c r="AE321" s="189">
        <v>0.85</v>
      </c>
      <c r="AF321" s="189">
        <v>0.85</v>
      </c>
      <c r="AG321" s="189">
        <v>0.85</v>
      </c>
      <c r="AH321" s="189">
        <v>0.85</v>
      </c>
      <c r="AI321" s="189">
        <v>0.85</v>
      </c>
      <c r="AJ321" s="189">
        <v>0.85</v>
      </c>
    </row>
    <row r="322" spans="1:36" x14ac:dyDescent="0.35">
      <c r="A322" t="s">
        <v>1831</v>
      </c>
      <c r="B322" s="188" t="s">
        <v>1342</v>
      </c>
      <c r="C322" t="s">
        <v>1348</v>
      </c>
      <c r="D322" s="188" t="s">
        <v>555</v>
      </c>
      <c r="E322" t="s">
        <v>1828</v>
      </c>
      <c r="F322" t="s">
        <v>1829</v>
      </c>
      <c r="G322" s="189" t="s">
        <v>1830</v>
      </c>
      <c r="H322" s="189">
        <v>0.85</v>
      </c>
      <c r="I322" s="189">
        <v>0.85</v>
      </c>
      <c r="J322" s="189">
        <v>0.85</v>
      </c>
      <c r="K322" s="189">
        <v>0.85</v>
      </c>
      <c r="L322" s="189">
        <v>0.85</v>
      </c>
      <c r="M322" s="189">
        <v>0.85</v>
      </c>
      <c r="N322" s="189">
        <v>0.85</v>
      </c>
      <c r="O322" s="189">
        <v>0.85</v>
      </c>
      <c r="P322" s="189">
        <v>0.85</v>
      </c>
      <c r="Q322" s="189">
        <v>0.85</v>
      </c>
      <c r="R322" s="189">
        <v>0.85</v>
      </c>
      <c r="S322" s="189">
        <v>0.85</v>
      </c>
      <c r="T322" s="189">
        <v>0.85</v>
      </c>
      <c r="U322" s="189">
        <v>0.85</v>
      </c>
      <c r="V322" s="189">
        <v>0.85</v>
      </c>
      <c r="W322" s="189">
        <v>0.85</v>
      </c>
      <c r="X322" s="189">
        <v>0.85</v>
      </c>
      <c r="Y322" s="189">
        <v>0.85</v>
      </c>
      <c r="Z322" s="189">
        <v>0.85</v>
      </c>
      <c r="AA322" s="189">
        <v>0.85</v>
      </c>
      <c r="AB322" s="189">
        <v>0.85</v>
      </c>
      <c r="AC322" s="189">
        <v>0.85</v>
      </c>
      <c r="AD322" s="189">
        <v>0.85</v>
      </c>
      <c r="AE322" s="189">
        <v>0.85</v>
      </c>
      <c r="AF322" s="189">
        <v>0.85</v>
      </c>
      <c r="AG322" s="189">
        <v>0.85</v>
      </c>
      <c r="AH322" s="189">
        <v>0.85</v>
      </c>
      <c r="AI322" s="189">
        <v>0.85</v>
      </c>
      <c r="AJ322" s="189">
        <v>0.85</v>
      </c>
    </row>
    <row r="323" spans="1:36" x14ac:dyDescent="0.35">
      <c r="A323" t="s">
        <v>1832</v>
      </c>
      <c r="B323" s="188" t="s">
        <v>1342</v>
      </c>
      <c r="C323" t="s">
        <v>1350</v>
      </c>
      <c r="D323" s="188" t="s">
        <v>555</v>
      </c>
      <c r="E323" t="s">
        <v>1828</v>
      </c>
      <c r="F323" t="s">
        <v>1829</v>
      </c>
      <c r="G323" s="189" t="s">
        <v>1830</v>
      </c>
      <c r="H323" s="189">
        <v>0.85</v>
      </c>
      <c r="I323" s="189">
        <v>0.85</v>
      </c>
      <c r="J323" s="189">
        <v>0.85</v>
      </c>
      <c r="K323" s="189">
        <v>0.85</v>
      </c>
      <c r="L323" s="189">
        <v>0.85</v>
      </c>
      <c r="M323" s="189">
        <v>0.85</v>
      </c>
      <c r="N323" s="189">
        <v>0.85</v>
      </c>
      <c r="O323" s="189">
        <v>0.85</v>
      </c>
      <c r="P323" s="189">
        <v>0.85</v>
      </c>
      <c r="Q323" s="189">
        <v>0.85</v>
      </c>
      <c r="R323" s="189">
        <v>0.85</v>
      </c>
      <c r="S323" s="189">
        <v>0.85</v>
      </c>
      <c r="T323" s="189">
        <v>0.85</v>
      </c>
      <c r="U323" s="189">
        <v>0.85</v>
      </c>
      <c r="V323" s="189">
        <v>0.85</v>
      </c>
      <c r="W323" s="189">
        <v>0.85</v>
      </c>
      <c r="X323" s="189">
        <v>0.85</v>
      </c>
      <c r="Y323" s="189">
        <v>0.85</v>
      </c>
      <c r="Z323" s="189">
        <v>0.85</v>
      </c>
      <c r="AA323" s="189">
        <v>0.85</v>
      </c>
      <c r="AB323" s="189">
        <v>0.85</v>
      </c>
      <c r="AC323" s="189">
        <v>0.85</v>
      </c>
      <c r="AD323" s="189">
        <v>0.85</v>
      </c>
      <c r="AE323" s="189">
        <v>0.85</v>
      </c>
      <c r="AF323" s="189">
        <v>0.85</v>
      </c>
      <c r="AG323" s="189">
        <v>0.85</v>
      </c>
      <c r="AH323" s="189">
        <v>0.85</v>
      </c>
      <c r="AI323" s="189">
        <v>0.85</v>
      </c>
      <c r="AJ323" s="189">
        <v>0.85</v>
      </c>
    </row>
    <row r="324" spans="1:36" x14ac:dyDescent="0.35">
      <c r="A324" t="s">
        <v>1833</v>
      </c>
      <c r="B324" s="188" t="s">
        <v>1342</v>
      </c>
      <c r="C324" t="s">
        <v>1343</v>
      </c>
      <c r="D324" s="188" t="s">
        <v>555</v>
      </c>
      <c r="E324" t="s">
        <v>1828</v>
      </c>
      <c r="F324" t="s">
        <v>1834</v>
      </c>
      <c r="G324" s="189" t="s">
        <v>1835</v>
      </c>
      <c r="H324" s="189">
        <v>0.85</v>
      </c>
      <c r="I324" s="189">
        <v>0.85</v>
      </c>
      <c r="J324" s="189">
        <v>0.85</v>
      </c>
      <c r="K324" s="189">
        <v>0.85</v>
      </c>
      <c r="L324" s="189">
        <v>0.85</v>
      </c>
      <c r="M324" s="189">
        <v>0.85</v>
      </c>
      <c r="N324" s="189">
        <v>0.85</v>
      </c>
      <c r="O324" s="189">
        <v>0.85</v>
      </c>
      <c r="P324" s="189">
        <v>0.85</v>
      </c>
      <c r="Q324" s="189">
        <v>0.85</v>
      </c>
      <c r="R324" s="189">
        <v>0.85</v>
      </c>
      <c r="S324" s="189">
        <v>0.85</v>
      </c>
      <c r="T324" s="189">
        <v>0.85</v>
      </c>
      <c r="U324" s="189">
        <v>0.85</v>
      </c>
      <c r="V324" s="189">
        <v>0.85</v>
      </c>
      <c r="W324" s="189">
        <v>0.85</v>
      </c>
      <c r="X324" s="189">
        <v>0.85</v>
      </c>
      <c r="Y324" s="189">
        <v>0.85</v>
      </c>
      <c r="Z324" s="189">
        <v>0.85</v>
      </c>
      <c r="AA324" s="189">
        <v>0.85</v>
      </c>
      <c r="AB324" s="189">
        <v>0.85</v>
      </c>
      <c r="AC324" s="189">
        <v>0.85</v>
      </c>
      <c r="AD324" s="189">
        <v>0.85</v>
      </c>
      <c r="AE324" s="189">
        <v>0.85</v>
      </c>
      <c r="AF324" s="189">
        <v>0.85</v>
      </c>
      <c r="AG324" s="189">
        <v>0.85</v>
      </c>
      <c r="AH324" s="189">
        <v>0.85</v>
      </c>
      <c r="AI324" s="189">
        <v>0.85</v>
      </c>
      <c r="AJ324" s="189">
        <v>0.85</v>
      </c>
    </row>
    <row r="325" spans="1:36" x14ac:dyDescent="0.35">
      <c r="A325" t="s">
        <v>1836</v>
      </c>
      <c r="B325" s="188" t="s">
        <v>1342</v>
      </c>
      <c r="C325" t="s">
        <v>1348</v>
      </c>
      <c r="D325" s="188" t="s">
        <v>555</v>
      </c>
      <c r="E325" t="s">
        <v>1828</v>
      </c>
      <c r="F325" t="s">
        <v>1834</v>
      </c>
      <c r="G325" s="189" t="s">
        <v>1835</v>
      </c>
      <c r="H325" s="189">
        <v>0.85</v>
      </c>
      <c r="I325" s="189">
        <v>0.85</v>
      </c>
      <c r="J325" s="189">
        <v>0.85</v>
      </c>
      <c r="K325" s="189">
        <v>0.85</v>
      </c>
      <c r="L325" s="189">
        <v>0.85</v>
      </c>
      <c r="M325" s="189">
        <v>0.85</v>
      </c>
      <c r="N325" s="189">
        <v>0.85</v>
      </c>
      <c r="O325" s="189">
        <v>0.85</v>
      </c>
      <c r="P325" s="189">
        <v>0.85</v>
      </c>
      <c r="Q325" s="189">
        <v>0.85</v>
      </c>
      <c r="R325" s="189">
        <v>0.85</v>
      </c>
      <c r="S325" s="189">
        <v>0.85</v>
      </c>
      <c r="T325" s="189">
        <v>0.85</v>
      </c>
      <c r="U325" s="189">
        <v>0.85</v>
      </c>
      <c r="V325" s="189">
        <v>0.85</v>
      </c>
      <c r="W325" s="189">
        <v>0.85</v>
      </c>
      <c r="X325" s="189">
        <v>0.85</v>
      </c>
      <c r="Y325" s="189">
        <v>0.85</v>
      </c>
      <c r="Z325" s="189">
        <v>0.85</v>
      </c>
      <c r="AA325" s="189">
        <v>0.85</v>
      </c>
      <c r="AB325" s="189">
        <v>0.85</v>
      </c>
      <c r="AC325" s="189">
        <v>0.85</v>
      </c>
      <c r="AD325" s="189">
        <v>0.85</v>
      </c>
      <c r="AE325" s="189">
        <v>0.85</v>
      </c>
      <c r="AF325" s="189">
        <v>0.85</v>
      </c>
      <c r="AG325" s="189">
        <v>0.85</v>
      </c>
      <c r="AH325" s="189">
        <v>0.85</v>
      </c>
      <c r="AI325" s="189">
        <v>0.85</v>
      </c>
      <c r="AJ325" s="189">
        <v>0.85</v>
      </c>
    </row>
    <row r="326" spans="1:36" x14ac:dyDescent="0.35">
      <c r="A326" t="s">
        <v>1837</v>
      </c>
      <c r="B326" s="188" t="s">
        <v>1342</v>
      </c>
      <c r="C326" t="s">
        <v>1350</v>
      </c>
      <c r="D326" s="188" t="s">
        <v>555</v>
      </c>
      <c r="E326" t="s">
        <v>1828</v>
      </c>
      <c r="F326" t="s">
        <v>1834</v>
      </c>
      <c r="G326" s="189" t="s">
        <v>1835</v>
      </c>
      <c r="H326" s="189">
        <v>0.85</v>
      </c>
      <c r="I326" s="189">
        <v>0.85</v>
      </c>
      <c r="J326" s="189">
        <v>0.85</v>
      </c>
      <c r="K326" s="189">
        <v>0.85</v>
      </c>
      <c r="L326" s="189">
        <v>0.85</v>
      </c>
      <c r="M326" s="189">
        <v>0.85</v>
      </c>
      <c r="N326" s="189">
        <v>0.85</v>
      </c>
      <c r="O326" s="189">
        <v>0.85</v>
      </c>
      <c r="P326" s="189">
        <v>0.85</v>
      </c>
      <c r="Q326" s="189">
        <v>0.85</v>
      </c>
      <c r="R326" s="189">
        <v>0.85</v>
      </c>
      <c r="S326" s="189">
        <v>0.85</v>
      </c>
      <c r="T326" s="189">
        <v>0.85</v>
      </c>
      <c r="U326" s="189">
        <v>0.85</v>
      </c>
      <c r="V326" s="189">
        <v>0.85</v>
      </c>
      <c r="W326" s="189">
        <v>0.85</v>
      </c>
      <c r="X326" s="189">
        <v>0.85</v>
      </c>
      <c r="Y326" s="189">
        <v>0.85</v>
      </c>
      <c r="Z326" s="189">
        <v>0.85</v>
      </c>
      <c r="AA326" s="189">
        <v>0.85</v>
      </c>
      <c r="AB326" s="189">
        <v>0.85</v>
      </c>
      <c r="AC326" s="189">
        <v>0.85</v>
      </c>
      <c r="AD326" s="189">
        <v>0.85</v>
      </c>
      <c r="AE326" s="189">
        <v>0.85</v>
      </c>
      <c r="AF326" s="189">
        <v>0.85</v>
      </c>
      <c r="AG326" s="189">
        <v>0.85</v>
      </c>
      <c r="AH326" s="189">
        <v>0.85</v>
      </c>
      <c r="AI326" s="189">
        <v>0.85</v>
      </c>
      <c r="AJ326" s="189">
        <v>0.85</v>
      </c>
    </row>
    <row r="327" spans="1:36" x14ac:dyDescent="0.35">
      <c r="A327" t="s">
        <v>1838</v>
      </c>
      <c r="B327" s="188" t="s">
        <v>1342</v>
      </c>
      <c r="C327" t="s">
        <v>1343</v>
      </c>
      <c r="D327" s="188" t="s">
        <v>555</v>
      </c>
      <c r="E327" t="s">
        <v>1828</v>
      </c>
      <c r="F327" t="s">
        <v>1839</v>
      </c>
      <c r="G327" s="189" t="s">
        <v>1840</v>
      </c>
      <c r="H327" s="189">
        <v>0.85</v>
      </c>
      <c r="I327" s="189">
        <v>0.85</v>
      </c>
      <c r="J327" s="189">
        <v>0.85</v>
      </c>
      <c r="K327" s="189">
        <v>0.85</v>
      </c>
      <c r="L327" s="189">
        <v>0.85</v>
      </c>
      <c r="M327" s="189">
        <v>0.85</v>
      </c>
      <c r="N327" s="189">
        <v>0.85</v>
      </c>
      <c r="O327" s="189">
        <v>0.85</v>
      </c>
      <c r="P327" s="189">
        <v>0.85</v>
      </c>
      <c r="Q327" s="189">
        <v>0.85</v>
      </c>
      <c r="R327" s="189">
        <v>0.85</v>
      </c>
      <c r="S327" s="189">
        <v>0.85</v>
      </c>
      <c r="T327" s="189">
        <v>0.85</v>
      </c>
      <c r="U327" s="189">
        <v>0.85</v>
      </c>
      <c r="V327" s="189">
        <v>0.85</v>
      </c>
      <c r="W327" s="189">
        <v>0.85</v>
      </c>
      <c r="X327" s="189">
        <v>0.85</v>
      </c>
      <c r="Y327" s="189">
        <v>0.85</v>
      </c>
      <c r="Z327" s="189">
        <v>0.85</v>
      </c>
      <c r="AA327" s="189">
        <v>0.85</v>
      </c>
      <c r="AB327" s="189">
        <v>0.85</v>
      </c>
      <c r="AC327" s="189">
        <v>0.85</v>
      </c>
      <c r="AD327" s="189">
        <v>0.85</v>
      </c>
      <c r="AE327" s="189">
        <v>0.85</v>
      </c>
      <c r="AF327" s="189">
        <v>0.85</v>
      </c>
      <c r="AG327" s="189">
        <v>0.85</v>
      </c>
      <c r="AH327" s="189">
        <v>0.85</v>
      </c>
      <c r="AI327" s="189">
        <v>0.85</v>
      </c>
      <c r="AJ327" s="189">
        <v>0.85</v>
      </c>
    </row>
    <row r="328" spans="1:36" x14ac:dyDescent="0.35">
      <c r="A328" t="s">
        <v>1841</v>
      </c>
      <c r="B328" s="188" t="s">
        <v>1342</v>
      </c>
      <c r="C328" t="s">
        <v>1348</v>
      </c>
      <c r="D328" s="188" t="s">
        <v>555</v>
      </c>
      <c r="E328" t="s">
        <v>1828</v>
      </c>
      <c r="F328" t="s">
        <v>1839</v>
      </c>
      <c r="G328" s="189" t="s">
        <v>1840</v>
      </c>
      <c r="H328" s="189">
        <v>0.85</v>
      </c>
      <c r="I328" s="189">
        <v>0.85</v>
      </c>
      <c r="J328" s="189">
        <v>0.85</v>
      </c>
      <c r="K328" s="189">
        <v>0.85</v>
      </c>
      <c r="L328" s="189">
        <v>0.85</v>
      </c>
      <c r="M328" s="189">
        <v>0.85</v>
      </c>
      <c r="N328" s="189">
        <v>0.85</v>
      </c>
      <c r="O328" s="189">
        <v>0.85</v>
      </c>
      <c r="P328" s="189">
        <v>0.85</v>
      </c>
      <c r="Q328" s="189">
        <v>0.85</v>
      </c>
      <c r="R328" s="189">
        <v>0.85</v>
      </c>
      <c r="S328" s="189">
        <v>0.85</v>
      </c>
      <c r="T328" s="189">
        <v>0.85</v>
      </c>
      <c r="U328" s="189">
        <v>0.85</v>
      </c>
      <c r="V328" s="189">
        <v>0.85</v>
      </c>
      <c r="W328" s="189">
        <v>0.85</v>
      </c>
      <c r="X328" s="189">
        <v>0.85</v>
      </c>
      <c r="Y328" s="189">
        <v>0.85</v>
      </c>
      <c r="Z328" s="189">
        <v>0.85</v>
      </c>
      <c r="AA328" s="189">
        <v>0.85</v>
      </c>
      <c r="AB328" s="189">
        <v>0.85</v>
      </c>
      <c r="AC328" s="189">
        <v>0.85</v>
      </c>
      <c r="AD328" s="189">
        <v>0.85</v>
      </c>
      <c r="AE328" s="189">
        <v>0.85</v>
      </c>
      <c r="AF328" s="189">
        <v>0.85</v>
      </c>
      <c r="AG328" s="189">
        <v>0.85</v>
      </c>
      <c r="AH328" s="189">
        <v>0.85</v>
      </c>
      <c r="AI328" s="189">
        <v>0.85</v>
      </c>
      <c r="AJ328" s="189">
        <v>0.85</v>
      </c>
    </row>
    <row r="329" spans="1:36" x14ac:dyDescent="0.35">
      <c r="A329" t="s">
        <v>1842</v>
      </c>
      <c r="B329" s="188" t="s">
        <v>1342</v>
      </c>
      <c r="C329" t="s">
        <v>1350</v>
      </c>
      <c r="D329" s="188" t="s">
        <v>555</v>
      </c>
      <c r="E329" t="s">
        <v>1828</v>
      </c>
      <c r="F329" t="s">
        <v>1839</v>
      </c>
      <c r="G329" s="189" t="s">
        <v>1840</v>
      </c>
      <c r="H329" s="189">
        <v>0.85</v>
      </c>
      <c r="I329" s="189">
        <v>0.85</v>
      </c>
      <c r="J329" s="189">
        <v>0.85</v>
      </c>
      <c r="K329" s="189">
        <v>0.85</v>
      </c>
      <c r="L329" s="189">
        <v>0.85</v>
      </c>
      <c r="M329" s="189">
        <v>0.85</v>
      </c>
      <c r="N329" s="189">
        <v>0.85</v>
      </c>
      <c r="O329" s="189">
        <v>0.85</v>
      </c>
      <c r="P329" s="189">
        <v>0.85</v>
      </c>
      <c r="Q329" s="189">
        <v>0.85</v>
      </c>
      <c r="R329" s="189">
        <v>0.85</v>
      </c>
      <c r="S329" s="189">
        <v>0.85</v>
      </c>
      <c r="T329" s="189">
        <v>0.85</v>
      </c>
      <c r="U329" s="189">
        <v>0.85</v>
      </c>
      <c r="V329" s="189">
        <v>0.85</v>
      </c>
      <c r="W329" s="189">
        <v>0.85</v>
      </c>
      <c r="X329" s="189">
        <v>0.85</v>
      </c>
      <c r="Y329" s="189">
        <v>0.85</v>
      </c>
      <c r="Z329" s="189">
        <v>0.85</v>
      </c>
      <c r="AA329" s="189">
        <v>0.85</v>
      </c>
      <c r="AB329" s="189">
        <v>0.85</v>
      </c>
      <c r="AC329" s="189">
        <v>0.85</v>
      </c>
      <c r="AD329" s="189">
        <v>0.85</v>
      </c>
      <c r="AE329" s="189">
        <v>0.85</v>
      </c>
      <c r="AF329" s="189">
        <v>0.85</v>
      </c>
      <c r="AG329" s="189">
        <v>0.85</v>
      </c>
      <c r="AH329" s="189">
        <v>0.85</v>
      </c>
      <c r="AI329" s="189">
        <v>0.85</v>
      </c>
      <c r="AJ329" s="189">
        <v>0.85</v>
      </c>
    </row>
    <row r="330" spans="1:36" x14ac:dyDescent="0.35">
      <c r="A330" t="s">
        <v>1843</v>
      </c>
      <c r="B330" s="188" t="s">
        <v>1342</v>
      </c>
      <c r="C330" t="s">
        <v>1343</v>
      </c>
      <c r="D330" s="188" t="s">
        <v>555</v>
      </c>
      <c r="E330" t="s">
        <v>1828</v>
      </c>
      <c r="F330" t="s">
        <v>1844</v>
      </c>
      <c r="G330" s="189" t="s">
        <v>1845</v>
      </c>
      <c r="H330" s="189">
        <v>0.85</v>
      </c>
      <c r="I330" s="189">
        <v>0.85</v>
      </c>
      <c r="J330" s="189">
        <v>0.85</v>
      </c>
      <c r="K330" s="189">
        <v>0.85</v>
      </c>
      <c r="L330" s="189">
        <v>0.85</v>
      </c>
      <c r="M330" s="189">
        <v>0.85</v>
      </c>
      <c r="N330" s="189">
        <v>0.85</v>
      </c>
      <c r="O330" s="189">
        <v>0.85</v>
      </c>
      <c r="P330" s="189">
        <v>0.85</v>
      </c>
      <c r="Q330" s="189">
        <v>0.85</v>
      </c>
      <c r="R330" s="189">
        <v>0.85</v>
      </c>
      <c r="S330" s="189">
        <v>0.85</v>
      </c>
      <c r="T330" s="189">
        <v>0.85</v>
      </c>
      <c r="U330" s="189">
        <v>0.85</v>
      </c>
      <c r="V330" s="189">
        <v>0.85</v>
      </c>
      <c r="W330" s="189">
        <v>0.85</v>
      </c>
      <c r="X330" s="189">
        <v>0.85</v>
      </c>
      <c r="Y330" s="189">
        <v>0.85</v>
      </c>
      <c r="Z330" s="189">
        <v>0.85</v>
      </c>
      <c r="AA330" s="189">
        <v>0.85</v>
      </c>
      <c r="AB330" s="189">
        <v>0.85</v>
      </c>
      <c r="AC330" s="189">
        <v>0.85</v>
      </c>
      <c r="AD330" s="189">
        <v>0.85</v>
      </c>
      <c r="AE330" s="189">
        <v>0.85</v>
      </c>
      <c r="AF330" s="189">
        <v>0.85</v>
      </c>
      <c r="AG330" s="189">
        <v>0.85</v>
      </c>
      <c r="AH330" s="189">
        <v>0.85</v>
      </c>
      <c r="AI330" s="189">
        <v>0.85</v>
      </c>
      <c r="AJ330" s="189">
        <v>0.85</v>
      </c>
    </row>
    <row r="331" spans="1:36" x14ac:dyDescent="0.35">
      <c r="A331" t="s">
        <v>1846</v>
      </c>
      <c r="B331" s="188" t="s">
        <v>1342</v>
      </c>
      <c r="C331" t="s">
        <v>1348</v>
      </c>
      <c r="D331" s="188" t="s">
        <v>555</v>
      </c>
      <c r="E331" t="s">
        <v>1828</v>
      </c>
      <c r="F331" t="s">
        <v>1844</v>
      </c>
      <c r="G331" s="189" t="s">
        <v>1845</v>
      </c>
      <c r="H331" s="189">
        <v>0.85</v>
      </c>
      <c r="I331" s="189">
        <v>0.85</v>
      </c>
      <c r="J331" s="189">
        <v>0.85</v>
      </c>
      <c r="K331" s="189">
        <v>0.85</v>
      </c>
      <c r="L331" s="189">
        <v>0.85</v>
      </c>
      <c r="M331" s="189">
        <v>0.85</v>
      </c>
      <c r="N331" s="189">
        <v>0.85</v>
      </c>
      <c r="O331" s="189">
        <v>0.85</v>
      </c>
      <c r="P331" s="189">
        <v>0.85</v>
      </c>
      <c r="Q331" s="189">
        <v>0.85</v>
      </c>
      <c r="R331" s="189">
        <v>0.85</v>
      </c>
      <c r="S331" s="189">
        <v>0.85</v>
      </c>
      <c r="T331" s="189">
        <v>0.85</v>
      </c>
      <c r="U331" s="189">
        <v>0.85</v>
      </c>
      <c r="V331" s="189">
        <v>0.85</v>
      </c>
      <c r="W331" s="189">
        <v>0.85</v>
      </c>
      <c r="X331" s="189">
        <v>0.85</v>
      </c>
      <c r="Y331" s="189">
        <v>0.85</v>
      </c>
      <c r="Z331" s="189">
        <v>0.85</v>
      </c>
      <c r="AA331" s="189">
        <v>0.85</v>
      </c>
      <c r="AB331" s="189">
        <v>0.85</v>
      </c>
      <c r="AC331" s="189">
        <v>0.85</v>
      </c>
      <c r="AD331" s="189">
        <v>0.85</v>
      </c>
      <c r="AE331" s="189">
        <v>0.85</v>
      </c>
      <c r="AF331" s="189">
        <v>0.85</v>
      </c>
      <c r="AG331" s="189">
        <v>0.85</v>
      </c>
      <c r="AH331" s="189">
        <v>0.85</v>
      </c>
      <c r="AI331" s="189">
        <v>0.85</v>
      </c>
      <c r="AJ331" s="189">
        <v>0.85</v>
      </c>
    </row>
    <row r="332" spans="1:36" x14ac:dyDescent="0.35">
      <c r="A332" t="s">
        <v>1847</v>
      </c>
      <c r="B332" s="188" t="s">
        <v>1342</v>
      </c>
      <c r="C332" t="s">
        <v>1350</v>
      </c>
      <c r="D332" s="188" t="s">
        <v>555</v>
      </c>
      <c r="E332" t="s">
        <v>1828</v>
      </c>
      <c r="F332" t="s">
        <v>1844</v>
      </c>
      <c r="G332" s="189" t="s">
        <v>1845</v>
      </c>
      <c r="H332" s="189">
        <v>0.85</v>
      </c>
      <c r="I332" s="189">
        <v>0.85</v>
      </c>
      <c r="J332" s="189">
        <v>0.85</v>
      </c>
      <c r="K332" s="189">
        <v>0.85</v>
      </c>
      <c r="L332" s="189">
        <v>0.85</v>
      </c>
      <c r="M332" s="189">
        <v>0.85</v>
      </c>
      <c r="N332" s="189">
        <v>0.85</v>
      </c>
      <c r="O332" s="189">
        <v>0.85</v>
      </c>
      <c r="P332" s="189">
        <v>0.85</v>
      </c>
      <c r="Q332" s="189">
        <v>0.85</v>
      </c>
      <c r="R332" s="189">
        <v>0.85</v>
      </c>
      <c r="S332" s="189">
        <v>0.85</v>
      </c>
      <c r="T332" s="189">
        <v>0.85</v>
      </c>
      <c r="U332" s="189">
        <v>0.85</v>
      </c>
      <c r="V332" s="189">
        <v>0.85</v>
      </c>
      <c r="W332" s="189">
        <v>0.85</v>
      </c>
      <c r="X332" s="189">
        <v>0.85</v>
      </c>
      <c r="Y332" s="189">
        <v>0.85</v>
      </c>
      <c r="Z332" s="189">
        <v>0.85</v>
      </c>
      <c r="AA332" s="189">
        <v>0.85</v>
      </c>
      <c r="AB332" s="189">
        <v>0.85</v>
      </c>
      <c r="AC332" s="189">
        <v>0.85</v>
      </c>
      <c r="AD332" s="189">
        <v>0.85</v>
      </c>
      <c r="AE332" s="189">
        <v>0.85</v>
      </c>
      <c r="AF332" s="189">
        <v>0.85</v>
      </c>
      <c r="AG332" s="189">
        <v>0.85</v>
      </c>
      <c r="AH332" s="189">
        <v>0.85</v>
      </c>
      <c r="AI332" s="189">
        <v>0.85</v>
      </c>
      <c r="AJ332" s="189">
        <v>0.85</v>
      </c>
    </row>
    <row r="333" spans="1:36" x14ac:dyDescent="0.35">
      <c r="A333" t="s">
        <v>1848</v>
      </c>
      <c r="B333" s="188" t="s">
        <v>1342</v>
      </c>
      <c r="C333" t="s">
        <v>1343</v>
      </c>
      <c r="D333" s="188" t="s">
        <v>555</v>
      </c>
      <c r="E333" t="s">
        <v>1828</v>
      </c>
      <c r="F333" t="s">
        <v>1849</v>
      </c>
      <c r="G333" s="189" t="s">
        <v>1850</v>
      </c>
      <c r="H333" s="189">
        <v>0.85</v>
      </c>
      <c r="I333" s="189">
        <v>0.85</v>
      </c>
      <c r="J333" s="189">
        <v>0.85</v>
      </c>
      <c r="K333" s="189">
        <v>0.85</v>
      </c>
      <c r="L333" s="189">
        <v>0.85</v>
      </c>
      <c r="M333" s="189">
        <v>0.85</v>
      </c>
      <c r="N333" s="189">
        <v>0.85</v>
      </c>
      <c r="O333" s="189">
        <v>0.85</v>
      </c>
      <c r="P333" s="189">
        <v>0.85</v>
      </c>
      <c r="Q333" s="189">
        <v>0.85</v>
      </c>
      <c r="R333" s="189">
        <v>0.85</v>
      </c>
      <c r="S333" s="189">
        <v>0.85</v>
      </c>
      <c r="T333" s="189">
        <v>0.85</v>
      </c>
      <c r="U333" s="189">
        <v>0.85</v>
      </c>
      <c r="V333" s="189">
        <v>0.85</v>
      </c>
      <c r="W333" s="189">
        <v>0.85</v>
      </c>
      <c r="X333" s="189">
        <v>0.85</v>
      </c>
      <c r="Y333" s="189">
        <v>0.85</v>
      </c>
      <c r="Z333" s="189">
        <v>0.85</v>
      </c>
      <c r="AA333" s="189">
        <v>0.85</v>
      </c>
      <c r="AB333" s="189">
        <v>0.85</v>
      </c>
      <c r="AC333" s="189">
        <v>0.85</v>
      </c>
      <c r="AD333" s="189">
        <v>0.85</v>
      </c>
      <c r="AE333" s="189">
        <v>0.85</v>
      </c>
      <c r="AF333" s="189">
        <v>0.85</v>
      </c>
      <c r="AG333" s="189">
        <v>0.85</v>
      </c>
      <c r="AH333" s="189">
        <v>0.85</v>
      </c>
      <c r="AI333" s="189">
        <v>0.85</v>
      </c>
      <c r="AJ333" s="189">
        <v>0.85</v>
      </c>
    </row>
    <row r="334" spans="1:36" x14ac:dyDescent="0.35">
      <c r="A334" t="s">
        <v>1851</v>
      </c>
      <c r="B334" s="188" t="s">
        <v>1342</v>
      </c>
      <c r="C334" t="s">
        <v>1348</v>
      </c>
      <c r="D334" s="188" t="s">
        <v>555</v>
      </c>
      <c r="E334" t="s">
        <v>1828</v>
      </c>
      <c r="F334" t="s">
        <v>1849</v>
      </c>
      <c r="G334" s="189" t="s">
        <v>1850</v>
      </c>
      <c r="H334" s="189">
        <v>0.85</v>
      </c>
      <c r="I334" s="189">
        <v>0.85</v>
      </c>
      <c r="J334" s="189">
        <v>0.85</v>
      </c>
      <c r="K334" s="189">
        <v>0.85</v>
      </c>
      <c r="L334" s="189">
        <v>0.85</v>
      </c>
      <c r="M334" s="189">
        <v>0.85</v>
      </c>
      <c r="N334" s="189">
        <v>0.85</v>
      </c>
      <c r="O334" s="189">
        <v>0.85</v>
      </c>
      <c r="P334" s="189">
        <v>0.85</v>
      </c>
      <c r="Q334" s="189">
        <v>0.85</v>
      </c>
      <c r="R334" s="189">
        <v>0.85</v>
      </c>
      <c r="S334" s="189">
        <v>0.85</v>
      </c>
      <c r="T334" s="189">
        <v>0.85</v>
      </c>
      <c r="U334" s="189">
        <v>0.85</v>
      </c>
      <c r="V334" s="189">
        <v>0.85</v>
      </c>
      <c r="W334" s="189">
        <v>0.85</v>
      </c>
      <c r="X334" s="189">
        <v>0.85</v>
      </c>
      <c r="Y334" s="189">
        <v>0.85</v>
      </c>
      <c r="Z334" s="189">
        <v>0.85</v>
      </c>
      <c r="AA334" s="189">
        <v>0.85</v>
      </c>
      <c r="AB334" s="189">
        <v>0.85</v>
      </c>
      <c r="AC334" s="189">
        <v>0.85</v>
      </c>
      <c r="AD334" s="189">
        <v>0.85</v>
      </c>
      <c r="AE334" s="189">
        <v>0.85</v>
      </c>
      <c r="AF334" s="189">
        <v>0.85</v>
      </c>
      <c r="AG334" s="189">
        <v>0.85</v>
      </c>
      <c r="AH334" s="189">
        <v>0.85</v>
      </c>
      <c r="AI334" s="189">
        <v>0.85</v>
      </c>
      <c r="AJ334" s="189">
        <v>0.85</v>
      </c>
    </row>
    <row r="335" spans="1:36" x14ac:dyDescent="0.35">
      <c r="A335" t="s">
        <v>1852</v>
      </c>
      <c r="B335" s="188" t="s">
        <v>1342</v>
      </c>
      <c r="C335" t="s">
        <v>1350</v>
      </c>
      <c r="D335" s="188" t="s">
        <v>555</v>
      </c>
      <c r="E335" t="s">
        <v>1828</v>
      </c>
      <c r="F335" t="s">
        <v>1849</v>
      </c>
      <c r="G335" s="189" t="s">
        <v>1850</v>
      </c>
      <c r="H335" s="189">
        <v>0.85</v>
      </c>
      <c r="I335" s="189">
        <v>0.85</v>
      </c>
      <c r="J335" s="189">
        <v>0.85</v>
      </c>
      <c r="K335" s="189">
        <v>0.85</v>
      </c>
      <c r="L335" s="189">
        <v>0.85</v>
      </c>
      <c r="M335" s="189">
        <v>0.85</v>
      </c>
      <c r="N335" s="189">
        <v>0.85</v>
      </c>
      <c r="O335" s="189">
        <v>0.85</v>
      </c>
      <c r="P335" s="189">
        <v>0.85</v>
      </c>
      <c r="Q335" s="189">
        <v>0.85</v>
      </c>
      <c r="R335" s="189">
        <v>0.85</v>
      </c>
      <c r="S335" s="189">
        <v>0.85</v>
      </c>
      <c r="T335" s="189">
        <v>0.85</v>
      </c>
      <c r="U335" s="189">
        <v>0.85</v>
      </c>
      <c r="V335" s="189">
        <v>0.85</v>
      </c>
      <c r="W335" s="189">
        <v>0.85</v>
      </c>
      <c r="X335" s="189">
        <v>0.85</v>
      </c>
      <c r="Y335" s="189">
        <v>0.85</v>
      </c>
      <c r="Z335" s="189">
        <v>0.85</v>
      </c>
      <c r="AA335" s="189">
        <v>0.85</v>
      </c>
      <c r="AB335" s="189">
        <v>0.85</v>
      </c>
      <c r="AC335" s="189">
        <v>0.85</v>
      </c>
      <c r="AD335" s="189">
        <v>0.85</v>
      </c>
      <c r="AE335" s="189">
        <v>0.85</v>
      </c>
      <c r="AF335" s="189">
        <v>0.85</v>
      </c>
      <c r="AG335" s="189">
        <v>0.85</v>
      </c>
      <c r="AH335" s="189">
        <v>0.85</v>
      </c>
      <c r="AI335" s="189">
        <v>0.85</v>
      </c>
      <c r="AJ335" s="189">
        <v>0.85</v>
      </c>
    </row>
    <row r="336" spans="1:36" x14ac:dyDescent="0.35">
      <c r="A336" t="s">
        <v>1853</v>
      </c>
      <c r="B336" s="188" t="s">
        <v>1342</v>
      </c>
      <c r="C336" t="s">
        <v>1343</v>
      </c>
      <c r="D336" s="188">
        <v>100</v>
      </c>
      <c r="E336" t="s">
        <v>1854</v>
      </c>
      <c r="F336" t="s">
        <v>1855</v>
      </c>
      <c r="G336" s="189" t="s">
        <v>1856</v>
      </c>
      <c r="H336" s="189">
        <v>0.33</v>
      </c>
      <c r="I336" s="189">
        <v>0.33</v>
      </c>
      <c r="J336" s="189">
        <v>0.33</v>
      </c>
      <c r="K336" s="189">
        <v>0.33</v>
      </c>
      <c r="L336" s="189">
        <v>0.33</v>
      </c>
      <c r="M336" s="189">
        <v>0.33</v>
      </c>
      <c r="N336" s="189">
        <v>0.33</v>
      </c>
      <c r="O336" s="189">
        <v>0.33</v>
      </c>
      <c r="P336" s="189">
        <v>0.33</v>
      </c>
      <c r="Q336" s="189">
        <v>0.33</v>
      </c>
      <c r="R336" s="189">
        <v>0.33</v>
      </c>
      <c r="S336" s="189">
        <v>0.33</v>
      </c>
      <c r="T336" s="189">
        <v>0.33</v>
      </c>
      <c r="U336" s="189">
        <v>0.33</v>
      </c>
      <c r="V336" s="189">
        <v>0.33</v>
      </c>
      <c r="W336" s="189">
        <v>0.33</v>
      </c>
      <c r="X336" s="189">
        <v>0.33</v>
      </c>
      <c r="Y336" s="189">
        <v>0.33</v>
      </c>
      <c r="Z336" s="189">
        <v>0.33</v>
      </c>
      <c r="AA336" s="189">
        <v>0.33</v>
      </c>
      <c r="AB336" s="189">
        <v>0.33</v>
      </c>
      <c r="AC336" s="189">
        <v>0.33</v>
      </c>
      <c r="AD336" s="189">
        <v>0.33</v>
      </c>
      <c r="AE336" s="189">
        <v>0.33</v>
      </c>
      <c r="AF336" s="189">
        <v>0.33</v>
      </c>
      <c r="AG336" s="189">
        <v>0.33</v>
      </c>
      <c r="AH336" s="189">
        <v>0.33</v>
      </c>
      <c r="AI336" s="189">
        <v>0.33</v>
      </c>
      <c r="AJ336" s="189">
        <v>0.33</v>
      </c>
    </row>
    <row r="337" spans="1:36" x14ac:dyDescent="0.35">
      <c r="A337" t="s">
        <v>1857</v>
      </c>
      <c r="B337" s="188" t="s">
        <v>1342</v>
      </c>
      <c r="C337" t="s">
        <v>1348</v>
      </c>
      <c r="D337" s="188">
        <v>100</v>
      </c>
      <c r="E337" t="s">
        <v>1854</v>
      </c>
      <c r="F337" t="s">
        <v>1855</v>
      </c>
      <c r="G337" s="189" t="s">
        <v>1856</v>
      </c>
      <c r="H337" s="189">
        <v>0.33</v>
      </c>
      <c r="I337" s="189">
        <v>0.33</v>
      </c>
      <c r="J337" s="189">
        <v>0.33</v>
      </c>
      <c r="K337" s="189">
        <v>0.33</v>
      </c>
      <c r="L337" s="189">
        <v>0.33</v>
      </c>
      <c r="M337" s="189">
        <v>0.33</v>
      </c>
      <c r="N337" s="189">
        <v>0.33</v>
      </c>
      <c r="O337" s="189">
        <v>0.33</v>
      </c>
      <c r="P337" s="189">
        <v>0.33</v>
      </c>
      <c r="Q337" s="189">
        <v>0.33</v>
      </c>
      <c r="R337" s="189">
        <v>0.33</v>
      </c>
      <c r="S337" s="189">
        <v>0.33</v>
      </c>
      <c r="T337" s="189">
        <v>0.33</v>
      </c>
      <c r="U337" s="189">
        <v>0.33</v>
      </c>
      <c r="V337" s="189">
        <v>0.33</v>
      </c>
      <c r="W337" s="189">
        <v>0.33</v>
      </c>
      <c r="X337" s="189">
        <v>0.33</v>
      </c>
      <c r="Y337" s="189">
        <v>0.33</v>
      </c>
      <c r="Z337" s="189">
        <v>0.33</v>
      </c>
      <c r="AA337" s="189">
        <v>0.33</v>
      </c>
      <c r="AB337" s="189">
        <v>0.33</v>
      </c>
      <c r="AC337" s="189">
        <v>0.33</v>
      </c>
      <c r="AD337" s="189">
        <v>0.33</v>
      </c>
      <c r="AE337" s="189">
        <v>0.33</v>
      </c>
      <c r="AF337" s="189">
        <v>0.33</v>
      </c>
      <c r="AG337" s="189">
        <v>0.33</v>
      </c>
      <c r="AH337" s="189">
        <v>0.33</v>
      </c>
      <c r="AI337" s="189">
        <v>0.33</v>
      </c>
      <c r="AJ337" s="189">
        <v>0.33</v>
      </c>
    </row>
    <row r="338" spans="1:36" x14ac:dyDescent="0.35">
      <c r="A338" t="s">
        <v>1858</v>
      </c>
      <c r="B338" s="188" t="s">
        <v>1342</v>
      </c>
      <c r="C338" t="s">
        <v>1350</v>
      </c>
      <c r="D338" s="188">
        <v>100</v>
      </c>
      <c r="E338" t="s">
        <v>1854</v>
      </c>
      <c r="F338" t="s">
        <v>1855</v>
      </c>
      <c r="G338" s="189" t="s">
        <v>1856</v>
      </c>
      <c r="H338" s="189">
        <v>0.33</v>
      </c>
      <c r="I338" s="189">
        <v>0.33</v>
      </c>
      <c r="J338" s="189">
        <v>0.33</v>
      </c>
      <c r="K338" s="189">
        <v>0.33</v>
      </c>
      <c r="L338" s="189">
        <v>0.33</v>
      </c>
      <c r="M338" s="189">
        <v>0.33</v>
      </c>
      <c r="N338" s="189">
        <v>0.33</v>
      </c>
      <c r="O338" s="189">
        <v>0.33</v>
      </c>
      <c r="P338" s="189">
        <v>0.33</v>
      </c>
      <c r="Q338" s="189">
        <v>0.33</v>
      </c>
      <c r="R338" s="189">
        <v>0.33</v>
      </c>
      <c r="S338" s="189">
        <v>0.33</v>
      </c>
      <c r="T338" s="189">
        <v>0.33</v>
      </c>
      <c r="U338" s="189">
        <v>0.33</v>
      </c>
      <c r="V338" s="189">
        <v>0.33</v>
      </c>
      <c r="W338" s="189">
        <v>0.33</v>
      </c>
      <c r="X338" s="189">
        <v>0.33</v>
      </c>
      <c r="Y338" s="189">
        <v>0.33</v>
      </c>
      <c r="Z338" s="189">
        <v>0.33</v>
      </c>
      <c r="AA338" s="189">
        <v>0.33</v>
      </c>
      <c r="AB338" s="189">
        <v>0.33</v>
      </c>
      <c r="AC338" s="189">
        <v>0.33</v>
      </c>
      <c r="AD338" s="189">
        <v>0.33</v>
      </c>
      <c r="AE338" s="189">
        <v>0.33</v>
      </c>
      <c r="AF338" s="189">
        <v>0.33</v>
      </c>
      <c r="AG338" s="189">
        <v>0.33</v>
      </c>
      <c r="AH338" s="189">
        <v>0.33</v>
      </c>
      <c r="AI338" s="189">
        <v>0.33</v>
      </c>
      <c r="AJ338" s="189">
        <v>0.33</v>
      </c>
    </row>
    <row r="339" spans="1:36" x14ac:dyDescent="0.35">
      <c r="A339" t="s">
        <v>1859</v>
      </c>
      <c r="B339" s="188" t="s">
        <v>1342</v>
      </c>
      <c r="C339" t="s">
        <v>1343</v>
      </c>
      <c r="D339" s="188">
        <v>100</v>
      </c>
      <c r="E339" t="s">
        <v>1854</v>
      </c>
      <c r="F339" t="s">
        <v>1860</v>
      </c>
      <c r="G339" s="189" t="s">
        <v>1861</v>
      </c>
      <c r="H339" s="189">
        <v>0.41</v>
      </c>
      <c r="I339" s="189">
        <v>0.41</v>
      </c>
      <c r="J339" s="189">
        <v>0.41</v>
      </c>
      <c r="K339" s="189">
        <v>0.41</v>
      </c>
      <c r="L339" s="189">
        <v>0.41</v>
      </c>
      <c r="M339" s="189">
        <v>0.41</v>
      </c>
      <c r="N339" s="189">
        <v>0.41</v>
      </c>
      <c r="O339" s="189">
        <v>0.41</v>
      </c>
      <c r="P339" s="189">
        <v>0.38</v>
      </c>
      <c r="Q339" s="189">
        <v>0.38</v>
      </c>
      <c r="R339" s="189">
        <v>0.38</v>
      </c>
      <c r="S339" s="189">
        <v>0.38</v>
      </c>
      <c r="T339" s="189">
        <v>0.38</v>
      </c>
      <c r="U339" s="189">
        <v>0.38</v>
      </c>
      <c r="V339" s="189">
        <v>0.38</v>
      </c>
      <c r="W339" s="189">
        <v>0.38</v>
      </c>
      <c r="X339" s="189">
        <v>0.38</v>
      </c>
      <c r="Y339" s="189">
        <v>0.38</v>
      </c>
      <c r="Z339" s="189">
        <v>0.38</v>
      </c>
      <c r="AA339" s="189">
        <v>0.38</v>
      </c>
      <c r="AB339" s="189">
        <v>0.38</v>
      </c>
      <c r="AC339" s="189">
        <v>0.38</v>
      </c>
      <c r="AD339" s="189">
        <v>0.38</v>
      </c>
      <c r="AE339" s="189">
        <v>0.38</v>
      </c>
      <c r="AF339" s="189">
        <v>0.38</v>
      </c>
      <c r="AG339" s="189">
        <v>0.38</v>
      </c>
      <c r="AH339" s="189">
        <v>0.38</v>
      </c>
      <c r="AI339" s="189">
        <v>0.38</v>
      </c>
      <c r="AJ339" s="189">
        <v>0.38</v>
      </c>
    </row>
    <row r="340" spans="1:36" x14ac:dyDescent="0.35">
      <c r="A340" t="s">
        <v>1862</v>
      </c>
      <c r="B340" s="188" t="s">
        <v>1342</v>
      </c>
      <c r="C340" t="s">
        <v>1348</v>
      </c>
      <c r="D340" s="188">
        <v>100</v>
      </c>
      <c r="E340" t="s">
        <v>1854</v>
      </c>
      <c r="F340" t="s">
        <v>1860</v>
      </c>
      <c r="G340" s="189" t="s">
        <v>1861</v>
      </c>
      <c r="H340" s="189">
        <v>0.41</v>
      </c>
      <c r="I340" s="189">
        <v>0.41</v>
      </c>
      <c r="J340" s="189">
        <v>0.41</v>
      </c>
      <c r="K340" s="189">
        <v>0.41</v>
      </c>
      <c r="L340" s="189">
        <v>0.41</v>
      </c>
      <c r="M340" s="189">
        <v>0.41</v>
      </c>
      <c r="N340" s="189">
        <v>0.41</v>
      </c>
      <c r="O340" s="189">
        <v>0.41</v>
      </c>
      <c r="P340" s="189">
        <v>0.38</v>
      </c>
      <c r="Q340" s="189">
        <v>0.38</v>
      </c>
      <c r="R340" s="189">
        <v>0.38</v>
      </c>
      <c r="S340" s="189">
        <v>0.38</v>
      </c>
      <c r="T340" s="189">
        <v>0.38</v>
      </c>
      <c r="U340" s="189">
        <v>0.38</v>
      </c>
      <c r="V340" s="189">
        <v>0.38</v>
      </c>
      <c r="W340" s="189">
        <v>0.38</v>
      </c>
      <c r="X340" s="189">
        <v>0.38</v>
      </c>
      <c r="Y340" s="189">
        <v>0.38</v>
      </c>
      <c r="Z340" s="189">
        <v>0.38</v>
      </c>
      <c r="AA340" s="189">
        <v>0.38</v>
      </c>
      <c r="AB340" s="189">
        <v>0.38</v>
      </c>
      <c r="AC340" s="189">
        <v>0.38</v>
      </c>
      <c r="AD340" s="189">
        <v>0.38</v>
      </c>
      <c r="AE340" s="189">
        <v>0.38</v>
      </c>
      <c r="AF340" s="189">
        <v>0.38</v>
      </c>
      <c r="AG340" s="189">
        <v>0.38</v>
      </c>
      <c r="AH340" s="189">
        <v>0.38</v>
      </c>
      <c r="AI340" s="189">
        <v>0.38</v>
      </c>
      <c r="AJ340" s="189">
        <v>0.38</v>
      </c>
    </row>
    <row r="341" spans="1:36" x14ac:dyDescent="0.35">
      <c r="A341" t="s">
        <v>1863</v>
      </c>
      <c r="B341" s="188" t="s">
        <v>1342</v>
      </c>
      <c r="C341" t="s">
        <v>1350</v>
      </c>
      <c r="D341" s="188">
        <v>100</v>
      </c>
      <c r="E341" t="s">
        <v>1854</v>
      </c>
      <c r="F341" t="s">
        <v>1860</v>
      </c>
      <c r="G341" s="189" t="s">
        <v>1861</v>
      </c>
      <c r="H341" s="189">
        <v>0.41</v>
      </c>
      <c r="I341" s="189">
        <v>0.41</v>
      </c>
      <c r="J341" s="189">
        <v>0.41</v>
      </c>
      <c r="K341" s="189">
        <v>0.41</v>
      </c>
      <c r="L341" s="189">
        <v>0.41</v>
      </c>
      <c r="M341" s="189">
        <v>0.41</v>
      </c>
      <c r="N341" s="189">
        <v>0.41</v>
      </c>
      <c r="O341" s="189">
        <v>0.41</v>
      </c>
      <c r="P341" s="189">
        <v>0.41</v>
      </c>
      <c r="Q341" s="189">
        <v>0.41</v>
      </c>
      <c r="R341" s="189">
        <v>0.41</v>
      </c>
      <c r="S341" s="189">
        <v>0.41</v>
      </c>
      <c r="T341" s="189">
        <v>0.41</v>
      </c>
      <c r="U341" s="189">
        <v>0.41</v>
      </c>
      <c r="V341" s="189">
        <v>0.41</v>
      </c>
      <c r="W341" s="189">
        <v>0.41</v>
      </c>
      <c r="X341" s="189">
        <v>0.41</v>
      </c>
      <c r="Y341" s="189">
        <v>0.41</v>
      </c>
      <c r="Z341" s="189">
        <v>0.41</v>
      </c>
      <c r="AA341" s="189">
        <v>0.41</v>
      </c>
      <c r="AB341" s="189">
        <v>0.41</v>
      </c>
      <c r="AC341" s="189">
        <v>0.41</v>
      </c>
      <c r="AD341" s="189">
        <v>0.41</v>
      </c>
      <c r="AE341" s="189">
        <v>0.41</v>
      </c>
      <c r="AF341" s="189">
        <v>0.41</v>
      </c>
      <c r="AG341" s="189">
        <v>0.41</v>
      </c>
      <c r="AH341" s="189">
        <v>0.41</v>
      </c>
      <c r="AI341" s="189">
        <v>0.41</v>
      </c>
      <c r="AJ341" s="189">
        <v>0.41</v>
      </c>
    </row>
    <row r="342" spans="1:36" x14ac:dyDescent="0.35">
      <c r="A342" t="s">
        <v>1864</v>
      </c>
      <c r="B342" s="188" t="s">
        <v>1342</v>
      </c>
      <c r="C342" t="s">
        <v>1343</v>
      </c>
      <c r="D342" s="188">
        <v>100</v>
      </c>
      <c r="E342" t="s">
        <v>1854</v>
      </c>
      <c r="F342" t="s">
        <v>1865</v>
      </c>
      <c r="G342" s="189" t="s">
        <v>1866</v>
      </c>
      <c r="H342" s="189">
        <v>0.33</v>
      </c>
      <c r="I342" s="189">
        <v>0.33</v>
      </c>
      <c r="J342" s="189">
        <v>0.33</v>
      </c>
      <c r="K342" s="189">
        <v>0.33</v>
      </c>
      <c r="L342" s="189">
        <v>0.33</v>
      </c>
      <c r="M342" s="189">
        <v>0.33</v>
      </c>
      <c r="N342" s="189">
        <v>0.33</v>
      </c>
      <c r="O342" s="189">
        <v>0.33</v>
      </c>
      <c r="P342" s="189">
        <v>0.32</v>
      </c>
      <c r="Q342" s="189">
        <v>0.32</v>
      </c>
      <c r="R342" s="189">
        <v>0.32</v>
      </c>
      <c r="S342" s="189">
        <v>0.32</v>
      </c>
      <c r="T342" s="189">
        <v>0.32</v>
      </c>
      <c r="U342" s="189">
        <v>0.32</v>
      </c>
      <c r="V342" s="189">
        <v>0.32</v>
      </c>
      <c r="W342" s="189">
        <v>0.32</v>
      </c>
      <c r="X342" s="189">
        <v>0.32</v>
      </c>
      <c r="Y342" s="189">
        <v>0.32</v>
      </c>
      <c r="Z342" s="189">
        <v>0.32</v>
      </c>
      <c r="AA342" s="189">
        <v>0.32</v>
      </c>
      <c r="AB342" s="189">
        <v>0.32</v>
      </c>
      <c r="AC342" s="189">
        <v>0.32</v>
      </c>
      <c r="AD342" s="189">
        <v>0.32</v>
      </c>
      <c r="AE342" s="189">
        <v>0.32</v>
      </c>
      <c r="AF342" s="189">
        <v>0.32</v>
      </c>
      <c r="AG342" s="189">
        <v>0.32</v>
      </c>
      <c r="AH342" s="189">
        <v>0.32</v>
      </c>
      <c r="AI342" s="189">
        <v>0.32</v>
      </c>
      <c r="AJ342" s="189">
        <v>0.32</v>
      </c>
    </row>
    <row r="343" spans="1:36" x14ac:dyDescent="0.35">
      <c r="A343" t="s">
        <v>1867</v>
      </c>
      <c r="B343" s="188" t="s">
        <v>1342</v>
      </c>
      <c r="C343" t="s">
        <v>1348</v>
      </c>
      <c r="D343" s="188">
        <v>100</v>
      </c>
      <c r="E343" t="s">
        <v>1854</v>
      </c>
      <c r="F343" t="s">
        <v>1865</v>
      </c>
      <c r="G343" s="189" t="s">
        <v>1866</v>
      </c>
      <c r="H343" s="189">
        <v>0.33</v>
      </c>
      <c r="I343" s="189">
        <v>0.33</v>
      </c>
      <c r="J343" s="189">
        <v>0.33</v>
      </c>
      <c r="K343" s="189">
        <v>0.33</v>
      </c>
      <c r="L343" s="189">
        <v>0.33</v>
      </c>
      <c r="M343" s="189">
        <v>0.33</v>
      </c>
      <c r="N343" s="189">
        <v>0.33</v>
      </c>
      <c r="O343" s="189">
        <v>0.33</v>
      </c>
      <c r="P343" s="189">
        <v>0.32</v>
      </c>
      <c r="Q343" s="189">
        <v>0.32</v>
      </c>
      <c r="R343" s="189">
        <v>0.32</v>
      </c>
      <c r="S343" s="189">
        <v>0.32</v>
      </c>
      <c r="T343" s="189">
        <v>0.32</v>
      </c>
      <c r="U343" s="189">
        <v>0.32</v>
      </c>
      <c r="V343" s="189">
        <v>0.32</v>
      </c>
      <c r="W343" s="189">
        <v>0.32</v>
      </c>
      <c r="X343" s="189">
        <v>0.32</v>
      </c>
      <c r="Y343" s="189">
        <v>0.32</v>
      </c>
      <c r="Z343" s="189">
        <v>0.32</v>
      </c>
      <c r="AA343" s="189">
        <v>0.32</v>
      </c>
      <c r="AB343" s="189">
        <v>0.32</v>
      </c>
      <c r="AC343" s="189">
        <v>0.32</v>
      </c>
      <c r="AD343" s="189">
        <v>0.32</v>
      </c>
      <c r="AE343" s="189">
        <v>0.32</v>
      </c>
      <c r="AF343" s="189">
        <v>0.32</v>
      </c>
      <c r="AG343" s="189">
        <v>0.32</v>
      </c>
      <c r="AH343" s="189">
        <v>0.32</v>
      </c>
      <c r="AI343" s="189">
        <v>0.32</v>
      </c>
      <c r="AJ343" s="189">
        <v>0.32</v>
      </c>
    </row>
    <row r="344" spans="1:36" x14ac:dyDescent="0.35">
      <c r="A344" t="s">
        <v>1868</v>
      </c>
      <c r="B344" s="188" t="s">
        <v>1342</v>
      </c>
      <c r="C344" t="s">
        <v>1350</v>
      </c>
      <c r="D344" s="188">
        <v>100</v>
      </c>
      <c r="E344" t="s">
        <v>1854</v>
      </c>
      <c r="F344" t="s">
        <v>1865</v>
      </c>
      <c r="G344" s="189" t="s">
        <v>1866</v>
      </c>
      <c r="H344" s="189">
        <v>0.33</v>
      </c>
      <c r="I344" s="189">
        <v>0.33</v>
      </c>
      <c r="J344" s="189">
        <v>0.33</v>
      </c>
      <c r="K344" s="189">
        <v>0.33</v>
      </c>
      <c r="L344" s="189">
        <v>0.33</v>
      </c>
      <c r="M344" s="189">
        <v>0.33</v>
      </c>
      <c r="N344" s="189">
        <v>0.33</v>
      </c>
      <c r="O344" s="189">
        <v>0.33</v>
      </c>
      <c r="P344" s="189">
        <v>0.33</v>
      </c>
      <c r="Q344" s="189">
        <v>0.33</v>
      </c>
      <c r="R344" s="189">
        <v>0.33</v>
      </c>
      <c r="S344" s="189">
        <v>0.33</v>
      </c>
      <c r="T344" s="189">
        <v>0.33</v>
      </c>
      <c r="U344" s="189">
        <v>0.33</v>
      </c>
      <c r="V344" s="189">
        <v>0.33</v>
      </c>
      <c r="W344" s="189">
        <v>0.33</v>
      </c>
      <c r="X344" s="189">
        <v>0.33</v>
      </c>
      <c r="Y344" s="189">
        <v>0.33</v>
      </c>
      <c r="Z344" s="189">
        <v>0.33</v>
      </c>
      <c r="AA344" s="189">
        <v>0.33</v>
      </c>
      <c r="AB344" s="189">
        <v>0.33</v>
      </c>
      <c r="AC344" s="189">
        <v>0.33</v>
      </c>
      <c r="AD344" s="189">
        <v>0.33</v>
      </c>
      <c r="AE344" s="189">
        <v>0.33</v>
      </c>
      <c r="AF344" s="189">
        <v>0.33</v>
      </c>
      <c r="AG344" s="189">
        <v>0.33</v>
      </c>
      <c r="AH344" s="189">
        <v>0.33</v>
      </c>
      <c r="AI344" s="189">
        <v>0.33</v>
      </c>
      <c r="AJ344" s="189">
        <v>0.33</v>
      </c>
    </row>
    <row r="345" spans="1:36" x14ac:dyDescent="0.35">
      <c r="A345" t="s">
        <v>1869</v>
      </c>
      <c r="B345" s="188" t="s">
        <v>1342</v>
      </c>
      <c r="C345" t="s">
        <v>1343</v>
      </c>
      <c r="D345" s="188">
        <v>100</v>
      </c>
      <c r="E345" t="s">
        <v>1854</v>
      </c>
      <c r="F345" t="s">
        <v>1870</v>
      </c>
      <c r="G345" s="189" t="s">
        <v>1871</v>
      </c>
      <c r="H345" s="189">
        <v>0.38</v>
      </c>
      <c r="I345" s="189">
        <v>0.38</v>
      </c>
      <c r="J345" s="189">
        <v>0.38</v>
      </c>
      <c r="K345" s="189">
        <v>0.38</v>
      </c>
      <c r="L345" s="189">
        <v>0.38</v>
      </c>
      <c r="M345" s="189">
        <v>0.38</v>
      </c>
      <c r="N345" s="189">
        <v>0.38</v>
      </c>
      <c r="O345" s="189">
        <v>0.38</v>
      </c>
      <c r="P345" s="189">
        <v>0.38</v>
      </c>
      <c r="Q345" s="189">
        <v>0.38</v>
      </c>
      <c r="R345" s="189">
        <v>0.38</v>
      </c>
      <c r="S345" s="189">
        <v>0.38</v>
      </c>
      <c r="T345" s="189">
        <v>0.38</v>
      </c>
      <c r="U345" s="189">
        <v>0.38</v>
      </c>
      <c r="V345" s="189">
        <v>0.38</v>
      </c>
      <c r="W345" s="189">
        <v>0.38</v>
      </c>
      <c r="X345" s="189">
        <v>0.38</v>
      </c>
      <c r="Y345" s="189">
        <v>0.38</v>
      </c>
      <c r="Z345" s="189">
        <v>0.38</v>
      </c>
      <c r="AA345" s="189">
        <v>0.38</v>
      </c>
      <c r="AB345" s="189">
        <v>0.38</v>
      </c>
      <c r="AC345" s="189">
        <v>0.38</v>
      </c>
      <c r="AD345" s="189">
        <v>0.38</v>
      </c>
      <c r="AE345" s="189">
        <v>0.38</v>
      </c>
      <c r="AF345" s="189">
        <v>0.38</v>
      </c>
      <c r="AG345" s="189">
        <v>0.38</v>
      </c>
      <c r="AH345" s="189">
        <v>0.38</v>
      </c>
      <c r="AI345" s="189">
        <v>0.38</v>
      </c>
      <c r="AJ345" s="189">
        <v>0.38</v>
      </c>
    </row>
    <row r="346" spans="1:36" x14ac:dyDescent="0.35">
      <c r="A346" t="s">
        <v>1872</v>
      </c>
      <c r="B346" s="188" t="s">
        <v>1342</v>
      </c>
      <c r="C346" t="s">
        <v>1348</v>
      </c>
      <c r="D346" s="188">
        <v>100</v>
      </c>
      <c r="E346" t="s">
        <v>1854</v>
      </c>
      <c r="F346" t="s">
        <v>1870</v>
      </c>
      <c r="G346" s="189" t="s">
        <v>1871</v>
      </c>
      <c r="H346" s="189">
        <v>0.38</v>
      </c>
      <c r="I346" s="189">
        <v>0.38</v>
      </c>
      <c r="J346" s="189">
        <v>0.38</v>
      </c>
      <c r="K346" s="189">
        <v>0.38</v>
      </c>
      <c r="L346" s="189">
        <v>0.38</v>
      </c>
      <c r="M346" s="189">
        <v>0.38</v>
      </c>
      <c r="N346" s="189">
        <v>0.38</v>
      </c>
      <c r="O346" s="189">
        <v>0.38</v>
      </c>
      <c r="P346" s="189">
        <v>0.38</v>
      </c>
      <c r="Q346" s="189">
        <v>0.38</v>
      </c>
      <c r="R346" s="189">
        <v>0.38</v>
      </c>
      <c r="S346" s="189">
        <v>0.38</v>
      </c>
      <c r="T346" s="189">
        <v>0.38</v>
      </c>
      <c r="U346" s="189">
        <v>0.38</v>
      </c>
      <c r="V346" s="189">
        <v>0.38</v>
      </c>
      <c r="W346" s="189">
        <v>0.38</v>
      </c>
      <c r="X346" s="189">
        <v>0.38</v>
      </c>
      <c r="Y346" s="189">
        <v>0.38</v>
      </c>
      <c r="Z346" s="189">
        <v>0.38</v>
      </c>
      <c r="AA346" s="189">
        <v>0.38</v>
      </c>
      <c r="AB346" s="189">
        <v>0.38</v>
      </c>
      <c r="AC346" s="189">
        <v>0.38</v>
      </c>
      <c r="AD346" s="189">
        <v>0.38</v>
      </c>
      <c r="AE346" s="189">
        <v>0.38</v>
      </c>
      <c r="AF346" s="189">
        <v>0.38</v>
      </c>
      <c r="AG346" s="189">
        <v>0.38</v>
      </c>
      <c r="AH346" s="189">
        <v>0.38</v>
      </c>
      <c r="AI346" s="189">
        <v>0.38</v>
      </c>
      <c r="AJ346" s="189">
        <v>0.38</v>
      </c>
    </row>
    <row r="347" spans="1:36" x14ac:dyDescent="0.35">
      <c r="A347" t="s">
        <v>1873</v>
      </c>
      <c r="B347" s="188" t="s">
        <v>1342</v>
      </c>
      <c r="C347" t="s">
        <v>1350</v>
      </c>
      <c r="D347" s="188">
        <v>100</v>
      </c>
      <c r="E347" t="s">
        <v>1854</v>
      </c>
      <c r="F347" t="s">
        <v>1870</v>
      </c>
      <c r="G347" s="189" t="s">
        <v>1871</v>
      </c>
      <c r="H347" s="189">
        <v>0.38</v>
      </c>
      <c r="I347" s="189">
        <v>0.38</v>
      </c>
      <c r="J347" s="189">
        <v>0.38</v>
      </c>
      <c r="K347" s="189">
        <v>0.38</v>
      </c>
      <c r="L347" s="189">
        <v>0.38</v>
      </c>
      <c r="M347" s="189">
        <v>0.38</v>
      </c>
      <c r="N347" s="189">
        <v>0.38</v>
      </c>
      <c r="O347" s="189">
        <v>0.38</v>
      </c>
      <c r="P347" s="189">
        <v>0.38</v>
      </c>
      <c r="Q347" s="189">
        <v>0.38</v>
      </c>
      <c r="R347" s="189">
        <v>0.38</v>
      </c>
      <c r="S347" s="189">
        <v>0.38</v>
      </c>
      <c r="T347" s="189">
        <v>0.38</v>
      </c>
      <c r="U347" s="189">
        <v>0.38</v>
      </c>
      <c r="V347" s="189">
        <v>0.38</v>
      </c>
      <c r="W347" s="189">
        <v>0.38</v>
      </c>
      <c r="X347" s="189">
        <v>0.38</v>
      </c>
      <c r="Y347" s="189">
        <v>0.38</v>
      </c>
      <c r="Z347" s="189">
        <v>0.38</v>
      </c>
      <c r="AA347" s="189">
        <v>0.38</v>
      </c>
      <c r="AB347" s="189">
        <v>0.38</v>
      </c>
      <c r="AC347" s="189">
        <v>0.38</v>
      </c>
      <c r="AD347" s="189">
        <v>0.38</v>
      </c>
      <c r="AE347" s="189">
        <v>0.38</v>
      </c>
      <c r="AF347" s="189">
        <v>0.38</v>
      </c>
      <c r="AG347" s="189">
        <v>0.38</v>
      </c>
      <c r="AH347" s="189">
        <v>0.38</v>
      </c>
      <c r="AI347" s="189">
        <v>0.38</v>
      </c>
      <c r="AJ347" s="189">
        <v>0.38</v>
      </c>
    </row>
    <row r="348" spans="1:36" x14ac:dyDescent="0.35">
      <c r="A348" t="s">
        <v>1874</v>
      </c>
      <c r="B348" s="188" t="s">
        <v>1342</v>
      </c>
      <c r="C348" t="s">
        <v>1343</v>
      </c>
      <c r="D348" s="188">
        <v>100</v>
      </c>
      <c r="E348" t="s">
        <v>1854</v>
      </c>
      <c r="F348" t="s">
        <v>1875</v>
      </c>
      <c r="G348" s="189" t="s">
        <v>1876</v>
      </c>
      <c r="H348" s="189">
        <v>0.42</v>
      </c>
      <c r="I348" s="189">
        <v>0.42</v>
      </c>
      <c r="J348" s="189">
        <v>0.42</v>
      </c>
      <c r="K348" s="189">
        <v>0.42</v>
      </c>
      <c r="L348" s="189">
        <v>0.42</v>
      </c>
      <c r="M348" s="189">
        <v>0.42</v>
      </c>
      <c r="N348" s="189">
        <v>0.42</v>
      </c>
      <c r="O348" s="189">
        <v>0.42</v>
      </c>
      <c r="P348" s="189">
        <v>0.56000000000000005</v>
      </c>
      <c r="Q348" s="189">
        <v>0.56000000000000005</v>
      </c>
      <c r="R348" s="189">
        <v>0.56000000000000005</v>
      </c>
      <c r="S348" s="189">
        <v>0.56000000000000005</v>
      </c>
      <c r="T348" s="189">
        <v>0.56000000000000005</v>
      </c>
      <c r="U348" s="189">
        <v>0.56000000000000005</v>
      </c>
      <c r="V348" s="189">
        <v>0.56000000000000005</v>
      </c>
      <c r="W348" s="189">
        <v>0.56000000000000005</v>
      </c>
      <c r="X348" s="189">
        <v>0.56000000000000005</v>
      </c>
      <c r="Y348" s="189">
        <v>0.56000000000000005</v>
      </c>
      <c r="Z348" s="189">
        <v>0.56000000000000005</v>
      </c>
      <c r="AA348" s="189">
        <v>0.56000000000000005</v>
      </c>
      <c r="AB348" s="189">
        <v>0.56000000000000005</v>
      </c>
      <c r="AC348" s="189">
        <v>0.56000000000000005</v>
      </c>
      <c r="AD348" s="189">
        <v>0.56000000000000005</v>
      </c>
      <c r="AE348" s="189">
        <v>0.56000000000000005</v>
      </c>
      <c r="AF348" s="189">
        <v>0.56000000000000005</v>
      </c>
      <c r="AG348" s="189">
        <v>0.56000000000000005</v>
      </c>
      <c r="AH348" s="189">
        <v>0.56000000000000005</v>
      </c>
      <c r="AI348" s="189">
        <v>0.56000000000000005</v>
      </c>
      <c r="AJ348" s="189">
        <v>0.56000000000000005</v>
      </c>
    </row>
    <row r="349" spans="1:36" x14ac:dyDescent="0.35">
      <c r="A349" t="s">
        <v>1877</v>
      </c>
      <c r="B349" s="188" t="s">
        <v>1342</v>
      </c>
      <c r="C349" t="s">
        <v>1348</v>
      </c>
      <c r="D349" s="188">
        <v>100</v>
      </c>
      <c r="E349" t="s">
        <v>1854</v>
      </c>
      <c r="F349" t="s">
        <v>1875</v>
      </c>
      <c r="G349" s="189" t="s">
        <v>1876</v>
      </c>
      <c r="H349" s="189">
        <v>0.42</v>
      </c>
      <c r="I349" s="189">
        <v>0.42</v>
      </c>
      <c r="J349" s="189">
        <v>0.42</v>
      </c>
      <c r="K349" s="189">
        <v>0.42</v>
      </c>
      <c r="L349" s="189">
        <v>0.42</v>
      </c>
      <c r="M349" s="189">
        <v>0.42</v>
      </c>
      <c r="N349" s="189">
        <v>0.42</v>
      </c>
      <c r="O349" s="189">
        <v>0.42</v>
      </c>
      <c r="P349" s="189">
        <v>0.56000000000000005</v>
      </c>
      <c r="Q349" s="189">
        <v>0.56000000000000005</v>
      </c>
      <c r="R349" s="189">
        <v>0.56000000000000005</v>
      </c>
      <c r="S349" s="189">
        <v>0.56000000000000005</v>
      </c>
      <c r="T349" s="189">
        <v>0.56000000000000005</v>
      </c>
      <c r="U349" s="189">
        <v>0.56000000000000005</v>
      </c>
      <c r="V349" s="189">
        <v>0.56000000000000005</v>
      </c>
      <c r="W349" s="189">
        <v>0.56000000000000005</v>
      </c>
      <c r="X349" s="189">
        <v>0.56000000000000005</v>
      </c>
      <c r="Y349" s="189">
        <v>0.56000000000000005</v>
      </c>
      <c r="Z349" s="189">
        <v>0.56000000000000005</v>
      </c>
      <c r="AA349" s="189">
        <v>0.56000000000000005</v>
      </c>
      <c r="AB349" s="189">
        <v>0.56000000000000005</v>
      </c>
      <c r="AC349" s="189">
        <v>0.56000000000000005</v>
      </c>
      <c r="AD349" s="189">
        <v>0.56000000000000005</v>
      </c>
      <c r="AE349" s="189">
        <v>0.56000000000000005</v>
      </c>
      <c r="AF349" s="189">
        <v>0.56000000000000005</v>
      </c>
      <c r="AG349" s="189">
        <v>0.56000000000000005</v>
      </c>
      <c r="AH349" s="189">
        <v>0.56000000000000005</v>
      </c>
      <c r="AI349" s="189">
        <v>0.56000000000000005</v>
      </c>
      <c r="AJ349" s="189">
        <v>0.56000000000000005</v>
      </c>
    </row>
    <row r="350" spans="1:36" x14ac:dyDescent="0.35">
      <c r="A350" t="s">
        <v>1878</v>
      </c>
      <c r="B350" s="188" t="s">
        <v>1342</v>
      </c>
      <c r="C350" t="s">
        <v>1350</v>
      </c>
      <c r="D350" s="188">
        <v>100</v>
      </c>
      <c r="E350" t="s">
        <v>1854</v>
      </c>
      <c r="F350" t="s">
        <v>1875</v>
      </c>
      <c r="G350" s="189" t="s">
        <v>1876</v>
      </c>
      <c r="H350" s="189">
        <v>0.42</v>
      </c>
      <c r="I350" s="189">
        <v>0.42</v>
      </c>
      <c r="J350" s="189">
        <v>0.42</v>
      </c>
      <c r="K350" s="189">
        <v>0.42</v>
      </c>
      <c r="L350" s="189">
        <v>0.42</v>
      </c>
      <c r="M350" s="189">
        <v>0.42</v>
      </c>
      <c r="N350" s="189">
        <v>0.42</v>
      </c>
      <c r="O350" s="189">
        <v>0.42</v>
      </c>
      <c r="P350" s="189">
        <v>0.42</v>
      </c>
      <c r="Q350" s="189">
        <v>0.42</v>
      </c>
      <c r="R350" s="189">
        <v>0.42</v>
      </c>
      <c r="S350" s="189">
        <v>0.42</v>
      </c>
      <c r="T350" s="189">
        <v>0.42</v>
      </c>
      <c r="U350" s="189">
        <v>0.42</v>
      </c>
      <c r="V350" s="189">
        <v>0.42</v>
      </c>
      <c r="W350" s="189">
        <v>0.42</v>
      </c>
      <c r="X350" s="189">
        <v>0.42</v>
      </c>
      <c r="Y350" s="189">
        <v>0.42</v>
      </c>
      <c r="Z350" s="189">
        <v>0.42</v>
      </c>
      <c r="AA350" s="189">
        <v>0.42</v>
      </c>
      <c r="AB350" s="189">
        <v>0.42</v>
      </c>
      <c r="AC350" s="189">
        <v>0.42</v>
      </c>
      <c r="AD350" s="189">
        <v>0.42</v>
      </c>
      <c r="AE350" s="189">
        <v>0.42</v>
      </c>
      <c r="AF350" s="189">
        <v>0.42</v>
      </c>
      <c r="AG350" s="189">
        <v>0.42</v>
      </c>
      <c r="AH350" s="189">
        <v>0.42</v>
      </c>
      <c r="AI350" s="189">
        <v>0.42</v>
      </c>
      <c r="AJ350" s="189">
        <v>0.42</v>
      </c>
    </row>
    <row r="351" spans="1:36" x14ac:dyDescent="0.35">
      <c r="A351" t="s">
        <v>1879</v>
      </c>
      <c r="B351" s="188" t="s">
        <v>1342</v>
      </c>
      <c r="C351" t="s">
        <v>1343</v>
      </c>
      <c r="D351" s="188">
        <v>100</v>
      </c>
      <c r="E351" t="s">
        <v>1854</v>
      </c>
      <c r="F351" t="s">
        <v>1880</v>
      </c>
      <c r="G351" s="189" t="s">
        <v>1881</v>
      </c>
      <c r="H351" s="189">
        <v>0.44</v>
      </c>
      <c r="I351" s="189">
        <v>0.44</v>
      </c>
      <c r="J351" s="189">
        <v>0.44</v>
      </c>
      <c r="K351" s="189">
        <v>0.44</v>
      </c>
      <c r="L351" s="189">
        <v>0.44</v>
      </c>
      <c r="M351" s="189">
        <v>0.44</v>
      </c>
      <c r="N351" s="189">
        <v>0.44</v>
      </c>
      <c r="O351" s="189">
        <v>0.44</v>
      </c>
      <c r="P351" s="189">
        <v>0.59</v>
      </c>
      <c r="Q351" s="189">
        <v>0.59</v>
      </c>
      <c r="R351" s="189">
        <v>0.59</v>
      </c>
      <c r="S351" s="189">
        <v>0.59</v>
      </c>
      <c r="T351" s="189">
        <v>0.59</v>
      </c>
      <c r="U351" s="189">
        <v>0.59</v>
      </c>
      <c r="V351" s="189">
        <v>0.59</v>
      </c>
      <c r="W351" s="189">
        <v>0.59</v>
      </c>
      <c r="X351" s="189">
        <v>0.59</v>
      </c>
      <c r="Y351" s="189">
        <v>0.59</v>
      </c>
      <c r="Z351" s="189">
        <v>0.59</v>
      </c>
      <c r="AA351" s="189">
        <v>0.59</v>
      </c>
      <c r="AB351" s="189">
        <v>0.59</v>
      </c>
      <c r="AC351" s="189">
        <v>0.59</v>
      </c>
      <c r="AD351" s="189">
        <v>0.59</v>
      </c>
      <c r="AE351" s="189">
        <v>0.59</v>
      </c>
      <c r="AF351" s="189">
        <v>0.59</v>
      </c>
      <c r="AG351" s="189">
        <v>0.59</v>
      </c>
      <c r="AH351" s="189">
        <v>0.59</v>
      </c>
      <c r="AI351" s="189">
        <v>0.59</v>
      </c>
      <c r="AJ351" s="189">
        <v>0.59</v>
      </c>
    </row>
    <row r="352" spans="1:36" x14ac:dyDescent="0.35">
      <c r="A352" t="s">
        <v>1882</v>
      </c>
      <c r="B352" s="188" t="s">
        <v>1342</v>
      </c>
      <c r="C352" t="s">
        <v>1348</v>
      </c>
      <c r="D352" s="188">
        <v>100</v>
      </c>
      <c r="E352" t="s">
        <v>1854</v>
      </c>
      <c r="F352" t="s">
        <v>1880</v>
      </c>
      <c r="G352" s="189" t="s">
        <v>1881</v>
      </c>
      <c r="H352" s="189">
        <v>0.44</v>
      </c>
      <c r="I352" s="189">
        <v>0.44</v>
      </c>
      <c r="J352" s="189">
        <v>0.44</v>
      </c>
      <c r="K352" s="189">
        <v>0.44</v>
      </c>
      <c r="L352" s="189">
        <v>0.44</v>
      </c>
      <c r="M352" s="189">
        <v>0.44</v>
      </c>
      <c r="N352" s="189">
        <v>0.44</v>
      </c>
      <c r="O352" s="189">
        <v>0.44</v>
      </c>
      <c r="P352" s="189">
        <v>0.59</v>
      </c>
      <c r="Q352" s="189">
        <v>0.59</v>
      </c>
      <c r="R352" s="189">
        <v>0.59</v>
      </c>
      <c r="S352" s="189">
        <v>0.59</v>
      </c>
      <c r="T352" s="189">
        <v>0.59</v>
      </c>
      <c r="U352" s="189">
        <v>0.59</v>
      </c>
      <c r="V352" s="189">
        <v>0.59</v>
      </c>
      <c r="W352" s="189">
        <v>0.59</v>
      </c>
      <c r="X352" s="189">
        <v>0.59</v>
      </c>
      <c r="Y352" s="189">
        <v>0.59</v>
      </c>
      <c r="Z352" s="189">
        <v>0.59</v>
      </c>
      <c r="AA352" s="189">
        <v>0.59</v>
      </c>
      <c r="AB352" s="189">
        <v>0.59</v>
      </c>
      <c r="AC352" s="189">
        <v>0.59</v>
      </c>
      <c r="AD352" s="189">
        <v>0.59</v>
      </c>
      <c r="AE352" s="189">
        <v>0.59</v>
      </c>
      <c r="AF352" s="189">
        <v>0.59</v>
      </c>
      <c r="AG352" s="189">
        <v>0.59</v>
      </c>
      <c r="AH352" s="189">
        <v>0.59</v>
      </c>
      <c r="AI352" s="189">
        <v>0.59</v>
      </c>
      <c r="AJ352" s="189">
        <v>0.59</v>
      </c>
    </row>
    <row r="353" spans="1:36" x14ac:dyDescent="0.35">
      <c r="A353" t="s">
        <v>1883</v>
      </c>
      <c r="B353" s="188" t="s">
        <v>1342</v>
      </c>
      <c r="C353" t="s">
        <v>1350</v>
      </c>
      <c r="D353" s="188">
        <v>100</v>
      </c>
      <c r="E353" t="s">
        <v>1854</v>
      </c>
      <c r="F353" t="s">
        <v>1880</v>
      </c>
      <c r="G353" s="189" t="s">
        <v>1881</v>
      </c>
      <c r="H353" s="189">
        <v>0.44</v>
      </c>
      <c r="I353" s="189">
        <v>0.44</v>
      </c>
      <c r="J353" s="189">
        <v>0.44</v>
      </c>
      <c r="K353" s="189">
        <v>0.44</v>
      </c>
      <c r="L353" s="189">
        <v>0.44</v>
      </c>
      <c r="M353" s="189">
        <v>0.44</v>
      </c>
      <c r="N353" s="189">
        <v>0.44</v>
      </c>
      <c r="O353" s="189">
        <v>0.44</v>
      </c>
      <c r="P353" s="189">
        <v>0.44</v>
      </c>
      <c r="Q353" s="189">
        <v>0.44</v>
      </c>
      <c r="R353" s="189">
        <v>0.44</v>
      </c>
      <c r="S353" s="189">
        <v>0.44</v>
      </c>
      <c r="T353" s="189">
        <v>0.44</v>
      </c>
      <c r="U353" s="189">
        <v>0.44</v>
      </c>
      <c r="V353" s="189">
        <v>0.44</v>
      </c>
      <c r="W353" s="189">
        <v>0.44</v>
      </c>
      <c r="X353" s="189">
        <v>0.44</v>
      </c>
      <c r="Y353" s="189">
        <v>0.44</v>
      </c>
      <c r="Z353" s="189">
        <v>0.44</v>
      </c>
      <c r="AA353" s="189">
        <v>0.44</v>
      </c>
      <c r="AB353" s="189">
        <v>0.44</v>
      </c>
      <c r="AC353" s="189">
        <v>0.44</v>
      </c>
      <c r="AD353" s="189">
        <v>0.44</v>
      </c>
      <c r="AE353" s="189">
        <v>0.44</v>
      </c>
      <c r="AF353" s="189">
        <v>0.44</v>
      </c>
      <c r="AG353" s="189">
        <v>0.44</v>
      </c>
      <c r="AH353" s="189">
        <v>0.44</v>
      </c>
      <c r="AI353" s="189">
        <v>0.44</v>
      </c>
      <c r="AJ353" s="189">
        <v>0.44</v>
      </c>
    </row>
    <row r="354" spans="1:36" x14ac:dyDescent="0.35">
      <c r="A354" t="s">
        <v>1884</v>
      </c>
      <c r="B354" s="188" t="s">
        <v>1342</v>
      </c>
      <c r="C354" t="s">
        <v>1343</v>
      </c>
      <c r="D354" s="188">
        <v>100</v>
      </c>
      <c r="E354" t="s">
        <v>1854</v>
      </c>
      <c r="F354" t="s">
        <v>1885</v>
      </c>
      <c r="G354" s="189" t="s">
        <v>1886</v>
      </c>
      <c r="H354" s="189">
        <v>0.62</v>
      </c>
      <c r="I354" s="189">
        <v>0.62</v>
      </c>
      <c r="J354" s="189">
        <v>0.62</v>
      </c>
      <c r="K354" s="189">
        <v>0.62</v>
      </c>
      <c r="L354" s="189">
        <v>0.62</v>
      </c>
      <c r="M354" s="189">
        <v>0.62</v>
      </c>
      <c r="N354" s="189">
        <v>0.62</v>
      </c>
      <c r="O354" s="189">
        <v>0.62</v>
      </c>
      <c r="P354" s="189">
        <v>0.64</v>
      </c>
      <c r="Q354" s="189">
        <v>0.64</v>
      </c>
      <c r="R354" s="189">
        <v>0.64</v>
      </c>
      <c r="S354" s="189">
        <v>0.64</v>
      </c>
      <c r="T354" s="189">
        <v>0.64</v>
      </c>
      <c r="U354" s="189">
        <v>0.64</v>
      </c>
      <c r="V354" s="189">
        <v>0.64</v>
      </c>
      <c r="W354" s="189">
        <v>0.64</v>
      </c>
      <c r="X354" s="189">
        <v>0.64</v>
      </c>
      <c r="Y354" s="189">
        <v>0.64</v>
      </c>
      <c r="Z354" s="189">
        <v>0.64</v>
      </c>
      <c r="AA354" s="189">
        <v>0.64</v>
      </c>
      <c r="AB354" s="189">
        <v>0.64</v>
      </c>
      <c r="AC354" s="189">
        <v>0.64</v>
      </c>
      <c r="AD354" s="189">
        <v>0.64</v>
      </c>
      <c r="AE354" s="189">
        <v>0.64</v>
      </c>
      <c r="AF354" s="189">
        <v>0.64</v>
      </c>
      <c r="AG354" s="189">
        <v>0.64</v>
      </c>
      <c r="AH354" s="189">
        <v>0.64</v>
      </c>
      <c r="AI354" s="189">
        <v>0.64</v>
      </c>
      <c r="AJ354" s="189">
        <v>0.64</v>
      </c>
    </row>
    <row r="355" spans="1:36" x14ac:dyDescent="0.35">
      <c r="A355" t="s">
        <v>1887</v>
      </c>
      <c r="B355" s="188" t="s">
        <v>1342</v>
      </c>
      <c r="C355" t="s">
        <v>1348</v>
      </c>
      <c r="D355" s="188">
        <v>100</v>
      </c>
      <c r="E355" t="s">
        <v>1854</v>
      </c>
      <c r="F355" t="s">
        <v>1885</v>
      </c>
      <c r="G355" s="189" t="s">
        <v>1886</v>
      </c>
      <c r="H355" s="189">
        <v>0.62</v>
      </c>
      <c r="I355" s="189">
        <v>0.62</v>
      </c>
      <c r="J355" s="189">
        <v>0.62</v>
      </c>
      <c r="K355" s="189">
        <v>0.62</v>
      </c>
      <c r="L355" s="189">
        <v>0.62</v>
      </c>
      <c r="M355" s="189">
        <v>0.62</v>
      </c>
      <c r="N355" s="189">
        <v>0.62</v>
      </c>
      <c r="O355" s="189">
        <v>0.62</v>
      </c>
      <c r="P355" s="189">
        <v>0.64</v>
      </c>
      <c r="Q355" s="189">
        <v>0.64</v>
      </c>
      <c r="R355" s="189">
        <v>0.64</v>
      </c>
      <c r="S355" s="189">
        <v>0.64</v>
      </c>
      <c r="T355" s="189">
        <v>0.64</v>
      </c>
      <c r="U355" s="189">
        <v>0.64</v>
      </c>
      <c r="V355" s="189">
        <v>0.64</v>
      </c>
      <c r="W355" s="189">
        <v>0.64</v>
      </c>
      <c r="X355" s="189">
        <v>0.64</v>
      </c>
      <c r="Y355" s="189">
        <v>0.64</v>
      </c>
      <c r="Z355" s="189">
        <v>0.64</v>
      </c>
      <c r="AA355" s="189">
        <v>0.64</v>
      </c>
      <c r="AB355" s="189">
        <v>0.64</v>
      </c>
      <c r="AC355" s="189">
        <v>0.64</v>
      </c>
      <c r="AD355" s="189">
        <v>0.64</v>
      </c>
      <c r="AE355" s="189">
        <v>0.64</v>
      </c>
      <c r="AF355" s="189">
        <v>0.64</v>
      </c>
      <c r="AG355" s="189">
        <v>0.64</v>
      </c>
      <c r="AH355" s="189">
        <v>0.64</v>
      </c>
      <c r="AI355" s="189">
        <v>0.64</v>
      </c>
      <c r="AJ355" s="189">
        <v>0.64</v>
      </c>
    </row>
    <row r="356" spans="1:36" x14ac:dyDescent="0.35">
      <c r="A356" t="s">
        <v>1888</v>
      </c>
      <c r="B356" s="188" t="s">
        <v>1342</v>
      </c>
      <c r="C356" t="s">
        <v>1350</v>
      </c>
      <c r="D356" s="188">
        <v>100</v>
      </c>
      <c r="E356" t="s">
        <v>1854</v>
      </c>
      <c r="F356" t="s">
        <v>1885</v>
      </c>
      <c r="G356" s="189" t="s">
        <v>1886</v>
      </c>
      <c r="H356" s="189">
        <v>0.62</v>
      </c>
      <c r="I356" s="189">
        <v>0.62</v>
      </c>
      <c r="J356" s="189">
        <v>0.62</v>
      </c>
      <c r="K356" s="189">
        <v>0.62</v>
      </c>
      <c r="L356" s="189">
        <v>0.62</v>
      </c>
      <c r="M356" s="189">
        <v>0.62</v>
      </c>
      <c r="N356" s="189">
        <v>0.62</v>
      </c>
      <c r="O356" s="189">
        <v>0.62</v>
      </c>
      <c r="P356" s="189">
        <v>0.62</v>
      </c>
      <c r="Q356" s="189">
        <v>0.62</v>
      </c>
      <c r="R356" s="189">
        <v>0.62</v>
      </c>
      <c r="S356" s="189">
        <v>0.62</v>
      </c>
      <c r="T356" s="189">
        <v>0.62</v>
      </c>
      <c r="U356" s="189">
        <v>0.62</v>
      </c>
      <c r="V356" s="189">
        <v>0.62</v>
      </c>
      <c r="W356" s="189">
        <v>0.62</v>
      </c>
      <c r="X356" s="189">
        <v>0.62</v>
      </c>
      <c r="Y356" s="189">
        <v>0.62</v>
      </c>
      <c r="Z356" s="189">
        <v>0.62</v>
      </c>
      <c r="AA356" s="189">
        <v>0.62</v>
      </c>
      <c r="AB356" s="189">
        <v>0.62</v>
      </c>
      <c r="AC356" s="189">
        <v>0.62</v>
      </c>
      <c r="AD356" s="189">
        <v>0.62</v>
      </c>
      <c r="AE356" s="189">
        <v>0.62</v>
      </c>
      <c r="AF356" s="189">
        <v>0.62</v>
      </c>
      <c r="AG356" s="189">
        <v>0.62</v>
      </c>
      <c r="AH356" s="189">
        <v>0.62</v>
      </c>
      <c r="AI356" s="189">
        <v>0.62</v>
      </c>
      <c r="AJ356" s="189">
        <v>0.62</v>
      </c>
    </row>
    <row r="357" spans="1:36" x14ac:dyDescent="0.35">
      <c r="A357" t="s">
        <v>1889</v>
      </c>
      <c r="B357" s="188" t="s">
        <v>1342</v>
      </c>
      <c r="C357" t="s">
        <v>1343</v>
      </c>
      <c r="D357" s="188">
        <v>100</v>
      </c>
      <c r="E357" t="s">
        <v>1854</v>
      </c>
      <c r="F357" t="s">
        <v>1890</v>
      </c>
      <c r="G357" s="189" t="s">
        <v>1891</v>
      </c>
      <c r="H357" s="189">
        <v>0.4</v>
      </c>
      <c r="I357" s="189">
        <v>0.4</v>
      </c>
      <c r="J357" s="189">
        <v>0.4</v>
      </c>
      <c r="K357" s="189">
        <v>0.4</v>
      </c>
      <c r="L357" s="189">
        <v>0.4</v>
      </c>
      <c r="M357" s="189">
        <v>0.4</v>
      </c>
      <c r="N357" s="189">
        <v>0.4</v>
      </c>
      <c r="O357" s="189">
        <v>0.4</v>
      </c>
      <c r="P357" s="189">
        <v>0.49</v>
      </c>
      <c r="Q357" s="189">
        <v>0.49</v>
      </c>
      <c r="R357" s="189">
        <v>0.49</v>
      </c>
      <c r="S357" s="189">
        <v>0.49</v>
      </c>
      <c r="T357" s="189">
        <v>0.49</v>
      </c>
      <c r="U357" s="189">
        <v>0.49</v>
      </c>
      <c r="V357" s="189">
        <v>0.49</v>
      </c>
      <c r="W357" s="189">
        <v>0.49</v>
      </c>
      <c r="X357" s="189">
        <v>0.49</v>
      </c>
      <c r="Y357" s="189">
        <v>0.49</v>
      </c>
      <c r="Z357" s="189">
        <v>0.49</v>
      </c>
      <c r="AA357" s="189">
        <v>0.49</v>
      </c>
      <c r="AB357" s="189">
        <v>0.49</v>
      </c>
      <c r="AC357" s="189">
        <v>0.49</v>
      </c>
      <c r="AD357" s="189">
        <v>0.49</v>
      </c>
      <c r="AE357" s="189">
        <v>0.49</v>
      </c>
      <c r="AF357" s="189">
        <v>0.49</v>
      </c>
      <c r="AG357" s="189">
        <v>0.49</v>
      </c>
      <c r="AH357" s="189">
        <v>0.49</v>
      </c>
      <c r="AI357" s="189">
        <v>0.49</v>
      </c>
      <c r="AJ357" s="189">
        <v>0.49</v>
      </c>
    </row>
    <row r="358" spans="1:36" x14ac:dyDescent="0.35">
      <c r="A358" t="s">
        <v>1892</v>
      </c>
      <c r="B358" s="188" t="s">
        <v>1342</v>
      </c>
      <c r="C358" t="s">
        <v>1348</v>
      </c>
      <c r="D358" s="188">
        <v>100</v>
      </c>
      <c r="E358" t="s">
        <v>1854</v>
      </c>
      <c r="F358" t="s">
        <v>1890</v>
      </c>
      <c r="G358" s="189" t="s">
        <v>1891</v>
      </c>
      <c r="H358" s="189">
        <v>0.4</v>
      </c>
      <c r="I358" s="189">
        <v>0.4</v>
      </c>
      <c r="J358" s="189">
        <v>0.4</v>
      </c>
      <c r="K358" s="189">
        <v>0.4</v>
      </c>
      <c r="L358" s="189">
        <v>0.4</v>
      </c>
      <c r="M358" s="189">
        <v>0.4</v>
      </c>
      <c r="N358" s="189">
        <v>0.4</v>
      </c>
      <c r="O358" s="189">
        <v>0.4</v>
      </c>
      <c r="P358" s="189">
        <v>0.49</v>
      </c>
      <c r="Q358" s="189">
        <v>0.49</v>
      </c>
      <c r="R358" s="189">
        <v>0.49</v>
      </c>
      <c r="S358" s="189">
        <v>0.49</v>
      </c>
      <c r="T358" s="189">
        <v>0.49</v>
      </c>
      <c r="U358" s="189">
        <v>0.49</v>
      </c>
      <c r="V358" s="189">
        <v>0.49</v>
      </c>
      <c r="W358" s="189">
        <v>0.49</v>
      </c>
      <c r="X358" s="189">
        <v>0.49</v>
      </c>
      <c r="Y358" s="189">
        <v>0.49</v>
      </c>
      <c r="Z358" s="189">
        <v>0.49</v>
      </c>
      <c r="AA358" s="189">
        <v>0.49</v>
      </c>
      <c r="AB358" s="189">
        <v>0.49</v>
      </c>
      <c r="AC358" s="189">
        <v>0.49</v>
      </c>
      <c r="AD358" s="189">
        <v>0.49</v>
      </c>
      <c r="AE358" s="189">
        <v>0.49</v>
      </c>
      <c r="AF358" s="189">
        <v>0.49</v>
      </c>
      <c r="AG358" s="189">
        <v>0.49</v>
      </c>
      <c r="AH358" s="189">
        <v>0.49</v>
      </c>
      <c r="AI358" s="189">
        <v>0.49</v>
      </c>
      <c r="AJ358" s="189">
        <v>0.49</v>
      </c>
    </row>
    <row r="359" spans="1:36" x14ac:dyDescent="0.35">
      <c r="A359" t="s">
        <v>1893</v>
      </c>
      <c r="B359" s="188" t="s">
        <v>1342</v>
      </c>
      <c r="C359" t="s">
        <v>1350</v>
      </c>
      <c r="D359" s="188">
        <v>100</v>
      </c>
      <c r="E359" t="s">
        <v>1854</v>
      </c>
      <c r="F359" t="s">
        <v>1890</v>
      </c>
      <c r="G359" s="189" t="s">
        <v>1891</v>
      </c>
      <c r="H359" s="189">
        <v>0.4</v>
      </c>
      <c r="I359" s="189">
        <v>0.4</v>
      </c>
      <c r="J359" s="189">
        <v>0.4</v>
      </c>
      <c r="K359" s="189">
        <v>0.4</v>
      </c>
      <c r="L359" s="189">
        <v>0.4</v>
      </c>
      <c r="M359" s="189">
        <v>0.4</v>
      </c>
      <c r="N359" s="189">
        <v>0.4</v>
      </c>
      <c r="O359" s="189">
        <v>0.4</v>
      </c>
      <c r="P359" s="189">
        <v>0.4</v>
      </c>
      <c r="Q359" s="189">
        <v>0.4</v>
      </c>
      <c r="R359" s="189">
        <v>0.4</v>
      </c>
      <c r="S359" s="189">
        <v>0.4</v>
      </c>
      <c r="T359" s="189">
        <v>0.4</v>
      </c>
      <c r="U359" s="189">
        <v>0.4</v>
      </c>
      <c r="V359" s="189">
        <v>0.4</v>
      </c>
      <c r="W359" s="189">
        <v>0.4</v>
      </c>
      <c r="X359" s="189">
        <v>0.4</v>
      </c>
      <c r="Y359" s="189">
        <v>0.4</v>
      </c>
      <c r="Z359" s="189">
        <v>0.4</v>
      </c>
      <c r="AA359" s="189">
        <v>0.4</v>
      </c>
      <c r="AB359" s="189">
        <v>0.4</v>
      </c>
      <c r="AC359" s="189">
        <v>0.4</v>
      </c>
      <c r="AD359" s="189">
        <v>0.4</v>
      </c>
      <c r="AE359" s="189">
        <v>0.4</v>
      </c>
      <c r="AF359" s="189">
        <v>0.4</v>
      </c>
      <c r="AG359" s="189">
        <v>0.4</v>
      </c>
      <c r="AH359" s="189">
        <v>0.4</v>
      </c>
      <c r="AI359" s="189">
        <v>0.4</v>
      </c>
      <c r="AJ359" s="189">
        <v>0.4</v>
      </c>
    </row>
    <row r="360" spans="1:36" x14ac:dyDescent="0.35">
      <c r="A360" t="s">
        <v>1894</v>
      </c>
      <c r="B360" s="188" t="s">
        <v>1342</v>
      </c>
      <c r="C360" t="s">
        <v>1343</v>
      </c>
      <c r="D360" s="188">
        <v>100</v>
      </c>
      <c r="E360" t="s">
        <v>1854</v>
      </c>
      <c r="F360" s="188" t="s">
        <v>1895</v>
      </c>
      <c r="G360" s="189" t="s">
        <v>1896</v>
      </c>
      <c r="H360" s="189">
        <v>0.66</v>
      </c>
      <c r="I360" s="189">
        <v>0.66</v>
      </c>
      <c r="J360" s="189">
        <v>0.66</v>
      </c>
      <c r="K360" s="189">
        <v>0.66</v>
      </c>
      <c r="L360" s="189">
        <v>0.66</v>
      </c>
      <c r="M360" s="189">
        <v>0.66</v>
      </c>
      <c r="N360" s="189">
        <v>0.66</v>
      </c>
      <c r="O360" s="189">
        <v>0.66</v>
      </c>
      <c r="P360" s="189">
        <v>0.66</v>
      </c>
      <c r="Q360" s="189">
        <v>0.66</v>
      </c>
      <c r="R360" s="189">
        <v>0.66</v>
      </c>
      <c r="S360" s="189">
        <v>0.66</v>
      </c>
      <c r="T360" s="189">
        <v>0.66</v>
      </c>
      <c r="U360" s="189">
        <v>0.66</v>
      </c>
      <c r="V360" s="189">
        <v>0.66</v>
      </c>
      <c r="W360" s="189">
        <v>0.66</v>
      </c>
      <c r="X360" s="189">
        <v>0.66</v>
      </c>
      <c r="Y360" s="189">
        <v>0.66</v>
      </c>
      <c r="Z360" s="189">
        <v>0.66</v>
      </c>
      <c r="AA360" s="189">
        <v>0.66</v>
      </c>
      <c r="AB360" s="189">
        <v>0.66</v>
      </c>
      <c r="AC360" s="189">
        <v>0.66</v>
      </c>
      <c r="AD360" s="189">
        <v>0.66</v>
      </c>
      <c r="AE360" s="189">
        <v>0.66</v>
      </c>
      <c r="AF360" s="189">
        <v>0.66</v>
      </c>
      <c r="AG360" s="189">
        <v>0.66</v>
      </c>
      <c r="AH360" s="189">
        <v>0.66</v>
      </c>
      <c r="AI360" s="189">
        <v>0.66</v>
      </c>
      <c r="AJ360" s="189">
        <v>0.66</v>
      </c>
    </row>
    <row r="361" spans="1:36" x14ac:dyDescent="0.35">
      <c r="A361" t="s">
        <v>1897</v>
      </c>
      <c r="B361" s="188" t="s">
        <v>1342</v>
      </c>
      <c r="C361" t="s">
        <v>1348</v>
      </c>
      <c r="D361" s="188">
        <v>100</v>
      </c>
      <c r="E361" t="s">
        <v>1854</v>
      </c>
      <c r="F361" s="188" t="s">
        <v>1895</v>
      </c>
      <c r="G361" s="189" t="s">
        <v>1896</v>
      </c>
      <c r="H361" s="189">
        <v>0.66</v>
      </c>
      <c r="I361" s="189">
        <v>0.66</v>
      </c>
      <c r="J361" s="189">
        <v>0.66</v>
      </c>
      <c r="K361" s="189">
        <v>0.66</v>
      </c>
      <c r="L361" s="189">
        <v>0.66</v>
      </c>
      <c r="M361" s="189">
        <v>0.66</v>
      </c>
      <c r="N361" s="189">
        <v>0.66</v>
      </c>
      <c r="O361" s="189">
        <v>0.66</v>
      </c>
      <c r="P361" s="189">
        <v>0.66</v>
      </c>
      <c r="Q361" s="189">
        <v>0.66</v>
      </c>
      <c r="R361" s="189">
        <v>0.66</v>
      </c>
      <c r="S361" s="189">
        <v>0.66</v>
      </c>
      <c r="T361" s="189">
        <v>0.66</v>
      </c>
      <c r="U361" s="189">
        <v>0.66</v>
      </c>
      <c r="V361" s="189">
        <v>0.66</v>
      </c>
      <c r="W361" s="189">
        <v>0.66</v>
      </c>
      <c r="X361" s="189">
        <v>0.66</v>
      </c>
      <c r="Y361" s="189">
        <v>0.66</v>
      </c>
      <c r="Z361" s="189">
        <v>0.66</v>
      </c>
      <c r="AA361" s="189">
        <v>0.66</v>
      </c>
      <c r="AB361" s="189">
        <v>0.66</v>
      </c>
      <c r="AC361" s="189">
        <v>0.66</v>
      </c>
      <c r="AD361" s="189">
        <v>0.66</v>
      </c>
      <c r="AE361" s="189">
        <v>0.66</v>
      </c>
      <c r="AF361" s="189">
        <v>0.66</v>
      </c>
      <c r="AG361" s="189">
        <v>0.66</v>
      </c>
      <c r="AH361" s="189">
        <v>0.66</v>
      </c>
      <c r="AI361" s="189">
        <v>0.66</v>
      </c>
      <c r="AJ361" s="189">
        <v>0.66</v>
      </c>
    </row>
    <row r="362" spans="1:36" x14ac:dyDescent="0.35">
      <c r="A362" t="s">
        <v>1898</v>
      </c>
      <c r="B362" s="188" t="s">
        <v>1342</v>
      </c>
      <c r="C362" t="s">
        <v>1350</v>
      </c>
      <c r="D362" s="188">
        <v>100</v>
      </c>
      <c r="E362" t="s">
        <v>1854</v>
      </c>
      <c r="F362" s="188" t="s">
        <v>1895</v>
      </c>
      <c r="G362" s="189" t="s">
        <v>1896</v>
      </c>
      <c r="H362" s="189">
        <v>0.66</v>
      </c>
      <c r="I362" s="189">
        <v>0.66</v>
      </c>
      <c r="J362" s="189">
        <v>0.66</v>
      </c>
      <c r="K362" s="189">
        <v>0.66</v>
      </c>
      <c r="L362" s="189">
        <v>0.66</v>
      </c>
      <c r="M362" s="189">
        <v>0.66</v>
      </c>
      <c r="N362" s="189">
        <v>0.66</v>
      </c>
      <c r="O362" s="189">
        <v>0.66</v>
      </c>
      <c r="P362" s="189">
        <v>0.66</v>
      </c>
      <c r="Q362" s="189">
        <v>0.66</v>
      </c>
      <c r="R362" s="189">
        <v>0.66</v>
      </c>
      <c r="S362" s="189">
        <v>0.66</v>
      </c>
      <c r="T362" s="189">
        <v>0.66</v>
      </c>
      <c r="U362" s="189">
        <v>0.66</v>
      </c>
      <c r="V362" s="189">
        <v>0.66</v>
      </c>
      <c r="W362" s="189">
        <v>0.66</v>
      </c>
      <c r="X362" s="189">
        <v>0.66</v>
      </c>
      <c r="Y362" s="189">
        <v>0.66</v>
      </c>
      <c r="Z362" s="189">
        <v>0.66</v>
      </c>
      <c r="AA362" s="189">
        <v>0.66</v>
      </c>
      <c r="AB362" s="189">
        <v>0.66</v>
      </c>
      <c r="AC362" s="189">
        <v>0.66</v>
      </c>
      <c r="AD362" s="189">
        <v>0.66</v>
      </c>
      <c r="AE362" s="189">
        <v>0.66</v>
      </c>
      <c r="AF362" s="189">
        <v>0.66</v>
      </c>
      <c r="AG362" s="189">
        <v>0.66</v>
      </c>
      <c r="AH362" s="189">
        <v>0.66</v>
      </c>
      <c r="AI362" s="189">
        <v>0.66</v>
      </c>
      <c r="AJ362" s="189">
        <v>0.66</v>
      </c>
    </row>
    <row r="363" spans="1:36" x14ac:dyDescent="0.35">
      <c r="A363" t="s">
        <v>1899</v>
      </c>
      <c r="B363" s="188" t="s">
        <v>1342</v>
      </c>
      <c r="C363" t="s">
        <v>1343</v>
      </c>
      <c r="D363" s="188">
        <v>100</v>
      </c>
      <c r="E363" t="s">
        <v>1854</v>
      </c>
      <c r="F363" s="188" t="s">
        <v>1900</v>
      </c>
      <c r="G363" s="189" t="s">
        <v>1901</v>
      </c>
      <c r="H363" s="189">
        <v>0.66</v>
      </c>
      <c r="I363" s="189">
        <v>0.66</v>
      </c>
      <c r="J363" s="189">
        <v>0.66</v>
      </c>
      <c r="K363" s="189">
        <v>0.66</v>
      </c>
      <c r="L363" s="189">
        <v>0.66</v>
      </c>
      <c r="M363" s="189">
        <v>0.66</v>
      </c>
      <c r="N363" s="189">
        <v>0.66</v>
      </c>
      <c r="O363" s="189">
        <v>0.66</v>
      </c>
      <c r="P363" s="189">
        <v>0.66</v>
      </c>
      <c r="Q363" s="189">
        <v>0.66</v>
      </c>
      <c r="R363" s="189">
        <v>0.66</v>
      </c>
      <c r="S363" s="189">
        <v>0.66</v>
      </c>
      <c r="T363" s="189">
        <v>0.66</v>
      </c>
      <c r="U363" s="189">
        <v>0.66</v>
      </c>
      <c r="V363" s="189">
        <v>0.66</v>
      </c>
      <c r="W363" s="189">
        <v>0.66</v>
      </c>
      <c r="X363" s="189">
        <v>0.66</v>
      </c>
      <c r="Y363" s="189">
        <v>0.66</v>
      </c>
      <c r="Z363" s="189">
        <v>0.66</v>
      </c>
      <c r="AA363" s="189">
        <v>0.66</v>
      </c>
      <c r="AB363" s="189">
        <v>0.66</v>
      </c>
      <c r="AC363" s="189">
        <v>0.66</v>
      </c>
      <c r="AD363" s="189">
        <v>0.66</v>
      </c>
      <c r="AE363" s="189">
        <v>0.66</v>
      </c>
      <c r="AF363" s="189">
        <v>0.66</v>
      </c>
      <c r="AG363" s="189">
        <v>0.66</v>
      </c>
      <c r="AH363" s="189">
        <v>0.66</v>
      </c>
      <c r="AI363" s="189">
        <v>0.66</v>
      </c>
      <c r="AJ363" s="189">
        <v>0.66</v>
      </c>
    </row>
    <row r="364" spans="1:36" x14ac:dyDescent="0.35">
      <c r="A364" t="s">
        <v>1902</v>
      </c>
      <c r="B364" s="188" t="s">
        <v>1342</v>
      </c>
      <c r="C364" t="s">
        <v>1348</v>
      </c>
      <c r="D364" s="188">
        <v>100</v>
      </c>
      <c r="E364" t="s">
        <v>1854</v>
      </c>
      <c r="F364" s="188" t="s">
        <v>1900</v>
      </c>
      <c r="G364" s="189" t="s">
        <v>1901</v>
      </c>
      <c r="H364" s="189">
        <v>0.66</v>
      </c>
      <c r="I364" s="189">
        <v>0.66</v>
      </c>
      <c r="J364" s="189">
        <v>0.66</v>
      </c>
      <c r="K364" s="189">
        <v>0.66</v>
      </c>
      <c r="L364" s="189">
        <v>0.66</v>
      </c>
      <c r="M364" s="189">
        <v>0.66</v>
      </c>
      <c r="N364" s="189">
        <v>0.66</v>
      </c>
      <c r="O364" s="189">
        <v>0.66</v>
      </c>
      <c r="P364" s="189">
        <v>0.66</v>
      </c>
      <c r="Q364" s="189">
        <v>0.66</v>
      </c>
      <c r="R364" s="189">
        <v>0.66</v>
      </c>
      <c r="S364" s="189">
        <v>0.66</v>
      </c>
      <c r="T364" s="189">
        <v>0.66</v>
      </c>
      <c r="U364" s="189">
        <v>0.66</v>
      </c>
      <c r="V364" s="189">
        <v>0.66</v>
      </c>
      <c r="W364" s="189">
        <v>0.66</v>
      </c>
      <c r="X364" s="189">
        <v>0.66</v>
      </c>
      <c r="Y364" s="189">
        <v>0.66</v>
      </c>
      <c r="Z364" s="189">
        <v>0.66</v>
      </c>
      <c r="AA364" s="189">
        <v>0.66</v>
      </c>
      <c r="AB364" s="189">
        <v>0.66</v>
      </c>
      <c r="AC364" s="189">
        <v>0.66</v>
      </c>
      <c r="AD364" s="189">
        <v>0.66</v>
      </c>
      <c r="AE364" s="189">
        <v>0.66</v>
      </c>
      <c r="AF364" s="189">
        <v>0.66</v>
      </c>
      <c r="AG364" s="189">
        <v>0.66</v>
      </c>
      <c r="AH364" s="189">
        <v>0.66</v>
      </c>
      <c r="AI364" s="189">
        <v>0.66</v>
      </c>
      <c r="AJ364" s="189">
        <v>0.66</v>
      </c>
    </row>
    <row r="365" spans="1:36" x14ac:dyDescent="0.35">
      <c r="A365" t="s">
        <v>1903</v>
      </c>
      <c r="B365" s="188" t="s">
        <v>1342</v>
      </c>
      <c r="C365" t="s">
        <v>1350</v>
      </c>
      <c r="D365" s="188">
        <v>100</v>
      </c>
      <c r="E365" t="s">
        <v>1854</v>
      </c>
      <c r="F365" s="188" t="s">
        <v>1900</v>
      </c>
      <c r="G365" s="189" t="s">
        <v>1901</v>
      </c>
      <c r="H365" s="189">
        <v>0.66</v>
      </c>
      <c r="I365" s="189">
        <v>0.66</v>
      </c>
      <c r="J365" s="189">
        <v>0.66</v>
      </c>
      <c r="K365" s="189">
        <v>0.66</v>
      </c>
      <c r="L365" s="189">
        <v>0.66</v>
      </c>
      <c r="M365" s="189">
        <v>0.66</v>
      </c>
      <c r="N365" s="189">
        <v>0.66</v>
      </c>
      <c r="O365" s="189">
        <v>0.66</v>
      </c>
      <c r="P365" s="189">
        <v>0.66</v>
      </c>
      <c r="Q365" s="189">
        <v>0.66</v>
      </c>
      <c r="R365" s="189">
        <v>0.66</v>
      </c>
      <c r="S365" s="189">
        <v>0.66</v>
      </c>
      <c r="T365" s="189">
        <v>0.66</v>
      </c>
      <c r="U365" s="189">
        <v>0.66</v>
      </c>
      <c r="V365" s="189">
        <v>0.66</v>
      </c>
      <c r="W365" s="189">
        <v>0.66</v>
      </c>
      <c r="X365" s="189">
        <v>0.66</v>
      </c>
      <c r="Y365" s="189">
        <v>0.66</v>
      </c>
      <c r="Z365" s="189">
        <v>0.66</v>
      </c>
      <c r="AA365" s="189">
        <v>0.66</v>
      </c>
      <c r="AB365" s="189">
        <v>0.66</v>
      </c>
      <c r="AC365" s="189">
        <v>0.66</v>
      </c>
      <c r="AD365" s="189">
        <v>0.66</v>
      </c>
      <c r="AE365" s="189">
        <v>0.66</v>
      </c>
      <c r="AF365" s="189">
        <v>0.66</v>
      </c>
      <c r="AG365" s="189">
        <v>0.66</v>
      </c>
      <c r="AH365" s="189">
        <v>0.66</v>
      </c>
      <c r="AI365" s="189">
        <v>0.66</v>
      </c>
      <c r="AJ365" s="189">
        <v>0.66</v>
      </c>
    </row>
    <row r="366" spans="1:36" x14ac:dyDescent="0.35">
      <c r="A366" t="s">
        <v>1904</v>
      </c>
      <c r="B366" s="188" t="s">
        <v>1342</v>
      </c>
      <c r="C366" t="s">
        <v>1343</v>
      </c>
      <c r="D366" s="188">
        <v>100</v>
      </c>
      <c r="E366" t="s">
        <v>1854</v>
      </c>
      <c r="F366" s="188" t="s">
        <v>1905</v>
      </c>
      <c r="G366" s="189" t="s">
        <v>1906</v>
      </c>
      <c r="H366" s="189">
        <v>0.62</v>
      </c>
      <c r="I366" s="189">
        <v>0.62</v>
      </c>
      <c r="J366" s="189">
        <v>0.62</v>
      </c>
      <c r="K366" s="189">
        <v>0.62</v>
      </c>
      <c r="L366" s="189">
        <v>0.62</v>
      </c>
      <c r="M366" s="189">
        <v>0.62</v>
      </c>
      <c r="N366" s="189">
        <v>0.62</v>
      </c>
      <c r="O366" s="189">
        <v>0.62</v>
      </c>
      <c r="P366" s="189">
        <v>0.62</v>
      </c>
      <c r="Q366" s="189">
        <v>0.62</v>
      </c>
      <c r="R366" s="189">
        <v>0.62</v>
      </c>
      <c r="S366" s="189">
        <v>0.62</v>
      </c>
      <c r="T366" s="189">
        <v>0.62</v>
      </c>
      <c r="U366" s="189">
        <v>0.62</v>
      </c>
      <c r="V366" s="189">
        <v>0.62</v>
      </c>
      <c r="W366" s="189">
        <v>0.62</v>
      </c>
      <c r="X366" s="189">
        <v>0.62</v>
      </c>
      <c r="Y366" s="189">
        <v>0.62</v>
      </c>
      <c r="Z366" s="189">
        <v>0.62</v>
      </c>
      <c r="AA366" s="189">
        <v>0.62</v>
      </c>
      <c r="AB366" s="189">
        <v>0.62</v>
      </c>
      <c r="AC366" s="189">
        <v>0.62</v>
      </c>
      <c r="AD366" s="189">
        <v>0.62</v>
      </c>
      <c r="AE366" s="189">
        <v>0.62</v>
      </c>
      <c r="AF366" s="189">
        <v>0.62</v>
      </c>
      <c r="AG366" s="189">
        <v>0.62</v>
      </c>
      <c r="AH366" s="189">
        <v>0.62</v>
      </c>
      <c r="AI366" s="189">
        <v>0.62</v>
      </c>
      <c r="AJ366" s="189">
        <v>0.62</v>
      </c>
    </row>
    <row r="367" spans="1:36" x14ac:dyDescent="0.35">
      <c r="A367" t="s">
        <v>1907</v>
      </c>
      <c r="B367" s="188" t="s">
        <v>1342</v>
      </c>
      <c r="C367" t="s">
        <v>1348</v>
      </c>
      <c r="D367" s="188">
        <v>100</v>
      </c>
      <c r="E367" t="s">
        <v>1854</v>
      </c>
      <c r="F367" s="188" t="s">
        <v>1905</v>
      </c>
      <c r="G367" s="189" t="s">
        <v>1906</v>
      </c>
      <c r="H367" s="189">
        <v>0.62</v>
      </c>
      <c r="I367" s="189">
        <v>0.62</v>
      </c>
      <c r="J367" s="189">
        <v>0.62</v>
      </c>
      <c r="K367" s="189">
        <v>0.62</v>
      </c>
      <c r="L367" s="189">
        <v>0.62</v>
      </c>
      <c r="M367" s="189">
        <v>0.62</v>
      </c>
      <c r="N367" s="189">
        <v>0.62</v>
      </c>
      <c r="O367" s="189">
        <v>0.62</v>
      </c>
      <c r="P367" s="189">
        <v>0.62</v>
      </c>
      <c r="Q367" s="189">
        <v>0.62</v>
      </c>
      <c r="R367" s="189">
        <v>0.62</v>
      </c>
      <c r="S367" s="189">
        <v>0.62</v>
      </c>
      <c r="T367" s="189">
        <v>0.62</v>
      </c>
      <c r="U367" s="189">
        <v>0.62</v>
      </c>
      <c r="V367" s="189">
        <v>0.62</v>
      </c>
      <c r="W367" s="189">
        <v>0.62</v>
      </c>
      <c r="X367" s="189">
        <v>0.62</v>
      </c>
      <c r="Y367" s="189">
        <v>0.62</v>
      </c>
      <c r="Z367" s="189">
        <v>0.62</v>
      </c>
      <c r="AA367" s="189">
        <v>0.62</v>
      </c>
      <c r="AB367" s="189">
        <v>0.62</v>
      </c>
      <c r="AC367" s="189">
        <v>0.62</v>
      </c>
      <c r="AD367" s="189">
        <v>0.62</v>
      </c>
      <c r="AE367" s="189">
        <v>0.62</v>
      </c>
      <c r="AF367" s="189">
        <v>0.62</v>
      </c>
      <c r="AG367" s="189">
        <v>0.62</v>
      </c>
      <c r="AH367" s="189">
        <v>0.62</v>
      </c>
      <c r="AI367" s="189">
        <v>0.62</v>
      </c>
      <c r="AJ367" s="189">
        <v>0.62</v>
      </c>
    </row>
    <row r="368" spans="1:36" x14ac:dyDescent="0.35">
      <c r="A368" t="s">
        <v>1908</v>
      </c>
      <c r="B368" s="188" t="s">
        <v>1342</v>
      </c>
      <c r="C368" t="s">
        <v>1350</v>
      </c>
      <c r="D368" s="188">
        <v>100</v>
      </c>
      <c r="E368" t="s">
        <v>1854</v>
      </c>
      <c r="F368" s="188" t="s">
        <v>1905</v>
      </c>
      <c r="G368" s="189" t="s">
        <v>1906</v>
      </c>
      <c r="H368" s="189">
        <v>0.62</v>
      </c>
      <c r="I368" s="189">
        <v>0.62</v>
      </c>
      <c r="J368" s="189">
        <v>0.62</v>
      </c>
      <c r="K368" s="189">
        <v>0.62</v>
      </c>
      <c r="L368" s="189">
        <v>0.62</v>
      </c>
      <c r="M368" s="189">
        <v>0.62</v>
      </c>
      <c r="N368" s="189">
        <v>0.62</v>
      </c>
      <c r="O368" s="189">
        <v>0.62</v>
      </c>
      <c r="P368" s="189">
        <v>0.62</v>
      </c>
      <c r="Q368" s="189">
        <v>0.62</v>
      </c>
      <c r="R368" s="189">
        <v>0.62</v>
      </c>
      <c r="S368" s="189">
        <v>0.62</v>
      </c>
      <c r="T368" s="189">
        <v>0.62</v>
      </c>
      <c r="U368" s="189">
        <v>0.62</v>
      </c>
      <c r="V368" s="189">
        <v>0.62</v>
      </c>
      <c r="W368" s="189">
        <v>0.62</v>
      </c>
      <c r="X368" s="189">
        <v>0.62</v>
      </c>
      <c r="Y368" s="189">
        <v>0.62</v>
      </c>
      <c r="Z368" s="189">
        <v>0.62</v>
      </c>
      <c r="AA368" s="189">
        <v>0.62</v>
      </c>
      <c r="AB368" s="189">
        <v>0.62</v>
      </c>
      <c r="AC368" s="189">
        <v>0.62</v>
      </c>
      <c r="AD368" s="189">
        <v>0.62</v>
      </c>
      <c r="AE368" s="189">
        <v>0.62</v>
      </c>
      <c r="AF368" s="189">
        <v>0.62</v>
      </c>
      <c r="AG368" s="189">
        <v>0.62</v>
      </c>
      <c r="AH368" s="189">
        <v>0.62</v>
      </c>
      <c r="AI368" s="189">
        <v>0.62</v>
      </c>
      <c r="AJ368" s="189">
        <v>0.62</v>
      </c>
    </row>
    <row r="369" spans="1:36" x14ac:dyDescent="0.35">
      <c r="A369" t="s">
        <v>1909</v>
      </c>
      <c r="B369" s="188" t="s">
        <v>1342</v>
      </c>
      <c r="C369" t="s">
        <v>1343</v>
      </c>
      <c r="D369" s="188">
        <v>100</v>
      </c>
      <c r="E369" t="s">
        <v>1854</v>
      </c>
      <c r="F369" s="188" t="s">
        <v>1910</v>
      </c>
      <c r="G369" s="189" t="s">
        <v>1911</v>
      </c>
      <c r="H369" s="189">
        <v>0.66</v>
      </c>
      <c r="I369" s="189">
        <v>0.66</v>
      </c>
      <c r="J369" s="189">
        <v>0.66</v>
      </c>
      <c r="K369" s="189">
        <v>0.66</v>
      </c>
      <c r="L369" s="189">
        <v>0.66</v>
      </c>
      <c r="M369" s="189">
        <v>0.66</v>
      </c>
      <c r="N369" s="189">
        <v>0.66</v>
      </c>
      <c r="O369" s="189">
        <v>0.66</v>
      </c>
      <c r="P369" s="189">
        <v>0.66</v>
      </c>
      <c r="Q369" s="189">
        <v>0.66</v>
      </c>
      <c r="R369" s="189">
        <v>0.66</v>
      </c>
      <c r="S369" s="189">
        <v>0.66</v>
      </c>
      <c r="T369" s="189">
        <v>0.66</v>
      </c>
      <c r="U369" s="189">
        <v>0.66</v>
      </c>
      <c r="V369" s="189">
        <v>0.66</v>
      </c>
      <c r="W369" s="189">
        <v>0.66</v>
      </c>
      <c r="X369" s="189">
        <v>0.66</v>
      </c>
      <c r="Y369" s="189">
        <v>0.66</v>
      </c>
      <c r="Z369" s="189">
        <v>0.66</v>
      </c>
      <c r="AA369" s="189">
        <v>0.66</v>
      </c>
      <c r="AB369" s="189">
        <v>0.66</v>
      </c>
      <c r="AC369" s="189">
        <v>0.66</v>
      </c>
      <c r="AD369" s="189">
        <v>0.66</v>
      </c>
      <c r="AE369" s="189">
        <v>0.66</v>
      </c>
      <c r="AF369" s="189">
        <v>0.66</v>
      </c>
      <c r="AG369" s="189">
        <v>0.66</v>
      </c>
      <c r="AH369" s="189">
        <v>0.66</v>
      </c>
      <c r="AI369" s="189">
        <v>0.66</v>
      </c>
      <c r="AJ369" s="189">
        <v>0.66</v>
      </c>
    </row>
    <row r="370" spans="1:36" x14ac:dyDescent="0.35">
      <c r="A370" t="s">
        <v>1912</v>
      </c>
      <c r="B370" s="188" t="s">
        <v>1342</v>
      </c>
      <c r="C370" t="s">
        <v>1348</v>
      </c>
      <c r="D370" s="188">
        <v>100</v>
      </c>
      <c r="E370" t="s">
        <v>1854</v>
      </c>
      <c r="F370" s="188" t="s">
        <v>1910</v>
      </c>
      <c r="G370" s="189" t="s">
        <v>1911</v>
      </c>
      <c r="H370" s="189">
        <v>0.66</v>
      </c>
      <c r="I370" s="189">
        <v>0.66</v>
      </c>
      <c r="J370" s="189">
        <v>0.66</v>
      </c>
      <c r="K370" s="189">
        <v>0.66</v>
      </c>
      <c r="L370" s="189">
        <v>0.66</v>
      </c>
      <c r="M370" s="189">
        <v>0.66</v>
      </c>
      <c r="N370" s="189">
        <v>0.66</v>
      </c>
      <c r="O370" s="189">
        <v>0.66</v>
      </c>
      <c r="P370" s="189">
        <v>0.66</v>
      </c>
      <c r="Q370" s="189">
        <v>0.66</v>
      </c>
      <c r="R370" s="189">
        <v>0.66</v>
      </c>
      <c r="S370" s="189">
        <v>0.66</v>
      </c>
      <c r="T370" s="189">
        <v>0.66</v>
      </c>
      <c r="U370" s="189">
        <v>0.66</v>
      </c>
      <c r="V370" s="189">
        <v>0.66</v>
      </c>
      <c r="W370" s="189">
        <v>0.66</v>
      </c>
      <c r="X370" s="189">
        <v>0.66</v>
      </c>
      <c r="Y370" s="189">
        <v>0.66</v>
      </c>
      <c r="Z370" s="189">
        <v>0.66</v>
      </c>
      <c r="AA370" s="189">
        <v>0.66</v>
      </c>
      <c r="AB370" s="189">
        <v>0.66</v>
      </c>
      <c r="AC370" s="189">
        <v>0.66</v>
      </c>
      <c r="AD370" s="189">
        <v>0.66</v>
      </c>
      <c r="AE370" s="189">
        <v>0.66</v>
      </c>
      <c r="AF370" s="189">
        <v>0.66</v>
      </c>
      <c r="AG370" s="189">
        <v>0.66</v>
      </c>
      <c r="AH370" s="189">
        <v>0.66</v>
      </c>
      <c r="AI370" s="189">
        <v>0.66</v>
      </c>
      <c r="AJ370" s="189">
        <v>0.66</v>
      </c>
    </row>
    <row r="371" spans="1:36" x14ac:dyDescent="0.35">
      <c r="A371" t="s">
        <v>1913</v>
      </c>
      <c r="B371" s="188" t="s">
        <v>1342</v>
      </c>
      <c r="C371" t="s">
        <v>1350</v>
      </c>
      <c r="D371" s="188">
        <v>100</v>
      </c>
      <c r="E371" t="s">
        <v>1854</v>
      </c>
      <c r="F371" s="188" t="s">
        <v>1910</v>
      </c>
      <c r="G371" s="189" t="s">
        <v>1911</v>
      </c>
      <c r="H371" s="189">
        <v>0.66</v>
      </c>
      <c r="I371" s="189">
        <v>0.66</v>
      </c>
      <c r="J371" s="189">
        <v>0.66</v>
      </c>
      <c r="K371" s="189">
        <v>0.66</v>
      </c>
      <c r="L371" s="189">
        <v>0.66</v>
      </c>
      <c r="M371" s="189">
        <v>0.66</v>
      </c>
      <c r="N371" s="189">
        <v>0.66</v>
      </c>
      <c r="O371" s="189">
        <v>0.66</v>
      </c>
      <c r="P371" s="189">
        <v>0.66</v>
      </c>
      <c r="Q371" s="189">
        <v>0.66</v>
      </c>
      <c r="R371" s="189">
        <v>0.66</v>
      </c>
      <c r="S371" s="189">
        <v>0.66</v>
      </c>
      <c r="T371" s="189">
        <v>0.66</v>
      </c>
      <c r="U371" s="189">
        <v>0.66</v>
      </c>
      <c r="V371" s="189">
        <v>0.66</v>
      </c>
      <c r="W371" s="189">
        <v>0.66</v>
      </c>
      <c r="X371" s="189">
        <v>0.66</v>
      </c>
      <c r="Y371" s="189">
        <v>0.66</v>
      </c>
      <c r="Z371" s="189">
        <v>0.66</v>
      </c>
      <c r="AA371" s="189">
        <v>0.66</v>
      </c>
      <c r="AB371" s="189">
        <v>0.66</v>
      </c>
      <c r="AC371" s="189">
        <v>0.66</v>
      </c>
      <c r="AD371" s="189">
        <v>0.66</v>
      </c>
      <c r="AE371" s="189">
        <v>0.66</v>
      </c>
      <c r="AF371" s="189">
        <v>0.66</v>
      </c>
      <c r="AG371" s="189">
        <v>0.66</v>
      </c>
      <c r="AH371" s="189">
        <v>0.66</v>
      </c>
      <c r="AI371" s="189">
        <v>0.66</v>
      </c>
      <c r="AJ371" s="189">
        <v>0.66</v>
      </c>
    </row>
    <row r="372" spans="1:36" x14ac:dyDescent="0.35">
      <c r="A372" t="s">
        <v>1914</v>
      </c>
      <c r="B372" s="188" t="s">
        <v>1342</v>
      </c>
      <c r="C372" t="s">
        <v>1343</v>
      </c>
      <c r="D372" s="188" t="s">
        <v>555</v>
      </c>
      <c r="E372" t="s">
        <v>1915</v>
      </c>
      <c r="F372" t="s">
        <v>1916</v>
      </c>
      <c r="G372" s="189" t="e">
        <v>#REF!</v>
      </c>
      <c r="H372" s="189" t="e">
        <v>#REF!</v>
      </c>
      <c r="I372" s="189" t="e">
        <v>#REF!</v>
      </c>
      <c r="J372" s="189" t="e">
        <v>#REF!</v>
      </c>
      <c r="K372" s="189" t="e">
        <v>#REF!</v>
      </c>
      <c r="L372" s="189" t="e">
        <v>#REF!</v>
      </c>
      <c r="M372" s="189" t="e">
        <v>#REF!</v>
      </c>
      <c r="N372" s="189" t="e">
        <v>#REF!</v>
      </c>
      <c r="O372" s="189" t="e">
        <v>#REF!</v>
      </c>
      <c r="P372" s="189" t="e">
        <v>#REF!</v>
      </c>
      <c r="Q372" s="189" t="e">
        <v>#REF!</v>
      </c>
      <c r="R372" s="189" t="e">
        <v>#REF!</v>
      </c>
      <c r="S372" s="189" t="e">
        <v>#REF!</v>
      </c>
      <c r="T372" s="189" t="e">
        <v>#REF!</v>
      </c>
      <c r="U372" s="189" t="e">
        <v>#REF!</v>
      </c>
      <c r="V372" s="189" t="e">
        <v>#REF!</v>
      </c>
      <c r="W372" s="189" t="e">
        <v>#REF!</v>
      </c>
      <c r="X372" s="189" t="e">
        <v>#REF!</v>
      </c>
      <c r="Y372" s="189" t="e">
        <v>#REF!</v>
      </c>
      <c r="Z372" s="189" t="e">
        <v>#REF!</v>
      </c>
      <c r="AA372" s="189" t="e">
        <v>#REF!</v>
      </c>
      <c r="AB372" s="189" t="e">
        <v>#REF!</v>
      </c>
      <c r="AC372" s="189" t="e">
        <v>#REF!</v>
      </c>
      <c r="AD372" s="189" t="e">
        <v>#REF!</v>
      </c>
      <c r="AE372" s="189" t="e">
        <v>#REF!</v>
      </c>
      <c r="AF372" s="189" t="e">
        <v>#REF!</v>
      </c>
      <c r="AG372" s="189" t="e">
        <v>#REF!</v>
      </c>
      <c r="AH372" s="189" t="e">
        <v>#REF!</v>
      </c>
      <c r="AI372" s="189" t="e">
        <v>#REF!</v>
      </c>
      <c r="AJ372" s="189" t="e">
        <v>#REF!</v>
      </c>
    </row>
    <row r="373" spans="1:36" x14ac:dyDescent="0.35">
      <c r="A373" t="s">
        <v>1918</v>
      </c>
      <c r="B373" s="188" t="s">
        <v>1342</v>
      </c>
      <c r="C373" t="s">
        <v>1348</v>
      </c>
      <c r="D373" s="188" t="s">
        <v>555</v>
      </c>
      <c r="E373" t="s">
        <v>1915</v>
      </c>
      <c r="F373" t="s">
        <v>1916</v>
      </c>
      <c r="G373" s="189" t="e">
        <v>#REF!</v>
      </c>
      <c r="H373" s="189" t="e">
        <v>#REF!</v>
      </c>
      <c r="I373" s="189" t="e">
        <v>#REF!</v>
      </c>
      <c r="J373" s="189" t="e">
        <v>#REF!</v>
      </c>
      <c r="K373" s="189" t="e">
        <v>#REF!</v>
      </c>
      <c r="L373" s="189" t="e">
        <v>#REF!</v>
      </c>
      <c r="M373" s="189" t="e">
        <v>#REF!</v>
      </c>
      <c r="N373" s="189" t="e">
        <v>#REF!</v>
      </c>
      <c r="O373" s="189" t="e">
        <v>#REF!</v>
      </c>
      <c r="P373" s="189" t="e">
        <v>#REF!</v>
      </c>
      <c r="Q373" s="189" t="e">
        <v>#REF!</v>
      </c>
      <c r="R373" s="189" t="e">
        <v>#REF!</v>
      </c>
      <c r="S373" s="189" t="e">
        <v>#REF!</v>
      </c>
      <c r="T373" s="189" t="e">
        <v>#REF!</v>
      </c>
      <c r="U373" s="189" t="e">
        <v>#REF!</v>
      </c>
      <c r="V373" s="189" t="e">
        <v>#REF!</v>
      </c>
      <c r="W373" s="189" t="e">
        <v>#REF!</v>
      </c>
      <c r="X373" s="189" t="e">
        <v>#REF!</v>
      </c>
      <c r="Y373" s="189" t="e">
        <v>#REF!</v>
      </c>
      <c r="Z373" s="189" t="e">
        <v>#REF!</v>
      </c>
      <c r="AA373" s="189" t="e">
        <v>#REF!</v>
      </c>
      <c r="AB373" s="189" t="e">
        <v>#REF!</v>
      </c>
      <c r="AC373" s="189" t="e">
        <v>#REF!</v>
      </c>
      <c r="AD373" s="189" t="e">
        <v>#REF!</v>
      </c>
      <c r="AE373" s="189" t="e">
        <v>#REF!</v>
      </c>
      <c r="AF373" s="189" t="e">
        <v>#REF!</v>
      </c>
      <c r="AG373" s="189" t="e">
        <v>#REF!</v>
      </c>
      <c r="AH373" s="189" t="e">
        <v>#REF!</v>
      </c>
      <c r="AI373" s="189" t="e">
        <v>#REF!</v>
      </c>
      <c r="AJ373" s="189" t="e">
        <v>#REF!</v>
      </c>
    </row>
    <row r="374" spans="1:36" x14ac:dyDescent="0.35">
      <c r="A374" t="s">
        <v>1919</v>
      </c>
      <c r="B374" s="188" t="s">
        <v>1342</v>
      </c>
      <c r="C374" t="s">
        <v>1350</v>
      </c>
      <c r="D374" s="188" t="s">
        <v>555</v>
      </c>
      <c r="E374" t="s">
        <v>1915</v>
      </c>
      <c r="F374" t="s">
        <v>1916</v>
      </c>
      <c r="G374" s="189" t="e">
        <v>#REF!</v>
      </c>
      <c r="H374" s="189" t="e">
        <v>#REF!</v>
      </c>
      <c r="I374" s="189" t="e">
        <v>#REF!</v>
      </c>
      <c r="J374" s="189" t="e">
        <v>#REF!</v>
      </c>
      <c r="K374" s="189" t="e">
        <v>#REF!</v>
      </c>
      <c r="L374" s="189" t="e">
        <v>#REF!</v>
      </c>
      <c r="M374" s="189" t="e">
        <v>#REF!</v>
      </c>
      <c r="N374" s="189" t="e">
        <v>#REF!</v>
      </c>
      <c r="O374" s="189" t="e">
        <v>#REF!</v>
      </c>
      <c r="P374" s="189" t="e">
        <v>#REF!</v>
      </c>
      <c r="Q374" s="189" t="e">
        <v>#REF!</v>
      </c>
      <c r="R374" s="189" t="e">
        <v>#REF!</v>
      </c>
      <c r="S374" s="189" t="e">
        <v>#REF!</v>
      </c>
      <c r="T374" s="189" t="e">
        <v>#REF!</v>
      </c>
      <c r="U374" s="189" t="e">
        <v>#REF!</v>
      </c>
      <c r="V374" s="189" t="e">
        <v>#REF!</v>
      </c>
      <c r="W374" s="189" t="e">
        <v>#REF!</v>
      </c>
      <c r="X374" s="189" t="e">
        <v>#REF!</v>
      </c>
      <c r="Y374" s="189" t="e">
        <v>#REF!</v>
      </c>
      <c r="Z374" s="189" t="e">
        <v>#REF!</v>
      </c>
      <c r="AA374" s="189" t="e">
        <v>#REF!</v>
      </c>
      <c r="AB374" s="189" t="e">
        <v>#REF!</v>
      </c>
      <c r="AC374" s="189" t="e">
        <v>#REF!</v>
      </c>
      <c r="AD374" s="189" t="e">
        <v>#REF!</v>
      </c>
      <c r="AE374" s="189" t="e">
        <v>#REF!</v>
      </c>
      <c r="AF374" s="189" t="e">
        <v>#REF!</v>
      </c>
      <c r="AG374" s="189" t="e">
        <v>#REF!</v>
      </c>
      <c r="AH374" s="189" t="e">
        <v>#REF!</v>
      </c>
      <c r="AI374" s="189" t="e">
        <v>#REF!</v>
      </c>
      <c r="AJ374" s="189" t="e">
        <v>#REF!</v>
      </c>
    </row>
    <row r="375" spans="1:36" x14ac:dyDescent="0.35">
      <c r="A375" t="s">
        <v>1920</v>
      </c>
      <c r="B375" s="188" t="s">
        <v>1342</v>
      </c>
      <c r="C375" t="s">
        <v>1343</v>
      </c>
      <c r="D375" s="188" t="s">
        <v>555</v>
      </c>
      <c r="E375" t="s">
        <v>1915</v>
      </c>
      <c r="F375" t="s">
        <v>1829</v>
      </c>
      <c r="G375" s="189" t="e">
        <v>#REF!</v>
      </c>
      <c r="H375" s="189" t="e">
        <v>#REF!</v>
      </c>
      <c r="I375" s="189" t="e">
        <v>#REF!</v>
      </c>
      <c r="J375" s="189" t="e">
        <v>#REF!</v>
      </c>
      <c r="K375" s="189" t="e">
        <v>#REF!</v>
      </c>
      <c r="L375" s="189" t="e">
        <v>#REF!</v>
      </c>
      <c r="M375" s="189" t="e">
        <v>#REF!</v>
      </c>
      <c r="N375" s="189" t="e">
        <v>#REF!</v>
      </c>
      <c r="O375" s="189" t="e">
        <v>#REF!</v>
      </c>
      <c r="P375" s="189" t="e">
        <v>#REF!</v>
      </c>
      <c r="Q375" s="189" t="e">
        <v>#REF!</v>
      </c>
      <c r="R375" s="189" t="e">
        <v>#REF!</v>
      </c>
      <c r="S375" s="189" t="e">
        <v>#REF!</v>
      </c>
      <c r="T375" s="189" t="e">
        <v>#REF!</v>
      </c>
      <c r="U375" s="189" t="e">
        <v>#REF!</v>
      </c>
      <c r="V375" s="189" t="e">
        <v>#REF!</v>
      </c>
      <c r="W375" s="189" t="e">
        <v>#REF!</v>
      </c>
      <c r="X375" s="189" t="e">
        <v>#REF!</v>
      </c>
      <c r="Y375" s="189" t="e">
        <v>#REF!</v>
      </c>
      <c r="Z375" s="189" t="e">
        <v>#REF!</v>
      </c>
      <c r="AA375" s="189" t="e">
        <v>#REF!</v>
      </c>
      <c r="AB375" s="189" t="e">
        <v>#REF!</v>
      </c>
      <c r="AC375" s="189" t="e">
        <v>#REF!</v>
      </c>
      <c r="AD375" s="189" t="e">
        <v>#REF!</v>
      </c>
      <c r="AE375" s="189" t="e">
        <v>#REF!</v>
      </c>
      <c r="AF375" s="189" t="e">
        <v>#REF!</v>
      </c>
      <c r="AG375" s="189" t="e">
        <v>#REF!</v>
      </c>
      <c r="AH375" s="189" t="e">
        <v>#REF!</v>
      </c>
      <c r="AI375" s="189" t="e">
        <v>#REF!</v>
      </c>
      <c r="AJ375" s="189" t="e">
        <v>#REF!</v>
      </c>
    </row>
    <row r="376" spans="1:36" x14ac:dyDescent="0.35">
      <c r="A376" t="s">
        <v>1922</v>
      </c>
      <c r="B376" s="188" t="s">
        <v>1342</v>
      </c>
      <c r="C376" t="s">
        <v>1348</v>
      </c>
      <c r="D376" s="188" t="s">
        <v>555</v>
      </c>
      <c r="E376" t="s">
        <v>1915</v>
      </c>
      <c r="F376" t="s">
        <v>1829</v>
      </c>
      <c r="G376" s="189" t="e">
        <v>#REF!</v>
      </c>
      <c r="H376" s="189" t="e">
        <v>#REF!</v>
      </c>
      <c r="I376" s="189" t="e">
        <v>#REF!</v>
      </c>
      <c r="J376" s="189" t="e">
        <v>#REF!</v>
      </c>
      <c r="K376" s="189" t="e">
        <v>#REF!</v>
      </c>
      <c r="L376" s="189" t="e">
        <v>#REF!</v>
      </c>
      <c r="M376" s="189" t="e">
        <v>#REF!</v>
      </c>
      <c r="N376" s="189" t="e">
        <v>#REF!</v>
      </c>
      <c r="O376" s="189" t="e">
        <v>#REF!</v>
      </c>
      <c r="P376" s="189" t="e">
        <v>#REF!</v>
      </c>
      <c r="Q376" s="189" t="e">
        <v>#REF!</v>
      </c>
      <c r="R376" s="189" t="e">
        <v>#REF!</v>
      </c>
      <c r="S376" s="189" t="e">
        <v>#REF!</v>
      </c>
      <c r="T376" s="189" t="e">
        <v>#REF!</v>
      </c>
      <c r="U376" s="189" t="e">
        <v>#REF!</v>
      </c>
      <c r="V376" s="189" t="e">
        <v>#REF!</v>
      </c>
      <c r="W376" s="189" t="e">
        <v>#REF!</v>
      </c>
      <c r="X376" s="189" t="e">
        <v>#REF!</v>
      </c>
      <c r="Y376" s="189" t="e">
        <v>#REF!</v>
      </c>
      <c r="Z376" s="189" t="e">
        <v>#REF!</v>
      </c>
      <c r="AA376" s="189" t="e">
        <v>#REF!</v>
      </c>
      <c r="AB376" s="189" t="e">
        <v>#REF!</v>
      </c>
      <c r="AC376" s="189" t="e">
        <v>#REF!</v>
      </c>
      <c r="AD376" s="189" t="e">
        <v>#REF!</v>
      </c>
      <c r="AE376" s="189" t="e">
        <v>#REF!</v>
      </c>
      <c r="AF376" s="189" t="e">
        <v>#REF!</v>
      </c>
      <c r="AG376" s="189" t="e">
        <v>#REF!</v>
      </c>
      <c r="AH376" s="189" t="e">
        <v>#REF!</v>
      </c>
      <c r="AI376" s="189" t="e">
        <v>#REF!</v>
      </c>
      <c r="AJ376" s="189" t="e">
        <v>#REF!</v>
      </c>
    </row>
    <row r="377" spans="1:36" x14ac:dyDescent="0.35">
      <c r="A377" t="s">
        <v>1923</v>
      </c>
      <c r="B377" s="188" t="s">
        <v>1342</v>
      </c>
      <c r="C377" t="s">
        <v>1350</v>
      </c>
      <c r="D377" s="188" t="s">
        <v>555</v>
      </c>
      <c r="E377" t="s">
        <v>1915</v>
      </c>
      <c r="F377" t="s">
        <v>1829</v>
      </c>
      <c r="G377" s="189" t="e">
        <v>#REF!</v>
      </c>
      <c r="H377" s="189" t="e">
        <v>#REF!</v>
      </c>
      <c r="I377" s="189" t="e">
        <v>#REF!</v>
      </c>
      <c r="J377" s="189" t="e">
        <v>#REF!</v>
      </c>
      <c r="K377" s="189" t="e">
        <v>#REF!</v>
      </c>
      <c r="L377" s="189" t="e">
        <v>#REF!</v>
      </c>
      <c r="M377" s="189" t="e">
        <v>#REF!</v>
      </c>
      <c r="N377" s="189" t="e">
        <v>#REF!</v>
      </c>
      <c r="O377" s="189" t="e">
        <v>#REF!</v>
      </c>
      <c r="P377" s="189" t="e">
        <v>#REF!</v>
      </c>
      <c r="Q377" s="189" t="e">
        <v>#REF!</v>
      </c>
      <c r="R377" s="189" t="e">
        <v>#REF!</v>
      </c>
      <c r="S377" s="189" t="e">
        <v>#REF!</v>
      </c>
      <c r="T377" s="189" t="e">
        <v>#REF!</v>
      </c>
      <c r="U377" s="189" t="e">
        <v>#REF!</v>
      </c>
      <c r="V377" s="189" t="e">
        <v>#REF!</v>
      </c>
      <c r="W377" s="189" t="e">
        <v>#REF!</v>
      </c>
      <c r="X377" s="189" t="e">
        <v>#REF!</v>
      </c>
      <c r="Y377" s="189" t="e">
        <v>#REF!</v>
      </c>
      <c r="Z377" s="189" t="e">
        <v>#REF!</v>
      </c>
      <c r="AA377" s="189" t="e">
        <v>#REF!</v>
      </c>
      <c r="AB377" s="189" t="e">
        <v>#REF!</v>
      </c>
      <c r="AC377" s="189" t="e">
        <v>#REF!</v>
      </c>
      <c r="AD377" s="189" t="e">
        <v>#REF!</v>
      </c>
      <c r="AE377" s="189" t="e">
        <v>#REF!</v>
      </c>
      <c r="AF377" s="189" t="e">
        <v>#REF!</v>
      </c>
      <c r="AG377" s="189" t="e">
        <v>#REF!</v>
      </c>
      <c r="AH377" s="189" t="e">
        <v>#REF!</v>
      </c>
      <c r="AI377" s="189" t="e">
        <v>#REF!</v>
      </c>
      <c r="AJ377" s="189" t="e">
        <v>#REF!</v>
      </c>
    </row>
    <row r="378" spans="1:36" x14ac:dyDescent="0.35">
      <c r="A378" t="s">
        <v>1924</v>
      </c>
      <c r="B378" s="188" t="s">
        <v>1342</v>
      </c>
      <c r="C378" t="s">
        <v>1343</v>
      </c>
      <c r="D378" s="188" t="s">
        <v>555</v>
      </c>
      <c r="E378" t="s">
        <v>1915</v>
      </c>
      <c r="F378" t="s">
        <v>1834</v>
      </c>
      <c r="G378" s="189" t="e">
        <v>#REF!</v>
      </c>
      <c r="H378" s="189" t="e">
        <v>#REF!</v>
      </c>
      <c r="I378" s="189" t="e">
        <v>#REF!</v>
      </c>
      <c r="J378" s="189" t="e">
        <v>#REF!</v>
      </c>
      <c r="K378" s="189" t="e">
        <v>#REF!</v>
      </c>
      <c r="L378" s="189" t="e">
        <v>#REF!</v>
      </c>
      <c r="M378" s="189" t="e">
        <v>#REF!</v>
      </c>
      <c r="N378" s="189" t="e">
        <v>#REF!</v>
      </c>
      <c r="O378" s="189" t="e">
        <v>#REF!</v>
      </c>
      <c r="P378" s="189" t="e">
        <v>#REF!</v>
      </c>
      <c r="Q378" s="189" t="e">
        <v>#REF!</v>
      </c>
      <c r="R378" s="189" t="e">
        <v>#REF!</v>
      </c>
      <c r="S378" s="189" t="e">
        <v>#REF!</v>
      </c>
      <c r="T378" s="189" t="e">
        <v>#REF!</v>
      </c>
      <c r="U378" s="189" t="e">
        <v>#REF!</v>
      </c>
      <c r="V378" s="189" t="e">
        <v>#REF!</v>
      </c>
      <c r="W378" s="189" t="e">
        <v>#REF!</v>
      </c>
      <c r="X378" s="189" t="e">
        <v>#REF!</v>
      </c>
      <c r="Y378" s="189" t="e">
        <v>#REF!</v>
      </c>
      <c r="Z378" s="189" t="e">
        <v>#REF!</v>
      </c>
      <c r="AA378" s="189" t="e">
        <v>#REF!</v>
      </c>
      <c r="AB378" s="189" t="e">
        <v>#REF!</v>
      </c>
      <c r="AC378" s="189" t="e">
        <v>#REF!</v>
      </c>
      <c r="AD378" s="189" t="e">
        <v>#REF!</v>
      </c>
      <c r="AE378" s="189" t="e">
        <v>#REF!</v>
      </c>
      <c r="AF378" s="189" t="e">
        <v>#REF!</v>
      </c>
      <c r="AG378" s="189" t="e">
        <v>#REF!</v>
      </c>
      <c r="AH378" s="189" t="e">
        <v>#REF!</v>
      </c>
      <c r="AI378" s="189" t="e">
        <v>#REF!</v>
      </c>
      <c r="AJ378" s="189" t="e">
        <v>#REF!</v>
      </c>
    </row>
    <row r="379" spans="1:36" x14ac:dyDescent="0.35">
      <c r="A379" t="s">
        <v>1926</v>
      </c>
      <c r="B379" s="188" t="s">
        <v>1342</v>
      </c>
      <c r="C379" t="s">
        <v>1348</v>
      </c>
      <c r="D379" s="188" t="s">
        <v>555</v>
      </c>
      <c r="E379" t="s">
        <v>1915</v>
      </c>
      <c r="F379" t="s">
        <v>1834</v>
      </c>
      <c r="G379" s="189" t="e">
        <v>#REF!</v>
      </c>
      <c r="H379" s="189" t="e">
        <v>#REF!</v>
      </c>
      <c r="I379" s="189" t="e">
        <v>#REF!</v>
      </c>
      <c r="J379" s="189" t="e">
        <v>#REF!</v>
      </c>
      <c r="K379" s="189" t="e">
        <v>#REF!</v>
      </c>
      <c r="L379" s="189" t="e">
        <v>#REF!</v>
      </c>
      <c r="M379" s="189" t="e">
        <v>#REF!</v>
      </c>
      <c r="N379" s="189" t="e">
        <v>#REF!</v>
      </c>
      <c r="O379" s="189" t="e">
        <v>#REF!</v>
      </c>
      <c r="P379" s="189" t="e">
        <v>#REF!</v>
      </c>
      <c r="Q379" s="189" t="e">
        <v>#REF!</v>
      </c>
      <c r="R379" s="189" t="e">
        <v>#REF!</v>
      </c>
      <c r="S379" s="189" t="e">
        <v>#REF!</v>
      </c>
      <c r="T379" s="189" t="e">
        <v>#REF!</v>
      </c>
      <c r="U379" s="189" t="e">
        <v>#REF!</v>
      </c>
      <c r="V379" s="189" t="e">
        <v>#REF!</v>
      </c>
      <c r="W379" s="189" t="e">
        <v>#REF!</v>
      </c>
      <c r="X379" s="189" t="e">
        <v>#REF!</v>
      </c>
      <c r="Y379" s="189" t="e">
        <v>#REF!</v>
      </c>
      <c r="Z379" s="189" t="e">
        <v>#REF!</v>
      </c>
      <c r="AA379" s="189" t="e">
        <v>#REF!</v>
      </c>
      <c r="AB379" s="189" t="e">
        <v>#REF!</v>
      </c>
      <c r="AC379" s="189" t="e">
        <v>#REF!</v>
      </c>
      <c r="AD379" s="189" t="e">
        <v>#REF!</v>
      </c>
      <c r="AE379" s="189" t="e">
        <v>#REF!</v>
      </c>
      <c r="AF379" s="189" t="e">
        <v>#REF!</v>
      </c>
      <c r="AG379" s="189" t="e">
        <v>#REF!</v>
      </c>
      <c r="AH379" s="189" t="e">
        <v>#REF!</v>
      </c>
      <c r="AI379" s="189" t="e">
        <v>#REF!</v>
      </c>
      <c r="AJ379" s="189" t="e">
        <v>#REF!</v>
      </c>
    </row>
    <row r="380" spans="1:36" x14ac:dyDescent="0.35">
      <c r="A380" t="s">
        <v>1927</v>
      </c>
      <c r="B380" s="188" t="s">
        <v>1342</v>
      </c>
      <c r="C380" t="s">
        <v>1350</v>
      </c>
      <c r="D380" s="188" t="s">
        <v>555</v>
      </c>
      <c r="E380" t="s">
        <v>1915</v>
      </c>
      <c r="F380" t="s">
        <v>1834</v>
      </c>
      <c r="G380" s="189" t="e">
        <v>#REF!</v>
      </c>
      <c r="H380" s="189" t="e">
        <v>#REF!</v>
      </c>
      <c r="I380" s="189" t="e">
        <v>#REF!</v>
      </c>
      <c r="J380" s="189" t="e">
        <v>#REF!</v>
      </c>
      <c r="K380" s="189" t="e">
        <v>#REF!</v>
      </c>
      <c r="L380" s="189" t="e">
        <v>#REF!</v>
      </c>
      <c r="M380" s="189" t="e">
        <v>#REF!</v>
      </c>
      <c r="N380" s="189" t="e">
        <v>#REF!</v>
      </c>
      <c r="O380" s="189" t="e">
        <v>#REF!</v>
      </c>
      <c r="P380" s="189" t="e">
        <v>#REF!</v>
      </c>
      <c r="Q380" s="189" t="e">
        <v>#REF!</v>
      </c>
      <c r="R380" s="189" t="e">
        <v>#REF!</v>
      </c>
      <c r="S380" s="189" t="e">
        <v>#REF!</v>
      </c>
      <c r="T380" s="189" t="e">
        <v>#REF!</v>
      </c>
      <c r="U380" s="189" t="e">
        <v>#REF!</v>
      </c>
      <c r="V380" s="189" t="e">
        <v>#REF!</v>
      </c>
      <c r="W380" s="189" t="e">
        <v>#REF!</v>
      </c>
      <c r="X380" s="189" t="e">
        <v>#REF!</v>
      </c>
      <c r="Y380" s="189" t="e">
        <v>#REF!</v>
      </c>
      <c r="Z380" s="189" t="e">
        <v>#REF!</v>
      </c>
      <c r="AA380" s="189" t="e">
        <v>#REF!</v>
      </c>
      <c r="AB380" s="189" t="e">
        <v>#REF!</v>
      </c>
      <c r="AC380" s="189" t="e">
        <v>#REF!</v>
      </c>
      <c r="AD380" s="189" t="e">
        <v>#REF!</v>
      </c>
      <c r="AE380" s="189" t="e">
        <v>#REF!</v>
      </c>
      <c r="AF380" s="189" t="e">
        <v>#REF!</v>
      </c>
      <c r="AG380" s="189" t="e">
        <v>#REF!</v>
      </c>
      <c r="AH380" s="189" t="e">
        <v>#REF!</v>
      </c>
      <c r="AI380" s="189" t="e">
        <v>#REF!</v>
      </c>
      <c r="AJ380" s="189" t="e">
        <v>#REF!</v>
      </c>
    </row>
    <row r="381" spans="1:36" x14ac:dyDescent="0.35">
      <c r="A381" t="s">
        <v>1928</v>
      </c>
      <c r="B381" s="188" t="s">
        <v>1342</v>
      </c>
      <c r="C381" t="s">
        <v>1343</v>
      </c>
      <c r="D381" s="188" t="s">
        <v>555</v>
      </c>
      <c r="E381" t="s">
        <v>1915</v>
      </c>
      <c r="F381" t="s">
        <v>1839</v>
      </c>
      <c r="G381" s="189" t="e">
        <v>#REF!</v>
      </c>
      <c r="H381" s="189" t="e">
        <v>#REF!</v>
      </c>
      <c r="I381" s="189" t="e">
        <v>#REF!</v>
      </c>
      <c r="J381" s="189" t="e">
        <v>#REF!</v>
      </c>
      <c r="K381" s="189" t="e">
        <v>#REF!</v>
      </c>
      <c r="L381" s="189" t="e">
        <v>#REF!</v>
      </c>
      <c r="M381" s="189" t="e">
        <v>#REF!</v>
      </c>
      <c r="N381" s="189" t="e">
        <v>#REF!</v>
      </c>
      <c r="O381" s="189" t="e">
        <v>#REF!</v>
      </c>
      <c r="P381" s="189" t="e">
        <v>#REF!</v>
      </c>
      <c r="Q381" s="189" t="e">
        <v>#REF!</v>
      </c>
      <c r="R381" s="189" t="e">
        <v>#REF!</v>
      </c>
      <c r="S381" s="189" t="e">
        <v>#REF!</v>
      </c>
      <c r="T381" s="189" t="e">
        <v>#REF!</v>
      </c>
      <c r="U381" s="189" t="e">
        <v>#REF!</v>
      </c>
      <c r="V381" s="189" t="e">
        <v>#REF!</v>
      </c>
      <c r="W381" s="189" t="e">
        <v>#REF!</v>
      </c>
      <c r="X381" s="189" t="e">
        <v>#REF!</v>
      </c>
      <c r="Y381" s="189" t="e">
        <v>#REF!</v>
      </c>
      <c r="Z381" s="189" t="e">
        <v>#REF!</v>
      </c>
      <c r="AA381" s="189" t="e">
        <v>#REF!</v>
      </c>
      <c r="AB381" s="189" t="e">
        <v>#REF!</v>
      </c>
      <c r="AC381" s="189" t="e">
        <v>#REF!</v>
      </c>
      <c r="AD381" s="189" t="e">
        <v>#REF!</v>
      </c>
      <c r="AE381" s="189" t="e">
        <v>#REF!</v>
      </c>
      <c r="AF381" s="189" t="e">
        <v>#REF!</v>
      </c>
      <c r="AG381" s="189" t="e">
        <v>#REF!</v>
      </c>
      <c r="AH381" s="189" t="e">
        <v>#REF!</v>
      </c>
      <c r="AI381" s="189" t="e">
        <v>#REF!</v>
      </c>
      <c r="AJ381" s="189" t="e">
        <v>#REF!</v>
      </c>
    </row>
    <row r="382" spans="1:36" x14ac:dyDescent="0.35">
      <c r="A382" t="s">
        <v>1930</v>
      </c>
      <c r="B382" s="188" t="s">
        <v>1342</v>
      </c>
      <c r="C382" t="s">
        <v>1348</v>
      </c>
      <c r="D382" s="188" t="s">
        <v>555</v>
      </c>
      <c r="E382" t="s">
        <v>1915</v>
      </c>
      <c r="F382" t="s">
        <v>1839</v>
      </c>
      <c r="G382" s="189" t="e">
        <v>#REF!</v>
      </c>
      <c r="H382" s="189" t="e">
        <v>#REF!</v>
      </c>
      <c r="I382" s="189" t="e">
        <v>#REF!</v>
      </c>
      <c r="J382" s="189" t="e">
        <v>#REF!</v>
      </c>
      <c r="K382" s="189" t="e">
        <v>#REF!</v>
      </c>
      <c r="L382" s="189" t="e">
        <v>#REF!</v>
      </c>
      <c r="M382" s="189" t="e">
        <v>#REF!</v>
      </c>
      <c r="N382" s="189" t="e">
        <v>#REF!</v>
      </c>
      <c r="O382" s="189" t="e">
        <v>#REF!</v>
      </c>
      <c r="P382" s="189" t="e">
        <v>#REF!</v>
      </c>
      <c r="Q382" s="189" t="e">
        <v>#REF!</v>
      </c>
      <c r="R382" s="189" t="e">
        <v>#REF!</v>
      </c>
      <c r="S382" s="189" t="e">
        <v>#REF!</v>
      </c>
      <c r="T382" s="189" t="e">
        <v>#REF!</v>
      </c>
      <c r="U382" s="189" t="e">
        <v>#REF!</v>
      </c>
      <c r="V382" s="189" t="e">
        <v>#REF!</v>
      </c>
      <c r="W382" s="189" t="e">
        <v>#REF!</v>
      </c>
      <c r="X382" s="189" t="e">
        <v>#REF!</v>
      </c>
      <c r="Y382" s="189" t="e">
        <v>#REF!</v>
      </c>
      <c r="Z382" s="189" t="e">
        <v>#REF!</v>
      </c>
      <c r="AA382" s="189" t="e">
        <v>#REF!</v>
      </c>
      <c r="AB382" s="189" t="e">
        <v>#REF!</v>
      </c>
      <c r="AC382" s="189" t="e">
        <v>#REF!</v>
      </c>
      <c r="AD382" s="189" t="e">
        <v>#REF!</v>
      </c>
      <c r="AE382" s="189" t="e">
        <v>#REF!</v>
      </c>
      <c r="AF382" s="189" t="e">
        <v>#REF!</v>
      </c>
      <c r="AG382" s="189" t="e">
        <v>#REF!</v>
      </c>
      <c r="AH382" s="189" t="e">
        <v>#REF!</v>
      </c>
      <c r="AI382" s="189" t="e">
        <v>#REF!</v>
      </c>
      <c r="AJ382" s="189" t="e">
        <v>#REF!</v>
      </c>
    </row>
    <row r="383" spans="1:36" x14ac:dyDescent="0.35">
      <c r="A383" t="s">
        <v>1931</v>
      </c>
      <c r="B383" s="188" t="s">
        <v>1342</v>
      </c>
      <c r="C383" t="s">
        <v>1350</v>
      </c>
      <c r="D383" s="188" t="s">
        <v>555</v>
      </c>
      <c r="E383" t="s">
        <v>1915</v>
      </c>
      <c r="F383" t="s">
        <v>1839</v>
      </c>
      <c r="G383" s="189" t="e">
        <v>#REF!</v>
      </c>
      <c r="H383" s="189" t="e">
        <v>#REF!</v>
      </c>
      <c r="I383" s="189" t="e">
        <v>#REF!</v>
      </c>
      <c r="J383" s="189" t="e">
        <v>#REF!</v>
      </c>
      <c r="K383" s="189" t="e">
        <v>#REF!</v>
      </c>
      <c r="L383" s="189" t="e">
        <v>#REF!</v>
      </c>
      <c r="M383" s="189" t="e">
        <v>#REF!</v>
      </c>
      <c r="N383" s="189" t="e">
        <v>#REF!</v>
      </c>
      <c r="O383" s="189" t="e">
        <v>#REF!</v>
      </c>
      <c r="P383" s="189" t="e">
        <v>#REF!</v>
      </c>
      <c r="Q383" s="189" t="e">
        <v>#REF!</v>
      </c>
      <c r="R383" s="189" t="e">
        <v>#REF!</v>
      </c>
      <c r="S383" s="189" t="e">
        <v>#REF!</v>
      </c>
      <c r="T383" s="189" t="e">
        <v>#REF!</v>
      </c>
      <c r="U383" s="189" t="e">
        <v>#REF!</v>
      </c>
      <c r="V383" s="189" t="e">
        <v>#REF!</v>
      </c>
      <c r="W383" s="189" t="e">
        <v>#REF!</v>
      </c>
      <c r="X383" s="189" t="e">
        <v>#REF!</v>
      </c>
      <c r="Y383" s="189" t="e">
        <v>#REF!</v>
      </c>
      <c r="Z383" s="189" t="e">
        <v>#REF!</v>
      </c>
      <c r="AA383" s="189" t="e">
        <v>#REF!</v>
      </c>
      <c r="AB383" s="189" t="e">
        <v>#REF!</v>
      </c>
      <c r="AC383" s="189" t="e">
        <v>#REF!</v>
      </c>
      <c r="AD383" s="189" t="e">
        <v>#REF!</v>
      </c>
      <c r="AE383" s="189" t="e">
        <v>#REF!</v>
      </c>
      <c r="AF383" s="189" t="e">
        <v>#REF!</v>
      </c>
      <c r="AG383" s="189" t="e">
        <v>#REF!</v>
      </c>
      <c r="AH383" s="189" t="e">
        <v>#REF!</v>
      </c>
      <c r="AI383" s="189" t="e">
        <v>#REF!</v>
      </c>
      <c r="AJ383" s="189" t="e">
        <v>#REF!</v>
      </c>
    </row>
    <row r="384" spans="1:36" x14ac:dyDescent="0.35">
      <c r="A384" t="s">
        <v>1932</v>
      </c>
      <c r="B384" s="188" t="s">
        <v>1342</v>
      </c>
      <c r="C384" t="s">
        <v>1343</v>
      </c>
      <c r="D384" s="188" t="s">
        <v>555</v>
      </c>
      <c r="E384" t="s">
        <v>1915</v>
      </c>
      <c r="F384" t="s">
        <v>1844</v>
      </c>
      <c r="G384" s="189" t="e">
        <v>#REF!</v>
      </c>
      <c r="H384" s="189" t="e">
        <v>#REF!</v>
      </c>
      <c r="I384" s="189" t="e">
        <v>#REF!</v>
      </c>
      <c r="J384" s="189" t="e">
        <v>#REF!</v>
      </c>
      <c r="K384" s="189" t="e">
        <v>#REF!</v>
      </c>
      <c r="L384" s="189" t="e">
        <v>#REF!</v>
      </c>
      <c r="M384" s="189" t="e">
        <v>#REF!</v>
      </c>
      <c r="N384" s="189" t="e">
        <v>#REF!</v>
      </c>
      <c r="O384" s="189" t="e">
        <v>#REF!</v>
      </c>
      <c r="P384" s="189" t="e">
        <v>#REF!</v>
      </c>
      <c r="Q384" s="189" t="e">
        <v>#REF!</v>
      </c>
      <c r="R384" s="189" t="e">
        <v>#REF!</v>
      </c>
      <c r="S384" s="189" t="e">
        <v>#REF!</v>
      </c>
      <c r="T384" s="189" t="e">
        <v>#REF!</v>
      </c>
      <c r="U384" s="189" t="e">
        <v>#REF!</v>
      </c>
      <c r="V384" s="189" t="e">
        <v>#REF!</v>
      </c>
      <c r="W384" s="189" t="e">
        <v>#REF!</v>
      </c>
      <c r="X384" s="189" t="e">
        <v>#REF!</v>
      </c>
      <c r="Y384" s="189" t="e">
        <v>#REF!</v>
      </c>
      <c r="Z384" s="189" t="e">
        <v>#REF!</v>
      </c>
      <c r="AA384" s="189" t="e">
        <v>#REF!</v>
      </c>
      <c r="AB384" s="189" t="e">
        <v>#REF!</v>
      </c>
      <c r="AC384" s="189" t="e">
        <v>#REF!</v>
      </c>
      <c r="AD384" s="189" t="e">
        <v>#REF!</v>
      </c>
      <c r="AE384" s="189" t="e">
        <v>#REF!</v>
      </c>
      <c r="AF384" s="189" t="e">
        <v>#REF!</v>
      </c>
      <c r="AG384" s="189" t="e">
        <v>#REF!</v>
      </c>
      <c r="AH384" s="189" t="e">
        <v>#REF!</v>
      </c>
      <c r="AI384" s="189" t="e">
        <v>#REF!</v>
      </c>
      <c r="AJ384" s="189" t="e">
        <v>#REF!</v>
      </c>
    </row>
    <row r="385" spans="1:36" x14ac:dyDescent="0.35">
      <c r="A385" t="s">
        <v>1934</v>
      </c>
      <c r="B385" s="188" t="s">
        <v>1342</v>
      </c>
      <c r="C385" t="s">
        <v>1348</v>
      </c>
      <c r="D385" s="188" t="s">
        <v>555</v>
      </c>
      <c r="E385" t="s">
        <v>1915</v>
      </c>
      <c r="F385" t="s">
        <v>1844</v>
      </c>
      <c r="G385" s="189" t="e">
        <v>#REF!</v>
      </c>
      <c r="H385" s="189" t="e">
        <v>#REF!</v>
      </c>
      <c r="I385" s="189" t="e">
        <v>#REF!</v>
      </c>
      <c r="J385" s="189" t="e">
        <v>#REF!</v>
      </c>
      <c r="K385" s="189" t="e">
        <v>#REF!</v>
      </c>
      <c r="L385" s="189" t="e">
        <v>#REF!</v>
      </c>
      <c r="M385" s="189" t="e">
        <v>#REF!</v>
      </c>
      <c r="N385" s="189" t="e">
        <v>#REF!</v>
      </c>
      <c r="O385" s="189" t="e">
        <v>#REF!</v>
      </c>
      <c r="P385" s="189" t="e">
        <v>#REF!</v>
      </c>
      <c r="Q385" s="189" t="e">
        <v>#REF!</v>
      </c>
      <c r="R385" s="189" t="e">
        <v>#REF!</v>
      </c>
      <c r="S385" s="189" t="e">
        <v>#REF!</v>
      </c>
      <c r="T385" s="189" t="e">
        <v>#REF!</v>
      </c>
      <c r="U385" s="189" t="e">
        <v>#REF!</v>
      </c>
      <c r="V385" s="189" t="e">
        <v>#REF!</v>
      </c>
      <c r="W385" s="189" t="e">
        <v>#REF!</v>
      </c>
      <c r="X385" s="189" t="e">
        <v>#REF!</v>
      </c>
      <c r="Y385" s="189" t="e">
        <v>#REF!</v>
      </c>
      <c r="Z385" s="189" t="e">
        <v>#REF!</v>
      </c>
      <c r="AA385" s="189" t="e">
        <v>#REF!</v>
      </c>
      <c r="AB385" s="189" t="e">
        <v>#REF!</v>
      </c>
      <c r="AC385" s="189" t="e">
        <v>#REF!</v>
      </c>
      <c r="AD385" s="189" t="e">
        <v>#REF!</v>
      </c>
      <c r="AE385" s="189" t="e">
        <v>#REF!</v>
      </c>
      <c r="AF385" s="189" t="e">
        <v>#REF!</v>
      </c>
      <c r="AG385" s="189" t="e">
        <v>#REF!</v>
      </c>
      <c r="AH385" s="189" t="e">
        <v>#REF!</v>
      </c>
      <c r="AI385" s="189" t="e">
        <v>#REF!</v>
      </c>
      <c r="AJ385" s="189" t="e">
        <v>#REF!</v>
      </c>
    </row>
    <row r="386" spans="1:36" x14ac:dyDescent="0.35">
      <c r="A386" t="s">
        <v>1935</v>
      </c>
      <c r="B386" s="188" t="s">
        <v>1342</v>
      </c>
      <c r="C386" t="s">
        <v>1350</v>
      </c>
      <c r="D386" s="188" t="s">
        <v>555</v>
      </c>
      <c r="E386" t="s">
        <v>1915</v>
      </c>
      <c r="F386" t="s">
        <v>1844</v>
      </c>
      <c r="G386" s="189" t="e">
        <v>#REF!</v>
      </c>
      <c r="H386" s="189" t="e">
        <v>#REF!</v>
      </c>
      <c r="I386" s="189" t="e">
        <v>#REF!</v>
      </c>
      <c r="J386" s="189" t="e">
        <v>#REF!</v>
      </c>
      <c r="K386" s="189" t="e">
        <v>#REF!</v>
      </c>
      <c r="L386" s="189" t="e">
        <v>#REF!</v>
      </c>
      <c r="M386" s="189" t="e">
        <v>#REF!</v>
      </c>
      <c r="N386" s="189" t="e">
        <v>#REF!</v>
      </c>
      <c r="O386" s="189" t="e">
        <v>#REF!</v>
      </c>
      <c r="P386" s="189" t="e">
        <v>#REF!</v>
      </c>
      <c r="Q386" s="189" t="e">
        <v>#REF!</v>
      </c>
      <c r="R386" s="189" t="e">
        <v>#REF!</v>
      </c>
      <c r="S386" s="189" t="e">
        <v>#REF!</v>
      </c>
      <c r="T386" s="189" t="e">
        <v>#REF!</v>
      </c>
      <c r="U386" s="189" t="e">
        <v>#REF!</v>
      </c>
      <c r="V386" s="189" t="e">
        <v>#REF!</v>
      </c>
      <c r="W386" s="189" t="e">
        <v>#REF!</v>
      </c>
      <c r="X386" s="189" t="e">
        <v>#REF!</v>
      </c>
      <c r="Y386" s="189" t="e">
        <v>#REF!</v>
      </c>
      <c r="Z386" s="189" t="e">
        <v>#REF!</v>
      </c>
      <c r="AA386" s="189" t="e">
        <v>#REF!</v>
      </c>
      <c r="AB386" s="189" t="e">
        <v>#REF!</v>
      </c>
      <c r="AC386" s="189" t="e">
        <v>#REF!</v>
      </c>
      <c r="AD386" s="189" t="e">
        <v>#REF!</v>
      </c>
      <c r="AE386" s="189" t="e">
        <v>#REF!</v>
      </c>
      <c r="AF386" s="189" t="e">
        <v>#REF!</v>
      </c>
      <c r="AG386" s="189" t="e">
        <v>#REF!</v>
      </c>
      <c r="AH386" s="189" t="e">
        <v>#REF!</v>
      </c>
      <c r="AI386" s="189" t="e">
        <v>#REF!</v>
      </c>
      <c r="AJ386" s="189" t="e">
        <v>#REF!</v>
      </c>
    </row>
    <row r="387" spans="1:36" x14ac:dyDescent="0.35">
      <c r="A387" t="s">
        <v>1936</v>
      </c>
      <c r="B387" s="188" t="s">
        <v>1342</v>
      </c>
      <c r="C387" t="s">
        <v>1343</v>
      </c>
      <c r="D387" s="188" t="s">
        <v>555</v>
      </c>
      <c r="E387" t="s">
        <v>1937</v>
      </c>
      <c r="F387" t="s">
        <v>1938</v>
      </c>
      <c r="G387" s="189" t="s">
        <v>1939</v>
      </c>
      <c r="H387" s="189">
        <v>0.104</v>
      </c>
      <c r="I387" s="189">
        <v>0.104</v>
      </c>
      <c r="J387" s="189">
        <v>0.104</v>
      </c>
      <c r="K387" s="189">
        <v>0.104</v>
      </c>
      <c r="L387" s="189">
        <v>0.104</v>
      </c>
      <c r="M387" s="189">
        <v>0.104</v>
      </c>
      <c r="N387" s="189">
        <v>0.104</v>
      </c>
      <c r="O387" s="189">
        <v>0.104</v>
      </c>
      <c r="P387" s="189">
        <v>0.104</v>
      </c>
      <c r="Q387" s="189">
        <v>0.104</v>
      </c>
      <c r="R387" s="189">
        <v>0.104</v>
      </c>
      <c r="S387" s="189">
        <v>0.104</v>
      </c>
      <c r="T387" s="189">
        <v>0.104</v>
      </c>
      <c r="U387" s="189">
        <v>0.104</v>
      </c>
      <c r="V387" s="189">
        <v>0.104</v>
      </c>
      <c r="W387" s="189">
        <v>0.104</v>
      </c>
      <c r="X387" s="189">
        <v>0.104</v>
      </c>
      <c r="Y387" s="189">
        <v>0.104</v>
      </c>
      <c r="Z387" s="189">
        <v>0.104</v>
      </c>
      <c r="AA387" s="189">
        <v>0.104</v>
      </c>
      <c r="AB387" s="189">
        <v>0.104</v>
      </c>
      <c r="AC387" s="189">
        <v>0.104</v>
      </c>
      <c r="AD387" s="189">
        <v>0.104</v>
      </c>
      <c r="AE387" s="189">
        <v>0.104</v>
      </c>
      <c r="AF387" s="189">
        <v>0.104</v>
      </c>
      <c r="AG387" s="189">
        <v>0.104</v>
      </c>
      <c r="AH387" s="189">
        <v>0.104</v>
      </c>
      <c r="AI387" s="189">
        <v>0.104</v>
      </c>
      <c r="AJ387" s="189">
        <v>0.104</v>
      </c>
    </row>
    <row r="388" spans="1:36" x14ac:dyDescent="0.35">
      <c r="A388" t="s">
        <v>1940</v>
      </c>
      <c r="B388" s="188" t="s">
        <v>1342</v>
      </c>
      <c r="C388" t="s">
        <v>1348</v>
      </c>
      <c r="D388" s="188" t="s">
        <v>555</v>
      </c>
      <c r="E388" t="s">
        <v>1937</v>
      </c>
      <c r="F388" t="s">
        <v>1938</v>
      </c>
      <c r="G388" s="189" t="s">
        <v>1939</v>
      </c>
      <c r="H388" s="189">
        <v>0.104</v>
      </c>
      <c r="I388" s="189">
        <v>0.104</v>
      </c>
      <c r="J388" s="189">
        <v>0.104</v>
      </c>
      <c r="K388" s="189">
        <v>0.104</v>
      </c>
      <c r="L388" s="189">
        <v>0.104</v>
      </c>
      <c r="M388" s="189">
        <v>0.104</v>
      </c>
      <c r="N388" s="189">
        <v>0.104</v>
      </c>
      <c r="O388" s="189">
        <v>0.104</v>
      </c>
      <c r="P388" s="189">
        <v>0.104</v>
      </c>
      <c r="Q388" s="189">
        <v>0.104</v>
      </c>
      <c r="R388" s="189">
        <v>0.104</v>
      </c>
      <c r="S388" s="189">
        <v>0.104</v>
      </c>
      <c r="T388" s="189">
        <v>0.104</v>
      </c>
      <c r="U388" s="189">
        <v>0.104</v>
      </c>
      <c r="V388" s="189">
        <v>0.104</v>
      </c>
      <c r="W388" s="189">
        <v>0.104</v>
      </c>
      <c r="X388" s="189">
        <v>0.104</v>
      </c>
      <c r="Y388" s="189">
        <v>0.104</v>
      </c>
      <c r="Z388" s="189">
        <v>0.104</v>
      </c>
      <c r="AA388" s="189">
        <v>0.104</v>
      </c>
      <c r="AB388" s="189">
        <v>0.104</v>
      </c>
      <c r="AC388" s="189">
        <v>0.104</v>
      </c>
      <c r="AD388" s="189">
        <v>0.104</v>
      </c>
      <c r="AE388" s="189">
        <v>0.104</v>
      </c>
      <c r="AF388" s="189">
        <v>0.104</v>
      </c>
      <c r="AG388" s="189">
        <v>0.104</v>
      </c>
      <c r="AH388" s="189">
        <v>0.104</v>
      </c>
      <c r="AI388" s="189">
        <v>0.104</v>
      </c>
      <c r="AJ388" s="189">
        <v>0.104</v>
      </c>
    </row>
    <row r="389" spans="1:36" x14ac:dyDescent="0.35">
      <c r="A389" t="s">
        <v>1941</v>
      </c>
      <c r="B389" s="188" t="s">
        <v>1342</v>
      </c>
      <c r="C389" t="s">
        <v>1350</v>
      </c>
      <c r="D389" s="188" t="s">
        <v>555</v>
      </c>
      <c r="E389" t="s">
        <v>1937</v>
      </c>
      <c r="F389" t="s">
        <v>1938</v>
      </c>
      <c r="G389" s="189" t="s">
        <v>1939</v>
      </c>
      <c r="H389" s="189">
        <v>0.104</v>
      </c>
      <c r="I389" s="189">
        <v>0.104</v>
      </c>
      <c r="J389" s="189">
        <v>0.104</v>
      </c>
      <c r="K389" s="189">
        <v>0.104</v>
      </c>
      <c r="L389" s="189">
        <v>0.104</v>
      </c>
      <c r="M389" s="189">
        <v>0.104</v>
      </c>
      <c r="N389" s="189">
        <v>0.104</v>
      </c>
      <c r="O389" s="189">
        <v>0.104</v>
      </c>
      <c r="P389" s="189">
        <v>0.104</v>
      </c>
      <c r="Q389" s="189">
        <v>0.104</v>
      </c>
      <c r="R389" s="189">
        <v>0.104</v>
      </c>
      <c r="S389" s="189">
        <v>0.104</v>
      </c>
      <c r="T389" s="189">
        <v>0.104</v>
      </c>
      <c r="U389" s="189">
        <v>0.104</v>
      </c>
      <c r="V389" s="189">
        <v>0.104</v>
      </c>
      <c r="W389" s="189">
        <v>0.104</v>
      </c>
      <c r="X389" s="189">
        <v>0.104</v>
      </c>
      <c r="Y389" s="189">
        <v>0.104</v>
      </c>
      <c r="Z389" s="189">
        <v>0.104</v>
      </c>
      <c r="AA389" s="189">
        <v>0.104</v>
      </c>
      <c r="AB389" s="189">
        <v>0.104</v>
      </c>
      <c r="AC389" s="189">
        <v>0.104</v>
      </c>
      <c r="AD389" s="189">
        <v>0.104</v>
      </c>
      <c r="AE389" s="189">
        <v>0.104</v>
      </c>
      <c r="AF389" s="189">
        <v>0.104</v>
      </c>
      <c r="AG389" s="189">
        <v>0.104</v>
      </c>
      <c r="AH389" s="189">
        <v>0.104</v>
      </c>
      <c r="AI389" s="189">
        <v>0.104</v>
      </c>
      <c r="AJ389" s="189">
        <v>0.104</v>
      </c>
    </row>
    <row r="390" spans="1:36" x14ac:dyDescent="0.35">
      <c r="A390" t="s">
        <v>1942</v>
      </c>
      <c r="B390" s="188" t="s">
        <v>1342</v>
      </c>
      <c r="C390" t="s">
        <v>1343</v>
      </c>
      <c r="D390" s="188" t="s">
        <v>555</v>
      </c>
      <c r="E390" t="s">
        <v>1937</v>
      </c>
      <c r="F390" t="s">
        <v>1943</v>
      </c>
      <c r="G390" s="189" t="s">
        <v>1944</v>
      </c>
      <c r="H390" s="189">
        <v>0.16699999999999998</v>
      </c>
      <c r="I390" s="189">
        <v>0.16699999999999998</v>
      </c>
      <c r="J390" s="189">
        <v>0.16699999999999998</v>
      </c>
      <c r="K390" s="189">
        <v>0.16699999999999998</v>
      </c>
      <c r="L390" s="189">
        <v>0.16699999999999998</v>
      </c>
      <c r="M390" s="189">
        <v>0.16699999999999998</v>
      </c>
      <c r="N390" s="189">
        <v>0.16699999999999998</v>
      </c>
      <c r="O390" s="189">
        <v>0.16699999999999998</v>
      </c>
      <c r="P390" s="189">
        <v>0.16699999999999998</v>
      </c>
      <c r="Q390" s="189">
        <v>0.16699999999999998</v>
      </c>
      <c r="R390" s="189">
        <v>0.16699999999999998</v>
      </c>
      <c r="S390" s="189">
        <v>0.16699999999999998</v>
      </c>
      <c r="T390" s="189">
        <v>0.16699999999999998</v>
      </c>
      <c r="U390" s="189">
        <v>0.16699999999999998</v>
      </c>
      <c r="V390" s="189">
        <v>0.16699999999999998</v>
      </c>
      <c r="W390" s="189">
        <v>0.16699999999999998</v>
      </c>
      <c r="X390" s="189">
        <v>0.16699999999999998</v>
      </c>
      <c r="Y390" s="189">
        <v>0.16699999999999998</v>
      </c>
      <c r="Z390" s="189">
        <v>0.16699999999999998</v>
      </c>
      <c r="AA390" s="189">
        <v>0.16699999999999998</v>
      </c>
      <c r="AB390" s="189">
        <v>0.16699999999999998</v>
      </c>
      <c r="AC390" s="189">
        <v>0.16699999999999998</v>
      </c>
      <c r="AD390" s="189">
        <v>0.16699999999999998</v>
      </c>
      <c r="AE390" s="189">
        <v>0.16699999999999998</v>
      </c>
      <c r="AF390" s="189">
        <v>0.16699999999999998</v>
      </c>
      <c r="AG390" s="189">
        <v>0.16699999999999998</v>
      </c>
      <c r="AH390" s="189">
        <v>0.16699999999999998</v>
      </c>
      <c r="AI390" s="189">
        <v>0.16699999999999998</v>
      </c>
      <c r="AJ390" s="189">
        <v>0.16699999999999998</v>
      </c>
    </row>
    <row r="391" spans="1:36" x14ac:dyDescent="0.35">
      <c r="A391" t="s">
        <v>1945</v>
      </c>
      <c r="B391" s="188" t="s">
        <v>1342</v>
      </c>
      <c r="C391" t="s">
        <v>1348</v>
      </c>
      <c r="D391" s="188" t="s">
        <v>555</v>
      </c>
      <c r="E391" t="s">
        <v>1937</v>
      </c>
      <c r="F391" t="s">
        <v>1943</v>
      </c>
      <c r="G391" s="189" t="s">
        <v>1944</v>
      </c>
      <c r="H391" s="189">
        <v>0.16699999999999998</v>
      </c>
      <c r="I391" s="189">
        <v>0.16699999999999998</v>
      </c>
      <c r="J391" s="189">
        <v>0.16699999999999998</v>
      </c>
      <c r="K391" s="189">
        <v>0.16699999999999998</v>
      </c>
      <c r="L391" s="189">
        <v>0.16699999999999998</v>
      </c>
      <c r="M391" s="189">
        <v>0.16699999999999998</v>
      </c>
      <c r="N391" s="189">
        <v>0.16699999999999998</v>
      </c>
      <c r="O391" s="189">
        <v>0.16699999999999998</v>
      </c>
      <c r="P391" s="189">
        <v>0.16699999999999998</v>
      </c>
      <c r="Q391" s="189">
        <v>0.16699999999999998</v>
      </c>
      <c r="R391" s="189">
        <v>0.16699999999999998</v>
      </c>
      <c r="S391" s="189">
        <v>0.16699999999999998</v>
      </c>
      <c r="T391" s="189">
        <v>0.16699999999999998</v>
      </c>
      <c r="U391" s="189">
        <v>0.16699999999999998</v>
      </c>
      <c r="V391" s="189">
        <v>0.16699999999999998</v>
      </c>
      <c r="W391" s="189">
        <v>0.16699999999999998</v>
      </c>
      <c r="X391" s="189">
        <v>0.16699999999999998</v>
      </c>
      <c r="Y391" s="189">
        <v>0.16699999999999998</v>
      </c>
      <c r="Z391" s="189">
        <v>0.16699999999999998</v>
      </c>
      <c r="AA391" s="189">
        <v>0.16699999999999998</v>
      </c>
      <c r="AB391" s="189">
        <v>0.16699999999999998</v>
      </c>
      <c r="AC391" s="189">
        <v>0.16699999999999998</v>
      </c>
      <c r="AD391" s="189">
        <v>0.16699999999999998</v>
      </c>
      <c r="AE391" s="189">
        <v>0.16699999999999998</v>
      </c>
      <c r="AF391" s="189">
        <v>0.16699999999999998</v>
      </c>
      <c r="AG391" s="189">
        <v>0.16699999999999998</v>
      </c>
      <c r="AH391" s="189">
        <v>0.16699999999999998</v>
      </c>
      <c r="AI391" s="189">
        <v>0.16699999999999998</v>
      </c>
      <c r="AJ391" s="189">
        <v>0.16699999999999998</v>
      </c>
    </row>
    <row r="392" spans="1:36" x14ac:dyDescent="0.35">
      <c r="A392" t="s">
        <v>1946</v>
      </c>
      <c r="B392" s="188" t="s">
        <v>1342</v>
      </c>
      <c r="C392" t="s">
        <v>1350</v>
      </c>
      <c r="D392" s="188" t="s">
        <v>555</v>
      </c>
      <c r="E392" t="s">
        <v>1937</v>
      </c>
      <c r="F392" t="s">
        <v>1943</v>
      </c>
      <c r="G392" s="189" t="s">
        <v>1944</v>
      </c>
      <c r="H392" s="189">
        <v>0.16699999999999998</v>
      </c>
      <c r="I392" s="189">
        <v>0.16699999999999998</v>
      </c>
      <c r="J392" s="189">
        <v>0.16699999999999998</v>
      </c>
      <c r="K392" s="189">
        <v>0.16699999999999998</v>
      </c>
      <c r="L392" s="189">
        <v>0.16699999999999998</v>
      </c>
      <c r="M392" s="189">
        <v>0.16699999999999998</v>
      </c>
      <c r="N392" s="189">
        <v>0.16699999999999998</v>
      </c>
      <c r="O392" s="189">
        <v>0.16699999999999998</v>
      </c>
      <c r="P392" s="189">
        <v>0.16699999999999998</v>
      </c>
      <c r="Q392" s="189">
        <v>0.16699999999999998</v>
      </c>
      <c r="R392" s="189">
        <v>0.16699999999999998</v>
      </c>
      <c r="S392" s="189">
        <v>0.16699999999999998</v>
      </c>
      <c r="T392" s="189">
        <v>0.16699999999999998</v>
      </c>
      <c r="U392" s="189">
        <v>0.16699999999999998</v>
      </c>
      <c r="V392" s="189">
        <v>0.16699999999999998</v>
      </c>
      <c r="W392" s="189">
        <v>0.16699999999999998</v>
      </c>
      <c r="X392" s="189">
        <v>0.16699999999999998</v>
      </c>
      <c r="Y392" s="189">
        <v>0.16699999999999998</v>
      </c>
      <c r="Z392" s="189">
        <v>0.16699999999999998</v>
      </c>
      <c r="AA392" s="189">
        <v>0.16699999999999998</v>
      </c>
      <c r="AB392" s="189">
        <v>0.16699999999999998</v>
      </c>
      <c r="AC392" s="189">
        <v>0.16699999999999998</v>
      </c>
      <c r="AD392" s="189">
        <v>0.16699999999999998</v>
      </c>
      <c r="AE392" s="189">
        <v>0.16699999999999998</v>
      </c>
      <c r="AF392" s="189">
        <v>0.16699999999999998</v>
      </c>
      <c r="AG392" s="189">
        <v>0.16699999999999998</v>
      </c>
      <c r="AH392" s="189">
        <v>0.16699999999999998</v>
      </c>
      <c r="AI392" s="189">
        <v>0.16699999999999998</v>
      </c>
      <c r="AJ392" s="189">
        <v>0.16699999999999998</v>
      </c>
    </row>
    <row r="393" spans="1:36" x14ac:dyDescent="0.35">
      <c r="A393" t="s">
        <v>1947</v>
      </c>
      <c r="B393" s="188" t="s">
        <v>1342</v>
      </c>
      <c r="C393" t="s">
        <v>1343</v>
      </c>
      <c r="D393" s="188">
        <v>30</v>
      </c>
      <c r="E393" t="s">
        <v>1948</v>
      </c>
      <c r="F393" t="s">
        <v>1363</v>
      </c>
      <c r="G393" s="189" t="s">
        <v>1949</v>
      </c>
      <c r="H393" s="189">
        <v>0.33009416768362526</v>
      </c>
      <c r="I393" s="189">
        <v>0.33321530186866205</v>
      </c>
      <c r="J393" s="189">
        <v>0.33633643605369884</v>
      </c>
      <c r="K393" s="189">
        <v>0.33945757023873563</v>
      </c>
      <c r="L393" s="189">
        <v>0.34257870442377242</v>
      </c>
      <c r="M393" s="189">
        <v>0.34569983860880921</v>
      </c>
      <c r="N393" s="189">
        <v>0.348820972793846</v>
      </c>
      <c r="O393" s="189">
        <v>0.35194210697888278</v>
      </c>
      <c r="P393" s="189">
        <v>0.35506324116391957</v>
      </c>
      <c r="Q393" s="189">
        <v>0.35818437534895636</v>
      </c>
      <c r="R393" s="189">
        <v>0.36130550953399315</v>
      </c>
      <c r="S393" s="189">
        <v>0.36442664371902994</v>
      </c>
      <c r="T393" s="189">
        <v>0.36754777790406673</v>
      </c>
      <c r="U393" s="189">
        <v>0.37066891208910352</v>
      </c>
      <c r="V393" s="189">
        <v>0.37193158591707337</v>
      </c>
      <c r="W393" s="189">
        <v>0.37319425974504322</v>
      </c>
      <c r="X393" s="189">
        <v>0.37445693357301307</v>
      </c>
      <c r="Y393" s="189">
        <v>0.37571960740098292</v>
      </c>
      <c r="Z393" s="189">
        <v>0.37698228122895278</v>
      </c>
      <c r="AA393" s="189">
        <v>0.37824495505692263</v>
      </c>
      <c r="AB393" s="189">
        <v>0.37950762888489248</v>
      </c>
      <c r="AC393" s="189">
        <v>0.38077030271286233</v>
      </c>
      <c r="AD393" s="189">
        <v>0.38203297654083218</v>
      </c>
      <c r="AE393" s="189">
        <v>0.38329565036880203</v>
      </c>
      <c r="AF393" s="189">
        <v>0.38455832419677188</v>
      </c>
      <c r="AG393" s="189">
        <v>0.38582099802474173</v>
      </c>
      <c r="AH393" s="189">
        <v>0.38708367185271159</v>
      </c>
      <c r="AI393" s="189">
        <v>0.38834634568068144</v>
      </c>
      <c r="AJ393" s="189">
        <v>0.38960901950865101</v>
      </c>
    </row>
    <row r="394" spans="1:36" x14ac:dyDescent="0.35">
      <c r="A394" t="s">
        <v>1950</v>
      </c>
      <c r="B394" s="188" t="s">
        <v>1342</v>
      </c>
      <c r="C394" t="s">
        <v>1348</v>
      </c>
      <c r="D394" s="188">
        <v>30</v>
      </c>
      <c r="E394" t="s">
        <v>1948</v>
      </c>
      <c r="F394" t="s">
        <v>1363</v>
      </c>
      <c r="G394" s="189" t="s">
        <v>1949</v>
      </c>
      <c r="H394" s="189">
        <v>0.32874524248527209</v>
      </c>
      <c r="I394" s="189">
        <v>0.33051745147195571</v>
      </c>
      <c r="J394" s="189">
        <v>0.33228966045863934</v>
      </c>
      <c r="K394" s="189">
        <v>0.33406186944532296</v>
      </c>
      <c r="L394" s="189">
        <v>0.33583407843200658</v>
      </c>
      <c r="M394" s="189">
        <v>0.3376062874186902</v>
      </c>
      <c r="N394" s="189">
        <v>0.33937849640537382</v>
      </c>
      <c r="O394" s="189">
        <v>0.34115070539205744</v>
      </c>
      <c r="P394" s="189">
        <v>0.34292291437874106</v>
      </c>
      <c r="Q394" s="189">
        <v>0.34469512336542468</v>
      </c>
      <c r="R394" s="189">
        <v>0.3464673323521083</v>
      </c>
      <c r="S394" s="189">
        <v>0.34823954133879192</v>
      </c>
      <c r="T394" s="189">
        <v>0.35001175032547555</v>
      </c>
      <c r="U394" s="189">
        <v>0.35178395931215889</v>
      </c>
      <c r="V394" s="189">
        <v>0.3530429561639552</v>
      </c>
      <c r="W394" s="189">
        <v>0.35430195301575151</v>
      </c>
      <c r="X394" s="189">
        <v>0.35556094986754783</v>
      </c>
      <c r="Y394" s="189">
        <v>0.35681994671934414</v>
      </c>
      <c r="Z394" s="189">
        <v>0.35807894357114045</v>
      </c>
      <c r="AA394" s="189">
        <v>0.35933794042293676</v>
      </c>
      <c r="AB394" s="189">
        <v>0.36059693727473308</v>
      </c>
      <c r="AC394" s="189">
        <v>0.36185593412652939</v>
      </c>
      <c r="AD394" s="189">
        <v>0.3631149309783257</v>
      </c>
      <c r="AE394" s="189">
        <v>0.36437392783012201</v>
      </c>
      <c r="AF394" s="189">
        <v>0.36563292468191833</v>
      </c>
      <c r="AG394" s="189">
        <v>0.36689192153371464</v>
      </c>
      <c r="AH394" s="189">
        <v>0.36815091838551095</v>
      </c>
      <c r="AI394" s="189">
        <v>0.36940991523730726</v>
      </c>
      <c r="AJ394" s="189">
        <v>0.37066891208910352</v>
      </c>
    </row>
    <row r="395" spans="1:36" x14ac:dyDescent="0.35">
      <c r="A395" t="s">
        <v>1951</v>
      </c>
      <c r="B395" s="188" t="s">
        <v>1342</v>
      </c>
      <c r="C395" t="s">
        <v>1350</v>
      </c>
      <c r="D395" s="188">
        <v>30</v>
      </c>
      <c r="E395" t="s">
        <v>1948</v>
      </c>
      <c r="F395" t="s">
        <v>1363</v>
      </c>
      <c r="G395" s="189" t="s">
        <v>1949</v>
      </c>
      <c r="H395" s="189">
        <v>0.32697303349858847</v>
      </c>
      <c r="I395" s="189">
        <v>0.32697303349858847</v>
      </c>
      <c r="J395" s="189">
        <v>0.32697303349858847</v>
      </c>
      <c r="K395" s="189">
        <v>0.32697303349858847</v>
      </c>
      <c r="L395" s="189">
        <v>0.32697303349858847</v>
      </c>
      <c r="M395" s="189">
        <v>0.32697303349858847</v>
      </c>
      <c r="N395" s="189">
        <v>0.32697303349858847</v>
      </c>
      <c r="O395" s="189">
        <v>0.32697303349858847</v>
      </c>
      <c r="P395" s="189">
        <v>0.32697303349858847</v>
      </c>
      <c r="Q395" s="189">
        <v>0.32697303349858847</v>
      </c>
      <c r="R395" s="189">
        <v>0.32697303349858847</v>
      </c>
      <c r="S395" s="189">
        <v>0.32697303349858847</v>
      </c>
      <c r="T395" s="189">
        <v>0.32697303349858847</v>
      </c>
      <c r="U395" s="189">
        <v>0.32697303349858847</v>
      </c>
      <c r="V395" s="189">
        <v>0.32862709521949318</v>
      </c>
      <c r="W395" s="189">
        <v>0.33028115694039789</v>
      </c>
      <c r="X395" s="189">
        <v>0.3319352186613026</v>
      </c>
      <c r="Y395" s="189">
        <v>0.33358928038220731</v>
      </c>
      <c r="Z395" s="189">
        <v>0.33524334210311202</v>
      </c>
      <c r="AA395" s="189">
        <v>0.33689740382401673</v>
      </c>
      <c r="AB395" s="189">
        <v>0.33855146554492144</v>
      </c>
      <c r="AC395" s="189">
        <v>0.34020552726582615</v>
      </c>
      <c r="AD395" s="189">
        <v>0.34185958898673086</v>
      </c>
      <c r="AE395" s="189">
        <v>0.34351365070763556</v>
      </c>
      <c r="AF395" s="189">
        <v>0.34516771242854027</v>
      </c>
      <c r="AG395" s="189">
        <v>0.34682177414944498</v>
      </c>
      <c r="AH395" s="189">
        <v>0.34847583587034969</v>
      </c>
      <c r="AI395" s="189">
        <v>0.3501298975912544</v>
      </c>
      <c r="AJ395" s="189">
        <v>0.35178395931215889</v>
      </c>
    </row>
    <row r="396" spans="1:36" x14ac:dyDescent="0.35">
      <c r="A396" t="s">
        <v>1952</v>
      </c>
      <c r="B396" s="188" t="s">
        <v>1342</v>
      </c>
      <c r="C396" t="s">
        <v>1343</v>
      </c>
      <c r="D396" s="188">
        <v>30</v>
      </c>
      <c r="E396" t="s">
        <v>1948</v>
      </c>
      <c r="F396" t="s">
        <v>1345</v>
      </c>
      <c r="G396" s="189" t="s">
        <v>1953</v>
      </c>
      <c r="H396" s="189">
        <v>0.3197625906907639</v>
      </c>
      <c r="I396" s="189">
        <v>0.32275257899975052</v>
      </c>
      <c r="J396" s="189">
        <v>0.32574256730873713</v>
      </c>
      <c r="K396" s="189">
        <v>0.32873255561772374</v>
      </c>
      <c r="L396" s="189">
        <v>0.33172254392671036</v>
      </c>
      <c r="M396" s="189">
        <v>0.33471253223569697</v>
      </c>
      <c r="N396" s="189">
        <v>0.33770252054468358</v>
      </c>
      <c r="O396" s="189">
        <v>0.3406925088536702</v>
      </c>
      <c r="P396" s="189">
        <v>0.34368249716265681</v>
      </c>
      <c r="Q396" s="189">
        <v>0.34667248547164342</v>
      </c>
      <c r="R396" s="189">
        <v>0.34966247378063003</v>
      </c>
      <c r="S396" s="189">
        <v>0.35265246208961665</v>
      </c>
      <c r="T396" s="189">
        <v>0.35564245039860326</v>
      </c>
      <c r="U396" s="189">
        <v>0.35863243870758998</v>
      </c>
      <c r="V396" s="189">
        <v>0.3598815096049825</v>
      </c>
      <c r="W396" s="189">
        <v>0.36113058050237501</v>
      </c>
      <c r="X396" s="189">
        <v>0.36237965139976752</v>
      </c>
      <c r="Y396" s="189">
        <v>0.36362872229716003</v>
      </c>
      <c r="Z396" s="189">
        <v>0.36487779319455255</v>
      </c>
      <c r="AA396" s="189">
        <v>0.36612686409194506</v>
      </c>
      <c r="AB396" s="189">
        <v>0.36737593498933757</v>
      </c>
      <c r="AC396" s="189">
        <v>0.36862500588673008</v>
      </c>
      <c r="AD396" s="189">
        <v>0.3698740767841226</v>
      </c>
      <c r="AE396" s="189">
        <v>0.37112314768151511</v>
      </c>
      <c r="AF396" s="189">
        <v>0.37237221857890762</v>
      </c>
      <c r="AG396" s="189">
        <v>0.37362128947630013</v>
      </c>
      <c r="AH396" s="189">
        <v>0.37487036037369265</v>
      </c>
      <c r="AI396" s="189">
        <v>0.37611943127108516</v>
      </c>
      <c r="AJ396" s="189">
        <v>0.37736850216847756</v>
      </c>
    </row>
    <row r="397" spans="1:36" x14ac:dyDescent="0.35">
      <c r="A397" t="s">
        <v>1954</v>
      </c>
      <c r="B397" s="188" t="s">
        <v>1342</v>
      </c>
      <c r="C397" t="s">
        <v>1348</v>
      </c>
      <c r="D397" s="188">
        <v>30</v>
      </c>
      <c r="E397" t="s">
        <v>1948</v>
      </c>
      <c r="F397" t="s">
        <v>1345</v>
      </c>
      <c r="G397" s="189" t="s">
        <v>1953</v>
      </c>
      <c r="H397" s="189">
        <v>0.31846519806167883</v>
      </c>
      <c r="I397" s="189">
        <v>0.32015779374158038</v>
      </c>
      <c r="J397" s="189">
        <v>0.32185038942148192</v>
      </c>
      <c r="K397" s="189">
        <v>0.32354298510138346</v>
      </c>
      <c r="L397" s="189">
        <v>0.32523558078128501</v>
      </c>
      <c r="M397" s="189">
        <v>0.32692817646118655</v>
      </c>
      <c r="N397" s="189">
        <v>0.32862077214108809</v>
      </c>
      <c r="O397" s="189">
        <v>0.33031336782098963</v>
      </c>
      <c r="P397" s="189">
        <v>0.33200596350089118</v>
      </c>
      <c r="Q397" s="189">
        <v>0.33369855918079272</v>
      </c>
      <c r="R397" s="189">
        <v>0.33539115486069426</v>
      </c>
      <c r="S397" s="189">
        <v>0.33708375054059581</v>
      </c>
      <c r="T397" s="189">
        <v>0.33877634622049735</v>
      </c>
      <c r="U397" s="189">
        <v>0.34046894190039917</v>
      </c>
      <c r="V397" s="189">
        <v>0.34167984168754523</v>
      </c>
      <c r="W397" s="189">
        <v>0.34289074147469129</v>
      </c>
      <c r="X397" s="189">
        <v>0.34410164126183734</v>
      </c>
      <c r="Y397" s="189">
        <v>0.3453125410489834</v>
      </c>
      <c r="Z397" s="189">
        <v>0.34652344083612946</v>
      </c>
      <c r="AA397" s="189">
        <v>0.34773434062327552</v>
      </c>
      <c r="AB397" s="189">
        <v>0.34894524041042158</v>
      </c>
      <c r="AC397" s="189">
        <v>0.35015614019756763</v>
      </c>
      <c r="AD397" s="189">
        <v>0.35136703998471369</v>
      </c>
      <c r="AE397" s="189">
        <v>0.35257793977185975</v>
      </c>
      <c r="AF397" s="189">
        <v>0.35378883955900581</v>
      </c>
      <c r="AG397" s="189">
        <v>0.35499973934615187</v>
      </c>
      <c r="AH397" s="189">
        <v>0.35621063913329792</v>
      </c>
      <c r="AI397" s="189">
        <v>0.35742153892044398</v>
      </c>
      <c r="AJ397" s="189">
        <v>0.35863243870758998</v>
      </c>
    </row>
    <row r="398" spans="1:36" x14ac:dyDescent="0.35">
      <c r="A398" t="s">
        <v>1955</v>
      </c>
      <c r="B398" s="188" t="s">
        <v>1342</v>
      </c>
      <c r="C398" t="s">
        <v>1350</v>
      </c>
      <c r="D398" s="188">
        <v>30</v>
      </c>
      <c r="E398" t="s">
        <v>1948</v>
      </c>
      <c r="F398" t="s">
        <v>1345</v>
      </c>
      <c r="G398" s="189" t="s">
        <v>1953</v>
      </c>
      <c r="H398" s="189">
        <v>0.31677260238177729</v>
      </c>
      <c r="I398" s="189">
        <v>0.31677260238177729</v>
      </c>
      <c r="J398" s="189">
        <v>0.31677260238177729</v>
      </c>
      <c r="K398" s="189">
        <v>0.31677260238177729</v>
      </c>
      <c r="L398" s="189">
        <v>0.31677260238177729</v>
      </c>
      <c r="M398" s="189">
        <v>0.31677260238177729</v>
      </c>
      <c r="N398" s="189">
        <v>0.31677260238177729</v>
      </c>
      <c r="O398" s="189">
        <v>0.31677260238177729</v>
      </c>
      <c r="P398" s="189">
        <v>0.31677260238177729</v>
      </c>
      <c r="Q398" s="189">
        <v>0.31677260238177729</v>
      </c>
      <c r="R398" s="189">
        <v>0.31677260238177729</v>
      </c>
      <c r="S398" s="189">
        <v>0.31677260238177729</v>
      </c>
      <c r="T398" s="189">
        <v>0.31677260238177729</v>
      </c>
      <c r="U398" s="189">
        <v>0.31677260238177729</v>
      </c>
      <c r="V398" s="189">
        <v>0.31835235834968539</v>
      </c>
      <c r="W398" s="189">
        <v>0.3199321143175935</v>
      </c>
      <c r="X398" s="189">
        <v>0.3215118702855016</v>
      </c>
      <c r="Y398" s="189">
        <v>0.3230916262534097</v>
      </c>
      <c r="Z398" s="189">
        <v>0.32467138222131781</v>
      </c>
      <c r="AA398" s="189">
        <v>0.32625113818922591</v>
      </c>
      <c r="AB398" s="189">
        <v>0.32783089415713401</v>
      </c>
      <c r="AC398" s="189">
        <v>0.32941065012504211</v>
      </c>
      <c r="AD398" s="189">
        <v>0.33099040609295022</v>
      </c>
      <c r="AE398" s="189">
        <v>0.33257016206085832</v>
      </c>
      <c r="AF398" s="189">
        <v>0.33414991802876642</v>
      </c>
      <c r="AG398" s="189">
        <v>0.33572967399667453</v>
      </c>
      <c r="AH398" s="189">
        <v>0.33730942996458263</v>
      </c>
      <c r="AI398" s="189">
        <v>0.33888918593249073</v>
      </c>
      <c r="AJ398" s="189">
        <v>0.34046894190039917</v>
      </c>
    </row>
    <row r="399" spans="1:36" x14ac:dyDescent="0.35">
      <c r="A399" t="s">
        <v>1956</v>
      </c>
      <c r="B399" s="188" t="s">
        <v>1342</v>
      </c>
      <c r="C399" t="s">
        <v>1343</v>
      </c>
      <c r="D399" s="188">
        <v>30</v>
      </c>
      <c r="E399" t="s">
        <v>1948</v>
      </c>
      <c r="F399" t="s">
        <v>1352</v>
      </c>
      <c r="G399" s="189" t="s">
        <v>1957</v>
      </c>
      <c r="H399" s="189">
        <v>0.30531753966068842</v>
      </c>
      <c r="I399" s="189">
        <v>0.30830302806529469</v>
      </c>
      <c r="J399" s="189">
        <v>0.31128851646990097</v>
      </c>
      <c r="K399" s="189">
        <v>0.31427400487450724</v>
      </c>
      <c r="L399" s="189">
        <v>0.31725949327911351</v>
      </c>
      <c r="M399" s="189">
        <v>0.32024498168371979</v>
      </c>
      <c r="N399" s="189">
        <v>0.32323047008832606</v>
      </c>
      <c r="O399" s="189">
        <v>0.32621595849293233</v>
      </c>
      <c r="P399" s="189">
        <v>0.32920144689753861</v>
      </c>
      <c r="Q399" s="189">
        <v>0.33218693530214488</v>
      </c>
      <c r="R399" s="189">
        <v>0.33517242370675115</v>
      </c>
      <c r="S399" s="189">
        <v>0.33815791211135743</v>
      </c>
      <c r="T399" s="189">
        <v>0.3411434005159637</v>
      </c>
      <c r="U399" s="189">
        <v>0.34412888892056986</v>
      </c>
      <c r="V399" s="189">
        <v>0.34518961904704143</v>
      </c>
      <c r="W399" s="189">
        <v>0.34625034917351299</v>
      </c>
      <c r="X399" s="189">
        <v>0.34731107929998456</v>
      </c>
      <c r="Y399" s="189">
        <v>0.34837180942645612</v>
      </c>
      <c r="Z399" s="189">
        <v>0.34943253955292769</v>
      </c>
      <c r="AA399" s="189">
        <v>0.35049326967939926</v>
      </c>
      <c r="AB399" s="189">
        <v>0.35155399980587082</v>
      </c>
      <c r="AC399" s="189">
        <v>0.35261472993234239</v>
      </c>
      <c r="AD399" s="189">
        <v>0.35367546005881395</v>
      </c>
      <c r="AE399" s="189">
        <v>0.35473619018528552</v>
      </c>
      <c r="AF399" s="189">
        <v>0.35579692031175708</v>
      </c>
      <c r="AG399" s="189">
        <v>0.35685765043822865</v>
      </c>
      <c r="AH399" s="189">
        <v>0.35791838056470021</v>
      </c>
      <c r="AI399" s="189">
        <v>0.35897911069117178</v>
      </c>
      <c r="AJ399" s="189">
        <v>0.3600398408176434</v>
      </c>
    </row>
    <row r="400" spans="1:36" x14ac:dyDescent="0.35">
      <c r="A400" t="s">
        <v>1958</v>
      </c>
      <c r="B400" s="188" t="s">
        <v>1342</v>
      </c>
      <c r="C400" t="s">
        <v>1348</v>
      </c>
      <c r="D400" s="188">
        <v>30</v>
      </c>
      <c r="E400" t="s">
        <v>1948</v>
      </c>
      <c r="F400" t="s">
        <v>1352</v>
      </c>
      <c r="G400" s="189" t="s">
        <v>1957</v>
      </c>
      <c r="H400" s="189">
        <v>0.30403798493386069</v>
      </c>
      <c r="I400" s="189">
        <v>0.30574391861163924</v>
      </c>
      <c r="J400" s="189">
        <v>0.30744985228941779</v>
      </c>
      <c r="K400" s="189">
        <v>0.30915578596719634</v>
      </c>
      <c r="L400" s="189">
        <v>0.31086171964497489</v>
      </c>
      <c r="M400" s="189">
        <v>0.31256765332275344</v>
      </c>
      <c r="N400" s="189">
        <v>0.31427358700053198</v>
      </c>
      <c r="O400" s="189">
        <v>0.31597952067831053</v>
      </c>
      <c r="P400" s="189">
        <v>0.31768545435608908</v>
      </c>
      <c r="Q400" s="189">
        <v>0.31939138803386763</v>
      </c>
      <c r="R400" s="189">
        <v>0.32109732171164618</v>
      </c>
      <c r="S400" s="189">
        <v>0.32280325538942473</v>
      </c>
      <c r="T400" s="189">
        <v>0.32450918906720327</v>
      </c>
      <c r="U400" s="189">
        <v>0.32621512274498154</v>
      </c>
      <c r="V400" s="189">
        <v>0.32740937382335411</v>
      </c>
      <c r="W400" s="189">
        <v>0.32860362490172668</v>
      </c>
      <c r="X400" s="189">
        <v>0.32979787598009924</v>
      </c>
      <c r="Y400" s="189">
        <v>0.33099212705847181</v>
      </c>
      <c r="Z400" s="189">
        <v>0.33218637813684437</v>
      </c>
      <c r="AA400" s="189">
        <v>0.33338062921521694</v>
      </c>
      <c r="AB400" s="189">
        <v>0.3345748802935895</v>
      </c>
      <c r="AC400" s="189">
        <v>0.33576913137196207</v>
      </c>
      <c r="AD400" s="189">
        <v>0.33696338245033464</v>
      </c>
      <c r="AE400" s="189">
        <v>0.3381576335287072</v>
      </c>
      <c r="AF400" s="189">
        <v>0.33935188460707977</v>
      </c>
      <c r="AG400" s="189">
        <v>0.34054613568545233</v>
      </c>
      <c r="AH400" s="189">
        <v>0.3417403867638249</v>
      </c>
      <c r="AI400" s="189">
        <v>0.34293463784219747</v>
      </c>
      <c r="AJ400" s="189">
        <v>0.34412888892056986</v>
      </c>
    </row>
    <row r="401" spans="1:36" x14ac:dyDescent="0.35">
      <c r="A401" t="s">
        <v>1959</v>
      </c>
      <c r="B401" s="188" t="s">
        <v>1342</v>
      </c>
      <c r="C401" t="s">
        <v>1350</v>
      </c>
      <c r="D401" s="188">
        <v>30</v>
      </c>
      <c r="E401" t="s">
        <v>1948</v>
      </c>
      <c r="F401" t="s">
        <v>1352</v>
      </c>
      <c r="G401" s="189" t="s">
        <v>1957</v>
      </c>
      <c r="H401" s="189">
        <v>0.30233205125608215</v>
      </c>
      <c r="I401" s="189">
        <v>0.30233205125608215</v>
      </c>
      <c r="J401" s="189">
        <v>0.30233205125608215</v>
      </c>
      <c r="K401" s="189">
        <v>0.30233205125608215</v>
      </c>
      <c r="L401" s="189">
        <v>0.30233205125608215</v>
      </c>
      <c r="M401" s="189">
        <v>0.30233205125608215</v>
      </c>
      <c r="N401" s="189">
        <v>0.30233205125608215</v>
      </c>
      <c r="O401" s="189">
        <v>0.30233205125608215</v>
      </c>
      <c r="P401" s="189">
        <v>0.30233205125608215</v>
      </c>
      <c r="Q401" s="189">
        <v>0.30233205125608215</v>
      </c>
      <c r="R401" s="189">
        <v>0.30233205125608215</v>
      </c>
      <c r="S401" s="189">
        <v>0.30233205125608215</v>
      </c>
      <c r="T401" s="189">
        <v>0.30233205125608215</v>
      </c>
      <c r="U401" s="189">
        <v>0.30233205125608215</v>
      </c>
      <c r="V401" s="189">
        <v>0.30392425602200879</v>
      </c>
      <c r="W401" s="189">
        <v>0.30551646078793543</v>
      </c>
      <c r="X401" s="189">
        <v>0.30710866555386207</v>
      </c>
      <c r="Y401" s="189">
        <v>0.30870087031978871</v>
      </c>
      <c r="Z401" s="189">
        <v>0.31029307508571535</v>
      </c>
      <c r="AA401" s="189">
        <v>0.31188527985164199</v>
      </c>
      <c r="AB401" s="189">
        <v>0.31347748461756864</v>
      </c>
      <c r="AC401" s="189">
        <v>0.31506968938349528</v>
      </c>
      <c r="AD401" s="189">
        <v>0.31666189414942192</v>
      </c>
      <c r="AE401" s="189">
        <v>0.31825409891534856</v>
      </c>
      <c r="AF401" s="189">
        <v>0.3198463036812752</v>
      </c>
      <c r="AG401" s="189">
        <v>0.32143850844720184</v>
      </c>
      <c r="AH401" s="189">
        <v>0.32303071321312848</v>
      </c>
      <c r="AI401" s="189">
        <v>0.32462291797905513</v>
      </c>
      <c r="AJ401" s="189">
        <v>0.32621512274498154</v>
      </c>
    </row>
    <row r="402" spans="1:36" x14ac:dyDescent="0.35">
      <c r="A402" t="s">
        <v>1960</v>
      </c>
      <c r="B402" s="188" t="s">
        <v>1342</v>
      </c>
      <c r="C402" t="s">
        <v>1343</v>
      </c>
      <c r="D402" s="188">
        <v>30</v>
      </c>
      <c r="E402" t="s">
        <v>1948</v>
      </c>
      <c r="F402" t="s">
        <v>1376</v>
      </c>
      <c r="G402" s="189" t="s">
        <v>1961</v>
      </c>
      <c r="H402" s="189">
        <v>0.29144932921540401</v>
      </c>
      <c r="I402" s="189">
        <v>0.29439811752415929</v>
      </c>
      <c r="J402" s="189">
        <v>0.29734690583291457</v>
      </c>
      <c r="K402" s="189">
        <v>0.30029569414166984</v>
      </c>
      <c r="L402" s="189">
        <v>0.30324448245042512</v>
      </c>
      <c r="M402" s="189">
        <v>0.3061932707591804</v>
      </c>
      <c r="N402" s="189">
        <v>0.30914205906793568</v>
      </c>
      <c r="O402" s="189">
        <v>0.31209084737669096</v>
      </c>
      <c r="P402" s="189">
        <v>0.31503963568544624</v>
      </c>
      <c r="Q402" s="189">
        <v>0.31798842399420152</v>
      </c>
      <c r="R402" s="189">
        <v>0.3209372123029568</v>
      </c>
      <c r="S402" s="189">
        <v>0.32388600061171208</v>
      </c>
      <c r="T402" s="189">
        <v>0.32683478892046736</v>
      </c>
      <c r="U402" s="189">
        <v>0.32978357722922286</v>
      </c>
      <c r="V402" s="189">
        <v>0.33069414064049624</v>
      </c>
      <c r="W402" s="189">
        <v>0.33160470405176962</v>
      </c>
      <c r="X402" s="189">
        <v>0.332515267463043</v>
      </c>
      <c r="Y402" s="189">
        <v>0.33342583087431638</v>
      </c>
      <c r="Z402" s="189">
        <v>0.33433639428558976</v>
      </c>
      <c r="AA402" s="189">
        <v>0.33524695769686313</v>
      </c>
      <c r="AB402" s="189">
        <v>0.33615752110813651</v>
      </c>
      <c r="AC402" s="189">
        <v>0.33706808451940989</v>
      </c>
      <c r="AD402" s="189">
        <v>0.33797864793068327</v>
      </c>
      <c r="AE402" s="189">
        <v>0.33888921134195665</v>
      </c>
      <c r="AF402" s="189">
        <v>0.33979977475323003</v>
      </c>
      <c r="AG402" s="189">
        <v>0.34071033816450341</v>
      </c>
      <c r="AH402" s="189">
        <v>0.34162090157577679</v>
      </c>
      <c r="AI402" s="189">
        <v>0.34253146498705017</v>
      </c>
      <c r="AJ402" s="189">
        <v>0.34344202839832327</v>
      </c>
    </row>
    <row r="403" spans="1:36" x14ac:dyDescent="0.35">
      <c r="A403" t="s">
        <v>1962</v>
      </c>
      <c r="B403" s="188" t="s">
        <v>1342</v>
      </c>
      <c r="C403" t="s">
        <v>1348</v>
      </c>
      <c r="D403" s="188">
        <v>30</v>
      </c>
      <c r="E403" t="s">
        <v>1948</v>
      </c>
      <c r="F403" t="s">
        <v>1376</v>
      </c>
      <c r="G403" s="189" t="s">
        <v>1961</v>
      </c>
      <c r="H403" s="189">
        <v>0.29019600486675634</v>
      </c>
      <c r="I403" s="189">
        <v>0.29189146882686395</v>
      </c>
      <c r="J403" s="189">
        <v>0.29358693278697157</v>
      </c>
      <c r="K403" s="189">
        <v>0.29528239674707918</v>
      </c>
      <c r="L403" s="189">
        <v>0.29697786070718679</v>
      </c>
      <c r="M403" s="189">
        <v>0.2986733246672944</v>
      </c>
      <c r="N403" s="189">
        <v>0.30036878862740202</v>
      </c>
      <c r="O403" s="189">
        <v>0.30206425258750963</v>
      </c>
      <c r="P403" s="189">
        <v>0.30375971654761724</v>
      </c>
      <c r="Q403" s="189">
        <v>0.30545518050772485</v>
      </c>
      <c r="R403" s="189">
        <v>0.30715064446783247</v>
      </c>
      <c r="S403" s="189">
        <v>0.30884610842794008</v>
      </c>
      <c r="T403" s="189">
        <v>0.31054157238804769</v>
      </c>
      <c r="U403" s="189">
        <v>0.31223703634815564</v>
      </c>
      <c r="V403" s="189">
        <v>0.31340680574022678</v>
      </c>
      <c r="W403" s="189">
        <v>0.31457657513229792</v>
      </c>
      <c r="X403" s="189">
        <v>0.31574634452436906</v>
      </c>
      <c r="Y403" s="189">
        <v>0.3169161139164402</v>
      </c>
      <c r="Z403" s="189">
        <v>0.31808588330851134</v>
      </c>
      <c r="AA403" s="189">
        <v>0.31925565270058248</v>
      </c>
      <c r="AB403" s="189">
        <v>0.32042542209265362</v>
      </c>
      <c r="AC403" s="189">
        <v>0.32159519148472476</v>
      </c>
      <c r="AD403" s="189">
        <v>0.3227649608767959</v>
      </c>
      <c r="AE403" s="189">
        <v>0.32393473026886704</v>
      </c>
      <c r="AF403" s="189">
        <v>0.32510449966093818</v>
      </c>
      <c r="AG403" s="189">
        <v>0.32627426905300932</v>
      </c>
      <c r="AH403" s="189">
        <v>0.32744403844508047</v>
      </c>
      <c r="AI403" s="189">
        <v>0.32861380783715161</v>
      </c>
      <c r="AJ403" s="189">
        <v>0.32978357722922286</v>
      </c>
    </row>
    <row r="404" spans="1:36" x14ac:dyDescent="0.35">
      <c r="A404" t="s">
        <v>1963</v>
      </c>
      <c r="B404" s="188" t="s">
        <v>1342</v>
      </c>
      <c r="C404" t="s">
        <v>1350</v>
      </c>
      <c r="D404" s="188">
        <v>30</v>
      </c>
      <c r="E404" t="s">
        <v>1948</v>
      </c>
      <c r="F404" t="s">
        <v>1376</v>
      </c>
      <c r="G404" s="189" t="s">
        <v>1961</v>
      </c>
      <c r="H404" s="189">
        <v>0.28850054090664873</v>
      </c>
      <c r="I404" s="189">
        <v>0.28850054090664873</v>
      </c>
      <c r="J404" s="189">
        <v>0.28850054090664873</v>
      </c>
      <c r="K404" s="189">
        <v>0.28850054090664873</v>
      </c>
      <c r="L404" s="189">
        <v>0.28850054090664873</v>
      </c>
      <c r="M404" s="189">
        <v>0.28850054090664873</v>
      </c>
      <c r="N404" s="189">
        <v>0.28850054090664873</v>
      </c>
      <c r="O404" s="189">
        <v>0.28850054090664873</v>
      </c>
      <c r="P404" s="189">
        <v>0.28850054090664873</v>
      </c>
      <c r="Q404" s="189">
        <v>0.28850054090664873</v>
      </c>
      <c r="R404" s="189">
        <v>0.28850054090664873</v>
      </c>
      <c r="S404" s="189">
        <v>0.28850054090664873</v>
      </c>
      <c r="T404" s="189">
        <v>0.28850054090664873</v>
      </c>
      <c r="U404" s="189">
        <v>0.28850054090664873</v>
      </c>
      <c r="V404" s="189">
        <v>0.29008297393608251</v>
      </c>
      <c r="W404" s="189">
        <v>0.29166540696551629</v>
      </c>
      <c r="X404" s="189">
        <v>0.29324783999495008</v>
      </c>
      <c r="Y404" s="189">
        <v>0.29483027302438386</v>
      </c>
      <c r="Z404" s="189">
        <v>0.29641270605381764</v>
      </c>
      <c r="AA404" s="189">
        <v>0.29799513908325143</v>
      </c>
      <c r="AB404" s="189">
        <v>0.29957757211268521</v>
      </c>
      <c r="AC404" s="189">
        <v>0.30116000514211899</v>
      </c>
      <c r="AD404" s="189">
        <v>0.30274243817155277</v>
      </c>
      <c r="AE404" s="189">
        <v>0.30432487120098656</v>
      </c>
      <c r="AF404" s="189">
        <v>0.30590730423042034</v>
      </c>
      <c r="AG404" s="189">
        <v>0.30748973725985412</v>
      </c>
      <c r="AH404" s="189">
        <v>0.30907217028928791</v>
      </c>
      <c r="AI404" s="189">
        <v>0.31065460331872169</v>
      </c>
      <c r="AJ404" s="189">
        <v>0.31223703634815564</v>
      </c>
    </row>
    <row r="405" spans="1:36" x14ac:dyDescent="0.35">
      <c r="A405" t="s">
        <v>1964</v>
      </c>
      <c r="B405" s="188" t="s">
        <v>1342</v>
      </c>
      <c r="C405" t="s">
        <v>1343</v>
      </c>
      <c r="D405" s="188">
        <v>30</v>
      </c>
      <c r="E405" t="s">
        <v>1948</v>
      </c>
      <c r="F405" t="s">
        <v>1381</v>
      </c>
      <c r="G405" s="189" t="s">
        <v>1965</v>
      </c>
      <c r="H405" s="189">
        <v>0.27760042560106329</v>
      </c>
      <c r="I405" s="189">
        <v>0.28046780021134976</v>
      </c>
      <c r="J405" s="189">
        <v>0.28333517482163623</v>
      </c>
      <c r="K405" s="189">
        <v>0.28620254943192269</v>
      </c>
      <c r="L405" s="189">
        <v>0.28906992404220916</v>
      </c>
      <c r="M405" s="189">
        <v>0.29193729865249562</v>
      </c>
      <c r="N405" s="189">
        <v>0.29480467326278209</v>
      </c>
      <c r="O405" s="189">
        <v>0.29767204787306856</v>
      </c>
      <c r="P405" s="189">
        <v>0.30053942248335502</v>
      </c>
      <c r="Q405" s="189">
        <v>0.30340679709364149</v>
      </c>
      <c r="R405" s="189">
        <v>0.30627417170392796</v>
      </c>
      <c r="S405" s="189">
        <v>0.30914154631421442</v>
      </c>
      <c r="T405" s="189">
        <v>0.31200892092450089</v>
      </c>
      <c r="U405" s="189">
        <v>0.3148762955347873</v>
      </c>
      <c r="V405" s="189">
        <v>0.31567927853241995</v>
      </c>
      <c r="W405" s="189">
        <v>0.3164822615300526</v>
      </c>
      <c r="X405" s="189">
        <v>0.31728524452768525</v>
      </c>
      <c r="Y405" s="189">
        <v>0.3180882275253179</v>
      </c>
      <c r="Z405" s="189">
        <v>0.31889121052295055</v>
      </c>
      <c r="AA405" s="189">
        <v>0.3196941935205832</v>
      </c>
      <c r="AB405" s="189">
        <v>0.32049717651821585</v>
      </c>
      <c r="AC405" s="189">
        <v>0.3213001595158485</v>
      </c>
      <c r="AD405" s="189">
        <v>0.32210314251348116</v>
      </c>
      <c r="AE405" s="189">
        <v>0.32290612551111381</v>
      </c>
      <c r="AF405" s="189">
        <v>0.32370910850874646</v>
      </c>
      <c r="AG405" s="189">
        <v>0.32451209150637911</v>
      </c>
      <c r="AH405" s="189">
        <v>0.32531507450401176</v>
      </c>
      <c r="AI405" s="189">
        <v>0.32611805750164441</v>
      </c>
      <c r="AJ405" s="189">
        <v>0.326921040499277</v>
      </c>
    </row>
    <row r="406" spans="1:36" x14ac:dyDescent="0.35">
      <c r="A406" t="s">
        <v>1966</v>
      </c>
      <c r="B406" s="188" t="s">
        <v>1342</v>
      </c>
      <c r="C406" t="s">
        <v>1348</v>
      </c>
      <c r="D406" s="188">
        <v>30</v>
      </c>
      <c r="E406" t="s">
        <v>1948</v>
      </c>
      <c r="F406" t="s">
        <v>1381</v>
      </c>
      <c r="G406" s="189" t="s">
        <v>1965</v>
      </c>
      <c r="H406" s="189">
        <v>0.27638273988603862</v>
      </c>
      <c r="I406" s="189">
        <v>0.27803242878130041</v>
      </c>
      <c r="J406" s="189">
        <v>0.2796821176765622</v>
      </c>
      <c r="K406" s="189">
        <v>0.28133180657182399</v>
      </c>
      <c r="L406" s="189">
        <v>0.28298149546708579</v>
      </c>
      <c r="M406" s="189">
        <v>0.28463118436234758</v>
      </c>
      <c r="N406" s="189">
        <v>0.28628087325760937</v>
      </c>
      <c r="O406" s="189">
        <v>0.28793056215287116</v>
      </c>
      <c r="P406" s="189">
        <v>0.28958025104813295</v>
      </c>
      <c r="Q406" s="189">
        <v>0.29122993994339474</v>
      </c>
      <c r="R406" s="189">
        <v>0.29287962883865654</v>
      </c>
      <c r="S406" s="189">
        <v>0.29452931773391833</v>
      </c>
      <c r="T406" s="189">
        <v>0.29617900662918012</v>
      </c>
      <c r="U406" s="189">
        <v>0.29782869552444219</v>
      </c>
      <c r="V406" s="189">
        <v>0.29896520219179851</v>
      </c>
      <c r="W406" s="189">
        <v>0.30010170885915483</v>
      </c>
      <c r="X406" s="189">
        <v>0.30123821552651114</v>
      </c>
      <c r="Y406" s="189">
        <v>0.30237472219386746</v>
      </c>
      <c r="Z406" s="189">
        <v>0.30351122886122378</v>
      </c>
      <c r="AA406" s="189">
        <v>0.3046477355285801</v>
      </c>
      <c r="AB406" s="189">
        <v>0.30578424219593642</v>
      </c>
      <c r="AC406" s="189">
        <v>0.30692074886329274</v>
      </c>
      <c r="AD406" s="189">
        <v>0.30805725553064905</v>
      </c>
      <c r="AE406" s="189">
        <v>0.30919376219800537</v>
      </c>
      <c r="AF406" s="189">
        <v>0.31033026886536169</v>
      </c>
      <c r="AG406" s="189">
        <v>0.31146677553271801</v>
      </c>
      <c r="AH406" s="189">
        <v>0.31260328220007433</v>
      </c>
      <c r="AI406" s="189">
        <v>0.31373978886743065</v>
      </c>
      <c r="AJ406" s="189">
        <v>0.3148762955347873</v>
      </c>
    </row>
    <row r="407" spans="1:36" x14ac:dyDescent="0.35">
      <c r="A407" t="s">
        <v>1967</v>
      </c>
      <c r="B407" s="188" t="s">
        <v>1342</v>
      </c>
      <c r="C407" t="s">
        <v>1350</v>
      </c>
      <c r="D407" s="188">
        <v>30</v>
      </c>
      <c r="E407" t="s">
        <v>1948</v>
      </c>
      <c r="F407" t="s">
        <v>1381</v>
      </c>
      <c r="G407" s="189" t="s">
        <v>1965</v>
      </c>
      <c r="H407" s="189">
        <v>0.27473305099077683</v>
      </c>
      <c r="I407" s="189">
        <v>0.27473305099077683</v>
      </c>
      <c r="J407" s="189">
        <v>0.27473305099077683</v>
      </c>
      <c r="K407" s="189">
        <v>0.27473305099077683</v>
      </c>
      <c r="L407" s="189">
        <v>0.27473305099077683</v>
      </c>
      <c r="M407" s="189">
        <v>0.27473305099077683</v>
      </c>
      <c r="N407" s="189">
        <v>0.27473305099077683</v>
      </c>
      <c r="O407" s="189">
        <v>0.27473305099077683</v>
      </c>
      <c r="P407" s="189">
        <v>0.27473305099077683</v>
      </c>
      <c r="Q407" s="189">
        <v>0.27473305099077683</v>
      </c>
      <c r="R407" s="189">
        <v>0.27473305099077683</v>
      </c>
      <c r="S407" s="189">
        <v>0.27473305099077683</v>
      </c>
      <c r="T407" s="189">
        <v>0.27473305099077683</v>
      </c>
      <c r="U407" s="189">
        <v>0.27473305099077683</v>
      </c>
      <c r="V407" s="189">
        <v>0.27627276062635453</v>
      </c>
      <c r="W407" s="189">
        <v>0.27781247026193223</v>
      </c>
      <c r="X407" s="189">
        <v>0.27935217989750993</v>
      </c>
      <c r="Y407" s="189">
        <v>0.28089188953308764</v>
      </c>
      <c r="Z407" s="189">
        <v>0.28243159916866534</v>
      </c>
      <c r="AA407" s="189">
        <v>0.28397130880424304</v>
      </c>
      <c r="AB407" s="189">
        <v>0.28551101843982074</v>
      </c>
      <c r="AC407" s="189">
        <v>0.28705072807539844</v>
      </c>
      <c r="AD407" s="189">
        <v>0.28859043771097614</v>
      </c>
      <c r="AE407" s="189">
        <v>0.29013014734655385</v>
      </c>
      <c r="AF407" s="189">
        <v>0.29166985698213155</v>
      </c>
      <c r="AG407" s="189">
        <v>0.29320956661770925</v>
      </c>
      <c r="AH407" s="189">
        <v>0.29474927625328695</v>
      </c>
      <c r="AI407" s="189">
        <v>0.29628898588886465</v>
      </c>
      <c r="AJ407" s="189">
        <v>0.29782869552444219</v>
      </c>
    </row>
    <row r="408" spans="1:36" x14ac:dyDescent="0.35">
      <c r="A408" t="s">
        <v>1968</v>
      </c>
      <c r="B408" s="188" t="s">
        <v>1342</v>
      </c>
      <c r="C408" t="s">
        <v>1343</v>
      </c>
      <c r="D408" s="188">
        <v>30</v>
      </c>
      <c r="E408" t="s">
        <v>1948</v>
      </c>
      <c r="F408" t="s">
        <v>1386</v>
      </c>
      <c r="G408" s="189" t="s">
        <v>1969</v>
      </c>
      <c r="H408" s="189">
        <v>0.26396106784407125</v>
      </c>
      <c r="I408" s="189">
        <v>0.26674809597836113</v>
      </c>
      <c r="J408" s="189">
        <v>0.26953512411265101</v>
      </c>
      <c r="K408" s="189">
        <v>0.2723221522469409</v>
      </c>
      <c r="L408" s="189">
        <v>0.27510918038123078</v>
      </c>
      <c r="M408" s="189">
        <v>0.27789620851552066</v>
      </c>
      <c r="N408" s="189">
        <v>0.28068323664981054</v>
      </c>
      <c r="O408" s="189">
        <v>0.28347026478410042</v>
      </c>
      <c r="P408" s="189">
        <v>0.2862572929183903</v>
      </c>
      <c r="Q408" s="189">
        <v>0.28904432105268019</v>
      </c>
      <c r="R408" s="189">
        <v>0.29183134918697007</v>
      </c>
      <c r="S408" s="189">
        <v>0.29461837732125995</v>
      </c>
      <c r="T408" s="189">
        <v>0.29740540545554983</v>
      </c>
      <c r="U408" s="189">
        <v>0.30019243358983971</v>
      </c>
      <c r="V408" s="189">
        <v>0.3008896198146559</v>
      </c>
      <c r="W408" s="189">
        <v>0.30158680603947208</v>
      </c>
      <c r="X408" s="189">
        <v>0.30228399226428826</v>
      </c>
      <c r="Y408" s="189">
        <v>0.30298117848910444</v>
      </c>
      <c r="Z408" s="189">
        <v>0.30367836471392062</v>
      </c>
      <c r="AA408" s="189">
        <v>0.30437555093873681</v>
      </c>
      <c r="AB408" s="189">
        <v>0.30507273716355299</v>
      </c>
      <c r="AC408" s="189">
        <v>0.30576992338836917</v>
      </c>
      <c r="AD408" s="189">
        <v>0.30646710961318535</v>
      </c>
      <c r="AE408" s="189">
        <v>0.30716429583800153</v>
      </c>
      <c r="AF408" s="189">
        <v>0.30786148206281772</v>
      </c>
      <c r="AG408" s="189">
        <v>0.3085586682876339</v>
      </c>
      <c r="AH408" s="189">
        <v>0.30925585451245008</v>
      </c>
      <c r="AI408" s="189">
        <v>0.30995304073726626</v>
      </c>
      <c r="AJ408" s="189">
        <v>0.3106502269620825</v>
      </c>
    </row>
    <row r="409" spans="1:36" x14ac:dyDescent="0.35">
      <c r="A409" t="s">
        <v>1970</v>
      </c>
      <c r="B409" s="188" t="s">
        <v>1342</v>
      </c>
      <c r="C409" t="s">
        <v>1348</v>
      </c>
      <c r="D409" s="188">
        <v>30</v>
      </c>
      <c r="E409" t="s">
        <v>1948</v>
      </c>
      <c r="F409" t="s">
        <v>1386</v>
      </c>
      <c r="G409" s="189" t="s">
        <v>1969</v>
      </c>
      <c r="H409" s="189">
        <v>0.26277819875842318</v>
      </c>
      <c r="I409" s="189">
        <v>0.26438235780706493</v>
      </c>
      <c r="J409" s="189">
        <v>0.26598651685570668</v>
      </c>
      <c r="K409" s="189">
        <v>0.26759067590434843</v>
      </c>
      <c r="L409" s="189">
        <v>0.26919483495299018</v>
      </c>
      <c r="M409" s="189">
        <v>0.27079899400163193</v>
      </c>
      <c r="N409" s="189">
        <v>0.27240315305027368</v>
      </c>
      <c r="O409" s="189">
        <v>0.27400731209891543</v>
      </c>
      <c r="P409" s="189">
        <v>0.27561147114755719</v>
      </c>
      <c r="Q409" s="189">
        <v>0.27721563019619894</v>
      </c>
      <c r="R409" s="189">
        <v>0.27881978924484069</v>
      </c>
      <c r="S409" s="189">
        <v>0.28042394829348244</v>
      </c>
      <c r="T409" s="189">
        <v>0.28202810734212419</v>
      </c>
      <c r="U409" s="189">
        <v>0.283632266390766</v>
      </c>
      <c r="V409" s="189">
        <v>0.28473627753737091</v>
      </c>
      <c r="W409" s="189">
        <v>0.28584028868397582</v>
      </c>
      <c r="X409" s="189">
        <v>0.28694429983058073</v>
      </c>
      <c r="Y409" s="189">
        <v>0.28804831097718564</v>
      </c>
      <c r="Z409" s="189">
        <v>0.28915232212379055</v>
      </c>
      <c r="AA409" s="189">
        <v>0.29025633327039546</v>
      </c>
      <c r="AB409" s="189">
        <v>0.29136034441700037</v>
      </c>
      <c r="AC409" s="189">
        <v>0.29246435556360528</v>
      </c>
      <c r="AD409" s="189">
        <v>0.29356836671021019</v>
      </c>
      <c r="AE409" s="189">
        <v>0.2946723778568151</v>
      </c>
      <c r="AF409" s="189">
        <v>0.29577638900342001</v>
      </c>
      <c r="AG409" s="189">
        <v>0.29688040015002493</v>
      </c>
      <c r="AH409" s="189">
        <v>0.29798441129662984</v>
      </c>
      <c r="AI409" s="189">
        <v>0.29908842244323475</v>
      </c>
      <c r="AJ409" s="189">
        <v>0.30019243358983971</v>
      </c>
    </row>
    <row r="410" spans="1:36" x14ac:dyDescent="0.35">
      <c r="A410" t="s">
        <v>1971</v>
      </c>
      <c r="B410" s="188" t="s">
        <v>1342</v>
      </c>
      <c r="C410" t="s">
        <v>1350</v>
      </c>
      <c r="D410" s="188">
        <v>30</v>
      </c>
      <c r="E410" t="s">
        <v>1948</v>
      </c>
      <c r="F410" t="s">
        <v>1386</v>
      </c>
      <c r="G410" s="189" t="s">
        <v>1969</v>
      </c>
      <c r="H410" s="189">
        <v>0.26117403970978142</v>
      </c>
      <c r="I410" s="189">
        <v>0.26117403970978142</v>
      </c>
      <c r="J410" s="189">
        <v>0.26117403970978142</v>
      </c>
      <c r="K410" s="189">
        <v>0.26117403970978142</v>
      </c>
      <c r="L410" s="189">
        <v>0.26117403970978142</v>
      </c>
      <c r="M410" s="189">
        <v>0.26117403970978142</v>
      </c>
      <c r="N410" s="189">
        <v>0.26117403970978142</v>
      </c>
      <c r="O410" s="189">
        <v>0.26117403970978142</v>
      </c>
      <c r="P410" s="189">
        <v>0.26117403970978142</v>
      </c>
      <c r="Q410" s="189">
        <v>0.26117403970978142</v>
      </c>
      <c r="R410" s="189">
        <v>0.26117403970978142</v>
      </c>
      <c r="S410" s="189">
        <v>0.26117403970978142</v>
      </c>
      <c r="T410" s="189">
        <v>0.26117403970978142</v>
      </c>
      <c r="U410" s="189">
        <v>0.26117403970978142</v>
      </c>
      <c r="V410" s="189">
        <v>0.26267125482184706</v>
      </c>
      <c r="W410" s="189">
        <v>0.26416846993391269</v>
      </c>
      <c r="X410" s="189">
        <v>0.26566568504597832</v>
      </c>
      <c r="Y410" s="189">
        <v>0.26716290015804395</v>
      </c>
      <c r="Z410" s="189">
        <v>0.26866011527010958</v>
      </c>
      <c r="AA410" s="189">
        <v>0.27015733038217521</v>
      </c>
      <c r="AB410" s="189">
        <v>0.27165454549424084</v>
      </c>
      <c r="AC410" s="189">
        <v>0.27315176060630647</v>
      </c>
      <c r="AD410" s="189">
        <v>0.2746489757183721</v>
      </c>
      <c r="AE410" s="189">
        <v>0.27614619083043773</v>
      </c>
      <c r="AF410" s="189">
        <v>0.27764340594250336</v>
      </c>
      <c r="AG410" s="189">
        <v>0.27914062105456899</v>
      </c>
      <c r="AH410" s="189">
        <v>0.28063783616663462</v>
      </c>
      <c r="AI410" s="189">
        <v>0.28213505127870026</v>
      </c>
      <c r="AJ410" s="189">
        <v>0.283632266390766</v>
      </c>
    </row>
    <row r="411" spans="1:36" x14ac:dyDescent="0.35">
      <c r="A411" t="s">
        <v>1972</v>
      </c>
      <c r="B411" s="188" t="s">
        <v>1342</v>
      </c>
      <c r="C411" t="s">
        <v>1343</v>
      </c>
      <c r="D411" s="188">
        <v>30</v>
      </c>
      <c r="E411" t="s">
        <v>1948</v>
      </c>
      <c r="F411" t="s">
        <v>1391</v>
      </c>
      <c r="G411" s="189" t="s">
        <v>1973</v>
      </c>
      <c r="H411" s="189">
        <v>0.251120333115332</v>
      </c>
      <c r="I411" s="189">
        <v>0.25382517686447387</v>
      </c>
      <c r="J411" s="189">
        <v>0.25653002061361579</v>
      </c>
      <c r="K411" s="189">
        <v>0.25923486436275767</v>
      </c>
      <c r="L411" s="189">
        <v>0.26193970811189959</v>
      </c>
      <c r="M411" s="189">
        <v>0.26464455186104147</v>
      </c>
      <c r="N411" s="189">
        <v>0.26734939561018334</v>
      </c>
      <c r="O411" s="189">
        <v>0.27005423935932521</v>
      </c>
      <c r="P411" s="189">
        <v>0.27275908310846708</v>
      </c>
      <c r="Q411" s="189">
        <v>0.27546392685760895</v>
      </c>
      <c r="R411" s="189">
        <v>0.27816877060675083</v>
      </c>
      <c r="S411" s="189">
        <v>0.2808736143558927</v>
      </c>
      <c r="T411" s="189">
        <v>0.28357845810503457</v>
      </c>
      <c r="U411" s="189">
        <v>0.2862833018541765</v>
      </c>
      <c r="V411" s="189">
        <v>0.28688707950054959</v>
      </c>
      <c r="W411" s="189">
        <v>0.28749085714692268</v>
      </c>
      <c r="X411" s="189">
        <v>0.28809463479329578</v>
      </c>
      <c r="Y411" s="189">
        <v>0.28869841243966887</v>
      </c>
      <c r="Z411" s="189">
        <v>0.28930219008604197</v>
      </c>
      <c r="AA411" s="189">
        <v>0.28990596773241506</v>
      </c>
      <c r="AB411" s="189">
        <v>0.29050974537878815</v>
      </c>
      <c r="AC411" s="189">
        <v>0.29111352302516125</v>
      </c>
      <c r="AD411" s="189">
        <v>0.29171730067153434</v>
      </c>
      <c r="AE411" s="189">
        <v>0.29232107831790743</v>
      </c>
      <c r="AF411" s="189">
        <v>0.29292485596428053</v>
      </c>
      <c r="AG411" s="189">
        <v>0.29352863361065362</v>
      </c>
      <c r="AH411" s="189">
        <v>0.29413241125702672</v>
      </c>
      <c r="AI411" s="189">
        <v>0.29473618890339981</v>
      </c>
      <c r="AJ411" s="189">
        <v>0.2953399665497729</v>
      </c>
    </row>
    <row r="412" spans="1:36" x14ac:dyDescent="0.35">
      <c r="A412" t="s">
        <v>1974</v>
      </c>
      <c r="B412" s="188" t="s">
        <v>1342</v>
      </c>
      <c r="C412" t="s">
        <v>1348</v>
      </c>
      <c r="D412" s="188">
        <v>30</v>
      </c>
      <c r="E412" t="s">
        <v>1948</v>
      </c>
      <c r="F412" t="s">
        <v>1391</v>
      </c>
      <c r="G412" s="189" t="s">
        <v>1973</v>
      </c>
      <c r="H412" s="189">
        <v>0.24997976048343065</v>
      </c>
      <c r="I412" s="189">
        <v>0.25154403160067118</v>
      </c>
      <c r="J412" s="189">
        <v>0.25310830271791174</v>
      </c>
      <c r="K412" s="189">
        <v>0.25467257383515229</v>
      </c>
      <c r="L412" s="189">
        <v>0.25623684495239285</v>
      </c>
      <c r="M412" s="189">
        <v>0.25780111606963341</v>
      </c>
      <c r="N412" s="189">
        <v>0.25936538718687396</v>
      </c>
      <c r="O412" s="189">
        <v>0.26092965830411452</v>
      </c>
      <c r="P412" s="189">
        <v>0.26249392942135508</v>
      </c>
      <c r="Q412" s="189">
        <v>0.26405820053859563</v>
      </c>
      <c r="R412" s="189">
        <v>0.26562247165583619</v>
      </c>
      <c r="S412" s="189">
        <v>0.26718674277307675</v>
      </c>
      <c r="T412" s="189">
        <v>0.2687510138903173</v>
      </c>
      <c r="U412" s="189">
        <v>0.2703152850075578</v>
      </c>
      <c r="V412" s="189">
        <v>0.27137981946399903</v>
      </c>
      <c r="W412" s="189">
        <v>0.27244435392044025</v>
      </c>
      <c r="X412" s="189">
        <v>0.27350888837688148</v>
      </c>
      <c r="Y412" s="189">
        <v>0.2745734228333227</v>
      </c>
      <c r="Z412" s="189">
        <v>0.27563795728976392</v>
      </c>
      <c r="AA412" s="189">
        <v>0.27670249174620515</v>
      </c>
      <c r="AB412" s="189">
        <v>0.27776702620264637</v>
      </c>
      <c r="AC412" s="189">
        <v>0.2788315606590876</v>
      </c>
      <c r="AD412" s="189">
        <v>0.27989609511552882</v>
      </c>
      <c r="AE412" s="189">
        <v>0.28096062957197004</v>
      </c>
      <c r="AF412" s="189">
        <v>0.28202516402841127</v>
      </c>
      <c r="AG412" s="189">
        <v>0.28308969848485249</v>
      </c>
      <c r="AH412" s="189">
        <v>0.28415423294129372</v>
      </c>
      <c r="AI412" s="189">
        <v>0.28521876739773494</v>
      </c>
      <c r="AJ412" s="189">
        <v>0.2862833018541765</v>
      </c>
    </row>
    <row r="413" spans="1:36" x14ac:dyDescent="0.35">
      <c r="A413" t="s">
        <v>1975</v>
      </c>
      <c r="B413" s="188" t="s">
        <v>1342</v>
      </c>
      <c r="C413" t="s">
        <v>1350</v>
      </c>
      <c r="D413" s="188">
        <v>30</v>
      </c>
      <c r="E413" t="s">
        <v>1948</v>
      </c>
      <c r="F413" t="s">
        <v>1391</v>
      </c>
      <c r="G413" s="189" t="s">
        <v>1973</v>
      </c>
      <c r="H413" s="189">
        <v>0.2484154893661901</v>
      </c>
      <c r="I413" s="189">
        <v>0.2484154893661901</v>
      </c>
      <c r="J413" s="189">
        <v>0.2484154893661901</v>
      </c>
      <c r="K413" s="189">
        <v>0.2484154893661901</v>
      </c>
      <c r="L413" s="189">
        <v>0.2484154893661901</v>
      </c>
      <c r="M413" s="189">
        <v>0.2484154893661901</v>
      </c>
      <c r="N413" s="189">
        <v>0.2484154893661901</v>
      </c>
      <c r="O413" s="189">
        <v>0.2484154893661901</v>
      </c>
      <c r="P413" s="189">
        <v>0.2484154893661901</v>
      </c>
      <c r="Q413" s="189">
        <v>0.2484154893661901</v>
      </c>
      <c r="R413" s="189">
        <v>0.2484154893661901</v>
      </c>
      <c r="S413" s="189">
        <v>0.2484154893661901</v>
      </c>
      <c r="T413" s="189">
        <v>0.2484154893661901</v>
      </c>
      <c r="U413" s="189">
        <v>0.2484154893661901</v>
      </c>
      <c r="V413" s="189">
        <v>0.24987547574228128</v>
      </c>
      <c r="W413" s="189">
        <v>0.25133546211837243</v>
      </c>
      <c r="X413" s="189">
        <v>0.25279544849446361</v>
      </c>
      <c r="Y413" s="189">
        <v>0.2542554348705548</v>
      </c>
      <c r="Z413" s="189">
        <v>0.25571542124664598</v>
      </c>
      <c r="AA413" s="189">
        <v>0.25717540762273716</v>
      </c>
      <c r="AB413" s="189">
        <v>0.25863539399882834</v>
      </c>
      <c r="AC413" s="189">
        <v>0.26009538037491953</v>
      </c>
      <c r="AD413" s="189">
        <v>0.26155536675101071</v>
      </c>
      <c r="AE413" s="189">
        <v>0.26301535312710189</v>
      </c>
      <c r="AF413" s="189">
        <v>0.26447533950319307</v>
      </c>
      <c r="AG413" s="189">
        <v>0.26593532587928426</v>
      </c>
      <c r="AH413" s="189">
        <v>0.26739531225537544</v>
      </c>
      <c r="AI413" s="189">
        <v>0.26885529863146662</v>
      </c>
      <c r="AJ413" s="189">
        <v>0.2703152850075578</v>
      </c>
    </row>
    <row r="414" spans="1:36" x14ac:dyDescent="0.35">
      <c r="A414" t="s">
        <v>1976</v>
      </c>
      <c r="B414" s="188" t="s">
        <v>1342</v>
      </c>
      <c r="C414" t="s">
        <v>1343</v>
      </c>
      <c r="D414" s="188">
        <v>30</v>
      </c>
      <c r="E414" t="s">
        <v>1948</v>
      </c>
      <c r="F414" t="s">
        <v>1357</v>
      </c>
      <c r="G414" s="189" t="s">
        <v>1977</v>
      </c>
      <c r="H414" s="189">
        <v>0.24197525399784897</v>
      </c>
      <c r="I414" s="189">
        <v>0.2445770054428357</v>
      </c>
      <c r="J414" s="189">
        <v>0.24717875688782243</v>
      </c>
      <c r="K414" s="189">
        <v>0.24978050833280915</v>
      </c>
      <c r="L414" s="189">
        <v>0.25238225977779588</v>
      </c>
      <c r="M414" s="189">
        <v>0.25498401122278258</v>
      </c>
      <c r="N414" s="189">
        <v>0.25758576266776934</v>
      </c>
      <c r="O414" s="189">
        <v>0.26018751411275604</v>
      </c>
      <c r="P414" s="189">
        <v>0.26278926555774279</v>
      </c>
      <c r="Q414" s="189">
        <v>0.26539101700272949</v>
      </c>
      <c r="R414" s="189">
        <v>0.26799276844771625</v>
      </c>
      <c r="S414" s="189">
        <v>0.270594519892703</v>
      </c>
      <c r="T414" s="189">
        <v>0.27319627133768976</v>
      </c>
      <c r="U414" s="189">
        <v>0.27579802278267646</v>
      </c>
      <c r="V414" s="189">
        <v>0.27637746008874997</v>
      </c>
      <c r="W414" s="189">
        <v>0.27695689739482349</v>
      </c>
      <c r="X414" s="189">
        <v>0.277536334700897</v>
      </c>
      <c r="Y414" s="189">
        <v>0.27811577200697052</v>
      </c>
      <c r="Z414" s="189">
        <v>0.27869520931304403</v>
      </c>
      <c r="AA414" s="189">
        <v>0.27927464661911755</v>
      </c>
      <c r="AB414" s="189">
        <v>0.27985408392519107</v>
      </c>
      <c r="AC414" s="189">
        <v>0.28043352123126458</v>
      </c>
      <c r="AD414" s="189">
        <v>0.2810129585373381</v>
      </c>
      <c r="AE414" s="189">
        <v>0.28159239584341161</v>
      </c>
      <c r="AF414" s="189">
        <v>0.28217183314948513</v>
      </c>
      <c r="AG414" s="189">
        <v>0.28275127045555865</v>
      </c>
      <c r="AH414" s="189">
        <v>0.28333070776163216</v>
      </c>
      <c r="AI414" s="189">
        <v>0.28391014506770568</v>
      </c>
      <c r="AJ414" s="189">
        <v>0.28448958237377947</v>
      </c>
    </row>
    <row r="415" spans="1:36" x14ac:dyDescent="0.35">
      <c r="A415" t="s">
        <v>1978</v>
      </c>
      <c r="B415" s="188" t="s">
        <v>1342</v>
      </c>
      <c r="C415" t="s">
        <v>1348</v>
      </c>
      <c r="D415" s="188">
        <v>30</v>
      </c>
      <c r="E415" t="s">
        <v>1948</v>
      </c>
      <c r="F415" t="s">
        <v>1357</v>
      </c>
      <c r="G415" s="189" t="s">
        <v>1977</v>
      </c>
      <c r="H415" s="189">
        <v>0.24088659065257223</v>
      </c>
      <c r="I415" s="189">
        <v>0.24239967875228222</v>
      </c>
      <c r="J415" s="189">
        <v>0.2439127668519922</v>
      </c>
      <c r="K415" s="189">
        <v>0.24542585495170219</v>
      </c>
      <c r="L415" s="189">
        <v>0.24693894305141217</v>
      </c>
      <c r="M415" s="189">
        <v>0.24845203115112216</v>
      </c>
      <c r="N415" s="189">
        <v>0.24996511925083215</v>
      </c>
      <c r="O415" s="189">
        <v>0.2514782073505421</v>
      </c>
      <c r="P415" s="189">
        <v>0.25299129545025212</v>
      </c>
      <c r="Q415" s="189">
        <v>0.25450438354996208</v>
      </c>
      <c r="R415" s="189">
        <v>0.25601747164967209</v>
      </c>
      <c r="S415" s="189">
        <v>0.25753055974938205</v>
      </c>
      <c r="T415" s="189">
        <v>0.25904364784909206</v>
      </c>
      <c r="U415" s="189">
        <v>0.26055673594880208</v>
      </c>
      <c r="V415" s="189">
        <v>0.26157282173772706</v>
      </c>
      <c r="W415" s="189">
        <v>0.26258890752665198</v>
      </c>
      <c r="X415" s="189">
        <v>0.26360499331557696</v>
      </c>
      <c r="Y415" s="189">
        <v>0.26462107910450189</v>
      </c>
      <c r="Z415" s="189">
        <v>0.26563716489342687</v>
      </c>
      <c r="AA415" s="189">
        <v>0.26665325068235185</v>
      </c>
      <c r="AB415" s="189">
        <v>0.26766933647127683</v>
      </c>
      <c r="AC415" s="189">
        <v>0.26868542226020181</v>
      </c>
      <c r="AD415" s="189">
        <v>0.26970150804912679</v>
      </c>
      <c r="AE415" s="189">
        <v>0.27071759383805177</v>
      </c>
      <c r="AF415" s="189">
        <v>0.27173367962697675</v>
      </c>
      <c r="AG415" s="189">
        <v>0.27274976541590173</v>
      </c>
      <c r="AH415" s="189">
        <v>0.27376585120482672</v>
      </c>
      <c r="AI415" s="189">
        <v>0.2747819369937517</v>
      </c>
      <c r="AJ415" s="189">
        <v>0.27579802278267646</v>
      </c>
    </row>
    <row r="416" spans="1:36" x14ac:dyDescent="0.35">
      <c r="A416" t="s">
        <v>1979</v>
      </c>
      <c r="B416" s="188" t="s">
        <v>1342</v>
      </c>
      <c r="C416" t="s">
        <v>1350</v>
      </c>
      <c r="D416" s="188">
        <v>30</v>
      </c>
      <c r="E416" t="s">
        <v>1948</v>
      </c>
      <c r="F416" t="s">
        <v>1357</v>
      </c>
      <c r="G416" s="189" t="s">
        <v>1977</v>
      </c>
      <c r="H416" s="189">
        <v>0.23937350255286224</v>
      </c>
      <c r="I416" s="189">
        <v>0.23937350255286224</v>
      </c>
      <c r="J416" s="189">
        <v>0.23937350255286224</v>
      </c>
      <c r="K416" s="189">
        <v>0.23937350255286224</v>
      </c>
      <c r="L416" s="189">
        <v>0.23937350255286224</v>
      </c>
      <c r="M416" s="189">
        <v>0.23937350255286224</v>
      </c>
      <c r="N416" s="189">
        <v>0.23937350255286224</v>
      </c>
      <c r="O416" s="189">
        <v>0.23937350255286224</v>
      </c>
      <c r="P416" s="189">
        <v>0.23937350255286224</v>
      </c>
      <c r="Q416" s="189">
        <v>0.23937350255286224</v>
      </c>
      <c r="R416" s="189">
        <v>0.23937350255286224</v>
      </c>
      <c r="S416" s="189">
        <v>0.23937350255286224</v>
      </c>
      <c r="T416" s="189">
        <v>0.23937350255286224</v>
      </c>
      <c r="U416" s="189">
        <v>0.23937350255286224</v>
      </c>
      <c r="V416" s="189">
        <v>0.24078571811259156</v>
      </c>
      <c r="W416" s="189">
        <v>0.24219793367232087</v>
      </c>
      <c r="X416" s="189">
        <v>0.24361014923205018</v>
      </c>
      <c r="Y416" s="189">
        <v>0.2450223647917795</v>
      </c>
      <c r="Z416" s="189">
        <v>0.24643458035150881</v>
      </c>
      <c r="AA416" s="189">
        <v>0.24784679591123812</v>
      </c>
      <c r="AB416" s="189">
        <v>0.24925901147096743</v>
      </c>
      <c r="AC416" s="189">
        <v>0.25067122703069672</v>
      </c>
      <c r="AD416" s="189">
        <v>0.25208344259042603</v>
      </c>
      <c r="AE416" s="189">
        <v>0.25349565815015535</v>
      </c>
      <c r="AF416" s="189">
        <v>0.25490787370988466</v>
      </c>
      <c r="AG416" s="189">
        <v>0.25632008926961397</v>
      </c>
      <c r="AH416" s="189">
        <v>0.25773230482934328</v>
      </c>
      <c r="AI416" s="189">
        <v>0.2591445203890726</v>
      </c>
      <c r="AJ416" s="189">
        <v>0.26055673594880208</v>
      </c>
    </row>
    <row r="417" spans="1:36" x14ac:dyDescent="0.35">
      <c r="A417" t="s">
        <v>1980</v>
      </c>
      <c r="B417" s="188" t="s">
        <v>1342</v>
      </c>
      <c r="C417" t="s">
        <v>1343</v>
      </c>
      <c r="D417" s="188">
        <v>30</v>
      </c>
      <c r="E417" t="s">
        <v>1948</v>
      </c>
      <c r="F417" t="s">
        <v>1400</v>
      </c>
      <c r="G417" s="189" t="s">
        <v>1981</v>
      </c>
      <c r="H417" s="189">
        <v>0.23092451183351639</v>
      </c>
      <c r="I417" s="189">
        <v>0.23343186260605744</v>
      </c>
      <c r="J417" s="189">
        <v>0.23593921337859849</v>
      </c>
      <c r="K417" s="189">
        <v>0.23844656415113955</v>
      </c>
      <c r="L417" s="189">
        <v>0.2409539149236806</v>
      </c>
      <c r="M417" s="189">
        <v>0.24346126569622165</v>
      </c>
      <c r="N417" s="189">
        <v>0.2459686164687627</v>
      </c>
      <c r="O417" s="189">
        <v>0.24847596724130375</v>
      </c>
      <c r="P417" s="189">
        <v>0.25098331801384477</v>
      </c>
      <c r="Q417" s="189">
        <v>0.25349066878638582</v>
      </c>
      <c r="R417" s="189">
        <v>0.25599801955892687</v>
      </c>
      <c r="S417" s="189">
        <v>0.25850537033146792</v>
      </c>
      <c r="T417" s="189">
        <v>0.26101272110400897</v>
      </c>
      <c r="U417" s="189">
        <v>0.26352007187655008</v>
      </c>
      <c r="V417" s="189">
        <v>0.26404153192368107</v>
      </c>
      <c r="W417" s="189">
        <v>0.26456299197081207</v>
      </c>
      <c r="X417" s="189">
        <v>0.26508445201794306</v>
      </c>
      <c r="Y417" s="189">
        <v>0.26560591206507406</v>
      </c>
      <c r="Z417" s="189">
        <v>0.26612737211220505</v>
      </c>
      <c r="AA417" s="189">
        <v>0.26664883215933605</v>
      </c>
      <c r="AB417" s="189">
        <v>0.26717029220646704</v>
      </c>
      <c r="AC417" s="189">
        <v>0.26769175225359804</v>
      </c>
      <c r="AD417" s="189">
        <v>0.26821321230072903</v>
      </c>
      <c r="AE417" s="189">
        <v>0.26873467234786003</v>
      </c>
      <c r="AF417" s="189">
        <v>0.26925613239499102</v>
      </c>
      <c r="AG417" s="189">
        <v>0.26977759244212202</v>
      </c>
      <c r="AH417" s="189">
        <v>0.27029905248925301</v>
      </c>
      <c r="AI417" s="189">
        <v>0.27082051253638401</v>
      </c>
      <c r="AJ417" s="189">
        <v>0.27134197258351522</v>
      </c>
    </row>
    <row r="418" spans="1:36" x14ac:dyDescent="0.35">
      <c r="A418" t="s">
        <v>1982</v>
      </c>
      <c r="B418" s="188" t="s">
        <v>1342</v>
      </c>
      <c r="C418" t="s">
        <v>1348</v>
      </c>
      <c r="D418" s="188">
        <v>30</v>
      </c>
      <c r="E418" t="s">
        <v>1948</v>
      </c>
      <c r="F418" t="s">
        <v>1400</v>
      </c>
      <c r="G418" s="189" t="s">
        <v>1981</v>
      </c>
      <c r="H418" s="189">
        <v>0.22988032137448949</v>
      </c>
      <c r="I418" s="189">
        <v>0.23134348168800364</v>
      </c>
      <c r="J418" s="189">
        <v>0.23280664200151779</v>
      </c>
      <c r="K418" s="189">
        <v>0.23426980231503194</v>
      </c>
      <c r="L418" s="189">
        <v>0.23573296262854609</v>
      </c>
      <c r="M418" s="189">
        <v>0.23719612294206024</v>
      </c>
      <c r="N418" s="189">
        <v>0.23865928325557439</v>
      </c>
      <c r="O418" s="189">
        <v>0.24012244356908855</v>
      </c>
      <c r="P418" s="189">
        <v>0.2415856038826027</v>
      </c>
      <c r="Q418" s="189">
        <v>0.24304876419611685</v>
      </c>
      <c r="R418" s="189">
        <v>0.244511924509631</v>
      </c>
      <c r="S418" s="189">
        <v>0.24597508482314515</v>
      </c>
      <c r="T418" s="189">
        <v>0.2474382451366593</v>
      </c>
      <c r="U418" s="189">
        <v>0.24890140545017353</v>
      </c>
      <c r="V418" s="189">
        <v>0.24987598321193197</v>
      </c>
      <c r="W418" s="189">
        <v>0.25085056097369041</v>
      </c>
      <c r="X418" s="189">
        <v>0.25182513873544882</v>
      </c>
      <c r="Y418" s="189">
        <v>0.25279971649720728</v>
      </c>
      <c r="Z418" s="189">
        <v>0.25377429425896569</v>
      </c>
      <c r="AA418" s="189">
        <v>0.25474887202072416</v>
      </c>
      <c r="AB418" s="189">
        <v>0.25572344978248257</v>
      </c>
      <c r="AC418" s="189">
        <v>0.25669802754424104</v>
      </c>
      <c r="AD418" s="189">
        <v>0.25767260530599945</v>
      </c>
      <c r="AE418" s="189">
        <v>0.25864718306775791</v>
      </c>
      <c r="AF418" s="189">
        <v>0.25962176082951632</v>
      </c>
      <c r="AG418" s="189">
        <v>0.26059633859127479</v>
      </c>
      <c r="AH418" s="189">
        <v>0.2615709163530332</v>
      </c>
      <c r="AI418" s="189">
        <v>0.26254549411479167</v>
      </c>
      <c r="AJ418" s="189">
        <v>0.26352007187655008</v>
      </c>
    </row>
    <row r="419" spans="1:36" x14ac:dyDescent="0.35">
      <c r="A419" t="s">
        <v>1983</v>
      </c>
      <c r="B419" s="188" t="s">
        <v>1342</v>
      </c>
      <c r="C419" t="s">
        <v>1350</v>
      </c>
      <c r="D419" s="188">
        <v>30</v>
      </c>
      <c r="E419" t="s">
        <v>1948</v>
      </c>
      <c r="F419" t="s">
        <v>1400</v>
      </c>
      <c r="G419" s="189" t="s">
        <v>1981</v>
      </c>
      <c r="H419" s="189">
        <v>0.22841716106097534</v>
      </c>
      <c r="I419" s="189">
        <v>0.22841716106097534</v>
      </c>
      <c r="J419" s="189">
        <v>0.22841716106097534</v>
      </c>
      <c r="K419" s="189">
        <v>0.22841716106097534</v>
      </c>
      <c r="L419" s="189">
        <v>0.22841716106097534</v>
      </c>
      <c r="M419" s="189">
        <v>0.22841716106097534</v>
      </c>
      <c r="N419" s="189">
        <v>0.22841716106097534</v>
      </c>
      <c r="O419" s="189">
        <v>0.22841716106097534</v>
      </c>
      <c r="P419" s="189">
        <v>0.22841716106097534</v>
      </c>
      <c r="Q419" s="189">
        <v>0.22841716106097534</v>
      </c>
      <c r="R419" s="189">
        <v>0.22841716106097534</v>
      </c>
      <c r="S419" s="189">
        <v>0.22841716106097534</v>
      </c>
      <c r="T419" s="189">
        <v>0.22841716106097534</v>
      </c>
      <c r="U419" s="189">
        <v>0.22841716106097534</v>
      </c>
      <c r="V419" s="189">
        <v>0.22978277735358857</v>
      </c>
      <c r="W419" s="189">
        <v>0.23114839364620179</v>
      </c>
      <c r="X419" s="189">
        <v>0.23251400993881502</v>
      </c>
      <c r="Y419" s="189">
        <v>0.23387962623142824</v>
      </c>
      <c r="Z419" s="189">
        <v>0.23524524252404147</v>
      </c>
      <c r="AA419" s="189">
        <v>0.2366108588166547</v>
      </c>
      <c r="AB419" s="189">
        <v>0.23797647510926792</v>
      </c>
      <c r="AC419" s="189">
        <v>0.23934209140188115</v>
      </c>
      <c r="AD419" s="189">
        <v>0.24070770769449437</v>
      </c>
      <c r="AE419" s="189">
        <v>0.2420733239871076</v>
      </c>
      <c r="AF419" s="189">
        <v>0.24343894027972082</v>
      </c>
      <c r="AG419" s="189">
        <v>0.24480455657233405</v>
      </c>
      <c r="AH419" s="189">
        <v>0.24617017286494727</v>
      </c>
      <c r="AI419" s="189">
        <v>0.2475357891575605</v>
      </c>
      <c r="AJ419" s="189">
        <v>0.24890140545017353</v>
      </c>
    </row>
    <row r="420" spans="1:36" x14ac:dyDescent="0.35">
      <c r="A420" t="s">
        <v>1984</v>
      </c>
      <c r="B420" s="188" t="s">
        <v>1342</v>
      </c>
      <c r="C420" t="s">
        <v>1343</v>
      </c>
      <c r="D420" s="188">
        <v>30</v>
      </c>
      <c r="E420" t="s">
        <v>1948</v>
      </c>
      <c r="F420" t="s">
        <v>1405</v>
      </c>
      <c r="G420" s="189" t="s">
        <v>1985</v>
      </c>
      <c r="H420" s="189">
        <v>0.21302915702587935</v>
      </c>
      <c r="I420" s="189">
        <v>0.21539138933682392</v>
      </c>
      <c r="J420" s="189">
        <v>0.21775362164776849</v>
      </c>
      <c r="K420" s="189">
        <v>0.22011585395871305</v>
      </c>
      <c r="L420" s="189">
        <v>0.22247808626965762</v>
      </c>
      <c r="M420" s="189">
        <v>0.22484031858060219</v>
      </c>
      <c r="N420" s="189">
        <v>0.22720255089154676</v>
      </c>
      <c r="O420" s="189">
        <v>0.22956478320249132</v>
      </c>
      <c r="P420" s="189">
        <v>0.23192701551343589</v>
      </c>
      <c r="Q420" s="189">
        <v>0.23428924782438046</v>
      </c>
      <c r="R420" s="189">
        <v>0.23665148013532503</v>
      </c>
      <c r="S420" s="189">
        <v>0.23901371244626959</v>
      </c>
      <c r="T420" s="189">
        <v>0.24137594475721416</v>
      </c>
      <c r="U420" s="189">
        <v>0.24373817706815865</v>
      </c>
      <c r="V420" s="189">
        <v>0.2441584111948325</v>
      </c>
      <c r="W420" s="189">
        <v>0.24457864532150636</v>
      </c>
      <c r="X420" s="189">
        <v>0.24499887944818022</v>
      </c>
      <c r="Y420" s="189">
        <v>0.24541911357485408</v>
      </c>
      <c r="Z420" s="189">
        <v>0.24583934770152793</v>
      </c>
      <c r="AA420" s="189">
        <v>0.24625958182820179</v>
      </c>
      <c r="AB420" s="189">
        <v>0.24667981595487565</v>
      </c>
      <c r="AC420" s="189">
        <v>0.2471000500815495</v>
      </c>
      <c r="AD420" s="189">
        <v>0.24752028420822336</v>
      </c>
      <c r="AE420" s="189">
        <v>0.24794051833489722</v>
      </c>
      <c r="AF420" s="189">
        <v>0.24836075246157108</v>
      </c>
      <c r="AG420" s="189">
        <v>0.24878098658824493</v>
      </c>
      <c r="AH420" s="189">
        <v>0.24920122071491879</v>
      </c>
      <c r="AI420" s="189">
        <v>0.24962145484159265</v>
      </c>
      <c r="AJ420" s="189">
        <v>0.25004168896826656</v>
      </c>
    </row>
    <row r="421" spans="1:36" x14ac:dyDescent="0.35">
      <c r="A421" t="s">
        <v>1986</v>
      </c>
      <c r="B421" s="188" t="s">
        <v>1342</v>
      </c>
      <c r="C421" t="s">
        <v>1348</v>
      </c>
      <c r="D421" s="188">
        <v>30</v>
      </c>
      <c r="E421" t="s">
        <v>1948</v>
      </c>
      <c r="F421" t="s">
        <v>1405</v>
      </c>
      <c r="G421" s="189" t="s">
        <v>1985</v>
      </c>
      <c r="H421" s="189">
        <v>0.2120433014343672</v>
      </c>
      <c r="I421" s="189">
        <v>0.21341967815379961</v>
      </c>
      <c r="J421" s="189">
        <v>0.21479605487323203</v>
      </c>
      <c r="K421" s="189">
        <v>0.21617243159266444</v>
      </c>
      <c r="L421" s="189">
        <v>0.21754880831209686</v>
      </c>
      <c r="M421" s="189">
        <v>0.21892518503152927</v>
      </c>
      <c r="N421" s="189">
        <v>0.22030156175096169</v>
      </c>
      <c r="O421" s="189">
        <v>0.2216779384703941</v>
      </c>
      <c r="P421" s="189">
        <v>0.22305431518982652</v>
      </c>
      <c r="Q421" s="189">
        <v>0.22443069190925893</v>
      </c>
      <c r="R421" s="189">
        <v>0.22580706862869135</v>
      </c>
      <c r="S421" s="189">
        <v>0.22718344534812376</v>
      </c>
      <c r="T421" s="189">
        <v>0.22855982206755618</v>
      </c>
      <c r="U421" s="189">
        <v>0.22993619878698873</v>
      </c>
      <c r="V421" s="189">
        <v>0.23085633067240005</v>
      </c>
      <c r="W421" s="189">
        <v>0.23177646255781137</v>
      </c>
      <c r="X421" s="189">
        <v>0.23269659444322269</v>
      </c>
      <c r="Y421" s="189">
        <v>0.23361672632863401</v>
      </c>
      <c r="Z421" s="189">
        <v>0.23453685821404532</v>
      </c>
      <c r="AA421" s="189">
        <v>0.23545699009945664</v>
      </c>
      <c r="AB421" s="189">
        <v>0.23637712198486796</v>
      </c>
      <c r="AC421" s="189">
        <v>0.23729725387027928</v>
      </c>
      <c r="AD421" s="189">
        <v>0.2382173857556906</v>
      </c>
      <c r="AE421" s="189">
        <v>0.23913751764110192</v>
      </c>
      <c r="AF421" s="189">
        <v>0.24005764952651323</v>
      </c>
      <c r="AG421" s="189">
        <v>0.24097778141192455</v>
      </c>
      <c r="AH421" s="189">
        <v>0.24189791329733587</v>
      </c>
      <c r="AI421" s="189">
        <v>0.24281804518274719</v>
      </c>
      <c r="AJ421" s="189">
        <v>0.24373817706815865</v>
      </c>
    </row>
    <row r="422" spans="1:36" x14ac:dyDescent="0.35">
      <c r="A422" t="s">
        <v>1987</v>
      </c>
      <c r="B422" s="188" t="s">
        <v>1342</v>
      </c>
      <c r="C422" t="s">
        <v>1350</v>
      </c>
      <c r="D422" s="188">
        <v>30</v>
      </c>
      <c r="E422" t="s">
        <v>1948</v>
      </c>
      <c r="F422" t="s">
        <v>1405</v>
      </c>
      <c r="G422" s="189" t="s">
        <v>1985</v>
      </c>
      <c r="H422" s="189">
        <v>0.21066692471493478</v>
      </c>
      <c r="I422" s="189">
        <v>0.21066692471493478</v>
      </c>
      <c r="J422" s="189">
        <v>0.21066692471493478</v>
      </c>
      <c r="K422" s="189">
        <v>0.21066692471493478</v>
      </c>
      <c r="L422" s="189">
        <v>0.21066692471493478</v>
      </c>
      <c r="M422" s="189">
        <v>0.21066692471493478</v>
      </c>
      <c r="N422" s="189">
        <v>0.21066692471493478</v>
      </c>
      <c r="O422" s="189">
        <v>0.21066692471493478</v>
      </c>
      <c r="P422" s="189">
        <v>0.21066692471493478</v>
      </c>
      <c r="Q422" s="189">
        <v>0.21066692471493478</v>
      </c>
      <c r="R422" s="189">
        <v>0.21066692471493478</v>
      </c>
      <c r="S422" s="189">
        <v>0.21066692471493478</v>
      </c>
      <c r="T422" s="189">
        <v>0.21066692471493478</v>
      </c>
      <c r="U422" s="189">
        <v>0.21066692471493478</v>
      </c>
      <c r="V422" s="189">
        <v>0.21195154298640503</v>
      </c>
      <c r="W422" s="189">
        <v>0.21323616125787528</v>
      </c>
      <c r="X422" s="189">
        <v>0.21452077952934553</v>
      </c>
      <c r="Y422" s="189">
        <v>0.21580539780081578</v>
      </c>
      <c r="Z422" s="189">
        <v>0.21709001607228604</v>
      </c>
      <c r="AA422" s="189">
        <v>0.21837463434375629</v>
      </c>
      <c r="AB422" s="189">
        <v>0.21965925261522654</v>
      </c>
      <c r="AC422" s="189">
        <v>0.22094387088669679</v>
      </c>
      <c r="AD422" s="189">
        <v>0.22222848915816704</v>
      </c>
      <c r="AE422" s="189">
        <v>0.22351310742963729</v>
      </c>
      <c r="AF422" s="189">
        <v>0.22479772570110754</v>
      </c>
      <c r="AG422" s="189">
        <v>0.22608234397257779</v>
      </c>
      <c r="AH422" s="189">
        <v>0.22736696224404804</v>
      </c>
      <c r="AI422" s="189">
        <v>0.22865158051551829</v>
      </c>
      <c r="AJ422" s="189">
        <v>0.22993619878698873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C1FA-93B8-4601-BBC0-844E6EA29BBE}">
  <dimension ref="A1:AJ528"/>
  <sheetViews>
    <sheetView workbookViewId="0">
      <selection activeCell="K379" sqref="K379"/>
    </sheetView>
  </sheetViews>
  <sheetFormatPr defaultRowHeight="14.5" x14ac:dyDescent="0.35"/>
  <cols>
    <col min="2" max="2" width="14.1796875" customWidth="1"/>
    <col min="3" max="3" width="10.453125" customWidth="1"/>
    <col min="4" max="4" width="10.7265625" customWidth="1"/>
    <col min="5" max="5" width="12.7265625" customWidth="1"/>
    <col min="6" max="6" width="11.7265625" customWidth="1"/>
    <col min="7" max="7" width="13.81640625" customWidth="1"/>
  </cols>
  <sheetData>
    <row r="1" spans="1:36" x14ac:dyDescent="0.35">
      <c r="A1" t="s">
        <v>2152</v>
      </c>
      <c r="F1" t="s">
        <v>56</v>
      </c>
    </row>
    <row r="2" spans="1:36" x14ac:dyDescent="0.35">
      <c r="A2" t="s">
        <v>1306</v>
      </c>
      <c r="B2" t="s">
        <v>1307</v>
      </c>
      <c r="C2" t="s">
        <v>1308</v>
      </c>
      <c r="D2" t="s">
        <v>1309</v>
      </c>
      <c r="E2" t="s">
        <v>916</v>
      </c>
      <c r="F2" t="s">
        <v>1310</v>
      </c>
      <c r="G2" t="s">
        <v>1311</v>
      </c>
      <c r="H2" t="s">
        <v>1312</v>
      </c>
      <c r="I2" t="s">
        <v>1313</v>
      </c>
      <c r="J2" t="s">
        <v>1314</v>
      </c>
      <c r="K2" t="s">
        <v>1315</v>
      </c>
      <c r="L2" t="s">
        <v>1316</v>
      </c>
      <c r="M2" t="s">
        <v>1317</v>
      </c>
      <c r="N2" t="s">
        <v>1318</v>
      </c>
      <c r="O2" t="s">
        <v>1319</v>
      </c>
      <c r="P2" t="s">
        <v>1320</v>
      </c>
      <c r="Q2" t="s">
        <v>1321</v>
      </c>
      <c r="R2" t="s">
        <v>1322</v>
      </c>
      <c r="S2" t="s">
        <v>1323</v>
      </c>
      <c r="T2" t="s">
        <v>1324</v>
      </c>
      <c r="U2" t="s">
        <v>1325</v>
      </c>
      <c r="V2" t="s">
        <v>1326</v>
      </c>
      <c r="W2" t="s">
        <v>1327</v>
      </c>
      <c r="X2" t="s">
        <v>1328</v>
      </c>
      <c r="Y2" t="s">
        <v>1329</v>
      </c>
      <c r="Z2" t="s">
        <v>1330</v>
      </c>
      <c r="AA2" t="s">
        <v>1331</v>
      </c>
      <c r="AB2" t="s">
        <v>1332</v>
      </c>
      <c r="AC2" t="s">
        <v>1333</v>
      </c>
      <c r="AD2" t="s">
        <v>1334</v>
      </c>
      <c r="AE2" t="s">
        <v>1335</v>
      </c>
      <c r="AF2" t="s">
        <v>1336</v>
      </c>
      <c r="AG2" t="s">
        <v>1337</v>
      </c>
      <c r="AH2" t="s">
        <v>1338</v>
      </c>
      <c r="AI2" t="s">
        <v>1339</v>
      </c>
      <c r="AJ2" t="s">
        <v>1340</v>
      </c>
    </row>
    <row r="3" spans="1:36" hidden="1" x14ac:dyDescent="0.35">
      <c r="A3" t="s">
        <v>1341</v>
      </c>
      <c r="B3" s="188" t="s">
        <v>1342</v>
      </c>
      <c r="C3" t="s">
        <v>1343</v>
      </c>
      <c r="D3" s="188">
        <v>30</v>
      </c>
      <c r="E3" t="s">
        <v>1344</v>
      </c>
      <c r="F3" t="s">
        <v>1345</v>
      </c>
      <c r="G3" s="190" t="s">
        <v>1346</v>
      </c>
      <c r="H3" s="190">
        <v>74.630160000000004</v>
      </c>
      <c r="I3" s="190">
        <v>70.926389999999998</v>
      </c>
      <c r="J3" s="190">
        <v>67.222619999999992</v>
      </c>
      <c r="K3" s="190">
        <v>63.518849999999993</v>
      </c>
      <c r="L3" s="190">
        <v>59.815079999999995</v>
      </c>
      <c r="M3" s="190">
        <v>56.111309999999996</v>
      </c>
      <c r="N3" s="190">
        <v>52.407539999999997</v>
      </c>
      <c r="O3" s="190">
        <v>48.703769999999999</v>
      </c>
      <c r="P3" s="190">
        <v>45</v>
      </c>
      <c r="Q3" s="190">
        <v>44.75</v>
      </c>
      <c r="R3" s="190">
        <v>44.5</v>
      </c>
      <c r="S3" s="190">
        <v>44.25</v>
      </c>
      <c r="T3" s="190">
        <v>44</v>
      </c>
      <c r="U3" s="190">
        <v>43.75</v>
      </c>
      <c r="V3" s="190">
        <v>43.5</v>
      </c>
      <c r="W3" s="190">
        <v>43.25</v>
      </c>
      <c r="X3" s="190">
        <v>43</v>
      </c>
      <c r="Y3" s="190">
        <v>42.75</v>
      </c>
      <c r="Z3" s="190">
        <v>42.5</v>
      </c>
      <c r="AA3" s="190">
        <v>42.25</v>
      </c>
      <c r="AB3" s="190">
        <v>42</v>
      </c>
      <c r="AC3" s="190">
        <v>41.75</v>
      </c>
      <c r="AD3" s="190">
        <v>41.5</v>
      </c>
      <c r="AE3" s="190">
        <v>41.25</v>
      </c>
      <c r="AF3" s="190">
        <v>41</v>
      </c>
      <c r="AG3" s="190">
        <v>40.75</v>
      </c>
      <c r="AH3" s="190">
        <v>40.5</v>
      </c>
      <c r="AI3" s="190">
        <v>40.25</v>
      </c>
      <c r="AJ3" s="190">
        <v>40</v>
      </c>
    </row>
    <row r="4" spans="1:36" hidden="1" x14ac:dyDescent="0.35">
      <c r="A4" t="s">
        <v>1347</v>
      </c>
      <c r="B4" s="188" t="s">
        <v>1342</v>
      </c>
      <c r="C4" t="s">
        <v>1348</v>
      </c>
      <c r="D4" s="188">
        <v>30</v>
      </c>
      <c r="E4" t="s">
        <v>1344</v>
      </c>
      <c r="F4" t="s">
        <v>1345</v>
      </c>
      <c r="G4" s="190" t="s">
        <v>1346</v>
      </c>
      <c r="H4" s="190">
        <v>74.630160000000004</v>
      </c>
      <c r="I4" s="190">
        <v>72.176389999999998</v>
      </c>
      <c r="J4" s="190">
        <v>69.722619999999992</v>
      </c>
      <c r="K4" s="190">
        <v>67.268849999999986</v>
      </c>
      <c r="L4" s="190">
        <v>64.81507999999998</v>
      </c>
      <c r="M4" s="190">
        <v>62.361309999999982</v>
      </c>
      <c r="N4" s="190">
        <v>59.907539999999983</v>
      </c>
      <c r="O4" s="190">
        <v>57.453769999999984</v>
      </c>
      <c r="P4" s="190">
        <v>55</v>
      </c>
      <c r="Q4" s="190">
        <v>54.85</v>
      </c>
      <c r="R4" s="190">
        <v>54.7</v>
      </c>
      <c r="S4" s="190">
        <v>54.550000000000004</v>
      </c>
      <c r="T4" s="190">
        <v>54.400000000000006</v>
      </c>
      <c r="U4" s="190">
        <v>54.250000000000007</v>
      </c>
      <c r="V4" s="190">
        <v>54.100000000000009</v>
      </c>
      <c r="W4" s="190">
        <v>53.95000000000001</v>
      </c>
      <c r="X4" s="190">
        <v>53.800000000000011</v>
      </c>
      <c r="Y4" s="190">
        <v>53.650000000000013</v>
      </c>
      <c r="Z4" s="190">
        <v>53.500000000000014</v>
      </c>
      <c r="AA4" s="190">
        <v>53.350000000000016</v>
      </c>
      <c r="AB4" s="190">
        <v>53.200000000000017</v>
      </c>
      <c r="AC4" s="190">
        <v>53.050000000000018</v>
      </c>
      <c r="AD4" s="190">
        <v>52.90000000000002</v>
      </c>
      <c r="AE4" s="190">
        <v>52.750000000000021</v>
      </c>
      <c r="AF4" s="190">
        <v>52.600000000000023</v>
      </c>
      <c r="AG4" s="190">
        <v>52.450000000000024</v>
      </c>
      <c r="AH4" s="190">
        <v>52.300000000000026</v>
      </c>
      <c r="AI4" s="190">
        <v>52.150000000000027</v>
      </c>
      <c r="AJ4" s="190">
        <v>52</v>
      </c>
    </row>
    <row r="5" spans="1:36" hidden="1" x14ac:dyDescent="0.35">
      <c r="A5" t="s">
        <v>1349</v>
      </c>
      <c r="B5" s="188" t="s">
        <v>1342</v>
      </c>
      <c r="C5" t="s">
        <v>1350</v>
      </c>
      <c r="D5" s="188">
        <v>30</v>
      </c>
      <c r="E5" t="s">
        <v>1344</v>
      </c>
      <c r="F5" t="s">
        <v>1345</v>
      </c>
      <c r="G5" s="190" t="s">
        <v>1346</v>
      </c>
      <c r="H5" s="190">
        <v>74.630160000000004</v>
      </c>
      <c r="I5" s="190">
        <v>74.630160000000004</v>
      </c>
      <c r="J5" s="190">
        <v>74.630160000000004</v>
      </c>
      <c r="K5" s="190">
        <v>74.630160000000004</v>
      </c>
      <c r="L5" s="190">
        <v>74.630160000000004</v>
      </c>
      <c r="M5" s="190">
        <v>74.630160000000004</v>
      </c>
      <c r="N5" s="190">
        <v>74.630160000000004</v>
      </c>
      <c r="O5" s="190">
        <v>74.630160000000004</v>
      </c>
      <c r="P5" s="190">
        <v>74.630160000000004</v>
      </c>
      <c r="Q5" s="190">
        <v>74.630160000000004</v>
      </c>
      <c r="R5" s="190">
        <v>74.630160000000004</v>
      </c>
      <c r="S5" s="190">
        <v>74.630160000000004</v>
      </c>
      <c r="T5" s="190">
        <v>74.630160000000004</v>
      </c>
      <c r="U5" s="190">
        <v>74.630160000000004</v>
      </c>
      <c r="V5" s="190">
        <v>74.630160000000004</v>
      </c>
      <c r="W5" s="190">
        <v>74.630160000000004</v>
      </c>
      <c r="X5" s="190">
        <v>74.630160000000004</v>
      </c>
      <c r="Y5" s="190">
        <v>74.630160000000004</v>
      </c>
      <c r="Z5" s="190">
        <v>74.630160000000004</v>
      </c>
      <c r="AA5" s="190">
        <v>74.630160000000004</v>
      </c>
      <c r="AB5" s="190">
        <v>74.630160000000004</v>
      </c>
      <c r="AC5" s="190">
        <v>74.630160000000004</v>
      </c>
      <c r="AD5" s="190">
        <v>74.630160000000004</v>
      </c>
      <c r="AE5" s="190">
        <v>74.630160000000004</v>
      </c>
      <c r="AF5" s="190">
        <v>74.630160000000004</v>
      </c>
      <c r="AG5" s="190">
        <v>74.630160000000004</v>
      </c>
      <c r="AH5" s="190">
        <v>74.630160000000004</v>
      </c>
      <c r="AI5" s="190">
        <v>74.630160000000004</v>
      </c>
      <c r="AJ5" s="190">
        <v>74.630160000000004</v>
      </c>
    </row>
    <row r="6" spans="1:36" hidden="1" x14ac:dyDescent="0.35">
      <c r="A6" t="s">
        <v>1351</v>
      </c>
      <c r="B6" s="188" t="s">
        <v>1342</v>
      </c>
      <c r="C6" t="s">
        <v>1343</v>
      </c>
      <c r="D6" s="188">
        <v>30</v>
      </c>
      <c r="E6" t="s">
        <v>1344</v>
      </c>
      <c r="F6" t="s">
        <v>1352</v>
      </c>
      <c r="G6" s="190" t="s">
        <v>1353</v>
      </c>
      <c r="H6" s="190">
        <v>74.630160000000004</v>
      </c>
      <c r="I6" s="190">
        <v>70.926389999999998</v>
      </c>
      <c r="J6" s="190">
        <v>67.222619999999992</v>
      </c>
      <c r="K6" s="190">
        <v>63.518849999999993</v>
      </c>
      <c r="L6" s="190">
        <v>59.815079999999995</v>
      </c>
      <c r="M6" s="190">
        <v>56.111309999999996</v>
      </c>
      <c r="N6" s="190">
        <v>52.407539999999997</v>
      </c>
      <c r="O6" s="190">
        <v>48.703769999999999</v>
      </c>
      <c r="P6" s="190">
        <v>45</v>
      </c>
      <c r="Q6" s="190">
        <v>44.75</v>
      </c>
      <c r="R6" s="190">
        <v>44.5</v>
      </c>
      <c r="S6" s="190">
        <v>44.25</v>
      </c>
      <c r="T6" s="190">
        <v>44</v>
      </c>
      <c r="U6" s="190">
        <v>43.75</v>
      </c>
      <c r="V6" s="190">
        <v>43.5</v>
      </c>
      <c r="W6" s="190">
        <v>43.25</v>
      </c>
      <c r="X6" s="190">
        <v>43</v>
      </c>
      <c r="Y6" s="190">
        <v>42.75</v>
      </c>
      <c r="Z6" s="190">
        <v>42.5</v>
      </c>
      <c r="AA6" s="190">
        <v>42.25</v>
      </c>
      <c r="AB6" s="190">
        <v>42</v>
      </c>
      <c r="AC6" s="190">
        <v>41.75</v>
      </c>
      <c r="AD6" s="190">
        <v>41.5</v>
      </c>
      <c r="AE6" s="190">
        <v>41.25</v>
      </c>
      <c r="AF6" s="190">
        <v>41</v>
      </c>
      <c r="AG6" s="190">
        <v>40.75</v>
      </c>
      <c r="AH6" s="190">
        <v>40.5</v>
      </c>
      <c r="AI6" s="190">
        <v>40.25</v>
      </c>
      <c r="AJ6" s="190">
        <v>40</v>
      </c>
    </row>
    <row r="7" spans="1:36" hidden="1" x14ac:dyDescent="0.35">
      <c r="A7" t="s">
        <v>1354</v>
      </c>
      <c r="B7" s="188" t="s">
        <v>1342</v>
      </c>
      <c r="C7" t="s">
        <v>1348</v>
      </c>
      <c r="D7" s="188">
        <v>30</v>
      </c>
      <c r="E7" t="s">
        <v>1344</v>
      </c>
      <c r="F7" t="s">
        <v>1352</v>
      </c>
      <c r="G7" s="190" t="s">
        <v>1353</v>
      </c>
      <c r="H7" s="190">
        <v>74.630160000000004</v>
      </c>
      <c r="I7" s="190">
        <v>72.176389999999998</v>
      </c>
      <c r="J7" s="190">
        <v>69.722619999999992</v>
      </c>
      <c r="K7" s="190">
        <v>67.268849999999986</v>
      </c>
      <c r="L7" s="190">
        <v>64.81507999999998</v>
      </c>
      <c r="M7" s="190">
        <v>62.361309999999982</v>
      </c>
      <c r="N7" s="190">
        <v>59.907539999999983</v>
      </c>
      <c r="O7" s="190">
        <v>57.453769999999984</v>
      </c>
      <c r="P7" s="190">
        <v>55</v>
      </c>
      <c r="Q7" s="190">
        <v>54.85</v>
      </c>
      <c r="R7" s="190">
        <v>54.7</v>
      </c>
      <c r="S7" s="190">
        <v>54.550000000000004</v>
      </c>
      <c r="T7" s="190">
        <v>54.400000000000006</v>
      </c>
      <c r="U7" s="190">
        <v>54.250000000000007</v>
      </c>
      <c r="V7" s="190">
        <v>54.100000000000009</v>
      </c>
      <c r="W7" s="190">
        <v>53.95000000000001</v>
      </c>
      <c r="X7" s="190">
        <v>53.800000000000011</v>
      </c>
      <c r="Y7" s="190">
        <v>53.650000000000013</v>
      </c>
      <c r="Z7" s="190">
        <v>53.500000000000014</v>
      </c>
      <c r="AA7" s="190">
        <v>53.350000000000016</v>
      </c>
      <c r="AB7" s="190">
        <v>53.200000000000017</v>
      </c>
      <c r="AC7" s="190">
        <v>53.050000000000018</v>
      </c>
      <c r="AD7" s="190">
        <v>52.90000000000002</v>
      </c>
      <c r="AE7" s="190">
        <v>52.750000000000021</v>
      </c>
      <c r="AF7" s="190">
        <v>52.600000000000023</v>
      </c>
      <c r="AG7" s="190">
        <v>52.450000000000024</v>
      </c>
      <c r="AH7" s="190">
        <v>52.300000000000026</v>
      </c>
      <c r="AI7" s="190">
        <v>52.150000000000027</v>
      </c>
      <c r="AJ7" s="190">
        <v>52</v>
      </c>
    </row>
    <row r="8" spans="1:36" hidden="1" x14ac:dyDescent="0.35">
      <c r="A8" t="s">
        <v>1355</v>
      </c>
      <c r="B8" s="188" t="s">
        <v>1342</v>
      </c>
      <c r="C8" t="s">
        <v>1350</v>
      </c>
      <c r="D8" s="188">
        <v>30</v>
      </c>
      <c r="E8" t="s">
        <v>1344</v>
      </c>
      <c r="F8" t="s">
        <v>1352</v>
      </c>
      <c r="G8" s="190" t="s">
        <v>1353</v>
      </c>
      <c r="H8" s="190">
        <v>74.630160000000004</v>
      </c>
      <c r="I8" s="190">
        <v>74.630160000000004</v>
      </c>
      <c r="J8" s="190">
        <v>74.630160000000004</v>
      </c>
      <c r="K8" s="190">
        <v>74.630160000000004</v>
      </c>
      <c r="L8" s="190">
        <v>74.630160000000004</v>
      </c>
      <c r="M8" s="190">
        <v>74.630160000000004</v>
      </c>
      <c r="N8" s="190">
        <v>74.630160000000004</v>
      </c>
      <c r="O8" s="190">
        <v>74.630160000000004</v>
      </c>
      <c r="P8" s="190">
        <v>74.630160000000004</v>
      </c>
      <c r="Q8" s="190">
        <v>74.630160000000004</v>
      </c>
      <c r="R8" s="190">
        <v>74.630160000000004</v>
      </c>
      <c r="S8" s="190">
        <v>74.630160000000004</v>
      </c>
      <c r="T8" s="190">
        <v>74.630160000000004</v>
      </c>
      <c r="U8" s="190">
        <v>74.630160000000004</v>
      </c>
      <c r="V8" s="190">
        <v>74.630160000000004</v>
      </c>
      <c r="W8" s="190">
        <v>74.630160000000004</v>
      </c>
      <c r="X8" s="190">
        <v>74.630160000000004</v>
      </c>
      <c r="Y8" s="190">
        <v>74.630160000000004</v>
      </c>
      <c r="Z8" s="190">
        <v>74.630160000000004</v>
      </c>
      <c r="AA8" s="190">
        <v>74.630160000000004</v>
      </c>
      <c r="AB8" s="190">
        <v>74.630160000000004</v>
      </c>
      <c r="AC8" s="190">
        <v>74.630160000000004</v>
      </c>
      <c r="AD8" s="190">
        <v>74.630160000000004</v>
      </c>
      <c r="AE8" s="190">
        <v>74.630160000000004</v>
      </c>
      <c r="AF8" s="190">
        <v>74.630160000000004</v>
      </c>
      <c r="AG8" s="190">
        <v>74.630160000000004</v>
      </c>
      <c r="AH8" s="190">
        <v>74.630160000000004</v>
      </c>
      <c r="AI8" s="190">
        <v>74.630160000000004</v>
      </c>
      <c r="AJ8" s="190">
        <v>74.630160000000004</v>
      </c>
    </row>
    <row r="9" spans="1:36" hidden="1" x14ac:dyDescent="0.35">
      <c r="A9" t="s">
        <v>1356</v>
      </c>
      <c r="B9" s="188" t="s">
        <v>1342</v>
      </c>
      <c r="C9" t="s">
        <v>1343</v>
      </c>
      <c r="D9" s="188">
        <v>30</v>
      </c>
      <c r="E9" t="s">
        <v>1344</v>
      </c>
      <c r="F9" t="s">
        <v>1357</v>
      </c>
      <c r="G9" s="190" t="s">
        <v>1358</v>
      </c>
      <c r="H9" s="190">
        <v>74.630160000000004</v>
      </c>
      <c r="I9" s="190">
        <v>70.926389999999998</v>
      </c>
      <c r="J9" s="190">
        <v>67.222619999999992</v>
      </c>
      <c r="K9" s="190">
        <v>63.518849999999993</v>
      </c>
      <c r="L9" s="190">
        <v>59.815079999999995</v>
      </c>
      <c r="M9" s="190">
        <v>56.111309999999996</v>
      </c>
      <c r="N9" s="190">
        <v>52.407539999999997</v>
      </c>
      <c r="O9" s="190">
        <v>48.703769999999999</v>
      </c>
      <c r="P9" s="190">
        <v>45</v>
      </c>
      <c r="Q9" s="190">
        <v>44.75</v>
      </c>
      <c r="R9" s="190">
        <v>44.5</v>
      </c>
      <c r="S9" s="190">
        <v>44.25</v>
      </c>
      <c r="T9" s="190">
        <v>44</v>
      </c>
      <c r="U9" s="190">
        <v>43.75</v>
      </c>
      <c r="V9" s="190">
        <v>43.5</v>
      </c>
      <c r="W9" s="190">
        <v>43.25</v>
      </c>
      <c r="X9" s="190">
        <v>43</v>
      </c>
      <c r="Y9" s="190">
        <v>42.75</v>
      </c>
      <c r="Z9" s="190">
        <v>42.5</v>
      </c>
      <c r="AA9" s="190">
        <v>42.25</v>
      </c>
      <c r="AB9" s="190">
        <v>42</v>
      </c>
      <c r="AC9" s="190">
        <v>41.75</v>
      </c>
      <c r="AD9" s="190">
        <v>41.5</v>
      </c>
      <c r="AE9" s="190">
        <v>41.25</v>
      </c>
      <c r="AF9" s="190">
        <v>41</v>
      </c>
      <c r="AG9" s="190">
        <v>40.75</v>
      </c>
      <c r="AH9" s="190">
        <v>40.5</v>
      </c>
      <c r="AI9" s="190">
        <v>40.25</v>
      </c>
      <c r="AJ9" s="190">
        <v>40</v>
      </c>
    </row>
    <row r="10" spans="1:36" hidden="1" x14ac:dyDescent="0.35">
      <c r="A10" t="s">
        <v>1359</v>
      </c>
      <c r="B10" s="188" t="s">
        <v>1342</v>
      </c>
      <c r="C10" t="s">
        <v>1348</v>
      </c>
      <c r="D10" s="188">
        <v>30</v>
      </c>
      <c r="E10" t="s">
        <v>1344</v>
      </c>
      <c r="F10" t="s">
        <v>1357</v>
      </c>
      <c r="G10" s="190" t="s">
        <v>1358</v>
      </c>
      <c r="H10" s="190">
        <v>74.630160000000004</v>
      </c>
      <c r="I10" s="190">
        <v>72.176389999999998</v>
      </c>
      <c r="J10" s="190">
        <v>69.722619999999992</v>
      </c>
      <c r="K10" s="190">
        <v>67.268849999999986</v>
      </c>
      <c r="L10" s="190">
        <v>64.81507999999998</v>
      </c>
      <c r="M10" s="190">
        <v>62.361309999999982</v>
      </c>
      <c r="N10" s="190">
        <v>59.907539999999983</v>
      </c>
      <c r="O10" s="190">
        <v>57.453769999999984</v>
      </c>
      <c r="P10" s="190">
        <v>55</v>
      </c>
      <c r="Q10" s="190">
        <v>54.85</v>
      </c>
      <c r="R10" s="190">
        <v>54.7</v>
      </c>
      <c r="S10" s="190">
        <v>54.550000000000004</v>
      </c>
      <c r="T10" s="190">
        <v>54.400000000000006</v>
      </c>
      <c r="U10" s="190">
        <v>54.250000000000007</v>
      </c>
      <c r="V10" s="190">
        <v>54.100000000000009</v>
      </c>
      <c r="W10" s="190">
        <v>53.95000000000001</v>
      </c>
      <c r="X10" s="190">
        <v>53.800000000000011</v>
      </c>
      <c r="Y10" s="190">
        <v>53.650000000000013</v>
      </c>
      <c r="Z10" s="190">
        <v>53.500000000000014</v>
      </c>
      <c r="AA10" s="190">
        <v>53.350000000000016</v>
      </c>
      <c r="AB10" s="190">
        <v>53.200000000000017</v>
      </c>
      <c r="AC10" s="190">
        <v>53.050000000000018</v>
      </c>
      <c r="AD10" s="190">
        <v>52.90000000000002</v>
      </c>
      <c r="AE10" s="190">
        <v>52.750000000000021</v>
      </c>
      <c r="AF10" s="190">
        <v>52.600000000000023</v>
      </c>
      <c r="AG10" s="190">
        <v>52.450000000000024</v>
      </c>
      <c r="AH10" s="190">
        <v>52.300000000000026</v>
      </c>
      <c r="AI10" s="190">
        <v>52.150000000000027</v>
      </c>
      <c r="AJ10" s="190">
        <v>52</v>
      </c>
    </row>
    <row r="11" spans="1:36" hidden="1" x14ac:dyDescent="0.35">
      <c r="A11" t="s">
        <v>1360</v>
      </c>
      <c r="B11" s="188" t="s">
        <v>1342</v>
      </c>
      <c r="C11" t="s">
        <v>1350</v>
      </c>
      <c r="D11" s="188">
        <v>30</v>
      </c>
      <c r="E11" t="s">
        <v>1344</v>
      </c>
      <c r="F11" t="s">
        <v>1357</v>
      </c>
      <c r="G11" s="190" t="s">
        <v>1358</v>
      </c>
      <c r="H11" s="190">
        <v>74.630160000000004</v>
      </c>
      <c r="I11" s="190">
        <v>74.630160000000004</v>
      </c>
      <c r="J11" s="190">
        <v>74.630160000000004</v>
      </c>
      <c r="K11" s="190">
        <v>74.630160000000004</v>
      </c>
      <c r="L11" s="190">
        <v>74.630160000000004</v>
      </c>
      <c r="M11" s="190">
        <v>74.630160000000004</v>
      </c>
      <c r="N11" s="190">
        <v>74.630160000000004</v>
      </c>
      <c r="O11" s="190">
        <v>74.630160000000004</v>
      </c>
      <c r="P11" s="190">
        <v>74.630160000000004</v>
      </c>
      <c r="Q11" s="190">
        <v>74.630160000000004</v>
      </c>
      <c r="R11" s="190">
        <v>74.630160000000004</v>
      </c>
      <c r="S11" s="190">
        <v>74.630160000000004</v>
      </c>
      <c r="T11" s="190">
        <v>74.630160000000004</v>
      </c>
      <c r="U11" s="190">
        <v>74.630160000000004</v>
      </c>
      <c r="V11" s="190">
        <v>74.630160000000004</v>
      </c>
      <c r="W11" s="190">
        <v>74.630160000000004</v>
      </c>
      <c r="X11" s="190">
        <v>74.630160000000004</v>
      </c>
      <c r="Y11" s="190">
        <v>74.630160000000004</v>
      </c>
      <c r="Z11" s="190">
        <v>74.630160000000004</v>
      </c>
      <c r="AA11" s="190">
        <v>74.630160000000004</v>
      </c>
      <c r="AB11" s="190">
        <v>74.630160000000004</v>
      </c>
      <c r="AC11" s="190">
        <v>74.630160000000004</v>
      </c>
      <c r="AD11" s="190">
        <v>74.630160000000004</v>
      </c>
      <c r="AE11" s="190">
        <v>74.630160000000004</v>
      </c>
      <c r="AF11" s="190">
        <v>74.630160000000004</v>
      </c>
      <c r="AG11" s="190">
        <v>74.630160000000004</v>
      </c>
      <c r="AH11" s="190">
        <v>74.630160000000004</v>
      </c>
      <c r="AI11" s="190">
        <v>74.630160000000004</v>
      </c>
      <c r="AJ11" s="190">
        <v>74.630160000000004</v>
      </c>
    </row>
    <row r="12" spans="1:36" hidden="1" x14ac:dyDescent="0.35">
      <c r="A12" t="s">
        <v>1361</v>
      </c>
      <c r="B12" s="188" t="s">
        <v>1342</v>
      </c>
      <c r="C12" t="s">
        <v>1343</v>
      </c>
      <c r="D12" s="188">
        <v>30</v>
      </c>
      <c r="E12" t="s">
        <v>1362</v>
      </c>
      <c r="F12" t="s">
        <v>1363</v>
      </c>
      <c r="G12" s="190" t="s">
        <v>1364</v>
      </c>
      <c r="H12" s="190" t="s">
        <v>1343</v>
      </c>
      <c r="I12" s="190">
        <v>90.669899999999998</v>
      </c>
      <c r="J12" s="190">
        <v>84.901499999999999</v>
      </c>
      <c r="K12" s="190">
        <v>81.497799999999998</v>
      </c>
      <c r="L12" s="190">
        <v>79.121700000000004</v>
      </c>
      <c r="M12" s="190">
        <v>77.314800000000005</v>
      </c>
      <c r="N12" s="190">
        <v>75.866799999999998</v>
      </c>
      <c r="O12" s="190">
        <v>74.664599999999993</v>
      </c>
      <c r="P12" s="190">
        <v>73.640500000000003</v>
      </c>
      <c r="Q12" s="190">
        <v>72.751099999999994</v>
      </c>
      <c r="R12" s="190">
        <v>71.559299999999993</v>
      </c>
      <c r="S12" s="190">
        <v>70.553200000000004</v>
      </c>
      <c r="T12" s="190">
        <v>69.685400000000001</v>
      </c>
      <c r="U12" s="190">
        <v>68.924400000000006</v>
      </c>
      <c r="V12" s="190">
        <v>68.248099999999994</v>
      </c>
      <c r="W12" s="190">
        <v>67.795900000000003</v>
      </c>
      <c r="X12" s="190">
        <v>67.375799999999998</v>
      </c>
      <c r="Y12" s="190">
        <v>66.983800000000002</v>
      </c>
      <c r="Z12" s="190">
        <v>66.616699999999994</v>
      </c>
      <c r="AA12" s="190">
        <v>66.271600000000007</v>
      </c>
      <c r="AB12" s="190">
        <v>65.946299999999994</v>
      </c>
      <c r="AC12" s="190">
        <v>65.638599999999997</v>
      </c>
      <c r="AD12" s="190">
        <v>65.347099999999998</v>
      </c>
      <c r="AE12" s="190">
        <v>65.069999999999993</v>
      </c>
      <c r="AF12" s="190">
        <v>64.806200000000004</v>
      </c>
      <c r="AG12" s="190">
        <v>64.554500000000004</v>
      </c>
      <c r="AH12" s="190">
        <v>64.313999999999993</v>
      </c>
      <c r="AI12" s="190">
        <v>64.083699999999993</v>
      </c>
      <c r="AJ12" s="190">
        <v>63.862900000000003</v>
      </c>
    </row>
    <row r="13" spans="1:36" hidden="1" x14ac:dyDescent="0.35">
      <c r="A13" t="s">
        <v>1365</v>
      </c>
      <c r="B13" s="188" t="s">
        <v>1342</v>
      </c>
      <c r="C13" t="s">
        <v>1348</v>
      </c>
      <c r="D13" s="188">
        <v>30</v>
      </c>
      <c r="E13" t="s">
        <v>1362</v>
      </c>
      <c r="F13" t="s">
        <v>1363</v>
      </c>
      <c r="G13" s="190" t="s">
        <v>1364</v>
      </c>
      <c r="H13" s="190" t="s">
        <v>1348</v>
      </c>
      <c r="I13" s="190">
        <v>90.669899999999998</v>
      </c>
      <c r="J13" s="190">
        <v>87.587699999999998</v>
      </c>
      <c r="K13" s="190">
        <v>85.400199999999998</v>
      </c>
      <c r="L13" s="190">
        <v>83.716899999999995</v>
      </c>
      <c r="M13" s="190">
        <v>82.355800000000002</v>
      </c>
      <c r="N13" s="190">
        <v>81.217299999999994</v>
      </c>
      <c r="O13" s="190">
        <v>80.241399999999999</v>
      </c>
      <c r="P13" s="190">
        <v>79.389399999999995</v>
      </c>
      <c r="Q13" s="190">
        <v>78.634500000000003</v>
      </c>
      <c r="R13" s="190">
        <v>77.496600000000001</v>
      </c>
      <c r="S13" s="190">
        <v>76.530699999999996</v>
      </c>
      <c r="T13" s="190">
        <v>75.693399999999997</v>
      </c>
      <c r="U13" s="190">
        <v>74.956000000000003</v>
      </c>
      <c r="V13" s="190">
        <v>74.298199999999994</v>
      </c>
      <c r="W13" s="190">
        <v>73.856899999999996</v>
      </c>
      <c r="X13" s="190">
        <v>73.445999999999998</v>
      </c>
      <c r="Y13" s="190">
        <v>73.061700000000002</v>
      </c>
      <c r="Z13" s="190">
        <v>72.700999999999993</v>
      </c>
      <c r="AA13" s="190">
        <v>72.3613</v>
      </c>
      <c r="AB13" s="190">
        <v>72.040400000000005</v>
      </c>
      <c r="AC13" s="190">
        <v>71.736500000000007</v>
      </c>
      <c r="AD13" s="190">
        <v>71.447800000000001</v>
      </c>
      <c r="AE13" s="190">
        <v>71.173100000000005</v>
      </c>
      <c r="AF13" s="190">
        <v>70.911100000000005</v>
      </c>
      <c r="AG13" s="190">
        <v>70.660700000000006</v>
      </c>
      <c r="AH13" s="190">
        <v>70.421099999999996</v>
      </c>
      <c r="AI13" s="190">
        <v>70.191400000000002</v>
      </c>
      <c r="AJ13" s="190">
        <v>69.970699999999994</v>
      </c>
    </row>
    <row r="14" spans="1:36" hidden="1" x14ac:dyDescent="0.35">
      <c r="A14" t="s">
        <v>1366</v>
      </c>
      <c r="B14" s="188" t="s">
        <v>1342</v>
      </c>
      <c r="C14" t="s">
        <v>1350</v>
      </c>
      <c r="D14" s="188">
        <v>30</v>
      </c>
      <c r="E14" t="s">
        <v>1362</v>
      </c>
      <c r="F14" t="s">
        <v>1363</v>
      </c>
      <c r="G14" s="190" t="s">
        <v>1364</v>
      </c>
      <c r="H14" s="190" t="s">
        <v>1350</v>
      </c>
      <c r="I14" s="190">
        <v>90.669899999999998</v>
      </c>
      <c r="J14" s="190">
        <v>90.167900000000003</v>
      </c>
      <c r="K14" s="190">
        <v>89.710499999999996</v>
      </c>
      <c r="L14" s="190">
        <v>89.290700000000001</v>
      </c>
      <c r="M14" s="190">
        <v>88.903000000000006</v>
      </c>
      <c r="N14" s="190">
        <v>88.543099999999995</v>
      </c>
      <c r="O14" s="190">
        <v>88.2072</v>
      </c>
      <c r="P14" s="190">
        <v>87.892600000000002</v>
      </c>
      <c r="Q14" s="190">
        <v>87.596699999999998</v>
      </c>
      <c r="R14" s="190">
        <v>86.765900000000002</v>
      </c>
      <c r="S14" s="190">
        <v>86.0565</v>
      </c>
      <c r="T14" s="190">
        <v>85.438699999999997</v>
      </c>
      <c r="U14" s="190">
        <v>84.892099999999999</v>
      </c>
      <c r="V14" s="190">
        <v>84.402600000000007</v>
      </c>
      <c r="W14" s="190">
        <v>84.0732</v>
      </c>
      <c r="X14" s="190">
        <v>83.765699999999995</v>
      </c>
      <c r="Y14" s="190">
        <v>83.477500000000006</v>
      </c>
      <c r="Z14" s="190">
        <v>83.206400000000002</v>
      </c>
      <c r="AA14" s="190">
        <v>82.950599999999994</v>
      </c>
      <c r="AB14" s="190">
        <v>82.708399999999997</v>
      </c>
      <c r="AC14" s="190">
        <v>82.478499999999997</v>
      </c>
      <c r="AD14" s="190">
        <v>82.259900000000002</v>
      </c>
      <c r="AE14" s="190">
        <v>82.051500000000004</v>
      </c>
      <c r="AF14" s="190">
        <v>81.8523</v>
      </c>
      <c r="AG14" s="190">
        <v>81.661799999999999</v>
      </c>
      <c r="AH14" s="190">
        <v>81.479100000000003</v>
      </c>
      <c r="AI14" s="190">
        <v>81.303700000000006</v>
      </c>
      <c r="AJ14" s="190">
        <v>81.135000000000005</v>
      </c>
    </row>
    <row r="15" spans="1:36" hidden="1" x14ac:dyDescent="0.35">
      <c r="A15" t="s">
        <v>1367</v>
      </c>
      <c r="B15" s="188" t="s">
        <v>1342</v>
      </c>
      <c r="C15" t="s">
        <v>1343</v>
      </c>
      <c r="D15" s="188">
        <v>30</v>
      </c>
      <c r="E15" t="s">
        <v>1362</v>
      </c>
      <c r="F15" t="s">
        <v>1345</v>
      </c>
      <c r="G15" s="190" t="s">
        <v>1368</v>
      </c>
      <c r="H15" s="190" t="s">
        <v>1343</v>
      </c>
      <c r="I15" s="190">
        <v>90.447999999999993</v>
      </c>
      <c r="J15" s="190">
        <v>84.693700000000007</v>
      </c>
      <c r="K15" s="190">
        <v>81.298199999999994</v>
      </c>
      <c r="L15" s="190">
        <v>78.927999999999997</v>
      </c>
      <c r="M15" s="190">
        <v>77.125600000000006</v>
      </c>
      <c r="N15" s="190">
        <v>75.681100000000001</v>
      </c>
      <c r="O15" s="190">
        <v>74.481800000000007</v>
      </c>
      <c r="P15" s="190">
        <v>73.4602</v>
      </c>
      <c r="Q15" s="190">
        <v>72.572999999999993</v>
      </c>
      <c r="R15" s="190">
        <v>71.384100000000004</v>
      </c>
      <c r="S15" s="190">
        <v>70.380499999999998</v>
      </c>
      <c r="T15" s="190">
        <v>69.514799999999994</v>
      </c>
      <c r="U15" s="190">
        <v>68.755700000000004</v>
      </c>
      <c r="V15" s="190">
        <v>68.081000000000003</v>
      </c>
      <c r="W15" s="190">
        <v>67.629900000000006</v>
      </c>
      <c r="X15" s="190">
        <v>67.210800000000006</v>
      </c>
      <c r="Y15" s="190">
        <v>66.819800000000001</v>
      </c>
      <c r="Z15" s="190">
        <v>66.453599999999994</v>
      </c>
      <c r="AA15" s="190">
        <v>66.109399999999994</v>
      </c>
      <c r="AB15" s="190">
        <v>65.784800000000004</v>
      </c>
      <c r="AC15" s="190">
        <v>65.477999999999994</v>
      </c>
      <c r="AD15" s="190">
        <v>65.187100000000001</v>
      </c>
      <c r="AE15" s="190">
        <v>64.910700000000006</v>
      </c>
      <c r="AF15" s="190">
        <v>64.647599999999997</v>
      </c>
      <c r="AG15" s="190">
        <v>64.396500000000003</v>
      </c>
      <c r="AH15" s="190">
        <v>64.156499999999994</v>
      </c>
      <c r="AI15" s="190">
        <v>63.9268</v>
      </c>
      <c r="AJ15" s="190">
        <v>63.706499999999998</v>
      </c>
    </row>
    <row r="16" spans="1:36" hidden="1" x14ac:dyDescent="0.35">
      <c r="A16" t="s">
        <v>1369</v>
      </c>
      <c r="B16" s="188" t="s">
        <v>1342</v>
      </c>
      <c r="C16" t="s">
        <v>1348</v>
      </c>
      <c r="D16" s="188">
        <v>30</v>
      </c>
      <c r="E16" t="s">
        <v>1362</v>
      </c>
      <c r="F16" t="s">
        <v>1345</v>
      </c>
      <c r="G16" s="190" t="s">
        <v>1368</v>
      </c>
      <c r="H16" s="190" t="s">
        <v>1348</v>
      </c>
      <c r="I16" s="190">
        <v>90.447999999999993</v>
      </c>
      <c r="J16" s="190">
        <v>87.3733</v>
      </c>
      <c r="K16" s="190">
        <v>85.191100000000006</v>
      </c>
      <c r="L16" s="190">
        <v>83.512</v>
      </c>
      <c r="M16" s="190">
        <v>82.1541</v>
      </c>
      <c r="N16" s="190">
        <v>81.0184</v>
      </c>
      <c r="O16" s="190">
        <v>80.045000000000002</v>
      </c>
      <c r="P16" s="190">
        <v>79.194999999999993</v>
      </c>
      <c r="Q16" s="190">
        <v>78.441999999999993</v>
      </c>
      <c r="R16" s="190">
        <v>77.306899999999999</v>
      </c>
      <c r="S16" s="190">
        <v>76.343299999999999</v>
      </c>
      <c r="T16" s="190">
        <v>75.508099999999999</v>
      </c>
      <c r="U16" s="190">
        <v>74.772499999999994</v>
      </c>
      <c r="V16" s="190">
        <v>74.116299999999995</v>
      </c>
      <c r="W16" s="190">
        <v>73.676100000000005</v>
      </c>
      <c r="X16" s="190">
        <v>73.266199999999998</v>
      </c>
      <c r="Y16" s="190">
        <v>72.882900000000006</v>
      </c>
      <c r="Z16" s="190">
        <v>72.523099999999999</v>
      </c>
      <c r="AA16" s="190">
        <v>72.184200000000004</v>
      </c>
      <c r="AB16" s="190">
        <v>71.864099999999993</v>
      </c>
      <c r="AC16" s="190">
        <v>71.5608</v>
      </c>
      <c r="AD16" s="190">
        <v>71.272900000000007</v>
      </c>
      <c r="AE16" s="190">
        <v>70.998900000000006</v>
      </c>
      <c r="AF16" s="190">
        <v>70.737499999999997</v>
      </c>
      <c r="AG16" s="190">
        <v>70.487799999999993</v>
      </c>
      <c r="AH16" s="190">
        <v>70.248699999999999</v>
      </c>
      <c r="AI16" s="190">
        <v>70.019499999999994</v>
      </c>
      <c r="AJ16" s="190">
        <v>69.799400000000006</v>
      </c>
    </row>
    <row r="17" spans="1:36" hidden="1" x14ac:dyDescent="0.35">
      <c r="A17" t="s">
        <v>1370</v>
      </c>
      <c r="B17" s="188" t="s">
        <v>1342</v>
      </c>
      <c r="C17" t="s">
        <v>1350</v>
      </c>
      <c r="D17" s="188">
        <v>30</v>
      </c>
      <c r="E17" t="s">
        <v>1362</v>
      </c>
      <c r="F17" t="s">
        <v>1345</v>
      </c>
      <c r="G17" s="190" t="s">
        <v>1368</v>
      </c>
      <c r="H17" s="190" t="s">
        <v>1350</v>
      </c>
      <c r="I17" s="190">
        <v>90.447999999999993</v>
      </c>
      <c r="J17" s="190">
        <v>89.947199999999995</v>
      </c>
      <c r="K17" s="190">
        <v>89.490899999999996</v>
      </c>
      <c r="L17" s="190">
        <v>89.072100000000006</v>
      </c>
      <c r="M17" s="190">
        <v>88.685400000000001</v>
      </c>
      <c r="N17" s="190">
        <v>88.326300000000003</v>
      </c>
      <c r="O17" s="190">
        <v>87.991299999999995</v>
      </c>
      <c r="P17" s="190">
        <v>87.677400000000006</v>
      </c>
      <c r="Q17" s="190">
        <v>87.382300000000001</v>
      </c>
      <c r="R17" s="190">
        <v>86.553399999999996</v>
      </c>
      <c r="S17" s="190">
        <v>85.8459</v>
      </c>
      <c r="T17" s="190">
        <v>85.229500000000002</v>
      </c>
      <c r="U17" s="190">
        <v>84.684299999999993</v>
      </c>
      <c r="V17" s="190">
        <v>84.195999999999998</v>
      </c>
      <c r="W17" s="190">
        <v>83.867400000000004</v>
      </c>
      <c r="X17" s="190">
        <v>83.560699999999997</v>
      </c>
      <c r="Y17" s="190">
        <v>83.273200000000003</v>
      </c>
      <c r="Z17" s="190">
        <v>83.002700000000004</v>
      </c>
      <c r="AA17" s="190">
        <v>82.747500000000002</v>
      </c>
      <c r="AB17" s="190">
        <v>82.505899999999997</v>
      </c>
      <c r="AC17" s="190">
        <v>82.276600000000002</v>
      </c>
      <c r="AD17" s="190">
        <v>82.058499999999995</v>
      </c>
      <c r="AE17" s="190">
        <v>81.8506</v>
      </c>
      <c r="AF17" s="190">
        <v>81.652000000000001</v>
      </c>
      <c r="AG17" s="190">
        <v>81.4619</v>
      </c>
      <c r="AH17" s="190">
        <v>81.279600000000002</v>
      </c>
      <c r="AI17" s="190">
        <v>81.104699999999994</v>
      </c>
      <c r="AJ17" s="190">
        <v>80.936400000000006</v>
      </c>
    </row>
    <row r="18" spans="1:36" hidden="1" x14ac:dyDescent="0.35">
      <c r="A18" t="s">
        <v>1371</v>
      </c>
      <c r="B18" s="188" t="s">
        <v>1342</v>
      </c>
      <c r="C18" t="s">
        <v>1343</v>
      </c>
      <c r="D18" s="188">
        <v>30</v>
      </c>
      <c r="E18" t="s">
        <v>1362</v>
      </c>
      <c r="F18" t="s">
        <v>1352</v>
      </c>
      <c r="G18" s="190" t="s">
        <v>1372</v>
      </c>
      <c r="H18" s="190" t="s">
        <v>1343</v>
      </c>
      <c r="I18" s="190">
        <v>90.527199999999993</v>
      </c>
      <c r="J18" s="190">
        <v>84.767799999999994</v>
      </c>
      <c r="K18" s="190">
        <v>81.369399999999999</v>
      </c>
      <c r="L18" s="190">
        <v>78.997100000000003</v>
      </c>
      <c r="M18" s="190">
        <v>77.193100000000001</v>
      </c>
      <c r="N18" s="190">
        <v>75.747399999999999</v>
      </c>
      <c r="O18" s="190">
        <v>74.546999999999997</v>
      </c>
      <c r="P18" s="190">
        <v>73.524500000000003</v>
      </c>
      <c r="Q18" s="190">
        <v>72.636499999999998</v>
      </c>
      <c r="R18" s="190">
        <v>71.446600000000004</v>
      </c>
      <c r="S18" s="190">
        <v>70.442099999999996</v>
      </c>
      <c r="T18" s="190">
        <v>69.575699999999998</v>
      </c>
      <c r="U18" s="190">
        <v>68.815899999999999</v>
      </c>
      <c r="V18" s="190">
        <v>68.140600000000006</v>
      </c>
      <c r="W18" s="190">
        <v>67.689099999999996</v>
      </c>
      <c r="X18" s="190">
        <v>67.2697</v>
      </c>
      <c r="Y18" s="190">
        <v>66.878299999999996</v>
      </c>
      <c r="Z18" s="190">
        <v>66.511799999999994</v>
      </c>
      <c r="AA18" s="190">
        <v>66.167199999999994</v>
      </c>
      <c r="AB18" s="190">
        <v>65.842399999999998</v>
      </c>
      <c r="AC18" s="190">
        <v>65.535300000000007</v>
      </c>
      <c r="AD18" s="190">
        <v>65.244200000000006</v>
      </c>
      <c r="AE18" s="190">
        <v>64.967500000000001</v>
      </c>
      <c r="AF18" s="190">
        <v>64.7042</v>
      </c>
      <c r="AG18" s="190">
        <v>64.4529</v>
      </c>
      <c r="AH18" s="190">
        <v>64.212699999999998</v>
      </c>
      <c r="AI18" s="190">
        <v>63.982799999999997</v>
      </c>
      <c r="AJ18" s="190">
        <v>63.762300000000003</v>
      </c>
    </row>
    <row r="19" spans="1:36" hidden="1" x14ac:dyDescent="0.35">
      <c r="A19" t="s">
        <v>1373</v>
      </c>
      <c r="B19" s="188" t="s">
        <v>1342</v>
      </c>
      <c r="C19" t="s">
        <v>1348</v>
      </c>
      <c r="D19" s="188">
        <v>30</v>
      </c>
      <c r="E19" t="s">
        <v>1362</v>
      </c>
      <c r="F19" t="s">
        <v>1352</v>
      </c>
      <c r="G19" s="190" t="s">
        <v>1372</v>
      </c>
      <c r="H19" s="190" t="s">
        <v>1348</v>
      </c>
      <c r="I19" s="190">
        <v>90.527199999999993</v>
      </c>
      <c r="J19" s="190">
        <v>87.449799999999996</v>
      </c>
      <c r="K19" s="190">
        <v>85.265699999999995</v>
      </c>
      <c r="L19" s="190">
        <v>83.585099999999997</v>
      </c>
      <c r="M19" s="190">
        <v>82.226100000000002</v>
      </c>
      <c r="N19" s="190">
        <v>81.089399999999998</v>
      </c>
      <c r="O19" s="190">
        <v>80.115099999999998</v>
      </c>
      <c r="P19" s="190">
        <v>79.264399999999995</v>
      </c>
      <c r="Q19" s="190">
        <v>78.5107</v>
      </c>
      <c r="R19" s="190">
        <v>77.374600000000001</v>
      </c>
      <c r="S19" s="190">
        <v>76.4101</v>
      </c>
      <c r="T19" s="190">
        <v>75.574200000000005</v>
      </c>
      <c r="U19" s="190">
        <v>74.837999999999994</v>
      </c>
      <c r="V19" s="190">
        <v>74.181200000000004</v>
      </c>
      <c r="W19" s="190">
        <v>73.740600000000001</v>
      </c>
      <c r="X19" s="190">
        <v>73.330299999999994</v>
      </c>
      <c r="Y19" s="190">
        <v>72.946700000000007</v>
      </c>
      <c r="Z19" s="190">
        <v>72.586600000000004</v>
      </c>
      <c r="AA19" s="190">
        <v>72.247399999999999</v>
      </c>
      <c r="AB19" s="190">
        <v>71.927000000000007</v>
      </c>
      <c r="AC19" s="190">
        <v>71.623500000000007</v>
      </c>
      <c r="AD19" s="190">
        <v>71.335300000000004</v>
      </c>
      <c r="AE19" s="190">
        <v>71.061000000000007</v>
      </c>
      <c r="AF19" s="190">
        <v>70.799400000000006</v>
      </c>
      <c r="AG19" s="190">
        <v>70.549499999999995</v>
      </c>
      <c r="AH19" s="190">
        <v>70.310199999999995</v>
      </c>
      <c r="AI19" s="190">
        <v>70.080799999999996</v>
      </c>
      <c r="AJ19" s="190">
        <v>69.860600000000005</v>
      </c>
    </row>
    <row r="20" spans="1:36" hidden="1" x14ac:dyDescent="0.35">
      <c r="A20" t="s">
        <v>1374</v>
      </c>
      <c r="B20" s="188" t="s">
        <v>1342</v>
      </c>
      <c r="C20" t="s">
        <v>1350</v>
      </c>
      <c r="D20" s="188">
        <v>30</v>
      </c>
      <c r="E20" t="s">
        <v>1362</v>
      </c>
      <c r="F20" t="s">
        <v>1352</v>
      </c>
      <c r="G20" s="190" t="s">
        <v>1372</v>
      </c>
      <c r="H20" s="190" t="s">
        <v>1350</v>
      </c>
      <c r="I20" s="190">
        <v>90.527199999999993</v>
      </c>
      <c r="J20" s="190">
        <v>90.025899999999993</v>
      </c>
      <c r="K20" s="190">
        <v>89.569299999999998</v>
      </c>
      <c r="L20" s="190">
        <v>89.150099999999995</v>
      </c>
      <c r="M20" s="190">
        <v>88.763000000000005</v>
      </c>
      <c r="N20" s="190">
        <v>88.403599999999997</v>
      </c>
      <c r="O20" s="190">
        <v>88.068299999999994</v>
      </c>
      <c r="P20" s="190">
        <v>87.754199999999997</v>
      </c>
      <c r="Q20" s="190">
        <v>87.458799999999997</v>
      </c>
      <c r="R20" s="190">
        <v>86.629199999999997</v>
      </c>
      <c r="S20" s="190">
        <v>85.921000000000006</v>
      </c>
      <c r="T20" s="190">
        <v>85.304199999999994</v>
      </c>
      <c r="U20" s="190">
        <v>84.758499999999998</v>
      </c>
      <c r="V20" s="190">
        <v>84.2697</v>
      </c>
      <c r="W20" s="190">
        <v>83.940799999999996</v>
      </c>
      <c r="X20" s="190">
        <v>83.633799999999994</v>
      </c>
      <c r="Y20" s="190">
        <v>83.346100000000007</v>
      </c>
      <c r="Z20" s="190">
        <v>83.075400000000002</v>
      </c>
      <c r="AA20" s="190">
        <v>82.819900000000004</v>
      </c>
      <c r="AB20" s="190">
        <v>82.578100000000006</v>
      </c>
      <c r="AC20" s="190">
        <v>82.348699999999994</v>
      </c>
      <c r="AD20" s="190">
        <v>82.130399999999995</v>
      </c>
      <c r="AE20" s="190">
        <v>81.922200000000004</v>
      </c>
      <c r="AF20" s="190">
        <v>81.723399999999998</v>
      </c>
      <c r="AG20" s="190">
        <v>81.533199999999994</v>
      </c>
      <c r="AH20" s="190">
        <v>81.350800000000007</v>
      </c>
      <c r="AI20" s="190">
        <v>81.175700000000006</v>
      </c>
      <c r="AJ20" s="190">
        <v>81.007300000000001</v>
      </c>
    </row>
    <row r="21" spans="1:36" hidden="1" x14ac:dyDescent="0.35">
      <c r="A21" t="s">
        <v>1375</v>
      </c>
      <c r="B21" s="188" t="s">
        <v>1342</v>
      </c>
      <c r="C21" t="s">
        <v>1343</v>
      </c>
      <c r="D21" s="188">
        <v>30</v>
      </c>
      <c r="E21" t="s">
        <v>1362</v>
      </c>
      <c r="F21" t="s">
        <v>1376</v>
      </c>
      <c r="G21" s="190" t="s">
        <v>1377</v>
      </c>
      <c r="H21" s="190" t="s">
        <v>1343</v>
      </c>
      <c r="I21" s="190">
        <v>90.390600000000006</v>
      </c>
      <c r="J21" s="190">
        <v>84.64</v>
      </c>
      <c r="K21" s="190">
        <v>81.246700000000004</v>
      </c>
      <c r="L21" s="190">
        <v>78.878</v>
      </c>
      <c r="M21" s="190">
        <v>77.076700000000002</v>
      </c>
      <c r="N21" s="190">
        <v>75.633099999999999</v>
      </c>
      <c r="O21" s="190">
        <v>74.434600000000003</v>
      </c>
      <c r="P21" s="190">
        <v>73.413700000000006</v>
      </c>
      <c r="Q21" s="190">
        <v>72.527000000000001</v>
      </c>
      <c r="R21" s="190">
        <v>71.338800000000006</v>
      </c>
      <c r="S21" s="190">
        <v>70.335899999999995</v>
      </c>
      <c r="T21" s="190">
        <v>69.470799999999997</v>
      </c>
      <c r="U21" s="190">
        <v>68.712100000000007</v>
      </c>
      <c r="V21" s="190">
        <v>68.037899999999993</v>
      </c>
      <c r="W21" s="190">
        <v>67.587000000000003</v>
      </c>
      <c r="X21" s="190">
        <v>67.168199999999999</v>
      </c>
      <c r="Y21" s="190">
        <v>66.777500000000003</v>
      </c>
      <c r="Z21" s="190">
        <v>66.411500000000004</v>
      </c>
      <c r="AA21" s="190">
        <v>66.067499999999995</v>
      </c>
      <c r="AB21" s="190">
        <v>65.743099999999998</v>
      </c>
      <c r="AC21" s="190">
        <v>65.436499999999995</v>
      </c>
      <c r="AD21" s="190">
        <v>65.145799999999994</v>
      </c>
      <c r="AE21" s="190">
        <v>64.869600000000005</v>
      </c>
      <c r="AF21" s="190">
        <v>64.6066</v>
      </c>
      <c r="AG21" s="190">
        <v>64.355699999999999</v>
      </c>
      <c r="AH21" s="190">
        <v>64.115899999999996</v>
      </c>
      <c r="AI21" s="190">
        <v>63.886299999999999</v>
      </c>
      <c r="AJ21" s="190">
        <v>63.6661</v>
      </c>
    </row>
    <row r="22" spans="1:36" hidden="1" x14ac:dyDescent="0.35">
      <c r="A22" t="s">
        <v>1378</v>
      </c>
      <c r="B22" s="188" t="s">
        <v>1342</v>
      </c>
      <c r="C22" t="s">
        <v>1348</v>
      </c>
      <c r="D22" s="188">
        <v>30</v>
      </c>
      <c r="E22" t="s">
        <v>1362</v>
      </c>
      <c r="F22" t="s">
        <v>1376</v>
      </c>
      <c r="G22" s="190" t="s">
        <v>1377</v>
      </c>
      <c r="H22" s="190" t="s">
        <v>1348</v>
      </c>
      <c r="I22" s="190">
        <v>90.390600000000006</v>
      </c>
      <c r="J22" s="190">
        <v>87.317899999999995</v>
      </c>
      <c r="K22" s="190">
        <v>85.137100000000004</v>
      </c>
      <c r="L22" s="190">
        <v>83.459000000000003</v>
      </c>
      <c r="M22" s="190">
        <v>82.102099999999993</v>
      </c>
      <c r="N22" s="190">
        <v>80.967100000000002</v>
      </c>
      <c r="O22" s="190">
        <v>79.994299999999996</v>
      </c>
      <c r="P22" s="190">
        <v>79.144800000000004</v>
      </c>
      <c r="Q22" s="190">
        <v>78.392300000000006</v>
      </c>
      <c r="R22" s="190">
        <v>77.257900000000006</v>
      </c>
      <c r="S22" s="190">
        <v>76.294899999999998</v>
      </c>
      <c r="T22" s="190">
        <v>75.460300000000004</v>
      </c>
      <c r="U22" s="190">
        <v>74.725099999999998</v>
      </c>
      <c r="V22" s="190">
        <v>74.069299999999998</v>
      </c>
      <c r="W22" s="190">
        <v>73.629400000000004</v>
      </c>
      <c r="X22" s="190">
        <v>73.219800000000006</v>
      </c>
      <c r="Y22" s="190">
        <v>72.836699999999993</v>
      </c>
      <c r="Z22" s="190">
        <v>72.477099999999993</v>
      </c>
      <c r="AA22" s="190">
        <v>72.138400000000004</v>
      </c>
      <c r="AB22" s="190">
        <v>71.8185</v>
      </c>
      <c r="AC22" s="190">
        <v>71.515500000000003</v>
      </c>
      <c r="AD22" s="190">
        <v>71.227699999999999</v>
      </c>
      <c r="AE22" s="190">
        <v>70.953800000000001</v>
      </c>
      <c r="AF22" s="190">
        <v>70.692700000000002</v>
      </c>
      <c r="AG22" s="190">
        <v>70.443100000000001</v>
      </c>
      <c r="AH22" s="190">
        <v>70.2042</v>
      </c>
      <c r="AI22" s="190">
        <v>69.975099999999998</v>
      </c>
      <c r="AJ22" s="190">
        <v>69.755200000000002</v>
      </c>
    </row>
    <row r="23" spans="1:36" hidden="1" x14ac:dyDescent="0.35">
      <c r="A23" t="s">
        <v>1379</v>
      </c>
      <c r="B23" s="188" t="s">
        <v>1342</v>
      </c>
      <c r="C23" t="s">
        <v>1350</v>
      </c>
      <c r="D23" s="188">
        <v>30</v>
      </c>
      <c r="E23" t="s">
        <v>1362</v>
      </c>
      <c r="F23" t="s">
        <v>1376</v>
      </c>
      <c r="G23" s="190" t="s">
        <v>1377</v>
      </c>
      <c r="H23" s="190" t="s">
        <v>1350</v>
      </c>
      <c r="I23" s="190">
        <v>90.390600000000006</v>
      </c>
      <c r="J23" s="190">
        <v>89.890199999999993</v>
      </c>
      <c r="K23" s="190">
        <v>89.434200000000004</v>
      </c>
      <c r="L23" s="190">
        <v>89.015699999999995</v>
      </c>
      <c r="M23" s="190">
        <v>88.629199999999997</v>
      </c>
      <c r="N23" s="190">
        <v>88.270300000000006</v>
      </c>
      <c r="O23" s="190">
        <v>87.935500000000005</v>
      </c>
      <c r="P23" s="190">
        <v>87.621799999999993</v>
      </c>
      <c r="Q23" s="190">
        <v>87.326899999999995</v>
      </c>
      <c r="R23" s="190">
        <v>86.498599999999996</v>
      </c>
      <c r="S23" s="190">
        <v>85.791399999999996</v>
      </c>
      <c r="T23" s="190">
        <v>85.1755</v>
      </c>
      <c r="U23" s="190">
        <v>84.630600000000001</v>
      </c>
      <c r="V23" s="190">
        <v>84.142600000000002</v>
      </c>
      <c r="W23" s="190">
        <v>83.8142</v>
      </c>
      <c r="X23" s="190">
        <v>83.5077</v>
      </c>
      <c r="Y23" s="190">
        <v>83.220399999999998</v>
      </c>
      <c r="Z23" s="190">
        <v>82.950100000000006</v>
      </c>
      <c r="AA23" s="190">
        <v>82.694999999999993</v>
      </c>
      <c r="AB23" s="190">
        <v>82.453599999999994</v>
      </c>
      <c r="AC23" s="190">
        <v>82.224500000000006</v>
      </c>
      <c r="AD23" s="190">
        <v>82.006500000000003</v>
      </c>
      <c r="AE23" s="190">
        <v>81.798699999999997</v>
      </c>
      <c r="AF23" s="190">
        <v>81.600200000000001</v>
      </c>
      <c r="AG23" s="190">
        <v>81.410200000000003</v>
      </c>
      <c r="AH23" s="190">
        <v>81.228099999999998</v>
      </c>
      <c r="AI23" s="190">
        <v>81.053299999999993</v>
      </c>
      <c r="AJ23" s="190">
        <v>80.885099999999994</v>
      </c>
    </row>
    <row r="24" spans="1:36" hidden="1" x14ac:dyDescent="0.35">
      <c r="A24" t="s">
        <v>1380</v>
      </c>
      <c r="B24" s="188" t="s">
        <v>1342</v>
      </c>
      <c r="C24" t="s">
        <v>1343</v>
      </c>
      <c r="D24" s="188">
        <v>30</v>
      </c>
      <c r="E24" t="s">
        <v>1362</v>
      </c>
      <c r="F24" t="s">
        <v>1381</v>
      </c>
      <c r="G24" s="190" t="s">
        <v>1382</v>
      </c>
      <c r="H24" s="190" t="s">
        <v>1343</v>
      </c>
      <c r="I24" s="190">
        <v>91.555700000000002</v>
      </c>
      <c r="J24" s="190">
        <v>85.730900000000005</v>
      </c>
      <c r="K24" s="190">
        <v>82.293899999999994</v>
      </c>
      <c r="L24" s="190">
        <v>79.894599999999997</v>
      </c>
      <c r="M24" s="190">
        <v>78.070099999999996</v>
      </c>
      <c r="N24" s="190">
        <v>76.607900000000001</v>
      </c>
      <c r="O24" s="190">
        <v>75.394000000000005</v>
      </c>
      <c r="P24" s="190">
        <v>74.359899999999996</v>
      </c>
      <c r="Q24" s="190">
        <v>73.461799999999997</v>
      </c>
      <c r="R24" s="190">
        <v>72.258300000000006</v>
      </c>
      <c r="S24" s="190">
        <v>71.242400000000004</v>
      </c>
      <c r="T24" s="190">
        <v>70.366200000000006</v>
      </c>
      <c r="U24" s="190">
        <v>69.597700000000003</v>
      </c>
      <c r="V24" s="190">
        <v>68.9148</v>
      </c>
      <c r="W24" s="190">
        <v>68.458100000000002</v>
      </c>
      <c r="X24" s="190">
        <v>68.033900000000003</v>
      </c>
      <c r="Y24" s="190">
        <v>67.638099999999994</v>
      </c>
      <c r="Z24" s="190">
        <v>67.267399999999995</v>
      </c>
      <c r="AA24" s="190">
        <v>66.918999999999997</v>
      </c>
      <c r="AB24" s="190">
        <v>66.590500000000006</v>
      </c>
      <c r="AC24" s="190">
        <v>66.279799999999994</v>
      </c>
      <c r="AD24" s="190">
        <v>65.985399999999998</v>
      </c>
      <c r="AE24" s="190">
        <v>65.705699999999993</v>
      </c>
      <c r="AF24" s="190">
        <v>65.439300000000003</v>
      </c>
      <c r="AG24" s="190">
        <v>65.185100000000006</v>
      </c>
      <c r="AH24" s="190">
        <v>64.9422</v>
      </c>
      <c r="AI24" s="190">
        <v>64.709699999999998</v>
      </c>
      <c r="AJ24" s="190">
        <v>64.486699999999999</v>
      </c>
    </row>
    <row r="25" spans="1:36" hidden="1" x14ac:dyDescent="0.35">
      <c r="A25" t="s">
        <v>1383</v>
      </c>
      <c r="B25" s="188" t="s">
        <v>1342</v>
      </c>
      <c r="C25" t="s">
        <v>1348</v>
      </c>
      <c r="D25" s="188">
        <v>30</v>
      </c>
      <c r="E25" t="s">
        <v>1362</v>
      </c>
      <c r="F25" t="s">
        <v>1381</v>
      </c>
      <c r="G25" s="190" t="s">
        <v>1382</v>
      </c>
      <c r="H25" s="190" t="s">
        <v>1348</v>
      </c>
      <c r="I25" s="190">
        <v>91.555700000000002</v>
      </c>
      <c r="J25" s="190">
        <v>88.443299999999994</v>
      </c>
      <c r="K25" s="190">
        <v>86.234399999999994</v>
      </c>
      <c r="L25" s="190">
        <v>84.534700000000001</v>
      </c>
      <c r="M25" s="190">
        <v>83.160300000000007</v>
      </c>
      <c r="N25" s="190">
        <v>82.010599999999997</v>
      </c>
      <c r="O25" s="190">
        <v>81.025300000000001</v>
      </c>
      <c r="P25" s="190">
        <v>80.164900000000003</v>
      </c>
      <c r="Q25" s="190">
        <v>79.402699999999996</v>
      </c>
      <c r="R25" s="190">
        <v>78.253600000000006</v>
      </c>
      <c r="S25" s="190">
        <v>77.278300000000002</v>
      </c>
      <c r="T25" s="190">
        <v>76.432900000000004</v>
      </c>
      <c r="U25" s="190">
        <v>75.688299999999998</v>
      </c>
      <c r="V25" s="190">
        <v>75.024000000000001</v>
      </c>
      <c r="W25" s="190">
        <v>74.578400000000002</v>
      </c>
      <c r="X25" s="190">
        <v>74.163499999999999</v>
      </c>
      <c r="Y25" s="190">
        <v>73.775499999999994</v>
      </c>
      <c r="Z25" s="190">
        <v>73.411199999999994</v>
      </c>
      <c r="AA25" s="190">
        <v>73.068200000000004</v>
      </c>
      <c r="AB25" s="190">
        <v>72.744200000000006</v>
      </c>
      <c r="AC25" s="190">
        <v>72.437200000000004</v>
      </c>
      <c r="AD25" s="190">
        <v>72.145799999999994</v>
      </c>
      <c r="AE25" s="190">
        <v>71.868399999999994</v>
      </c>
      <c r="AF25" s="190">
        <v>71.603800000000007</v>
      </c>
      <c r="AG25" s="190">
        <v>71.350999999999999</v>
      </c>
      <c r="AH25" s="190">
        <v>71.108999999999995</v>
      </c>
      <c r="AI25" s="190">
        <v>70.876999999999995</v>
      </c>
      <c r="AJ25" s="190">
        <v>70.654300000000006</v>
      </c>
    </row>
    <row r="26" spans="1:36" hidden="1" x14ac:dyDescent="0.35">
      <c r="A26" t="s">
        <v>1384</v>
      </c>
      <c r="B26" s="188" t="s">
        <v>1342</v>
      </c>
      <c r="C26" t="s">
        <v>1350</v>
      </c>
      <c r="D26" s="188">
        <v>30</v>
      </c>
      <c r="E26" t="s">
        <v>1362</v>
      </c>
      <c r="F26" t="s">
        <v>1381</v>
      </c>
      <c r="G26" s="190" t="s">
        <v>1382</v>
      </c>
      <c r="H26" s="190" t="s">
        <v>1350</v>
      </c>
      <c r="I26" s="190">
        <v>91.555700000000002</v>
      </c>
      <c r="J26" s="190">
        <v>91.048699999999997</v>
      </c>
      <c r="K26" s="190">
        <v>90.5869</v>
      </c>
      <c r="L26" s="190">
        <v>90.162999999999997</v>
      </c>
      <c r="M26" s="190">
        <v>89.771500000000003</v>
      </c>
      <c r="N26" s="190">
        <v>89.408000000000001</v>
      </c>
      <c r="O26" s="190">
        <v>89.068899999999999</v>
      </c>
      <c r="P26" s="190">
        <v>88.751199999999997</v>
      </c>
      <c r="Q26" s="190">
        <v>88.452399999999997</v>
      </c>
      <c r="R26" s="190">
        <v>87.613399999999999</v>
      </c>
      <c r="S26" s="190">
        <v>86.897199999999998</v>
      </c>
      <c r="T26" s="190">
        <v>86.273300000000006</v>
      </c>
      <c r="U26" s="190">
        <v>85.721400000000003</v>
      </c>
      <c r="V26" s="190">
        <v>85.227099999999993</v>
      </c>
      <c r="W26" s="190">
        <v>84.894499999999994</v>
      </c>
      <c r="X26" s="190">
        <v>84.584000000000003</v>
      </c>
      <c r="Y26" s="190">
        <v>84.293000000000006</v>
      </c>
      <c r="Z26" s="190">
        <v>84.019199999999998</v>
      </c>
      <c r="AA26" s="190">
        <v>83.760900000000007</v>
      </c>
      <c r="AB26" s="190">
        <v>83.516300000000001</v>
      </c>
      <c r="AC26" s="190">
        <v>83.284199999999998</v>
      </c>
      <c r="AD26" s="190">
        <v>83.063500000000005</v>
      </c>
      <c r="AE26" s="190">
        <v>82.852999999999994</v>
      </c>
      <c r="AF26" s="190">
        <v>82.651899999999998</v>
      </c>
      <c r="AG26" s="190">
        <v>82.459500000000006</v>
      </c>
      <c r="AH26" s="190">
        <v>82.275000000000006</v>
      </c>
      <c r="AI26" s="190">
        <v>82.097899999999996</v>
      </c>
      <c r="AJ26" s="190">
        <v>81.927599999999998</v>
      </c>
    </row>
    <row r="27" spans="1:36" hidden="1" x14ac:dyDescent="0.35">
      <c r="A27" t="s">
        <v>1385</v>
      </c>
      <c r="B27" s="188" t="s">
        <v>1342</v>
      </c>
      <c r="C27" t="s">
        <v>1343</v>
      </c>
      <c r="D27" s="188">
        <v>30</v>
      </c>
      <c r="E27" t="s">
        <v>1362</v>
      </c>
      <c r="F27" t="s">
        <v>1386</v>
      </c>
      <c r="G27" s="190" t="s">
        <v>1387</v>
      </c>
      <c r="H27" s="190" t="s">
        <v>1343</v>
      </c>
      <c r="I27" s="190">
        <v>90.822199999999995</v>
      </c>
      <c r="J27" s="190">
        <v>85.0441</v>
      </c>
      <c r="K27" s="190">
        <v>81.634600000000006</v>
      </c>
      <c r="L27" s="190">
        <v>79.254599999999996</v>
      </c>
      <c r="M27" s="190">
        <v>77.444699999999997</v>
      </c>
      <c r="N27" s="190">
        <v>75.994200000000006</v>
      </c>
      <c r="O27" s="190">
        <v>74.790000000000006</v>
      </c>
      <c r="P27" s="190">
        <v>73.764200000000002</v>
      </c>
      <c r="Q27" s="190">
        <v>72.873199999999997</v>
      </c>
      <c r="R27" s="190">
        <v>71.679400000000001</v>
      </c>
      <c r="S27" s="190">
        <v>70.671700000000001</v>
      </c>
      <c r="T27" s="190">
        <v>69.802400000000006</v>
      </c>
      <c r="U27" s="190">
        <v>69.040199999999999</v>
      </c>
      <c r="V27" s="190">
        <v>68.362700000000004</v>
      </c>
      <c r="W27" s="190">
        <v>67.909700000000001</v>
      </c>
      <c r="X27" s="190">
        <v>67.488900000000001</v>
      </c>
      <c r="Y27" s="190">
        <v>67.096299999999999</v>
      </c>
      <c r="Z27" s="190">
        <v>66.728499999999997</v>
      </c>
      <c r="AA27" s="190">
        <v>66.382900000000006</v>
      </c>
      <c r="AB27" s="190">
        <v>66.057000000000002</v>
      </c>
      <c r="AC27" s="190">
        <v>65.748900000000006</v>
      </c>
      <c r="AD27" s="190">
        <v>65.456800000000001</v>
      </c>
      <c r="AE27" s="190">
        <v>65.179299999999998</v>
      </c>
      <c r="AF27" s="190">
        <v>64.915000000000006</v>
      </c>
      <c r="AG27" s="190">
        <v>64.662899999999993</v>
      </c>
      <c r="AH27" s="190">
        <v>64.421999999999997</v>
      </c>
      <c r="AI27" s="190">
        <v>64.191299999999998</v>
      </c>
      <c r="AJ27" s="190">
        <v>63.970100000000002</v>
      </c>
    </row>
    <row r="28" spans="1:36" hidden="1" x14ac:dyDescent="0.35">
      <c r="A28" t="s">
        <v>1388</v>
      </c>
      <c r="B28" s="188" t="s">
        <v>1342</v>
      </c>
      <c r="C28" t="s">
        <v>1348</v>
      </c>
      <c r="D28" s="188">
        <v>30</v>
      </c>
      <c r="E28" t="s">
        <v>1362</v>
      </c>
      <c r="F28" t="s">
        <v>1386</v>
      </c>
      <c r="G28" s="190" t="s">
        <v>1387</v>
      </c>
      <c r="H28" s="190" t="s">
        <v>1348</v>
      </c>
      <c r="I28" s="190">
        <v>90.822199999999995</v>
      </c>
      <c r="J28" s="190">
        <v>87.734800000000007</v>
      </c>
      <c r="K28" s="190">
        <v>85.543599999999998</v>
      </c>
      <c r="L28" s="190">
        <v>83.857500000000002</v>
      </c>
      <c r="M28" s="190">
        <v>82.494100000000003</v>
      </c>
      <c r="N28" s="190">
        <v>81.353700000000003</v>
      </c>
      <c r="O28" s="190">
        <v>80.376199999999997</v>
      </c>
      <c r="P28" s="190">
        <v>79.5227</v>
      </c>
      <c r="Q28" s="190">
        <v>78.766599999999997</v>
      </c>
      <c r="R28" s="190">
        <v>77.626800000000003</v>
      </c>
      <c r="S28" s="190">
        <v>76.659199999999998</v>
      </c>
      <c r="T28" s="190">
        <v>75.820599999999999</v>
      </c>
      <c r="U28" s="190">
        <v>75.081900000000005</v>
      </c>
      <c r="V28" s="190">
        <v>74.422899999999998</v>
      </c>
      <c r="W28" s="190">
        <v>73.980900000000005</v>
      </c>
      <c r="X28" s="190">
        <v>73.569299999999998</v>
      </c>
      <c r="Y28" s="190">
        <v>73.184399999999997</v>
      </c>
      <c r="Z28" s="190">
        <v>72.823099999999997</v>
      </c>
      <c r="AA28" s="190">
        <v>72.482900000000001</v>
      </c>
      <c r="AB28" s="190">
        <v>72.1614</v>
      </c>
      <c r="AC28" s="190">
        <v>71.856899999999996</v>
      </c>
      <c r="AD28" s="190">
        <v>71.567800000000005</v>
      </c>
      <c r="AE28" s="190">
        <v>71.292599999999993</v>
      </c>
      <c r="AF28" s="190">
        <v>71.030199999999994</v>
      </c>
      <c r="AG28" s="190">
        <v>70.779399999999995</v>
      </c>
      <c r="AH28" s="190">
        <v>70.539400000000001</v>
      </c>
      <c r="AI28" s="190">
        <v>70.309200000000004</v>
      </c>
      <c r="AJ28" s="190">
        <v>70.088200000000001</v>
      </c>
    </row>
    <row r="29" spans="1:36" hidden="1" x14ac:dyDescent="0.35">
      <c r="A29" t="s">
        <v>1389</v>
      </c>
      <c r="B29" s="188" t="s">
        <v>1342</v>
      </c>
      <c r="C29" t="s">
        <v>1350</v>
      </c>
      <c r="D29" s="188">
        <v>30</v>
      </c>
      <c r="E29" t="s">
        <v>1362</v>
      </c>
      <c r="F29" t="s">
        <v>1386</v>
      </c>
      <c r="G29" s="190" t="s">
        <v>1387</v>
      </c>
      <c r="H29" s="190" t="s">
        <v>1350</v>
      </c>
      <c r="I29" s="190">
        <v>90.822199999999995</v>
      </c>
      <c r="J29" s="190">
        <v>90.319299999999998</v>
      </c>
      <c r="K29" s="190">
        <v>89.861199999999997</v>
      </c>
      <c r="L29" s="190">
        <v>89.440700000000007</v>
      </c>
      <c r="M29" s="190">
        <v>89.052300000000002</v>
      </c>
      <c r="N29" s="190">
        <v>88.691699999999997</v>
      </c>
      <c r="O29" s="190">
        <v>88.3553</v>
      </c>
      <c r="P29" s="190">
        <v>88.040199999999999</v>
      </c>
      <c r="Q29" s="190">
        <v>87.743799999999993</v>
      </c>
      <c r="R29" s="190">
        <v>86.911600000000007</v>
      </c>
      <c r="S29" s="190">
        <v>86.200999999999993</v>
      </c>
      <c r="T29" s="190">
        <v>85.5822</v>
      </c>
      <c r="U29" s="190">
        <v>85.034700000000001</v>
      </c>
      <c r="V29" s="190">
        <v>84.544300000000007</v>
      </c>
      <c r="W29" s="190">
        <v>84.214399999999998</v>
      </c>
      <c r="X29" s="190">
        <v>83.906400000000005</v>
      </c>
      <c r="Y29" s="190">
        <v>83.617699999999999</v>
      </c>
      <c r="Z29" s="190">
        <v>83.346199999999996</v>
      </c>
      <c r="AA29" s="190">
        <v>83.0899</v>
      </c>
      <c r="AB29" s="190">
        <v>82.847300000000004</v>
      </c>
      <c r="AC29" s="190">
        <v>82.617000000000004</v>
      </c>
      <c r="AD29" s="190">
        <v>82.397999999999996</v>
      </c>
      <c r="AE29" s="190">
        <v>82.1892</v>
      </c>
      <c r="AF29" s="190">
        <v>81.989800000000002</v>
      </c>
      <c r="AG29" s="190">
        <v>81.798900000000003</v>
      </c>
      <c r="AH29" s="190">
        <v>81.615899999999996</v>
      </c>
      <c r="AI29" s="190">
        <v>81.440200000000004</v>
      </c>
      <c r="AJ29" s="190">
        <v>81.271299999999997</v>
      </c>
    </row>
    <row r="30" spans="1:36" hidden="1" x14ac:dyDescent="0.35">
      <c r="A30" t="s">
        <v>1390</v>
      </c>
      <c r="B30" s="188" t="s">
        <v>1342</v>
      </c>
      <c r="C30" t="s">
        <v>1343</v>
      </c>
      <c r="D30" s="188">
        <v>30</v>
      </c>
      <c r="E30" t="s">
        <v>1362</v>
      </c>
      <c r="F30" t="s">
        <v>1391</v>
      </c>
      <c r="G30" s="190" t="s">
        <v>1392</v>
      </c>
      <c r="H30" s="190" t="s">
        <v>1343</v>
      </c>
      <c r="I30" s="190">
        <v>91.018199999999993</v>
      </c>
      <c r="J30" s="190">
        <v>85.227599999999995</v>
      </c>
      <c r="K30" s="190">
        <v>81.8108</v>
      </c>
      <c r="L30" s="190">
        <v>79.425700000000006</v>
      </c>
      <c r="M30" s="190">
        <v>77.611800000000002</v>
      </c>
      <c r="N30" s="190">
        <v>76.158299999999997</v>
      </c>
      <c r="O30" s="190">
        <v>74.951400000000007</v>
      </c>
      <c r="P30" s="190">
        <v>73.923400000000001</v>
      </c>
      <c r="Q30" s="190">
        <v>73.030500000000004</v>
      </c>
      <c r="R30" s="190">
        <v>71.834100000000007</v>
      </c>
      <c r="S30" s="190">
        <v>70.824200000000005</v>
      </c>
      <c r="T30" s="190">
        <v>69.953100000000006</v>
      </c>
      <c r="U30" s="190">
        <v>69.1892</v>
      </c>
      <c r="V30" s="190">
        <v>68.510199999999998</v>
      </c>
      <c r="W30" s="190">
        <v>68.056299999999993</v>
      </c>
      <c r="X30" s="190">
        <v>67.634600000000006</v>
      </c>
      <c r="Y30" s="190">
        <v>67.241100000000003</v>
      </c>
      <c r="Z30" s="190">
        <v>66.872600000000006</v>
      </c>
      <c r="AA30" s="190">
        <v>66.526200000000003</v>
      </c>
      <c r="AB30" s="190">
        <v>66.199600000000004</v>
      </c>
      <c r="AC30" s="190">
        <v>65.890799999999999</v>
      </c>
      <c r="AD30" s="190">
        <v>65.598100000000002</v>
      </c>
      <c r="AE30" s="190">
        <v>65.319999999999993</v>
      </c>
      <c r="AF30" s="190">
        <v>65.055099999999996</v>
      </c>
      <c r="AG30" s="190">
        <v>64.802499999999995</v>
      </c>
      <c r="AH30" s="190">
        <v>64.561000000000007</v>
      </c>
      <c r="AI30" s="190">
        <v>64.329800000000006</v>
      </c>
      <c r="AJ30" s="190">
        <v>64.108199999999997</v>
      </c>
    </row>
    <row r="31" spans="1:36" hidden="1" x14ac:dyDescent="0.35">
      <c r="A31" t="s">
        <v>1393</v>
      </c>
      <c r="B31" s="188" t="s">
        <v>1342</v>
      </c>
      <c r="C31" t="s">
        <v>1348</v>
      </c>
      <c r="D31" s="188">
        <v>30</v>
      </c>
      <c r="E31" t="s">
        <v>1362</v>
      </c>
      <c r="F31" t="s">
        <v>1391</v>
      </c>
      <c r="G31" s="190" t="s">
        <v>1392</v>
      </c>
      <c r="H31" s="190" t="s">
        <v>1348</v>
      </c>
      <c r="I31" s="190">
        <v>91.018199999999993</v>
      </c>
      <c r="J31" s="190">
        <v>87.924199999999999</v>
      </c>
      <c r="K31" s="190">
        <v>85.728200000000001</v>
      </c>
      <c r="L31" s="190">
        <v>84.038499999999999</v>
      </c>
      <c r="M31" s="190">
        <v>82.6721</v>
      </c>
      <c r="N31" s="190">
        <v>81.529200000000003</v>
      </c>
      <c r="O31" s="190">
        <v>80.549700000000001</v>
      </c>
      <c r="P31" s="190">
        <v>79.694299999999998</v>
      </c>
      <c r="Q31" s="190">
        <v>78.936599999999999</v>
      </c>
      <c r="R31" s="190">
        <v>77.794300000000007</v>
      </c>
      <c r="S31" s="190">
        <v>76.824600000000004</v>
      </c>
      <c r="T31" s="190">
        <v>75.984200000000001</v>
      </c>
      <c r="U31" s="190">
        <v>75.244</v>
      </c>
      <c r="V31" s="190">
        <v>74.583600000000004</v>
      </c>
      <c r="W31" s="190">
        <v>74.140600000000006</v>
      </c>
      <c r="X31" s="190">
        <v>73.728099999999998</v>
      </c>
      <c r="Y31" s="190">
        <v>73.342399999999998</v>
      </c>
      <c r="Z31" s="190">
        <v>72.9803</v>
      </c>
      <c r="AA31" s="190">
        <v>72.639300000000006</v>
      </c>
      <c r="AB31" s="190">
        <v>72.3172</v>
      </c>
      <c r="AC31" s="190">
        <v>72.012</v>
      </c>
      <c r="AD31" s="190">
        <v>71.722300000000004</v>
      </c>
      <c r="AE31" s="190">
        <v>71.4465</v>
      </c>
      <c r="AF31" s="190">
        <v>71.183499999999995</v>
      </c>
      <c r="AG31" s="190">
        <v>70.932199999999995</v>
      </c>
      <c r="AH31" s="190">
        <v>70.691599999999994</v>
      </c>
      <c r="AI31" s="190">
        <v>70.460999999999999</v>
      </c>
      <c r="AJ31" s="190">
        <v>70.239500000000007</v>
      </c>
    </row>
    <row r="32" spans="1:36" hidden="1" x14ac:dyDescent="0.35">
      <c r="A32" t="s">
        <v>1394</v>
      </c>
      <c r="B32" s="188" t="s">
        <v>1342</v>
      </c>
      <c r="C32" t="s">
        <v>1350</v>
      </c>
      <c r="D32" s="188">
        <v>30</v>
      </c>
      <c r="E32" t="s">
        <v>1362</v>
      </c>
      <c r="F32" t="s">
        <v>1391</v>
      </c>
      <c r="G32" s="190" t="s">
        <v>1392</v>
      </c>
      <c r="H32" s="190" t="s">
        <v>1350</v>
      </c>
      <c r="I32" s="190">
        <v>91.018199999999993</v>
      </c>
      <c r="J32" s="190">
        <v>90.514300000000006</v>
      </c>
      <c r="K32" s="190">
        <v>90.055099999999996</v>
      </c>
      <c r="L32" s="190">
        <v>89.633700000000005</v>
      </c>
      <c r="M32" s="190">
        <v>89.244500000000002</v>
      </c>
      <c r="N32" s="190">
        <v>88.883200000000002</v>
      </c>
      <c r="O32" s="190">
        <v>88.546000000000006</v>
      </c>
      <c r="P32" s="190">
        <v>88.230199999999996</v>
      </c>
      <c r="Q32" s="190">
        <v>87.933199999999999</v>
      </c>
      <c r="R32" s="190">
        <v>87.099100000000007</v>
      </c>
      <c r="S32" s="190">
        <v>86.387100000000004</v>
      </c>
      <c r="T32" s="190">
        <v>85.766900000000007</v>
      </c>
      <c r="U32" s="190">
        <v>85.218199999999996</v>
      </c>
      <c r="V32" s="190">
        <v>84.726799999999997</v>
      </c>
      <c r="W32" s="190">
        <v>84.396199999999993</v>
      </c>
      <c r="X32" s="190">
        <v>84.087500000000006</v>
      </c>
      <c r="Y32" s="190">
        <v>83.798199999999994</v>
      </c>
      <c r="Z32" s="190">
        <v>83.525999999999996</v>
      </c>
      <c r="AA32" s="190">
        <v>83.269199999999998</v>
      </c>
      <c r="AB32" s="190">
        <v>83.0261</v>
      </c>
      <c r="AC32" s="190">
        <v>82.795299999999997</v>
      </c>
      <c r="AD32" s="190">
        <v>82.575900000000004</v>
      </c>
      <c r="AE32" s="190">
        <v>82.366600000000005</v>
      </c>
      <c r="AF32" s="190">
        <v>82.166700000000006</v>
      </c>
      <c r="AG32" s="190">
        <v>81.975499999999997</v>
      </c>
      <c r="AH32" s="190">
        <v>81.792100000000005</v>
      </c>
      <c r="AI32" s="190">
        <v>81.616</v>
      </c>
      <c r="AJ32" s="190">
        <v>81.446700000000007</v>
      </c>
    </row>
    <row r="33" spans="1:36" hidden="1" x14ac:dyDescent="0.35">
      <c r="A33" t="s">
        <v>1395</v>
      </c>
      <c r="B33" s="188" t="s">
        <v>1342</v>
      </c>
      <c r="C33" t="s">
        <v>1343</v>
      </c>
      <c r="D33" s="188">
        <v>30</v>
      </c>
      <c r="E33" t="s">
        <v>1362</v>
      </c>
      <c r="F33" t="s">
        <v>1357</v>
      </c>
      <c r="G33" s="190" t="s">
        <v>1396</v>
      </c>
      <c r="H33" s="190"/>
      <c r="I33" s="190"/>
      <c r="J33" s="190"/>
      <c r="K33" s="190"/>
      <c r="L33" s="190"/>
      <c r="M33" s="190"/>
      <c r="N33" s="190"/>
      <c r="O33" s="190"/>
      <c r="P33" s="190">
        <v>60.883800000000001</v>
      </c>
      <c r="Q33" s="190">
        <v>58.925400000000003</v>
      </c>
      <c r="R33" s="190">
        <v>57.823399999999999</v>
      </c>
      <c r="S33" s="190">
        <v>57.074100000000001</v>
      </c>
      <c r="T33" s="190">
        <v>56.514400000000002</v>
      </c>
      <c r="U33" s="190">
        <v>56.071800000000003</v>
      </c>
      <c r="V33" s="190">
        <v>55.106299999999997</v>
      </c>
      <c r="W33" s="190">
        <v>54.471800000000002</v>
      </c>
      <c r="X33" s="190">
        <v>54.006700000000002</v>
      </c>
      <c r="Y33" s="190">
        <v>53.643300000000004</v>
      </c>
      <c r="Z33" s="190">
        <v>53.347299999999997</v>
      </c>
      <c r="AA33" s="190">
        <v>53.0989</v>
      </c>
      <c r="AB33" s="190">
        <v>52.885800000000003</v>
      </c>
      <c r="AC33" s="190">
        <v>52.699800000000003</v>
      </c>
      <c r="AD33" s="190">
        <v>52.535299999999999</v>
      </c>
      <c r="AE33" s="190">
        <v>52.388100000000001</v>
      </c>
      <c r="AF33" s="190">
        <v>52.255099999999999</v>
      </c>
      <c r="AG33" s="190">
        <v>52.134099999999997</v>
      </c>
      <c r="AH33" s="190">
        <v>52.023200000000003</v>
      </c>
      <c r="AI33" s="190">
        <v>51.920999999999999</v>
      </c>
      <c r="AJ33" s="190">
        <v>51.826300000000003</v>
      </c>
    </row>
    <row r="34" spans="1:36" hidden="1" x14ac:dyDescent="0.35">
      <c r="A34" t="s">
        <v>1397</v>
      </c>
      <c r="B34" s="188" t="s">
        <v>1342</v>
      </c>
      <c r="C34" t="s">
        <v>1348</v>
      </c>
      <c r="D34" s="188">
        <v>30</v>
      </c>
      <c r="E34" t="s">
        <v>1362</v>
      </c>
      <c r="F34" t="s">
        <v>1357</v>
      </c>
      <c r="G34" s="190" t="s">
        <v>1396</v>
      </c>
      <c r="H34" s="190"/>
      <c r="I34" s="190"/>
      <c r="J34" s="190"/>
      <c r="K34" s="190"/>
      <c r="L34" s="190"/>
      <c r="M34" s="190"/>
      <c r="N34" s="190"/>
      <c r="O34" s="190"/>
      <c r="P34" s="190">
        <v>66.429900000000004</v>
      </c>
      <c r="Q34" s="190">
        <v>64.469399999999993</v>
      </c>
      <c r="R34" s="190">
        <v>63.342300000000002</v>
      </c>
      <c r="S34" s="190">
        <v>62.564900000000002</v>
      </c>
      <c r="T34" s="190">
        <v>61.977899999999998</v>
      </c>
      <c r="U34" s="190">
        <v>61.509799999999998</v>
      </c>
      <c r="V34" s="190">
        <v>60.475200000000001</v>
      </c>
      <c r="W34" s="190">
        <v>59.784700000000001</v>
      </c>
      <c r="X34" s="190">
        <v>59.2727</v>
      </c>
      <c r="Y34" s="190">
        <v>58.869</v>
      </c>
      <c r="Z34" s="190">
        <v>58.537700000000001</v>
      </c>
      <c r="AA34" s="190">
        <v>58.257899999999999</v>
      </c>
      <c r="AB34" s="190">
        <v>58.016500000000001</v>
      </c>
      <c r="AC34" s="190">
        <v>57.8048</v>
      </c>
      <c r="AD34" s="190">
        <v>57.616700000000002</v>
      </c>
      <c r="AE34" s="190">
        <v>57.447600000000001</v>
      </c>
      <c r="AF34" s="190">
        <v>57.294400000000003</v>
      </c>
      <c r="AG34" s="190">
        <v>57.154400000000003</v>
      </c>
      <c r="AH34" s="190">
        <v>57.025700000000001</v>
      </c>
      <c r="AI34" s="190">
        <v>56.906799999999997</v>
      </c>
      <c r="AJ34" s="190">
        <v>56.796300000000002</v>
      </c>
    </row>
    <row r="35" spans="1:36" hidden="1" x14ac:dyDescent="0.35">
      <c r="A35" t="s">
        <v>1398</v>
      </c>
      <c r="B35" s="188" t="s">
        <v>1342</v>
      </c>
      <c r="C35" t="s">
        <v>1350</v>
      </c>
      <c r="D35" s="188">
        <v>30</v>
      </c>
      <c r="E35" t="s">
        <v>1362</v>
      </c>
      <c r="F35" t="s">
        <v>1357</v>
      </c>
      <c r="G35" s="190" t="s">
        <v>1396</v>
      </c>
      <c r="H35" s="190"/>
      <c r="I35" s="190"/>
      <c r="J35" s="190"/>
      <c r="K35" s="190"/>
      <c r="L35" s="190"/>
      <c r="M35" s="190"/>
      <c r="N35" s="190"/>
      <c r="O35" s="190"/>
      <c r="P35" s="190">
        <v>73.553600000000003</v>
      </c>
      <c r="Q35" s="190">
        <v>71.745000000000005</v>
      </c>
      <c r="R35" s="190">
        <v>70.682500000000005</v>
      </c>
      <c r="S35" s="190">
        <v>69.939099999999996</v>
      </c>
      <c r="T35" s="190">
        <v>69.371700000000004</v>
      </c>
      <c r="U35" s="190">
        <v>68.915199999999999</v>
      </c>
      <c r="V35" s="190">
        <v>67.893199999999993</v>
      </c>
      <c r="W35" s="190">
        <v>67.200400000000002</v>
      </c>
      <c r="X35" s="190">
        <v>66.680800000000005</v>
      </c>
      <c r="Y35" s="190">
        <v>66.267399999999995</v>
      </c>
      <c r="Z35" s="190">
        <v>65.9255</v>
      </c>
      <c r="AA35" s="190">
        <v>65.634900000000002</v>
      </c>
      <c r="AB35" s="190">
        <v>65.3827</v>
      </c>
      <c r="AC35" s="190">
        <v>65.160399999999996</v>
      </c>
      <c r="AD35" s="190">
        <v>64.962000000000003</v>
      </c>
      <c r="AE35" s="190">
        <v>64.783000000000001</v>
      </c>
      <c r="AF35" s="190">
        <v>64.620099999999994</v>
      </c>
      <c r="AG35" s="190">
        <v>64.470799999999997</v>
      </c>
      <c r="AH35" s="190">
        <v>64.333100000000002</v>
      </c>
      <c r="AI35" s="190">
        <v>64.205500000000001</v>
      </c>
      <c r="AJ35" s="190">
        <v>64.086500000000001</v>
      </c>
    </row>
    <row r="36" spans="1:36" hidden="1" x14ac:dyDescent="0.35">
      <c r="A36" t="s">
        <v>1399</v>
      </c>
      <c r="B36" s="188" t="s">
        <v>1342</v>
      </c>
      <c r="C36" t="s">
        <v>1343</v>
      </c>
      <c r="D36" s="188">
        <v>30</v>
      </c>
      <c r="E36" t="s">
        <v>1362</v>
      </c>
      <c r="F36" t="s">
        <v>1400</v>
      </c>
      <c r="G36" s="190" t="s">
        <v>1401</v>
      </c>
      <c r="H36" s="190"/>
      <c r="I36" s="190"/>
      <c r="J36" s="190"/>
      <c r="K36" s="190"/>
      <c r="L36" s="190"/>
      <c r="M36" s="190"/>
      <c r="N36" s="190"/>
      <c r="O36" s="190"/>
      <c r="P36" s="190">
        <v>62.658000000000001</v>
      </c>
      <c r="Q36" s="190">
        <v>60.642499999999998</v>
      </c>
      <c r="R36" s="190">
        <v>59.508400000000002</v>
      </c>
      <c r="S36" s="190">
        <v>58.737299999999998</v>
      </c>
      <c r="T36" s="190">
        <v>58.161200000000001</v>
      </c>
      <c r="U36" s="190">
        <v>57.705800000000004</v>
      </c>
      <c r="V36" s="190">
        <v>56.7121</v>
      </c>
      <c r="W36" s="190">
        <v>56.059100000000001</v>
      </c>
      <c r="X36" s="190">
        <v>55.580399999999997</v>
      </c>
      <c r="Y36" s="190">
        <v>55.206499999999998</v>
      </c>
      <c r="Z36" s="190">
        <v>54.901800000000001</v>
      </c>
      <c r="AA36" s="190">
        <v>54.6462</v>
      </c>
      <c r="AB36" s="190">
        <v>54.426900000000003</v>
      </c>
      <c r="AC36" s="190">
        <v>54.235500000000002</v>
      </c>
      <c r="AD36" s="190">
        <v>54.066200000000002</v>
      </c>
      <c r="AE36" s="190">
        <v>53.914700000000003</v>
      </c>
      <c r="AF36" s="190">
        <v>53.777799999999999</v>
      </c>
      <c r="AG36" s="190">
        <v>53.653300000000002</v>
      </c>
      <c r="AH36" s="190">
        <v>53.539200000000001</v>
      </c>
      <c r="AI36" s="190">
        <v>53.433999999999997</v>
      </c>
      <c r="AJ36" s="190">
        <v>53.336500000000001</v>
      </c>
    </row>
    <row r="37" spans="1:36" hidden="1" x14ac:dyDescent="0.35">
      <c r="A37" t="s">
        <v>1402</v>
      </c>
      <c r="B37" s="188" t="s">
        <v>1342</v>
      </c>
      <c r="C37" t="s">
        <v>1348</v>
      </c>
      <c r="D37" s="188">
        <v>30</v>
      </c>
      <c r="E37" t="s">
        <v>1362</v>
      </c>
      <c r="F37" t="s">
        <v>1400</v>
      </c>
      <c r="G37" s="190" t="s">
        <v>1401</v>
      </c>
      <c r="H37" s="190"/>
      <c r="I37" s="190"/>
      <c r="J37" s="190"/>
      <c r="K37" s="190"/>
      <c r="L37" s="190"/>
      <c r="M37" s="190"/>
      <c r="N37" s="190"/>
      <c r="O37" s="190"/>
      <c r="P37" s="190">
        <v>68.365700000000004</v>
      </c>
      <c r="Q37" s="190">
        <v>66.348100000000002</v>
      </c>
      <c r="R37" s="190">
        <v>65.188100000000006</v>
      </c>
      <c r="S37" s="190">
        <v>64.388000000000005</v>
      </c>
      <c r="T37" s="190">
        <v>63.783900000000003</v>
      </c>
      <c r="U37" s="190">
        <v>63.302199999999999</v>
      </c>
      <c r="V37" s="190">
        <v>62.237400000000001</v>
      </c>
      <c r="W37" s="190">
        <v>61.526800000000001</v>
      </c>
      <c r="X37" s="190">
        <v>60.999899999999997</v>
      </c>
      <c r="Y37" s="190">
        <v>60.584499999999998</v>
      </c>
      <c r="Z37" s="190">
        <v>60.243499999999997</v>
      </c>
      <c r="AA37" s="190">
        <v>59.955599999999997</v>
      </c>
      <c r="AB37" s="190">
        <v>59.7072</v>
      </c>
      <c r="AC37" s="190">
        <v>59.4893</v>
      </c>
      <c r="AD37" s="190">
        <v>59.2956</v>
      </c>
      <c r="AE37" s="190">
        <v>59.121600000000001</v>
      </c>
      <c r="AF37" s="190">
        <v>58.963900000000002</v>
      </c>
      <c r="AG37" s="190">
        <v>58.819899999999997</v>
      </c>
      <c r="AH37" s="190">
        <v>58.6875</v>
      </c>
      <c r="AI37" s="190">
        <v>58.565100000000001</v>
      </c>
      <c r="AJ37" s="190">
        <v>58.451300000000003</v>
      </c>
    </row>
    <row r="38" spans="1:36" hidden="1" x14ac:dyDescent="0.35">
      <c r="A38" t="s">
        <v>1403</v>
      </c>
      <c r="B38" s="188" t="s">
        <v>1342</v>
      </c>
      <c r="C38" t="s">
        <v>1350</v>
      </c>
      <c r="D38" s="188">
        <v>30</v>
      </c>
      <c r="E38" t="s">
        <v>1362</v>
      </c>
      <c r="F38" t="s">
        <v>1400</v>
      </c>
      <c r="G38" s="190" t="s">
        <v>1401</v>
      </c>
      <c r="H38" s="190"/>
      <c r="I38" s="190"/>
      <c r="J38" s="190"/>
      <c r="K38" s="190"/>
      <c r="L38" s="190"/>
      <c r="M38" s="190"/>
      <c r="N38" s="190"/>
      <c r="O38" s="190"/>
      <c r="P38" s="190">
        <v>75.697000000000003</v>
      </c>
      <c r="Q38" s="190">
        <v>73.835700000000003</v>
      </c>
      <c r="R38" s="190">
        <v>72.742199999999997</v>
      </c>
      <c r="S38" s="190">
        <v>71.977099999999993</v>
      </c>
      <c r="T38" s="190">
        <v>71.393199999999993</v>
      </c>
      <c r="U38" s="190">
        <v>70.923400000000001</v>
      </c>
      <c r="V38" s="190">
        <v>69.871700000000004</v>
      </c>
      <c r="W38" s="190">
        <v>69.158699999999996</v>
      </c>
      <c r="X38" s="190">
        <v>68.623900000000006</v>
      </c>
      <c r="Y38" s="190">
        <v>68.198400000000007</v>
      </c>
      <c r="Z38" s="190">
        <v>67.846599999999995</v>
      </c>
      <c r="AA38" s="190">
        <v>67.547499999999999</v>
      </c>
      <c r="AB38" s="190">
        <v>67.287999999999997</v>
      </c>
      <c r="AC38" s="190">
        <v>67.059200000000004</v>
      </c>
      <c r="AD38" s="190">
        <v>66.855000000000004</v>
      </c>
      <c r="AE38" s="190">
        <v>66.6708</v>
      </c>
      <c r="AF38" s="190">
        <v>66.503100000000003</v>
      </c>
      <c r="AG38" s="190">
        <v>66.349500000000006</v>
      </c>
      <c r="AH38" s="190">
        <v>66.207800000000006</v>
      </c>
      <c r="AI38" s="190">
        <v>66.076400000000007</v>
      </c>
      <c r="AJ38" s="190">
        <v>65.953999999999994</v>
      </c>
    </row>
    <row r="39" spans="1:36" hidden="1" x14ac:dyDescent="0.35">
      <c r="A39" t="s">
        <v>1404</v>
      </c>
      <c r="B39" s="188" t="s">
        <v>1342</v>
      </c>
      <c r="C39" t="s">
        <v>1343</v>
      </c>
      <c r="D39" s="188">
        <v>30</v>
      </c>
      <c r="E39" t="s">
        <v>1362</v>
      </c>
      <c r="F39" t="s">
        <v>1405</v>
      </c>
      <c r="G39" s="190" t="s">
        <v>1406</v>
      </c>
      <c r="H39" s="190"/>
      <c r="I39" s="190"/>
      <c r="J39" s="190"/>
      <c r="K39" s="190"/>
      <c r="L39" s="190"/>
      <c r="M39" s="190"/>
      <c r="N39" s="190"/>
      <c r="O39" s="190"/>
      <c r="P39" s="190">
        <v>62.385899999999999</v>
      </c>
      <c r="Q39" s="190">
        <v>60.379199999999997</v>
      </c>
      <c r="R39" s="190">
        <v>59.25</v>
      </c>
      <c r="S39" s="190">
        <v>58.482199999999999</v>
      </c>
      <c r="T39" s="190">
        <v>57.908700000000003</v>
      </c>
      <c r="U39" s="190">
        <v>57.455199999999998</v>
      </c>
      <c r="V39" s="190">
        <v>56.465800000000002</v>
      </c>
      <c r="W39" s="190">
        <v>55.8157</v>
      </c>
      <c r="X39" s="190">
        <v>55.339100000000002</v>
      </c>
      <c r="Y39" s="190">
        <v>54.966700000000003</v>
      </c>
      <c r="Z39" s="190">
        <v>54.663400000000003</v>
      </c>
      <c r="AA39" s="190">
        <v>54.408900000000003</v>
      </c>
      <c r="AB39" s="190">
        <v>54.190600000000003</v>
      </c>
      <c r="AC39" s="190">
        <v>54</v>
      </c>
      <c r="AD39" s="190">
        <v>53.831400000000002</v>
      </c>
      <c r="AE39" s="190">
        <v>53.680500000000002</v>
      </c>
      <c r="AF39" s="190">
        <v>53.5443</v>
      </c>
      <c r="AG39" s="190">
        <v>53.420299999999997</v>
      </c>
      <c r="AH39" s="190">
        <v>53.306699999999999</v>
      </c>
      <c r="AI39" s="190">
        <v>53.201900000000002</v>
      </c>
      <c r="AJ39" s="190">
        <v>53.104900000000001</v>
      </c>
    </row>
    <row r="40" spans="1:36" hidden="1" x14ac:dyDescent="0.35">
      <c r="A40" t="s">
        <v>1407</v>
      </c>
      <c r="B40" s="188" t="s">
        <v>1342</v>
      </c>
      <c r="C40" t="s">
        <v>1348</v>
      </c>
      <c r="D40" s="188">
        <v>30</v>
      </c>
      <c r="E40" t="s">
        <v>1362</v>
      </c>
      <c r="F40" t="s">
        <v>1405</v>
      </c>
      <c r="G40" s="190" t="s">
        <v>1406</v>
      </c>
      <c r="H40" s="190"/>
      <c r="I40" s="190"/>
      <c r="J40" s="190"/>
      <c r="K40" s="190"/>
      <c r="L40" s="190"/>
      <c r="M40" s="190"/>
      <c r="N40" s="190"/>
      <c r="O40" s="190"/>
      <c r="P40" s="190">
        <v>68.068799999999996</v>
      </c>
      <c r="Q40" s="190">
        <v>66.059899999999999</v>
      </c>
      <c r="R40" s="190">
        <v>64.905000000000001</v>
      </c>
      <c r="S40" s="190">
        <v>64.108400000000003</v>
      </c>
      <c r="T40" s="190">
        <v>63.506999999999998</v>
      </c>
      <c r="U40" s="190">
        <v>63.027299999999997</v>
      </c>
      <c r="V40" s="190">
        <v>61.967199999999998</v>
      </c>
      <c r="W40" s="190">
        <v>61.259599999999999</v>
      </c>
      <c r="X40" s="190">
        <v>60.734999999999999</v>
      </c>
      <c r="Y40" s="190">
        <v>60.321399999999997</v>
      </c>
      <c r="Z40" s="190">
        <v>59.981900000000003</v>
      </c>
      <c r="AA40" s="190">
        <v>59.6952</v>
      </c>
      <c r="AB40" s="190">
        <v>59.447899999999997</v>
      </c>
      <c r="AC40" s="190">
        <v>59.230899999999998</v>
      </c>
      <c r="AD40" s="190">
        <v>59.0381</v>
      </c>
      <c r="AE40" s="190">
        <v>58.864899999999999</v>
      </c>
      <c r="AF40" s="190">
        <v>58.707900000000002</v>
      </c>
      <c r="AG40" s="190">
        <v>58.564500000000002</v>
      </c>
      <c r="AH40" s="190">
        <v>58.432600000000001</v>
      </c>
      <c r="AI40" s="190">
        <v>58.3108</v>
      </c>
      <c r="AJ40" s="190">
        <v>58.197499999999998</v>
      </c>
    </row>
    <row r="41" spans="1:36" hidden="1" x14ac:dyDescent="0.35">
      <c r="A41" t="s">
        <v>1408</v>
      </c>
      <c r="B41" s="188" t="s">
        <v>1342</v>
      </c>
      <c r="C41" t="s">
        <v>1350</v>
      </c>
      <c r="D41" s="188">
        <v>30</v>
      </c>
      <c r="E41" t="s">
        <v>1362</v>
      </c>
      <c r="F41" t="s">
        <v>1405</v>
      </c>
      <c r="G41" s="190" t="s">
        <v>1406</v>
      </c>
      <c r="H41" s="190"/>
      <c r="I41" s="190"/>
      <c r="J41" s="190"/>
      <c r="K41" s="190"/>
      <c r="L41" s="190"/>
      <c r="M41" s="190"/>
      <c r="N41" s="190"/>
      <c r="O41" s="190"/>
      <c r="P41" s="190">
        <v>75.368300000000005</v>
      </c>
      <c r="Q41" s="190">
        <v>73.515000000000001</v>
      </c>
      <c r="R41" s="190">
        <v>72.426299999999998</v>
      </c>
      <c r="S41" s="190">
        <v>71.664599999999993</v>
      </c>
      <c r="T41" s="190">
        <v>71.083200000000005</v>
      </c>
      <c r="U41" s="190">
        <v>70.615399999999994</v>
      </c>
      <c r="V41" s="190">
        <v>69.568200000000004</v>
      </c>
      <c r="W41" s="190">
        <v>68.858400000000003</v>
      </c>
      <c r="X41" s="190">
        <v>68.325900000000004</v>
      </c>
      <c r="Y41" s="190">
        <v>67.902299999999997</v>
      </c>
      <c r="Z41" s="190">
        <v>67.551900000000003</v>
      </c>
      <c r="AA41" s="190">
        <v>67.254099999999994</v>
      </c>
      <c r="AB41" s="190">
        <v>66.995800000000003</v>
      </c>
      <c r="AC41" s="190">
        <v>66.768000000000001</v>
      </c>
      <c r="AD41" s="190">
        <v>66.564700000000002</v>
      </c>
      <c r="AE41" s="190">
        <v>66.381200000000007</v>
      </c>
      <c r="AF41" s="190">
        <v>66.214399999999998</v>
      </c>
      <c r="AG41" s="190">
        <v>66.061400000000006</v>
      </c>
      <c r="AH41" s="190">
        <v>65.920299999999997</v>
      </c>
      <c r="AI41" s="190">
        <v>65.789500000000004</v>
      </c>
      <c r="AJ41" s="190">
        <v>65.667599999999993</v>
      </c>
    </row>
    <row r="42" spans="1:36" hidden="1" x14ac:dyDescent="0.35">
      <c r="A42" t="s">
        <v>1361</v>
      </c>
      <c r="B42" s="188" t="s">
        <v>1342</v>
      </c>
      <c r="C42" t="s">
        <v>1343</v>
      </c>
      <c r="D42" s="188">
        <v>30</v>
      </c>
      <c r="E42" t="s">
        <v>1362</v>
      </c>
      <c r="F42" t="s">
        <v>1409</v>
      </c>
      <c r="G42" s="190" t="s">
        <v>1410</v>
      </c>
      <c r="H42" s="190"/>
      <c r="I42" s="190"/>
      <c r="J42" s="190"/>
      <c r="K42" s="190"/>
      <c r="L42" s="190"/>
      <c r="M42" s="190"/>
      <c r="N42" s="190"/>
      <c r="O42" s="190"/>
      <c r="P42" s="190">
        <v>63.332099999999997</v>
      </c>
      <c r="Q42" s="190">
        <v>61.294899999999998</v>
      </c>
      <c r="R42" s="190">
        <v>60.148600000000002</v>
      </c>
      <c r="S42" s="190">
        <v>59.369199999999999</v>
      </c>
      <c r="T42" s="190">
        <v>58.786900000000003</v>
      </c>
      <c r="U42" s="190">
        <v>58.326599999999999</v>
      </c>
      <c r="V42" s="190">
        <v>57.322200000000002</v>
      </c>
      <c r="W42" s="190">
        <v>56.662199999999999</v>
      </c>
      <c r="X42" s="190">
        <v>56.1783</v>
      </c>
      <c r="Y42" s="190">
        <v>55.800400000000003</v>
      </c>
      <c r="Z42" s="190">
        <v>55.4925</v>
      </c>
      <c r="AA42" s="190">
        <v>55.234099999999998</v>
      </c>
      <c r="AB42" s="190">
        <v>55.0124</v>
      </c>
      <c r="AC42" s="190">
        <v>54.819000000000003</v>
      </c>
      <c r="AD42" s="190">
        <v>54.647799999999997</v>
      </c>
      <c r="AE42" s="190">
        <v>54.494700000000002</v>
      </c>
      <c r="AF42" s="190">
        <v>54.356400000000001</v>
      </c>
      <c r="AG42" s="190">
        <v>54.230499999999999</v>
      </c>
      <c r="AH42" s="190">
        <v>54.115099999999998</v>
      </c>
      <c r="AI42" s="190">
        <v>54.008800000000001</v>
      </c>
      <c r="AJ42" s="190">
        <v>53.910299999999999</v>
      </c>
    </row>
    <row r="43" spans="1:36" hidden="1" x14ac:dyDescent="0.35">
      <c r="A43" t="s">
        <v>1365</v>
      </c>
      <c r="B43" s="188" t="s">
        <v>1342</v>
      </c>
      <c r="C43" t="s">
        <v>1348</v>
      </c>
      <c r="D43" s="188">
        <v>30</v>
      </c>
      <c r="E43" t="s">
        <v>1362</v>
      </c>
      <c r="F43" t="s">
        <v>1409</v>
      </c>
      <c r="G43" s="190" t="s">
        <v>1410</v>
      </c>
      <c r="H43" s="190"/>
      <c r="I43" s="190"/>
      <c r="J43" s="190"/>
      <c r="K43" s="190"/>
      <c r="L43" s="190"/>
      <c r="M43" s="190"/>
      <c r="N43" s="190"/>
      <c r="O43" s="190"/>
      <c r="P43" s="190">
        <v>69.101100000000002</v>
      </c>
      <c r="Q43" s="190">
        <v>67.061800000000005</v>
      </c>
      <c r="R43" s="190">
        <v>65.889399999999995</v>
      </c>
      <c r="S43" s="190">
        <v>65.080699999999993</v>
      </c>
      <c r="T43" s="190">
        <v>64.470100000000002</v>
      </c>
      <c r="U43" s="190">
        <v>63.983199999999997</v>
      </c>
      <c r="V43" s="190">
        <v>62.9069</v>
      </c>
      <c r="W43" s="190">
        <v>62.188699999999997</v>
      </c>
      <c r="X43" s="190">
        <v>61.656100000000002</v>
      </c>
      <c r="Y43" s="190">
        <v>61.236199999999997</v>
      </c>
      <c r="Z43" s="190">
        <v>60.891599999999997</v>
      </c>
      <c r="AA43" s="190">
        <v>60.6006</v>
      </c>
      <c r="AB43" s="190">
        <v>60.349499999999999</v>
      </c>
      <c r="AC43" s="190">
        <v>60.129199999999997</v>
      </c>
      <c r="AD43" s="190">
        <v>59.933500000000002</v>
      </c>
      <c r="AE43" s="190">
        <v>59.7577</v>
      </c>
      <c r="AF43" s="190">
        <v>59.598300000000002</v>
      </c>
      <c r="AG43" s="190">
        <v>59.4527</v>
      </c>
      <c r="AH43" s="190">
        <v>59.318800000000003</v>
      </c>
      <c r="AI43" s="190">
        <v>59.195099999999996</v>
      </c>
      <c r="AJ43" s="190">
        <v>59.080100000000002</v>
      </c>
    </row>
    <row r="44" spans="1:36" hidden="1" x14ac:dyDescent="0.35">
      <c r="A44" t="s">
        <v>1366</v>
      </c>
      <c r="B44" s="188" t="s">
        <v>1342</v>
      </c>
      <c r="C44" t="s">
        <v>1350</v>
      </c>
      <c r="D44" s="188">
        <v>30</v>
      </c>
      <c r="E44" t="s">
        <v>1362</v>
      </c>
      <c r="F44" t="s">
        <v>1409</v>
      </c>
      <c r="G44" s="190" t="s">
        <v>1410</v>
      </c>
      <c r="H44" s="190"/>
      <c r="I44" s="190"/>
      <c r="J44" s="190"/>
      <c r="K44" s="190"/>
      <c r="L44" s="190"/>
      <c r="M44" s="190"/>
      <c r="N44" s="190"/>
      <c r="O44" s="190"/>
      <c r="P44" s="190">
        <v>76.511300000000006</v>
      </c>
      <c r="Q44" s="190">
        <v>74.63</v>
      </c>
      <c r="R44" s="190">
        <v>73.524699999999996</v>
      </c>
      <c r="S44" s="190">
        <v>72.751400000000004</v>
      </c>
      <c r="T44" s="190">
        <v>72.161199999999994</v>
      </c>
      <c r="U44" s="190">
        <v>71.686400000000006</v>
      </c>
      <c r="V44" s="190">
        <v>70.6233</v>
      </c>
      <c r="W44" s="190">
        <v>69.902699999999996</v>
      </c>
      <c r="X44" s="190">
        <v>69.362099999999998</v>
      </c>
      <c r="Y44" s="190">
        <v>68.932100000000005</v>
      </c>
      <c r="Z44" s="190">
        <v>68.576400000000007</v>
      </c>
      <c r="AA44" s="190">
        <v>68.274100000000004</v>
      </c>
      <c r="AB44" s="190">
        <v>68.011799999999994</v>
      </c>
      <c r="AC44" s="190">
        <v>67.780600000000007</v>
      </c>
      <c r="AD44" s="190">
        <v>67.574200000000005</v>
      </c>
      <c r="AE44" s="190">
        <v>67.388000000000005</v>
      </c>
      <c r="AF44" s="190">
        <v>67.218599999999995</v>
      </c>
      <c r="AG44" s="190">
        <v>67.063299999999998</v>
      </c>
      <c r="AH44" s="190">
        <v>66.920100000000005</v>
      </c>
      <c r="AI44" s="190">
        <v>66.787300000000002</v>
      </c>
      <c r="AJ44" s="190">
        <v>66.663499999999999</v>
      </c>
    </row>
    <row r="45" spans="1:36" hidden="1" x14ac:dyDescent="0.35">
      <c r="A45" t="s">
        <v>1367</v>
      </c>
      <c r="B45" s="188" t="s">
        <v>1342</v>
      </c>
      <c r="C45" t="s">
        <v>1343</v>
      </c>
      <c r="D45" s="188">
        <v>30</v>
      </c>
      <c r="E45" t="s">
        <v>1362</v>
      </c>
      <c r="F45" t="s">
        <v>1411</v>
      </c>
      <c r="G45" s="190" t="s">
        <v>1412</v>
      </c>
      <c r="H45" s="190"/>
      <c r="I45" s="190"/>
      <c r="J45" s="190"/>
      <c r="K45" s="190"/>
      <c r="L45" s="190"/>
      <c r="M45" s="190"/>
      <c r="N45" s="190"/>
      <c r="O45" s="190"/>
      <c r="P45" s="190">
        <v>66.338800000000006</v>
      </c>
      <c r="Q45" s="190">
        <v>64.204899999999995</v>
      </c>
      <c r="R45" s="190">
        <v>63.004199999999997</v>
      </c>
      <c r="S45" s="190">
        <v>62.1877</v>
      </c>
      <c r="T45" s="190">
        <v>61.5779</v>
      </c>
      <c r="U45" s="190">
        <v>61.095599999999997</v>
      </c>
      <c r="V45" s="190">
        <v>60.043500000000002</v>
      </c>
      <c r="W45" s="190">
        <v>59.352200000000003</v>
      </c>
      <c r="X45" s="190">
        <v>58.845399999999998</v>
      </c>
      <c r="Y45" s="190">
        <v>58.4495</v>
      </c>
      <c r="Z45" s="190">
        <v>58.127000000000002</v>
      </c>
      <c r="AA45" s="190">
        <v>57.856299999999997</v>
      </c>
      <c r="AB45" s="190">
        <v>57.624200000000002</v>
      </c>
      <c r="AC45" s="190">
        <v>57.421500000000002</v>
      </c>
      <c r="AD45" s="190">
        <v>57.242199999999997</v>
      </c>
      <c r="AE45" s="190">
        <v>57.081800000000001</v>
      </c>
      <c r="AF45" s="190">
        <v>56.936999999999998</v>
      </c>
      <c r="AG45" s="190">
        <v>56.805100000000003</v>
      </c>
      <c r="AH45" s="190">
        <v>56.6843</v>
      </c>
      <c r="AI45" s="190">
        <v>56.572899999999997</v>
      </c>
      <c r="AJ45" s="190">
        <v>56.469700000000003</v>
      </c>
    </row>
    <row r="46" spans="1:36" hidden="1" x14ac:dyDescent="0.35">
      <c r="A46" t="s">
        <v>1369</v>
      </c>
      <c r="B46" s="188" t="s">
        <v>1342</v>
      </c>
      <c r="C46" t="s">
        <v>1348</v>
      </c>
      <c r="D46" s="188">
        <v>30</v>
      </c>
      <c r="E46" t="s">
        <v>1362</v>
      </c>
      <c r="F46" t="s">
        <v>1411</v>
      </c>
      <c r="G46" s="190" t="s">
        <v>1412</v>
      </c>
      <c r="H46" s="190"/>
      <c r="I46" s="190"/>
      <c r="J46" s="190"/>
      <c r="K46" s="190"/>
      <c r="L46" s="190"/>
      <c r="M46" s="190"/>
      <c r="N46" s="190"/>
      <c r="O46" s="190"/>
      <c r="P46" s="190">
        <v>72.381699999999995</v>
      </c>
      <c r="Q46" s="190">
        <v>70.245599999999996</v>
      </c>
      <c r="R46" s="190">
        <v>69.017499999999998</v>
      </c>
      <c r="S46" s="190">
        <v>68.170400000000001</v>
      </c>
      <c r="T46" s="190">
        <v>67.530900000000003</v>
      </c>
      <c r="U46" s="190">
        <v>67.020799999999994</v>
      </c>
      <c r="V46" s="190">
        <v>65.893500000000003</v>
      </c>
      <c r="W46" s="190">
        <v>65.141099999999994</v>
      </c>
      <c r="X46" s="190">
        <v>64.583200000000005</v>
      </c>
      <c r="Y46" s="190">
        <v>64.1434</v>
      </c>
      <c r="Z46" s="190">
        <v>63.782499999999999</v>
      </c>
      <c r="AA46" s="190">
        <v>63.477600000000002</v>
      </c>
      <c r="AB46" s="190">
        <v>63.214599999999997</v>
      </c>
      <c r="AC46" s="190">
        <v>62.983899999999998</v>
      </c>
      <c r="AD46" s="190">
        <v>62.7789</v>
      </c>
      <c r="AE46" s="190">
        <v>62.594700000000003</v>
      </c>
      <c r="AF46" s="190">
        <v>62.427700000000002</v>
      </c>
      <c r="AG46" s="190">
        <v>62.275199999999998</v>
      </c>
      <c r="AH46" s="190">
        <v>62.134999999999998</v>
      </c>
      <c r="AI46" s="190">
        <v>62.005400000000002</v>
      </c>
      <c r="AJ46" s="190">
        <v>61.884999999999998</v>
      </c>
    </row>
    <row r="47" spans="1:36" hidden="1" x14ac:dyDescent="0.35">
      <c r="A47" t="s">
        <v>1370</v>
      </c>
      <c r="B47" s="188" t="s">
        <v>1342</v>
      </c>
      <c r="C47" t="s">
        <v>1350</v>
      </c>
      <c r="D47" s="188">
        <v>30</v>
      </c>
      <c r="E47" t="s">
        <v>1362</v>
      </c>
      <c r="F47" t="s">
        <v>1411</v>
      </c>
      <c r="G47" s="190" t="s">
        <v>1412</v>
      </c>
      <c r="H47" s="190"/>
      <c r="I47" s="190"/>
      <c r="J47" s="190"/>
      <c r="K47" s="190"/>
      <c r="L47" s="190"/>
      <c r="M47" s="190"/>
      <c r="N47" s="190"/>
      <c r="O47" s="190"/>
      <c r="P47" s="190">
        <v>80.143699999999995</v>
      </c>
      <c r="Q47" s="190">
        <v>78.173000000000002</v>
      </c>
      <c r="R47" s="190">
        <v>77.015299999999996</v>
      </c>
      <c r="S47" s="190">
        <v>76.205299999999994</v>
      </c>
      <c r="T47" s="190">
        <v>75.587100000000007</v>
      </c>
      <c r="U47" s="190">
        <v>75.089699999999993</v>
      </c>
      <c r="V47" s="190">
        <v>73.976200000000006</v>
      </c>
      <c r="W47" s="190">
        <v>73.221299999999999</v>
      </c>
      <c r="X47" s="190">
        <v>72.655100000000004</v>
      </c>
      <c r="Y47" s="190">
        <v>72.204700000000003</v>
      </c>
      <c r="Z47" s="190">
        <v>71.832099999999997</v>
      </c>
      <c r="AA47" s="190">
        <v>71.515500000000003</v>
      </c>
      <c r="AB47" s="190">
        <v>71.240700000000004</v>
      </c>
      <c r="AC47" s="190">
        <v>70.998500000000007</v>
      </c>
      <c r="AD47" s="190">
        <v>70.782300000000006</v>
      </c>
      <c r="AE47" s="190">
        <v>70.587299999999999</v>
      </c>
      <c r="AF47" s="190">
        <v>70.409800000000004</v>
      </c>
      <c r="AG47" s="190">
        <v>70.247100000000003</v>
      </c>
      <c r="AH47" s="190">
        <v>70.097099999999998</v>
      </c>
      <c r="AI47" s="190">
        <v>69.957999999999998</v>
      </c>
      <c r="AJ47" s="190">
        <v>69.828400000000002</v>
      </c>
    </row>
    <row r="48" spans="1:36" hidden="1" x14ac:dyDescent="0.35">
      <c r="A48" t="s">
        <v>1371</v>
      </c>
      <c r="B48" s="188" t="s">
        <v>1342</v>
      </c>
      <c r="C48" t="s">
        <v>1343</v>
      </c>
      <c r="D48" s="188">
        <v>30</v>
      </c>
      <c r="E48" t="s">
        <v>1362</v>
      </c>
      <c r="F48" t="s">
        <v>1413</v>
      </c>
      <c r="G48" s="190" t="s">
        <v>1414</v>
      </c>
      <c r="H48" s="190"/>
      <c r="I48" s="190"/>
      <c r="J48" s="190"/>
      <c r="K48" s="190"/>
      <c r="L48" s="190"/>
      <c r="M48" s="190"/>
      <c r="N48" s="190"/>
      <c r="O48" s="190"/>
      <c r="P48" s="190">
        <v>63.375399999999999</v>
      </c>
      <c r="Q48" s="190">
        <v>61.336799999999997</v>
      </c>
      <c r="R48" s="190">
        <v>60.189700000000002</v>
      </c>
      <c r="S48" s="190">
        <v>59.409799999999997</v>
      </c>
      <c r="T48" s="190">
        <v>58.827199999999998</v>
      </c>
      <c r="U48" s="190">
        <v>58.366500000000002</v>
      </c>
      <c r="V48" s="190">
        <v>57.361400000000003</v>
      </c>
      <c r="W48" s="190">
        <v>56.700899999999997</v>
      </c>
      <c r="X48" s="190">
        <v>56.216799999999999</v>
      </c>
      <c r="Y48" s="190">
        <v>55.8386</v>
      </c>
      <c r="Z48" s="190">
        <v>55.5304</v>
      </c>
      <c r="AA48" s="190">
        <v>55.271900000000002</v>
      </c>
      <c r="AB48" s="190">
        <v>55.0501</v>
      </c>
      <c r="AC48" s="190">
        <v>54.856499999999997</v>
      </c>
      <c r="AD48" s="190">
        <v>54.685200000000002</v>
      </c>
      <c r="AE48" s="190">
        <v>54.531999999999996</v>
      </c>
      <c r="AF48" s="190">
        <v>54.393599999999999</v>
      </c>
      <c r="AG48" s="190">
        <v>54.267600000000002</v>
      </c>
      <c r="AH48" s="190">
        <v>54.152200000000001</v>
      </c>
      <c r="AI48" s="190">
        <v>54.0458</v>
      </c>
      <c r="AJ48" s="190">
        <v>53.947200000000002</v>
      </c>
    </row>
    <row r="49" spans="1:36" hidden="1" x14ac:dyDescent="0.35">
      <c r="A49" t="s">
        <v>1373</v>
      </c>
      <c r="B49" s="188" t="s">
        <v>1342</v>
      </c>
      <c r="C49" t="s">
        <v>1348</v>
      </c>
      <c r="D49" s="188">
        <v>30</v>
      </c>
      <c r="E49" t="s">
        <v>1362</v>
      </c>
      <c r="F49" t="s">
        <v>1413</v>
      </c>
      <c r="G49" s="190" t="s">
        <v>1414</v>
      </c>
      <c r="H49" s="190"/>
      <c r="I49" s="190"/>
      <c r="J49" s="190"/>
      <c r="K49" s="190"/>
      <c r="L49" s="190"/>
      <c r="M49" s="190"/>
      <c r="N49" s="190"/>
      <c r="O49" s="190"/>
      <c r="P49" s="190">
        <v>69.148399999999995</v>
      </c>
      <c r="Q49" s="190">
        <v>67.107699999999994</v>
      </c>
      <c r="R49" s="190">
        <v>65.934399999999997</v>
      </c>
      <c r="S49" s="190">
        <v>65.125200000000007</v>
      </c>
      <c r="T49" s="190">
        <v>64.514200000000002</v>
      </c>
      <c r="U49" s="190">
        <v>64.026899999999998</v>
      </c>
      <c r="V49" s="190">
        <v>62.95</v>
      </c>
      <c r="W49" s="190">
        <v>62.231200000000001</v>
      </c>
      <c r="X49" s="190">
        <v>61.698300000000003</v>
      </c>
      <c r="Y49" s="190">
        <v>61.278100000000002</v>
      </c>
      <c r="Z49" s="190">
        <v>60.933300000000003</v>
      </c>
      <c r="AA49" s="190">
        <v>60.642000000000003</v>
      </c>
      <c r="AB49" s="190">
        <v>60.390799999999999</v>
      </c>
      <c r="AC49" s="190">
        <v>60.170400000000001</v>
      </c>
      <c r="AD49" s="190">
        <v>59.974499999999999</v>
      </c>
      <c r="AE49" s="190">
        <v>59.7986</v>
      </c>
      <c r="AF49" s="190">
        <v>59.639000000000003</v>
      </c>
      <c r="AG49" s="190">
        <v>59.493400000000001</v>
      </c>
      <c r="AH49" s="190">
        <v>59.359400000000001</v>
      </c>
      <c r="AI49" s="190">
        <v>59.235599999999998</v>
      </c>
      <c r="AJ49" s="190">
        <v>59.120600000000003</v>
      </c>
    </row>
    <row r="50" spans="1:36" hidden="1" x14ac:dyDescent="0.35">
      <c r="A50" t="s">
        <v>1374</v>
      </c>
      <c r="B50" s="188" t="s">
        <v>1342</v>
      </c>
      <c r="C50" t="s">
        <v>1350</v>
      </c>
      <c r="D50" s="188">
        <v>30</v>
      </c>
      <c r="E50" t="s">
        <v>1362</v>
      </c>
      <c r="F50" t="s">
        <v>1413</v>
      </c>
      <c r="G50" s="190" t="s">
        <v>1414</v>
      </c>
      <c r="H50" s="190"/>
      <c r="I50" s="190"/>
      <c r="J50" s="190"/>
      <c r="K50" s="190"/>
      <c r="L50" s="190"/>
      <c r="M50" s="190"/>
      <c r="N50" s="190"/>
      <c r="O50" s="190"/>
      <c r="P50" s="190">
        <v>76.563699999999997</v>
      </c>
      <c r="Q50" s="190">
        <v>74.680999999999997</v>
      </c>
      <c r="R50" s="190">
        <v>73.575000000000003</v>
      </c>
      <c r="S50" s="190">
        <v>72.801199999999994</v>
      </c>
      <c r="T50" s="190">
        <v>72.210599999999999</v>
      </c>
      <c r="U50" s="190">
        <v>71.735399999999998</v>
      </c>
      <c r="V50" s="190">
        <v>70.671700000000001</v>
      </c>
      <c r="W50" s="190">
        <v>69.950500000000005</v>
      </c>
      <c r="X50" s="190">
        <v>69.409599999999998</v>
      </c>
      <c r="Y50" s="190">
        <v>68.979299999999995</v>
      </c>
      <c r="Z50" s="190">
        <v>68.623400000000004</v>
      </c>
      <c r="AA50" s="190">
        <v>68.320899999999995</v>
      </c>
      <c r="AB50" s="190">
        <v>68.058400000000006</v>
      </c>
      <c r="AC50" s="190">
        <v>67.826999999999998</v>
      </c>
      <c r="AD50" s="190">
        <v>67.620400000000004</v>
      </c>
      <c r="AE50" s="190">
        <v>67.434100000000001</v>
      </c>
      <c r="AF50" s="190">
        <v>67.264600000000002</v>
      </c>
      <c r="AG50" s="190">
        <v>67.109200000000001</v>
      </c>
      <c r="AH50" s="190">
        <v>66.965900000000005</v>
      </c>
      <c r="AI50" s="190">
        <v>66.832999999999998</v>
      </c>
      <c r="AJ50" s="190">
        <v>66.709199999999996</v>
      </c>
    </row>
    <row r="51" spans="1:36" hidden="1" x14ac:dyDescent="0.35">
      <c r="A51" t="s">
        <v>1375</v>
      </c>
      <c r="B51" s="188" t="s">
        <v>1342</v>
      </c>
      <c r="C51" t="s">
        <v>1343</v>
      </c>
      <c r="D51" s="188">
        <v>30</v>
      </c>
      <c r="E51" t="s">
        <v>1362</v>
      </c>
      <c r="F51" t="s">
        <v>1415</v>
      </c>
      <c r="G51" s="190" t="s">
        <v>1416</v>
      </c>
      <c r="H51" s="190"/>
      <c r="I51" s="190"/>
      <c r="J51" s="190"/>
      <c r="K51" s="190"/>
      <c r="L51" s="190"/>
      <c r="M51" s="190"/>
      <c r="N51" s="190"/>
      <c r="O51" s="190"/>
      <c r="P51" s="190">
        <v>64.587800000000001</v>
      </c>
      <c r="Q51" s="190">
        <v>62.510199999999998</v>
      </c>
      <c r="R51" s="190">
        <v>61.341099999999997</v>
      </c>
      <c r="S51" s="190">
        <v>60.546300000000002</v>
      </c>
      <c r="T51" s="190">
        <v>59.952500000000001</v>
      </c>
      <c r="U51" s="190">
        <v>59.482999999999997</v>
      </c>
      <c r="V51" s="190">
        <v>58.4587</v>
      </c>
      <c r="W51" s="190">
        <v>57.785600000000002</v>
      </c>
      <c r="X51" s="190">
        <v>57.292200000000001</v>
      </c>
      <c r="Y51" s="190">
        <v>56.906700000000001</v>
      </c>
      <c r="Z51" s="190">
        <v>56.592700000000001</v>
      </c>
      <c r="AA51" s="190">
        <v>56.3292</v>
      </c>
      <c r="AB51" s="190">
        <v>56.103200000000001</v>
      </c>
      <c r="AC51" s="190">
        <v>55.905900000000003</v>
      </c>
      <c r="AD51" s="190">
        <v>55.731299999999997</v>
      </c>
      <c r="AE51" s="190">
        <v>55.575099999999999</v>
      </c>
      <c r="AF51" s="190">
        <v>55.434100000000001</v>
      </c>
      <c r="AG51" s="190">
        <v>55.305700000000002</v>
      </c>
      <c r="AH51" s="190">
        <v>55.188099999999999</v>
      </c>
      <c r="AI51" s="190">
        <v>55.079599999999999</v>
      </c>
      <c r="AJ51" s="190">
        <v>54.979199999999999</v>
      </c>
    </row>
    <row r="52" spans="1:36" hidden="1" x14ac:dyDescent="0.35">
      <c r="A52" t="s">
        <v>1378</v>
      </c>
      <c r="B52" s="188" t="s">
        <v>1342</v>
      </c>
      <c r="C52" t="s">
        <v>1348</v>
      </c>
      <c r="D52" s="188">
        <v>30</v>
      </c>
      <c r="E52" t="s">
        <v>1362</v>
      </c>
      <c r="F52" t="s">
        <v>1415</v>
      </c>
      <c r="G52" s="190" t="s">
        <v>1416</v>
      </c>
      <c r="H52" s="190"/>
      <c r="I52" s="190"/>
      <c r="J52" s="190"/>
      <c r="K52" s="190"/>
      <c r="L52" s="190"/>
      <c r="M52" s="190"/>
      <c r="N52" s="190"/>
      <c r="O52" s="190"/>
      <c r="P52" s="190">
        <v>70.471199999999996</v>
      </c>
      <c r="Q52" s="190">
        <v>68.391400000000004</v>
      </c>
      <c r="R52" s="190">
        <v>67.195700000000002</v>
      </c>
      <c r="S52" s="190">
        <v>66.371099999999998</v>
      </c>
      <c r="T52" s="190">
        <v>65.748400000000004</v>
      </c>
      <c r="U52" s="190">
        <v>65.251800000000003</v>
      </c>
      <c r="V52" s="190">
        <v>64.154200000000003</v>
      </c>
      <c r="W52" s="190">
        <v>63.421700000000001</v>
      </c>
      <c r="X52" s="190">
        <v>62.878599999999999</v>
      </c>
      <c r="Y52" s="190">
        <v>62.450400000000002</v>
      </c>
      <c r="Z52" s="190">
        <v>62.0989</v>
      </c>
      <c r="AA52" s="190">
        <v>61.802100000000003</v>
      </c>
      <c r="AB52" s="190">
        <v>61.545999999999999</v>
      </c>
      <c r="AC52" s="190">
        <v>61.321399999999997</v>
      </c>
      <c r="AD52" s="190">
        <v>61.1218</v>
      </c>
      <c r="AE52" s="190">
        <v>60.942500000000003</v>
      </c>
      <c r="AF52" s="190">
        <v>60.779899999999998</v>
      </c>
      <c r="AG52" s="190">
        <v>60.631399999999999</v>
      </c>
      <c r="AH52" s="190">
        <v>60.494900000000001</v>
      </c>
      <c r="AI52" s="190">
        <v>60.3688</v>
      </c>
      <c r="AJ52" s="190">
        <v>60.2515</v>
      </c>
    </row>
    <row r="53" spans="1:36" hidden="1" x14ac:dyDescent="0.35">
      <c r="A53" t="s">
        <v>1379</v>
      </c>
      <c r="B53" s="188" t="s">
        <v>1342</v>
      </c>
      <c r="C53" t="s">
        <v>1350</v>
      </c>
      <c r="D53" s="188">
        <v>30</v>
      </c>
      <c r="E53" t="s">
        <v>1362</v>
      </c>
      <c r="F53" t="s">
        <v>1415</v>
      </c>
      <c r="G53" s="190" t="s">
        <v>1416</v>
      </c>
      <c r="H53" s="190"/>
      <c r="I53" s="190"/>
      <c r="J53" s="190"/>
      <c r="K53" s="190"/>
      <c r="L53" s="190"/>
      <c r="M53" s="190"/>
      <c r="N53" s="190"/>
      <c r="O53" s="190"/>
      <c r="P53" s="190">
        <v>78.028300000000002</v>
      </c>
      <c r="Q53" s="190">
        <v>76.109700000000004</v>
      </c>
      <c r="R53" s="190">
        <v>74.982500000000002</v>
      </c>
      <c r="S53" s="190">
        <v>74.193899999999999</v>
      </c>
      <c r="T53" s="190">
        <v>73.591899999999995</v>
      </c>
      <c r="U53" s="190">
        <v>73.107699999999994</v>
      </c>
      <c r="V53" s="190">
        <v>72.023600000000002</v>
      </c>
      <c r="W53" s="190">
        <v>71.288600000000002</v>
      </c>
      <c r="X53" s="190">
        <v>70.737399999999994</v>
      </c>
      <c r="Y53" s="190">
        <v>70.2988</v>
      </c>
      <c r="Z53" s="190">
        <v>69.936099999999996</v>
      </c>
      <c r="AA53" s="190">
        <v>69.627799999999993</v>
      </c>
      <c r="AB53" s="190">
        <v>69.360299999999995</v>
      </c>
      <c r="AC53" s="190">
        <v>69.124499999999998</v>
      </c>
      <c r="AD53" s="190">
        <v>68.914000000000001</v>
      </c>
      <c r="AE53" s="190">
        <v>68.724100000000007</v>
      </c>
      <c r="AF53" s="190">
        <v>68.551299999999998</v>
      </c>
      <c r="AG53" s="190">
        <v>68.392899999999997</v>
      </c>
      <c r="AH53" s="190">
        <v>68.246899999999997</v>
      </c>
      <c r="AI53" s="190">
        <v>68.111500000000007</v>
      </c>
      <c r="AJ53" s="190">
        <v>67.985299999999995</v>
      </c>
    </row>
    <row r="54" spans="1:36" hidden="1" x14ac:dyDescent="0.35">
      <c r="A54" t="s">
        <v>1417</v>
      </c>
      <c r="B54" s="188" t="s">
        <v>1342</v>
      </c>
      <c r="C54" t="s">
        <v>1343</v>
      </c>
      <c r="D54">
        <v>30</v>
      </c>
      <c r="E54" t="s">
        <v>1418</v>
      </c>
      <c r="F54" t="s">
        <v>1363</v>
      </c>
      <c r="G54" s="190" t="s">
        <v>1419</v>
      </c>
      <c r="H54" s="190">
        <v>23.76560345636052</v>
      </c>
      <c r="I54" s="190">
        <v>22.218802453740661</v>
      </c>
      <c r="J54" s="190">
        <v>21.407927793054256</v>
      </c>
      <c r="K54" s="190">
        <v>20.602120918978418</v>
      </c>
      <c r="L54" s="190">
        <v>19.801063284926194</v>
      </c>
      <c r="M54" s="190">
        <v>19.004462493657329</v>
      </c>
      <c r="N54" s="190">
        <v>18.21204966800207</v>
      </c>
      <c r="O54" s="190">
        <v>17.423577132574675</v>
      </c>
      <c r="P54" s="190">
        <v>16.638816364391797</v>
      </c>
      <c r="Q54" s="190">
        <v>15.857556176696431</v>
      </c>
      <c r="R54" s="190">
        <v>15.079601105603478</v>
      </c>
      <c r="S54" s="190">
        <v>14.304769973624769</v>
      </c>
      <c r="T54" s="190">
        <v>13.532894607855301</v>
      </c>
      <c r="U54" s="190">
        <v>12.763818693735923</v>
      </c>
      <c r="V54" s="190">
        <v>12.670208627372556</v>
      </c>
      <c r="W54" s="190">
        <v>12.576819678078229</v>
      </c>
      <c r="X54" s="190">
        <v>12.483648495594315</v>
      </c>
      <c r="Y54" s="190">
        <v>12.390691797004074</v>
      </c>
      <c r="Z54" s="190">
        <v>12.297946365049107</v>
      </c>
      <c r="AA54" s="190">
        <v>12.205409046496044</v>
      </c>
      <c r="AB54" s="190">
        <v>12.113076750551791</v>
      </c>
      <c r="AC54" s="190">
        <v>12.02094644732558</v>
      </c>
      <c r="AD54" s="190">
        <v>11.929015166336262</v>
      </c>
      <c r="AE54" s="190">
        <v>11.837279995063291</v>
      </c>
      <c r="AF54" s="190">
        <v>11.745738077539931</v>
      </c>
      <c r="AG54" s="190">
        <v>11.654386612987205</v>
      </c>
      <c r="AH54" s="190">
        <v>11.563222854487256</v>
      </c>
      <c r="AI54" s="190">
        <v>11.47224410769484</v>
      </c>
      <c r="AJ54" s="190">
        <v>11.381447729585558</v>
      </c>
    </row>
    <row r="55" spans="1:36" hidden="1" x14ac:dyDescent="0.35">
      <c r="A55" t="s">
        <v>1420</v>
      </c>
      <c r="B55" s="188" t="s">
        <v>1342</v>
      </c>
      <c r="C55" t="s">
        <v>1348</v>
      </c>
      <c r="D55" s="188">
        <v>30</v>
      </c>
      <c r="E55" t="s">
        <v>1418</v>
      </c>
      <c r="F55" t="s">
        <v>1363</v>
      </c>
      <c r="G55" s="190" t="s">
        <v>1419</v>
      </c>
      <c r="H55" s="190">
        <v>23.76560345636052</v>
      </c>
      <c r="I55" s="190">
        <v>22.218802453740661</v>
      </c>
      <c r="J55" s="190">
        <v>21.608888816618236</v>
      </c>
      <c r="K55" s="190">
        <v>21.001076581156074</v>
      </c>
      <c r="L55" s="190">
        <v>20.395279725063983</v>
      </c>
      <c r="M55" s="190">
        <v>19.791416858021261</v>
      </c>
      <c r="N55" s="190">
        <v>19.189410914050601</v>
      </c>
      <c r="O55" s="190">
        <v>18.589188868087376</v>
      </c>
      <c r="P55" s="190">
        <v>17.99068147455273</v>
      </c>
      <c r="Q55" s="190">
        <v>17.393823025963098</v>
      </c>
      <c r="R55" s="190">
        <v>16.798551129807034</v>
      </c>
      <c r="S55" s="190">
        <v>16.204806502096819</v>
      </c>
      <c r="T55" s="190">
        <v>15.612532776158696</v>
      </c>
      <c r="U55" s="190">
        <v>15.021676325365567</v>
      </c>
      <c r="V55" s="190">
        <v>14.869318093880388</v>
      </c>
      <c r="W55" s="190">
        <v>14.717240636279373</v>
      </c>
      <c r="X55" s="190">
        <v>14.56543934971196</v>
      </c>
      <c r="Y55" s="190">
        <v>14.413909731389563</v>
      </c>
      <c r="Z55" s="190">
        <v>14.262647375881173</v>
      </c>
      <c r="AA55" s="190">
        <v>14.11164797249625</v>
      </c>
      <c r="AB55" s="190">
        <v>13.960907302751526</v>
      </c>
      <c r="AC55" s="190">
        <v>13.810421237918701</v>
      </c>
      <c r="AD55" s="190">
        <v>13.660185736649963</v>
      </c>
      <c r="AE55" s="190">
        <v>13.510196842678514</v>
      </c>
      <c r="AF55" s="190">
        <v>13.36045068259131</v>
      </c>
      <c r="AG55" s="190">
        <v>13.210943463671404</v>
      </c>
      <c r="AH55" s="190">
        <v>13.061671471807394</v>
      </c>
      <c r="AI55" s="190">
        <v>12.912631069467482</v>
      </c>
      <c r="AJ55" s="190">
        <v>12.763818693735923</v>
      </c>
    </row>
    <row r="56" spans="1:36" hidden="1" x14ac:dyDescent="0.35">
      <c r="A56" t="s">
        <v>1421</v>
      </c>
      <c r="B56" s="188" t="s">
        <v>1342</v>
      </c>
      <c r="C56" t="s">
        <v>1350</v>
      </c>
      <c r="D56" s="188">
        <v>30</v>
      </c>
      <c r="E56" t="s">
        <v>1418</v>
      </c>
      <c r="F56" t="s">
        <v>1363</v>
      </c>
      <c r="G56" s="190" t="s">
        <v>1419</v>
      </c>
      <c r="H56" s="190">
        <v>23.76560345636052</v>
      </c>
      <c r="I56" s="190">
        <v>22.218802453740661</v>
      </c>
      <c r="J56" s="190">
        <v>21.860501901589366</v>
      </c>
      <c r="K56" s="190">
        <v>21.502899955508919</v>
      </c>
      <c r="L56" s="190">
        <v>21.145979982021444</v>
      </c>
      <c r="M56" s="190">
        <v>20.789725871538124</v>
      </c>
      <c r="N56" s="190">
        <v>20.434122017894797</v>
      </c>
      <c r="O56" s="190">
        <v>20.079153298839376</v>
      </c>
      <c r="P56" s="190">
        <v>19.724805057419829</v>
      </c>
      <c r="Q56" s="190">
        <v>19.371063084224648</v>
      </c>
      <c r="R56" s="190">
        <v>19.017913600430557</v>
      </c>
      <c r="S56" s="190">
        <v>18.665343241614966</v>
      </c>
      <c r="T56" s="190">
        <v>18.313339042293293</v>
      </c>
      <c r="U56" s="190">
        <v>17.961888421143438</v>
      </c>
      <c r="V56" s="190">
        <v>17.764601031217541</v>
      </c>
      <c r="W56" s="190">
        <v>17.567505950951663</v>
      </c>
      <c r="X56" s="190">
        <v>17.370600649955545</v>
      </c>
      <c r="Y56" s="190">
        <v>17.173882642037867</v>
      </c>
      <c r="Z56" s="190">
        <v>16.977349484245448</v>
      </c>
      <c r="AA56" s="190">
        <v>16.780998775927294</v>
      </c>
      <c r="AB56" s="190">
        <v>16.584828157822976</v>
      </c>
      <c r="AC56" s="190">
        <v>16.388835311174372</v>
      </c>
      <c r="AD56" s="190">
        <v>16.193017956860249</v>
      </c>
      <c r="AE56" s="190">
        <v>15.997373854552936</v>
      </c>
      <c r="AF56" s="190">
        <v>15.801900801896421</v>
      </c>
      <c r="AG56" s="190">
        <v>15.606596633705243</v>
      </c>
      <c r="AH56" s="190">
        <v>15.411459221183621</v>
      </c>
      <c r="AI56" s="190">
        <v>15.216486471164158</v>
      </c>
      <c r="AJ56" s="190">
        <v>15.021676325365567</v>
      </c>
    </row>
    <row r="57" spans="1:36" hidden="1" x14ac:dyDescent="0.35">
      <c r="A57" t="s">
        <v>1422</v>
      </c>
      <c r="B57" s="188" t="s">
        <v>1342</v>
      </c>
      <c r="C57" t="s">
        <v>1343</v>
      </c>
      <c r="D57" s="188">
        <v>30</v>
      </c>
      <c r="E57" t="s">
        <v>1418</v>
      </c>
      <c r="F57" t="s">
        <v>1345</v>
      </c>
      <c r="G57" s="190" t="s">
        <v>1423</v>
      </c>
      <c r="H57" s="190">
        <v>23.76560345636052</v>
      </c>
      <c r="I57" s="190">
        <v>22.218802453740661</v>
      </c>
      <c r="J57" s="190">
        <v>21.407927793054256</v>
      </c>
      <c r="K57" s="190">
        <v>20.602120918978418</v>
      </c>
      <c r="L57" s="190">
        <v>19.801063284926194</v>
      </c>
      <c r="M57" s="190">
        <v>19.004462493657329</v>
      </c>
      <c r="N57" s="190">
        <v>18.21204966800207</v>
      </c>
      <c r="O57" s="190">
        <v>17.423577132574675</v>
      </c>
      <c r="P57" s="190">
        <v>16.638816364391797</v>
      </c>
      <c r="Q57" s="190">
        <v>15.857556176696431</v>
      </c>
      <c r="R57" s="190">
        <v>15.079601105603478</v>
      </c>
      <c r="S57" s="190">
        <v>14.304769973624769</v>
      </c>
      <c r="T57" s="190">
        <v>13.532894607855301</v>
      </c>
      <c r="U57" s="190">
        <v>12.763818693735923</v>
      </c>
      <c r="V57" s="190">
        <v>12.670208627372556</v>
      </c>
      <c r="W57" s="190">
        <v>12.576819678078229</v>
      </c>
      <c r="X57" s="190">
        <v>12.483648495594315</v>
      </c>
      <c r="Y57" s="190">
        <v>12.390691797004074</v>
      </c>
      <c r="Z57" s="190">
        <v>12.297946365049107</v>
      </c>
      <c r="AA57" s="190">
        <v>12.205409046496044</v>
      </c>
      <c r="AB57" s="190">
        <v>12.113076750551791</v>
      </c>
      <c r="AC57" s="190">
        <v>12.02094644732558</v>
      </c>
      <c r="AD57" s="190">
        <v>11.929015166336262</v>
      </c>
      <c r="AE57" s="190">
        <v>11.837279995063291</v>
      </c>
      <c r="AF57" s="190">
        <v>11.745738077539931</v>
      </c>
      <c r="AG57" s="190">
        <v>11.654386612987205</v>
      </c>
      <c r="AH57" s="190">
        <v>11.563222854487256</v>
      </c>
      <c r="AI57" s="190">
        <v>11.47224410769484</v>
      </c>
      <c r="AJ57" s="190">
        <v>11.381447729585558</v>
      </c>
    </row>
    <row r="58" spans="1:36" hidden="1" x14ac:dyDescent="0.35">
      <c r="A58" t="s">
        <v>1424</v>
      </c>
      <c r="B58" s="188" t="s">
        <v>1342</v>
      </c>
      <c r="C58" t="s">
        <v>1348</v>
      </c>
      <c r="D58" s="188">
        <v>30</v>
      </c>
      <c r="E58" t="s">
        <v>1418</v>
      </c>
      <c r="F58" t="s">
        <v>1345</v>
      </c>
      <c r="G58" s="190" t="s">
        <v>1423</v>
      </c>
      <c r="H58" s="190">
        <v>23.76560345636052</v>
      </c>
      <c r="I58" s="190">
        <v>22.218802453740661</v>
      </c>
      <c r="J58" s="190">
        <v>21.608888816618236</v>
      </c>
      <c r="K58" s="190">
        <v>21.001076581156074</v>
      </c>
      <c r="L58" s="190">
        <v>20.395279725063983</v>
      </c>
      <c r="M58" s="190">
        <v>19.791416858021261</v>
      </c>
      <c r="N58" s="190">
        <v>19.189410914050601</v>
      </c>
      <c r="O58" s="190">
        <v>18.589188868087376</v>
      </c>
      <c r="P58" s="190">
        <v>17.99068147455273</v>
      </c>
      <c r="Q58" s="190">
        <v>17.393823025963098</v>
      </c>
      <c r="R58" s="190">
        <v>16.798551129807034</v>
      </c>
      <c r="S58" s="190">
        <v>16.204806502096819</v>
      </c>
      <c r="T58" s="190">
        <v>15.612532776158696</v>
      </c>
      <c r="U58" s="190">
        <v>15.021676325365567</v>
      </c>
      <c r="V58" s="190">
        <v>14.869318093880388</v>
      </c>
      <c r="W58" s="190">
        <v>14.717240636279373</v>
      </c>
      <c r="X58" s="190">
        <v>14.56543934971196</v>
      </c>
      <c r="Y58" s="190">
        <v>14.413909731389563</v>
      </c>
      <c r="Z58" s="190">
        <v>14.262647375881173</v>
      </c>
      <c r="AA58" s="190">
        <v>14.11164797249625</v>
      </c>
      <c r="AB58" s="190">
        <v>13.960907302751526</v>
      </c>
      <c r="AC58" s="190">
        <v>13.810421237918701</v>
      </c>
      <c r="AD58" s="190">
        <v>13.660185736649963</v>
      </c>
      <c r="AE58" s="190">
        <v>13.510196842678514</v>
      </c>
      <c r="AF58" s="190">
        <v>13.36045068259131</v>
      </c>
      <c r="AG58" s="190">
        <v>13.210943463671404</v>
      </c>
      <c r="AH58" s="190">
        <v>13.061671471807394</v>
      </c>
      <c r="AI58" s="190">
        <v>12.912631069467482</v>
      </c>
      <c r="AJ58" s="190">
        <v>12.763818693735923</v>
      </c>
    </row>
    <row r="59" spans="1:36" hidden="1" x14ac:dyDescent="0.35">
      <c r="A59" t="s">
        <v>1425</v>
      </c>
      <c r="B59" s="188" t="s">
        <v>1342</v>
      </c>
      <c r="C59" t="s">
        <v>1350</v>
      </c>
      <c r="D59" s="188">
        <v>30</v>
      </c>
      <c r="E59" t="s">
        <v>1418</v>
      </c>
      <c r="F59" t="s">
        <v>1345</v>
      </c>
      <c r="G59" s="190" t="s">
        <v>1423</v>
      </c>
      <c r="H59" s="190">
        <v>23.76560345636052</v>
      </c>
      <c r="I59" s="190">
        <v>22.218802453740661</v>
      </c>
      <c r="J59" s="190">
        <v>21.860501901589366</v>
      </c>
      <c r="K59" s="190">
        <v>21.502899955508919</v>
      </c>
      <c r="L59" s="190">
        <v>21.145979982021444</v>
      </c>
      <c r="M59" s="190">
        <v>20.789725871538124</v>
      </c>
      <c r="N59" s="190">
        <v>20.434122017894797</v>
      </c>
      <c r="O59" s="190">
        <v>20.079153298839376</v>
      </c>
      <c r="P59" s="190">
        <v>19.724805057419829</v>
      </c>
      <c r="Q59" s="190">
        <v>19.371063084224648</v>
      </c>
      <c r="R59" s="190">
        <v>19.017913600430557</v>
      </c>
      <c r="S59" s="190">
        <v>18.665343241614966</v>
      </c>
      <c r="T59" s="190">
        <v>18.313339042293293</v>
      </c>
      <c r="U59" s="190">
        <v>17.961888421143438</v>
      </c>
      <c r="V59" s="190">
        <v>17.764601031217541</v>
      </c>
      <c r="W59" s="190">
        <v>17.567505950951663</v>
      </c>
      <c r="X59" s="190">
        <v>17.370600649955545</v>
      </c>
      <c r="Y59" s="190">
        <v>17.173882642037867</v>
      </c>
      <c r="Z59" s="190">
        <v>16.977349484245448</v>
      </c>
      <c r="AA59" s="190">
        <v>16.780998775927294</v>
      </c>
      <c r="AB59" s="190">
        <v>16.584828157822976</v>
      </c>
      <c r="AC59" s="190">
        <v>16.388835311174372</v>
      </c>
      <c r="AD59" s="190">
        <v>16.193017956860249</v>
      </c>
      <c r="AE59" s="190">
        <v>15.997373854552936</v>
      </c>
      <c r="AF59" s="190">
        <v>15.801900801896421</v>
      </c>
      <c r="AG59" s="190">
        <v>15.606596633705243</v>
      </c>
      <c r="AH59" s="190">
        <v>15.411459221183621</v>
      </c>
      <c r="AI59" s="190">
        <v>15.216486471164158</v>
      </c>
      <c r="AJ59" s="190">
        <v>15.021676325365567</v>
      </c>
    </row>
    <row r="60" spans="1:36" hidden="1" x14ac:dyDescent="0.35">
      <c r="A60" t="s">
        <v>1426</v>
      </c>
      <c r="B60" s="188" t="s">
        <v>1342</v>
      </c>
      <c r="C60" t="s">
        <v>1343</v>
      </c>
      <c r="D60" s="188">
        <v>30</v>
      </c>
      <c r="E60" t="s">
        <v>1418</v>
      </c>
      <c r="F60" t="s">
        <v>1352</v>
      </c>
      <c r="G60" s="190" t="s">
        <v>1427</v>
      </c>
      <c r="H60" s="190">
        <v>23.76560345636052</v>
      </c>
      <c r="I60" s="190">
        <v>22.218802453740661</v>
      </c>
      <c r="J60" s="190">
        <v>21.407927793054256</v>
      </c>
      <c r="K60" s="190">
        <v>20.602120918978418</v>
      </c>
      <c r="L60" s="190">
        <v>19.801063284926194</v>
      </c>
      <c r="M60" s="190">
        <v>19.004462493657329</v>
      </c>
      <c r="N60" s="190">
        <v>18.21204966800207</v>
      </c>
      <c r="O60" s="190">
        <v>17.423577132574675</v>
      </c>
      <c r="P60" s="190">
        <v>16.638816364391797</v>
      </c>
      <c r="Q60" s="190">
        <v>15.857556176696431</v>
      </c>
      <c r="R60" s="190">
        <v>15.079601105603478</v>
      </c>
      <c r="S60" s="190">
        <v>14.304769973624769</v>
      </c>
      <c r="T60" s="190">
        <v>13.532894607855301</v>
      </c>
      <c r="U60" s="190">
        <v>12.763818693735923</v>
      </c>
      <c r="V60" s="190">
        <v>12.670208627372556</v>
      </c>
      <c r="W60" s="190">
        <v>12.576819678078229</v>
      </c>
      <c r="X60" s="190">
        <v>12.483648495594315</v>
      </c>
      <c r="Y60" s="190">
        <v>12.390691797004074</v>
      </c>
      <c r="Z60" s="190">
        <v>12.297946365049107</v>
      </c>
      <c r="AA60" s="190">
        <v>12.205409046496044</v>
      </c>
      <c r="AB60" s="190">
        <v>12.113076750551791</v>
      </c>
      <c r="AC60" s="190">
        <v>12.02094644732558</v>
      </c>
      <c r="AD60" s="190">
        <v>11.929015166336262</v>
      </c>
      <c r="AE60" s="190">
        <v>11.837279995063291</v>
      </c>
      <c r="AF60" s="190">
        <v>11.745738077539931</v>
      </c>
      <c r="AG60" s="190">
        <v>11.654386612987205</v>
      </c>
      <c r="AH60" s="190">
        <v>11.563222854487256</v>
      </c>
      <c r="AI60" s="190">
        <v>11.47224410769484</v>
      </c>
      <c r="AJ60" s="190">
        <v>11.381447729585558</v>
      </c>
    </row>
    <row r="61" spans="1:36" hidden="1" x14ac:dyDescent="0.35">
      <c r="A61" t="s">
        <v>1428</v>
      </c>
      <c r="B61" s="188" t="s">
        <v>1342</v>
      </c>
      <c r="C61" t="s">
        <v>1348</v>
      </c>
      <c r="D61" s="188">
        <v>30</v>
      </c>
      <c r="E61" t="s">
        <v>1418</v>
      </c>
      <c r="F61" t="s">
        <v>1352</v>
      </c>
      <c r="G61" s="190" t="s">
        <v>1427</v>
      </c>
      <c r="H61" s="190">
        <v>23.76560345636052</v>
      </c>
      <c r="I61" s="190">
        <v>22.218802453740661</v>
      </c>
      <c r="J61" s="190">
        <v>21.608888816618236</v>
      </c>
      <c r="K61" s="190">
        <v>21.001076581156074</v>
      </c>
      <c r="L61" s="190">
        <v>20.395279725063983</v>
      </c>
      <c r="M61" s="190">
        <v>19.791416858021261</v>
      </c>
      <c r="N61" s="190">
        <v>19.189410914050601</v>
      </c>
      <c r="O61" s="190">
        <v>18.589188868087376</v>
      </c>
      <c r="P61" s="190">
        <v>17.99068147455273</v>
      </c>
      <c r="Q61" s="190">
        <v>17.393823025963098</v>
      </c>
      <c r="R61" s="190">
        <v>16.798551129807034</v>
      </c>
      <c r="S61" s="190">
        <v>16.204806502096819</v>
      </c>
      <c r="T61" s="190">
        <v>15.612532776158696</v>
      </c>
      <c r="U61" s="190">
        <v>15.021676325365567</v>
      </c>
      <c r="V61" s="190">
        <v>14.869318093880388</v>
      </c>
      <c r="W61" s="190">
        <v>14.717240636279373</v>
      </c>
      <c r="X61" s="190">
        <v>14.56543934971196</v>
      </c>
      <c r="Y61" s="190">
        <v>14.413909731389563</v>
      </c>
      <c r="Z61" s="190">
        <v>14.262647375881173</v>
      </c>
      <c r="AA61" s="190">
        <v>14.11164797249625</v>
      </c>
      <c r="AB61" s="190">
        <v>13.960907302751526</v>
      </c>
      <c r="AC61" s="190">
        <v>13.810421237918701</v>
      </c>
      <c r="AD61" s="190">
        <v>13.660185736649963</v>
      </c>
      <c r="AE61" s="190">
        <v>13.510196842678514</v>
      </c>
      <c r="AF61" s="190">
        <v>13.36045068259131</v>
      </c>
      <c r="AG61" s="190">
        <v>13.210943463671404</v>
      </c>
      <c r="AH61" s="190">
        <v>13.061671471807394</v>
      </c>
      <c r="AI61" s="190">
        <v>12.912631069467482</v>
      </c>
      <c r="AJ61" s="190">
        <v>12.763818693735923</v>
      </c>
    </row>
    <row r="62" spans="1:36" hidden="1" x14ac:dyDescent="0.35">
      <c r="A62" t="s">
        <v>1429</v>
      </c>
      <c r="B62" s="188" t="s">
        <v>1342</v>
      </c>
      <c r="C62" t="s">
        <v>1350</v>
      </c>
      <c r="D62" s="188">
        <v>30</v>
      </c>
      <c r="E62" t="s">
        <v>1418</v>
      </c>
      <c r="F62" t="s">
        <v>1352</v>
      </c>
      <c r="G62" s="190" t="s">
        <v>1427</v>
      </c>
      <c r="H62" s="190">
        <v>23.76560345636052</v>
      </c>
      <c r="I62" s="190">
        <v>22.218802453740661</v>
      </c>
      <c r="J62" s="190">
        <v>21.860501901589366</v>
      </c>
      <c r="K62" s="190">
        <v>21.502899955508919</v>
      </c>
      <c r="L62" s="190">
        <v>21.145979982021444</v>
      </c>
      <c r="M62" s="190">
        <v>20.789725871538124</v>
      </c>
      <c r="N62" s="190">
        <v>20.434122017894797</v>
      </c>
      <c r="O62" s="190">
        <v>20.079153298839376</v>
      </c>
      <c r="P62" s="190">
        <v>19.724805057419829</v>
      </c>
      <c r="Q62" s="190">
        <v>19.371063084224648</v>
      </c>
      <c r="R62" s="190">
        <v>19.017913600430557</v>
      </c>
      <c r="S62" s="190">
        <v>18.665343241614966</v>
      </c>
      <c r="T62" s="190">
        <v>18.313339042293293</v>
      </c>
      <c r="U62" s="190">
        <v>17.961888421143438</v>
      </c>
      <c r="V62" s="190">
        <v>17.764601031217541</v>
      </c>
      <c r="W62" s="190">
        <v>17.567505950951663</v>
      </c>
      <c r="X62" s="190">
        <v>17.370600649955545</v>
      </c>
      <c r="Y62" s="190">
        <v>17.173882642037867</v>
      </c>
      <c r="Z62" s="190">
        <v>16.977349484245448</v>
      </c>
      <c r="AA62" s="190">
        <v>16.780998775927294</v>
      </c>
      <c r="AB62" s="190">
        <v>16.584828157822976</v>
      </c>
      <c r="AC62" s="190">
        <v>16.388835311174372</v>
      </c>
      <c r="AD62" s="190">
        <v>16.193017956860249</v>
      </c>
      <c r="AE62" s="190">
        <v>15.997373854552936</v>
      </c>
      <c r="AF62" s="190">
        <v>15.801900801896421</v>
      </c>
      <c r="AG62" s="190">
        <v>15.606596633705243</v>
      </c>
      <c r="AH62" s="190">
        <v>15.411459221183621</v>
      </c>
      <c r="AI62" s="190">
        <v>15.216486471164158</v>
      </c>
      <c r="AJ62" s="190">
        <v>15.021676325365567</v>
      </c>
    </row>
    <row r="63" spans="1:36" hidden="1" x14ac:dyDescent="0.35">
      <c r="A63" t="s">
        <v>1430</v>
      </c>
      <c r="B63" s="188" t="s">
        <v>1342</v>
      </c>
      <c r="C63" t="s">
        <v>1343</v>
      </c>
      <c r="D63" s="188">
        <v>30</v>
      </c>
      <c r="E63" t="s">
        <v>1418</v>
      </c>
      <c r="F63" t="s">
        <v>1376</v>
      </c>
      <c r="G63" s="190" t="s">
        <v>1431</v>
      </c>
      <c r="H63" s="190">
        <v>23.76560345636052</v>
      </c>
      <c r="I63" s="190">
        <v>22.218802453740661</v>
      </c>
      <c r="J63" s="190">
        <v>21.407927793054256</v>
      </c>
      <c r="K63" s="190">
        <v>20.602120918978418</v>
      </c>
      <c r="L63" s="190">
        <v>19.801063284926194</v>
      </c>
      <c r="M63" s="190">
        <v>19.004462493657329</v>
      </c>
      <c r="N63" s="190">
        <v>18.21204966800207</v>
      </c>
      <c r="O63" s="190">
        <v>17.423577132574675</v>
      </c>
      <c r="P63" s="190">
        <v>16.638816364391797</v>
      </c>
      <c r="Q63" s="190">
        <v>15.857556176696431</v>
      </c>
      <c r="R63" s="190">
        <v>15.079601105603478</v>
      </c>
      <c r="S63" s="190">
        <v>14.304769973624769</v>
      </c>
      <c r="T63" s="190">
        <v>13.532894607855301</v>
      </c>
      <c r="U63" s="190">
        <v>12.763818693735923</v>
      </c>
      <c r="V63" s="190">
        <v>12.670208627372556</v>
      </c>
      <c r="W63" s="190">
        <v>12.576819678078229</v>
      </c>
      <c r="X63" s="190">
        <v>12.483648495594315</v>
      </c>
      <c r="Y63" s="190">
        <v>12.390691797004074</v>
      </c>
      <c r="Z63" s="190">
        <v>12.297946365049107</v>
      </c>
      <c r="AA63" s="190">
        <v>12.205409046496044</v>
      </c>
      <c r="AB63" s="190">
        <v>12.113076750551791</v>
      </c>
      <c r="AC63" s="190">
        <v>12.02094644732558</v>
      </c>
      <c r="AD63" s="190">
        <v>11.929015166336262</v>
      </c>
      <c r="AE63" s="190">
        <v>11.837279995063291</v>
      </c>
      <c r="AF63" s="190">
        <v>11.745738077539931</v>
      </c>
      <c r="AG63" s="190">
        <v>11.654386612987205</v>
      </c>
      <c r="AH63" s="190">
        <v>11.563222854487256</v>
      </c>
      <c r="AI63" s="190">
        <v>11.47224410769484</v>
      </c>
      <c r="AJ63" s="190">
        <v>11.381447729585558</v>
      </c>
    </row>
    <row r="64" spans="1:36" hidden="1" x14ac:dyDescent="0.35">
      <c r="A64" t="s">
        <v>1432</v>
      </c>
      <c r="B64" s="188" t="s">
        <v>1342</v>
      </c>
      <c r="C64" t="s">
        <v>1348</v>
      </c>
      <c r="D64" s="188">
        <v>30</v>
      </c>
      <c r="E64" t="s">
        <v>1418</v>
      </c>
      <c r="F64" t="s">
        <v>1376</v>
      </c>
      <c r="G64" s="190" t="s">
        <v>1431</v>
      </c>
      <c r="H64" s="190">
        <v>23.76560345636052</v>
      </c>
      <c r="I64" s="190">
        <v>22.218802453740661</v>
      </c>
      <c r="J64" s="190">
        <v>21.608888816618236</v>
      </c>
      <c r="K64" s="190">
        <v>21.001076581156074</v>
      </c>
      <c r="L64" s="190">
        <v>20.395279725063983</v>
      </c>
      <c r="M64" s="190">
        <v>19.791416858021261</v>
      </c>
      <c r="N64" s="190">
        <v>19.189410914050601</v>
      </c>
      <c r="O64" s="190">
        <v>18.589188868087376</v>
      </c>
      <c r="P64" s="190">
        <v>17.99068147455273</v>
      </c>
      <c r="Q64" s="190">
        <v>17.393823025963098</v>
      </c>
      <c r="R64" s="190">
        <v>16.798551129807034</v>
      </c>
      <c r="S64" s="190">
        <v>16.204806502096819</v>
      </c>
      <c r="T64" s="190">
        <v>15.612532776158696</v>
      </c>
      <c r="U64" s="190">
        <v>15.021676325365567</v>
      </c>
      <c r="V64" s="190">
        <v>14.869318093880388</v>
      </c>
      <c r="W64" s="190">
        <v>14.717240636279373</v>
      </c>
      <c r="X64" s="190">
        <v>14.56543934971196</v>
      </c>
      <c r="Y64" s="190">
        <v>14.413909731389563</v>
      </c>
      <c r="Z64" s="190">
        <v>14.262647375881173</v>
      </c>
      <c r="AA64" s="190">
        <v>14.11164797249625</v>
      </c>
      <c r="AB64" s="190">
        <v>13.960907302751526</v>
      </c>
      <c r="AC64" s="190">
        <v>13.810421237918701</v>
      </c>
      <c r="AD64" s="190">
        <v>13.660185736649963</v>
      </c>
      <c r="AE64" s="190">
        <v>13.510196842678514</v>
      </c>
      <c r="AF64" s="190">
        <v>13.36045068259131</v>
      </c>
      <c r="AG64" s="190">
        <v>13.210943463671404</v>
      </c>
      <c r="AH64" s="190">
        <v>13.061671471807394</v>
      </c>
      <c r="AI64" s="190">
        <v>12.912631069467482</v>
      </c>
      <c r="AJ64" s="190">
        <v>12.763818693735923</v>
      </c>
    </row>
    <row r="65" spans="1:36" hidden="1" x14ac:dyDescent="0.35">
      <c r="A65" t="s">
        <v>1433</v>
      </c>
      <c r="B65" s="188" t="s">
        <v>1342</v>
      </c>
      <c r="C65" t="s">
        <v>1350</v>
      </c>
      <c r="D65" s="188">
        <v>30</v>
      </c>
      <c r="E65" t="s">
        <v>1418</v>
      </c>
      <c r="F65" t="s">
        <v>1376</v>
      </c>
      <c r="G65" s="190" t="s">
        <v>1431</v>
      </c>
      <c r="H65" s="190">
        <v>23.76560345636052</v>
      </c>
      <c r="I65" s="190">
        <v>22.218802453740661</v>
      </c>
      <c r="J65" s="190">
        <v>21.860501901589366</v>
      </c>
      <c r="K65" s="190">
        <v>21.502899955508919</v>
      </c>
      <c r="L65" s="190">
        <v>21.145979982021444</v>
      </c>
      <c r="M65" s="190">
        <v>20.789725871538124</v>
      </c>
      <c r="N65" s="190">
        <v>20.434122017894797</v>
      </c>
      <c r="O65" s="190">
        <v>20.079153298839376</v>
      </c>
      <c r="P65" s="190">
        <v>19.724805057419829</v>
      </c>
      <c r="Q65" s="190">
        <v>19.371063084224648</v>
      </c>
      <c r="R65" s="190">
        <v>19.017913600430557</v>
      </c>
      <c r="S65" s="190">
        <v>18.665343241614966</v>
      </c>
      <c r="T65" s="190">
        <v>18.313339042293293</v>
      </c>
      <c r="U65" s="190">
        <v>17.961888421143438</v>
      </c>
      <c r="V65" s="190">
        <v>17.764601031217541</v>
      </c>
      <c r="W65" s="190">
        <v>17.567505950951663</v>
      </c>
      <c r="X65" s="190">
        <v>17.370600649955545</v>
      </c>
      <c r="Y65" s="190">
        <v>17.173882642037867</v>
      </c>
      <c r="Z65" s="190">
        <v>16.977349484245448</v>
      </c>
      <c r="AA65" s="190">
        <v>16.780998775927294</v>
      </c>
      <c r="AB65" s="190">
        <v>16.584828157822976</v>
      </c>
      <c r="AC65" s="190">
        <v>16.388835311174372</v>
      </c>
      <c r="AD65" s="190">
        <v>16.193017956860249</v>
      </c>
      <c r="AE65" s="190">
        <v>15.997373854552936</v>
      </c>
      <c r="AF65" s="190">
        <v>15.801900801896421</v>
      </c>
      <c r="AG65" s="190">
        <v>15.606596633705243</v>
      </c>
      <c r="AH65" s="190">
        <v>15.411459221183621</v>
      </c>
      <c r="AI65" s="190">
        <v>15.216486471164158</v>
      </c>
      <c r="AJ65" s="190">
        <v>15.021676325365567</v>
      </c>
    </row>
    <row r="66" spans="1:36" hidden="1" x14ac:dyDescent="0.35">
      <c r="A66" t="s">
        <v>1434</v>
      </c>
      <c r="B66" s="188" t="s">
        <v>1342</v>
      </c>
      <c r="C66" t="s">
        <v>1343</v>
      </c>
      <c r="D66" s="188">
        <v>30</v>
      </c>
      <c r="E66" t="s">
        <v>1418</v>
      </c>
      <c r="F66" t="s">
        <v>1381</v>
      </c>
      <c r="G66" s="190" t="s">
        <v>1435</v>
      </c>
      <c r="H66" s="190">
        <v>23.76560345636052</v>
      </c>
      <c r="I66" s="190">
        <v>22.218802453740661</v>
      </c>
      <c r="J66" s="190">
        <v>21.407927793054256</v>
      </c>
      <c r="K66" s="190">
        <v>20.602120918978418</v>
      </c>
      <c r="L66" s="190">
        <v>19.801063284926194</v>
      </c>
      <c r="M66" s="190">
        <v>19.004462493657329</v>
      </c>
      <c r="N66" s="190">
        <v>18.21204966800207</v>
      </c>
      <c r="O66" s="190">
        <v>17.423577132574675</v>
      </c>
      <c r="P66" s="190">
        <v>16.638816364391797</v>
      </c>
      <c r="Q66" s="190">
        <v>15.857556176696431</v>
      </c>
      <c r="R66" s="190">
        <v>15.079601105603478</v>
      </c>
      <c r="S66" s="190">
        <v>14.304769973624769</v>
      </c>
      <c r="T66" s="190">
        <v>13.532894607855301</v>
      </c>
      <c r="U66" s="190">
        <v>12.763818693735923</v>
      </c>
      <c r="V66" s="190">
        <v>12.670208627372556</v>
      </c>
      <c r="W66" s="190">
        <v>12.576819678078229</v>
      </c>
      <c r="X66" s="190">
        <v>12.483648495594315</v>
      </c>
      <c r="Y66" s="190">
        <v>12.390691797004074</v>
      </c>
      <c r="Z66" s="190">
        <v>12.297946365049107</v>
      </c>
      <c r="AA66" s="190">
        <v>12.205409046496044</v>
      </c>
      <c r="AB66" s="190">
        <v>12.113076750551791</v>
      </c>
      <c r="AC66" s="190">
        <v>12.02094644732558</v>
      </c>
      <c r="AD66" s="190">
        <v>11.929015166336262</v>
      </c>
      <c r="AE66" s="190">
        <v>11.837279995063291</v>
      </c>
      <c r="AF66" s="190">
        <v>11.745738077539931</v>
      </c>
      <c r="AG66" s="190">
        <v>11.654386612987205</v>
      </c>
      <c r="AH66" s="190">
        <v>11.563222854487256</v>
      </c>
      <c r="AI66" s="190">
        <v>11.47224410769484</v>
      </c>
      <c r="AJ66" s="190">
        <v>11.381447729585558</v>
      </c>
    </row>
    <row r="67" spans="1:36" hidden="1" x14ac:dyDescent="0.35">
      <c r="A67" t="s">
        <v>1436</v>
      </c>
      <c r="B67" s="188" t="s">
        <v>1342</v>
      </c>
      <c r="C67" t="s">
        <v>1348</v>
      </c>
      <c r="D67" s="188">
        <v>30</v>
      </c>
      <c r="E67" t="s">
        <v>1418</v>
      </c>
      <c r="F67" t="s">
        <v>1381</v>
      </c>
      <c r="G67" s="190" t="s">
        <v>1435</v>
      </c>
      <c r="H67" s="190">
        <v>23.76560345636052</v>
      </c>
      <c r="I67" s="190">
        <v>22.218802453740661</v>
      </c>
      <c r="J67" s="190">
        <v>21.608888816618236</v>
      </c>
      <c r="K67" s="190">
        <v>21.001076581156074</v>
      </c>
      <c r="L67" s="190">
        <v>20.395279725063983</v>
      </c>
      <c r="M67" s="190">
        <v>19.791416858021261</v>
      </c>
      <c r="N67" s="190">
        <v>19.189410914050601</v>
      </c>
      <c r="O67" s="190">
        <v>18.589188868087376</v>
      </c>
      <c r="P67" s="190">
        <v>17.99068147455273</v>
      </c>
      <c r="Q67" s="190">
        <v>17.393823025963098</v>
      </c>
      <c r="R67" s="190">
        <v>16.798551129807034</v>
      </c>
      <c r="S67" s="190">
        <v>16.204806502096819</v>
      </c>
      <c r="T67" s="190">
        <v>15.612532776158696</v>
      </c>
      <c r="U67" s="190">
        <v>15.021676325365567</v>
      </c>
      <c r="V67" s="190">
        <v>14.869318093880388</v>
      </c>
      <c r="W67" s="190">
        <v>14.717240636279373</v>
      </c>
      <c r="X67" s="190">
        <v>14.56543934971196</v>
      </c>
      <c r="Y67" s="190">
        <v>14.413909731389563</v>
      </c>
      <c r="Z67" s="190">
        <v>14.262647375881173</v>
      </c>
      <c r="AA67" s="190">
        <v>14.11164797249625</v>
      </c>
      <c r="AB67" s="190">
        <v>13.960907302751526</v>
      </c>
      <c r="AC67" s="190">
        <v>13.810421237918701</v>
      </c>
      <c r="AD67" s="190">
        <v>13.660185736649963</v>
      </c>
      <c r="AE67" s="190">
        <v>13.510196842678514</v>
      </c>
      <c r="AF67" s="190">
        <v>13.36045068259131</v>
      </c>
      <c r="AG67" s="190">
        <v>13.210943463671404</v>
      </c>
      <c r="AH67" s="190">
        <v>13.061671471807394</v>
      </c>
      <c r="AI67" s="190">
        <v>12.912631069467482</v>
      </c>
      <c r="AJ67" s="190">
        <v>12.763818693735923</v>
      </c>
    </row>
    <row r="68" spans="1:36" hidden="1" x14ac:dyDescent="0.35">
      <c r="A68" t="s">
        <v>1437</v>
      </c>
      <c r="B68" s="188" t="s">
        <v>1342</v>
      </c>
      <c r="C68" t="s">
        <v>1350</v>
      </c>
      <c r="D68" s="188">
        <v>30</v>
      </c>
      <c r="E68" t="s">
        <v>1418</v>
      </c>
      <c r="F68" t="s">
        <v>1381</v>
      </c>
      <c r="G68" s="190" t="s">
        <v>1435</v>
      </c>
      <c r="H68" s="190">
        <v>23.76560345636052</v>
      </c>
      <c r="I68" s="190">
        <v>22.218802453740661</v>
      </c>
      <c r="J68" s="190">
        <v>21.860501901589366</v>
      </c>
      <c r="K68" s="190">
        <v>21.502899955508919</v>
      </c>
      <c r="L68" s="190">
        <v>21.145979982021444</v>
      </c>
      <c r="M68" s="190">
        <v>20.789725871538124</v>
      </c>
      <c r="N68" s="190">
        <v>20.434122017894797</v>
      </c>
      <c r="O68" s="190">
        <v>20.079153298839376</v>
      </c>
      <c r="P68" s="190">
        <v>19.724805057419829</v>
      </c>
      <c r="Q68" s="190">
        <v>19.371063084224648</v>
      </c>
      <c r="R68" s="190">
        <v>19.017913600430557</v>
      </c>
      <c r="S68" s="190">
        <v>18.665343241614966</v>
      </c>
      <c r="T68" s="190">
        <v>18.313339042293293</v>
      </c>
      <c r="U68" s="190">
        <v>17.961888421143438</v>
      </c>
      <c r="V68" s="190">
        <v>17.764601031217541</v>
      </c>
      <c r="W68" s="190">
        <v>17.567505950951663</v>
      </c>
      <c r="X68" s="190">
        <v>17.370600649955545</v>
      </c>
      <c r="Y68" s="190">
        <v>17.173882642037867</v>
      </c>
      <c r="Z68" s="190">
        <v>16.977349484245448</v>
      </c>
      <c r="AA68" s="190">
        <v>16.780998775927294</v>
      </c>
      <c r="AB68" s="190">
        <v>16.584828157822976</v>
      </c>
      <c r="AC68" s="190">
        <v>16.388835311174372</v>
      </c>
      <c r="AD68" s="190">
        <v>16.193017956860249</v>
      </c>
      <c r="AE68" s="190">
        <v>15.997373854552936</v>
      </c>
      <c r="AF68" s="190">
        <v>15.801900801896421</v>
      </c>
      <c r="AG68" s="190">
        <v>15.606596633705243</v>
      </c>
      <c r="AH68" s="190">
        <v>15.411459221183621</v>
      </c>
      <c r="AI68" s="190">
        <v>15.216486471164158</v>
      </c>
      <c r="AJ68" s="190">
        <v>15.021676325365567</v>
      </c>
    </row>
    <row r="69" spans="1:36" hidden="1" x14ac:dyDescent="0.35">
      <c r="A69" t="s">
        <v>1438</v>
      </c>
      <c r="B69" s="188" t="s">
        <v>1342</v>
      </c>
      <c r="C69" t="s">
        <v>1343</v>
      </c>
      <c r="D69" s="188">
        <v>30</v>
      </c>
      <c r="E69" t="s">
        <v>1418</v>
      </c>
      <c r="F69" t="s">
        <v>1386</v>
      </c>
      <c r="G69" s="190" t="s">
        <v>1439</v>
      </c>
      <c r="H69" s="190">
        <v>23.76560345636052</v>
      </c>
      <c r="I69" s="190">
        <v>22.218802453740661</v>
      </c>
      <c r="J69" s="190">
        <v>21.407927793054256</v>
      </c>
      <c r="K69" s="190">
        <v>20.602120918978418</v>
      </c>
      <c r="L69" s="190">
        <v>19.801063284926194</v>
      </c>
      <c r="M69" s="190">
        <v>19.004462493657329</v>
      </c>
      <c r="N69" s="190">
        <v>18.21204966800207</v>
      </c>
      <c r="O69" s="190">
        <v>17.423577132574675</v>
      </c>
      <c r="P69" s="190">
        <v>16.638816364391797</v>
      </c>
      <c r="Q69" s="190">
        <v>15.857556176696431</v>
      </c>
      <c r="R69" s="190">
        <v>15.079601105603478</v>
      </c>
      <c r="S69" s="190">
        <v>14.304769973624769</v>
      </c>
      <c r="T69" s="190">
        <v>13.532894607855301</v>
      </c>
      <c r="U69" s="190">
        <v>12.763818693735923</v>
      </c>
      <c r="V69" s="190">
        <v>12.670208627372556</v>
      </c>
      <c r="W69" s="190">
        <v>12.576819678078229</v>
      </c>
      <c r="X69" s="190">
        <v>12.483648495594315</v>
      </c>
      <c r="Y69" s="190">
        <v>12.390691797004074</v>
      </c>
      <c r="Z69" s="190">
        <v>12.297946365049107</v>
      </c>
      <c r="AA69" s="190">
        <v>12.205409046496044</v>
      </c>
      <c r="AB69" s="190">
        <v>12.113076750551791</v>
      </c>
      <c r="AC69" s="190">
        <v>12.02094644732558</v>
      </c>
      <c r="AD69" s="190">
        <v>11.929015166336262</v>
      </c>
      <c r="AE69" s="190">
        <v>11.837279995063291</v>
      </c>
      <c r="AF69" s="190">
        <v>11.745738077539931</v>
      </c>
      <c r="AG69" s="190">
        <v>11.654386612987205</v>
      </c>
      <c r="AH69" s="190">
        <v>11.563222854487256</v>
      </c>
      <c r="AI69" s="190">
        <v>11.47224410769484</v>
      </c>
      <c r="AJ69" s="190">
        <v>11.381447729585558</v>
      </c>
    </row>
    <row r="70" spans="1:36" hidden="1" x14ac:dyDescent="0.35">
      <c r="A70" t="s">
        <v>1440</v>
      </c>
      <c r="B70" s="188" t="s">
        <v>1342</v>
      </c>
      <c r="C70" t="s">
        <v>1348</v>
      </c>
      <c r="D70" s="188">
        <v>30</v>
      </c>
      <c r="E70" t="s">
        <v>1418</v>
      </c>
      <c r="F70" t="s">
        <v>1386</v>
      </c>
      <c r="G70" s="190" t="s">
        <v>1439</v>
      </c>
      <c r="H70" s="190">
        <v>23.76560345636052</v>
      </c>
      <c r="I70" s="190">
        <v>22.218802453740661</v>
      </c>
      <c r="J70" s="190">
        <v>21.608888816618236</v>
      </c>
      <c r="K70" s="190">
        <v>21.001076581156074</v>
      </c>
      <c r="L70" s="190">
        <v>20.395279725063983</v>
      </c>
      <c r="M70" s="190">
        <v>19.791416858021261</v>
      </c>
      <c r="N70" s="190">
        <v>19.189410914050601</v>
      </c>
      <c r="O70" s="190">
        <v>18.589188868087376</v>
      </c>
      <c r="P70" s="190">
        <v>17.99068147455273</v>
      </c>
      <c r="Q70" s="190">
        <v>17.393823025963098</v>
      </c>
      <c r="R70" s="190">
        <v>16.798551129807034</v>
      </c>
      <c r="S70" s="190">
        <v>16.204806502096819</v>
      </c>
      <c r="T70" s="190">
        <v>15.612532776158696</v>
      </c>
      <c r="U70" s="190">
        <v>15.021676325365567</v>
      </c>
      <c r="V70" s="190">
        <v>14.869318093880388</v>
      </c>
      <c r="W70" s="190">
        <v>14.717240636279373</v>
      </c>
      <c r="X70" s="190">
        <v>14.56543934971196</v>
      </c>
      <c r="Y70" s="190">
        <v>14.413909731389563</v>
      </c>
      <c r="Z70" s="190">
        <v>14.262647375881173</v>
      </c>
      <c r="AA70" s="190">
        <v>14.11164797249625</v>
      </c>
      <c r="AB70" s="190">
        <v>13.960907302751526</v>
      </c>
      <c r="AC70" s="190">
        <v>13.810421237918701</v>
      </c>
      <c r="AD70" s="190">
        <v>13.660185736649963</v>
      </c>
      <c r="AE70" s="190">
        <v>13.510196842678514</v>
      </c>
      <c r="AF70" s="190">
        <v>13.36045068259131</v>
      </c>
      <c r="AG70" s="190">
        <v>13.210943463671404</v>
      </c>
      <c r="AH70" s="190">
        <v>13.061671471807394</v>
      </c>
      <c r="AI70" s="190">
        <v>12.912631069467482</v>
      </c>
      <c r="AJ70" s="190">
        <v>12.763818693735923</v>
      </c>
    </row>
    <row r="71" spans="1:36" hidden="1" x14ac:dyDescent="0.35">
      <c r="A71" t="s">
        <v>1441</v>
      </c>
      <c r="B71" s="188" t="s">
        <v>1342</v>
      </c>
      <c r="C71" t="s">
        <v>1350</v>
      </c>
      <c r="D71" s="188">
        <v>30</v>
      </c>
      <c r="E71" t="s">
        <v>1418</v>
      </c>
      <c r="F71" t="s">
        <v>1386</v>
      </c>
      <c r="G71" s="190" t="s">
        <v>1439</v>
      </c>
      <c r="H71" s="190">
        <v>23.76560345636052</v>
      </c>
      <c r="I71" s="190">
        <v>22.218802453740661</v>
      </c>
      <c r="J71" s="190">
        <v>21.860501901589366</v>
      </c>
      <c r="K71" s="190">
        <v>21.502899955508919</v>
      </c>
      <c r="L71" s="190">
        <v>21.145979982021444</v>
      </c>
      <c r="M71" s="190">
        <v>20.789725871538124</v>
      </c>
      <c r="N71" s="190">
        <v>20.434122017894797</v>
      </c>
      <c r="O71" s="190">
        <v>20.079153298839376</v>
      </c>
      <c r="P71" s="190">
        <v>19.724805057419829</v>
      </c>
      <c r="Q71" s="190">
        <v>19.371063084224648</v>
      </c>
      <c r="R71" s="190">
        <v>19.017913600430557</v>
      </c>
      <c r="S71" s="190">
        <v>18.665343241614966</v>
      </c>
      <c r="T71" s="190">
        <v>18.313339042293293</v>
      </c>
      <c r="U71" s="190">
        <v>17.961888421143438</v>
      </c>
      <c r="V71" s="190">
        <v>17.764601031217541</v>
      </c>
      <c r="W71" s="190">
        <v>17.567505950951663</v>
      </c>
      <c r="X71" s="190">
        <v>17.370600649955545</v>
      </c>
      <c r="Y71" s="190">
        <v>17.173882642037867</v>
      </c>
      <c r="Z71" s="190">
        <v>16.977349484245448</v>
      </c>
      <c r="AA71" s="190">
        <v>16.780998775927294</v>
      </c>
      <c r="AB71" s="190">
        <v>16.584828157822976</v>
      </c>
      <c r="AC71" s="190">
        <v>16.388835311174372</v>
      </c>
      <c r="AD71" s="190">
        <v>16.193017956860249</v>
      </c>
      <c r="AE71" s="190">
        <v>15.997373854552936</v>
      </c>
      <c r="AF71" s="190">
        <v>15.801900801896421</v>
      </c>
      <c r="AG71" s="190">
        <v>15.606596633705243</v>
      </c>
      <c r="AH71" s="190">
        <v>15.411459221183621</v>
      </c>
      <c r="AI71" s="190">
        <v>15.216486471164158</v>
      </c>
      <c r="AJ71" s="190">
        <v>15.021676325365567</v>
      </c>
    </row>
    <row r="72" spans="1:36" hidden="1" x14ac:dyDescent="0.35">
      <c r="A72" t="s">
        <v>1442</v>
      </c>
      <c r="B72" s="188" t="s">
        <v>1342</v>
      </c>
      <c r="C72" t="s">
        <v>1343</v>
      </c>
      <c r="D72" s="188">
        <v>30</v>
      </c>
      <c r="E72" t="s">
        <v>1418</v>
      </c>
      <c r="F72" t="s">
        <v>1391</v>
      </c>
      <c r="G72" s="190" t="s">
        <v>1443</v>
      </c>
      <c r="H72" s="190">
        <v>23.76560345636052</v>
      </c>
      <c r="I72" s="190">
        <v>22.218802453740661</v>
      </c>
      <c r="J72" s="190">
        <v>21.407927793054256</v>
      </c>
      <c r="K72" s="190">
        <v>20.602120918978418</v>
      </c>
      <c r="L72" s="190">
        <v>19.801063284926194</v>
      </c>
      <c r="M72" s="190">
        <v>19.004462493657329</v>
      </c>
      <c r="N72" s="190">
        <v>18.21204966800207</v>
      </c>
      <c r="O72" s="190">
        <v>17.423577132574675</v>
      </c>
      <c r="P72" s="190">
        <v>16.638816364391797</v>
      </c>
      <c r="Q72" s="190">
        <v>15.857556176696431</v>
      </c>
      <c r="R72" s="190">
        <v>15.079601105603478</v>
      </c>
      <c r="S72" s="190">
        <v>14.304769973624769</v>
      </c>
      <c r="T72" s="190">
        <v>13.532894607855301</v>
      </c>
      <c r="U72" s="190">
        <v>12.763818693735923</v>
      </c>
      <c r="V72" s="190">
        <v>12.670208627372556</v>
      </c>
      <c r="W72" s="190">
        <v>12.576819678078229</v>
      </c>
      <c r="X72" s="190">
        <v>12.483648495594315</v>
      </c>
      <c r="Y72" s="190">
        <v>12.390691797004074</v>
      </c>
      <c r="Z72" s="190">
        <v>12.297946365049107</v>
      </c>
      <c r="AA72" s="190">
        <v>12.205409046496044</v>
      </c>
      <c r="AB72" s="190">
        <v>12.113076750551791</v>
      </c>
      <c r="AC72" s="190">
        <v>12.02094644732558</v>
      </c>
      <c r="AD72" s="190">
        <v>11.929015166336262</v>
      </c>
      <c r="AE72" s="190">
        <v>11.837279995063291</v>
      </c>
      <c r="AF72" s="190">
        <v>11.745738077539931</v>
      </c>
      <c r="AG72" s="190">
        <v>11.654386612987205</v>
      </c>
      <c r="AH72" s="190">
        <v>11.563222854487256</v>
      </c>
      <c r="AI72" s="190">
        <v>11.47224410769484</v>
      </c>
      <c r="AJ72" s="190">
        <v>11.381447729585558</v>
      </c>
    </row>
    <row r="73" spans="1:36" hidden="1" x14ac:dyDescent="0.35">
      <c r="A73" t="s">
        <v>1444</v>
      </c>
      <c r="B73" s="188" t="s">
        <v>1342</v>
      </c>
      <c r="C73" t="s">
        <v>1348</v>
      </c>
      <c r="D73" s="188">
        <v>30</v>
      </c>
      <c r="E73" t="s">
        <v>1418</v>
      </c>
      <c r="F73" t="s">
        <v>1391</v>
      </c>
      <c r="G73" s="190" t="s">
        <v>1443</v>
      </c>
      <c r="H73" s="190">
        <v>23.76560345636052</v>
      </c>
      <c r="I73" s="190">
        <v>22.218802453740661</v>
      </c>
      <c r="J73" s="190">
        <v>21.608888816618236</v>
      </c>
      <c r="K73" s="190">
        <v>21.001076581156074</v>
      </c>
      <c r="L73" s="190">
        <v>20.395279725063983</v>
      </c>
      <c r="M73" s="190">
        <v>19.791416858021261</v>
      </c>
      <c r="N73" s="190">
        <v>19.189410914050601</v>
      </c>
      <c r="O73" s="190">
        <v>18.589188868087376</v>
      </c>
      <c r="P73" s="190">
        <v>17.99068147455273</v>
      </c>
      <c r="Q73" s="190">
        <v>17.393823025963098</v>
      </c>
      <c r="R73" s="190">
        <v>16.798551129807034</v>
      </c>
      <c r="S73" s="190">
        <v>16.204806502096819</v>
      </c>
      <c r="T73" s="190">
        <v>15.612532776158696</v>
      </c>
      <c r="U73" s="190">
        <v>15.021676325365567</v>
      </c>
      <c r="V73" s="190">
        <v>14.869318093880388</v>
      </c>
      <c r="W73" s="190">
        <v>14.717240636279373</v>
      </c>
      <c r="X73" s="190">
        <v>14.56543934971196</v>
      </c>
      <c r="Y73" s="190">
        <v>14.413909731389563</v>
      </c>
      <c r="Z73" s="190">
        <v>14.262647375881173</v>
      </c>
      <c r="AA73" s="190">
        <v>14.11164797249625</v>
      </c>
      <c r="AB73" s="190">
        <v>13.960907302751526</v>
      </c>
      <c r="AC73" s="190">
        <v>13.810421237918701</v>
      </c>
      <c r="AD73" s="190">
        <v>13.660185736649963</v>
      </c>
      <c r="AE73" s="190">
        <v>13.510196842678514</v>
      </c>
      <c r="AF73" s="190">
        <v>13.36045068259131</v>
      </c>
      <c r="AG73" s="190">
        <v>13.210943463671404</v>
      </c>
      <c r="AH73" s="190">
        <v>13.061671471807394</v>
      </c>
      <c r="AI73" s="190">
        <v>12.912631069467482</v>
      </c>
      <c r="AJ73" s="190">
        <v>12.763818693735923</v>
      </c>
    </row>
    <row r="74" spans="1:36" hidden="1" x14ac:dyDescent="0.35">
      <c r="A74" t="s">
        <v>1445</v>
      </c>
      <c r="B74" s="188" t="s">
        <v>1342</v>
      </c>
      <c r="C74" t="s">
        <v>1350</v>
      </c>
      <c r="D74" s="188">
        <v>30</v>
      </c>
      <c r="E74" t="s">
        <v>1418</v>
      </c>
      <c r="F74" t="s">
        <v>1391</v>
      </c>
      <c r="G74" s="190" t="s">
        <v>1443</v>
      </c>
      <c r="H74" s="190">
        <v>23.76560345636052</v>
      </c>
      <c r="I74" s="190">
        <v>22.218802453740661</v>
      </c>
      <c r="J74" s="190">
        <v>21.860501901589366</v>
      </c>
      <c r="K74" s="190">
        <v>21.502899955508919</v>
      </c>
      <c r="L74" s="190">
        <v>21.145979982021444</v>
      </c>
      <c r="M74" s="190">
        <v>20.789725871538124</v>
      </c>
      <c r="N74" s="190">
        <v>20.434122017894797</v>
      </c>
      <c r="O74" s="190">
        <v>20.079153298839376</v>
      </c>
      <c r="P74" s="190">
        <v>19.724805057419829</v>
      </c>
      <c r="Q74" s="190">
        <v>19.371063084224648</v>
      </c>
      <c r="R74" s="190">
        <v>19.017913600430557</v>
      </c>
      <c r="S74" s="190">
        <v>18.665343241614966</v>
      </c>
      <c r="T74" s="190">
        <v>18.313339042293293</v>
      </c>
      <c r="U74" s="190">
        <v>17.961888421143438</v>
      </c>
      <c r="V74" s="190">
        <v>17.764601031217541</v>
      </c>
      <c r="W74" s="190">
        <v>17.567505950951663</v>
      </c>
      <c r="X74" s="190">
        <v>17.370600649955545</v>
      </c>
      <c r="Y74" s="190">
        <v>17.173882642037867</v>
      </c>
      <c r="Z74" s="190">
        <v>16.977349484245448</v>
      </c>
      <c r="AA74" s="190">
        <v>16.780998775927294</v>
      </c>
      <c r="AB74" s="190">
        <v>16.584828157822976</v>
      </c>
      <c r="AC74" s="190">
        <v>16.388835311174372</v>
      </c>
      <c r="AD74" s="190">
        <v>16.193017956860249</v>
      </c>
      <c r="AE74" s="190">
        <v>15.997373854552936</v>
      </c>
      <c r="AF74" s="190">
        <v>15.801900801896421</v>
      </c>
      <c r="AG74" s="190">
        <v>15.606596633705243</v>
      </c>
      <c r="AH74" s="190">
        <v>15.411459221183621</v>
      </c>
      <c r="AI74" s="190">
        <v>15.216486471164158</v>
      </c>
      <c r="AJ74" s="190">
        <v>15.021676325365567</v>
      </c>
    </row>
    <row r="75" spans="1:36" hidden="1" x14ac:dyDescent="0.35">
      <c r="A75" t="s">
        <v>1446</v>
      </c>
      <c r="B75" s="188" t="s">
        <v>1342</v>
      </c>
      <c r="C75" t="s">
        <v>1343</v>
      </c>
      <c r="D75" s="188">
        <v>30</v>
      </c>
      <c r="E75" t="s">
        <v>1418</v>
      </c>
      <c r="F75" t="s">
        <v>1357</v>
      </c>
      <c r="G75" s="190" t="s">
        <v>1447</v>
      </c>
      <c r="H75" s="190">
        <v>23.76560345636052</v>
      </c>
      <c r="I75" s="190">
        <v>22.218802453740661</v>
      </c>
      <c r="J75" s="190">
        <v>21.407927793054256</v>
      </c>
      <c r="K75" s="190">
        <v>20.602120918978418</v>
      </c>
      <c r="L75" s="190">
        <v>19.801063284926194</v>
      </c>
      <c r="M75" s="190">
        <v>19.004462493657329</v>
      </c>
      <c r="N75" s="190">
        <v>18.21204966800207</v>
      </c>
      <c r="O75" s="190">
        <v>17.423577132574675</v>
      </c>
      <c r="P75" s="190">
        <v>16.638816364391797</v>
      </c>
      <c r="Q75" s="190">
        <v>15.857556176696431</v>
      </c>
      <c r="R75" s="190">
        <v>15.079601105603478</v>
      </c>
      <c r="S75" s="190">
        <v>14.304769973624769</v>
      </c>
      <c r="T75" s="190">
        <v>13.532894607855301</v>
      </c>
      <c r="U75" s="190">
        <v>12.763818693735923</v>
      </c>
      <c r="V75" s="190">
        <v>12.670208627372556</v>
      </c>
      <c r="W75" s="190">
        <v>12.576819678078229</v>
      </c>
      <c r="X75" s="190">
        <v>12.483648495594315</v>
      </c>
      <c r="Y75" s="190">
        <v>12.390691797004074</v>
      </c>
      <c r="Z75" s="190">
        <v>12.297946365049107</v>
      </c>
      <c r="AA75" s="190">
        <v>12.205409046496044</v>
      </c>
      <c r="AB75" s="190">
        <v>12.113076750551791</v>
      </c>
      <c r="AC75" s="190">
        <v>12.02094644732558</v>
      </c>
      <c r="AD75" s="190">
        <v>11.929015166336262</v>
      </c>
      <c r="AE75" s="190">
        <v>11.837279995063291</v>
      </c>
      <c r="AF75" s="190">
        <v>11.745738077539931</v>
      </c>
      <c r="AG75" s="190">
        <v>11.654386612987205</v>
      </c>
      <c r="AH75" s="190">
        <v>11.563222854487256</v>
      </c>
      <c r="AI75" s="190">
        <v>11.47224410769484</v>
      </c>
      <c r="AJ75" s="190">
        <v>11.381447729585558</v>
      </c>
    </row>
    <row r="76" spans="1:36" hidden="1" x14ac:dyDescent="0.35">
      <c r="A76" t="s">
        <v>1448</v>
      </c>
      <c r="B76" s="188" t="s">
        <v>1342</v>
      </c>
      <c r="C76" t="s">
        <v>1348</v>
      </c>
      <c r="D76" s="188">
        <v>30</v>
      </c>
      <c r="E76" t="s">
        <v>1418</v>
      </c>
      <c r="F76" t="s">
        <v>1357</v>
      </c>
      <c r="G76" s="190" t="s">
        <v>1447</v>
      </c>
      <c r="H76" s="190">
        <v>23.76560345636052</v>
      </c>
      <c r="I76" s="190">
        <v>22.218802453740661</v>
      </c>
      <c r="J76" s="190">
        <v>21.608888816618236</v>
      </c>
      <c r="K76" s="190">
        <v>21.001076581156074</v>
      </c>
      <c r="L76" s="190">
        <v>20.395279725063983</v>
      </c>
      <c r="M76" s="190">
        <v>19.791416858021261</v>
      </c>
      <c r="N76" s="190">
        <v>19.189410914050601</v>
      </c>
      <c r="O76" s="190">
        <v>18.589188868087376</v>
      </c>
      <c r="P76" s="190">
        <v>17.99068147455273</v>
      </c>
      <c r="Q76" s="190">
        <v>17.393823025963098</v>
      </c>
      <c r="R76" s="190">
        <v>16.798551129807034</v>
      </c>
      <c r="S76" s="190">
        <v>16.204806502096819</v>
      </c>
      <c r="T76" s="190">
        <v>15.612532776158696</v>
      </c>
      <c r="U76" s="190">
        <v>15.021676325365567</v>
      </c>
      <c r="V76" s="190">
        <v>14.869318093880388</v>
      </c>
      <c r="W76" s="190">
        <v>14.717240636279373</v>
      </c>
      <c r="X76" s="190">
        <v>14.56543934971196</v>
      </c>
      <c r="Y76" s="190">
        <v>14.413909731389563</v>
      </c>
      <c r="Z76" s="190">
        <v>14.262647375881173</v>
      </c>
      <c r="AA76" s="190">
        <v>14.11164797249625</v>
      </c>
      <c r="AB76" s="190">
        <v>13.960907302751526</v>
      </c>
      <c r="AC76" s="190">
        <v>13.810421237918701</v>
      </c>
      <c r="AD76" s="190">
        <v>13.660185736649963</v>
      </c>
      <c r="AE76" s="190">
        <v>13.510196842678514</v>
      </c>
      <c r="AF76" s="190">
        <v>13.36045068259131</v>
      </c>
      <c r="AG76" s="190">
        <v>13.210943463671404</v>
      </c>
      <c r="AH76" s="190">
        <v>13.061671471807394</v>
      </c>
      <c r="AI76" s="190">
        <v>12.912631069467482</v>
      </c>
      <c r="AJ76" s="190">
        <v>12.763818693735923</v>
      </c>
    </row>
    <row r="77" spans="1:36" hidden="1" x14ac:dyDescent="0.35">
      <c r="A77" t="s">
        <v>1449</v>
      </c>
      <c r="B77" s="188" t="s">
        <v>1342</v>
      </c>
      <c r="C77" t="s">
        <v>1350</v>
      </c>
      <c r="D77" s="188">
        <v>30</v>
      </c>
      <c r="E77" t="s">
        <v>1418</v>
      </c>
      <c r="F77" t="s">
        <v>1357</v>
      </c>
      <c r="G77" s="190" t="s">
        <v>1447</v>
      </c>
      <c r="H77" s="190">
        <v>23.76560345636052</v>
      </c>
      <c r="I77" s="190">
        <v>22.218802453740661</v>
      </c>
      <c r="J77" s="190">
        <v>21.860501901589366</v>
      </c>
      <c r="K77" s="190">
        <v>21.502899955508919</v>
      </c>
      <c r="L77" s="190">
        <v>21.145979982021444</v>
      </c>
      <c r="M77" s="190">
        <v>20.789725871538124</v>
      </c>
      <c r="N77" s="190">
        <v>20.434122017894797</v>
      </c>
      <c r="O77" s="190">
        <v>20.079153298839376</v>
      </c>
      <c r="P77" s="190">
        <v>19.724805057419829</v>
      </c>
      <c r="Q77" s="190">
        <v>19.371063084224648</v>
      </c>
      <c r="R77" s="190">
        <v>19.017913600430557</v>
      </c>
      <c r="S77" s="190">
        <v>18.665343241614966</v>
      </c>
      <c r="T77" s="190">
        <v>18.313339042293293</v>
      </c>
      <c r="U77" s="190">
        <v>17.961888421143438</v>
      </c>
      <c r="V77" s="190">
        <v>17.764601031217541</v>
      </c>
      <c r="W77" s="190">
        <v>17.567505950951663</v>
      </c>
      <c r="X77" s="190">
        <v>17.370600649955545</v>
      </c>
      <c r="Y77" s="190">
        <v>17.173882642037867</v>
      </c>
      <c r="Z77" s="190">
        <v>16.977349484245448</v>
      </c>
      <c r="AA77" s="190">
        <v>16.780998775927294</v>
      </c>
      <c r="AB77" s="190">
        <v>16.584828157822976</v>
      </c>
      <c r="AC77" s="190">
        <v>16.388835311174372</v>
      </c>
      <c r="AD77" s="190">
        <v>16.193017956860249</v>
      </c>
      <c r="AE77" s="190">
        <v>15.997373854552936</v>
      </c>
      <c r="AF77" s="190">
        <v>15.801900801896421</v>
      </c>
      <c r="AG77" s="190">
        <v>15.606596633705243</v>
      </c>
      <c r="AH77" s="190">
        <v>15.411459221183621</v>
      </c>
      <c r="AI77" s="190">
        <v>15.216486471164158</v>
      </c>
      <c r="AJ77" s="190">
        <v>15.021676325365567</v>
      </c>
    </row>
    <row r="78" spans="1:36" hidden="1" x14ac:dyDescent="0.35">
      <c r="A78" t="s">
        <v>1450</v>
      </c>
      <c r="B78" s="188" t="s">
        <v>1342</v>
      </c>
      <c r="C78" t="s">
        <v>1343</v>
      </c>
      <c r="D78" s="188">
        <v>30</v>
      </c>
      <c r="E78" t="s">
        <v>1418</v>
      </c>
      <c r="F78" t="s">
        <v>1400</v>
      </c>
      <c r="G78" s="190" t="s">
        <v>1451</v>
      </c>
      <c r="H78" s="190">
        <v>23.76560345636052</v>
      </c>
      <c r="I78" s="190">
        <v>22.218802453740661</v>
      </c>
      <c r="J78" s="190">
        <v>21.407927793054256</v>
      </c>
      <c r="K78" s="190">
        <v>20.602120918978418</v>
      </c>
      <c r="L78" s="190">
        <v>19.801063284926194</v>
      </c>
      <c r="M78" s="190">
        <v>19.004462493657329</v>
      </c>
      <c r="N78" s="190">
        <v>18.21204966800207</v>
      </c>
      <c r="O78" s="190">
        <v>17.423577132574675</v>
      </c>
      <c r="P78" s="190">
        <v>16.638816364391797</v>
      </c>
      <c r="Q78" s="190">
        <v>15.857556176696431</v>
      </c>
      <c r="R78" s="190">
        <v>15.079601105603478</v>
      </c>
      <c r="S78" s="190">
        <v>14.304769973624769</v>
      </c>
      <c r="T78" s="190">
        <v>13.532894607855301</v>
      </c>
      <c r="U78" s="190">
        <v>12.763818693735923</v>
      </c>
      <c r="V78" s="190">
        <v>12.670208627372556</v>
      </c>
      <c r="W78" s="190">
        <v>12.576819678078229</v>
      </c>
      <c r="X78" s="190">
        <v>12.483648495594315</v>
      </c>
      <c r="Y78" s="190">
        <v>12.390691797004074</v>
      </c>
      <c r="Z78" s="190">
        <v>12.297946365049107</v>
      </c>
      <c r="AA78" s="190">
        <v>12.205409046496044</v>
      </c>
      <c r="AB78" s="190">
        <v>12.113076750551791</v>
      </c>
      <c r="AC78" s="190">
        <v>12.02094644732558</v>
      </c>
      <c r="AD78" s="190">
        <v>11.929015166336262</v>
      </c>
      <c r="AE78" s="190">
        <v>11.837279995063291</v>
      </c>
      <c r="AF78" s="190">
        <v>11.745738077539931</v>
      </c>
      <c r="AG78" s="190">
        <v>11.654386612987205</v>
      </c>
      <c r="AH78" s="190">
        <v>11.563222854487256</v>
      </c>
      <c r="AI78" s="190">
        <v>11.47224410769484</v>
      </c>
      <c r="AJ78" s="190">
        <v>11.381447729585558</v>
      </c>
    </row>
    <row r="79" spans="1:36" hidden="1" x14ac:dyDescent="0.35">
      <c r="A79" t="s">
        <v>1452</v>
      </c>
      <c r="B79" s="188" t="s">
        <v>1342</v>
      </c>
      <c r="C79" t="s">
        <v>1348</v>
      </c>
      <c r="D79" s="188">
        <v>30</v>
      </c>
      <c r="E79" t="s">
        <v>1418</v>
      </c>
      <c r="F79" t="s">
        <v>1400</v>
      </c>
      <c r="G79" s="190" t="s">
        <v>1451</v>
      </c>
      <c r="H79" s="190">
        <v>23.76560345636052</v>
      </c>
      <c r="I79" s="190">
        <v>22.218802453740661</v>
      </c>
      <c r="J79" s="190">
        <v>21.608888816618236</v>
      </c>
      <c r="K79" s="190">
        <v>21.001076581156074</v>
      </c>
      <c r="L79" s="190">
        <v>20.395279725063983</v>
      </c>
      <c r="M79" s="190">
        <v>19.791416858021261</v>
      </c>
      <c r="N79" s="190">
        <v>19.189410914050601</v>
      </c>
      <c r="O79" s="190">
        <v>18.589188868087376</v>
      </c>
      <c r="P79" s="190">
        <v>17.99068147455273</v>
      </c>
      <c r="Q79" s="190">
        <v>17.393823025963098</v>
      </c>
      <c r="R79" s="190">
        <v>16.798551129807034</v>
      </c>
      <c r="S79" s="190">
        <v>16.204806502096819</v>
      </c>
      <c r="T79" s="190">
        <v>15.612532776158696</v>
      </c>
      <c r="U79" s="190">
        <v>15.021676325365567</v>
      </c>
      <c r="V79" s="190">
        <v>14.869318093880388</v>
      </c>
      <c r="W79" s="190">
        <v>14.717240636279373</v>
      </c>
      <c r="X79" s="190">
        <v>14.56543934971196</v>
      </c>
      <c r="Y79" s="190">
        <v>14.413909731389563</v>
      </c>
      <c r="Z79" s="190">
        <v>14.262647375881173</v>
      </c>
      <c r="AA79" s="190">
        <v>14.11164797249625</v>
      </c>
      <c r="AB79" s="190">
        <v>13.960907302751526</v>
      </c>
      <c r="AC79" s="190">
        <v>13.810421237918701</v>
      </c>
      <c r="AD79" s="190">
        <v>13.660185736649963</v>
      </c>
      <c r="AE79" s="190">
        <v>13.510196842678514</v>
      </c>
      <c r="AF79" s="190">
        <v>13.36045068259131</v>
      </c>
      <c r="AG79" s="190">
        <v>13.210943463671404</v>
      </c>
      <c r="AH79" s="190">
        <v>13.061671471807394</v>
      </c>
      <c r="AI79" s="190">
        <v>12.912631069467482</v>
      </c>
      <c r="AJ79" s="190">
        <v>12.763818693735923</v>
      </c>
    </row>
    <row r="80" spans="1:36" hidden="1" x14ac:dyDescent="0.35">
      <c r="A80" t="s">
        <v>1453</v>
      </c>
      <c r="B80" s="188" t="s">
        <v>1342</v>
      </c>
      <c r="C80" t="s">
        <v>1350</v>
      </c>
      <c r="D80" s="188">
        <v>30</v>
      </c>
      <c r="E80" t="s">
        <v>1418</v>
      </c>
      <c r="F80" t="s">
        <v>1400</v>
      </c>
      <c r="G80" s="190" t="s">
        <v>1451</v>
      </c>
      <c r="H80" s="190">
        <v>23.76560345636052</v>
      </c>
      <c r="I80" s="190">
        <v>22.218802453740661</v>
      </c>
      <c r="J80" s="190">
        <v>21.860501901589366</v>
      </c>
      <c r="K80" s="190">
        <v>21.502899955508919</v>
      </c>
      <c r="L80" s="190">
        <v>21.145979982021444</v>
      </c>
      <c r="M80" s="190">
        <v>20.789725871538124</v>
      </c>
      <c r="N80" s="190">
        <v>20.434122017894797</v>
      </c>
      <c r="O80" s="190">
        <v>20.079153298839376</v>
      </c>
      <c r="P80" s="190">
        <v>19.724805057419829</v>
      </c>
      <c r="Q80" s="190">
        <v>19.371063084224648</v>
      </c>
      <c r="R80" s="190">
        <v>19.017913600430557</v>
      </c>
      <c r="S80" s="190">
        <v>18.665343241614966</v>
      </c>
      <c r="T80" s="190">
        <v>18.313339042293293</v>
      </c>
      <c r="U80" s="190">
        <v>17.961888421143438</v>
      </c>
      <c r="V80" s="190">
        <v>17.764601031217541</v>
      </c>
      <c r="W80" s="190">
        <v>17.567505950951663</v>
      </c>
      <c r="X80" s="190">
        <v>17.370600649955545</v>
      </c>
      <c r="Y80" s="190">
        <v>17.173882642037867</v>
      </c>
      <c r="Z80" s="190">
        <v>16.977349484245448</v>
      </c>
      <c r="AA80" s="190">
        <v>16.780998775927294</v>
      </c>
      <c r="AB80" s="190">
        <v>16.584828157822976</v>
      </c>
      <c r="AC80" s="190">
        <v>16.388835311174372</v>
      </c>
      <c r="AD80" s="190">
        <v>16.193017956860249</v>
      </c>
      <c r="AE80" s="190">
        <v>15.997373854552936</v>
      </c>
      <c r="AF80" s="190">
        <v>15.801900801896421</v>
      </c>
      <c r="AG80" s="190">
        <v>15.606596633705243</v>
      </c>
      <c r="AH80" s="190">
        <v>15.411459221183621</v>
      </c>
      <c r="AI80" s="190">
        <v>15.216486471164158</v>
      </c>
      <c r="AJ80" s="190">
        <v>15.021676325365567</v>
      </c>
    </row>
    <row r="81" spans="1:36" hidden="1" x14ac:dyDescent="0.35">
      <c r="A81" t="s">
        <v>1454</v>
      </c>
      <c r="B81" s="188" t="s">
        <v>1342</v>
      </c>
      <c r="C81" t="s">
        <v>1343</v>
      </c>
      <c r="D81" s="188">
        <v>30</v>
      </c>
      <c r="E81" t="s">
        <v>1418</v>
      </c>
      <c r="F81" t="s">
        <v>1405</v>
      </c>
      <c r="G81" s="190" t="s">
        <v>1455</v>
      </c>
      <c r="H81" s="190">
        <v>23.76560345636052</v>
      </c>
      <c r="I81" s="190">
        <v>22.218802453740661</v>
      </c>
      <c r="J81" s="190">
        <v>21.407927793054256</v>
      </c>
      <c r="K81" s="190">
        <v>20.602120918978418</v>
      </c>
      <c r="L81" s="190">
        <v>19.801063284926194</v>
      </c>
      <c r="M81" s="190">
        <v>19.004462493657329</v>
      </c>
      <c r="N81" s="190">
        <v>18.21204966800207</v>
      </c>
      <c r="O81" s="190">
        <v>17.423577132574675</v>
      </c>
      <c r="P81" s="190">
        <v>16.638816364391797</v>
      </c>
      <c r="Q81" s="190">
        <v>15.857556176696431</v>
      </c>
      <c r="R81" s="190">
        <v>15.079601105603478</v>
      </c>
      <c r="S81" s="190">
        <v>14.304769973624769</v>
      </c>
      <c r="T81" s="190">
        <v>13.532894607855301</v>
      </c>
      <c r="U81" s="190">
        <v>12.763818693735923</v>
      </c>
      <c r="V81" s="190">
        <v>12.670208627372556</v>
      </c>
      <c r="W81" s="190">
        <v>12.576819678078229</v>
      </c>
      <c r="X81" s="190">
        <v>12.483648495594315</v>
      </c>
      <c r="Y81" s="190">
        <v>12.390691797004074</v>
      </c>
      <c r="Z81" s="190">
        <v>12.297946365049107</v>
      </c>
      <c r="AA81" s="190">
        <v>12.205409046496044</v>
      </c>
      <c r="AB81" s="190">
        <v>12.113076750551791</v>
      </c>
      <c r="AC81" s="190">
        <v>12.02094644732558</v>
      </c>
      <c r="AD81" s="190">
        <v>11.929015166336262</v>
      </c>
      <c r="AE81" s="190">
        <v>11.837279995063291</v>
      </c>
      <c r="AF81" s="190">
        <v>11.745738077539931</v>
      </c>
      <c r="AG81" s="190">
        <v>11.654386612987205</v>
      </c>
      <c r="AH81" s="190">
        <v>11.563222854487256</v>
      </c>
      <c r="AI81" s="190">
        <v>11.47224410769484</v>
      </c>
      <c r="AJ81" s="190">
        <v>11.381447729585558</v>
      </c>
    </row>
    <row r="82" spans="1:36" hidden="1" x14ac:dyDescent="0.35">
      <c r="A82" t="s">
        <v>1456</v>
      </c>
      <c r="B82" s="188" t="s">
        <v>1342</v>
      </c>
      <c r="C82" t="s">
        <v>1348</v>
      </c>
      <c r="D82" s="188">
        <v>30</v>
      </c>
      <c r="E82" t="s">
        <v>1418</v>
      </c>
      <c r="F82" t="s">
        <v>1405</v>
      </c>
      <c r="G82" s="190" t="s">
        <v>1455</v>
      </c>
      <c r="H82" s="190">
        <v>23.76560345636052</v>
      </c>
      <c r="I82" s="190">
        <v>22.218802453740661</v>
      </c>
      <c r="J82" s="190">
        <v>21.608888816618236</v>
      </c>
      <c r="K82" s="190">
        <v>21.001076581156074</v>
      </c>
      <c r="L82" s="190">
        <v>20.395279725063983</v>
      </c>
      <c r="M82" s="190">
        <v>19.791416858021261</v>
      </c>
      <c r="N82" s="190">
        <v>19.189410914050601</v>
      </c>
      <c r="O82" s="190">
        <v>18.589188868087376</v>
      </c>
      <c r="P82" s="190">
        <v>17.99068147455273</v>
      </c>
      <c r="Q82" s="190">
        <v>17.393823025963098</v>
      </c>
      <c r="R82" s="190">
        <v>16.798551129807034</v>
      </c>
      <c r="S82" s="190">
        <v>16.204806502096819</v>
      </c>
      <c r="T82" s="190">
        <v>15.612532776158696</v>
      </c>
      <c r="U82" s="190">
        <v>15.021676325365567</v>
      </c>
      <c r="V82" s="190">
        <v>14.869318093880388</v>
      </c>
      <c r="W82" s="190">
        <v>14.717240636279373</v>
      </c>
      <c r="X82" s="190">
        <v>14.56543934971196</v>
      </c>
      <c r="Y82" s="190">
        <v>14.413909731389563</v>
      </c>
      <c r="Z82" s="190">
        <v>14.262647375881173</v>
      </c>
      <c r="AA82" s="190">
        <v>14.11164797249625</v>
      </c>
      <c r="AB82" s="190">
        <v>13.960907302751526</v>
      </c>
      <c r="AC82" s="190">
        <v>13.810421237918701</v>
      </c>
      <c r="AD82" s="190">
        <v>13.660185736649963</v>
      </c>
      <c r="AE82" s="190">
        <v>13.510196842678514</v>
      </c>
      <c r="AF82" s="190">
        <v>13.36045068259131</v>
      </c>
      <c r="AG82" s="190">
        <v>13.210943463671404</v>
      </c>
      <c r="AH82" s="190">
        <v>13.061671471807394</v>
      </c>
      <c r="AI82" s="190">
        <v>12.912631069467482</v>
      </c>
      <c r="AJ82" s="190">
        <v>12.763818693735923</v>
      </c>
    </row>
    <row r="83" spans="1:36" hidden="1" x14ac:dyDescent="0.35">
      <c r="A83" t="s">
        <v>1457</v>
      </c>
      <c r="B83" s="188" t="s">
        <v>1342</v>
      </c>
      <c r="C83" t="s">
        <v>1350</v>
      </c>
      <c r="D83" s="188">
        <v>30</v>
      </c>
      <c r="E83" t="s">
        <v>1418</v>
      </c>
      <c r="F83" t="s">
        <v>1405</v>
      </c>
      <c r="G83" s="190" t="s">
        <v>1455</v>
      </c>
      <c r="H83" s="190">
        <v>23.76560345636052</v>
      </c>
      <c r="I83" s="190">
        <v>22.218802453740661</v>
      </c>
      <c r="J83" s="190">
        <v>21.860501901589366</v>
      </c>
      <c r="K83" s="190">
        <v>21.502899955508919</v>
      </c>
      <c r="L83" s="190">
        <v>21.145979982021444</v>
      </c>
      <c r="M83" s="190">
        <v>20.789725871538124</v>
      </c>
      <c r="N83" s="190">
        <v>20.434122017894797</v>
      </c>
      <c r="O83" s="190">
        <v>20.079153298839376</v>
      </c>
      <c r="P83" s="190">
        <v>19.724805057419829</v>
      </c>
      <c r="Q83" s="190">
        <v>19.371063084224648</v>
      </c>
      <c r="R83" s="190">
        <v>19.017913600430557</v>
      </c>
      <c r="S83" s="190">
        <v>18.665343241614966</v>
      </c>
      <c r="T83" s="190">
        <v>18.313339042293293</v>
      </c>
      <c r="U83" s="190">
        <v>17.961888421143438</v>
      </c>
      <c r="V83" s="190">
        <v>17.764601031217541</v>
      </c>
      <c r="W83" s="190">
        <v>17.567505950951663</v>
      </c>
      <c r="X83" s="190">
        <v>17.370600649955545</v>
      </c>
      <c r="Y83" s="190">
        <v>17.173882642037867</v>
      </c>
      <c r="Z83" s="190">
        <v>16.977349484245448</v>
      </c>
      <c r="AA83" s="190">
        <v>16.780998775927294</v>
      </c>
      <c r="AB83" s="190">
        <v>16.584828157822976</v>
      </c>
      <c r="AC83" s="190">
        <v>16.388835311174372</v>
      </c>
      <c r="AD83" s="190">
        <v>16.193017956860249</v>
      </c>
      <c r="AE83" s="190">
        <v>15.997373854552936</v>
      </c>
      <c r="AF83" s="190">
        <v>15.801900801896421</v>
      </c>
      <c r="AG83" s="190">
        <v>15.606596633705243</v>
      </c>
      <c r="AH83" s="190">
        <v>15.411459221183621</v>
      </c>
      <c r="AI83" s="190">
        <v>15.216486471164158</v>
      </c>
      <c r="AJ83" s="190">
        <v>15.021676325365567</v>
      </c>
    </row>
    <row r="84" spans="1:36" hidden="1" x14ac:dyDescent="0.35">
      <c r="A84" t="s">
        <v>1458</v>
      </c>
      <c r="B84" s="188" t="s">
        <v>1342</v>
      </c>
      <c r="C84" t="s">
        <v>1343</v>
      </c>
      <c r="D84" s="188">
        <v>30</v>
      </c>
      <c r="E84" t="s">
        <v>1459</v>
      </c>
      <c r="F84" t="s">
        <v>1363</v>
      </c>
      <c r="G84" s="190" t="s">
        <v>1460</v>
      </c>
      <c r="H84" s="190">
        <v>32.443047267129302</v>
      </c>
      <c r="I84" s="190">
        <v>31.6769731018607</v>
      </c>
      <c r="J84" s="190">
        <v>30.910898936592101</v>
      </c>
      <c r="K84" s="190">
        <v>30.144824771323499</v>
      </c>
      <c r="L84" s="190">
        <v>29.378750606054901</v>
      </c>
      <c r="M84" s="190">
        <v>28.612676440786402</v>
      </c>
      <c r="N84" s="190">
        <v>27.8466022755178</v>
      </c>
      <c r="O84" s="190">
        <v>27.080528110249201</v>
      </c>
      <c r="P84" s="190">
        <v>26.314453944980599</v>
      </c>
      <c r="Q84" s="190">
        <v>25.818439452698399</v>
      </c>
      <c r="R84" s="190">
        <v>25.3224249604161</v>
      </c>
      <c r="S84" s="190">
        <v>24.826410468133901</v>
      </c>
      <c r="T84" s="190">
        <v>24.330395975851602</v>
      </c>
      <c r="U84" s="190">
        <v>23.834381483569398</v>
      </c>
      <c r="V84" s="190">
        <v>23.338366991287099</v>
      </c>
      <c r="W84" s="190">
        <v>22.8423524990049</v>
      </c>
      <c r="X84" s="190">
        <v>22.346338006722601</v>
      </c>
      <c r="Y84" s="190">
        <v>21.850323514440401</v>
      </c>
      <c r="Z84" s="190">
        <v>21.354309022158098</v>
      </c>
      <c r="AA84" s="190">
        <v>20.858294529875899</v>
      </c>
      <c r="AB84" s="190">
        <v>20.3622800375936</v>
      </c>
      <c r="AC84" s="190">
        <v>19.8662655453114</v>
      </c>
      <c r="AD84" s="190">
        <v>19.370251053029101</v>
      </c>
      <c r="AE84" s="190">
        <v>18.874236560746901</v>
      </c>
      <c r="AF84" s="190">
        <v>18.378222068464598</v>
      </c>
      <c r="AG84" s="190">
        <v>17.882207576182399</v>
      </c>
      <c r="AH84" s="190">
        <v>17.3861930839001</v>
      </c>
      <c r="AI84" s="190">
        <v>16.890178591617801</v>
      </c>
      <c r="AJ84" s="190">
        <v>16.394164099335601</v>
      </c>
    </row>
    <row r="85" spans="1:36" hidden="1" x14ac:dyDescent="0.35">
      <c r="A85" t="s">
        <v>1461</v>
      </c>
      <c r="B85" s="188" t="s">
        <v>1342</v>
      </c>
      <c r="C85" t="s">
        <v>1348</v>
      </c>
      <c r="D85" s="188">
        <v>30</v>
      </c>
      <c r="E85" t="s">
        <v>1459</v>
      </c>
      <c r="F85" t="s">
        <v>1363</v>
      </c>
      <c r="G85" s="190" t="s">
        <v>1460</v>
      </c>
      <c r="H85" s="190">
        <v>32.443047267129302</v>
      </c>
      <c r="I85" s="190">
        <v>32.045638002164402</v>
      </c>
      <c r="J85" s="190">
        <v>31.648228737199599</v>
      </c>
      <c r="K85" s="190">
        <v>31.250819472234799</v>
      </c>
      <c r="L85" s="190">
        <v>30.853410207269899</v>
      </c>
      <c r="M85" s="190">
        <v>30.456000942305099</v>
      </c>
      <c r="N85" s="190">
        <v>30.058591677340299</v>
      </c>
      <c r="O85" s="190">
        <v>29.6611824123754</v>
      </c>
      <c r="P85" s="190">
        <v>29.2637731474106</v>
      </c>
      <c r="Q85" s="190">
        <v>29.0632621091783</v>
      </c>
      <c r="R85" s="190">
        <v>28.8627510709461</v>
      </c>
      <c r="S85" s="190">
        <v>28.6622400327138</v>
      </c>
      <c r="T85" s="190">
        <v>28.4617289944816</v>
      </c>
      <c r="U85" s="190">
        <v>28.2612179562493</v>
      </c>
      <c r="V85" s="190">
        <v>28.0607069180171</v>
      </c>
      <c r="W85" s="190">
        <v>27.860195879784801</v>
      </c>
      <c r="X85" s="190">
        <v>27.659684841552501</v>
      </c>
      <c r="Y85" s="190">
        <v>27.459173803320301</v>
      </c>
      <c r="Z85" s="190">
        <v>27.258662765088001</v>
      </c>
      <c r="AA85" s="190">
        <v>27.058151726855801</v>
      </c>
      <c r="AB85" s="190">
        <v>26.857640688623501</v>
      </c>
      <c r="AC85" s="190">
        <v>26.657129650391202</v>
      </c>
      <c r="AD85" s="190">
        <v>26.456618612159001</v>
      </c>
      <c r="AE85" s="190">
        <v>26.256107573926698</v>
      </c>
      <c r="AF85" s="190">
        <v>26.055596535694502</v>
      </c>
      <c r="AG85" s="190">
        <v>25.855085497462198</v>
      </c>
      <c r="AH85" s="190">
        <v>25.654574459229998</v>
      </c>
      <c r="AI85" s="190">
        <v>25.454063420997699</v>
      </c>
      <c r="AJ85" s="190">
        <v>25.253552382765399</v>
      </c>
    </row>
    <row r="86" spans="1:36" hidden="1" x14ac:dyDescent="0.35">
      <c r="A86" t="s">
        <v>1462</v>
      </c>
      <c r="B86" s="188" t="s">
        <v>1342</v>
      </c>
      <c r="C86" t="s">
        <v>1350</v>
      </c>
      <c r="D86" s="188">
        <v>30</v>
      </c>
      <c r="E86" t="s">
        <v>1459</v>
      </c>
      <c r="F86" t="s">
        <v>1363</v>
      </c>
      <c r="G86" s="190" t="s">
        <v>1460</v>
      </c>
      <c r="H86" s="190">
        <v>32.443047267129302</v>
      </c>
      <c r="I86" s="190">
        <v>32.251528725812101</v>
      </c>
      <c r="J86" s="190">
        <v>32.060010184494999</v>
      </c>
      <c r="K86" s="190">
        <v>31.868491643177801</v>
      </c>
      <c r="L86" s="190">
        <v>31.6769731018607</v>
      </c>
      <c r="M86" s="190">
        <v>31.485454560543499</v>
      </c>
      <c r="N86" s="190">
        <v>31.2939360192264</v>
      </c>
      <c r="O86" s="190">
        <v>31.102417477909199</v>
      </c>
      <c r="P86" s="190">
        <v>30.910898936592101</v>
      </c>
      <c r="Q86" s="190">
        <v>30.786895313521502</v>
      </c>
      <c r="R86" s="190">
        <v>30.662891690451001</v>
      </c>
      <c r="S86" s="190">
        <v>30.538888067380402</v>
      </c>
      <c r="T86" s="190">
        <v>30.414884444309799</v>
      </c>
      <c r="U86" s="190">
        <v>30.290880821239298</v>
      </c>
      <c r="V86" s="190">
        <v>30.166877198168699</v>
      </c>
      <c r="W86" s="190">
        <v>30.042873575098199</v>
      </c>
      <c r="X86" s="190">
        <v>29.918869952027599</v>
      </c>
      <c r="Y86" s="190">
        <v>29.794866328956999</v>
      </c>
      <c r="Z86" s="190">
        <v>29.670862705886499</v>
      </c>
      <c r="AA86" s="190">
        <v>29.546859082815899</v>
      </c>
      <c r="AB86" s="190">
        <v>29.4228554597453</v>
      </c>
      <c r="AC86" s="190">
        <v>29.2988518366748</v>
      </c>
      <c r="AD86" s="190">
        <v>29.1748482136042</v>
      </c>
      <c r="AE86" s="190">
        <v>29.0508445905337</v>
      </c>
      <c r="AF86" s="190">
        <v>28.9268409674631</v>
      </c>
      <c r="AG86" s="190">
        <v>28.802837344392501</v>
      </c>
      <c r="AH86" s="190">
        <v>28.678833721322</v>
      </c>
      <c r="AI86" s="190">
        <v>28.554830098251401</v>
      </c>
      <c r="AJ86" s="190">
        <v>28.430826475180801</v>
      </c>
    </row>
    <row r="87" spans="1:36" hidden="1" x14ac:dyDescent="0.35">
      <c r="A87" t="s">
        <v>1463</v>
      </c>
      <c r="B87" s="188" t="s">
        <v>1342</v>
      </c>
      <c r="C87" t="s">
        <v>1343</v>
      </c>
      <c r="D87" s="188">
        <v>30</v>
      </c>
      <c r="E87" t="s">
        <v>1459</v>
      </c>
      <c r="F87" t="s">
        <v>1345</v>
      </c>
      <c r="G87" s="190" t="s">
        <v>1464</v>
      </c>
      <c r="H87" s="190">
        <v>32.443047267129302</v>
      </c>
      <c r="I87" s="190">
        <v>31.6769731018607</v>
      </c>
      <c r="J87" s="190">
        <v>30.910898936592101</v>
      </c>
      <c r="K87" s="190">
        <v>30.144824771323499</v>
      </c>
      <c r="L87" s="190">
        <v>29.378750606054901</v>
      </c>
      <c r="M87" s="190">
        <v>28.612676440786402</v>
      </c>
      <c r="N87" s="190">
        <v>27.8466022755178</v>
      </c>
      <c r="O87" s="190">
        <v>27.080528110249201</v>
      </c>
      <c r="P87" s="190">
        <v>26.314453944980599</v>
      </c>
      <c r="Q87" s="190">
        <v>25.818439452698399</v>
      </c>
      <c r="R87" s="190">
        <v>25.3224249604161</v>
      </c>
      <c r="S87" s="190">
        <v>24.826410468133901</v>
      </c>
      <c r="T87" s="190">
        <v>24.330395975851602</v>
      </c>
      <c r="U87" s="190">
        <v>23.834381483569398</v>
      </c>
      <c r="V87" s="190">
        <v>23.338366991287099</v>
      </c>
      <c r="W87" s="190">
        <v>22.8423524990049</v>
      </c>
      <c r="X87" s="190">
        <v>22.346338006722601</v>
      </c>
      <c r="Y87" s="190">
        <v>21.850323514440401</v>
      </c>
      <c r="Z87" s="190">
        <v>21.354309022158098</v>
      </c>
      <c r="AA87" s="190">
        <v>20.858294529875899</v>
      </c>
      <c r="AB87" s="190">
        <v>20.3622800375936</v>
      </c>
      <c r="AC87" s="190">
        <v>19.8662655453114</v>
      </c>
      <c r="AD87" s="190">
        <v>19.370251053029101</v>
      </c>
      <c r="AE87" s="190">
        <v>18.874236560746901</v>
      </c>
      <c r="AF87" s="190">
        <v>18.378222068464598</v>
      </c>
      <c r="AG87" s="190">
        <v>17.882207576182399</v>
      </c>
      <c r="AH87" s="190">
        <v>17.3861930839001</v>
      </c>
      <c r="AI87" s="190">
        <v>16.890178591617801</v>
      </c>
      <c r="AJ87" s="190">
        <v>16.394164099335601</v>
      </c>
    </row>
    <row r="88" spans="1:36" hidden="1" x14ac:dyDescent="0.35">
      <c r="A88" t="s">
        <v>1465</v>
      </c>
      <c r="B88" s="188" t="s">
        <v>1342</v>
      </c>
      <c r="C88" t="s">
        <v>1348</v>
      </c>
      <c r="D88" s="188">
        <v>30</v>
      </c>
      <c r="E88" t="s">
        <v>1459</v>
      </c>
      <c r="F88" t="s">
        <v>1345</v>
      </c>
      <c r="G88" s="190" t="s">
        <v>1464</v>
      </c>
      <c r="H88" s="190">
        <v>32.443047267129302</v>
      </c>
      <c r="I88" s="190">
        <v>32.045638002164402</v>
      </c>
      <c r="J88" s="190">
        <v>31.648228737199599</v>
      </c>
      <c r="K88" s="190">
        <v>31.250819472234799</v>
      </c>
      <c r="L88" s="190">
        <v>30.853410207269899</v>
      </c>
      <c r="M88" s="190">
        <v>30.456000942305099</v>
      </c>
      <c r="N88" s="190">
        <v>30.058591677340299</v>
      </c>
      <c r="O88" s="190">
        <v>29.6611824123754</v>
      </c>
      <c r="P88" s="190">
        <v>29.2637731474106</v>
      </c>
      <c r="Q88" s="190">
        <v>29.0632621091783</v>
      </c>
      <c r="R88" s="190">
        <v>28.8627510709461</v>
      </c>
      <c r="S88" s="190">
        <v>28.6622400327138</v>
      </c>
      <c r="T88" s="190">
        <v>28.4617289944816</v>
      </c>
      <c r="U88" s="190">
        <v>28.2612179562493</v>
      </c>
      <c r="V88" s="190">
        <v>28.0607069180171</v>
      </c>
      <c r="W88" s="190">
        <v>27.860195879784801</v>
      </c>
      <c r="X88" s="190">
        <v>27.659684841552501</v>
      </c>
      <c r="Y88" s="190">
        <v>27.459173803320301</v>
      </c>
      <c r="Z88" s="190">
        <v>27.258662765088001</v>
      </c>
      <c r="AA88" s="190">
        <v>27.058151726855801</v>
      </c>
      <c r="AB88" s="190">
        <v>26.857640688623501</v>
      </c>
      <c r="AC88" s="190">
        <v>26.657129650391202</v>
      </c>
      <c r="AD88" s="190">
        <v>26.456618612159001</v>
      </c>
      <c r="AE88" s="190">
        <v>26.256107573926698</v>
      </c>
      <c r="AF88" s="190">
        <v>26.055596535694502</v>
      </c>
      <c r="AG88" s="190">
        <v>25.855085497462198</v>
      </c>
      <c r="AH88" s="190">
        <v>25.654574459229998</v>
      </c>
      <c r="AI88" s="190">
        <v>25.454063420997699</v>
      </c>
      <c r="AJ88" s="190">
        <v>25.253552382765399</v>
      </c>
    </row>
    <row r="89" spans="1:36" hidden="1" x14ac:dyDescent="0.35">
      <c r="A89" t="s">
        <v>1466</v>
      </c>
      <c r="B89" s="188" t="s">
        <v>1342</v>
      </c>
      <c r="C89" t="s">
        <v>1350</v>
      </c>
      <c r="D89" s="188">
        <v>30</v>
      </c>
      <c r="E89" t="s">
        <v>1459</v>
      </c>
      <c r="F89" t="s">
        <v>1345</v>
      </c>
      <c r="G89" s="190" t="s">
        <v>1464</v>
      </c>
      <c r="H89" s="190">
        <v>32.443047267129302</v>
      </c>
      <c r="I89" s="190">
        <v>32.251528725812101</v>
      </c>
      <c r="J89" s="190">
        <v>32.060010184494999</v>
      </c>
      <c r="K89" s="190">
        <v>31.868491643177801</v>
      </c>
      <c r="L89" s="190">
        <v>31.6769731018607</v>
      </c>
      <c r="M89" s="190">
        <v>31.485454560543499</v>
      </c>
      <c r="N89" s="190">
        <v>31.2939360192264</v>
      </c>
      <c r="O89" s="190">
        <v>31.102417477909199</v>
      </c>
      <c r="P89" s="190">
        <v>30.910898936592101</v>
      </c>
      <c r="Q89" s="190">
        <v>30.786895313521502</v>
      </c>
      <c r="R89" s="190">
        <v>30.662891690451001</v>
      </c>
      <c r="S89" s="190">
        <v>30.538888067380402</v>
      </c>
      <c r="T89" s="190">
        <v>30.414884444309799</v>
      </c>
      <c r="U89" s="190">
        <v>30.290880821239298</v>
      </c>
      <c r="V89" s="190">
        <v>30.166877198168699</v>
      </c>
      <c r="W89" s="190">
        <v>30.042873575098199</v>
      </c>
      <c r="X89" s="190">
        <v>29.918869952027599</v>
      </c>
      <c r="Y89" s="190">
        <v>29.794866328956999</v>
      </c>
      <c r="Z89" s="190">
        <v>29.670862705886499</v>
      </c>
      <c r="AA89" s="190">
        <v>29.546859082815899</v>
      </c>
      <c r="AB89" s="190">
        <v>29.4228554597453</v>
      </c>
      <c r="AC89" s="190">
        <v>29.2988518366748</v>
      </c>
      <c r="AD89" s="190">
        <v>29.1748482136042</v>
      </c>
      <c r="AE89" s="190">
        <v>29.0508445905337</v>
      </c>
      <c r="AF89" s="190">
        <v>28.9268409674631</v>
      </c>
      <c r="AG89" s="190">
        <v>28.802837344392501</v>
      </c>
      <c r="AH89" s="190">
        <v>28.678833721322</v>
      </c>
      <c r="AI89" s="190">
        <v>28.554830098251401</v>
      </c>
      <c r="AJ89" s="190">
        <v>28.430826475180801</v>
      </c>
    </row>
    <row r="90" spans="1:36" hidden="1" x14ac:dyDescent="0.35">
      <c r="A90" t="s">
        <v>1467</v>
      </c>
      <c r="B90" s="188" t="s">
        <v>1342</v>
      </c>
      <c r="C90" t="s">
        <v>1343</v>
      </c>
      <c r="D90" s="188">
        <v>30</v>
      </c>
      <c r="E90" t="s">
        <v>1459</v>
      </c>
      <c r="F90" t="s">
        <v>1352</v>
      </c>
      <c r="G90" s="190" t="s">
        <v>1468</v>
      </c>
      <c r="H90" s="190">
        <v>32.443047267129302</v>
      </c>
      <c r="I90" s="190">
        <v>31.6769731018607</v>
      </c>
      <c r="J90" s="190">
        <v>30.910898936592101</v>
      </c>
      <c r="K90" s="190">
        <v>30.144824771323499</v>
      </c>
      <c r="L90" s="190">
        <v>29.378750606054901</v>
      </c>
      <c r="M90" s="190">
        <v>28.612676440786402</v>
      </c>
      <c r="N90" s="190">
        <v>27.8466022755178</v>
      </c>
      <c r="O90" s="190">
        <v>27.080528110249201</v>
      </c>
      <c r="P90" s="190">
        <v>26.314453944980599</v>
      </c>
      <c r="Q90" s="190">
        <v>25.818439452698399</v>
      </c>
      <c r="R90" s="190">
        <v>25.3224249604161</v>
      </c>
      <c r="S90" s="190">
        <v>24.826410468133901</v>
      </c>
      <c r="T90" s="190">
        <v>24.330395975851602</v>
      </c>
      <c r="U90" s="190">
        <v>23.834381483569398</v>
      </c>
      <c r="V90" s="190">
        <v>23.338366991287099</v>
      </c>
      <c r="W90" s="190">
        <v>22.8423524990049</v>
      </c>
      <c r="X90" s="190">
        <v>22.346338006722601</v>
      </c>
      <c r="Y90" s="190">
        <v>21.850323514440401</v>
      </c>
      <c r="Z90" s="190">
        <v>21.354309022158098</v>
      </c>
      <c r="AA90" s="190">
        <v>20.858294529875899</v>
      </c>
      <c r="AB90" s="190">
        <v>20.3622800375936</v>
      </c>
      <c r="AC90" s="190">
        <v>19.8662655453114</v>
      </c>
      <c r="AD90" s="190">
        <v>19.370251053029101</v>
      </c>
      <c r="AE90" s="190">
        <v>18.874236560746901</v>
      </c>
      <c r="AF90" s="190">
        <v>18.378222068464598</v>
      </c>
      <c r="AG90" s="190">
        <v>17.882207576182399</v>
      </c>
      <c r="AH90" s="190">
        <v>17.3861930839001</v>
      </c>
      <c r="AI90" s="190">
        <v>16.890178591617801</v>
      </c>
      <c r="AJ90" s="190">
        <v>16.394164099335601</v>
      </c>
    </row>
    <row r="91" spans="1:36" hidden="1" x14ac:dyDescent="0.35">
      <c r="A91" t="s">
        <v>1469</v>
      </c>
      <c r="B91" s="188" t="s">
        <v>1342</v>
      </c>
      <c r="C91" t="s">
        <v>1348</v>
      </c>
      <c r="D91" s="188">
        <v>30</v>
      </c>
      <c r="E91" t="s">
        <v>1459</v>
      </c>
      <c r="F91" t="s">
        <v>1352</v>
      </c>
      <c r="G91" s="190" t="s">
        <v>1468</v>
      </c>
      <c r="H91" s="190">
        <v>32.443047267129302</v>
      </c>
      <c r="I91" s="190">
        <v>32.045638002164402</v>
      </c>
      <c r="J91" s="190">
        <v>31.648228737199599</v>
      </c>
      <c r="K91" s="190">
        <v>31.250819472234799</v>
      </c>
      <c r="L91" s="190">
        <v>30.853410207269899</v>
      </c>
      <c r="M91" s="190">
        <v>30.456000942305099</v>
      </c>
      <c r="N91" s="190">
        <v>30.058591677340299</v>
      </c>
      <c r="O91" s="190">
        <v>29.6611824123754</v>
      </c>
      <c r="P91" s="190">
        <v>29.2637731474106</v>
      </c>
      <c r="Q91" s="190">
        <v>29.0632621091783</v>
      </c>
      <c r="R91" s="190">
        <v>28.8627510709461</v>
      </c>
      <c r="S91" s="190">
        <v>28.6622400327138</v>
      </c>
      <c r="T91" s="190">
        <v>28.4617289944816</v>
      </c>
      <c r="U91" s="190">
        <v>28.2612179562493</v>
      </c>
      <c r="V91" s="190">
        <v>28.0607069180171</v>
      </c>
      <c r="W91" s="190">
        <v>27.860195879784801</v>
      </c>
      <c r="X91" s="190">
        <v>27.659684841552501</v>
      </c>
      <c r="Y91" s="190">
        <v>27.459173803320301</v>
      </c>
      <c r="Z91" s="190">
        <v>27.258662765088001</v>
      </c>
      <c r="AA91" s="190">
        <v>27.058151726855801</v>
      </c>
      <c r="AB91" s="190">
        <v>26.857640688623501</v>
      </c>
      <c r="AC91" s="190">
        <v>26.657129650391202</v>
      </c>
      <c r="AD91" s="190">
        <v>26.456618612159001</v>
      </c>
      <c r="AE91" s="190">
        <v>26.256107573926698</v>
      </c>
      <c r="AF91" s="190">
        <v>26.055596535694502</v>
      </c>
      <c r="AG91" s="190">
        <v>25.855085497462198</v>
      </c>
      <c r="AH91" s="190">
        <v>25.654574459229998</v>
      </c>
      <c r="AI91" s="190">
        <v>25.454063420997699</v>
      </c>
      <c r="AJ91" s="190">
        <v>25.253552382765399</v>
      </c>
    </row>
    <row r="92" spans="1:36" hidden="1" x14ac:dyDescent="0.35">
      <c r="A92" t="s">
        <v>1470</v>
      </c>
      <c r="B92" s="188" t="s">
        <v>1342</v>
      </c>
      <c r="C92" t="s">
        <v>1350</v>
      </c>
      <c r="D92" s="188">
        <v>30</v>
      </c>
      <c r="E92" t="s">
        <v>1459</v>
      </c>
      <c r="F92" t="s">
        <v>1352</v>
      </c>
      <c r="G92" s="190" t="s">
        <v>1468</v>
      </c>
      <c r="H92" s="190">
        <v>32.443047267129302</v>
      </c>
      <c r="I92" s="190">
        <v>32.251528725812101</v>
      </c>
      <c r="J92" s="190">
        <v>32.060010184494999</v>
      </c>
      <c r="K92" s="190">
        <v>31.868491643177801</v>
      </c>
      <c r="L92" s="190">
        <v>31.6769731018607</v>
      </c>
      <c r="M92" s="190">
        <v>31.485454560543499</v>
      </c>
      <c r="N92" s="190">
        <v>31.2939360192264</v>
      </c>
      <c r="O92" s="190">
        <v>31.102417477909199</v>
      </c>
      <c r="P92" s="190">
        <v>30.910898936592101</v>
      </c>
      <c r="Q92" s="190">
        <v>30.786895313521502</v>
      </c>
      <c r="R92" s="190">
        <v>30.662891690451001</v>
      </c>
      <c r="S92" s="190">
        <v>30.538888067380402</v>
      </c>
      <c r="T92" s="190">
        <v>30.414884444309799</v>
      </c>
      <c r="U92" s="190">
        <v>30.290880821239298</v>
      </c>
      <c r="V92" s="190">
        <v>30.166877198168699</v>
      </c>
      <c r="W92" s="190">
        <v>30.042873575098199</v>
      </c>
      <c r="X92" s="190">
        <v>29.918869952027599</v>
      </c>
      <c r="Y92" s="190">
        <v>29.794866328956999</v>
      </c>
      <c r="Z92" s="190">
        <v>29.670862705886499</v>
      </c>
      <c r="AA92" s="190">
        <v>29.546859082815899</v>
      </c>
      <c r="AB92" s="190">
        <v>29.4228554597453</v>
      </c>
      <c r="AC92" s="190">
        <v>29.2988518366748</v>
      </c>
      <c r="AD92" s="190">
        <v>29.1748482136042</v>
      </c>
      <c r="AE92" s="190">
        <v>29.0508445905337</v>
      </c>
      <c r="AF92" s="190">
        <v>28.9268409674631</v>
      </c>
      <c r="AG92" s="190">
        <v>28.802837344392501</v>
      </c>
      <c r="AH92" s="190">
        <v>28.678833721322</v>
      </c>
      <c r="AI92" s="190">
        <v>28.554830098251401</v>
      </c>
      <c r="AJ92" s="190">
        <v>28.430826475180801</v>
      </c>
    </row>
    <row r="93" spans="1:36" hidden="1" x14ac:dyDescent="0.35">
      <c r="A93" t="s">
        <v>1471</v>
      </c>
      <c r="B93" s="188" t="s">
        <v>1342</v>
      </c>
      <c r="C93" t="s">
        <v>1343</v>
      </c>
      <c r="D93" s="188">
        <v>30</v>
      </c>
      <c r="E93" t="s">
        <v>1459</v>
      </c>
      <c r="F93" t="s">
        <v>1376</v>
      </c>
      <c r="G93" s="190" t="s">
        <v>1472</v>
      </c>
      <c r="H93" s="190">
        <v>32.443047267129302</v>
      </c>
      <c r="I93" s="190">
        <v>31.6769731018607</v>
      </c>
      <c r="J93" s="190">
        <v>30.910898936592101</v>
      </c>
      <c r="K93" s="190">
        <v>30.144824771323499</v>
      </c>
      <c r="L93" s="190">
        <v>29.378750606054901</v>
      </c>
      <c r="M93" s="190">
        <v>28.612676440786402</v>
      </c>
      <c r="N93" s="190">
        <v>27.8466022755178</v>
      </c>
      <c r="O93" s="190">
        <v>27.080528110249201</v>
      </c>
      <c r="P93" s="190">
        <v>26.314453944980599</v>
      </c>
      <c r="Q93" s="190">
        <v>25.818439452698399</v>
      </c>
      <c r="R93" s="190">
        <v>25.3224249604161</v>
      </c>
      <c r="S93" s="190">
        <v>24.826410468133901</v>
      </c>
      <c r="T93" s="190">
        <v>24.330395975851602</v>
      </c>
      <c r="U93" s="190">
        <v>23.834381483569398</v>
      </c>
      <c r="V93" s="190">
        <v>23.338366991287099</v>
      </c>
      <c r="W93" s="190">
        <v>22.8423524990049</v>
      </c>
      <c r="X93" s="190">
        <v>22.346338006722601</v>
      </c>
      <c r="Y93" s="190">
        <v>21.850323514440401</v>
      </c>
      <c r="Z93" s="190">
        <v>21.354309022158098</v>
      </c>
      <c r="AA93" s="190">
        <v>20.858294529875899</v>
      </c>
      <c r="AB93" s="190">
        <v>20.3622800375936</v>
      </c>
      <c r="AC93" s="190">
        <v>19.8662655453114</v>
      </c>
      <c r="AD93" s="190">
        <v>19.370251053029101</v>
      </c>
      <c r="AE93" s="190">
        <v>18.874236560746901</v>
      </c>
      <c r="AF93" s="190">
        <v>18.378222068464598</v>
      </c>
      <c r="AG93" s="190">
        <v>17.882207576182399</v>
      </c>
      <c r="AH93" s="190">
        <v>17.3861930839001</v>
      </c>
      <c r="AI93" s="190">
        <v>16.890178591617801</v>
      </c>
      <c r="AJ93" s="190">
        <v>16.394164099335601</v>
      </c>
    </row>
    <row r="94" spans="1:36" hidden="1" x14ac:dyDescent="0.35">
      <c r="A94" t="s">
        <v>1473</v>
      </c>
      <c r="B94" s="188" t="s">
        <v>1342</v>
      </c>
      <c r="C94" t="s">
        <v>1348</v>
      </c>
      <c r="D94" s="188">
        <v>30</v>
      </c>
      <c r="E94" t="s">
        <v>1459</v>
      </c>
      <c r="F94" t="s">
        <v>1376</v>
      </c>
      <c r="G94" s="190" t="s">
        <v>1472</v>
      </c>
      <c r="H94" s="190">
        <v>32.443047267129302</v>
      </c>
      <c r="I94" s="190">
        <v>32.045638002164402</v>
      </c>
      <c r="J94" s="190">
        <v>31.648228737199599</v>
      </c>
      <c r="K94" s="190">
        <v>31.250819472234799</v>
      </c>
      <c r="L94" s="190">
        <v>30.853410207269899</v>
      </c>
      <c r="M94" s="190">
        <v>30.456000942305099</v>
      </c>
      <c r="N94" s="190">
        <v>30.058591677340299</v>
      </c>
      <c r="O94" s="190">
        <v>29.6611824123754</v>
      </c>
      <c r="P94" s="190">
        <v>29.2637731474106</v>
      </c>
      <c r="Q94" s="190">
        <v>29.0632621091783</v>
      </c>
      <c r="R94" s="190">
        <v>28.8627510709461</v>
      </c>
      <c r="S94" s="190">
        <v>28.6622400327138</v>
      </c>
      <c r="T94" s="190">
        <v>28.4617289944816</v>
      </c>
      <c r="U94" s="190">
        <v>28.2612179562493</v>
      </c>
      <c r="V94" s="190">
        <v>28.0607069180171</v>
      </c>
      <c r="W94" s="190">
        <v>27.860195879784801</v>
      </c>
      <c r="X94" s="190">
        <v>27.659684841552501</v>
      </c>
      <c r="Y94" s="190">
        <v>27.459173803320301</v>
      </c>
      <c r="Z94" s="190">
        <v>27.258662765088001</v>
      </c>
      <c r="AA94" s="190">
        <v>27.058151726855801</v>
      </c>
      <c r="AB94" s="190">
        <v>26.857640688623501</v>
      </c>
      <c r="AC94" s="190">
        <v>26.657129650391202</v>
      </c>
      <c r="AD94" s="190">
        <v>26.456618612159001</v>
      </c>
      <c r="AE94" s="190">
        <v>26.256107573926698</v>
      </c>
      <c r="AF94" s="190">
        <v>26.055596535694502</v>
      </c>
      <c r="AG94" s="190">
        <v>25.855085497462198</v>
      </c>
      <c r="AH94" s="190">
        <v>25.654574459229998</v>
      </c>
      <c r="AI94" s="190">
        <v>25.454063420997699</v>
      </c>
      <c r="AJ94" s="190">
        <v>25.253552382765399</v>
      </c>
    </row>
    <row r="95" spans="1:36" hidden="1" x14ac:dyDescent="0.35">
      <c r="A95" t="s">
        <v>1474</v>
      </c>
      <c r="B95" s="188" t="s">
        <v>1342</v>
      </c>
      <c r="C95" t="s">
        <v>1350</v>
      </c>
      <c r="D95" s="188">
        <v>30</v>
      </c>
      <c r="E95" t="s">
        <v>1459</v>
      </c>
      <c r="F95" t="s">
        <v>1376</v>
      </c>
      <c r="G95" s="190" t="s">
        <v>1472</v>
      </c>
      <c r="H95" s="190">
        <v>32.443047267129302</v>
      </c>
      <c r="I95" s="190">
        <v>32.251528725812101</v>
      </c>
      <c r="J95" s="190">
        <v>32.060010184494999</v>
      </c>
      <c r="K95" s="190">
        <v>31.868491643177801</v>
      </c>
      <c r="L95" s="190">
        <v>31.6769731018607</v>
      </c>
      <c r="M95" s="190">
        <v>31.485454560543499</v>
      </c>
      <c r="N95" s="190">
        <v>31.2939360192264</v>
      </c>
      <c r="O95" s="190">
        <v>31.102417477909199</v>
      </c>
      <c r="P95" s="190">
        <v>30.910898936592101</v>
      </c>
      <c r="Q95" s="190">
        <v>30.786895313521502</v>
      </c>
      <c r="R95" s="190">
        <v>30.662891690451001</v>
      </c>
      <c r="S95" s="190">
        <v>30.538888067380402</v>
      </c>
      <c r="T95" s="190">
        <v>30.414884444309799</v>
      </c>
      <c r="U95" s="190">
        <v>30.290880821239298</v>
      </c>
      <c r="V95" s="190">
        <v>30.166877198168699</v>
      </c>
      <c r="W95" s="190">
        <v>30.042873575098199</v>
      </c>
      <c r="X95" s="190">
        <v>29.918869952027599</v>
      </c>
      <c r="Y95" s="190">
        <v>29.794866328956999</v>
      </c>
      <c r="Z95" s="190">
        <v>29.670862705886499</v>
      </c>
      <c r="AA95" s="190">
        <v>29.546859082815899</v>
      </c>
      <c r="AB95" s="190">
        <v>29.4228554597453</v>
      </c>
      <c r="AC95" s="190">
        <v>29.2988518366748</v>
      </c>
      <c r="AD95" s="190">
        <v>29.1748482136042</v>
      </c>
      <c r="AE95" s="190">
        <v>29.0508445905337</v>
      </c>
      <c r="AF95" s="190">
        <v>28.9268409674631</v>
      </c>
      <c r="AG95" s="190">
        <v>28.802837344392501</v>
      </c>
      <c r="AH95" s="190">
        <v>28.678833721322</v>
      </c>
      <c r="AI95" s="190">
        <v>28.554830098251401</v>
      </c>
      <c r="AJ95" s="190">
        <v>28.430826475180801</v>
      </c>
    </row>
    <row r="96" spans="1:36" hidden="1" x14ac:dyDescent="0.35">
      <c r="A96" t="s">
        <v>1475</v>
      </c>
      <c r="B96" s="188" t="s">
        <v>1342</v>
      </c>
      <c r="C96" t="s">
        <v>1343</v>
      </c>
      <c r="D96" s="188">
        <v>30</v>
      </c>
      <c r="E96" t="s">
        <v>1459</v>
      </c>
      <c r="F96" t="s">
        <v>1381</v>
      </c>
      <c r="G96" s="190" t="s">
        <v>1476</v>
      </c>
      <c r="H96" s="190">
        <v>32.443047267129302</v>
      </c>
      <c r="I96" s="190">
        <v>31.6769731018607</v>
      </c>
      <c r="J96" s="190">
        <v>30.910898936592101</v>
      </c>
      <c r="K96" s="190">
        <v>30.144824771323499</v>
      </c>
      <c r="L96" s="190">
        <v>29.378750606054901</v>
      </c>
      <c r="M96" s="190">
        <v>28.612676440786402</v>
      </c>
      <c r="N96" s="190">
        <v>27.8466022755178</v>
      </c>
      <c r="O96" s="190">
        <v>27.080528110249201</v>
      </c>
      <c r="P96" s="190">
        <v>26.314453944980599</v>
      </c>
      <c r="Q96" s="190">
        <v>25.818439452698399</v>
      </c>
      <c r="R96" s="190">
        <v>25.3224249604161</v>
      </c>
      <c r="S96" s="190">
        <v>24.826410468133901</v>
      </c>
      <c r="T96" s="190">
        <v>24.330395975851602</v>
      </c>
      <c r="U96" s="190">
        <v>23.834381483569398</v>
      </c>
      <c r="V96" s="190">
        <v>23.338366991287099</v>
      </c>
      <c r="W96" s="190">
        <v>22.8423524990049</v>
      </c>
      <c r="X96" s="190">
        <v>22.346338006722601</v>
      </c>
      <c r="Y96" s="190">
        <v>21.850323514440401</v>
      </c>
      <c r="Z96" s="190">
        <v>21.354309022158098</v>
      </c>
      <c r="AA96" s="190">
        <v>20.858294529875899</v>
      </c>
      <c r="AB96" s="190">
        <v>20.3622800375936</v>
      </c>
      <c r="AC96" s="190">
        <v>19.8662655453114</v>
      </c>
      <c r="AD96" s="190">
        <v>19.370251053029101</v>
      </c>
      <c r="AE96" s="190">
        <v>18.874236560746901</v>
      </c>
      <c r="AF96" s="190">
        <v>18.378222068464598</v>
      </c>
      <c r="AG96" s="190">
        <v>17.882207576182399</v>
      </c>
      <c r="AH96" s="190">
        <v>17.3861930839001</v>
      </c>
      <c r="AI96" s="190">
        <v>16.890178591617801</v>
      </c>
      <c r="AJ96" s="190">
        <v>16.394164099335601</v>
      </c>
    </row>
    <row r="97" spans="1:36" hidden="1" x14ac:dyDescent="0.35">
      <c r="A97" t="s">
        <v>1477</v>
      </c>
      <c r="B97" s="188" t="s">
        <v>1342</v>
      </c>
      <c r="C97" t="s">
        <v>1348</v>
      </c>
      <c r="D97" s="188">
        <v>30</v>
      </c>
      <c r="E97" t="s">
        <v>1459</v>
      </c>
      <c r="F97" t="s">
        <v>1381</v>
      </c>
      <c r="G97" s="190" t="s">
        <v>1476</v>
      </c>
      <c r="H97" s="190">
        <v>32.443047267129302</v>
      </c>
      <c r="I97" s="190">
        <v>32.045638002164402</v>
      </c>
      <c r="J97" s="190">
        <v>31.648228737199599</v>
      </c>
      <c r="K97" s="190">
        <v>31.250819472234799</v>
      </c>
      <c r="L97" s="190">
        <v>30.853410207269899</v>
      </c>
      <c r="M97" s="190">
        <v>30.456000942305099</v>
      </c>
      <c r="N97" s="190">
        <v>30.058591677340299</v>
      </c>
      <c r="O97" s="190">
        <v>29.6611824123754</v>
      </c>
      <c r="P97" s="190">
        <v>29.2637731474106</v>
      </c>
      <c r="Q97" s="190">
        <v>29.0632621091783</v>
      </c>
      <c r="R97" s="190">
        <v>28.8627510709461</v>
      </c>
      <c r="S97" s="190">
        <v>28.6622400327138</v>
      </c>
      <c r="T97" s="190">
        <v>28.4617289944816</v>
      </c>
      <c r="U97" s="190">
        <v>28.2612179562493</v>
      </c>
      <c r="V97" s="190">
        <v>28.0607069180171</v>
      </c>
      <c r="W97" s="190">
        <v>27.860195879784801</v>
      </c>
      <c r="X97" s="190">
        <v>27.659684841552501</v>
      </c>
      <c r="Y97" s="190">
        <v>27.459173803320301</v>
      </c>
      <c r="Z97" s="190">
        <v>27.258662765088001</v>
      </c>
      <c r="AA97" s="190">
        <v>27.058151726855801</v>
      </c>
      <c r="AB97" s="190">
        <v>26.857640688623501</v>
      </c>
      <c r="AC97" s="190">
        <v>26.657129650391202</v>
      </c>
      <c r="AD97" s="190">
        <v>26.456618612159001</v>
      </c>
      <c r="AE97" s="190">
        <v>26.256107573926698</v>
      </c>
      <c r="AF97" s="190">
        <v>26.055596535694502</v>
      </c>
      <c r="AG97" s="190">
        <v>25.855085497462198</v>
      </c>
      <c r="AH97" s="190">
        <v>25.654574459229998</v>
      </c>
      <c r="AI97" s="190">
        <v>25.454063420997699</v>
      </c>
      <c r="AJ97" s="190">
        <v>25.253552382765399</v>
      </c>
    </row>
    <row r="98" spans="1:36" hidden="1" x14ac:dyDescent="0.35">
      <c r="A98" t="s">
        <v>1478</v>
      </c>
      <c r="B98" s="188" t="s">
        <v>1342</v>
      </c>
      <c r="C98" t="s">
        <v>1350</v>
      </c>
      <c r="D98" s="188">
        <v>30</v>
      </c>
      <c r="E98" t="s">
        <v>1459</v>
      </c>
      <c r="F98" t="s">
        <v>1381</v>
      </c>
      <c r="G98" s="190" t="s">
        <v>1476</v>
      </c>
      <c r="H98" s="190">
        <v>32.443047267129302</v>
      </c>
      <c r="I98" s="190">
        <v>32.251528725812101</v>
      </c>
      <c r="J98" s="190">
        <v>32.060010184494999</v>
      </c>
      <c r="K98" s="190">
        <v>31.868491643177801</v>
      </c>
      <c r="L98" s="190">
        <v>31.6769731018607</v>
      </c>
      <c r="M98" s="190">
        <v>31.485454560543499</v>
      </c>
      <c r="N98" s="190">
        <v>31.2939360192264</v>
      </c>
      <c r="O98" s="190">
        <v>31.102417477909199</v>
      </c>
      <c r="P98" s="190">
        <v>30.910898936592101</v>
      </c>
      <c r="Q98" s="190">
        <v>30.786895313521502</v>
      </c>
      <c r="R98" s="190">
        <v>30.662891690451001</v>
      </c>
      <c r="S98" s="190">
        <v>30.538888067380402</v>
      </c>
      <c r="T98" s="190">
        <v>30.414884444309799</v>
      </c>
      <c r="U98" s="190">
        <v>30.290880821239298</v>
      </c>
      <c r="V98" s="190">
        <v>30.166877198168699</v>
      </c>
      <c r="W98" s="190">
        <v>30.042873575098199</v>
      </c>
      <c r="X98" s="190">
        <v>29.918869952027599</v>
      </c>
      <c r="Y98" s="190">
        <v>29.794866328956999</v>
      </c>
      <c r="Z98" s="190">
        <v>29.670862705886499</v>
      </c>
      <c r="AA98" s="190">
        <v>29.546859082815899</v>
      </c>
      <c r="AB98" s="190">
        <v>29.4228554597453</v>
      </c>
      <c r="AC98" s="190">
        <v>29.2988518366748</v>
      </c>
      <c r="AD98" s="190">
        <v>29.1748482136042</v>
      </c>
      <c r="AE98" s="190">
        <v>29.0508445905337</v>
      </c>
      <c r="AF98" s="190">
        <v>28.9268409674631</v>
      </c>
      <c r="AG98" s="190">
        <v>28.802837344392501</v>
      </c>
      <c r="AH98" s="190">
        <v>28.678833721322</v>
      </c>
      <c r="AI98" s="190">
        <v>28.554830098251401</v>
      </c>
      <c r="AJ98" s="190">
        <v>28.430826475180801</v>
      </c>
    </row>
    <row r="99" spans="1:36" hidden="1" x14ac:dyDescent="0.35">
      <c r="A99" t="s">
        <v>1479</v>
      </c>
      <c r="B99" s="188" t="s">
        <v>1342</v>
      </c>
      <c r="C99" t="s">
        <v>1343</v>
      </c>
      <c r="D99" s="188">
        <v>30</v>
      </c>
      <c r="E99" t="s">
        <v>1459</v>
      </c>
      <c r="F99" t="s">
        <v>1386</v>
      </c>
      <c r="G99" s="190" t="s">
        <v>1480</v>
      </c>
      <c r="H99" s="190">
        <v>32.443047267129302</v>
      </c>
      <c r="I99" s="190">
        <v>31.6769731018607</v>
      </c>
      <c r="J99" s="190">
        <v>30.910898936592101</v>
      </c>
      <c r="K99" s="190">
        <v>30.144824771323499</v>
      </c>
      <c r="L99" s="190">
        <v>29.378750606054901</v>
      </c>
      <c r="M99" s="190">
        <v>28.612676440786402</v>
      </c>
      <c r="N99" s="190">
        <v>27.8466022755178</v>
      </c>
      <c r="O99" s="190">
        <v>27.080528110249201</v>
      </c>
      <c r="P99" s="190">
        <v>26.314453944980599</v>
      </c>
      <c r="Q99" s="190">
        <v>25.818439452698399</v>
      </c>
      <c r="R99" s="190">
        <v>25.3224249604161</v>
      </c>
      <c r="S99" s="190">
        <v>24.826410468133901</v>
      </c>
      <c r="T99" s="190">
        <v>24.330395975851602</v>
      </c>
      <c r="U99" s="190">
        <v>23.834381483569398</v>
      </c>
      <c r="V99" s="190">
        <v>23.338366991287099</v>
      </c>
      <c r="W99" s="190">
        <v>22.8423524990049</v>
      </c>
      <c r="X99" s="190">
        <v>22.346338006722601</v>
      </c>
      <c r="Y99" s="190">
        <v>21.850323514440401</v>
      </c>
      <c r="Z99" s="190">
        <v>21.354309022158098</v>
      </c>
      <c r="AA99" s="190">
        <v>20.858294529875899</v>
      </c>
      <c r="AB99" s="190">
        <v>20.3622800375936</v>
      </c>
      <c r="AC99" s="190">
        <v>19.8662655453114</v>
      </c>
      <c r="AD99" s="190">
        <v>19.370251053029101</v>
      </c>
      <c r="AE99" s="190">
        <v>18.874236560746901</v>
      </c>
      <c r="AF99" s="190">
        <v>18.378222068464598</v>
      </c>
      <c r="AG99" s="190">
        <v>17.882207576182399</v>
      </c>
      <c r="AH99" s="190">
        <v>17.3861930839001</v>
      </c>
      <c r="AI99" s="190">
        <v>16.890178591617801</v>
      </c>
      <c r="AJ99" s="190">
        <v>16.394164099335601</v>
      </c>
    </row>
    <row r="100" spans="1:36" hidden="1" x14ac:dyDescent="0.35">
      <c r="A100" t="s">
        <v>1481</v>
      </c>
      <c r="B100" s="188" t="s">
        <v>1342</v>
      </c>
      <c r="C100" t="s">
        <v>1348</v>
      </c>
      <c r="D100" s="188">
        <v>30</v>
      </c>
      <c r="E100" t="s">
        <v>1459</v>
      </c>
      <c r="F100" t="s">
        <v>1386</v>
      </c>
      <c r="G100" s="190" t="s">
        <v>1480</v>
      </c>
      <c r="H100" s="190">
        <v>32.443047267129302</v>
      </c>
      <c r="I100" s="190">
        <v>32.045638002164402</v>
      </c>
      <c r="J100" s="190">
        <v>31.648228737199599</v>
      </c>
      <c r="K100" s="190">
        <v>31.250819472234799</v>
      </c>
      <c r="L100" s="190">
        <v>30.853410207269899</v>
      </c>
      <c r="M100" s="190">
        <v>30.456000942305099</v>
      </c>
      <c r="N100" s="190">
        <v>30.058591677340299</v>
      </c>
      <c r="O100" s="190">
        <v>29.6611824123754</v>
      </c>
      <c r="P100" s="190">
        <v>29.2637731474106</v>
      </c>
      <c r="Q100" s="190">
        <v>29.0632621091783</v>
      </c>
      <c r="R100" s="190">
        <v>28.8627510709461</v>
      </c>
      <c r="S100" s="190">
        <v>28.6622400327138</v>
      </c>
      <c r="T100" s="190">
        <v>28.4617289944816</v>
      </c>
      <c r="U100" s="190">
        <v>28.2612179562493</v>
      </c>
      <c r="V100" s="190">
        <v>28.0607069180171</v>
      </c>
      <c r="W100" s="190">
        <v>27.860195879784801</v>
      </c>
      <c r="X100" s="190">
        <v>27.659684841552501</v>
      </c>
      <c r="Y100" s="190">
        <v>27.459173803320301</v>
      </c>
      <c r="Z100" s="190">
        <v>27.258662765088001</v>
      </c>
      <c r="AA100" s="190">
        <v>27.058151726855801</v>
      </c>
      <c r="AB100" s="190">
        <v>26.857640688623501</v>
      </c>
      <c r="AC100" s="190">
        <v>26.657129650391202</v>
      </c>
      <c r="AD100" s="190">
        <v>26.456618612159001</v>
      </c>
      <c r="AE100" s="190">
        <v>26.256107573926698</v>
      </c>
      <c r="AF100" s="190">
        <v>26.055596535694502</v>
      </c>
      <c r="AG100" s="190">
        <v>25.855085497462198</v>
      </c>
      <c r="AH100" s="190">
        <v>25.654574459229998</v>
      </c>
      <c r="AI100" s="190">
        <v>25.454063420997699</v>
      </c>
      <c r="AJ100" s="190">
        <v>25.253552382765399</v>
      </c>
    </row>
    <row r="101" spans="1:36" hidden="1" x14ac:dyDescent="0.35">
      <c r="A101" t="s">
        <v>1482</v>
      </c>
      <c r="B101" s="188" t="s">
        <v>1342</v>
      </c>
      <c r="C101" t="s">
        <v>1350</v>
      </c>
      <c r="D101" s="188">
        <v>30</v>
      </c>
      <c r="E101" t="s">
        <v>1459</v>
      </c>
      <c r="F101" t="s">
        <v>1386</v>
      </c>
      <c r="G101" s="190" t="s">
        <v>1480</v>
      </c>
      <c r="H101" s="190">
        <v>32.443047267129302</v>
      </c>
      <c r="I101" s="190">
        <v>32.251528725812101</v>
      </c>
      <c r="J101" s="190">
        <v>32.060010184494999</v>
      </c>
      <c r="K101" s="190">
        <v>31.868491643177801</v>
      </c>
      <c r="L101" s="190">
        <v>31.6769731018607</v>
      </c>
      <c r="M101" s="190">
        <v>31.485454560543499</v>
      </c>
      <c r="N101" s="190">
        <v>31.2939360192264</v>
      </c>
      <c r="O101" s="190">
        <v>31.102417477909199</v>
      </c>
      <c r="P101" s="190">
        <v>30.910898936592101</v>
      </c>
      <c r="Q101" s="190">
        <v>30.786895313521502</v>
      </c>
      <c r="R101" s="190">
        <v>30.662891690451001</v>
      </c>
      <c r="S101" s="190">
        <v>30.538888067380402</v>
      </c>
      <c r="T101" s="190">
        <v>30.414884444309799</v>
      </c>
      <c r="U101" s="190">
        <v>30.290880821239298</v>
      </c>
      <c r="V101" s="190">
        <v>30.166877198168699</v>
      </c>
      <c r="W101" s="190">
        <v>30.042873575098199</v>
      </c>
      <c r="X101" s="190">
        <v>29.918869952027599</v>
      </c>
      <c r="Y101" s="190">
        <v>29.794866328956999</v>
      </c>
      <c r="Z101" s="190">
        <v>29.670862705886499</v>
      </c>
      <c r="AA101" s="190">
        <v>29.546859082815899</v>
      </c>
      <c r="AB101" s="190">
        <v>29.4228554597453</v>
      </c>
      <c r="AC101" s="190">
        <v>29.2988518366748</v>
      </c>
      <c r="AD101" s="190">
        <v>29.1748482136042</v>
      </c>
      <c r="AE101" s="190">
        <v>29.0508445905337</v>
      </c>
      <c r="AF101" s="190">
        <v>28.9268409674631</v>
      </c>
      <c r="AG101" s="190">
        <v>28.802837344392501</v>
      </c>
      <c r="AH101" s="190">
        <v>28.678833721322</v>
      </c>
      <c r="AI101" s="190">
        <v>28.554830098251401</v>
      </c>
      <c r="AJ101" s="190">
        <v>28.430826475180801</v>
      </c>
    </row>
    <row r="102" spans="1:36" hidden="1" x14ac:dyDescent="0.35">
      <c r="A102" t="s">
        <v>1483</v>
      </c>
      <c r="B102" s="188" t="s">
        <v>1342</v>
      </c>
      <c r="C102" t="s">
        <v>1343</v>
      </c>
      <c r="D102" s="188">
        <v>30</v>
      </c>
      <c r="E102" t="s">
        <v>1459</v>
      </c>
      <c r="F102" t="s">
        <v>1391</v>
      </c>
      <c r="G102" s="190" t="s">
        <v>1484</v>
      </c>
      <c r="H102" s="190">
        <v>32.443047267129302</v>
      </c>
      <c r="I102" s="190">
        <v>31.6769731018607</v>
      </c>
      <c r="J102" s="190">
        <v>30.910898936592101</v>
      </c>
      <c r="K102" s="190">
        <v>30.144824771323499</v>
      </c>
      <c r="L102" s="190">
        <v>29.378750606054901</v>
      </c>
      <c r="M102" s="190">
        <v>28.612676440786402</v>
      </c>
      <c r="N102" s="190">
        <v>27.8466022755178</v>
      </c>
      <c r="O102" s="190">
        <v>27.080528110249201</v>
      </c>
      <c r="P102" s="190">
        <v>26.314453944980599</v>
      </c>
      <c r="Q102" s="190">
        <v>25.818439452698399</v>
      </c>
      <c r="R102" s="190">
        <v>25.3224249604161</v>
      </c>
      <c r="S102" s="190">
        <v>24.826410468133901</v>
      </c>
      <c r="T102" s="190">
        <v>24.330395975851602</v>
      </c>
      <c r="U102" s="190">
        <v>23.834381483569398</v>
      </c>
      <c r="V102" s="190">
        <v>23.338366991287099</v>
      </c>
      <c r="W102" s="190">
        <v>22.8423524990049</v>
      </c>
      <c r="X102" s="190">
        <v>22.346338006722601</v>
      </c>
      <c r="Y102" s="190">
        <v>21.850323514440401</v>
      </c>
      <c r="Z102" s="190">
        <v>21.354309022158098</v>
      </c>
      <c r="AA102" s="190">
        <v>20.858294529875899</v>
      </c>
      <c r="AB102" s="190">
        <v>20.3622800375936</v>
      </c>
      <c r="AC102" s="190">
        <v>19.8662655453114</v>
      </c>
      <c r="AD102" s="190">
        <v>19.370251053029101</v>
      </c>
      <c r="AE102" s="190">
        <v>18.874236560746901</v>
      </c>
      <c r="AF102" s="190">
        <v>18.378222068464598</v>
      </c>
      <c r="AG102" s="190">
        <v>17.882207576182399</v>
      </c>
      <c r="AH102" s="190">
        <v>17.3861930839001</v>
      </c>
      <c r="AI102" s="190">
        <v>16.890178591617801</v>
      </c>
      <c r="AJ102" s="190">
        <v>16.394164099335601</v>
      </c>
    </row>
    <row r="103" spans="1:36" hidden="1" x14ac:dyDescent="0.35">
      <c r="A103" t="s">
        <v>1485</v>
      </c>
      <c r="B103" s="188" t="s">
        <v>1342</v>
      </c>
      <c r="C103" t="s">
        <v>1348</v>
      </c>
      <c r="D103" s="188">
        <v>30</v>
      </c>
      <c r="E103" t="s">
        <v>1459</v>
      </c>
      <c r="F103" t="s">
        <v>1391</v>
      </c>
      <c r="G103" s="190" t="s">
        <v>1484</v>
      </c>
      <c r="H103" s="190">
        <v>32.443047267129302</v>
      </c>
      <c r="I103" s="190">
        <v>32.045638002164402</v>
      </c>
      <c r="J103" s="190">
        <v>31.648228737199599</v>
      </c>
      <c r="K103" s="190">
        <v>31.250819472234799</v>
      </c>
      <c r="L103" s="190">
        <v>30.853410207269899</v>
      </c>
      <c r="M103" s="190">
        <v>30.456000942305099</v>
      </c>
      <c r="N103" s="190">
        <v>30.058591677340299</v>
      </c>
      <c r="O103" s="190">
        <v>29.6611824123754</v>
      </c>
      <c r="P103" s="190">
        <v>29.2637731474106</v>
      </c>
      <c r="Q103" s="190">
        <v>29.0632621091783</v>
      </c>
      <c r="R103" s="190">
        <v>28.8627510709461</v>
      </c>
      <c r="S103" s="190">
        <v>28.6622400327138</v>
      </c>
      <c r="T103" s="190">
        <v>28.4617289944816</v>
      </c>
      <c r="U103" s="190">
        <v>28.2612179562493</v>
      </c>
      <c r="V103" s="190">
        <v>28.0607069180171</v>
      </c>
      <c r="W103" s="190">
        <v>27.860195879784801</v>
      </c>
      <c r="X103" s="190">
        <v>27.659684841552501</v>
      </c>
      <c r="Y103" s="190">
        <v>27.459173803320301</v>
      </c>
      <c r="Z103" s="190">
        <v>27.258662765088001</v>
      </c>
      <c r="AA103" s="190">
        <v>27.058151726855801</v>
      </c>
      <c r="AB103" s="190">
        <v>26.857640688623501</v>
      </c>
      <c r="AC103" s="190">
        <v>26.657129650391202</v>
      </c>
      <c r="AD103" s="190">
        <v>26.456618612159001</v>
      </c>
      <c r="AE103" s="190">
        <v>26.256107573926698</v>
      </c>
      <c r="AF103" s="190">
        <v>26.055596535694502</v>
      </c>
      <c r="AG103" s="190">
        <v>25.855085497462198</v>
      </c>
      <c r="AH103" s="190">
        <v>25.654574459229998</v>
      </c>
      <c r="AI103" s="190">
        <v>25.454063420997699</v>
      </c>
      <c r="AJ103" s="190">
        <v>25.253552382765399</v>
      </c>
    </row>
    <row r="104" spans="1:36" hidden="1" x14ac:dyDescent="0.35">
      <c r="A104" t="s">
        <v>1486</v>
      </c>
      <c r="B104" s="188" t="s">
        <v>1342</v>
      </c>
      <c r="C104" t="s">
        <v>1350</v>
      </c>
      <c r="D104" s="188">
        <v>30</v>
      </c>
      <c r="E104" t="s">
        <v>1459</v>
      </c>
      <c r="F104" t="s">
        <v>1391</v>
      </c>
      <c r="G104" s="190" t="s">
        <v>1484</v>
      </c>
      <c r="H104" s="190">
        <v>32.443047267129302</v>
      </c>
      <c r="I104" s="190">
        <v>32.251528725812101</v>
      </c>
      <c r="J104" s="190">
        <v>32.060010184494999</v>
      </c>
      <c r="K104" s="190">
        <v>31.868491643177801</v>
      </c>
      <c r="L104" s="190">
        <v>31.6769731018607</v>
      </c>
      <c r="M104" s="190">
        <v>31.485454560543499</v>
      </c>
      <c r="N104" s="190">
        <v>31.2939360192264</v>
      </c>
      <c r="O104" s="190">
        <v>31.102417477909199</v>
      </c>
      <c r="P104" s="190">
        <v>30.910898936592101</v>
      </c>
      <c r="Q104" s="190">
        <v>30.786895313521502</v>
      </c>
      <c r="R104" s="190">
        <v>30.662891690451001</v>
      </c>
      <c r="S104" s="190">
        <v>30.538888067380402</v>
      </c>
      <c r="T104" s="190">
        <v>30.414884444309799</v>
      </c>
      <c r="U104" s="190">
        <v>30.290880821239298</v>
      </c>
      <c r="V104" s="190">
        <v>30.166877198168699</v>
      </c>
      <c r="W104" s="190">
        <v>30.042873575098199</v>
      </c>
      <c r="X104" s="190">
        <v>29.918869952027599</v>
      </c>
      <c r="Y104" s="190">
        <v>29.794866328956999</v>
      </c>
      <c r="Z104" s="190">
        <v>29.670862705886499</v>
      </c>
      <c r="AA104" s="190">
        <v>29.546859082815899</v>
      </c>
      <c r="AB104" s="190">
        <v>29.4228554597453</v>
      </c>
      <c r="AC104" s="190">
        <v>29.2988518366748</v>
      </c>
      <c r="AD104" s="190">
        <v>29.1748482136042</v>
      </c>
      <c r="AE104" s="190">
        <v>29.0508445905337</v>
      </c>
      <c r="AF104" s="190">
        <v>28.9268409674631</v>
      </c>
      <c r="AG104" s="190">
        <v>28.802837344392501</v>
      </c>
      <c r="AH104" s="190">
        <v>28.678833721322</v>
      </c>
      <c r="AI104" s="190">
        <v>28.554830098251401</v>
      </c>
      <c r="AJ104" s="190">
        <v>28.430826475180801</v>
      </c>
    </row>
    <row r="105" spans="1:36" hidden="1" x14ac:dyDescent="0.35">
      <c r="A105" t="s">
        <v>1487</v>
      </c>
      <c r="B105" s="188" t="s">
        <v>1342</v>
      </c>
      <c r="C105" t="s">
        <v>1343</v>
      </c>
      <c r="D105" s="188">
        <v>30</v>
      </c>
      <c r="E105" t="s">
        <v>1459</v>
      </c>
      <c r="F105" t="s">
        <v>1357</v>
      </c>
      <c r="G105" s="190" t="s">
        <v>1488</v>
      </c>
      <c r="H105" s="190">
        <v>30.4198728273082</v>
      </c>
      <c r="I105" s="190">
        <v>29.7015716612101</v>
      </c>
      <c r="J105" s="190">
        <v>28.983270495111899</v>
      </c>
      <c r="K105" s="190">
        <v>28.264969329013802</v>
      </c>
      <c r="L105" s="190">
        <v>27.546668162915601</v>
      </c>
      <c r="M105" s="190">
        <v>26.8283669968175</v>
      </c>
      <c r="N105" s="190">
        <v>26.1100658307193</v>
      </c>
      <c r="O105" s="190">
        <v>25.391764664621199</v>
      </c>
      <c r="P105" s="190">
        <v>24.673463498522999</v>
      </c>
      <c r="Q105" s="190">
        <v>24.208380867674801</v>
      </c>
      <c r="R105" s="190">
        <v>23.7432982368267</v>
      </c>
      <c r="S105" s="190">
        <v>23.278215605978499</v>
      </c>
      <c r="T105" s="190">
        <v>22.813132975130301</v>
      </c>
      <c r="U105" s="190">
        <v>22.3480503442822</v>
      </c>
      <c r="V105" s="190">
        <v>21.882967713433999</v>
      </c>
      <c r="W105" s="190">
        <v>21.417885082585801</v>
      </c>
      <c r="X105" s="190">
        <v>20.9528024517377</v>
      </c>
      <c r="Y105" s="190">
        <v>20.487719820889499</v>
      </c>
      <c r="Z105" s="190">
        <v>20.022637190041301</v>
      </c>
      <c r="AA105" s="190">
        <v>19.5575545591931</v>
      </c>
      <c r="AB105" s="190">
        <v>19.092471928344999</v>
      </c>
      <c r="AC105" s="190">
        <v>18.627389297496801</v>
      </c>
      <c r="AD105" s="190">
        <v>18.1623066666486</v>
      </c>
      <c r="AE105" s="190">
        <v>17.697224035800499</v>
      </c>
      <c r="AF105" s="190">
        <v>17.232141404952301</v>
      </c>
      <c r="AG105" s="190">
        <v>16.7670587741041</v>
      </c>
      <c r="AH105" s="190">
        <v>16.301976143255999</v>
      </c>
      <c r="AI105" s="190">
        <v>15.8368935124078</v>
      </c>
      <c r="AJ105" s="190">
        <v>15.3718108815596</v>
      </c>
    </row>
    <row r="106" spans="1:36" hidden="1" x14ac:dyDescent="0.35">
      <c r="A106" t="s">
        <v>1489</v>
      </c>
      <c r="B106" s="188" t="s">
        <v>1342</v>
      </c>
      <c r="C106" t="s">
        <v>1348</v>
      </c>
      <c r="D106" s="188">
        <v>30</v>
      </c>
      <c r="E106" t="s">
        <v>1459</v>
      </c>
      <c r="F106" t="s">
        <v>1357</v>
      </c>
      <c r="G106" s="190" t="s">
        <v>1488</v>
      </c>
      <c r="H106" s="190">
        <v>30.4198728273082</v>
      </c>
      <c r="I106" s="190">
        <v>29.950207332349802</v>
      </c>
      <c r="J106" s="190">
        <v>29.480541837391399</v>
      </c>
      <c r="K106" s="190">
        <v>29.010876342432901</v>
      </c>
      <c r="L106" s="190">
        <v>28.541210847474499</v>
      </c>
      <c r="M106" s="190">
        <v>28.0715453525161</v>
      </c>
      <c r="N106" s="190">
        <v>27.601879857557599</v>
      </c>
      <c r="O106" s="190">
        <v>27.1322143625992</v>
      </c>
      <c r="P106" s="190">
        <v>26.662548867640801</v>
      </c>
      <c r="Q106" s="190">
        <v>26.483714698406601</v>
      </c>
      <c r="R106" s="190">
        <v>26.304880529172401</v>
      </c>
      <c r="S106" s="190">
        <v>26.126046359938201</v>
      </c>
      <c r="T106" s="190">
        <v>25.9472121907041</v>
      </c>
      <c r="U106" s="190">
        <v>25.7683780214699</v>
      </c>
      <c r="V106" s="190">
        <v>25.5895438522357</v>
      </c>
      <c r="W106" s="190">
        <v>25.4107096830015</v>
      </c>
      <c r="X106" s="190">
        <v>25.231875513767399</v>
      </c>
      <c r="Y106" s="190">
        <v>25.053041344533199</v>
      </c>
      <c r="Z106" s="190">
        <v>24.874207175298999</v>
      </c>
      <c r="AA106" s="190">
        <v>24.695373006064798</v>
      </c>
      <c r="AB106" s="190">
        <v>24.516538836830598</v>
      </c>
      <c r="AC106" s="190">
        <v>24.337704667596501</v>
      </c>
      <c r="AD106" s="190">
        <v>24.158870498362301</v>
      </c>
      <c r="AE106" s="190">
        <v>23.980036329128101</v>
      </c>
      <c r="AF106" s="190">
        <v>23.801202159893901</v>
      </c>
      <c r="AG106" s="190">
        <v>23.6223679906598</v>
      </c>
      <c r="AH106" s="190">
        <v>23.4435338214256</v>
      </c>
      <c r="AI106" s="190">
        <v>23.2646996521914</v>
      </c>
      <c r="AJ106" s="190">
        <v>23.0858654829572</v>
      </c>
    </row>
    <row r="107" spans="1:36" hidden="1" x14ac:dyDescent="0.35">
      <c r="A107" t="s">
        <v>1490</v>
      </c>
      <c r="B107" s="188" t="s">
        <v>1342</v>
      </c>
      <c r="C107" t="s">
        <v>1350</v>
      </c>
      <c r="D107" s="188">
        <v>30</v>
      </c>
      <c r="E107" t="s">
        <v>1459</v>
      </c>
      <c r="F107" t="s">
        <v>1357</v>
      </c>
      <c r="G107" s="190" t="s">
        <v>1488</v>
      </c>
      <c r="H107" s="190">
        <v>30.4198728273082</v>
      </c>
      <c r="I107" s="190">
        <v>30.2402975357837</v>
      </c>
      <c r="J107" s="190">
        <v>30.0607222442592</v>
      </c>
      <c r="K107" s="190">
        <v>29.8811469527346</v>
      </c>
      <c r="L107" s="190">
        <v>29.7015716612101</v>
      </c>
      <c r="M107" s="190">
        <v>29.5219963696855</v>
      </c>
      <c r="N107" s="190">
        <v>29.342421078160999</v>
      </c>
      <c r="O107" s="190">
        <v>29.162845786636499</v>
      </c>
      <c r="P107" s="190">
        <v>28.983270495111899</v>
      </c>
      <c r="Q107" s="190">
        <v>28.866999837399899</v>
      </c>
      <c r="R107" s="190">
        <v>28.750729179687799</v>
      </c>
      <c r="S107" s="190">
        <v>28.634458521975802</v>
      </c>
      <c r="T107" s="190">
        <v>28.518187864263801</v>
      </c>
      <c r="U107" s="190">
        <v>28.401917206551701</v>
      </c>
      <c r="V107" s="190">
        <v>28.285646548839701</v>
      </c>
      <c r="W107" s="190">
        <v>28.169375891127601</v>
      </c>
      <c r="X107" s="190">
        <v>28.0531052334156</v>
      </c>
      <c r="Y107" s="190">
        <v>27.9368345757035</v>
      </c>
      <c r="Z107" s="190">
        <v>27.8205639179915</v>
      </c>
      <c r="AA107" s="190">
        <v>27.704293260279499</v>
      </c>
      <c r="AB107" s="190">
        <v>27.588022602567399</v>
      </c>
      <c r="AC107" s="190">
        <v>27.471751944855399</v>
      </c>
      <c r="AD107" s="190">
        <v>27.355481287143299</v>
      </c>
      <c r="AE107" s="190">
        <v>27.239210629431302</v>
      </c>
      <c r="AF107" s="190">
        <v>27.122939971719202</v>
      </c>
      <c r="AG107" s="190">
        <v>27.006669314007201</v>
      </c>
      <c r="AH107" s="190">
        <v>26.890398656295201</v>
      </c>
      <c r="AI107" s="190">
        <v>26.774127998583101</v>
      </c>
      <c r="AJ107" s="190">
        <v>26.6578573408711</v>
      </c>
    </row>
    <row r="108" spans="1:36" hidden="1" x14ac:dyDescent="0.35">
      <c r="A108" t="s">
        <v>1491</v>
      </c>
      <c r="B108" s="188" t="s">
        <v>1342</v>
      </c>
      <c r="C108" t="s">
        <v>1343</v>
      </c>
      <c r="D108" s="188">
        <v>30</v>
      </c>
      <c r="E108" t="s">
        <v>1459</v>
      </c>
      <c r="F108" t="s">
        <v>1400</v>
      </c>
      <c r="G108" s="190" t="s">
        <v>1492</v>
      </c>
      <c r="H108" s="190">
        <v>41.222179211352497</v>
      </c>
      <c r="I108" s="190">
        <v>40.248804353255103</v>
      </c>
      <c r="J108" s="190">
        <v>39.275429495157702</v>
      </c>
      <c r="K108" s="190">
        <v>38.302054637060301</v>
      </c>
      <c r="L108" s="190">
        <v>37.328679778962901</v>
      </c>
      <c r="M108" s="190">
        <v>36.3553049208655</v>
      </c>
      <c r="N108" s="190">
        <v>35.381930062768198</v>
      </c>
      <c r="O108" s="190">
        <v>34.408555204670797</v>
      </c>
      <c r="P108" s="190">
        <v>33.435180346573397</v>
      </c>
      <c r="Q108" s="190">
        <v>32.804943669853998</v>
      </c>
      <c r="R108" s="190">
        <v>32.1747069931345</v>
      </c>
      <c r="S108" s="190">
        <v>31.544470316415101</v>
      </c>
      <c r="T108" s="190">
        <v>30.914233639695698</v>
      </c>
      <c r="U108" s="190">
        <v>30.2839969629762</v>
      </c>
      <c r="V108" s="190">
        <v>29.653760286256801</v>
      </c>
      <c r="W108" s="190">
        <v>29.023523609537399</v>
      </c>
      <c r="X108" s="190">
        <v>28.393286932818</v>
      </c>
      <c r="Y108" s="190">
        <v>27.763050256098499</v>
      </c>
      <c r="Z108" s="190">
        <v>27.1328135793791</v>
      </c>
      <c r="AA108" s="190">
        <v>26.502576902659701</v>
      </c>
      <c r="AB108" s="190">
        <v>25.872340225940199</v>
      </c>
      <c r="AC108" s="190">
        <v>25.242103549220801</v>
      </c>
      <c r="AD108" s="190">
        <v>24.611866872501398</v>
      </c>
      <c r="AE108" s="190">
        <v>23.9816301957819</v>
      </c>
      <c r="AF108" s="190">
        <v>23.351393519062501</v>
      </c>
      <c r="AG108" s="190">
        <v>22.721156842343099</v>
      </c>
      <c r="AH108" s="190">
        <v>22.090920165623601</v>
      </c>
      <c r="AI108" s="190">
        <v>21.460683488904198</v>
      </c>
      <c r="AJ108" s="190">
        <v>20.8304468121848</v>
      </c>
    </row>
    <row r="109" spans="1:36" hidden="1" x14ac:dyDescent="0.35">
      <c r="A109" t="s">
        <v>1493</v>
      </c>
      <c r="B109" s="188" t="s">
        <v>1342</v>
      </c>
      <c r="C109" t="s">
        <v>1348</v>
      </c>
      <c r="D109" s="188">
        <v>30</v>
      </c>
      <c r="E109" t="s">
        <v>1459</v>
      </c>
      <c r="F109" t="s">
        <v>1400</v>
      </c>
      <c r="G109" s="190" t="s">
        <v>1492</v>
      </c>
      <c r="H109" s="190">
        <v>41.222179211352497</v>
      </c>
      <c r="I109" s="190">
        <v>40.824769946387597</v>
      </c>
      <c r="J109" s="190">
        <v>40.427360681422797</v>
      </c>
      <c r="K109" s="190">
        <v>40.029951416457997</v>
      </c>
      <c r="L109" s="190">
        <v>39.632542151493098</v>
      </c>
      <c r="M109" s="190">
        <v>39.235132886528298</v>
      </c>
      <c r="N109" s="190">
        <v>38.837723621563498</v>
      </c>
      <c r="O109" s="190">
        <v>38.440314356598599</v>
      </c>
      <c r="P109" s="190">
        <v>38.042905091633799</v>
      </c>
      <c r="Q109" s="190">
        <v>37.7448481429102</v>
      </c>
      <c r="R109" s="190">
        <v>37.446791194186503</v>
      </c>
      <c r="S109" s="190">
        <v>37.148734245462897</v>
      </c>
      <c r="T109" s="190">
        <v>36.850677296739299</v>
      </c>
      <c r="U109" s="190">
        <v>36.552620348015701</v>
      </c>
      <c r="V109" s="190">
        <v>36.254563399292003</v>
      </c>
      <c r="W109" s="190">
        <v>35.956506450568398</v>
      </c>
      <c r="X109" s="190">
        <v>35.6584495018448</v>
      </c>
      <c r="Y109" s="190">
        <v>35.360392553121201</v>
      </c>
      <c r="Z109" s="190">
        <v>35.062335604397497</v>
      </c>
      <c r="AA109" s="190">
        <v>34.764278655673898</v>
      </c>
      <c r="AB109" s="190">
        <v>34.4662217069503</v>
      </c>
      <c r="AC109" s="190">
        <v>34.168164758226602</v>
      </c>
      <c r="AD109" s="190">
        <v>33.870107809502997</v>
      </c>
      <c r="AE109" s="190">
        <v>33.572050860779399</v>
      </c>
      <c r="AF109" s="190">
        <v>33.273993912055801</v>
      </c>
      <c r="AG109" s="190">
        <v>32.975936963332103</v>
      </c>
      <c r="AH109" s="190">
        <v>32.677880014608498</v>
      </c>
      <c r="AI109" s="190">
        <v>32.379823065884899</v>
      </c>
      <c r="AJ109" s="190">
        <v>32.081766117161301</v>
      </c>
    </row>
    <row r="110" spans="1:36" hidden="1" x14ac:dyDescent="0.35">
      <c r="A110" t="s">
        <v>1494</v>
      </c>
      <c r="B110" s="188" t="s">
        <v>1342</v>
      </c>
      <c r="C110" t="s">
        <v>1350</v>
      </c>
      <c r="D110" s="188">
        <v>30</v>
      </c>
      <c r="E110" t="s">
        <v>1459</v>
      </c>
      <c r="F110" t="s">
        <v>1400</v>
      </c>
      <c r="G110" s="190" t="s">
        <v>1492</v>
      </c>
      <c r="H110" s="190">
        <v>41.222179211352497</v>
      </c>
      <c r="I110" s="190">
        <v>40.978835496828097</v>
      </c>
      <c r="J110" s="190">
        <v>40.735491782303797</v>
      </c>
      <c r="K110" s="190">
        <v>40.492148067779397</v>
      </c>
      <c r="L110" s="190">
        <v>40.248804353255103</v>
      </c>
      <c r="M110" s="190">
        <v>40.005460638730703</v>
      </c>
      <c r="N110" s="190">
        <v>39.762116924206403</v>
      </c>
      <c r="O110" s="190">
        <v>39.518773209682003</v>
      </c>
      <c r="P110" s="190">
        <v>39.275429495157702</v>
      </c>
      <c r="Q110" s="190">
        <v>39.117870325977798</v>
      </c>
      <c r="R110" s="190">
        <v>38.960311156797999</v>
      </c>
      <c r="S110" s="190">
        <v>38.802751987618102</v>
      </c>
      <c r="T110" s="190">
        <v>38.645192818438296</v>
      </c>
      <c r="U110" s="190">
        <v>38.487633649258399</v>
      </c>
      <c r="V110" s="190">
        <v>38.330074480078501</v>
      </c>
      <c r="W110" s="190">
        <v>38.172515310898703</v>
      </c>
      <c r="X110" s="190">
        <v>38.014956141718798</v>
      </c>
      <c r="Y110" s="190">
        <v>37.857396972539</v>
      </c>
      <c r="Z110" s="190">
        <v>37.699837803359102</v>
      </c>
      <c r="AA110" s="190">
        <v>37.542278634179297</v>
      </c>
      <c r="AB110" s="190">
        <v>37.384719464999399</v>
      </c>
      <c r="AC110" s="190">
        <v>37.227160295819502</v>
      </c>
      <c r="AD110" s="190">
        <v>37.069601126639697</v>
      </c>
      <c r="AE110" s="190">
        <v>36.912041957459799</v>
      </c>
      <c r="AF110" s="190">
        <v>36.754482788280001</v>
      </c>
      <c r="AG110" s="190">
        <v>36.596923619100103</v>
      </c>
      <c r="AH110" s="190">
        <v>36.439364449920298</v>
      </c>
      <c r="AI110" s="190">
        <v>36.2818052807404</v>
      </c>
      <c r="AJ110" s="190">
        <v>36.124246111560502</v>
      </c>
    </row>
    <row r="111" spans="1:36" hidden="1" x14ac:dyDescent="0.35">
      <c r="A111" t="s">
        <v>1495</v>
      </c>
      <c r="B111" s="188" t="s">
        <v>1342</v>
      </c>
      <c r="C111" t="s">
        <v>1343</v>
      </c>
      <c r="D111" s="188">
        <v>30</v>
      </c>
      <c r="E111" t="s">
        <v>1459</v>
      </c>
      <c r="F111" t="s">
        <v>1405</v>
      </c>
      <c r="G111" s="190" t="s">
        <v>1496</v>
      </c>
      <c r="H111" s="190">
        <v>32.443047267129302</v>
      </c>
      <c r="I111" s="190">
        <v>31.6769731018607</v>
      </c>
      <c r="J111" s="190">
        <v>30.910898936592101</v>
      </c>
      <c r="K111" s="190">
        <v>30.144824771323499</v>
      </c>
      <c r="L111" s="190">
        <v>29.378750606054901</v>
      </c>
      <c r="M111" s="190">
        <v>28.612676440786402</v>
      </c>
      <c r="N111" s="190">
        <v>27.8466022755178</v>
      </c>
      <c r="O111" s="190">
        <v>27.080528110249201</v>
      </c>
      <c r="P111" s="190">
        <v>26.314453944980599</v>
      </c>
      <c r="Q111" s="190">
        <v>25.818439452698399</v>
      </c>
      <c r="R111" s="190">
        <v>25.3224249604161</v>
      </c>
      <c r="S111" s="190">
        <v>24.826410468133901</v>
      </c>
      <c r="T111" s="190">
        <v>24.330395975851602</v>
      </c>
      <c r="U111" s="190">
        <v>23.834381483569398</v>
      </c>
      <c r="V111" s="190">
        <v>23.338366991287099</v>
      </c>
      <c r="W111" s="190">
        <v>22.8423524990049</v>
      </c>
      <c r="X111" s="190">
        <v>22.346338006722601</v>
      </c>
      <c r="Y111" s="190">
        <v>21.850323514440401</v>
      </c>
      <c r="Z111" s="190">
        <v>21.354309022158098</v>
      </c>
      <c r="AA111" s="190">
        <v>20.858294529875899</v>
      </c>
      <c r="AB111" s="190">
        <v>20.3622800375936</v>
      </c>
      <c r="AC111" s="190">
        <v>19.8662655453114</v>
      </c>
      <c r="AD111" s="190">
        <v>19.370251053029101</v>
      </c>
      <c r="AE111" s="190">
        <v>18.874236560746901</v>
      </c>
      <c r="AF111" s="190">
        <v>18.378222068464598</v>
      </c>
      <c r="AG111" s="190">
        <v>17.882207576182399</v>
      </c>
      <c r="AH111" s="190">
        <v>17.3861930839001</v>
      </c>
      <c r="AI111" s="190">
        <v>16.890178591617801</v>
      </c>
      <c r="AJ111" s="190">
        <v>16.394164099335601</v>
      </c>
    </row>
    <row r="112" spans="1:36" hidden="1" x14ac:dyDescent="0.35">
      <c r="A112" t="s">
        <v>1497</v>
      </c>
      <c r="B112" s="188" t="s">
        <v>1342</v>
      </c>
      <c r="C112" t="s">
        <v>1348</v>
      </c>
      <c r="D112" s="188">
        <v>30</v>
      </c>
      <c r="E112" t="s">
        <v>1459</v>
      </c>
      <c r="F112" t="s">
        <v>1405</v>
      </c>
      <c r="G112" s="190" t="s">
        <v>1496</v>
      </c>
      <c r="H112" s="190">
        <v>32.443047267129302</v>
      </c>
      <c r="I112" s="190">
        <v>32.045638002164402</v>
      </c>
      <c r="J112" s="190">
        <v>31.648228737199599</v>
      </c>
      <c r="K112" s="190">
        <v>31.250819472234799</v>
      </c>
      <c r="L112" s="190">
        <v>30.853410207269899</v>
      </c>
      <c r="M112" s="190">
        <v>30.456000942305099</v>
      </c>
      <c r="N112" s="190">
        <v>30.058591677340299</v>
      </c>
      <c r="O112" s="190">
        <v>29.6611824123754</v>
      </c>
      <c r="P112" s="190">
        <v>29.2637731474106</v>
      </c>
      <c r="Q112" s="190">
        <v>29.0632621091783</v>
      </c>
      <c r="R112" s="190">
        <v>28.8627510709461</v>
      </c>
      <c r="S112" s="190">
        <v>28.6622400327138</v>
      </c>
      <c r="T112" s="190">
        <v>28.4617289944816</v>
      </c>
      <c r="U112" s="190">
        <v>28.2612179562493</v>
      </c>
      <c r="V112" s="190">
        <v>28.0607069180171</v>
      </c>
      <c r="W112" s="190">
        <v>27.860195879784801</v>
      </c>
      <c r="X112" s="190">
        <v>27.659684841552501</v>
      </c>
      <c r="Y112" s="190">
        <v>27.459173803320301</v>
      </c>
      <c r="Z112" s="190">
        <v>27.258662765088001</v>
      </c>
      <c r="AA112" s="190">
        <v>27.058151726855801</v>
      </c>
      <c r="AB112" s="190">
        <v>26.857640688623501</v>
      </c>
      <c r="AC112" s="190">
        <v>26.657129650391202</v>
      </c>
      <c r="AD112" s="190">
        <v>26.456618612159001</v>
      </c>
      <c r="AE112" s="190">
        <v>26.256107573926698</v>
      </c>
      <c r="AF112" s="190">
        <v>26.055596535694502</v>
      </c>
      <c r="AG112" s="190">
        <v>25.855085497462198</v>
      </c>
      <c r="AH112" s="190">
        <v>25.654574459229998</v>
      </c>
      <c r="AI112" s="190">
        <v>25.454063420997699</v>
      </c>
      <c r="AJ112" s="190">
        <v>25.253552382765399</v>
      </c>
    </row>
    <row r="113" spans="1:36" hidden="1" x14ac:dyDescent="0.35">
      <c r="A113" t="s">
        <v>1498</v>
      </c>
      <c r="B113" s="188" t="s">
        <v>1342</v>
      </c>
      <c r="C113" t="s">
        <v>1350</v>
      </c>
      <c r="D113" s="188">
        <v>30</v>
      </c>
      <c r="E113" t="s">
        <v>1459</v>
      </c>
      <c r="F113" t="s">
        <v>1405</v>
      </c>
      <c r="G113" s="190" t="s">
        <v>1496</v>
      </c>
      <c r="H113" s="190">
        <v>32.443047267129302</v>
      </c>
      <c r="I113" s="190">
        <v>32.251528725812101</v>
      </c>
      <c r="J113" s="190">
        <v>32.060010184494999</v>
      </c>
      <c r="K113" s="190">
        <v>31.868491643177801</v>
      </c>
      <c r="L113" s="190">
        <v>31.6769731018607</v>
      </c>
      <c r="M113" s="190">
        <v>31.485454560543499</v>
      </c>
      <c r="N113" s="190">
        <v>31.2939360192264</v>
      </c>
      <c r="O113" s="190">
        <v>31.102417477909199</v>
      </c>
      <c r="P113" s="190">
        <v>30.910898936592101</v>
      </c>
      <c r="Q113" s="190">
        <v>30.786895313521502</v>
      </c>
      <c r="R113" s="190">
        <v>30.662891690451001</v>
      </c>
      <c r="S113" s="190">
        <v>30.538888067380402</v>
      </c>
      <c r="T113" s="190">
        <v>30.414884444309799</v>
      </c>
      <c r="U113" s="190">
        <v>30.290880821239298</v>
      </c>
      <c r="V113" s="190">
        <v>30.166877198168699</v>
      </c>
      <c r="W113" s="190">
        <v>30.042873575098199</v>
      </c>
      <c r="X113" s="190">
        <v>29.918869952027599</v>
      </c>
      <c r="Y113" s="190">
        <v>29.794866328956999</v>
      </c>
      <c r="Z113" s="190">
        <v>29.670862705886499</v>
      </c>
      <c r="AA113" s="190">
        <v>29.546859082815899</v>
      </c>
      <c r="AB113" s="190">
        <v>29.4228554597453</v>
      </c>
      <c r="AC113" s="190">
        <v>29.2988518366748</v>
      </c>
      <c r="AD113" s="190">
        <v>29.1748482136042</v>
      </c>
      <c r="AE113" s="190">
        <v>29.0508445905337</v>
      </c>
      <c r="AF113" s="190">
        <v>28.9268409674631</v>
      </c>
      <c r="AG113" s="190">
        <v>28.802837344392501</v>
      </c>
      <c r="AH113" s="190">
        <v>28.678833721322</v>
      </c>
      <c r="AI113" s="190">
        <v>28.554830098251401</v>
      </c>
      <c r="AJ113" s="190">
        <v>28.430826475180801</v>
      </c>
    </row>
    <row r="114" spans="1:36" hidden="1" x14ac:dyDescent="0.35">
      <c r="A114" t="s">
        <v>1499</v>
      </c>
      <c r="B114" s="188" t="s">
        <v>1342</v>
      </c>
      <c r="C114" t="s">
        <v>1343</v>
      </c>
      <c r="D114" s="188">
        <v>30</v>
      </c>
      <c r="E114" t="s">
        <v>1500</v>
      </c>
      <c r="F114" t="s">
        <v>1501</v>
      </c>
      <c r="G114" s="189" t="s">
        <v>1502</v>
      </c>
      <c r="H114" s="190">
        <v>39.259987199999998</v>
      </c>
      <c r="I114" s="190">
        <v>39.101680799999997</v>
      </c>
      <c r="J114" s="190">
        <v>38.943374399999996</v>
      </c>
      <c r="K114" s="190">
        <v>38.785067999999995</v>
      </c>
      <c r="L114" s="190">
        <v>38.626761599999995</v>
      </c>
      <c r="M114" s="190">
        <v>38.468455199999994</v>
      </c>
      <c r="N114" s="190">
        <v>38.3101488</v>
      </c>
      <c r="O114" s="190">
        <v>38.1518424</v>
      </c>
      <c r="P114" s="190">
        <v>37.993535999999999</v>
      </c>
      <c r="Q114" s="190">
        <v>37.874806199999995</v>
      </c>
      <c r="R114" s="190">
        <v>37.756076400000005</v>
      </c>
      <c r="S114" s="190">
        <v>37.637346600000001</v>
      </c>
      <c r="T114" s="190">
        <v>37.518616800000011</v>
      </c>
      <c r="U114" s="190">
        <v>37.399887000000014</v>
      </c>
      <c r="V114" s="190">
        <v>37.28115720000001</v>
      </c>
      <c r="W114" s="190">
        <v>37.16242740000002</v>
      </c>
      <c r="X114" s="190">
        <v>37.043697600000016</v>
      </c>
      <c r="Y114" s="190">
        <v>36.924967800000026</v>
      </c>
      <c r="Z114" s="190">
        <v>36.806238000000029</v>
      </c>
      <c r="AA114" s="190">
        <v>36.687508200000032</v>
      </c>
      <c r="AB114" s="190">
        <v>36.568778400000035</v>
      </c>
      <c r="AC114" s="190">
        <v>36.450048600000038</v>
      </c>
      <c r="AD114" s="190">
        <v>36.331318800000041</v>
      </c>
      <c r="AE114" s="190">
        <v>36.212589000000051</v>
      </c>
      <c r="AF114" s="190">
        <v>36.093859200000047</v>
      </c>
      <c r="AG114" s="190">
        <v>35.97512940000005</v>
      </c>
      <c r="AH114" s="190">
        <v>35.856399600000046</v>
      </c>
      <c r="AI114" s="190">
        <v>35.737669800000049</v>
      </c>
      <c r="AJ114" s="190">
        <v>35.618940000000045</v>
      </c>
    </row>
    <row r="115" spans="1:36" hidden="1" x14ac:dyDescent="0.35">
      <c r="A115" t="s">
        <v>1503</v>
      </c>
      <c r="B115" s="188" t="s">
        <v>1342</v>
      </c>
      <c r="C115" t="s">
        <v>1348</v>
      </c>
      <c r="D115" s="188">
        <v>30</v>
      </c>
      <c r="E115" t="s">
        <v>1500</v>
      </c>
      <c r="F115" t="s">
        <v>1501</v>
      </c>
      <c r="G115" s="189" t="s">
        <v>1502</v>
      </c>
      <c r="H115" s="190">
        <v>39.259987199999998</v>
      </c>
      <c r="I115" s="190">
        <v>39.101680799999997</v>
      </c>
      <c r="J115" s="190">
        <v>38.943374399999996</v>
      </c>
      <c r="K115" s="190">
        <v>38.785067999999995</v>
      </c>
      <c r="L115" s="190">
        <v>38.626761599999995</v>
      </c>
      <c r="M115" s="190">
        <v>38.468455199999994</v>
      </c>
      <c r="N115" s="190">
        <v>38.3101488</v>
      </c>
      <c r="O115" s="190">
        <v>38.1518424</v>
      </c>
      <c r="P115" s="190">
        <v>37.993535999999999</v>
      </c>
      <c r="Q115" s="190">
        <v>37.874806199999995</v>
      </c>
      <c r="R115" s="190">
        <v>37.756076400000005</v>
      </c>
      <c r="S115" s="190">
        <v>37.637346600000001</v>
      </c>
      <c r="T115" s="190">
        <v>37.518616800000011</v>
      </c>
      <c r="U115" s="190">
        <v>37.399887000000014</v>
      </c>
      <c r="V115" s="190">
        <v>37.28115720000001</v>
      </c>
      <c r="W115" s="190">
        <v>37.16242740000002</v>
      </c>
      <c r="X115" s="190">
        <v>37.043697600000016</v>
      </c>
      <c r="Y115" s="190">
        <v>36.924967800000026</v>
      </c>
      <c r="Z115" s="190">
        <v>36.806238000000029</v>
      </c>
      <c r="AA115" s="190">
        <v>36.687508200000032</v>
      </c>
      <c r="AB115" s="190">
        <v>36.568778400000035</v>
      </c>
      <c r="AC115" s="190">
        <v>36.450048600000038</v>
      </c>
      <c r="AD115" s="190">
        <v>36.331318800000041</v>
      </c>
      <c r="AE115" s="190">
        <v>36.212589000000051</v>
      </c>
      <c r="AF115" s="190">
        <v>36.093859200000047</v>
      </c>
      <c r="AG115" s="190">
        <v>35.97512940000005</v>
      </c>
      <c r="AH115" s="190">
        <v>35.856399600000046</v>
      </c>
      <c r="AI115" s="190">
        <v>35.737669800000049</v>
      </c>
      <c r="AJ115" s="190">
        <v>35.618940000000045</v>
      </c>
    </row>
    <row r="116" spans="1:36" hidden="1" x14ac:dyDescent="0.35">
      <c r="A116" t="s">
        <v>1504</v>
      </c>
      <c r="B116" s="188" t="s">
        <v>1342</v>
      </c>
      <c r="C116" t="s">
        <v>1350</v>
      </c>
      <c r="D116" s="188">
        <v>30</v>
      </c>
      <c r="E116" t="s">
        <v>1500</v>
      </c>
      <c r="F116" t="s">
        <v>1501</v>
      </c>
      <c r="G116" s="189" t="s">
        <v>1502</v>
      </c>
      <c r="H116" s="190">
        <v>39.259987199999998</v>
      </c>
      <c r="I116" s="190">
        <v>39.101680799999997</v>
      </c>
      <c r="J116" s="190">
        <v>38.943374399999996</v>
      </c>
      <c r="K116" s="190">
        <v>38.785067999999995</v>
      </c>
      <c r="L116" s="190">
        <v>38.626761599999995</v>
      </c>
      <c r="M116" s="190">
        <v>38.468455199999994</v>
      </c>
      <c r="N116" s="190">
        <v>38.3101488</v>
      </c>
      <c r="O116" s="190">
        <v>38.1518424</v>
      </c>
      <c r="P116" s="190">
        <v>37.993535999999999</v>
      </c>
      <c r="Q116" s="190">
        <v>37.874806199999995</v>
      </c>
      <c r="R116" s="190">
        <v>37.756076400000005</v>
      </c>
      <c r="S116" s="190">
        <v>37.637346600000001</v>
      </c>
      <c r="T116" s="190">
        <v>37.518616800000011</v>
      </c>
      <c r="U116" s="190">
        <v>37.399887000000014</v>
      </c>
      <c r="V116" s="190">
        <v>37.28115720000001</v>
      </c>
      <c r="W116" s="190">
        <v>37.16242740000002</v>
      </c>
      <c r="X116" s="190">
        <v>37.043697600000016</v>
      </c>
      <c r="Y116" s="190">
        <v>36.924967800000026</v>
      </c>
      <c r="Z116" s="190">
        <v>36.806238000000029</v>
      </c>
      <c r="AA116" s="190">
        <v>36.687508200000032</v>
      </c>
      <c r="AB116" s="190">
        <v>36.568778400000035</v>
      </c>
      <c r="AC116" s="190">
        <v>36.450048600000038</v>
      </c>
      <c r="AD116" s="190">
        <v>36.331318800000041</v>
      </c>
      <c r="AE116" s="190">
        <v>36.212589000000051</v>
      </c>
      <c r="AF116" s="190">
        <v>36.093859200000047</v>
      </c>
      <c r="AG116" s="190">
        <v>35.97512940000005</v>
      </c>
      <c r="AH116" s="190">
        <v>35.856399600000046</v>
      </c>
      <c r="AI116" s="190">
        <v>35.737669800000049</v>
      </c>
      <c r="AJ116" s="190">
        <v>35.618940000000045</v>
      </c>
    </row>
    <row r="117" spans="1:36" hidden="1" x14ac:dyDescent="0.35">
      <c r="A117" t="s">
        <v>1505</v>
      </c>
      <c r="B117" s="188" t="s">
        <v>1342</v>
      </c>
      <c r="C117" t="s">
        <v>1343</v>
      </c>
      <c r="D117" s="188">
        <v>30</v>
      </c>
      <c r="E117" t="s">
        <v>1500</v>
      </c>
      <c r="F117" t="s">
        <v>1506</v>
      </c>
      <c r="G117" s="189" t="s">
        <v>1507</v>
      </c>
      <c r="H117" s="190">
        <v>39.259987199999998</v>
      </c>
      <c r="I117" s="190">
        <v>39.101680799999997</v>
      </c>
      <c r="J117" s="190">
        <v>38.943374399999996</v>
      </c>
      <c r="K117" s="190">
        <v>38.785067999999995</v>
      </c>
      <c r="L117" s="190">
        <v>38.626761599999995</v>
      </c>
      <c r="M117" s="190">
        <v>38.468455199999994</v>
      </c>
      <c r="N117" s="190">
        <v>38.3101488</v>
      </c>
      <c r="O117" s="190">
        <v>38.1518424</v>
      </c>
      <c r="P117" s="190">
        <v>37.993535999999999</v>
      </c>
      <c r="Q117" s="190">
        <v>37.874806199999995</v>
      </c>
      <c r="R117" s="190">
        <v>37.756076400000005</v>
      </c>
      <c r="S117" s="190">
        <v>37.637346600000001</v>
      </c>
      <c r="T117" s="190">
        <v>37.518616800000011</v>
      </c>
      <c r="U117" s="190">
        <v>37.399887000000014</v>
      </c>
      <c r="V117" s="190">
        <v>37.28115720000001</v>
      </c>
      <c r="W117" s="190">
        <v>37.16242740000002</v>
      </c>
      <c r="X117" s="190">
        <v>37.043697600000016</v>
      </c>
      <c r="Y117" s="190">
        <v>36.924967800000026</v>
      </c>
      <c r="Z117" s="190">
        <v>36.806238000000029</v>
      </c>
      <c r="AA117" s="190">
        <v>36.687508200000032</v>
      </c>
      <c r="AB117" s="190">
        <v>36.568778400000035</v>
      </c>
      <c r="AC117" s="190">
        <v>36.450048600000038</v>
      </c>
      <c r="AD117" s="190">
        <v>36.331318800000041</v>
      </c>
      <c r="AE117" s="190">
        <v>36.212589000000051</v>
      </c>
      <c r="AF117" s="190">
        <v>36.093859200000047</v>
      </c>
      <c r="AG117" s="190">
        <v>35.97512940000005</v>
      </c>
      <c r="AH117" s="190">
        <v>35.856399600000046</v>
      </c>
      <c r="AI117" s="190">
        <v>35.737669800000049</v>
      </c>
      <c r="AJ117" s="190">
        <v>35.618940000000045</v>
      </c>
    </row>
    <row r="118" spans="1:36" hidden="1" x14ac:dyDescent="0.35">
      <c r="A118" t="s">
        <v>1508</v>
      </c>
      <c r="B118" s="188" t="s">
        <v>1342</v>
      </c>
      <c r="C118" t="s">
        <v>1348</v>
      </c>
      <c r="D118" s="188">
        <v>30</v>
      </c>
      <c r="E118" t="s">
        <v>1500</v>
      </c>
      <c r="F118" t="s">
        <v>1506</v>
      </c>
      <c r="G118" s="189" t="s">
        <v>1507</v>
      </c>
      <c r="H118" s="190">
        <v>39.259987199999998</v>
      </c>
      <c r="I118" s="190">
        <v>39.101680799999997</v>
      </c>
      <c r="J118" s="190">
        <v>38.943374399999996</v>
      </c>
      <c r="K118" s="190">
        <v>38.785067999999995</v>
      </c>
      <c r="L118" s="190">
        <v>38.626761599999995</v>
      </c>
      <c r="M118" s="190">
        <v>38.468455199999994</v>
      </c>
      <c r="N118" s="190">
        <v>38.3101488</v>
      </c>
      <c r="O118" s="190">
        <v>38.1518424</v>
      </c>
      <c r="P118" s="190">
        <v>37.993535999999999</v>
      </c>
      <c r="Q118" s="190">
        <v>37.874806199999995</v>
      </c>
      <c r="R118" s="190">
        <v>37.756076400000005</v>
      </c>
      <c r="S118" s="190">
        <v>37.637346600000001</v>
      </c>
      <c r="T118" s="190">
        <v>37.518616800000011</v>
      </c>
      <c r="U118" s="190">
        <v>37.399887000000014</v>
      </c>
      <c r="V118" s="190">
        <v>37.28115720000001</v>
      </c>
      <c r="W118" s="190">
        <v>37.16242740000002</v>
      </c>
      <c r="X118" s="190">
        <v>37.043697600000016</v>
      </c>
      <c r="Y118" s="190">
        <v>36.924967800000026</v>
      </c>
      <c r="Z118" s="190">
        <v>36.806238000000029</v>
      </c>
      <c r="AA118" s="190">
        <v>36.687508200000032</v>
      </c>
      <c r="AB118" s="190">
        <v>36.568778400000035</v>
      </c>
      <c r="AC118" s="190">
        <v>36.450048600000038</v>
      </c>
      <c r="AD118" s="190">
        <v>36.331318800000041</v>
      </c>
      <c r="AE118" s="190">
        <v>36.212589000000051</v>
      </c>
      <c r="AF118" s="190">
        <v>36.093859200000047</v>
      </c>
      <c r="AG118" s="190">
        <v>35.97512940000005</v>
      </c>
      <c r="AH118" s="190">
        <v>35.856399600000046</v>
      </c>
      <c r="AI118" s="190">
        <v>35.737669800000049</v>
      </c>
      <c r="AJ118" s="190">
        <v>35.618940000000045</v>
      </c>
    </row>
    <row r="119" spans="1:36" hidden="1" x14ac:dyDescent="0.35">
      <c r="A119" t="s">
        <v>1509</v>
      </c>
      <c r="B119" s="188" t="s">
        <v>1342</v>
      </c>
      <c r="C119" t="s">
        <v>1350</v>
      </c>
      <c r="D119" s="188">
        <v>30</v>
      </c>
      <c r="E119" t="s">
        <v>1500</v>
      </c>
      <c r="F119" t="s">
        <v>1506</v>
      </c>
      <c r="G119" s="189" t="s">
        <v>1507</v>
      </c>
      <c r="H119" s="190">
        <v>39.259987199999998</v>
      </c>
      <c r="I119" s="190">
        <v>39.101680799999997</v>
      </c>
      <c r="J119" s="190">
        <v>38.943374399999996</v>
      </c>
      <c r="K119" s="190">
        <v>38.785067999999995</v>
      </c>
      <c r="L119" s="190">
        <v>38.626761599999995</v>
      </c>
      <c r="M119" s="190">
        <v>38.468455199999994</v>
      </c>
      <c r="N119" s="190">
        <v>38.3101488</v>
      </c>
      <c r="O119" s="190">
        <v>38.1518424</v>
      </c>
      <c r="P119" s="190">
        <v>37.993535999999999</v>
      </c>
      <c r="Q119" s="190">
        <v>37.874806199999995</v>
      </c>
      <c r="R119" s="190">
        <v>37.756076400000005</v>
      </c>
      <c r="S119" s="190">
        <v>37.637346600000001</v>
      </c>
      <c r="T119" s="190">
        <v>37.518616800000011</v>
      </c>
      <c r="U119" s="190">
        <v>37.399887000000014</v>
      </c>
      <c r="V119" s="190">
        <v>37.28115720000001</v>
      </c>
      <c r="W119" s="190">
        <v>37.16242740000002</v>
      </c>
      <c r="X119" s="190">
        <v>37.043697600000016</v>
      </c>
      <c r="Y119" s="190">
        <v>36.924967800000026</v>
      </c>
      <c r="Z119" s="190">
        <v>36.806238000000029</v>
      </c>
      <c r="AA119" s="190">
        <v>36.687508200000032</v>
      </c>
      <c r="AB119" s="190">
        <v>36.568778400000035</v>
      </c>
      <c r="AC119" s="190">
        <v>36.450048600000038</v>
      </c>
      <c r="AD119" s="190">
        <v>36.331318800000041</v>
      </c>
      <c r="AE119" s="190">
        <v>36.212589000000051</v>
      </c>
      <c r="AF119" s="190">
        <v>36.093859200000047</v>
      </c>
      <c r="AG119" s="190">
        <v>35.97512940000005</v>
      </c>
      <c r="AH119" s="190">
        <v>35.856399600000046</v>
      </c>
      <c r="AI119" s="190">
        <v>35.737669800000049</v>
      </c>
      <c r="AJ119" s="190">
        <v>35.618940000000045</v>
      </c>
    </row>
    <row r="120" spans="1:36" hidden="1" x14ac:dyDescent="0.35">
      <c r="A120" t="s">
        <v>1510</v>
      </c>
      <c r="B120" s="188" t="s">
        <v>1342</v>
      </c>
      <c r="C120" t="s">
        <v>1343</v>
      </c>
      <c r="D120" s="188">
        <v>30</v>
      </c>
      <c r="E120" t="s">
        <v>1500</v>
      </c>
      <c r="F120" t="s">
        <v>1511</v>
      </c>
      <c r="G120" s="189" t="s">
        <v>1512</v>
      </c>
      <c r="H120" s="190">
        <v>39.259987199999998</v>
      </c>
      <c r="I120" s="190">
        <v>39.101680799999997</v>
      </c>
      <c r="J120" s="190">
        <v>38.943374399999996</v>
      </c>
      <c r="K120" s="190">
        <v>38.785067999999995</v>
      </c>
      <c r="L120" s="190">
        <v>38.626761599999995</v>
      </c>
      <c r="M120" s="190">
        <v>38.468455199999994</v>
      </c>
      <c r="N120" s="190">
        <v>38.3101488</v>
      </c>
      <c r="O120" s="190">
        <v>38.1518424</v>
      </c>
      <c r="P120" s="190">
        <v>37.993535999999999</v>
      </c>
      <c r="Q120" s="190">
        <v>37.874806199999995</v>
      </c>
      <c r="R120" s="190">
        <v>37.756076400000005</v>
      </c>
      <c r="S120" s="190">
        <v>37.637346600000001</v>
      </c>
      <c r="T120" s="190">
        <v>37.518616800000011</v>
      </c>
      <c r="U120" s="190">
        <v>37.399887000000014</v>
      </c>
      <c r="V120" s="190">
        <v>37.28115720000001</v>
      </c>
      <c r="W120" s="190">
        <v>37.16242740000002</v>
      </c>
      <c r="X120" s="190">
        <v>37.043697600000016</v>
      </c>
      <c r="Y120" s="190">
        <v>36.924967800000026</v>
      </c>
      <c r="Z120" s="190">
        <v>36.806238000000029</v>
      </c>
      <c r="AA120" s="190">
        <v>36.687508200000032</v>
      </c>
      <c r="AB120" s="190">
        <v>36.568778400000035</v>
      </c>
      <c r="AC120" s="190">
        <v>36.450048600000038</v>
      </c>
      <c r="AD120" s="190">
        <v>36.331318800000041</v>
      </c>
      <c r="AE120" s="190">
        <v>36.212589000000051</v>
      </c>
      <c r="AF120" s="190">
        <v>36.093859200000047</v>
      </c>
      <c r="AG120" s="190">
        <v>35.97512940000005</v>
      </c>
      <c r="AH120" s="190">
        <v>35.856399600000046</v>
      </c>
      <c r="AI120" s="190">
        <v>35.737669800000049</v>
      </c>
      <c r="AJ120" s="190">
        <v>35.618940000000045</v>
      </c>
    </row>
    <row r="121" spans="1:36" hidden="1" x14ac:dyDescent="0.35">
      <c r="A121" t="s">
        <v>1513</v>
      </c>
      <c r="B121" s="188" t="s">
        <v>1342</v>
      </c>
      <c r="C121" t="s">
        <v>1348</v>
      </c>
      <c r="D121" s="188">
        <v>30</v>
      </c>
      <c r="E121" t="s">
        <v>1500</v>
      </c>
      <c r="F121" t="s">
        <v>1511</v>
      </c>
      <c r="G121" s="189" t="s">
        <v>1512</v>
      </c>
      <c r="H121" s="190">
        <v>39.259987199999998</v>
      </c>
      <c r="I121" s="190">
        <v>39.101680799999997</v>
      </c>
      <c r="J121" s="190">
        <v>38.943374399999996</v>
      </c>
      <c r="K121" s="190">
        <v>38.785067999999995</v>
      </c>
      <c r="L121" s="190">
        <v>38.626761599999995</v>
      </c>
      <c r="M121" s="190">
        <v>38.468455199999994</v>
      </c>
      <c r="N121" s="190">
        <v>38.3101488</v>
      </c>
      <c r="O121" s="190">
        <v>38.1518424</v>
      </c>
      <c r="P121" s="190">
        <v>37.993535999999999</v>
      </c>
      <c r="Q121" s="190">
        <v>37.874806199999995</v>
      </c>
      <c r="R121" s="190">
        <v>37.756076400000005</v>
      </c>
      <c r="S121" s="190">
        <v>37.637346600000001</v>
      </c>
      <c r="T121" s="190">
        <v>37.518616800000011</v>
      </c>
      <c r="U121" s="190">
        <v>37.399887000000014</v>
      </c>
      <c r="V121" s="190">
        <v>37.28115720000001</v>
      </c>
      <c r="W121" s="190">
        <v>37.16242740000002</v>
      </c>
      <c r="X121" s="190">
        <v>37.043697600000016</v>
      </c>
      <c r="Y121" s="190">
        <v>36.924967800000026</v>
      </c>
      <c r="Z121" s="190">
        <v>36.806238000000029</v>
      </c>
      <c r="AA121" s="190">
        <v>36.687508200000032</v>
      </c>
      <c r="AB121" s="190">
        <v>36.568778400000035</v>
      </c>
      <c r="AC121" s="190">
        <v>36.450048600000038</v>
      </c>
      <c r="AD121" s="190">
        <v>36.331318800000041</v>
      </c>
      <c r="AE121" s="190">
        <v>36.212589000000051</v>
      </c>
      <c r="AF121" s="190">
        <v>36.093859200000047</v>
      </c>
      <c r="AG121" s="190">
        <v>35.97512940000005</v>
      </c>
      <c r="AH121" s="190">
        <v>35.856399600000046</v>
      </c>
      <c r="AI121" s="190">
        <v>35.737669800000049</v>
      </c>
      <c r="AJ121" s="190">
        <v>35.618940000000045</v>
      </c>
    </row>
    <row r="122" spans="1:36" hidden="1" x14ac:dyDescent="0.35">
      <c r="A122" t="s">
        <v>1514</v>
      </c>
      <c r="B122" s="188" t="s">
        <v>1342</v>
      </c>
      <c r="C122" t="s">
        <v>1350</v>
      </c>
      <c r="D122" s="188">
        <v>30</v>
      </c>
      <c r="E122" t="s">
        <v>1500</v>
      </c>
      <c r="F122" t="s">
        <v>1511</v>
      </c>
      <c r="G122" s="189" t="s">
        <v>1512</v>
      </c>
      <c r="H122" s="190">
        <v>39.259987199999998</v>
      </c>
      <c r="I122" s="190">
        <v>39.101680799999997</v>
      </c>
      <c r="J122" s="190">
        <v>38.943374399999996</v>
      </c>
      <c r="K122" s="190">
        <v>38.785067999999995</v>
      </c>
      <c r="L122" s="190">
        <v>38.626761599999995</v>
      </c>
      <c r="M122" s="190">
        <v>38.468455199999994</v>
      </c>
      <c r="N122" s="190">
        <v>38.3101488</v>
      </c>
      <c r="O122" s="190">
        <v>38.1518424</v>
      </c>
      <c r="P122" s="190">
        <v>37.993535999999999</v>
      </c>
      <c r="Q122" s="190">
        <v>37.874806199999995</v>
      </c>
      <c r="R122" s="190">
        <v>37.756076400000005</v>
      </c>
      <c r="S122" s="190">
        <v>37.637346600000001</v>
      </c>
      <c r="T122" s="190">
        <v>37.518616800000011</v>
      </c>
      <c r="U122" s="190">
        <v>37.399887000000014</v>
      </c>
      <c r="V122" s="190">
        <v>37.28115720000001</v>
      </c>
      <c r="W122" s="190">
        <v>37.16242740000002</v>
      </c>
      <c r="X122" s="190">
        <v>37.043697600000016</v>
      </c>
      <c r="Y122" s="190">
        <v>36.924967800000026</v>
      </c>
      <c r="Z122" s="190">
        <v>36.806238000000029</v>
      </c>
      <c r="AA122" s="190">
        <v>36.687508200000032</v>
      </c>
      <c r="AB122" s="190">
        <v>36.568778400000035</v>
      </c>
      <c r="AC122" s="190">
        <v>36.450048600000038</v>
      </c>
      <c r="AD122" s="190">
        <v>36.331318800000041</v>
      </c>
      <c r="AE122" s="190">
        <v>36.212589000000051</v>
      </c>
      <c r="AF122" s="190">
        <v>36.093859200000047</v>
      </c>
      <c r="AG122" s="190">
        <v>35.97512940000005</v>
      </c>
      <c r="AH122" s="190">
        <v>35.856399600000046</v>
      </c>
      <c r="AI122" s="190">
        <v>35.737669800000049</v>
      </c>
      <c r="AJ122" s="190">
        <v>35.618940000000045</v>
      </c>
    </row>
    <row r="123" spans="1:36" hidden="1" x14ac:dyDescent="0.35">
      <c r="A123" t="s">
        <v>1515</v>
      </c>
      <c r="B123" s="188" t="s">
        <v>1342</v>
      </c>
      <c r="C123" t="s">
        <v>1343</v>
      </c>
      <c r="D123" s="188">
        <v>30</v>
      </c>
      <c r="E123" t="s">
        <v>1500</v>
      </c>
      <c r="F123" t="s">
        <v>1516</v>
      </c>
      <c r="G123" s="189" t="s">
        <v>1517</v>
      </c>
      <c r="H123" s="190">
        <v>39.259987199999998</v>
      </c>
      <c r="I123" s="190">
        <v>39.101680799999997</v>
      </c>
      <c r="J123" s="190">
        <v>38.943374399999996</v>
      </c>
      <c r="K123" s="190">
        <v>38.785067999999995</v>
      </c>
      <c r="L123" s="190">
        <v>38.626761599999995</v>
      </c>
      <c r="M123" s="190">
        <v>38.468455199999994</v>
      </c>
      <c r="N123" s="190">
        <v>38.3101488</v>
      </c>
      <c r="O123" s="190">
        <v>38.1518424</v>
      </c>
      <c r="P123" s="190">
        <v>37.993535999999999</v>
      </c>
      <c r="Q123" s="190">
        <v>37.874806199999995</v>
      </c>
      <c r="R123" s="190">
        <v>37.756076400000005</v>
      </c>
      <c r="S123" s="190">
        <v>37.637346600000001</v>
      </c>
      <c r="T123" s="190">
        <v>37.518616800000011</v>
      </c>
      <c r="U123" s="190">
        <v>37.399887000000014</v>
      </c>
      <c r="V123" s="190">
        <v>37.28115720000001</v>
      </c>
      <c r="W123" s="190">
        <v>37.16242740000002</v>
      </c>
      <c r="X123" s="190">
        <v>37.043697600000016</v>
      </c>
      <c r="Y123" s="190">
        <v>36.924967800000026</v>
      </c>
      <c r="Z123" s="190">
        <v>36.806238000000029</v>
      </c>
      <c r="AA123" s="190">
        <v>36.687508200000032</v>
      </c>
      <c r="AB123" s="190">
        <v>36.568778400000035</v>
      </c>
      <c r="AC123" s="190">
        <v>36.450048600000038</v>
      </c>
      <c r="AD123" s="190">
        <v>36.331318800000041</v>
      </c>
      <c r="AE123" s="190">
        <v>36.212589000000051</v>
      </c>
      <c r="AF123" s="190">
        <v>36.093859200000047</v>
      </c>
      <c r="AG123" s="190">
        <v>35.97512940000005</v>
      </c>
      <c r="AH123" s="190">
        <v>35.856399600000046</v>
      </c>
      <c r="AI123" s="190">
        <v>35.737669800000049</v>
      </c>
      <c r="AJ123" s="190">
        <v>35.618940000000045</v>
      </c>
    </row>
    <row r="124" spans="1:36" hidden="1" x14ac:dyDescent="0.35">
      <c r="A124" t="s">
        <v>1518</v>
      </c>
      <c r="B124" s="188" t="s">
        <v>1342</v>
      </c>
      <c r="C124" t="s">
        <v>1348</v>
      </c>
      <c r="D124" s="188">
        <v>30</v>
      </c>
      <c r="E124" t="s">
        <v>1500</v>
      </c>
      <c r="F124" t="s">
        <v>1516</v>
      </c>
      <c r="G124" s="189" t="s">
        <v>1517</v>
      </c>
      <c r="H124" s="190">
        <v>39.259987199999998</v>
      </c>
      <c r="I124" s="190">
        <v>39.101680799999997</v>
      </c>
      <c r="J124" s="190">
        <v>38.943374399999996</v>
      </c>
      <c r="K124" s="190">
        <v>38.785067999999995</v>
      </c>
      <c r="L124" s="190">
        <v>38.626761599999995</v>
      </c>
      <c r="M124" s="190">
        <v>38.468455199999994</v>
      </c>
      <c r="N124" s="190">
        <v>38.3101488</v>
      </c>
      <c r="O124" s="190">
        <v>38.1518424</v>
      </c>
      <c r="P124" s="190">
        <v>37.993535999999999</v>
      </c>
      <c r="Q124" s="190">
        <v>37.874806199999995</v>
      </c>
      <c r="R124" s="190">
        <v>37.756076400000005</v>
      </c>
      <c r="S124" s="190">
        <v>37.637346600000001</v>
      </c>
      <c r="T124" s="190">
        <v>37.518616800000011</v>
      </c>
      <c r="U124" s="190">
        <v>37.399887000000014</v>
      </c>
      <c r="V124" s="190">
        <v>37.28115720000001</v>
      </c>
      <c r="W124" s="190">
        <v>37.16242740000002</v>
      </c>
      <c r="X124" s="190">
        <v>37.043697600000016</v>
      </c>
      <c r="Y124" s="190">
        <v>36.924967800000026</v>
      </c>
      <c r="Z124" s="190">
        <v>36.806238000000029</v>
      </c>
      <c r="AA124" s="190">
        <v>36.687508200000032</v>
      </c>
      <c r="AB124" s="190">
        <v>36.568778400000035</v>
      </c>
      <c r="AC124" s="190">
        <v>36.450048600000038</v>
      </c>
      <c r="AD124" s="190">
        <v>36.331318800000041</v>
      </c>
      <c r="AE124" s="190">
        <v>36.212589000000051</v>
      </c>
      <c r="AF124" s="190">
        <v>36.093859200000047</v>
      </c>
      <c r="AG124" s="190">
        <v>35.97512940000005</v>
      </c>
      <c r="AH124" s="190">
        <v>35.856399600000046</v>
      </c>
      <c r="AI124" s="190">
        <v>35.737669800000049</v>
      </c>
      <c r="AJ124" s="190">
        <v>35.618940000000045</v>
      </c>
    </row>
    <row r="125" spans="1:36" hidden="1" x14ac:dyDescent="0.35">
      <c r="A125" t="s">
        <v>1519</v>
      </c>
      <c r="B125" s="188" t="s">
        <v>1342</v>
      </c>
      <c r="C125" t="s">
        <v>1350</v>
      </c>
      <c r="D125" s="188">
        <v>30</v>
      </c>
      <c r="E125" t="s">
        <v>1500</v>
      </c>
      <c r="F125" t="s">
        <v>1516</v>
      </c>
      <c r="G125" s="189" t="s">
        <v>1517</v>
      </c>
      <c r="H125" s="190">
        <v>39.259987199999998</v>
      </c>
      <c r="I125" s="190">
        <v>39.101680799999997</v>
      </c>
      <c r="J125" s="190">
        <v>38.943374399999996</v>
      </c>
      <c r="K125" s="190">
        <v>38.785067999999995</v>
      </c>
      <c r="L125" s="190">
        <v>38.626761599999995</v>
      </c>
      <c r="M125" s="190">
        <v>38.468455199999994</v>
      </c>
      <c r="N125" s="190">
        <v>38.3101488</v>
      </c>
      <c r="O125" s="190">
        <v>38.1518424</v>
      </c>
      <c r="P125" s="190">
        <v>37.993535999999999</v>
      </c>
      <c r="Q125" s="190">
        <v>37.874806199999995</v>
      </c>
      <c r="R125" s="190">
        <v>37.756076400000005</v>
      </c>
      <c r="S125" s="190">
        <v>37.637346600000001</v>
      </c>
      <c r="T125" s="190">
        <v>37.518616800000011</v>
      </c>
      <c r="U125" s="190">
        <v>37.399887000000014</v>
      </c>
      <c r="V125" s="190">
        <v>37.28115720000001</v>
      </c>
      <c r="W125" s="190">
        <v>37.16242740000002</v>
      </c>
      <c r="X125" s="190">
        <v>37.043697600000016</v>
      </c>
      <c r="Y125" s="190">
        <v>36.924967800000026</v>
      </c>
      <c r="Z125" s="190">
        <v>36.806238000000029</v>
      </c>
      <c r="AA125" s="190">
        <v>36.687508200000032</v>
      </c>
      <c r="AB125" s="190">
        <v>36.568778400000035</v>
      </c>
      <c r="AC125" s="190">
        <v>36.450048600000038</v>
      </c>
      <c r="AD125" s="190">
        <v>36.331318800000041</v>
      </c>
      <c r="AE125" s="190">
        <v>36.212589000000051</v>
      </c>
      <c r="AF125" s="190">
        <v>36.093859200000047</v>
      </c>
      <c r="AG125" s="190">
        <v>35.97512940000005</v>
      </c>
      <c r="AH125" s="190">
        <v>35.856399600000046</v>
      </c>
      <c r="AI125" s="190">
        <v>35.737669800000049</v>
      </c>
      <c r="AJ125" s="190">
        <v>35.618940000000045</v>
      </c>
    </row>
    <row r="126" spans="1:36" hidden="1" x14ac:dyDescent="0.35">
      <c r="A126" t="s">
        <v>1520</v>
      </c>
      <c r="B126" s="188" t="s">
        <v>1342</v>
      </c>
      <c r="C126" t="s">
        <v>1343</v>
      </c>
      <c r="D126" s="188">
        <v>30</v>
      </c>
      <c r="E126" t="s">
        <v>1500</v>
      </c>
      <c r="F126" t="s">
        <v>1521</v>
      </c>
      <c r="G126" s="189" t="s">
        <v>1522</v>
      </c>
      <c r="H126" s="190">
        <v>39.259987199999998</v>
      </c>
      <c r="I126" s="190">
        <v>39.101680799999997</v>
      </c>
      <c r="J126" s="190">
        <v>38.943374399999996</v>
      </c>
      <c r="K126" s="190">
        <v>38.785067999999995</v>
      </c>
      <c r="L126" s="190">
        <v>38.626761599999995</v>
      </c>
      <c r="M126" s="190">
        <v>38.468455199999994</v>
      </c>
      <c r="N126" s="190">
        <v>38.3101488</v>
      </c>
      <c r="O126" s="190">
        <v>38.1518424</v>
      </c>
      <c r="P126" s="190">
        <v>37.993535999999999</v>
      </c>
      <c r="Q126" s="190">
        <v>37.874806199999995</v>
      </c>
      <c r="R126" s="190">
        <v>37.756076400000005</v>
      </c>
      <c r="S126" s="190">
        <v>37.637346600000001</v>
      </c>
      <c r="T126" s="190">
        <v>37.518616800000011</v>
      </c>
      <c r="U126" s="190">
        <v>37.399887000000014</v>
      </c>
      <c r="V126" s="190">
        <v>37.28115720000001</v>
      </c>
      <c r="W126" s="190">
        <v>37.16242740000002</v>
      </c>
      <c r="X126" s="190">
        <v>37.043697600000016</v>
      </c>
      <c r="Y126" s="190">
        <v>36.924967800000026</v>
      </c>
      <c r="Z126" s="190">
        <v>36.806238000000029</v>
      </c>
      <c r="AA126" s="190">
        <v>36.687508200000032</v>
      </c>
      <c r="AB126" s="190">
        <v>36.568778400000035</v>
      </c>
      <c r="AC126" s="190">
        <v>36.450048600000038</v>
      </c>
      <c r="AD126" s="190">
        <v>36.331318800000041</v>
      </c>
      <c r="AE126" s="190">
        <v>36.212589000000051</v>
      </c>
      <c r="AF126" s="190">
        <v>36.093859200000047</v>
      </c>
      <c r="AG126" s="190">
        <v>35.97512940000005</v>
      </c>
      <c r="AH126" s="190">
        <v>35.856399600000046</v>
      </c>
      <c r="AI126" s="190">
        <v>35.737669800000049</v>
      </c>
      <c r="AJ126" s="190">
        <v>35.618940000000045</v>
      </c>
    </row>
    <row r="127" spans="1:36" hidden="1" x14ac:dyDescent="0.35">
      <c r="A127" t="s">
        <v>1523</v>
      </c>
      <c r="B127" s="188" t="s">
        <v>1342</v>
      </c>
      <c r="C127" t="s">
        <v>1348</v>
      </c>
      <c r="D127" s="188">
        <v>30</v>
      </c>
      <c r="E127" t="s">
        <v>1500</v>
      </c>
      <c r="F127" t="s">
        <v>1521</v>
      </c>
      <c r="G127" s="189" t="s">
        <v>1522</v>
      </c>
      <c r="H127" s="190">
        <v>39.259987199999998</v>
      </c>
      <c r="I127" s="190">
        <v>39.101680799999997</v>
      </c>
      <c r="J127" s="190">
        <v>38.943374399999996</v>
      </c>
      <c r="K127" s="190">
        <v>38.785067999999995</v>
      </c>
      <c r="L127" s="190">
        <v>38.626761599999995</v>
      </c>
      <c r="M127" s="190">
        <v>38.468455199999994</v>
      </c>
      <c r="N127" s="190">
        <v>38.3101488</v>
      </c>
      <c r="O127" s="190">
        <v>38.1518424</v>
      </c>
      <c r="P127" s="190">
        <v>37.993535999999999</v>
      </c>
      <c r="Q127" s="190">
        <v>37.874806199999995</v>
      </c>
      <c r="R127" s="190">
        <v>37.756076400000005</v>
      </c>
      <c r="S127" s="190">
        <v>37.637346600000001</v>
      </c>
      <c r="T127" s="190">
        <v>37.518616800000011</v>
      </c>
      <c r="U127" s="190">
        <v>37.399887000000014</v>
      </c>
      <c r="V127" s="190">
        <v>37.28115720000001</v>
      </c>
      <c r="W127" s="190">
        <v>37.16242740000002</v>
      </c>
      <c r="X127" s="190">
        <v>37.043697600000016</v>
      </c>
      <c r="Y127" s="190">
        <v>36.924967800000026</v>
      </c>
      <c r="Z127" s="190">
        <v>36.806238000000029</v>
      </c>
      <c r="AA127" s="190">
        <v>36.687508200000032</v>
      </c>
      <c r="AB127" s="190">
        <v>36.568778400000035</v>
      </c>
      <c r="AC127" s="190">
        <v>36.450048600000038</v>
      </c>
      <c r="AD127" s="190">
        <v>36.331318800000041</v>
      </c>
      <c r="AE127" s="190">
        <v>36.212589000000051</v>
      </c>
      <c r="AF127" s="190">
        <v>36.093859200000047</v>
      </c>
      <c r="AG127" s="190">
        <v>35.97512940000005</v>
      </c>
      <c r="AH127" s="190">
        <v>35.856399600000046</v>
      </c>
      <c r="AI127" s="190">
        <v>35.737669800000049</v>
      </c>
      <c r="AJ127" s="190">
        <v>35.618940000000045</v>
      </c>
    </row>
    <row r="128" spans="1:36" hidden="1" x14ac:dyDescent="0.35">
      <c r="A128" t="s">
        <v>1524</v>
      </c>
      <c r="B128" s="188" t="s">
        <v>1342</v>
      </c>
      <c r="C128" t="s">
        <v>1350</v>
      </c>
      <c r="D128" s="188">
        <v>30</v>
      </c>
      <c r="E128" t="s">
        <v>1500</v>
      </c>
      <c r="F128" t="s">
        <v>1521</v>
      </c>
      <c r="G128" s="189" t="s">
        <v>1522</v>
      </c>
      <c r="H128" s="190">
        <v>39.259987199999998</v>
      </c>
      <c r="I128" s="190">
        <v>39.101680799999997</v>
      </c>
      <c r="J128" s="190">
        <v>38.943374399999996</v>
      </c>
      <c r="K128" s="190">
        <v>38.785067999999995</v>
      </c>
      <c r="L128" s="190">
        <v>38.626761599999995</v>
      </c>
      <c r="M128" s="190">
        <v>38.468455199999994</v>
      </c>
      <c r="N128" s="190">
        <v>38.3101488</v>
      </c>
      <c r="O128" s="190">
        <v>38.1518424</v>
      </c>
      <c r="P128" s="190">
        <v>37.993535999999999</v>
      </c>
      <c r="Q128" s="190">
        <v>37.874806199999995</v>
      </c>
      <c r="R128" s="190">
        <v>37.756076400000005</v>
      </c>
      <c r="S128" s="190">
        <v>37.637346600000001</v>
      </c>
      <c r="T128" s="190">
        <v>37.518616800000011</v>
      </c>
      <c r="U128" s="190">
        <v>37.399887000000014</v>
      </c>
      <c r="V128" s="190">
        <v>37.28115720000001</v>
      </c>
      <c r="W128" s="190">
        <v>37.16242740000002</v>
      </c>
      <c r="X128" s="190">
        <v>37.043697600000016</v>
      </c>
      <c r="Y128" s="190">
        <v>36.924967800000026</v>
      </c>
      <c r="Z128" s="190">
        <v>36.806238000000029</v>
      </c>
      <c r="AA128" s="190">
        <v>36.687508200000032</v>
      </c>
      <c r="AB128" s="190">
        <v>36.568778400000035</v>
      </c>
      <c r="AC128" s="190">
        <v>36.450048600000038</v>
      </c>
      <c r="AD128" s="190">
        <v>36.331318800000041</v>
      </c>
      <c r="AE128" s="190">
        <v>36.212589000000051</v>
      </c>
      <c r="AF128" s="190">
        <v>36.093859200000047</v>
      </c>
      <c r="AG128" s="190">
        <v>35.97512940000005</v>
      </c>
      <c r="AH128" s="190">
        <v>35.856399600000046</v>
      </c>
      <c r="AI128" s="190">
        <v>35.737669800000049</v>
      </c>
      <c r="AJ128" s="190">
        <v>35.618940000000045</v>
      </c>
    </row>
    <row r="129" spans="1:36" hidden="1" x14ac:dyDescent="0.35">
      <c r="A129" t="s">
        <v>1525</v>
      </c>
      <c r="B129" s="188" t="s">
        <v>1342</v>
      </c>
      <c r="C129" t="s">
        <v>1343</v>
      </c>
      <c r="D129" s="188">
        <v>30</v>
      </c>
      <c r="E129" t="s">
        <v>1500</v>
      </c>
      <c r="F129" t="s">
        <v>1526</v>
      </c>
      <c r="G129" s="189" t="s">
        <v>1527</v>
      </c>
      <c r="H129" s="190">
        <v>39.259987199999998</v>
      </c>
      <c r="I129" s="190">
        <v>39.101680799999997</v>
      </c>
      <c r="J129" s="190">
        <v>38.943374399999996</v>
      </c>
      <c r="K129" s="190">
        <v>38.785067999999995</v>
      </c>
      <c r="L129" s="190">
        <v>38.626761599999995</v>
      </c>
      <c r="M129" s="190">
        <v>38.468455199999994</v>
      </c>
      <c r="N129" s="190">
        <v>38.3101488</v>
      </c>
      <c r="O129" s="190">
        <v>38.1518424</v>
      </c>
      <c r="P129" s="190">
        <v>37.993535999999999</v>
      </c>
      <c r="Q129" s="190">
        <v>37.874806199999995</v>
      </c>
      <c r="R129" s="190">
        <v>37.756076400000005</v>
      </c>
      <c r="S129" s="190">
        <v>37.637346600000001</v>
      </c>
      <c r="T129" s="190">
        <v>37.518616800000011</v>
      </c>
      <c r="U129" s="190">
        <v>37.399887000000014</v>
      </c>
      <c r="V129" s="190">
        <v>37.28115720000001</v>
      </c>
      <c r="W129" s="190">
        <v>37.16242740000002</v>
      </c>
      <c r="X129" s="190">
        <v>37.043697600000016</v>
      </c>
      <c r="Y129" s="190">
        <v>36.924967800000026</v>
      </c>
      <c r="Z129" s="190">
        <v>36.806238000000029</v>
      </c>
      <c r="AA129" s="190">
        <v>36.687508200000032</v>
      </c>
      <c r="AB129" s="190">
        <v>36.568778400000035</v>
      </c>
      <c r="AC129" s="190">
        <v>36.450048600000038</v>
      </c>
      <c r="AD129" s="190">
        <v>36.331318800000041</v>
      </c>
      <c r="AE129" s="190">
        <v>36.212589000000051</v>
      </c>
      <c r="AF129" s="190">
        <v>36.093859200000047</v>
      </c>
      <c r="AG129" s="190">
        <v>35.97512940000005</v>
      </c>
      <c r="AH129" s="190">
        <v>35.856399600000046</v>
      </c>
      <c r="AI129" s="190">
        <v>35.737669800000049</v>
      </c>
      <c r="AJ129" s="190">
        <v>35.618940000000045</v>
      </c>
    </row>
    <row r="130" spans="1:36" hidden="1" x14ac:dyDescent="0.35">
      <c r="A130" t="s">
        <v>1528</v>
      </c>
      <c r="B130" s="188" t="s">
        <v>1342</v>
      </c>
      <c r="C130" t="s">
        <v>1348</v>
      </c>
      <c r="D130" s="188">
        <v>30</v>
      </c>
      <c r="E130" t="s">
        <v>1500</v>
      </c>
      <c r="F130" t="s">
        <v>1526</v>
      </c>
      <c r="G130" s="189" t="s">
        <v>1527</v>
      </c>
      <c r="H130" s="190">
        <v>39.259987199999998</v>
      </c>
      <c r="I130" s="190">
        <v>39.101680799999997</v>
      </c>
      <c r="J130" s="190">
        <v>38.943374399999996</v>
      </c>
      <c r="K130" s="190">
        <v>38.785067999999995</v>
      </c>
      <c r="L130" s="190">
        <v>38.626761599999995</v>
      </c>
      <c r="M130" s="190">
        <v>38.468455199999994</v>
      </c>
      <c r="N130" s="190">
        <v>38.3101488</v>
      </c>
      <c r="O130" s="190">
        <v>38.1518424</v>
      </c>
      <c r="P130" s="190">
        <v>37.993535999999999</v>
      </c>
      <c r="Q130" s="190">
        <v>37.874806199999995</v>
      </c>
      <c r="R130" s="190">
        <v>37.756076400000005</v>
      </c>
      <c r="S130" s="190">
        <v>37.637346600000001</v>
      </c>
      <c r="T130" s="190">
        <v>37.518616800000011</v>
      </c>
      <c r="U130" s="190">
        <v>37.399887000000014</v>
      </c>
      <c r="V130" s="190">
        <v>37.28115720000001</v>
      </c>
      <c r="W130" s="190">
        <v>37.16242740000002</v>
      </c>
      <c r="X130" s="190">
        <v>37.043697600000016</v>
      </c>
      <c r="Y130" s="190">
        <v>36.924967800000026</v>
      </c>
      <c r="Z130" s="190">
        <v>36.806238000000029</v>
      </c>
      <c r="AA130" s="190">
        <v>36.687508200000032</v>
      </c>
      <c r="AB130" s="190">
        <v>36.568778400000035</v>
      </c>
      <c r="AC130" s="190">
        <v>36.450048600000038</v>
      </c>
      <c r="AD130" s="190">
        <v>36.331318800000041</v>
      </c>
      <c r="AE130" s="190">
        <v>36.212589000000051</v>
      </c>
      <c r="AF130" s="190">
        <v>36.093859200000047</v>
      </c>
      <c r="AG130" s="190">
        <v>35.97512940000005</v>
      </c>
      <c r="AH130" s="190">
        <v>35.856399600000046</v>
      </c>
      <c r="AI130" s="190">
        <v>35.737669800000049</v>
      </c>
      <c r="AJ130" s="190">
        <v>35.618940000000045</v>
      </c>
    </row>
    <row r="131" spans="1:36" hidden="1" x14ac:dyDescent="0.35">
      <c r="A131" t="s">
        <v>1529</v>
      </c>
      <c r="B131" s="188" t="s">
        <v>1342</v>
      </c>
      <c r="C131" t="s">
        <v>1350</v>
      </c>
      <c r="D131" s="188">
        <v>30</v>
      </c>
      <c r="E131" t="s">
        <v>1500</v>
      </c>
      <c r="F131" t="s">
        <v>1526</v>
      </c>
      <c r="G131" s="189" t="s">
        <v>1527</v>
      </c>
      <c r="H131" s="190">
        <v>39.259987199999998</v>
      </c>
      <c r="I131" s="190">
        <v>39.101680799999997</v>
      </c>
      <c r="J131" s="190">
        <v>38.943374399999996</v>
      </c>
      <c r="K131" s="190">
        <v>38.785067999999995</v>
      </c>
      <c r="L131" s="190">
        <v>38.626761599999995</v>
      </c>
      <c r="M131" s="190">
        <v>38.468455199999994</v>
      </c>
      <c r="N131" s="190">
        <v>38.3101488</v>
      </c>
      <c r="O131" s="190">
        <v>38.1518424</v>
      </c>
      <c r="P131" s="190">
        <v>37.993535999999999</v>
      </c>
      <c r="Q131" s="190">
        <v>37.874806199999995</v>
      </c>
      <c r="R131" s="190">
        <v>37.756076400000005</v>
      </c>
      <c r="S131" s="190">
        <v>37.637346600000001</v>
      </c>
      <c r="T131" s="190">
        <v>37.518616800000011</v>
      </c>
      <c r="U131" s="190">
        <v>37.399887000000014</v>
      </c>
      <c r="V131" s="190">
        <v>37.28115720000001</v>
      </c>
      <c r="W131" s="190">
        <v>37.16242740000002</v>
      </c>
      <c r="X131" s="190">
        <v>37.043697600000016</v>
      </c>
      <c r="Y131" s="190">
        <v>36.924967800000026</v>
      </c>
      <c r="Z131" s="190">
        <v>36.806238000000029</v>
      </c>
      <c r="AA131" s="190">
        <v>36.687508200000032</v>
      </c>
      <c r="AB131" s="190">
        <v>36.568778400000035</v>
      </c>
      <c r="AC131" s="190">
        <v>36.450048600000038</v>
      </c>
      <c r="AD131" s="190">
        <v>36.331318800000041</v>
      </c>
      <c r="AE131" s="190">
        <v>36.212589000000051</v>
      </c>
      <c r="AF131" s="190">
        <v>36.093859200000047</v>
      </c>
      <c r="AG131" s="190">
        <v>35.97512940000005</v>
      </c>
      <c r="AH131" s="190">
        <v>35.856399600000046</v>
      </c>
      <c r="AI131" s="190">
        <v>35.737669800000049</v>
      </c>
      <c r="AJ131" s="190">
        <v>35.618940000000045</v>
      </c>
    </row>
    <row r="132" spans="1:36" hidden="1" x14ac:dyDescent="0.35">
      <c r="A132" t="s">
        <v>1530</v>
      </c>
      <c r="B132" s="188" t="s">
        <v>1342</v>
      </c>
      <c r="C132" t="s">
        <v>1343</v>
      </c>
      <c r="D132" s="188">
        <v>30</v>
      </c>
      <c r="E132" t="s">
        <v>1500</v>
      </c>
      <c r="F132" t="s">
        <v>1531</v>
      </c>
      <c r="G132" s="189" t="s">
        <v>1532</v>
      </c>
      <c r="H132" s="190">
        <v>39.259987199999998</v>
      </c>
      <c r="I132" s="190">
        <v>39.101680799999997</v>
      </c>
      <c r="J132" s="190">
        <v>38.943374399999996</v>
      </c>
      <c r="K132" s="190">
        <v>38.785067999999995</v>
      </c>
      <c r="L132" s="190">
        <v>38.626761599999995</v>
      </c>
      <c r="M132" s="190">
        <v>38.468455199999994</v>
      </c>
      <c r="N132" s="190">
        <v>38.3101488</v>
      </c>
      <c r="O132" s="190">
        <v>38.1518424</v>
      </c>
      <c r="P132" s="190">
        <v>37.993535999999999</v>
      </c>
      <c r="Q132" s="190">
        <v>37.874806199999995</v>
      </c>
      <c r="R132" s="190">
        <v>37.756076400000005</v>
      </c>
      <c r="S132" s="190">
        <v>37.637346600000001</v>
      </c>
      <c r="T132" s="190">
        <v>37.518616800000011</v>
      </c>
      <c r="U132" s="190">
        <v>37.399887000000014</v>
      </c>
      <c r="V132" s="190">
        <v>37.28115720000001</v>
      </c>
      <c r="W132" s="190">
        <v>37.16242740000002</v>
      </c>
      <c r="X132" s="190">
        <v>37.043697600000016</v>
      </c>
      <c r="Y132" s="190">
        <v>36.924967800000026</v>
      </c>
      <c r="Z132" s="190">
        <v>36.806238000000029</v>
      </c>
      <c r="AA132" s="190">
        <v>36.687508200000032</v>
      </c>
      <c r="AB132" s="190">
        <v>36.568778400000035</v>
      </c>
      <c r="AC132" s="190">
        <v>36.450048600000038</v>
      </c>
      <c r="AD132" s="190">
        <v>36.331318800000041</v>
      </c>
      <c r="AE132" s="190">
        <v>36.212589000000051</v>
      </c>
      <c r="AF132" s="190">
        <v>36.093859200000047</v>
      </c>
      <c r="AG132" s="190">
        <v>35.97512940000005</v>
      </c>
      <c r="AH132" s="190">
        <v>35.856399600000046</v>
      </c>
      <c r="AI132" s="190">
        <v>35.737669800000049</v>
      </c>
      <c r="AJ132" s="190">
        <v>35.618940000000045</v>
      </c>
    </row>
    <row r="133" spans="1:36" hidden="1" x14ac:dyDescent="0.35">
      <c r="A133" t="s">
        <v>1533</v>
      </c>
      <c r="B133" s="188" t="s">
        <v>1342</v>
      </c>
      <c r="C133" t="s">
        <v>1348</v>
      </c>
      <c r="D133" s="188">
        <v>30</v>
      </c>
      <c r="E133" t="s">
        <v>1500</v>
      </c>
      <c r="F133" t="s">
        <v>1531</v>
      </c>
      <c r="G133" s="189" t="s">
        <v>1532</v>
      </c>
      <c r="H133" s="190">
        <v>39.259987199999998</v>
      </c>
      <c r="I133" s="190">
        <v>39.101680799999997</v>
      </c>
      <c r="J133" s="190">
        <v>38.943374399999996</v>
      </c>
      <c r="K133" s="190">
        <v>38.785067999999995</v>
      </c>
      <c r="L133" s="190">
        <v>38.626761599999995</v>
      </c>
      <c r="M133" s="190">
        <v>38.468455199999994</v>
      </c>
      <c r="N133" s="190">
        <v>38.3101488</v>
      </c>
      <c r="O133" s="190">
        <v>38.1518424</v>
      </c>
      <c r="P133" s="190">
        <v>37.993535999999999</v>
      </c>
      <c r="Q133" s="190">
        <v>37.874806199999995</v>
      </c>
      <c r="R133" s="190">
        <v>37.756076400000005</v>
      </c>
      <c r="S133" s="190">
        <v>37.637346600000001</v>
      </c>
      <c r="T133" s="190">
        <v>37.518616800000011</v>
      </c>
      <c r="U133" s="190">
        <v>37.399887000000014</v>
      </c>
      <c r="V133" s="190">
        <v>37.28115720000001</v>
      </c>
      <c r="W133" s="190">
        <v>37.16242740000002</v>
      </c>
      <c r="X133" s="190">
        <v>37.043697600000016</v>
      </c>
      <c r="Y133" s="190">
        <v>36.924967800000026</v>
      </c>
      <c r="Z133" s="190">
        <v>36.806238000000029</v>
      </c>
      <c r="AA133" s="190">
        <v>36.687508200000032</v>
      </c>
      <c r="AB133" s="190">
        <v>36.568778400000035</v>
      </c>
      <c r="AC133" s="190">
        <v>36.450048600000038</v>
      </c>
      <c r="AD133" s="190">
        <v>36.331318800000041</v>
      </c>
      <c r="AE133" s="190">
        <v>36.212589000000051</v>
      </c>
      <c r="AF133" s="190">
        <v>36.093859200000047</v>
      </c>
      <c r="AG133" s="190">
        <v>35.97512940000005</v>
      </c>
      <c r="AH133" s="190">
        <v>35.856399600000046</v>
      </c>
      <c r="AI133" s="190">
        <v>35.737669800000049</v>
      </c>
      <c r="AJ133" s="190">
        <v>35.618940000000045</v>
      </c>
    </row>
    <row r="134" spans="1:36" hidden="1" x14ac:dyDescent="0.35">
      <c r="A134" t="s">
        <v>1534</v>
      </c>
      <c r="B134" s="188" t="s">
        <v>1342</v>
      </c>
      <c r="C134" t="s">
        <v>1350</v>
      </c>
      <c r="D134" s="188">
        <v>30</v>
      </c>
      <c r="E134" t="s">
        <v>1500</v>
      </c>
      <c r="F134" t="s">
        <v>1531</v>
      </c>
      <c r="G134" s="189" t="s">
        <v>1532</v>
      </c>
      <c r="H134" s="190">
        <v>39.259987199999998</v>
      </c>
      <c r="I134" s="190">
        <v>39.101680799999997</v>
      </c>
      <c r="J134" s="190">
        <v>38.943374399999996</v>
      </c>
      <c r="K134" s="190">
        <v>38.785067999999995</v>
      </c>
      <c r="L134" s="190">
        <v>38.626761599999995</v>
      </c>
      <c r="M134" s="190">
        <v>38.468455199999994</v>
      </c>
      <c r="N134" s="190">
        <v>38.3101488</v>
      </c>
      <c r="O134" s="190">
        <v>38.1518424</v>
      </c>
      <c r="P134" s="190">
        <v>37.993535999999999</v>
      </c>
      <c r="Q134" s="190">
        <v>37.874806199999995</v>
      </c>
      <c r="R134" s="190">
        <v>37.756076400000005</v>
      </c>
      <c r="S134" s="190">
        <v>37.637346600000001</v>
      </c>
      <c r="T134" s="190">
        <v>37.518616800000011</v>
      </c>
      <c r="U134" s="190">
        <v>37.399887000000014</v>
      </c>
      <c r="V134" s="190">
        <v>37.28115720000001</v>
      </c>
      <c r="W134" s="190">
        <v>37.16242740000002</v>
      </c>
      <c r="X134" s="190">
        <v>37.043697600000016</v>
      </c>
      <c r="Y134" s="190">
        <v>36.924967800000026</v>
      </c>
      <c r="Z134" s="190">
        <v>36.806238000000029</v>
      </c>
      <c r="AA134" s="190">
        <v>36.687508200000032</v>
      </c>
      <c r="AB134" s="190">
        <v>36.568778400000035</v>
      </c>
      <c r="AC134" s="190">
        <v>36.450048600000038</v>
      </c>
      <c r="AD134" s="190">
        <v>36.331318800000041</v>
      </c>
      <c r="AE134" s="190">
        <v>36.212589000000051</v>
      </c>
      <c r="AF134" s="190">
        <v>36.093859200000047</v>
      </c>
      <c r="AG134" s="190">
        <v>35.97512940000005</v>
      </c>
      <c r="AH134" s="190">
        <v>35.856399600000046</v>
      </c>
      <c r="AI134" s="190">
        <v>35.737669800000049</v>
      </c>
      <c r="AJ134" s="190">
        <v>35.618940000000045</v>
      </c>
    </row>
    <row r="135" spans="1:36" hidden="1" x14ac:dyDescent="0.35">
      <c r="A135" t="s">
        <v>1535</v>
      </c>
      <c r="B135" s="188" t="s">
        <v>1342</v>
      </c>
      <c r="C135" t="s">
        <v>1343</v>
      </c>
      <c r="D135" s="188">
        <v>30</v>
      </c>
      <c r="E135" t="s">
        <v>1500</v>
      </c>
      <c r="F135" t="s">
        <v>1536</v>
      </c>
      <c r="G135" s="189" t="s">
        <v>1537</v>
      </c>
      <c r="H135" s="190">
        <v>39.259987199999998</v>
      </c>
      <c r="I135" s="190">
        <v>39.101680799999997</v>
      </c>
      <c r="J135" s="190">
        <v>38.943374399999996</v>
      </c>
      <c r="K135" s="190">
        <v>38.785067999999995</v>
      </c>
      <c r="L135" s="190">
        <v>38.626761599999995</v>
      </c>
      <c r="M135" s="190">
        <v>38.468455199999994</v>
      </c>
      <c r="N135" s="190">
        <v>38.3101488</v>
      </c>
      <c r="O135" s="190">
        <v>38.1518424</v>
      </c>
      <c r="P135" s="190">
        <v>37.993535999999999</v>
      </c>
      <c r="Q135" s="190">
        <v>37.874806199999995</v>
      </c>
      <c r="R135" s="190">
        <v>37.756076400000005</v>
      </c>
      <c r="S135" s="190">
        <v>37.637346600000001</v>
      </c>
      <c r="T135" s="190">
        <v>37.518616800000011</v>
      </c>
      <c r="U135" s="190">
        <v>37.399887000000014</v>
      </c>
      <c r="V135" s="190">
        <v>37.28115720000001</v>
      </c>
      <c r="W135" s="190">
        <v>37.16242740000002</v>
      </c>
      <c r="X135" s="190">
        <v>37.043697600000016</v>
      </c>
      <c r="Y135" s="190">
        <v>36.924967800000026</v>
      </c>
      <c r="Z135" s="190">
        <v>36.806238000000029</v>
      </c>
      <c r="AA135" s="190">
        <v>36.687508200000032</v>
      </c>
      <c r="AB135" s="190">
        <v>36.568778400000035</v>
      </c>
      <c r="AC135" s="190">
        <v>36.450048600000038</v>
      </c>
      <c r="AD135" s="190">
        <v>36.331318800000041</v>
      </c>
      <c r="AE135" s="190">
        <v>36.212589000000051</v>
      </c>
      <c r="AF135" s="190">
        <v>36.093859200000047</v>
      </c>
      <c r="AG135" s="190">
        <v>35.97512940000005</v>
      </c>
      <c r="AH135" s="190">
        <v>35.856399600000046</v>
      </c>
      <c r="AI135" s="190">
        <v>35.737669800000049</v>
      </c>
      <c r="AJ135" s="190">
        <v>35.618940000000045</v>
      </c>
    </row>
    <row r="136" spans="1:36" hidden="1" x14ac:dyDescent="0.35">
      <c r="A136" t="s">
        <v>1538</v>
      </c>
      <c r="B136" s="188" t="s">
        <v>1342</v>
      </c>
      <c r="C136" t="s">
        <v>1348</v>
      </c>
      <c r="D136" s="188">
        <v>30</v>
      </c>
      <c r="E136" t="s">
        <v>1500</v>
      </c>
      <c r="F136" t="s">
        <v>1536</v>
      </c>
      <c r="G136" s="189" t="s">
        <v>1537</v>
      </c>
      <c r="H136" s="190">
        <v>39.259987199999998</v>
      </c>
      <c r="I136" s="190">
        <v>39.101680799999997</v>
      </c>
      <c r="J136" s="190">
        <v>38.943374399999996</v>
      </c>
      <c r="K136" s="190">
        <v>38.785067999999995</v>
      </c>
      <c r="L136" s="190">
        <v>38.626761599999995</v>
      </c>
      <c r="M136" s="190">
        <v>38.468455199999994</v>
      </c>
      <c r="N136" s="190">
        <v>38.3101488</v>
      </c>
      <c r="O136" s="190">
        <v>38.1518424</v>
      </c>
      <c r="P136" s="190">
        <v>37.993535999999999</v>
      </c>
      <c r="Q136" s="190">
        <v>37.874806199999995</v>
      </c>
      <c r="R136" s="190">
        <v>37.756076400000005</v>
      </c>
      <c r="S136" s="190">
        <v>37.637346600000001</v>
      </c>
      <c r="T136" s="190">
        <v>37.518616800000011</v>
      </c>
      <c r="U136" s="190">
        <v>37.399887000000014</v>
      </c>
      <c r="V136" s="190">
        <v>37.28115720000001</v>
      </c>
      <c r="W136" s="190">
        <v>37.16242740000002</v>
      </c>
      <c r="X136" s="190">
        <v>37.043697600000016</v>
      </c>
      <c r="Y136" s="190">
        <v>36.924967800000026</v>
      </c>
      <c r="Z136" s="190">
        <v>36.806238000000029</v>
      </c>
      <c r="AA136" s="190">
        <v>36.687508200000032</v>
      </c>
      <c r="AB136" s="190">
        <v>36.568778400000035</v>
      </c>
      <c r="AC136" s="190">
        <v>36.450048600000038</v>
      </c>
      <c r="AD136" s="190">
        <v>36.331318800000041</v>
      </c>
      <c r="AE136" s="190">
        <v>36.212589000000051</v>
      </c>
      <c r="AF136" s="190">
        <v>36.093859200000047</v>
      </c>
      <c r="AG136" s="190">
        <v>35.97512940000005</v>
      </c>
      <c r="AH136" s="190">
        <v>35.856399600000046</v>
      </c>
      <c r="AI136" s="190">
        <v>35.737669800000049</v>
      </c>
      <c r="AJ136" s="190">
        <v>35.618940000000045</v>
      </c>
    </row>
    <row r="137" spans="1:36" hidden="1" x14ac:dyDescent="0.35">
      <c r="A137" t="s">
        <v>1539</v>
      </c>
      <c r="B137" s="188" t="s">
        <v>1342</v>
      </c>
      <c r="C137" t="s">
        <v>1350</v>
      </c>
      <c r="D137" s="188">
        <v>30</v>
      </c>
      <c r="E137" t="s">
        <v>1500</v>
      </c>
      <c r="F137" t="s">
        <v>1536</v>
      </c>
      <c r="G137" s="189" t="s">
        <v>1537</v>
      </c>
      <c r="H137" s="190">
        <v>39.259987199999998</v>
      </c>
      <c r="I137" s="190">
        <v>39.101680799999997</v>
      </c>
      <c r="J137" s="190">
        <v>38.943374399999996</v>
      </c>
      <c r="K137" s="190">
        <v>38.785067999999995</v>
      </c>
      <c r="L137" s="190">
        <v>38.626761599999995</v>
      </c>
      <c r="M137" s="190">
        <v>38.468455199999994</v>
      </c>
      <c r="N137" s="190">
        <v>38.3101488</v>
      </c>
      <c r="O137" s="190">
        <v>38.1518424</v>
      </c>
      <c r="P137" s="190">
        <v>37.993535999999999</v>
      </c>
      <c r="Q137" s="190">
        <v>37.874806199999995</v>
      </c>
      <c r="R137" s="190">
        <v>37.756076400000005</v>
      </c>
      <c r="S137" s="190">
        <v>37.637346600000001</v>
      </c>
      <c r="T137" s="190">
        <v>37.518616800000011</v>
      </c>
      <c r="U137" s="190">
        <v>37.399887000000014</v>
      </c>
      <c r="V137" s="190">
        <v>37.28115720000001</v>
      </c>
      <c r="W137" s="190">
        <v>37.16242740000002</v>
      </c>
      <c r="X137" s="190">
        <v>37.043697600000016</v>
      </c>
      <c r="Y137" s="190">
        <v>36.924967800000026</v>
      </c>
      <c r="Z137" s="190">
        <v>36.806238000000029</v>
      </c>
      <c r="AA137" s="190">
        <v>36.687508200000032</v>
      </c>
      <c r="AB137" s="190">
        <v>36.568778400000035</v>
      </c>
      <c r="AC137" s="190">
        <v>36.450048600000038</v>
      </c>
      <c r="AD137" s="190">
        <v>36.331318800000041</v>
      </c>
      <c r="AE137" s="190">
        <v>36.212589000000051</v>
      </c>
      <c r="AF137" s="190">
        <v>36.093859200000047</v>
      </c>
      <c r="AG137" s="190">
        <v>35.97512940000005</v>
      </c>
      <c r="AH137" s="190">
        <v>35.856399600000046</v>
      </c>
      <c r="AI137" s="190">
        <v>35.737669800000049</v>
      </c>
      <c r="AJ137" s="190">
        <v>35.618940000000045</v>
      </c>
    </row>
    <row r="138" spans="1:36" hidden="1" x14ac:dyDescent="0.35">
      <c r="A138" t="s">
        <v>1540</v>
      </c>
      <c r="B138" s="188" t="s">
        <v>1342</v>
      </c>
      <c r="C138" t="s">
        <v>1343</v>
      </c>
      <c r="D138" s="188">
        <v>30</v>
      </c>
      <c r="E138" t="s">
        <v>1500</v>
      </c>
      <c r="F138" t="s">
        <v>1541</v>
      </c>
      <c r="G138" s="189" t="s">
        <v>1542</v>
      </c>
      <c r="H138" s="190">
        <v>39.259987199999998</v>
      </c>
      <c r="I138" s="190">
        <v>39.101680799999997</v>
      </c>
      <c r="J138" s="190">
        <v>38.943374399999996</v>
      </c>
      <c r="K138" s="190">
        <v>38.785067999999995</v>
      </c>
      <c r="L138" s="190">
        <v>38.626761599999995</v>
      </c>
      <c r="M138" s="190">
        <v>38.468455199999994</v>
      </c>
      <c r="N138" s="190">
        <v>38.3101488</v>
      </c>
      <c r="O138" s="190">
        <v>38.1518424</v>
      </c>
      <c r="P138" s="190">
        <v>37.993535999999999</v>
      </c>
      <c r="Q138" s="190">
        <v>37.874806199999995</v>
      </c>
      <c r="R138" s="190">
        <v>37.756076400000005</v>
      </c>
      <c r="S138" s="190">
        <v>37.637346600000001</v>
      </c>
      <c r="T138" s="190">
        <v>37.518616800000011</v>
      </c>
      <c r="U138" s="190">
        <v>37.399887000000014</v>
      </c>
      <c r="V138" s="190">
        <v>37.28115720000001</v>
      </c>
      <c r="W138" s="190">
        <v>37.16242740000002</v>
      </c>
      <c r="X138" s="190">
        <v>37.043697600000016</v>
      </c>
      <c r="Y138" s="190">
        <v>36.924967800000026</v>
      </c>
      <c r="Z138" s="190">
        <v>36.806238000000029</v>
      </c>
      <c r="AA138" s="190">
        <v>36.687508200000032</v>
      </c>
      <c r="AB138" s="190">
        <v>36.568778400000035</v>
      </c>
      <c r="AC138" s="190">
        <v>36.450048600000038</v>
      </c>
      <c r="AD138" s="190">
        <v>36.331318800000041</v>
      </c>
      <c r="AE138" s="190">
        <v>36.212589000000051</v>
      </c>
      <c r="AF138" s="190">
        <v>36.093859200000047</v>
      </c>
      <c r="AG138" s="190">
        <v>35.97512940000005</v>
      </c>
      <c r="AH138" s="190">
        <v>35.856399600000046</v>
      </c>
      <c r="AI138" s="190">
        <v>35.737669800000049</v>
      </c>
      <c r="AJ138" s="190">
        <v>35.618940000000045</v>
      </c>
    </row>
    <row r="139" spans="1:36" hidden="1" x14ac:dyDescent="0.35">
      <c r="A139" t="s">
        <v>1543</v>
      </c>
      <c r="B139" s="188" t="s">
        <v>1342</v>
      </c>
      <c r="C139" t="s">
        <v>1348</v>
      </c>
      <c r="D139" s="188">
        <v>30</v>
      </c>
      <c r="E139" t="s">
        <v>1500</v>
      </c>
      <c r="F139" t="s">
        <v>1541</v>
      </c>
      <c r="G139" s="189" t="s">
        <v>1542</v>
      </c>
      <c r="H139" s="190">
        <v>39.259987199999998</v>
      </c>
      <c r="I139" s="190">
        <v>39.101680799999997</v>
      </c>
      <c r="J139" s="190">
        <v>38.943374399999996</v>
      </c>
      <c r="K139" s="190">
        <v>38.785067999999995</v>
      </c>
      <c r="L139" s="190">
        <v>38.626761599999995</v>
      </c>
      <c r="M139" s="190">
        <v>38.468455199999994</v>
      </c>
      <c r="N139" s="190">
        <v>38.3101488</v>
      </c>
      <c r="O139" s="190">
        <v>38.1518424</v>
      </c>
      <c r="P139" s="190">
        <v>37.993535999999999</v>
      </c>
      <c r="Q139" s="190">
        <v>37.874806199999995</v>
      </c>
      <c r="R139" s="190">
        <v>37.756076400000005</v>
      </c>
      <c r="S139" s="190">
        <v>37.637346600000001</v>
      </c>
      <c r="T139" s="190">
        <v>37.518616800000011</v>
      </c>
      <c r="U139" s="190">
        <v>37.399887000000014</v>
      </c>
      <c r="V139" s="190">
        <v>37.28115720000001</v>
      </c>
      <c r="W139" s="190">
        <v>37.16242740000002</v>
      </c>
      <c r="X139" s="190">
        <v>37.043697600000016</v>
      </c>
      <c r="Y139" s="190">
        <v>36.924967800000026</v>
      </c>
      <c r="Z139" s="190">
        <v>36.806238000000029</v>
      </c>
      <c r="AA139" s="190">
        <v>36.687508200000032</v>
      </c>
      <c r="AB139" s="190">
        <v>36.568778400000035</v>
      </c>
      <c r="AC139" s="190">
        <v>36.450048600000038</v>
      </c>
      <c r="AD139" s="190">
        <v>36.331318800000041</v>
      </c>
      <c r="AE139" s="190">
        <v>36.212589000000051</v>
      </c>
      <c r="AF139" s="190">
        <v>36.093859200000047</v>
      </c>
      <c r="AG139" s="190">
        <v>35.97512940000005</v>
      </c>
      <c r="AH139" s="190">
        <v>35.856399600000046</v>
      </c>
      <c r="AI139" s="190">
        <v>35.737669800000049</v>
      </c>
      <c r="AJ139" s="190">
        <v>35.618940000000045</v>
      </c>
    </row>
    <row r="140" spans="1:36" hidden="1" x14ac:dyDescent="0.35">
      <c r="A140" t="s">
        <v>1544</v>
      </c>
      <c r="B140" s="188" t="s">
        <v>1342</v>
      </c>
      <c r="C140" t="s">
        <v>1350</v>
      </c>
      <c r="D140" s="188">
        <v>30</v>
      </c>
      <c r="E140" t="s">
        <v>1500</v>
      </c>
      <c r="F140" t="s">
        <v>1541</v>
      </c>
      <c r="G140" s="189" t="s">
        <v>1542</v>
      </c>
      <c r="H140" s="190">
        <v>39.259987199999998</v>
      </c>
      <c r="I140" s="190">
        <v>39.101680799999997</v>
      </c>
      <c r="J140" s="190">
        <v>38.943374399999996</v>
      </c>
      <c r="K140" s="190">
        <v>38.785067999999995</v>
      </c>
      <c r="L140" s="190">
        <v>38.626761599999995</v>
      </c>
      <c r="M140" s="190">
        <v>38.468455199999994</v>
      </c>
      <c r="N140" s="190">
        <v>38.3101488</v>
      </c>
      <c r="O140" s="190">
        <v>38.1518424</v>
      </c>
      <c r="P140" s="190">
        <v>37.993535999999999</v>
      </c>
      <c r="Q140" s="190">
        <v>37.874806199999995</v>
      </c>
      <c r="R140" s="190">
        <v>37.756076400000005</v>
      </c>
      <c r="S140" s="190">
        <v>37.637346600000001</v>
      </c>
      <c r="T140" s="190">
        <v>37.518616800000011</v>
      </c>
      <c r="U140" s="190">
        <v>37.399887000000014</v>
      </c>
      <c r="V140" s="190">
        <v>37.28115720000001</v>
      </c>
      <c r="W140" s="190">
        <v>37.16242740000002</v>
      </c>
      <c r="X140" s="190">
        <v>37.043697600000016</v>
      </c>
      <c r="Y140" s="190">
        <v>36.924967800000026</v>
      </c>
      <c r="Z140" s="190">
        <v>36.806238000000029</v>
      </c>
      <c r="AA140" s="190">
        <v>36.687508200000032</v>
      </c>
      <c r="AB140" s="190">
        <v>36.568778400000035</v>
      </c>
      <c r="AC140" s="190">
        <v>36.450048600000038</v>
      </c>
      <c r="AD140" s="190">
        <v>36.331318800000041</v>
      </c>
      <c r="AE140" s="190">
        <v>36.212589000000051</v>
      </c>
      <c r="AF140" s="190">
        <v>36.093859200000047</v>
      </c>
      <c r="AG140" s="190">
        <v>35.97512940000005</v>
      </c>
      <c r="AH140" s="190">
        <v>35.856399600000046</v>
      </c>
      <c r="AI140" s="190">
        <v>35.737669800000049</v>
      </c>
      <c r="AJ140" s="190">
        <v>35.618940000000045</v>
      </c>
    </row>
    <row r="141" spans="1:36" hidden="1" x14ac:dyDescent="0.35">
      <c r="A141" t="s">
        <v>1545</v>
      </c>
      <c r="B141" s="188" t="s">
        <v>1342</v>
      </c>
      <c r="C141" t="s">
        <v>1343</v>
      </c>
      <c r="D141" s="188">
        <v>30</v>
      </c>
      <c r="E141" t="s">
        <v>1500</v>
      </c>
      <c r="F141" t="s">
        <v>1546</v>
      </c>
      <c r="G141" s="189" t="s">
        <v>1547</v>
      </c>
      <c r="H141" s="190">
        <v>39.259987199999998</v>
      </c>
      <c r="I141" s="190">
        <v>39.101680799999997</v>
      </c>
      <c r="J141" s="190">
        <v>38.943374399999996</v>
      </c>
      <c r="K141" s="190">
        <v>38.785067999999995</v>
      </c>
      <c r="L141" s="190">
        <v>38.626761599999995</v>
      </c>
      <c r="M141" s="190">
        <v>38.468455199999994</v>
      </c>
      <c r="N141" s="190">
        <v>38.3101488</v>
      </c>
      <c r="O141" s="190">
        <v>38.1518424</v>
      </c>
      <c r="P141" s="190">
        <v>37.993535999999999</v>
      </c>
      <c r="Q141" s="190">
        <v>37.874806199999995</v>
      </c>
      <c r="R141" s="190">
        <v>37.756076400000005</v>
      </c>
      <c r="S141" s="190">
        <v>37.637346600000001</v>
      </c>
      <c r="T141" s="190">
        <v>37.518616800000011</v>
      </c>
      <c r="U141" s="190">
        <v>37.399887000000014</v>
      </c>
      <c r="V141" s="190">
        <v>37.28115720000001</v>
      </c>
      <c r="W141" s="190">
        <v>37.16242740000002</v>
      </c>
      <c r="X141" s="190">
        <v>37.043697600000016</v>
      </c>
      <c r="Y141" s="190">
        <v>36.924967800000026</v>
      </c>
      <c r="Z141" s="190">
        <v>36.806238000000029</v>
      </c>
      <c r="AA141" s="190">
        <v>36.687508200000032</v>
      </c>
      <c r="AB141" s="190">
        <v>36.568778400000035</v>
      </c>
      <c r="AC141" s="190">
        <v>36.450048600000038</v>
      </c>
      <c r="AD141" s="190">
        <v>36.331318800000041</v>
      </c>
      <c r="AE141" s="190">
        <v>36.212589000000051</v>
      </c>
      <c r="AF141" s="190">
        <v>36.093859200000047</v>
      </c>
      <c r="AG141" s="190">
        <v>35.97512940000005</v>
      </c>
      <c r="AH141" s="190">
        <v>35.856399600000046</v>
      </c>
      <c r="AI141" s="190">
        <v>35.737669800000049</v>
      </c>
      <c r="AJ141" s="190">
        <v>35.618940000000045</v>
      </c>
    </row>
    <row r="142" spans="1:36" hidden="1" x14ac:dyDescent="0.35">
      <c r="A142" t="s">
        <v>1548</v>
      </c>
      <c r="B142" s="188" t="s">
        <v>1342</v>
      </c>
      <c r="C142" t="s">
        <v>1348</v>
      </c>
      <c r="D142" s="188">
        <v>30</v>
      </c>
      <c r="E142" t="s">
        <v>1500</v>
      </c>
      <c r="F142" t="s">
        <v>1546</v>
      </c>
      <c r="G142" s="189" t="s">
        <v>1547</v>
      </c>
      <c r="H142" s="190">
        <v>39.259987199999998</v>
      </c>
      <c r="I142" s="190">
        <v>39.101680799999997</v>
      </c>
      <c r="J142" s="190">
        <v>38.943374399999996</v>
      </c>
      <c r="K142" s="190">
        <v>38.785067999999995</v>
      </c>
      <c r="L142" s="190">
        <v>38.626761599999995</v>
      </c>
      <c r="M142" s="190">
        <v>38.468455199999994</v>
      </c>
      <c r="N142" s="190">
        <v>38.3101488</v>
      </c>
      <c r="O142" s="190">
        <v>38.1518424</v>
      </c>
      <c r="P142" s="190">
        <v>37.993535999999999</v>
      </c>
      <c r="Q142" s="190">
        <v>37.874806199999995</v>
      </c>
      <c r="R142" s="190">
        <v>37.756076400000005</v>
      </c>
      <c r="S142" s="190">
        <v>37.637346600000001</v>
      </c>
      <c r="T142" s="190">
        <v>37.518616800000011</v>
      </c>
      <c r="U142" s="190">
        <v>37.399887000000014</v>
      </c>
      <c r="V142" s="190">
        <v>37.28115720000001</v>
      </c>
      <c r="W142" s="190">
        <v>37.16242740000002</v>
      </c>
      <c r="X142" s="190">
        <v>37.043697600000016</v>
      </c>
      <c r="Y142" s="190">
        <v>36.924967800000026</v>
      </c>
      <c r="Z142" s="190">
        <v>36.806238000000029</v>
      </c>
      <c r="AA142" s="190">
        <v>36.687508200000032</v>
      </c>
      <c r="AB142" s="190">
        <v>36.568778400000035</v>
      </c>
      <c r="AC142" s="190">
        <v>36.450048600000038</v>
      </c>
      <c r="AD142" s="190">
        <v>36.331318800000041</v>
      </c>
      <c r="AE142" s="190">
        <v>36.212589000000051</v>
      </c>
      <c r="AF142" s="190">
        <v>36.093859200000047</v>
      </c>
      <c r="AG142" s="190">
        <v>35.97512940000005</v>
      </c>
      <c r="AH142" s="190">
        <v>35.856399600000046</v>
      </c>
      <c r="AI142" s="190">
        <v>35.737669800000049</v>
      </c>
      <c r="AJ142" s="190">
        <v>35.618940000000045</v>
      </c>
    </row>
    <row r="143" spans="1:36" hidden="1" x14ac:dyDescent="0.35">
      <c r="A143" t="s">
        <v>1549</v>
      </c>
      <c r="B143" s="188" t="s">
        <v>1342</v>
      </c>
      <c r="C143" t="s">
        <v>1350</v>
      </c>
      <c r="D143" s="188">
        <v>30</v>
      </c>
      <c r="E143" t="s">
        <v>1500</v>
      </c>
      <c r="F143" t="s">
        <v>1546</v>
      </c>
      <c r="G143" s="189" t="s">
        <v>1547</v>
      </c>
      <c r="H143" s="190">
        <v>39.259987199999998</v>
      </c>
      <c r="I143" s="190">
        <v>39.101680799999997</v>
      </c>
      <c r="J143" s="190">
        <v>38.943374399999996</v>
      </c>
      <c r="K143" s="190">
        <v>38.785067999999995</v>
      </c>
      <c r="L143" s="190">
        <v>38.626761599999995</v>
      </c>
      <c r="M143" s="190">
        <v>38.468455199999994</v>
      </c>
      <c r="N143" s="190">
        <v>38.3101488</v>
      </c>
      <c r="O143" s="190">
        <v>38.1518424</v>
      </c>
      <c r="P143" s="190">
        <v>37.993535999999999</v>
      </c>
      <c r="Q143" s="190">
        <v>37.874806199999995</v>
      </c>
      <c r="R143" s="190">
        <v>37.756076400000005</v>
      </c>
      <c r="S143" s="190">
        <v>37.637346600000001</v>
      </c>
      <c r="T143" s="190">
        <v>37.518616800000011</v>
      </c>
      <c r="U143" s="190">
        <v>37.399887000000014</v>
      </c>
      <c r="V143" s="190">
        <v>37.28115720000001</v>
      </c>
      <c r="W143" s="190">
        <v>37.16242740000002</v>
      </c>
      <c r="X143" s="190">
        <v>37.043697600000016</v>
      </c>
      <c r="Y143" s="190">
        <v>36.924967800000026</v>
      </c>
      <c r="Z143" s="190">
        <v>36.806238000000029</v>
      </c>
      <c r="AA143" s="190">
        <v>36.687508200000032</v>
      </c>
      <c r="AB143" s="190">
        <v>36.568778400000035</v>
      </c>
      <c r="AC143" s="190">
        <v>36.450048600000038</v>
      </c>
      <c r="AD143" s="190">
        <v>36.331318800000041</v>
      </c>
      <c r="AE143" s="190">
        <v>36.212589000000051</v>
      </c>
      <c r="AF143" s="190">
        <v>36.093859200000047</v>
      </c>
      <c r="AG143" s="190">
        <v>35.97512940000005</v>
      </c>
      <c r="AH143" s="190">
        <v>35.856399600000046</v>
      </c>
      <c r="AI143" s="190">
        <v>35.737669800000049</v>
      </c>
      <c r="AJ143" s="190">
        <v>35.618940000000045</v>
      </c>
    </row>
    <row r="144" spans="1:36" hidden="1" x14ac:dyDescent="0.35">
      <c r="A144" t="s">
        <v>1550</v>
      </c>
      <c r="B144" s="188" t="s">
        <v>1342</v>
      </c>
      <c r="C144" t="s">
        <v>1343</v>
      </c>
      <c r="D144" s="188">
        <v>30</v>
      </c>
      <c r="E144" t="s">
        <v>1500</v>
      </c>
      <c r="F144" t="s">
        <v>1551</v>
      </c>
      <c r="G144" s="189" t="s">
        <v>1552</v>
      </c>
      <c r="H144" s="190">
        <v>39.259987199999998</v>
      </c>
      <c r="I144" s="190">
        <v>39.101680799999997</v>
      </c>
      <c r="J144" s="190">
        <v>38.943374399999996</v>
      </c>
      <c r="K144" s="190">
        <v>38.785067999999995</v>
      </c>
      <c r="L144" s="190">
        <v>38.626761599999995</v>
      </c>
      <c r="M144" s="190">
        <v>38.468455199999994</v>
      </c>
      <c r="N144" s="190">
        <v>38.3101488</v>
      </c>
      <c r="O144" s="190">
        <v>38.1518424</v>
      </c>
      <c r="P144" s="190">
        <v>37.993535999999999</v>
      </c>
      <c r="Q144" s="190">
        <v>37.874806199999995</v>
      </c>
      <c r="R144" s="190">
        <v>37.756076400000005</v>
      </c>
      <c r="S144" s="190">
        <v>37.637346600000001</v>
      </c>
      <c r="T144" s="190">
        <v>37.518616800000011</v>
      </c>
      <c r="U144" s="190">
        <v>37.399887000000014</v>
      </c>
      <c r="V144" s="190">
        <v>37.28115720000001</v>
      </c>
      <c r="W144" s="190">
        <v>37.16242740000002</v>
      </c>
      <c r="X144" s="190">
        <v>37.043697600000016</v>
      </c>
      <c r="Y144" s="190">
        <v>36.924967800000026</v>
      </c>
      <c r="Z144" s="190">
        <v>36.806238000000029</v>
      </c>
      <c r="AA144" s="190">
        <v>36.687508200000032</v>
      </c>
      <c r="AB144" s="190">
        <v>36.568778400000035</v>
      </c>
      <c r="AC144" s="190">
        <v>36.450048600000038</v>
      </c>
      <c r="AD144" s="190">
        <v>36.331318800000041</v>
      </c>
      <c r="AE144" s="190">
        <v>36.212589000000051</v>
      </c>
      <c r="AF144" s="190">
        <v>36.093859200000047</v>
      </c>
      <c r="AG144" s="190">
        <v>35.97512940000005</v>
      </c>
      <c r="AH144" s="190">
        <v>35.856399600000046</v>
      </c>
      <c r="AI144" s="190">
        <v>35.737669800000049</v>
      </c>
      <c r="AJ144" s="190">
        <v>35.618940000000045</v>
      </c>
    </row>
    <row r="145" spans="1:36" hidden="1" x14ac:dyDescent="0.35">
      <c r="A145" t="s">
        <v>1553</v>
      </c>
      <c r="B145" s="188" t="s">
        <v>1342</v>
      </c>
      <c r="C145" t="s">
        <v>1348</v>
      </c>
      <c r="D145" s="188">
        <v>30</v>
      </c>
      <c r="E145" t="s">
        <v>1500</v>
      </c>
      <c r="F145" t="s">
        <v>1551</v>
      </c>
      <c r="G145" s="189" t="s">
        <v>1552</v>
      </c>
      <c r="H145" s="190">
        <v>39.259987199999998</v>
      </c>
      <c r="I145" s="190">
        <v>39.101680799999997</v>
      </c>
      <c r="J145" s="190">
        <v>38.943374399999996</v>
      </c>
      <c r="K145" s="190">
        <v>38.785067999999995</v>
      </c>
      <c r="L145" s="190">
        <v>38.626761599999995</v>
      </c>
      <c r="M145" s="190">
        <v>38.468455199999994</v>
      </c>
      <c r="N145" s="190">
        <v>38.3101488</v>
      </c>
      <c r="O145" s="190">
        <v>38.1518424</v>
      </c>
      <c r="P145" s="190">
        <v>37.993535999999999</v>
      </c>
      <c r="Q145" s="190">
        <v>37.874806199999995</v>
      </c>
      <c r="R145" s="190">
        <v>37.756076400000005</v>
      </c>
      <c r="S145" s="190">
        <v>37.637346600000001</v>
      </c>
      <c r="T145" s="190">
        <v>37.518616800000011</v>
      </c>
      <c r="U145" s="190">
        <v>37.399887000000014</v>
      </c>
      <c r="V145" s="190">
        <v>37.28115720000001</v>
      </c>
      <c r="W145" s="190">
        <v>37.16242740000002</v>
      </c>
      <c r="X145" s="190">
        <v>37.043697600000016</v>
      </c>
      <c r="Y145" s="190">
        <v>36.924967800000026</v>
      </c>
      <c r="Z145" s="190">
        <v>36.806238000000029</v>
      </c>
      <c r="AA145" s="190">
        <v>36.687508200000032</v>
      </c>
      <c r="AB145" s="190">
        <v>36.568778400000035</v>
      </c>
      <c r="AC145" s="190">
        <v>36.450048600000038</v>
      </c>
      <c r="AD145" s="190">
        <v>36.331318800000041</v>
      </c>
      <c r="AE145" s="190">
        <v>36.212589000000051</v>
      </c>
      <c r="AF145" s="190">
        <v>36.093859200000047</v>
      </c>
      <c r="AG145" s="190">
        <v>35.97512940000005</v>
      </c>
      <c r="AH145" s="190">
        <v>35.856399600000046</v>
      </c>
      <c r="AI145" s="190">
        <v>35.737669800000049</v>
      </c>
      <c r="AJ145" s="190">
        <v>35.618940000000045</v>
      </c>
    </row>
    <row r="146" spans="1:36" hidden="1" x14ac:dyDescent="0.35">
      <c r="A146" t="s">
        <v>1554</v>
      </c>
      <c r="B146" s="188" t="s">
        <v>1342</v>
      </c>
      <c r="C146" t="s">
        <v>1350</v>
      </c>
      <c r="D146" s="188">
        <v>30</v>
      </c>
      <c r="E146" t="s">
        <v>1500</v>
      </c>
      <c r="F146" t="s">
        <v>1551</v>
      </c>
      <c r="G146" s="189" t="s">
        <v>1552</v>
      </c>
      <c r="H146" s="190">
        <v>39.259987199999998</v>
      </c>
      <c r="I146" s="190">
        <v>39.101680799999997</v>
      </c>
      <c r="J146" s="190">
        <v>38.943374399999996</v>
      </c>
      <c r="K146" s="190">
        <v>38.785067999999995</v>
      </c>
      <c r="L146" s="190">
        <v>38.626761599999995</v>
      </c>
      <c r="M146" s="190">
        <v>38.468455199999994</v>
      </c>
      <c r="N146" s="190">
        <v>38.3101488</v>
      </c>
      <c r="O146" s="190">
        <v>38.1518424</v>
      </c>
      <c r="P146" s="190">
        <v>37.993535999999999</v>
      </c>
      <c r="Q146" s="190">
        <v>37.874806199999995</v>
      </c>
      <c r="R146" s="190">
        <v>37.756076400000005</v>
      </c>
      <c r="S146" s="190">
        <v>37.637346600000001</v>
      </c>
      <c r="T146" s="190">
        <v>37.518616800000011</v>
      </c>
      <c r="U146" s="190">
        <v>37.399887000000014</v>
      </c>
      <c r="V146" s="190">
        <v>37.28115720000001</v>
      </c>
      <c r="W146" s="190">
        <v>37.16242740000002</v>
      </c>
      <c r="X146" s="190">
        <v>37.043697600000016</v>
      </c>
      <c r="Y146" s="190">
        <v>36.924967800000026</v>
      </c>
      <c r="Z146" s="190">
        <v>36.806238000000029</v>
      </c>
      <c r="AA146" s="190">
        <v>36.687508200000032</v>
      </c>
      <c r="AB146" s="190">
        <v>36.568778400000035</v>
      </c>
      <c r="AC146" s="190">
        <v>36.450048600000038</v>
      </c>
      <c r="AD146" s="190">
        <v>36.331318800000041</v>
      </c>
      <c r="AE146" s="190">
        <v>36.212589000000051</v>
      </c>
      <c r="AF146" s="190">
        <v>36.093859200000047</v>
      </c>
      <c r="AG146" s="190">
        <v>35.97512940000005</v>
      </c>
      <c r="AH146" s="190">
        <v>35.856399600000046</v>
      </c>
      <c r="AI146" s="190">
        <v>35.737669800000049</v>
      </c>
      <c r="AJ146" s="190">
        <v>35.618940000000045</v>
      </c>
    </row>
    <row r="147" spans="1:36" hidden="1" x14ac:dyDescent="0.35">
      <c r="A147" t="s">
        <v>1555</v>
      </c>
      <c r="B147" s="188" t="s">
        <v>1342</v>
      </c>
      <c r="C147" t="s">
        <v>1343</v>
      </c>
      <c r="D147" s="188">
        <v>30</v>
      </c>
      <c r="E147" t="s">
        <v>1500</v>
      </c>
      <c r="F147" t="s">
        <v>1556</v>
      </c>
      <c r="G147" s="189" t="s">
        <v>1557</v>
      </c>
      <c r="H147" s="190">
        <v>39.259987199999998</v>
      </c>
      <c r="I147" s="190">
        <v>39.101680799999997</v>
      </c>
      <c r="J147" s="190">
        <v>38.943374399999996</v>
      </c>
      <c r="K147" s="190">
        <v>38.785067999999995</v>
      </c>
      <c r="L147" s="190">
        <v>38.626761599999995</v>
      </c>
      <c r="M147" s="190">
        <v>38.468455199999994</v>
      </c>
      <c r="N147" s="190">
        <v>38.3101488</v>
      </c>
      <c r="O147" s="190">
        <v>38.1518424</v>
      </c>
      <c r="P147" s="190">
        <v>37.993535999999999</v>
      </c>
      <c r="Q147" s="190">
        <v>37.874806199999995</v>
      </c>
      <c r="R147" s="190">
        <v>37.756076400000005</v>
      </c>
      <c r="S147" s="190">
        <v>37.637346600000001</v>
      </c>
      <c r="T147" s="190">
        <v>37.518616800000011</v>
      </c>
      <c r="U147" s="190">
        <v>37.399887000000014</v>
      </c>
      <c r="V147" s="190">
        <v>37.28115720000001</v>
      </c>
      <c r="W147" s="190">
        <v>37.16242740000002</v>
      </c>
      <c r="X147" s="190">
        <v>37.043697600000016</v>
      </c>
      <c r="Y147" s="190">
        <v>36.924967800000026</v>
      </c>
      <c r="Z147" s="190">
        <v>36.806238000000029</v>
      </c>
      <c r="AA147" s="190">
        <v>36.687508200000032</v>
      </c>
      <c r="AB147" s="190">
        <v>36.568778400000035</v>
      </c>
      <c r="AC147" s="190">
        <v>36.450048600000038</v>
      </c>
      <c r="AD147" s="190">
        <v>36.331318800000041</v>
      </c>
      <c r="AE147" s="190">
        <v>36.212589000000051</v>
      </c>
      <c r="AF147" s="190">
        <v>36.093859200000047</v>
      </c>
      <c r="AG147" s="190">
        <v>35.97512940000005</v>
      </c>
      <c r="AH147" s="190">
        <v>35.856399600000046</v>
      </c>
      <c r="AI147" s="190">
        <v>35.737669800000049</v>
      </c>
      <c r="AJ147" s="190">
        <v>35.618940000000045</v>
      </c>
    </row>
    <row r="148" spans="1:36" hidden="1" x14ac:dyDescent="0.35">
      <c r="A148" t="s">
        <v>1558</v>
      </c>
      <c r="B148" s="188" t="s">
        <v>1342</v>
      </c>
      <c r="C148" t="s">
        <v>1348</v>
      </c>
      <c r="D148" s="188">
        <v>30</v>
      </c>
      <c r="E148" t="s">
        <v>1500</v>
      </c>
      <c r="F148" t="s">
        <v>1556</v>
      </c>
      <c r="G148" s="189" t="s">
        <v>1557</v>
      </c>
      <c r="H148" s="190">
        <v>39.259987199999998</v>
      </c>
      <c r="I148" s="190">
        <v>39.101680799999997</v>
      </c>
      <c r="J148" s="190">
        <v>38.943374399999996</v>
      </c>
      <c r="K148" s="190">
        <v>38.785067999999995</v>
      </c>
      <c r="L148" s="190">
        <v>38.626761599999995</v>
      </c>
      <c r="M148" s="190">
        <v>38.468455199999994</v>
      </c>
      <c r="N148" s="190">
        <v>38.3101488</v>
      </c>
      <c r="O148" s="190">
        <v>38.1518424</v>
      </c>
      <c r="P148" s="190">
        <v>37.993535999999999</v>
      </c>
      <c r="Q148" s="190">
        <v>37.874806199999995</v>
      </c>
      <c r="R148" s="190">
        <v>37.756076400000005</v>
      </c>
      <c r="S148" s="190">
        <v>37.637346600000001</v>
      </c>
      <c r="T148" s="190">
        <v>37.518616800000011</v>
      </c>
      <c r="U148" s="190">
        <v>37.399887000000014</v>
      </c>
      <c r="V148" s="190">
        <v>37.28115720000001</v>
      </c>
      <c r="W148" s="190">
        <v>37.16242740000002</v>
      </c>
      <c r="X148" s="190">
        <v>37.043697600000016</v>
      </c>
      <c r="Y148" s="190">
        <v>36.924967800000026</v>
      </c>
      <c r="Z148" s="190">
        <v>36.806238000000029</v>
      </c>
      <c r="AA148" s="190">
        <v>36.687508200000032</v>
      </c>
      <c r="AB148" s="190">
        <v>36.568778400000035</v>
      </c>
      <c r="AC148" s="190">
        <v>36.450048600000038</v>
      </c>
      <c r="AD148" s="190">
        <v>36.331318800000041</v>
      </c>
      <c r="AE148" s="190">
        <v>36.212589000000051</v>
      </c>
      <c r="AF148" s="190">
        <v>36.093859200000047</v>
      </c>
      <c r="AG148" s="190">
        <v>35.97512940000005</v>
      </c>
      <c r="AH148" s="190">
        <v>35.856399600000046</v>
      </c>
      <c r="AI148" s="190">
        <v>35.737669800000049</v>
      </c>
      <c r="AJ148" s="190">
        <v>35.618940000000045</v>
      </c>
    </row>
    <row r="149" spans="1:36" hidden="1" x14ac:dyDescent="0.35">
      <c r="A149" t="s">
        <v>1559</v>
      </c>
      <c r="B149" s="188" t="s">
        <v>1342</v>
      </c>
      <c r="C149" t="s">
        <v>1350</v>
      </c>
      <c r="D149" s="188">
        <v>30</v>
      </c>
      <c r="E149" t="s">
        <v>1500</v>
      </c>
      <c r="F149" t="s">
        <v>1556</v>
      </c>
      <c r="G149" s="189" t="s">
        <v>1557</v>
      </c>
      <c r="H149" s="190">
        <v>39.259987199999998</v>
      </c>
      <c r="I149" s="190">
        <v>39.101680799999997</v>
      </c>
      <c r="J149" s="190">
        <v>38.943374399999996</v>
      </c>
      <c r="K149" s="190">
        <v>38.785067999999995</v>
      </c>
      <c r="L149" s="190">
        <v>38.626761599999995</v>
      </c>
      <c r="M149" s="190">
        <v>38.468455199999994</v>
      </c>
      <c r="N149" s="190">
        <v>38.3101488</v>
      </c>
      <c r="O149" s="190">
        <v>38.1518424</v>
      </c>
      <c r="P149" s="190">
        <v>37.993535999999999</v>
      </c>
      <c r="Q149" s="190">
        <v>37.874806199999995</v>
      </c>
      <c r="R149" s="190">
        <v>37.756076400000005</v>
      </c>
      <c r="S149" s="190">
        <v>37.637346600000001</v>
      </c>
      <c r="T149" s="190">
        <v>37.518616800000011</v>
      </c>
      <c r="U149" s="190">
        <v>37.399887000000014</v>
      </c>
      <c r="V149" s="190">
        <v>37.28115720000001</v>
      </c>
      <c r="W149" s="190">
        <v>37.16242740000002</v>
      </c>
      <c r="X149" s="190">
        <v>37.043697600000016</v>
      </c>
      <c r="Y149" s="190">
        <v>36.924967800000026</v>
      </c>
      <c r="Z149" s="190">
        <v>36.806238000000029</v>
      </c>
      <c r="AA149" s="190">
        <v>36.687508200000032</v>
      </c>
      <c r="AB149" s="190">
        <v>36.568778400000035</v>
      </c>
      <c r="AC149" s="190">
        <v>36.450048600000038</v>
      </c>
      <c r="AD149" s="190">
        <v>36.331318800000041</v>
      </c>
      <c r="AE149" s="190">
        <v>36.212589000000051</v>
      </c>
      <c r="AF149" s="190">
        <v>36.093859200000047</v>
      </c>
      <c r="AG149" s="190">
        <v>35.97512940000005</v>
      </c>
      <c r="AH149" s="190">
        <v>35.856399600000046</v>
      </c>
      <c r="AI149" s="190">
        <v>35.737669800000049</v>
      </c>
      <c r="AJ149" s="190">
        <v>35.618940000000045</v>
      </c>
    </row>
    <row r="150" spans="1:36" hidden="1" x14ac:dyDescent="0.35">
      <c r="A150" t="s">
        <v>1560</v>
      </c>
      <c r="B150" s="188" t="s">
        <v>1342</v>
      </c>
      <c r="C150" t="s">
        <v>1343</v>
      </c>
      <c r="D150" s="188">
        <v>30</v>
      </c>
      <c r="E150" t="s">
        <v>1500</v>
      </c>
      <c r="F150" t="s">
        <v>1561</v>
      </c>
      <c r="G150" s="189" t="s">
        <v>1562</v>
      </c>
      <c r="H150" s="190">
        <v>39.259987199999998</v>
      </c>
      <c r="I150" s="190">
        <v>39.101680799999997</v>
      </c>
      <c r="J150" s="190">
        <v>38.943374399999996</v>
      </c>
      <c r="K150" s="190">
        <v>38.785067999999995</v>
      </c>
      <c r="L150" s="190">
        <v>38.626761599999995</v>
      </c>
      <c r="M150" s="190">
        <v>38.468455199999994</v>
      </c>
      <c r="N150" s="190">
        <v>38.3101488</v>
      </c>
      <c r="O150" s="190">
        <v>38.1518424</v>
      </c>
      <c r="P150" s="190">
        <v>37.993535999999999</v>
      </c>
      <c r="Q150" s="190">
        <v>37.874806199999995</v>
      </c>
      <c r="R150" s="190">
        <v>37.756076400000005</v>
      </c>
      <c r="S150" s="190">
        <v>37.637346600000001</v>
      </c>
      <c r="T150" s="190">
        <v>37.518616800000011</v>
      </c>
      <c r="U150" s="190">
        <v>37.399887000000014</v>
      </c>
      <c r="V150" s="190">
        <v>37.28115720000001</v>
      </c>
      <c r="W150" s="190">
        <v>37.16242740000002</v>
      </c>
      <c r="X150" s="190">
        <v>37.043697600000016</v>
      </c>
      <c r="Y150" s="190">
        <v>36.924967800000026</v>
      </c>
      <c r="Z150" s="190">
        <v>36.806238000000029</v>
      </c>
      <c r="AA150" s="190">
        <v>36.687508200000032</v>
      </c>
      <c r="AB150" s="190">
        <v>36.568778400000035</v>
      </c>
      <c r="AC150" s="190">
        <v>36.450048600000038</v>
      </c>
      <c r="AD150" s="190">
        <v>36.331318800000041</v>
      </c>
      <c r="AE150" s="190">
        <v>36.212589000000051</v>
      </c>
      <c r="AF150" s="190">
        <v>36.093859200000047</v>
      </c>
      <c r="AG150" s="190">
        <v>35.97512940000005</v>
      </c>
      <c r="AH150" s="190">
        <v>35.856399600000046</v>
      </c>
      <c r="AI150" s="190">
        <v>35.737669800000049</v>
      </c>
      <c r="AJ150" s="190">
        <v>35.618940000000045</v>
      </c>
    </row>
    <row r="151" spans="1:36" hidden="1" x14ac:dyDescent="0.35">
      <c r="A151" t="s">
        <v>1563</v>
      </c>
      <c r="B151" s="188" t="s">
        <v>1342</v>
      </c>
      <c r="C151" t="s">
        <v>1348</v>
      </c>
      <c r="D151" s="188">
        <v>30</v>
      </c>
      <c r="E151" t="s">
        <v>1500</v>
      </c>
      <c r="F151" t="s">
        <v>1561</v>
      </c>
      <c r="G151" s="189" t="s">
        <v>1562</v>
      </c>
      <c r="H151" s="190">
        <v>39.259987199999998</v>
      </c>
      <c r="I151" s="190">
        <v>39.101680799999997</v>
      </c>
      <c r="J151" s="190">
        <v>38.943374399999996</v>
      </c>
      <c r="K151" s="190">
        <v>38.785067999999995</v>
      </c>
      <c r="L151" s="190">
        <v>38.626761599999995</v>
      </c>
      <c r="M151" s="190">
        <v>38.468455199999994</v>
      </c>
      <c r="N151" s="190">
        <v>38.3101488</v>
      </c>
      <c r="O151" s="190">
        <v>38.1518424</v>
      </c>
      <c r="P151" s="190">
        <v>37.993535999999999</v>
      </c>
      <c r="Q151" s="190">
        <v>37.874806199999995</v>
      </c>
      <c r="R151" s="190">
        <v>37.756076400000005</v>
      </c>
      <c r="S151" s="190">
        <v>37.637346600000001</v>
      </c>
      <c r="T151" s="190">
        <v>37.518616800000011</v>
      </c>
      <c r="U151" s="190">
        <v>37.399887000000014</v>
      </c>
      <c r="V151" s="190">
        <v>37.28115720000001</v>
      </c>
      <c r="W151" s="190">
        <v>37.16242740000002</v>
      </c>
      <c r="X151" s="190">
        <v>37.043697600000016</v>
      </c>
      <c r="Y151" s="190">
        <v>36.924967800000026</v>
      </c>
      <c r="Z151" s="190">
        <v>36.806238000000029</v>
      </c>
      <c r="AA151" s="190">
        <v>36.687508200000032</v>
      </c>
      <c r="AB151" s="190">
        <v>36.568778400000035</v>
      </c>
      <c r="AC151" s="190">
        <v>36.450048600000038</v>
      </c>
      <c r="AD151" s="190">
        <v>36.331318800000041</v>
      </c>
      <c r="AE151" s="190">
        <v>36.212589000000051</v>
      </c>
      <c r="AF151" s="190">
        <v>36.093859200000047</v>
      </c>
      <c r="AG151" s="190">
        <v>35.97512940000005</v>
      </c>
      <c r="AH151" s="190">
        <v>35.856399600000046</v>
      </c>
      <c r="AI151" s="190">
        <v>35.737669800000049</v>
      </c>
      <c r="AJ151" s="190">
        <v>35.618940000000045</v>
      </c>
    </row>
    <row r="152" spans="1:36" hidden="1" x14ac:dyDescent="0.35">
      <c r="A152" t="s">
        <v>1564</v>
      </c>
      <c r="B152" s="188" t="s">
        <v>1342</v>
      </c>
      <c r="C152" t="s">
        <v>1350</v>
      </c>
      <c r="D152" s="188">
        <v>30</v>
      </c>
      <c r="E152" t="s">
        <v>1500</v>
      </c>
      <c r="F152" t="s">
        <v>1561</v>
      </c>
      <c r="G152" s="189" t="s">
        <v>1562</v>
      </c>
      <c r="H152" s="190">
        <v>39.259987199999998</v>
      </c>
      <c r="I152" s="190">
        <v>39.101680799999997</v>
      </c>
      <c r="J152" s="190">
        <v>38.943374399999996</v>
      </c>
      <c r="K152" s="190">
        <v>38.785067999999995</v>
      </c>
      <c r="L152" s="190">
        <v>38.626761599999995</v>
      </c>
      <c r="M152" s="190">
        <v>38.468455199999994</v>
      </c>
      <c r="N152" s="190">
        <v>38.3101488</v>
      </c>
      <c r="O152" s="190">
        <v>38.1518424</v>
      </c>
      <c r="P152" s="190">
        <v>37.993535999999999</v>
      </c>
      <c r="Q152" s="190">
        <v>37.874806199999995</v>
      </c>
      <c r="R152" s="190">
        <v>37.756076400000005</v>
      </c>
      <c r="S152" s="190">
        <v>37.637346600000001</v>
      </c>
      <c r="T152" s="190">
        <v>37.518616800000011</v>
      </c>
      <c r="U152" s="190">
        <v>37.399887000000014</v>
      </c>
      <c r="V152" s="190">
        <v>37.28115720000001</v>
      </c>
      <c r="W152" s="190">
        <v>37.16242740000002</v>
      </c>
      <c r="X152" s="190">
        <v>37.043697600000016</v>
      </c>
      <c r="Y152" s="190">
        <v>36.924967800000026</v>
      </c>
      <c r="Z152" s="190">
        <v>36.806238000000029</v>
      </c>
      <c r="AA152" s="190">
        <v>36.687508200000032</v>
      </c>
      <c r="AB152" s="190">
        <v>36.568778400000035</v>
      </c>
      <c r="AC152" s="190">
        <v>36.450048600000038</v>
      </c>
      <c r="AD152" s="190">
        <v>36.331318800000041</v>
      </c>
      <c r="AE152" s="190">
        <v>36.212589000000051</v>
      </c>
      <c r="AF152" s="190">
        <v>36.093859200000047</v>
      </c>
      <c r="AG152" s="190">
        <v>35.97512940000005</v>
      </c>
      <c r="AH152" s="190">
        <v>35.856399600000046</v>
      </c>
      <c r="AI152" s="190">
        <v>35.737669800000049</v>
      </c>
      <c r="AJ152" s="190">
        <v>35.618940000000045</v>
      </c>
    </row>
    <row r="153" spans="1:36" hidden="1" x14ac:dyDescent="0.35">
      <c r="A153" t="s">
        <v>1565</v>
      </c>
      <c r="B153" s="188" t="s">
        <v>1342</v>
      </c>
      <c r="C153" t="s">
        <v>1343</v>
      </c>
      <c r="D153" s="188">
        <v>30</v>
      </c>
      <c r="E153" t="s">
        <v>1500</v>
      </c>
      <c r="F153" t="s">
        <v>1566</v>
      </c>
      <c r="G153" s="189" t="s">
        <v>1567</v>
      </c>
      <c r="H153" s="190">
        <v>39.259987199999998</v>
      </c>
      <c r="I153" s="190">
        <v>39.101680799999997</v>
      </c>
      <c r="J153" s="190">
        <v>38.943374399999996</v>
      </c>
      <c r="K153" s="190">
        <v>38.785067999999995</v>
      </c>
      <c r="L153" s="190">
        <v>38.626761599999995</v>
      </c>
      <c r="M153" s="190">
        <v>38.468455199999994</v>
      </c>
      <c r="N153" s="190">
        <v>38.3101488</v>
      </c>
      <c r="O153" s="190">
        <v>38.1518424</v>
      </c>
      <c r="P153" s="190">
        <v>37.993535999999999</v>
      </c>
      <c r="Q153" s="190">
        <v>37.874806199999995</v>
      </c>
      <c r="R153" s="190">
        <v>37.756076400000005</v>
      </c>
      <c r="S153" s="190">
        <v>37.637346600000001</v>
      </c>
      <c r="T153" s="190">
        <v>37.518616800000011</v>
      </c>
      <c r="U153" s="190">
        <v>37.399887000000014</v>
      </c>
      <c r="V153" s="190">
        <v>37.28115720000001</v>
      </c>
      <c r="W153" s="190">
        <v>37.16242740000002</v>
      </c>
      <c r="X153" s="190">
        <v>37.043697600000016</v>
      </c>
      <c r="Y153" s="190">
        <v>36.924967800000026</v>
      </c>
      <c r="Z153" s="190">
        <v>36.806238000000029</v>
      </c>
      <c r="AA153" s="190">
        <v>36.687508200000032</v>
      </c>
      <c r="AB153" s="190">
        <v>36.568778400000035</v>
      </c>
      <c r="AC153" s="190">
        <v>36.450048600000038</v>
      </c>
      <c r="AD153" s="190">
        <v>36.331318800000041</v>
      </c>
      <c r="AE153" s="190">
        <v>36.212589000000051</v>
      </c>
      <c r="AF153" s="190">
        <v>36.093859200000047</v>
      </c>
      <c r="AG153" s="190">
        <v>35.97512940000005</v>
      </c>
      <c r="AH153" s="190">
        <v>35.856399600000046</v>
      </c>
      <c r="AI153" s="190">
        <v>35.737669800000049</v>
      </c>
      <c r="AJ153" s="190">
        <v>35.618940000000045</v>
      </c>
    </row>
    <row r="154" spans="1:36" hidden="1" x14ac:dyDescent="0.35">
      <c r="A154" t="s">
        <v>1568</v>
      </c>
      <c r="B154" s="188" t="s">
        <v>1342</v>
      </c>
      <c r="C154" t="s">
        <v>1348</v>
      </c>
      <c r="D154" s="188">
        <v>30</v>
      </c>
      <c r="E154" t="s">
        <v>1500</v>
      </c>
      <c r="F154" t="s">
        <v>1566</v>
      </c>
      <c r="G154" s="189" t="s">
        <v>1567</v>
      </c>
      <c r="H154" s="190">
        <v>39.259987199999998</v>
      </c>
      <c r="I154" s="190">
        <v>39.101680799999997</v>
      </c>
      <c r="J154" s="190">
        <v>38.943374399999996</v>
      </c>
      <c r="K154" s="190">
        <v>38.785067999999995</v>
      </c>
      <c r="L154" s="190">
        <v>38.626761599999995</v>
      </c>
      <c r="M154" s="190">
        <v>38.468455199999994</v>
      </c>
      <c r="N154" s="190">
        <v>38.3101488</v>
      </c>
      <c r="O154" s="190">
        <v>38.1518424</v>
      </c>
      <c r="P154" s="190">
        <v>37.993535999999999</v>
      </c>
      <c r="Q154" s="190">
        <v>37.874806199999995</v>
      </c>
      <c r="R154" s="190">
        <v>37.756076400000005</v>
      </c>
      <c r="S154" s="190">
        <v>37.637346600000001</v>
      </c>
      <c r="T154" s="190">
        <v>37.518616800000011</v>
      </c>
      <c r="U154" s="190">
        <v>37.399887000000014</v>
      </c>
      <c r="V154" s="190">
        <v>37.28115720000001</v>
      </c>
      <c r="W154" s="190">
        <v>37.16242740000002</v>
      </c>
      <c r="X154" s="190">
        <v>37.043697600000016</v>
      </c>
      <c r="Y154" s="190">
        <v>36.924967800000026</v>
      </c>
      <c r="Z154" s="190">
        <v>36.806238000000029</v>
      </c>
      <c r="AA154" s="190">
        <v>36.687508200000032</v>
      </c>
      <c r="AB154" s="190">
        <v>36.568778400000035</v>
      </c>
      <c r="AC154" s="190">
        <v>36.450048600000038</v>
      </c>
      <c r="AD154" s="190">
        <v>36.331318800000041</v>
      </c>
      <c r="AE154" s="190">
        <v>36.212589000000051</v>
      </c>
      <c r="AF154" s="190">
        <v>36.093859200000047</v>
      </c>
      <c r="AG154" s="190">
        <v>35.97512940000005</v>
      </c>
      <c r="AH154" s="190">
        <v>35.856399600000046</v>
      </c>
      <c r="AI154" s="190">
        <v>35.737669800000049</v>
      </c>
      <c r="AJ154" s="190">
        <v>35.618940000000045</v>
      </c>
    </row>
    <row r="155" spans="1:36" hidden="1" x14ac:dyDescent="0.35">
      <c r="A155" t="s">
        <v>1569</v>
      </c>
      <c r="B155" s="188" t="s">
        <v>1342</v>
      </c>
      <c r="C155" t="s">
        <v>1350</v>
      </c>
      <c r="D155" s="188">
        <v>30</v>
      </c>
      <c r="E155" t="s">
        <v>1500</v>
      </c>
      <c r="F155" t="s">
        <v>1566</v>
      </c>
      <c r="G155" s="189" t="s">
        <v>1567</v>
      </c>
      <c r="H155" s="190">
        <v>39.259987199999998</v>
      </c>
      <c r="I155" s="190">
        <v>39.101680799999997</v>
      </c>
      <c r="J155" s="190">
        <v>38.943374399999996</v>
      </c>
      <c r="K155" s="190">
        <v>38.785067999999995</v>
      </c>
      <c r="L155" s="190">
        <v>38.626761599999995</v>
      </c>
      <c r="M155" s="190">
        <v>38.468455199999994</v>
      </c>
      <c r="N155" s="190">
        <v>38.3101488</v>
      </c>
      <c r="O155" s="190">
        <v>38.1518424</v>
      </c>
      <c r="P155" s="190">
        <v>37.993535999999999</v>
      </c>
      <c r="Q155" s="190">
        <v>37.874806199999995</v>
      </c>
      <c r="R155" s="190">
        <v>37.756076400000005</v>
      </c>
      <c r="S155" s="190">
        <v>37.637346600000001</v>
      </c>
      <c r="T155" s="190">
        <v>37.518616800000011</v>
      </c>
      <c r="U155" s="190">
        <v>37.399887000000014</v>
      </c>
      <c r="V155" s="190">
        <v>37.28115720000001</v>
      </c>
      <c r="W155" s="190">
        <v>37.16242740000002</v>
      </c>
      <c r="X155" s="190">
        <v>37.043697600000016</v>
      </c>
      <c r="Y155" s="190">
        <v>36.924967800000026</v>
      </c>
      <c r="Z155" s="190">
        <v>36.806238000000029</v>
      </c>
      <c r="AA155" s="190">
        <v>36.687508200000032</v>
      </c>
      <c r="AB155" s="190">
        <v>36.568778400000035</v>
      </c>
      <c r="AC155" s="190">
        <v>36.450048600000038</v>
      </c>
      <c r="AD155" s="190">
        <v>36.331318800000041</v>
      </c>
      <c r="AE155" s="190">
        <v>36.212589000000051</v>
      </c>
      <c r="AF155" s="190">
        <v>36.093859200000047</v>
      </c>
      <c r="AG155" s="190">
        <v>35.97512940000005</v>
      </c>
      <c r="AH155" s="190">
        <v>35.856399600000046</v>
      </c>
      <c r="AI155" s="190">
        <v>35.737669800000049</v>
      </c>
      <c r="AJ155" s="190">
        <v>35.618940000000045</v>
      </c>
    </row>
    <row r="156" spans="1:36" hidden="1" x14ac:dyDescent="0.35">
      <c r="A156" t="s">
        <v>1570</v>
      </c>
      <c r="B156" s="188" t="s">
        <v>1342</v>
      </c>
      <c r="C156" t="s">
        <v>1343</v>
      </c>
      <c r="D156" s="188">
        <v>30</v>
      </c>
      <c r="E156" t="s">
        <v>1500</v>
      </c>
      <c r="F156" t="s">
        <v>1571</v>
      </c>
      <c r="G156" s="189" t="s">
        <v>1572</v>
      </c>
      <c r="H156" s="190">
        <v>39.259987199999998</v>
      </c>
      <c r="I156" s="190">
        <v>39.101680799999997</v>
      </c>
      <c r="J156" s="190">
        <v>38.943374399999996</v>
      </c>
      <c r="K156" s="190">
        <v>38.785067999999995</v>
      </c>
      <c r="L156" s="190">
        <v>38.626761599999995</v>
      </c>
      <c r="M156" s="190">
        <v>38.468455199999994</v>
      </c>
      <c r="N156" s="190">
        <v>38.3101488</v>
      </c>
      <c r="O156" s="190">
        <v>38.1518424</v>
      </c>
      <c r="P156" s="190">
        <v>37.993535999999999</v>
      </c>
      <c r="Q156" s="190">
        <v>37.874806199999995</v>
      </c>
      <c r="R156" s="190">
        <v>37.756076400000005</v>
      </c>
      <c r="S156" s="190">
        <v>37.637346600000001</v>
      </c>
      <c r="T156" s="190">
        <v>37.518616800000011</v>
      </c>
      <c r="U156" s="190">
        <v>37.399887000000014</v>
      </c>
      <c r="V156" s="190">
        <v>37.28115720000001</v>
      </c>
      <c r="W156" s="190">
        <v>37.16242740000002</v>
      </c>
      <c r="X156" s="190">
        <v>37.043697600000016</v>
      </c>
      <c r="Y156" s="190">
        <v>36.924967800000026</v>
      </c>
      <c r="Z156" s="190">
        <v>36.806238000000029</v>
      </c>
      <c r="AA156" s="190">
        <v>36.687508200000032</v>
      </c>
      <c r="AB156" s="190">
        <v>36.568778400000035</v>
      </c>
      <c r="AC156" s="190">
        <v>36.450048600000038</v>
      </c>
      <c r="AD156" s="190">
        <v>36.331318800000041</v>
      </c>
      <c r="AE156" s="190">
        <v>36.212589000000051</v>
      </c>
      <c r="AF156" s="190">
        <v>36.093859200000047</v>
      </c>
      <c r="AG156" s="190">
        <v>35.97512940000005</v>
      </c>
      <c r="AH156" s="190">
        <v>35.856399600000046</v>
      </c>
      <c r="AI156" s="190">
        <v>35.737669800000049</v>
      </c>
      <c r="AJ156" s="190">
        <v>35.618940000000045</v>
      </c>
    </row>
    <row r="157" spans="1:36" hidden="1" x14ac:dyDescent="0.35">
      <c r="A157" t="s">
        <v>1573</v>
      </c>
      <c r="B157" s="188" t="s">
        <v>1342</v>
      </c>
      <c r="C157" t="s">
        <v>1348</v>
      </c>
      <c r="D157" s="188">
        <v>30</v>
      </c>
      <c r="E157" t="s">
        <v>1500</v>
      </c>
      <c r="F157" t="s">
        <v>1571</v>
      </c>
      <c r="G157" s="189" t="s">
        <v>1572</v>
      </c>
      <c r="H157" s="190">
        <v>39.259987199999998</v>
      </c>
      <c r="I157" s="190">
        <v>39.101680799999997</v>
      </c>
      <c r="J157" s="190">
        <v>38.943374399999996</v>
      </c>
      <c r="K157" s="190">
        <v>38.785067999999995</v>
      </c>
      <c r="L157" s="190">
        <v>38.626761599999995</v>
      </c>
      <c r="M157" s="190">
        <v>38.468455199999994</v>
      </c>
      <c r="N157" s="190">
        <v>38.3101488</v>
      </c>
      <c r="O157" s="190">
        <v>38.1518424</v>
      </c>
      <c r="P157" s="190">
        <v>37.993535999999999</v>
      </c>
      <c r="Q157" s="190">
        <v>37.874806199999995</v>
      </c>
      <c r="R157" s="190">
        <v>37.756076400000005</v>
      </c>
      <c r="S157" s="190">
        <v>37.637346600000001</v>
      </c>
      <c r="T157" s="190">
        <v>37.518616800000011</v>
      </c>
      <c r="U157" s="190">
        <v>37.399887000000014</v>
      </c>
      <c r="V157" s="190">
        <v>37.28115720000001</v>
      </c>
      <c r="W157" s="190">
        <v>37.16242740000002</v>
      </c>
      <c r="X157" s="190">
        <v>37.043697600000016</v>
      </c>
      <c r="Y157" s="190">
        <v>36.924967800000026</v>
      </c>
      <c r="Z157" s="190">
        <v>36.806238000000029</v>
      </c>
      <c r="AA157" s="190">
        <v>36.687508200000032</v>
      </c>
      <c r="AB157" s="190">
        <v>36.568778400000035</v>
      </c>
      <c r="AC157" s="190">
        <v>36.450048600000038</v>
      </c>
      <c r="AD157" s="190">
        <v>36.331318800000041</v>
      </c>
      <c r="AE157" s="190">
        <v>36.212589000000051</v>
      </c>
      <c r="AF157" s="190">
        <v>36.093859200000047</v>
      </c>
      <c r="AG157" s="190">
        <v>35.97512940000005</v>
      </c>
      <c r="AH157" s="190">
        <v>35.856399600000046</v>
      </c>
      <c r="AI157" s="190">
        <v>35.737669800000049</v>
      </c>
      <c r="AJ157" s="190">
        <v>35.618940000000045</v>
      </c>
    </row>
    <row r="158" spans="1:36" hidden="1" x14ac:dyDescent="0.35">
      <c r="A158" t="s">
        <v>1574</v>
      </c>
      <c r="B158" s="188" t="s">
        <v>1342</v>
      </c>
      <c r="C158" t="s">
        <v>1350</v>
      </c>
      <c r="D158" s="188">
        <v>30</v>
      </c>
      <c r="E158" t="s">
        <v>1500</v>
      </c>
      <c r="F158" t="s">
        <v>1571</v>
      </c>
      <c r="G158" s="189" t="s">
        <v>1572</v>
      </c>
      <c r="H158" s="190">
        <v>39.259987199999998</v>
      </c>
      <c r="I158" s="190">
        <v>39.101680799999997</v>
      </c>
      <c r="J158" s="190">
        <v>38.943374399999996</v>
      </c>
      <c r="K158" s="190">
        <v>38.785067999999995</v>
      </c>
      <c r="L158" s="190">
        <v>38.626761599999995</v>
      </c>
      <c r="M158" s="190">
        <v>38.468455199999994</v>
      </c>
      <c r="N158" s="190">
        <v>38.3101488</v>
      </c>
      <c r="O158" s="190">
        <v>38.1518424</v>
      </c>
      <c r="P158" s="190">
        <v>37.993535999999999</v>
      </c>
      <c r="Q158" s="190">
        <v>37.874806199999995</v>
      </c>
      <c r="R158" s="190">
        <v>37.756076400000005</v>
      </c>
      <c r="S158" s="190">
        <v>37.637346600000001</v>
      </c>
      <c r="T158" s="190">
        <v>37.518616800000011</v>
      </c>
      <c r="U158" s="190">
        <v>37.399887000000014</v>
      </c>
      <c r="V158" s="190">
        <v>37.28115720000001</v>
      </c>
      <c r="W158" s="190">
        <v>37.16242740000002</v>
      </c>
      <c r="X158" s="190">
        <v>37.043697600000016</v>
      </c>
      <c r="Y158" s="190">
        <v>36.924967800000026</v>
      </c>
      <c r="Z158" s="190">
        <v>36.806238000000029</v>
      </c>
      <c r="AA158" s="190">
        <v>36.687508200000032</v>
      </c>
      <c r="AB158" s="190">
        <v>36.568778400000035</v>
      </c>
      <c r="AC158" s="190">
        <v>36.450048600000038</v>
      </c>
      <c r="AD158" s="190">
        <v>36.331318800000041</v>
      </c>
      <c r="AE158" s="190">
        <v>36.212589000000051</v>
      </c>
      <c r="AF158" s="190">
        <v>36.093859200000047</v>
      </c>
      <c r="AG158" s="190">
        <v>35.97512940000005</v>
      </c>
      <c r="AH158" s="190">
        <v>35.856399600000046</v>
      </c>
      <c r="AI158" s="190">
        <v>35.737669800000049</v>
      </c>
      <c r="AJ158" s="190">
        <v>35.618940000000045</v>
      </c>
    </row>
    <row r="159" spans="1:36" hidden="1" x14ac:dyDescent="0.35">
      <c r="A159" t="s">
        <v>1575</v>
      </c>
      <c r="B159" s="188" t="s">
        <v>1342</v>
      </c>
      <c r="C159" t="s">
        <v>1343</v>
      </c>
      <c r="D159" s="188">
        <v>30</v>
      </c>
      <c r="E159" t="s">
        <v>1500</v>
      </c>
      <c r="F159" t="s">
        <v>1576</v>
      </c>
      <c r="G159" s="189" t="s">
        <v>1577</v>
      </c>
      <c r="H159" s="190">
        <v>39.259987199999998</v>
      </c>
      <c r="I159" s="190">
        <v>39.101680799999997</v>
      </c>
      <c r="J159" s="190">
        <v>38.943374399999996</v>
      </c>
      <c r="K159" s="190">
        <v>38.785067999999995</v>
      </c>
      <c r="L159" s="190">
        <v>38.626761599999995</v>
      </c>
      <c r="M159" s="190">
        <v>38.468455199999994</v>
      </c>
      <c r="N159" s="190">
        <v>38.3101488</v>
      </c>
      <c r="O159" s="190">
        <v>38.1518424</v>
      </c>
      <c r="P159" s="190">
        <v>37.993535999999999</v>
      </c>
      <c r="Q159" s="190">
        <v>37.874806199999995</v>
      </c>
      <c r="R159" s="190">
        <v>37.756076400000005</v>
      </c>
      <c r="S159" s="190">
        <v>37.637346600000001</v>
      </c>
      <c r="T159" s="190">
        <v>37.518616800000011</v>
      </c>
      <c r="U159" s="190">
        <v>37.399887000000014</v>
      </c>
      <c r="V159" s="190">
        <v>37.28115720000001</v>
      </c>
      <c r="W159" s="190">
        <v>37.16242740000002</v>
      </c>
      <c r="X159" s="190">
        <v>37.043697600000016</v>
      </c>
      <c r="Y159" s="190">
        <v>36.924967800000026</v>
      </c>
      <c r="Z159" s="190">
        <v>36.806238000000029</v>
      </c>
      <c r="AA159" s="190">
        <v>36.687508200000032</v>
      </c>
      <c r="AB159" s="190">
        <v>36.568778400000035</v>
      </c>
      <c r="AC159" s="190">
        <v>36.450048600000038</v>
      </c>
      <c r="AD159" s="190">
        <v>36.331318800000041</v>
      </c>
      <c r="AE159" s="190">
        <v>36.212589000000051</v>
      </c>
      <c r="AF159" s="190">
        <v>36.093859200000047</v>
      </c>
      <c r="AG159" s="190">
        <v>35.97512940000005</v>
      </c>
      <c r="AH159" s="190">
        <v>35.856399600000046</v>
      </c>
      <c r="AI159" s="190">
        <v>35.737669800000049</v>
      </c>
      <c r="AJ159" s="190">
        <v>35.618940000000045</v>
      </c>
    </row>
    <row r="160" spans="1:36" hidden="1" x14ac:dyDescent="0.35">
      <c r="A160" t="s">
        <v>1578</v>
      </c>
      <c r="B160" s="188" t="s">
        <v>1342</v>
      </c>
      <c r="C160" t="s">
        <v>1348</v>
      </c>
      <c r="D160" s="188">
        <v>30</v>
      </c>
      <c r="E160" t="s">
        <v>1500</v>
      </c>
      <c r="F160" t="s">
        <v>1576</v>
      </c>
      <c r="G160" s="189" t="s">
        <v>1577</v>
      </c>
      <c r="H160" s="190">
        <v>39.259987199999998</v>
      </c>
      <c r="I160" s="190">
        <v>39.101680799999997</v>
      </c>
      <c r="J160" s="190">
        <v>38.943374399999996</v>
      </c>
      <c r="K160" s="190">
        <v>38.785067999999995</v>
      </c>
      <c r="L160" s="190">
        <v>38.626761599999995</v>
      </c>
      <c r="M160" s="190">
        <v>38.468455199999994</v>
      </c>
      <c r="N160" s="190">
        <v>38.3101488</v>
      </c>
      <c r="O160" s="190">
        <v>38.1518424</v>
      </c>
      <c r="P160" s="190">
        <v>37.993535999999999</v>
      </c>
      <c r="Q160" s="190">
        <v>37.874806199999995</v>
      </c>
      <c r="R160" s="190">
        <v>37.756076400000005</v>
      </c>
      <c r="S160" s="190">
        <v>37.637346600000001</v>
      </c>
      <c r="T160" s="190">
        <v>37.518616800000011</v>
      </c>
      <c r="U160" s="190">
        <v>37.399887000000014</v>
      </c>
      <c r="V160" s="190">
        <v>37.28115720000001</v>
      </c>
      <c r="W160" s="190">
        <v>37.16242740000002</v>
      </c>
      <c r="X160" s="190">
        <v>37.043697600000016</v>
      </c>
      <c r="Y160" s="190">
        <v>36.924967800000026</v>
      </c>
      <c r="Z160" s="190">
        <v>36.806238000000029</v>
      </c>
      <c r="AA160" s="190">
        <v>36.687508200000032</v>
      </c>
      <c r="AB160" s="190">
        <v>36.568778400000035</v>
      </c>
      <c r="AC160" s="190">
        <v>36.450048600000038</v>
      </c>
      <c r="AD160" s="190">
        <v>36.331318800000041</v>
      </c>
      <c r="AE160" s="190">
        <v>36.212589000000051</v>
      </c>
      <c r="AF160" s="190">
        <v>36.093859200000047</v>
      </c>
      <c r="AG160" s="190">
        <v>35.97512940000005</v>
      </c>
      <c r="AH160" s="190">
        <v>35.856399600000046</v>
      </c>
      <c r="AI160" s="190">
        <v>35.737669800000049</v>
      </c>
      <c r="AJ160" s="190">
        <v>35.618940000000045</v>
      </c>
    </row>
    <row r="161" spans="1:36" hidden="1" x14ac:dyDescent="0.35">
      <c r="A161" t="s">
        <v>1579</v>
      </c>
      <c r="B161" s="188" t="s">
        <v>1342</v>
      </c>
      <c r="C161" t="s">
        <v>1350</v>
      </c>
      <c r="D161" s="188">
        <v>30</v>
      </c>
      <c r="E161" t="s">
        <v>1500</v>
      </c>
      <c r="F161" t="s">
        <v>1576</v>
      </c>
      <c r="G161" s="189" t="s">
        <v>1577</v>
      </c>
      <c r="H161" s="190">
        <v>39.259987199999998</v>
      </c>
      <c r="I161" s="190">
        <v>39.101680799999997</v>
      </c>
      <c r="J161" s="190">
        <v>38.943374399999996</v>
      </c>
      <c r="K161" s="190">
        <v>38.785067999999995</v>
      </c>
      <c r="L161" s="190">
        <v>38.626761599999995</v>
      </c>
      <c r="M161" s="190">
        <v>38.468455199999994</v>
      </c>
      <c r="N161" s="190">
        <v>38.3101488</v>
      </c>
      <c r="O161" s="190">
        <v>38.1518424</v>
      </c>
      <c r="P161" s="190">
        <v>37.993535999999999</v>
      </c>
      <c r="Q161" s="190">
        <v>37.874806199999995</v>
      </c>
      <c r="R161" s="190">
        <v>37.756076400000005</v>
      </c>
      <c r="S161" s="190">
        <v>37.637346600000001</v>
      </c>
      <c r="T161" s="190">
        <v>37.518616800000011</v>
      </c>
      <c r="U161" s="190">
        <v>37.399887000000014</v>
      </c>
      <c r="V161" s="190">
        <v>37.28115720000001</v>
      </c>
      <c r="W161" s="190">
        <v>37.16242740000002</v>
      </c>
      <c r="X161" s="190">
        <v>37.043697600000016</v>
      </c>
      <c r="Y161" s="190">
        <v>36.924967800000026</v>
      </c>
      <c r="Z161" s="190">
        <v>36.806238000000029</v>
      </c>
      <c r="AA161" s="190">
        <v>36.687508200000032</v>
      </c>
      <c r="AB161" s="190">
        <v>36.568778400000035</v>
      </c>
      <c r="AC161" s="190">
        <v>36.450048600000038</v>
      </c>
      <c r="AD161" s="190">
        <v>36.331318800000041</v>
      </c>
      <c r="AE161" s="190">
        <v>36.212589000000051</v>
      </c>
      <c r="AF161" s="190">
        <v>36.093859200000047</v>
      </c>
      <c r="AG161" s="190">
        <v>35.97512940000005</v>
      </c>
      <c r="AH161" s="190">
        <v>35.856399600000046</v>
      </c>
      <c r="AI161" s="190">
        <v>35.737669800000049</v>
      </c>
      <c r="AJ161" s="190">
        <v>35.618940000000045</v>
      </c>
    </row>
    <row r="162" spans="1:36" hidden="1" x14ac:dyDescent="0.35">
      <c r="A162" t="s">
        <v>1580</v>
      </c>
      <c r="B162" s="188" t="s">
        <v>1342</v>
      </c>
      <c r="C162" t="s">
        <v>1343</v>
      </c>
      <c r="D162" s="188">
        <v>30</v>
      </c>
      <c r="E162" t="s">
        <v>1500</v>
      </c>
      <c r="F162" t="s">
        <v>1581</v>
      </c>
      <c r="G162" s="189" t="s">
        <v>1582</v>
      </c>
      <c r="H162" s="190">
        <v>39.259987199999998</v>
      </c>
      <c r="I162" s="190">
        <v>39.101680799999997</v>
      </c>
      <c r="J162" s="190">
        <v>38.943374399999996</v>
      </c>
      <c r="K162" s="190">
        <v>38.785067999999995</v>
      </c>
      <c r="L162" s="190">
        <v>38.626761599999995</v>
      </c>
      <c r="M162" s="190">
        <v>38.468455199999994</v>
      </c>
      <c r="N162" s="190">
        <v>38.3101488</v>
      </c>
      <c r="O162" s="190">
        <v>38.1518424</v>
      </c>
      <c r="P162" s="190">
        <v>37.993535999999999</v>
      </c>
      <c r="Q162" s="190">
        <v>37.874806199999995</v>
      </c>
      <c r="R162" s="190">
        <v>37.756076400000005</v>
      </c>
      <c r="S162" s="190">
        <v>37.637346600000001</v>
      </c>
      <c r="T162" s="190">
        <v>37.518616800000011</v>
      </c>
      <c r="U162" s="190">
        <v>37.399887000000014</v>
      </c>
      <c r="V162" s="190">
        <v>37.28115720000001</v>
      </c>
      <c r="W162" s="190">
        <v>37.16242740000002</v>
      </c>
      <c r="X162" s="190">
        <v>37.043697600000016</v>
      </c>
      <c r="Y162" s="190">
        <v>36.924967800000026</v>
      </c>
      <c r="Z162" s="190">
        <v>36.806238000000029</v>
      </c>
      <c r="AA162" s="190">
        <v>36.687508200000032</v>
      </c>
      <c r="AB162" s="190">
        <v>36.568778400000035</v>
      </c>
      <c r="AC162" s="190">
        <v>36.450048600000038</v>
      </c>
      <c r="AD162" s="190">
        <v>36.331318800000041</v>
      </c>
      <c r="AE162" s="190">
        <v>36.212589000000051</v>
      </c>
      <c r="AF162" s="190">
        <v>36.093859200000047</v>
      </c>
      <c r="AG162" s="190">
        <v>35.97512940000005</v>
      </c>
      <c r="AH162" s="190">
        <v>35.856399600000046</v>
      </c>
      <c r="AI162" s="190">
        <v>35.737669800000049</v>
      </c>
      <c r="AJ162" s="190">
        <v>35.618940000000045</v>
      </c>
    </row>
    <row r="163" spans="1:36" hidden="1" x14ac:dyDescent="0.35">
      <c r="A163" t="s">
        <v>1583</v>
      </c>
      <c r="B163" s="188" t="s">
        <v>1342</v>
      </c>
      <c r="C163" t="s">
        <v>1348</v>
      </c>
      <c r="D163" s="188">
        <v>30</v>
      </c>
      <c r="E163" t="s">
        <v>1500</v>
      </c>
      <c r="F163" t="s">
        <v>1581</v>
      </c>
      <c r="G163" s="189" t="s">
        <v>1582</v>
      </c>
      <c r="H163" s="190">
        <v>39.259987199999998</v>
      </c>
      <c r="I163" s="190">
        <v>39.101680799999997</v>
      </c>
      <c r="J163" s="190">
        <v>38.943374399999996</v>
      </c>
      <c r="K163" s="190">
        <v>38.785067999999995</v>
      </c>
      <c r="L163" s="190">
        <v>38.626761599999995</v>
      </c>
      <c r="M163" s="190">
        <v>38.468455199999994</v>
      </c>
      <c r="N163" s="190">
        <v>38.3101488</v>
      </c>
      <c r="O163" s="190">
        <v>38.1518424</v>
      </c>
      <c r="P163" s="190">
        <v>37.993535999999999</v>
      </c>
      <c r="Q163" s="190">
        <v>37.874806199999995</v>
      </c>
      <c r="R163" s="190">
        <v>37.756076400000005</v>
      </c>
      <c r="S163" s="190">
        <v>37.637346600000001</v>
      </c>
      <c r="T163" s="190">
        <v>37.518616800000011</v>
      </c>
      <c r="U163" s="190">
        <v>37.399887000000014</v>
      </c>
      <c r="V163" s="190">
        <v>37.28115720000001</v>
      </c>
      <c r="W163" s="190">
        <v>37.16242740000002</v>
      </c>
      <c r="X163" s="190">
        <v>37.043697600000016</v>
      </c>
      <c r="Y163" s="190">
        <v>36.924967800000026</v>
      </c>
      <c r="Z163" s="190">
        <v>36.806238000000029</v>
      </c>
      <c r="AA163" s="190">
        <v>36.687508200000032</v>
      </c>
      <c r="AB163" s="190">
        <v>36.568778400000035</v>
      </c>
      <c r="AC163" s="190">
        <v>36.450048600000038</v>
      </c>
      <c r="AD163" s="190">
        <v>36.331318800000041</v>
      </c>
      <c r="AE163" s="190">
        <v>36.212589000000051</v>
      </c>
      <c r="AF163" s="190">
        <v>36.093859200000047</v>
      </c>
      <c r="AG163" s="190">
        <v>35.97512940000005</v>
      </c>
      <c r="AH163" s="190">
        <v>35.856399600000046</v>
      </c>
      <c r="AI163" s="190">
        <v>35.737669800000049</v>
      </c>
      <c r="AJ163" s="190">
        <v>35.618940000000045</v>
      </c>
    </row>
    <row r="164" spans="1:36" hidden="1" x14ac:dyDescent="0.35">
      <c r="A164" t="s">
        <v>1584</v>
      </c>
      <c r="B164" s="188" t="s">
        <v>1342</v>
      </c>
      <c r="C164" t="s">
        <v>1350</v>
      </c>
      <c r="D164" s="188">
        <v>30</v>
      </c>
      <c r="E164" t="s">
        <v>1500</v>
      </c>
      <c r="F164" t="s">
        <v>1581</v>
      </c>
      <c r="G164" s="189" t="s">
        <v>1582</v>
      </c>
      <c r="H164" s="190">
        <v>39.259987199999998</v>
      </c>
      <c r="I164" s="190">
        <v>39.101680799999997</v>
      </c>
      <c r="J164" s="190">
        <v>38.943374399999996</v>
      </c>
      <c r="K164" s="190">
        <v>38.785067999999995</v>
      </c>
      <c r="L164" s="190">
        <v>38.626761599999995</v>
      </c>
      <c r="M164" s="190">
        <v>38.468455199999994</v>
      </c>
      <c r="N164" s="190">
        <v>38.3101488</v>
      </c>
      <c r="O164" s="190">
        <v>38.1518424</v>
      </c>
      <c r="P164" s="190">
        <v>37.993535999999999</v>
      </c>
      <c r="Q164" s="190">
        <v>37.874806199999995</v>
      </c>
      <c r="R164" s="190">
        <v>37.756076400000005</v>
      </c>
      <c r="S164" s="190">
        <v>37.637346600000001</v>
      </c>
      <c r="T164" s="190">
        <v>37.518616800000011</v>
      </c>
      <c r="U164" s="190">
        <v>37.399887000000014</v>
      </c>
      <c r="V164" s="190">
        <v>37.28115720000001</v>
      </c>
      <c r="W164" s="190">
        <v>37.16242740000002</v>
      </c>
      <c r="X164" s="190">
        <v>37.043697600000016</v>
      </c>
      <c r="Y164" s="190">
        <v>36.924967800000026</v>
      </c>
      <c r="Z164" s="190">
        <v>36.806238000000029</v>
      </c>
      <c r="AA164" s="190">
        <v>36.687508200000032</v>
      </c>
      <c r="AB164" s="190">
        <v>36.568778400000035</v>
      </c>
      <c r="AC164" s="190">
        <v>36.450048600000038</v>
      </c>
      <c r="AD164" s="190">
        <v>36.331318800000041</v>
      </c>
      <c r="AE164" s="190">
        <v>36.212589000000051</v>
      </c>
      <c r="AF164" s="190">
        <v>36.093859200000047</v>
      </c>
      <c r="AG164" s="190">
        <v>35.97512940000005</v>
      </c>
      <c r="AH164" s="190">
        <v>35.856399600000046</v>
      </c>
      <c r="AI164" s="190">
        <v>35.737669800000049</v>
      </c>
      <c r="AJ164" s="190">
        <v>35.618940000000045</v>
      </c>
    </row>
    <row r="165" spans="1:36" hidden="1" x14ac:dyDescent="0.35">
      <c r="A165" t="s">
        <v>1585</v>
      </c>
      <c r="B165" s="188" t="s">
        <v>1342</v>
      </c>
      <c r="C165" t="s">
        <v>1343</v>
      </c>
      <c r="D165" s="188">
        <v>30</v>
      </c>
      <c r="E165" t="s">
        <v>1500</v>
      </c>
      <c r="F165" t="s">
        <v>1586</v>
      </c>
      <c r="G165" s="189" t="s">
        <v>1587</v>
      </c>
      <c r="H165" s="190">
        <v>39.259987199999998</v>
      </c>
      <c r="I165" s="190">
        <v>39.101680799999997</v>
      </c>
      <c r="J165" s="190">
        <v>38.943374399999996</v>
      </c>
      <c r="K165" s="190">
        <v>38.785067999999995</v>
      </c>
      <c r="L165" s="190">
        <v>38.626761599999995</v>
      </c>
      <c r="M165" s="190">
        <v>38.468455199999994</v>
      </c>
      <c r="N165" s="190">
        <v>38.3101488</v>
      </c>
      <c r="O165" s="190">
        <v>38.1518424</v>
      </c>
      <c r="P165" s="190">
        <v>37.993535999999999</v>
      </c>
      <c r="Q165" s="190">
        <v>37.874806199999995</v>
      </c>
      <c r="R165" s="190">
        <v>37.756076400000005</v>
      </c>
      <c r="S165" s="190">
        <v>37.637346600000001</v>
      </c>
      <c r="T165" s="190">
        <v>37.518616800000011</v>
      </c>
      <c r="U165" s="190">
        <v>37.399887000000014</v>
      </c>
      <c r="V165" s="190">
        <v>37.28115720000001</v>
      </c>
      <c r="W165" s="190">
        <v>37.16242740000002</v>
      </c>
      <c r="X165" s="190">
        <v>37.043697600000016</v>
      </c>
      <c r="Y165" s="190">
        <v>36.924967800000026</v>
      </c>
      <c r="Z165" s="190">
        <v>36.806238000000029</v>
      </c>
      <c r="AA165" s="190">
        <v>36.687508200000032</v>
      </c>
      <c r="AB165" s="190">
        <v>36.568778400000035</v>
      </c>
      <c r="AC165" s="190">
        <v>36.450048600000038</v>
      </c>
      <c r="AD165" s="190">
        <v>36.331318800000041</v>
      </c>
      <c r="AE165" s="190">
        <v>36.212589000000051</v>
      </c>
      <c r="AF165" s="190">
        <v>36.093859200000047</v>
      </c>
      <c r="AG165" s="190">
        <v>35.97512940000005</v>
      </c>
      <c r="AH165" s="190">
        <v>35.856399600000046</v>
      </c>
      <c r="AI165" s="190">
        <v>35.737669800000049</v>
      </c>
      <c r="AJ165" s="190">
        <v>35.618940000000045</v>
      </c>
    </row>
    <row r="166" spans="1:36" hidden="1" x14ac:dyDescent="0.35">
      <c r="A166" t="s">
        <v>1588</v>
      </c>
      <c r="B166" s="188" t="s">
        <v>1342</v>
      </c>
      <c r="C166" t="s">
        <v>1348</v>
      </c>
      <c r="D166" s="188">
        <v>30</v>
      </c>
      <c r="E166" t="s">
        <v>1500</v>
      </c>
      <c r="F166" t="s">
        <v>1586</v>
      </c>
      <c r="G166" s="189" t="s">
        <v>1587</v>
      </c>
      <c r="H166" s="190">
        <v>39.259987199999998</v>
      </c>
      <c r="I166" s="190">
        <v>39.101680799999997</v>
      </c>
      <c r="J166" s="190">
        <v>38.943374399999996</v>
      </c>
      <c r="K166" s="190">
        <v>38.785067999999995</v>
      </c>
      <c r="L166" s="190">
        <v>38.626761599999995</v>
      </c>
      <c r="M166" s="190">
        <v>38.468455199999994</v>
      </c>
      <c r="N166" s="190">
        <v>38.3101488</v>
      </c>
      <c r="O166" s="190">
        <v>38.1518424</v>
      </c>
      <c r="P166" s="190">
        <v>37.993535999999999</v>
      </c>
      <c r="Q166" s="190">
        <v>37.874806199999995</v>
      </c>
      <c r="R166" s="190">
        <v>37.756076400000005</v>
      </c>
      <c r="S166" s="190">
        <v>37.637346600000001</v>
      </c>
      <c r="T166" s="190">
        <v>37.518616800000011</v>
      </c>
      <c r="U166" s="190">
        <v>37.399887000000014</v>
      </c>
      <c r="V166" s="190">
        <v>37.28115720000001</v>
      </c>
      <c r="W166" s="190">
        <v>37.16242740000002</v>
      </c>
      <c r="X166" s="190">
        <v>37.043697600000016</v>
      </c>
      <c r="Y166" s="190">
        <v>36.924967800000026</v>
      </c>
      <c r="Z166" s="190">
        <v>36.806238000000029</v>
      </c>
      <c r="AA166" s="190">
        <v>36.687508200000032</v>
      </c>
      <c r="AB166" s="190">
        <v>36.568778400000035</v>
      </c>
      <c r="AC166" s="190">
        <v>36.450048600000038</v>
      </c>
      <c r="AD166" s="190">
        <v>36.331318800000041</v>
      </c>
      <c r="AE166" s="190">
        <v>36.212589000000051</v>
      </c>
      <c r="AF166" s="190">
        <v>36.093859200000047</v>
      </c>
      <c r="AG166" s="190">
        <v>35.97512940000005</v>
      </c>
      <c r="AH166" s="190">
        <v>35.856399600000046</v>
      </c>
      <c r="AI166" s="190">
        <v>35.737669800000049</v>
      </c>
      <c r="AJ166" s="190">
        <v>35.618940000000045</v>
      </c>
    </row>
    <row r="167" spans="1:36" hidden="1" x14ac:dyDescent="0.35">
      <c r="A167" t="s">
        <v>1589</v>
      </c>
      <c r="B167" s="188" t="s">
        <v>1342</v>
      </c>
      <c r="C167" t="s">
        <v>1350</v>
      </c>
      <c r="D167" s="188">
        <v>30</v>
      </c>
      <c r="E167" t="s">
        <v>1500</v>
      </c>
      <c r="F167" t="s">
        <v>1586</v>
      </c>
      <c r="G167" s="189" t="s">
        <v>1587</v>
      </c>
      <c r="H167" s="190">
        <v>39.259987199999998</v>
      </c>
      <c r="I167" s="190">
        <v>39.101680799999997</v>
      </c>
      <c r="J167" s="190">
        <v>38.943374399999996</v>
      </c>
      <c r="K167" s="190">
        <v>38.785067999999995</v>
      </c>
      <c r="L167" s="190">
        <v>38.626761599999995</v>
      </c>
      <c r="M167" s="190">
        <v>38.468455199999994</v>
      </c>
      <c r="N167" s="190">
        <v>38.3101488</v>
      </c>
      <c r="O167" s="190">
        <v>38.1518424</v>
      </c>
      <c r="P167" s="190">
        <v>37.993535999999999</v>
      </c>
      <c r="Q167" s="190">
        <v>37.874806199999995</v>
      </c>
      <c r="R167" s="190">
        <v>37.756076400000005</v>
      </c>
      <c r="S167" s="190">
        <v>37.637346600000001</v>
      </c>
      <c r="T167" s="190">
        <v>37.518616800000011</v>
      </c>
      <c r="U167" s="190">
        <v>37.399887000000014</v>
      </c>
      <c r="V167" s="190">
        <v>37.28115720000001</v>
      </c>
      <c r="W167" s="190">
        <v>37.16242740000002</v>
      </c>
      <c r="X167" s="190">
        <v>37.043697600000016</v>
      </c>
      <c r="Y167" s="190">
        <v>36.924967800000026</v>
      </c>
      <c r="Z167" s="190">
        <v>36.806238000000029</v>
      </c>
      <c r="AA167" s="190">
        <v>36.687508200000032</v>
      </c>
      <c r="AB167" s="190">
        <v>36.568778400000035</v>
      </c>
      <c r="AC167" s="190">
        <v>36.450048600000038</v>
      </c>
      <c r="AD167" s="190">
        <v>36.331318800000041</v>
      </c>
      <c r="AE167" s="190">
        <v>36.212589000000051</v>
      </c>
      <c r="AF167" s="190">
        <v>36.093859200000047</v>
      </c>
      <c r="AG167" s="190">
        <v>35.97512940000005</v>
      </c>
      <c r="AH167" s="190">
        <v>35.856399600000046</v>
      </c>
      <c r="AI167" s="190">
        <v>35.737669800000049</v>
      </c>
      <c r="AJ167" s="190">
        <v>35.618940000000045</v>
      </c>
    </row>
    <row r="168" spans="1:36" hidden="1" x14ac:dyDescent="0.35">
      <c r="A168" t="s">
        <v>1590</v>
      </c>
      <c r="B168" s="188" t="s">
        <v>1342</v>
      </c>
      <c r="C168" t="s">
        <v>1343</v>
      </c>
      <c r="D168" s="188">
        <v>30</v>
      </c>
      <c r="E168" t="s">
        <v>1500</v>
      </c>
      <c r="F168" t="s">
        <v>1591</v>
      </c>
      <c r="G168" s="189" t="s">
        <v>1592</v>
      </c>
      <c r="H168" s="190">
        <v>39.259987199999998</v>
      </c>
      <c r="I168" s="190">
        <v>39.101680799999997</v>
      </c>
      <c r="J168" s="190">
        <v>38.943374399999996</v>
      </c>
      <c r="K168" s="190">
        <v>38.785067999999995</v>
      </c>
      <c r="L168" s="190">
        <v>38.626761599999995</v>
      </c>
      <c r="M168" s="190">
        <v>38.468455199999994</v>
      </c>
      <c r="N168" s="190">
        <v>38.3101488</v>
      </c>
      <c r="O168" s="190">
        <v>38.1518424</v>
      </c>
      <c r="P168" s="190">
        <v>37.993535999999999</v>
      </c>
      <c r="Q168" s="190">
        <v>37.874806199999995</v>
      </c>
      <c r="R168" s="190">
        <v>37.756076400000005</v>
      </c>
      <c r="S168" s="190">
        <v>37.637346600000001</v>
      </c>
      <c r="T168" s="190">
        <v>37.518616800000011</v>
      </c>
      <c r="U168" s="190">
        <v>37.399887000000014</v>
      </c>
      <c r="V168" s="190">
        <v>37.28115720000001</v>
      </c>
      <c r="W168" s="190">
        <v>37.16242740000002</v>
      </c>
      <c r="X168" s="190">
        <v>37.043697600000016</v>
      </c>
      <c r="Y168" s="190">
        <v>36.924967800000026</v>
      </c>
      <c r="Z168" s="190">
        <v>36.806238000000029</v>
      </c>
      <c r="AA168" s="190">
        <v>36.687508200000032</v>
      </c>
      <c r="AB168" s="190">
        <v>36.568778400000035</v>
      </c>
      <c r="AC168" s="190">
        <v>36.450048600000038</v>
      </c>
      <c r="AD168" s="190">
        <v>36.331318800000041</v>
      </c>
      <c r="AE168" s="190">
        <v>36.212589000000051</v>
      </c>
      <c r="AF168" s="190">
        <v>36.093859200000047</v>
      </c>
      <c r="AG168" s="190">
        <v>35.97512940000005</v>
      </c>
      <c r="AH168" s="190">
        <v>35.856399600000046</v>
      </c>
      <c r="AI168" s="190">
        <v>35.737669800000049</v>
      </c>
      <c r="AJ168" s="190">
        <v>35.618940000000045</v>
      </c>
    </row>
    <row r="169" spans="1:36" hidden="1" x14ac:dyDescent="0.35">
      <c r="A169" t="s">
        <v>1593</v>
      </c>
      <c r="B169" s="188" t="s">
        <v>1342</v>
      </c>
      <c r="C169" t="s">
        <v>1348</v>
      </c>
      <c r="D169" s="188">
        <v>30</v>
      </c>
      <c r="E169" t="s">
        <v>1500</v>
      </c>
      <c r="F169" t="s">
        <v>1591</v>
      </c>
      <c r="G169" s="189" t="s">
        <v>1592</v>
      </c>
      <c r="H169" s="190">
        <v>39.259987199999998</v>
      </c>
      <c r="I169" s="190">
        <v>39.101680799999997</v>
      </c>
      <c r="J169" s="190">
        <v>38.943374399999996</v>
      </c>
      <c r="K169" s="190">
        <v>38.785067999999995</v>
      </c>
      <c r="L169" s="190">
        <v>38.626761599999995</v>
      </c>
      <c r="M169" s="190">
        <v>38.468455199999994</v>
      </c>
      <c r="N169" s="190">
        <v>38.3101488</v>
      </c>
      <c r="O169" s="190">
        <v>38.1518424</v>
      </c>
      <c r="P169" s="190">
        <v>37.993535999999999</v>
      </c>
      <c r="Q169" s="190">
        <v>37.874806199999995</v>
      </c>
      <c r="R169" s="190">
        <v>37.756076400000005</v>
      </c>
      <c r="S169" s="190">
        <v>37.637346600000001</v>
      </c>
      <c r="T169" s="190">
        <v>37.518616800000011</v>
      </c>
      <c r="U169" s="190">
        <v>37.399887000000014</v>
      </c>
      <c r="V169" s="190">
        <v>37.28115720000001</v>
      </c>
      <c r="W169" s="190">
        <v>37.16242740000002</v>
      </c>
      <c r="X169" s="190">
        <v>37.043697600000016</v>
      </c>
      <c r="Y169" s="190">
        <v>36.924967800000026</v>
      </c>
      <c r="Z169" s="190">
        <v>36.806238000000029</v>
      </c>
      <c r="AA169" s="190">
        <v>36.687508200000032</v>
      </c>
      <c r="AB169" s="190">
        <v>36.568778400000035</v>
      </c>
      <c r="AC169" s="190">
        <v>36.450048600000038</v>
      </c>
      <c r="AD169" s="190">
        <v>36.331318800000041</v>
      </c>
      <c r="AE169" s="190">
        <v>36.212589000000051</v>
      </c>
      <c r="AF169" s="190">
        <v>36.093859200000047</v>
      </c>
      <c r="AG169" s="190">
        <v>35.97512940000005</v>
      </c>
      <c r="AH169" s="190">
        <v>35.856399600000046</v>
      </c>
      <c r="AI169" s="190">
        <v>35.737669800000049</v>
      </c>
      <c r="AJ169" s="190">
        <v>35.618940000000045</v>
      </c>
    </row>
    <row r="170" spans="1:36" hidden="1" x14ac:dyDescent="0.35">
      <c r="A170" t="s">
        <v>1594</v>
      </c>
      <c r="B170" s="188" t="s">
        <v>1342</v>
      </c>
      <c r="C170" t="s">
        <v>1350</v>
      </c>
      <c r="D170" s="188">
        <v>30</v>
      </c>
      <c r="E170" t="s">
        <v>1500</v>
      </c>
      <c r="F170" t="s">
        <v>1591</v>
      </c>
      <c r="G170" s="189" t="s">
        <v>1592</v>
      </c>
      <c r="H170" s="190">
        <v>39.259987199999998</v>
      </c>
      <c r="I170" s="190">
        <v>39.101680799999997</v>
      </c>
      <c r="J170" s="190">
        <v>38.943374399999996</v>
      </c>
      <c r="K170" s="190">
        <v>38.785067999999995</v>
      </c>
      <c r="L170" s="190">
        <v>38.626761599999995</v>
      </c>
      <c r="M170" s="190">
        <v>38.468455199999994</v>
      </c>
      <c r="N170" s="190">
        <v>38.3101488</v>
      </c>
      <c r="O170" s="190">
        <v>38.1518424</v>
      </c>
      <c r="P170" s="190">
        <v>37.993535999999999</v>
      </c>
      <c r="Q170" s="190">
        <v>37.874806199999995</v>
      </c>
      <c r="R170" s="190">
        <v>37.756076400000005</v>
      </c>
      <c r="S170" s="190">
        <v>37.637346600000001</v>
      </c>
      <c r="T170" s="190">
        <v>37.518616800000011</v>
      </c>
      <c r="U170" s="190">
        <v>37.399887000000014</v>
      </c>
      <c r="V170" s="190">
        <v>37.28115720000001</v>
      </c>
      <c r="W170" s="190">
        <v>37.16242740000002</v>
      </c>
      <c r="X170" s="190">
        <v>37.043697600000016</v>
      </c>
      <c r="Y170" s="190">
        <v>36.924967800000026</v>
      </c>
      <c r="Z170" s="190">
        <v>36.806238000000029</v>
      </c>
      <c r="AA170" s="190">
        <v>36.687508200000032</v>
      </c>
      <c r="AB170" s="190">
        <v>36.568778400000035</v>
      </c>
      <c r="AC170" s="190">
        <v>36.450048600000038</v>
      </c>
      <c r="AD170" s="190">
        <v>36.331318800000041</v>
      </c>
      <c r="AE170" s="190">
        <v>36.212589000000051</v>
      </c>
      <c r="AF170" s="190">
        <v>36.093859200000047</v>
      </c>
      <c r="AG170" s="190">
        <v>35.97512940000005</v>
      </c>
      <c r="AH170" s="190">
        <v>35.856399600000046</v>
      </c>
      <c r="AI170" s="190">
        <v>35.737669800000049</v>
      </c>
      <c r="AJ170" s="190">
        <v>35.618940000000045</v>
      </c>
    </row>
    <row r="171" spans="1:36" hidden="1" x14ac:dyDescent="0.35">
      <c r="A171" t="s">
        <v>1595</v>
      </c>
      <c r="B171" s="188" t="s">
        <v>1342</v>
      </c>
      <c r="C171" t="s">
        <v>1343</v>
      </c>
      <c r="D171" s="188">
        <v>30</v>
      </c>
      <c r="E171" t="s">
        <v>1500</v>
      </c>
      <c r="F171" t="s">
        <v>1596</v>
      </c>
      <c r="G171" s="189" t="s">
        <v>1597</v>
      </c>
      <c r="H171" s="190">
        <v>39.259987199999998</v>
      </c>
      <c r="I171" s="190">
        <v>39.101680799999997</v>
      </c>
      <c r="J171" s="190">
        <v>38.943374399999996</v>
      </c>
      <c r="K171" s="190">
        <v>38.785067999999995</v>
      </c>
      <c r="L171" s="190">
        <v>38.626761599999995</v>
      </c>
      <c r="M171" s="190">
        <v>38.468455199999994</v>
      </c>
      <c r="N171" s="190">
        <v>38.3101488</v>
      </c>
      <c r="O171" s="190">
        <v>38.1518424</v>
      </c>
      <c r="P171" s="190">
        <v>37.993535999999999</v>
      </c>
      <c r="Q171" s="190">
        <v>37.874806199999995</v>
      </c>
      <c r="R171" s="190">
        <v>37.756076400000005</v>
      </c>
      <c r="S171" s="190">
        <v>37.637346600000001</v>
      </c>
      <c r="T171" s="190">
        <v>37.518616800000011</v>
      </c>
      <c r="U171" s="190">
        <v>37.399887000000014</v>
      </c>
      <c r="V171" s="190">
        <v>37.28115720000001</v>
      </c>
      <c r="W171" s="190">
        <v>37.16242740000002</v>
      </c>
      <c r="X171" s="190">
        <v>37.043697600000016</v>
      </c>
      <c r="Y171" s="190">
        <v>36.924967800000026</v>
      </c>
      <c r="Z171" s="190">
        <v>36.806238000000029</v>
      </c>
      <c r="AA171" s="190">
        <v>36.687508200000032</v>
      </c>
      <c r="AB171" s="190">
        <v>36.568778400000035</v>
      </c>
      <c r="AC171" s="190">
        <v>36.450048600000038</v>
      </c>
      <c r="AD171" s="190">
        <v>36.331318800000041</v>
      </c>
      <c r="AE171" s="190">
        <v>36.212589000000051</v>
      </c>
      <c r="AF171" s="190">
        <v>36.093859200000047</v>
      </c>
      <c r="AG171" s="190">
        <v>35.97512940000005</v>
      </c>
      <c r="AH171" s="190">
        <v>35.856399600000046</v>
      </c>
      <c r="AI171" s="190">
        <v>35.737669800000049</v>
      </c>
      <c r="AJ171" s="190">
        <v>35.618940000000045</v>
      </c>
    </row>
    <row r="172" spans="1:36" hidden="1" x14ac:dyDescent="0.35">
      <c r="A172" t="s">
        <v>1598</v>
      </c>
      <c r="B172" s="188" t="s">
        <v>1342</v>
      </c>
      <c r="C172" t="s">
        <v>1348</v>
      </c>
      <c r="D172" s="188">
        <v>30</v>
      </c>
      <c r="E172" t="s">
        <v>1500</v>
      </c>
      <c r="F172" t="s">
        <v>1596</v>
      </c>
      <c r="G172" s="189" t="s">
        <v>1597</v>
      </c>
      <c r="H172" s="190">
        <v>39.259987199999998</v>
      </c>
      <c r="I172" s="190">
        <v>39.101680799999997</v>
      </c>
      <c r="J172" s="190">
        <v>38.943374399999996</v>
      </c>
      <c r="K172" s="190">
        <v>38.785067999999995</v>
      </c>
      <c r="L172" s="190">
        <v>38.626761599999995</v>
      </c>
      <c r="M172" s="190">
        <v>38.468455199999994</v>
      </c>
      <c r="N172" s="190">
        <v>38.3101488</v>
      </c>
      <c r="O172" s="190">
        <v>38.1518424</v>
      </c>
      <c r="P172" s="190">
        <v>37.993535999999999</v>
      </c>
      <c r="Q172" s="190">
        <v>37.874806199999995</v>
      </c>
      <c r="R172" s="190">
        <v>37.756076400000005</v>
      </c>
      <c r="S172" s="190">
        <v>37.637346600000001</v>
      </c>
      <c r="T172" s="190">
        <v>37.518616800000011</v>
      </c>
      <c r="U172" s="190">
        <v>37.399887000000014</v>
      </c>
      <c r="V172" s="190">
        <v>37.28115720000001</v>
      </c>
      <c r="W172" s="190">
        <v>37.16242740000002</v>
      </c>
      <c r="X172" s="190">
        <v>37.043697600000016</v>
      </c>
      <c r="Y172" s="190">
        <v>36.924967800000026</v>
      </c>
      <c r="Z172" s="190">
        <v>36.806238000000029</v>
      </c>
      <c r="AA172" s="190">
        <v>36.687508200000032</v>
      </c>
      <c r="AB172" s="190">
        <v>36.568778400000035</v>
      </c>
      <c r="AC172" s="190">
        <v>36.450048600000038</v>
      </c>
      <c r="AD172" s="190">
        <v>36.331318800000041</v>
      </c>
      <c r="AE172" s="190">
        <v>36.212589000000051</v>
      </c>
      <c r="AF172" s="190">
        <v>36.093859200000047</v>
      </c>
      <c r="AG172" s="190">
        <v>35.97512940000005</v>
      </c>
      <c r="AH172" s="190">
        <v>35.856399600000046</v>
      </c>
      <c r="AI172" s="190">
        <v>35.737669800000049</v>
      </c>
      <c r="AJ172" s="190">
        <v>35.618940000000045</v>
      </c>
    </row>
    <row r="173" spans="1:36" hidden="1" x14ac:dyDescent="0.35">
      <c r="A173" t="s">
        <v>1599</v>
      </c>
      <c r="B173" s="188" t="s">
        <v>1342</v>
      </c>
      <c r="C173" t="s">
        <v>1350</v>
      </c>
      <c r="D173" s="188">
        <v>30</v>
      </c>
      <c r="E173" t="s">
        <v>1500</v>
      </c>
      <c r="F173" t="s">
        <v>1596</v>
      </c>
      <c r="G173" s="189" t="s">
        <v>1597</v>
      </c>
      <c r="H173" s="190">
        <v>39.259987199999998</v>
      </c>
      <c r="I173" s="190">
        <v>39.101680799999997</v>
      </c>
      <c r="J173" s="190">
        <v>38.943374399999996</v>
      </c>
      <c r="K173" s="190">
        <v>38.785067999999995</v>
      </c>
      <c r="L173" s="190">
        <v>38.626761599999995</v>
      </c>
      <c r="M173" s="190">
        <v>38.468455199999994</v>
      </c>
      <c r="N173" s="190">
        <v>38.3101488</v>
      </c>
      <c r="O173" s="190">
        <v>38.1518424</v>
      </c>
      <c r="P173" s="190">
        <v>37.993535999999999</v>
      </c>
      <c r="Q173" s="190">
        <v>37.874806199999995</v>
      </c>
      <c r="R173" s="190">
        <v>37.756076400000005</v>
      </c>
      <c r="S173" s="190">
        <v>37.637346600000001</v>
      </c>
      <c r="T173" s="190">
        <v>37.518616800000011</v>
      </c>
      <c r="U173" s="190">
        <v>37.399887000000014</v>
      </c>
      <c r="V173" s="190">
        <v>37.28115720000001</v>
      </c>
      <c r="W173" s="190">
        <v>37.16242740000002</v>
      </c>
      <c r="X173" s="190">
        <v>37.043697600000016</v>
      </c>
      <c r="Y173" s="190">
        <v>36.924967800000026</v>
      </c>
      <c r="Z173" s="190">
        <v>36.806238000000029</v>
      </c>
      <c r="AA173" s="190">
        <v>36.687508200000032</v>
      </c>
      <c r="AB173" s="190">
        <v>36.568778400000035</v>
      </c>
      <c r="AC173" s="190">
        <v>36.450048600000038</v>
      </c>
      <c r="AD173" s="190">
        <v>36.331318800000041</v>
      </c>
      <c r="AE173" s="190">
        <v>36.212589000000051</v>
      </c>
      <c r="AF173" s="190">
        <v>36.093859200000047</v>
      </c>
      <c r="AG173" s="190">
        <v>35.97512940000005</v>
      </c>
      <c r="AH173" s="190">
        <v>35.856399600000046</v>
      </c>
      <c r="AI173" s="190">
        <v>35.737669800000049</v>
      </c>
      <c r="AJ173" s="190">
        <v>35.618940000000045</v>
      </c>
    </row>
    <row r="174" spans="1:36" hidden="1" x14ac:dyDescent="0.35">
      <c r="A174" t="s">
        <v>1600</v>
      </c>
      <c r="B174" s="188" t="s">
        <v>1342</v>
      </c>
      <c r="C174" t="s">
        <v>1343</v>
      </c>
      <c r="D174" s="188">
        <v>30</v>
      </c>
      <c r="E174" t="s">
        <v>1500</v>
      </c>
      <c r="F174" t="s">
        <v>1601</v>
      </c>
      <c r="G174" s="189" t="s">
        <v>1602</v>
      </c>
      <c r="H174" s="190">
        <v>39.259987199999998</v>
      </c>
      <c r="I174" s="190">
        <v>39.101680799999997</v>
      </c>
      <c r="J174" s="190">
        <v>38.943374399999996</v>
      </c>
      <c r="K174" s="190">
        <v>38.785067999999995</v>
      </c>
      <c r="L174" s="190">
        <v>38.626761599999995</v>
      </c>
      <c r="M174" s="190">
        <v>38.468455199999994</v>
      </c>
      <c r="N174" s="190">
        <v>38.3101488</v>
      </c>
      <c r="O174" s="190">
        <v>38.1518424</v>
      </c>
      <c r="P174" s="190">
        <v>37.993535999999999</v>
      </c>
      <c r="Q174" s="190">
        <v>37.874806199999995</v>
      </c>
      <c r="R174" s="190">
        <v>37.756076400000005</v>
      </c>
      <c r="S174" s="190">
        <v>37.637346600000001</v>
      </c>
      <c r="T174" s="190">
        <v>37.518616800000011</v>
      </c>
      <c r="U174" s="190">
        <v>37.399887000000014</v>
      </c>
      <c r="V174" s="190">
        <v>37.28115720000001</v>
      </c>
      <c r="W174" s="190">
        <v>37.16242740000002</v>
      </c>
      <c r="X174" s="190">
        <v>37.043697600000016</v>
      </c>
      <c r="Y174" s="190">
        <v>36.924967800000026</v>
      </c>
      <c r="Z174" s="190">
        <v>36.806238000000029</v>
      </c>
      <c r="AA174" s="190">
        <v>36.687508200000032</v>
      </c>
      <c r="AB174" s="190">
        <v>36.568778400000035</v>
      </c>
      <c r="AC174" s="190">
        <v>36.450048600000038</v>
      </c>
      <c r="AD174" s="190">
        <v>36.331318800000041</v>
      </c>
      <c r="AE174" s="190">
        <v>36.212589000000051</v>
      </c>
      <c r="AF174" s="190">
        <v>36.093859200000047</v>
      </c>
      <c r="AG174" s="190">
        <v>35.97512940000005</v>
      </c>
      <c r="AH174" s="190">
        <v>35.856399600000046</v>
      </c>
      <c r="AI174" s="190">
        <v>35.737669800000049</v>
      </c>
      <c r="AJ174" s="190">
        <v>35.618940000000045</v>
      </c>
    </row>
    <row r="175" spans="1:36" hidden="1" x14ac:dyDescent="0.35">
      <c r="A175" t="s">
        <v>1603</v>
      </c>
      <c r="B175" s="188" t="s">
        <v>1342</v>
      </c>
      <c r="C175" t="s">
        <v>1348</v>
      </c>
      <c r="D175" s="188">
        <v>30</v>
      </c>
      <c r="E175" t="s">
        <v>1500</v>
      </c>
      <c r="F175" t="s">
        <v>1601</v>
      </c>
      <c r="G175" s="189" t="s">
        <v>1602</v>
      </c>
      <c r="H175" s="190">
        <v>39.259987199999998</v>
      </c>
      <c r="I175" s="190">
        <v>39.101680799999997</v>
      </c>
      <c r="J175" s="190">
        <v>38.943374399999996</v>
      </c>
      <c r="K175" s="190">
        <v>38.785067999999995</v>
      </c>
      <c r="L175" s="190">
        <v>38.626761599999995</v>
      </c>
      <c r="M175" s="190">
        <v>38.468455199999994</v>
      </c>
      <c r="N175" s="190">
        <v>38.3101488</v>
      </c>
      <c r="O175" s="190">
        <v>38.1518424</v>
      </c>
      <c r="P175" s="190">
        <v>37.993535999999999</v>
      </c>
      <c r="Q175" s="190">
        <v>37.874806199999995</v>
      </c>
      <c r="R175" s="190">
        <v>37.756076400000005</v>
      </c>
      <c r="S175" s="190">
        <v>37.637346600000001</v>
      </c>
      <c r="T175" s="190">
        <v>37.518616800000011</v>
      </c>
      <c r="U175" s="190">
        <v>37.399887000000014</v>
      </c>
      <c r="V175" s="190">
        <v>37.28115720000001</v>
      </c>
      <c r="W175" s="190">
        <v>37.16242740000002</v>
      </c>
      <c r="X175" s="190">
        <v>37.043697600000016</v>
      </c>
      <c r="Y175" s="190">
        <v>36.924967800000026</v>
      </c>
      <c r="Z175" s="190">
        <v>36.806238000000029</v>
      </c>
      <c r="AA175" s="190">
        <v>36.687508200000032</v>
      </c>
      <c r="AB175" s="190">
        <v>36.568778400000035</v>
      </c>
      <c r="AC175" s="190">
        <v>36.450048600000038</v>
      </c>
      <c r="AD175" s="190">
        <v>36.331318800000041</v>
      </c>
      <c r="AE175" s="190">
        <v>36.212589000000051</v>
      </c>
      <c r="AF175" s="190">
        <v>36.093859200000047</v>
      </c>
      <c r="AG175" s="190">
        <v>35.97512940000005</v>
      </c>
      <c r="AH175" s="190">
        <v>35.856399600000046</v>
      </c>
      <c r="AI175" s="190">
        <v>35.737669800000049</v>
      </c>
      <c r="AJ175" s="190">
        <v>35.618940000000045</v>
      </c>
    </row>
    <row r="176" spans="1:36" hidden="1" x14ac:dyDescent="0.35">
      <c r="A176" t="s">
        <v>1604</v>
      </c>
      <c r="B176" s="188" t="s">
        <v>1342</v>
      </c>
      <c r="C176" t="s">
        <v>1350</v>
      </c>
      <c r="D176" s="188">
        <v>30</v>
      </c>
      <c r="E176" t="s">
        <v>1500</v>
      </c>
      <c r="F176" t="s">
        <v>1601</v>
      </c>
      <c r="G176" s="189" t="s">
        <v>1602</v>
      </c>
      <c r="H176" s="190">
        <v>39.259987199999998</v>
      </c>
      <c r="I176" s="190">
        <v>39.101680799999997</v>
      </c>
      <c r="J176" s="190">
        <v>38.943374399999996</v>
      </c>
      <c r="K176" s="190">
        <v>38.785067999999995</v>
      </c>
      <c r="L176" s="190">
        <v>38.626761599999995</v>
      </c>
      <c r="M176" s="190">
        <v>38.468455199999994</v>
      </c>
      <c r="N176" s="190">
        <v>38.3101488</v>
      </c>
      <c r="O176" s="190">
        <v>38.1518424</v>
      </c>
      <c r="P176" s="190">
        <v>37.993535999999999</v>
      </c>
      <c r="Q176" s="190">
        <v>37.874806199999995</v>
      </c>
      <c r="R176" s="190">
        <v>37.756076400000005</v>
      </c>
      <c r="S176" s="190">
        <v>37.637346600000001</v>
      </c>
      <c r="T176" s="190">
        <v>37.518616800000011</v>
      </c>
      <c r="U176" s="190">
        <v>37.399887000000014</v>
      </c>
      <c r="V176" s="190">
        <v>37.28115720000001</v>
      </c>
      <c r="W176" s="190">
        <v>37.16242740000002</v>
      </c>
      <c r="X176" s="190">
        <v>37.043697600000016</v>
      </c>
      <c r="Y176" s="190">
        <v>36.924967800000026</v>
      </c>
      <c r="Z176" s="190">
        <v>36.806238000000029</v>
      </c>
      <c r="AA176" s="190">
        <v>36.687508200000032</v>
      </c>
      <c r="AB176" s="190">
        <v>36.568778400000035</v>
      </c>
      <c r="AC176" s="190">
        <v>36.450048600000038</v>
      </c>
      <c r="AD176" s="190">
        <v>36.331318800000041</v>
      </c>
      <c r="AE176" s="190">
        <v>36.212589000000051</v>
      </c>
      <c r="AF176" s="190">
        <v>36.093859200000047</v>
      </c>
      <c r="AG176" s="190">
        <v>35.97512940000005</v>
      </c>
      <c r="AH176" s="190">
        <v>35.856399600000046</v>
      </c>
      <c r="AI176" s="190">
        <v>35.737669800000049</v>
      </c>
      <c r="AJ176" s="190">
        <v>35.618940000000045</v>
      </c>
    </row>
    <row r="177" spans="1:36" hidden="1" x14ac:dyDescent="0.35">
      <c r="A177" t="s">
        <v>1605</v>
      </c>
      <c r="B177" s="188" t="s">
        <v>1342</v>
      </c>
      <c r="C177" t="s">
        <v>1343</v>
      </c>
      <c r="D177" s="188">
        <v>30</v>
      </c>
      <c r="E177" t="s">
        <v>1500</v>
      </c>
      <c r="F177" t="s">
        <v>1606</v>
      </c>
      <c r="G177" s="189" t="s">
        <v>1607</v>
      </c>
      <c r="H177" s="190">
        <v>39.259987199999998</v>
      </c>
      <c r="I177" s="190">
        <v>39.101680799999997</v>
      </c>
      <c r="J177" s="190">
        <v>38.943374399999996</v>
      </c>
      <c r="K177" s="190">
        <v>38.785067999999995</v>
      </c>
      <c r="L177" s="190">
        <v>38.626761599999995</v>
      </c>
      <c r="M177" s="190">
        <v>38.468455199999994</v>
      </c>
      <c r="N177" s="190">
        <v>38.3101488</v>
      </c>
      <c r="O177" s="190">
        <v>38.1518424</v>
      </c>
      <c r="P177" s="190">
        <v>37.993535999999999</v>
      </c>
      <c r="Q177" s="190">
        <v>37.874806199999995</v>
      </c>
      <c r="R177" s="190">
        <v>37.756076400000005</v>
      </c>
      <c r="S177" s="190">
        <v>37.637346600000001</v>
      </c>
      <c r="T177" s="190">
        <v>37.518616800000011</v>
      </c>
      <c r="U177" s="190">
        <v>37.399887000000014</v>
      </c>
      <c r="V177" s="190">
        <v>37.28115720000001</v>
      </c>
      <c r="W177" s="190">
        <v>37.16242740000002</v>
      </c>
      <c r="X177" s="190">
        <v>37.043697600000016</v>
      </c>
      <c r="Y177" s="190">
        <v>36.924967800000026</v>
      </c>
      <c r="Z177" s="190">
        <v>36.806238000000029</v>
      </c>
      <c r="AA177" s="190">
        <v>36.687508200000032</v>
      </c>
      <c r="AB177" s="190">
        <v>36.568778400000035</v>
      </c>
      <c r="AC177" s="190">
        <v>36.450048600000038</v>
      </c>
      <c r="AD177" s="190">
        <v>36.331318800000041</v>
      </c>
      <c r="AE177" s="190">
        <v>36.212589000000051</v>
      </c>
      <c r="AF177" s="190">
        <v>36.093859200000047</v>
      </c>
      <c r="AG177" s="190">
        <v>35.97512940000005</v>
      </c>
      <c r="AH177" s="190">
        <v>35.856399600000046</v>
      </c>
      <c r="AI177" s="190">
        <v>35.737669800000049</v>
      </c>
      <c r="AJ177" s="190">
        <v>35.618940000000045</v>
      </c>
    </row>
    <row r="178" spans="1:36" hidden="1" x14ac:dyDescent="0.35">
      <c r="A178" t="s">
        <v>1608</v>
      </c>
      <c r="B178" s="188" t="s">
        <v>1342</v>
      </c>
      <c r="C178" t="s">
        <v>1348</v>
      </c>
      <c r="D178" s="188">
        <v>30</v>
      </c>
      <c r="E178" t="s">
        <v>1500</v>
      </c>
      <c r="F178" t="s">
        <v>1606</v>
      </c>
      <c r="G178" s="189" t="s">
        <v>1607</v>
      </c>
      <c r="H178" s="190">
        <v>39.259987199999998</v>
      </c>
      <c r="I178" s="190">
        <v>39.101680799999997</v>
      </c>
      <c r="J178" s="190">
        <v>38.943374399999996</v>
      </c>
      <c r="K178" s="190">
        <v>38.785067999999995</v>
      </c>
      <c r="L178" s="190">
        <v>38.626761599999995</v>
      </c>
      <c r="M178" s="190">
        <v>38.468455199999994</v>
      </c>
      <c r="N178" s="190">
        <v>38.3101488</v>
      </c>
      <c r="O178" s="190">
        <v>38.1518424</v>
      </c>
      <c r="P178" s="190">
        <v>37.993535999999999</v>
      </c>
      <c r="Q178" s="190">
        <v>37.874806199999995</v>
      </c>
      <c r="R178" s="190">
        <v>37.756076400000005</v>
      </c>
      <c r="S178" s="190">
        <v>37.637346600000001</v>
      </c>
      <c r="T178" s="190">
        <v>37.518616800000011</v>
      </c>
      <c r="U178" s="190">
        <v>37.399887000000014</v>
      </c>
      <c r="V178" s="190">
        <v>37.28115720000001</v>
      </c>
      <c r="W178" s="190">
        <v>37.16242740000002</v>
      </c>
      <c r="X178" s="190">
        <v>37.043697600000016</v>
      </c>
      <c r="Y178" s="190">
        <v>36.924967800000026</v>
      </c>
      <c r="Z178" s="190">
        <v>36.806238000000029</v>
      </c>
      <c r="AA178" s="190">
        <v>36.687508200000032</v>
      </c>
      <c r="AB178" s="190">
        <v>36.568778400000035</v>
      </c>
      <c r="AC178" s="190">
        <v>36.450048600000038</v>
      </c>
      <c r="AD178" s="190">
        <v>36.331318800000041</v>
      </c>
      <c r="AE178" s="190">
        <v>36.212589000000051</v>
      </c>
      <c r="AF178" s="190">
        <v>36.093859200000047</v>
      </c>
      <c r="AG178" s="190">
        <v>35.97512940000005</v>
      </c>
      <c r="AH178" s="190">
        <v>35.856399600000046</v>
      </c>
      <c r="AI178" s="190">
        <v>35.737669800000049</v>
      </c>
      <c r="AJ178" s="190">
        <v>35.618940000000045</v>
      </c>
    </row>
    <row r="179" spans="1:36" hidden="1" x14ac:dyDescent="0.35">
      <c r="A179" t="s">
        <v>1609</v>
      </c>
      <c r="B179" s="188" t="s">
        <v>1342</v>
      </c>
      <c r="C179" t="s">
        <v>1350</v>
      </c>
      <c r="D179" s="188">
        <v>30</v>
      </c>
      <c r="E179" t="s">
        <v>1500</v>
      </c>
      <c r="F179" t="s">
        <v>1606</v>
      </c>
      <c r="G179" s="189" t="s">
        <v>1607</v>
      </c>
      <c r="H179" s="190">
        <v>39.259987199999998</v>
      </c>
      <c r="I179" s="190">
        <v>39.101680799999997</v>
      </c>
      <c r="J179" s="190">
        <v>38.943374399999996</v>
      </c>
      <c r="K179" s="190">
        <v>38.785067999999995</v>
      </c>
      <c r="L179" s="190">
        <v>38.626761599999995</v>
      </c>
      <c r="M179" s="190">
        <v>38.468455199999994</v>
      </c>
      <c r="N179" s="190">
        <v>38.3101488</v>
      </c>
      <c r="O179" s="190">
        <v>38.1518424</v>
      </c>
      <c r="P179" s="190">
        <v>37.993535999999999</v>
      </c>
      <c r="Q179" s="190">
        <v>37.874806199999995</v>
      </c>
      <c r="R179" s="190">
        <v>37.756076400000005</v>
      </c>
      <c r="S179" s="190">
        <v>37.637346600000001</v>
      </c>
      <c r="T179" s="190">
        <v>37.518616800000011</v>
      </c>
      <c r="U179" s="190">
        <v>37.399887000000014</v>
      </c>
      <c r="V179" s="190">
        <v>37.28115720000001</v>
      </c>
      <c r="W179" s="190">
        <v>37.16242740000002</v>
      </c>
      <c r="X179" s="190">
        <v>37.043697600000016</v>
      </c>
      <c r="Y179" s="190">
        <v>36.924967800000026</v>
      </c>
      <c r="Z179" s="190">
        <v>36.806238000000029</v>
      </c>
      <c r="AA179" s="190">
        <v>36.687508200000032</v>
      </c>
      <c r="AB179" s="190">
        <v>36.568778400000035</v>
      </c>
      <c r="AC179" s="190">
        <v>36.450048600000038</v>
      </c>
      <c r="AD179" s="190">
        <v>36.331318800000041</v>
      </c>
      <c r="AE179" s="190">
        <v>36.212589000000051</v>
      </c>
      <c r="AF179" s="190">
        <v>36.093859200000047</v>
      </c>
      <c r="AG179" s="190">
        <v>35.97512940000005</v>
      </c>
      <c r="AH179" s="190">
        <v>35.856399600000046</v>
      </c>
      <c r="AI179" s="190">
        <v>35.737669800000049</v>
      </c>
      <c r="AJ179" s="190">
        <v>35.618940000000045</v>
      </c>
    </row>
    <row r="180" spans="1:36" hidden="1" x14ac:dyDescent="0.35">
      <c r="A180" t="s">
        <v>1610</v>
      </c>
      <c r="B180" s="188" t="s">
        <v>1342</v>
      </c>
      <c r="C180" t="s">
        <v>1343</v>
      </c>
      <c r="D180" s="188">
        <v>30</v>
      </c>
      <c r="E180" t="s">
        <v>1500</v>
      </c>
      <c r="F180" t="s">
        <v>1611</v>
      </c>
      <c r="G180" s="189" t="s">
        <v>1612</v>
      </c>
      <c r="H180" s="190">
        <v>39.259987199999998</v>
      </c>
      <c r="I180" s="190">
        <v>39.101680799999997</v>
      </c>
      <c r="J180" s="190">
        <v>38.943374399999996</v>
      </c>
      <c r="K180" s="190">
        <v>38.785067999999995</v>
      </c>
      <c r="L180" s="190">
        <v>38.626761599999995</v>
      </c>
      <c r="M180" s="190">
        <v>38.468455199999994</v>
      </c>
      <c r="N180" s="190">
        <v>38.3101488</v>
      </c>
      <c r="O180" s="190">
        <v>38.1518424</v>
      </c>
      <c r="P180" s="190">
        <v>37.993535999999999</v>
      </c>
      <c r="Q180" s="190">
        <v>37.874806199999995</v>
      </c>
      <c r="R180" s="190">
        <v>37.756076400000005</v>
      </c>
      <c r="S180" s="190">
        <v>37.637346600000001</v>
      </c>
      <c r="T180" s="190">
        <v>37.518616800000011</v>
      </c>
      <c r="U180" s="190">
        <v>37.399887000000014</v>
      </c>
      <c r="V180" s="190">
        <v>37.28115720000001</v>
      </c>
      <c r="W180" s="190">
        <v>37.16242740000002</v>
      </c>
      <c r="X180" s="190">
        <v>37.043697600000016</v>
      </c>
      <c r="Y180" s="190">
        <v>36.924967800000026</v>
      </c>
      <c r="Z180" s="190">
        <v>36.806238000000029</v>
      </c>
      <c r="AA180" s="190">
        <v>36.687508200000032</v>
      </c>
      <c r="AB180" s="190">
        <v>36.568778400000035</v>
      </c>
      <c r="AC180" s="190">
        <v>36.450048600000038</v>
      </c>
      <c r="AD180" s="190">
        <v>36.331318800000041</v>
      </c>
      <c r="AE180" s="190">
        <v>36.212589000000051</v>
      </c>
      <c r="AF180" s="190">
        <v>36.093859200000047</v>
      </c>
      <c r="AG180" s="190">
        <v>35.97512940000005</v>
      </c>
      <c r="AH180" s="190">
        <v>35.856399600000046</v>
      </c>
      <c r="AI180" s="190">
        <v>35.737669800000049</v>
      </c>
      <c r="AJ180" s="190">
        <v>35.618940000000045</v>
      </c>
    </row>
    <row r="181" spans="1:36" hidden="1" x14ac:dyDescent="0.35">
      <c r="A181" t="s">
        <v>1613</v>
      </c>
      <c r="B181" s="188" t="s">
        <v>1342</v>
      </c>
      <c r="C181" t="s">
        <v>1348</v>
      </c>
      <c r="D181" s="188">
        <v>30</v>
      </c>
      <c r="E181" t="s">
        <v>1500</v>
      </c>
      <c r="F181" t="s">
        <v>1611</v>
      </c>
      <c r="G181" s="189" t="s">
        <v>1612</v>
      </c>
      <c r="H181" s="190">
        <v>39.259987199999998</v>
      </c>
      <c r="I181" s="190">
        <v>39.101680799999997</v>
      </c>
      <c r="J181" s="190">
        <v>38.943374399999996</v>
      </c>
      <c r="K181" s="190">
        <v>38.785067999999995</v>
      </c>
      <c r="L181" s="190">
        <v>38.626761599999995</v>
      </c>
      <c r="M181" s="190">
        <v>38.468455199999994</v>
      </c>
      <c r="N181" s="190">
        <v>38.3101488</v>
      </c>
      <c r="O181" s="190">
        <v>38.1518424</v>
      </c>
      <c r="P181" s="190">
        <v>37.993535999999999</v>
      </c>
      <c r="Q181" s="190">
        <v>37.874806199999995</v>
      </c>
      <c r="R181" s="190">
        <v>37.756076400000005</v>
      </c>
      <c r="S181" s="190">
        <v>37.637346600000001</v>
      </c>
      <c r="T181" s="190">
        <v>37.518616800000011</v>
      </c>
      <c r="U181" s="190">
        <v>37.399887000000014</v>
      </c>
      <c r="V181" s="190">
        <v>37.28115720000001</v>
      </c>
      <c r="W181" s="190">
        <v>37.16242740000002</v>
      </c>
      <c r="X181" s="190">
        <v>37.043697600000016</v>
      </c>
      <c r="Y181" s="190">
        <v>36.924967800000026</v>
      </c>
      <c r="Z181" s="190">
        <v>36.806238000000029</v>
      </c>
      <c r="AA181" s="190">
        <v>36.687508200000032</v>
      </c>
      <c r="AB181" s="190">
        <v>36.568778400000035</v>
      </c>
      <c r="AC181" s="190">
        <v>36.450048600000038</v>
      </c>
      <c r="AD181" s="190">
        <v>36.331318800000041</v>
      </c>
      <c r="AE181" s="190">
        <v>36.212589000000051</v>
      </c>
      <c r="AF181" s="190">
        <v>36.093859200000047</v>
      </c>
      <c r="AG181" s="190">
        <v>35.97512940000005</v>
      </c>
      <c r="AH181" s="190">
        <v>35.856399600000046</v>
      </c>
      <c r="AI181" s="190">
        <v>35.737669800000049</v>
      </c>
      <c r="AJ181" s="190">
        <v>35.618940000000045</v>
      </c>
    </row>
    <row r="182" spans="1:36" hidden="1" x14ac:dyDescent="0.35">
      <c r="A182" t="s">
        <v>1614</v>
      </c>
      <c r="B182" s="188" t="s">
        <v>1342</v>
      </c>
      <c r="C182" t="s">
        <v>1350</v>
      </c>
      <c r="D182" s="188">
        <v>30</v>
      </c>
      <c r="E182" t="s">
        <v>1500</v>
      </c>
      <c r="F182" t="s">
        <v>1611</v>
      </c>
      <c r="G182" s="189" t="s">
        <v>1612</v>
      </c>
      <c r="H182" s="190">
        <v>39.259987199999998</v>
      </c>
      <c r="I182" s="190">
        <v>39.101680799999997</v>
      </c>
      <c r="J182" s="190">
        <v>38.943374399999996</v>
      </c>
      <c r="K182" s="190">
        <v>38.785067999999995</v>
      </c>
      <c r="L182" s="190">
        <v>38.626761599999995</v>
      </c>
      <c r="M182" s="190">
        <v>38.468455199999994</v>
      </c>
      <c r="N182" s="190">
        <v>38.3101488</v>
      </c>
      <c r="O182" s="190">
        <v>38.1518424</v>
      </c>
      <c r="P182" s="190">
        <v>37.993535999999999</v>
      </c>
      <c r="Q182" s="190">
        <v>37.874806199999995</v>
      </c>
      <c r="R182" s="190">
        <v>37.756076400000005</v>
      </c>
      <c r="S182" s="190">
        <v>37.637346600000001</v>
      </c>
      <c r="T182" s="190">
        <v>37.518616800000011</v>
      </c>
      <c r="U182" s="190">
        <v>37.399887000000014</v>
      </c>
      <c r="V182" s="190">
        <v>37.28115720000001</v>
      </c>
      <c r="W182" s="190">
        <v>37.16242740000002</v>
      </c>
      <c r="X182" s="190">
        <v>37.043697600000016</v>
      </c>
      <c r="Y182" s="190">
        <v>36.924967800000026</v>
      </c>
      <c r="Z182" s="190">
        <v>36.806238000000029</v>
      </c>
      <c r="AA182" s="190">
        <v>36.687508200000032</v>
      </c>
      <c r="AB182" s="190">
        <v>36.568778400000035</v>
      </c>
      <c r="AC182" s="190">
        <v>36.450048600000038</v>
      </c>
      <c r="AD182" s="190">
        <v>36.331318800000041</v>
      </c>
      <c r="AE182" s="190">
        <v>36.212589000000051</v>
      </c>
      <c r="AF182" s="190">
        <v>36.093859200000047</v>
      </c>
      <c r="AG182" s="190">
        <v>35.97512940000005</v>
      </c>
      <c r="AH182" s="190">
        <v>35.856399600000046</v>
      </c>
      <c r="AI182" s="190">
        <v>35.737669800000049</v>
      </c>
      <c r="AJ182" s="190">
        <v>35.618940000000045</v>
      </c>
    </row>
    <row r="183" spans="1:36" hidden="1" x14ac:dyDescent="0.35">
      <c r="A183" t="s">
        <v>1615</v>
      </c>
      <c r="B183" s="188" t="s">
        <v>1342</v>
      </c>
      <c r="C183" t="s">
        <v>1343</v>
      </c>
      <c r="D183" s="188">
        <v>30</v>
      </c>
      <c r="E183" t="s">
        <v>1500</v>
      </c>
      <c r="F183" t="s">
        <v>1616</v>
      </c>
      <c r="G183" s="189" t="s">
        <v>1617</v>
      </c>
      <c r="H183" s="190">
        <v>39.259987199999998</v>
      </c>
      <c r="I183" s="190">
        <v>39.101680799999997</v>
      </c>
      <c r="J183" s="190">
        <v>38.943374399999996</v>
      </c>
      <c r="K183" s="190">
        <v>38.785067999999995</v>
      </c>
      <c r="L183" s="190">
        <v>38.626761599999995</v>
      </c>
      <c r="M183" s="190">
        <v>38.468455199999994</v>
      </c>
      <c r="N183" s="190">
        <v>38.3101488</v>
      </c>
      <c r="O183" s="190">
        <v>38.1518424</v>
      </c>
      <c r="P183" s="190">
        <v>37.993535999999999</v>
      </c>
      <c r="Q183" s="190">
        <v>37.874806199999995</v>
      </c>
      <c r="R183" s="190">
        <v>37.756076400000005</v>
      </c>
      <c r="S183" s="190">
        <v>37.637346600000001</v>
      </c>
      <c r="T183" s="190">
        <v>37.518616800000011</v>
      </c>
      <c r="U183" s="190">
        <v>37.399887000000014</v>
      </c>
      <c r="V183" s="190">
        <v>37.28115720000001</v>
      </c>
      <c r="W183" s="190">
        <v>37.16242740000002</v>
      </c>
      <c r="X183" s="190">
        <v>37.043697600000016</v>
      </c>
      <c r="Y183" s="190">
        <v>36.924967800000026</v>
      </c>
      <c r="Z183" s="190">
        <v>36.806238000000029</v>
      </c>
      <c r="AA183" s="190">
        <v>36.687508200000032</v>
      </c>
      <c r="AB183" s="190">
        <v>36.568778400000035</v>
      </c>
      <c r="AC183" s="190">
        <v>36.450048600000038</v>
      </c>
      <c r="AD183" s="190">
        <v>36.331318800000041</v>
      </c>
      <c r="AE183" s="190">
        <v>36.212589000000051</v>
      </c>
      <c r="AF183" s="190">
        <v>36.093859200000047</v>
      </c>
      <c r="AG183" s="190">
        <v>35.97512940000005</v>
      </c>
      <c r="AH183" s="190">
        <v>35.856399600000046</v>
      </c>
      <c r="AI183" s="190">
        <v>35.737669800000049</v>
      </c>
      <c r="AJ183" s="190">
        <v>35.618940000000045</v>
      </c>
    </row>
    <row r="184" spans="1:36" hidden="1" x14ac:dyDescent="0.35">
      <c r="A184" t="s">
        <v>1618</v>
      </c>
      <c r="B184" s="188" t="s">
        <v>1342</v>
      </c>
      <c r="C184" t="s">
        <v>1348</v>
      </c>
      <c r="D184" s="188">
        <v>30</v>
      </c>
      <c r="E184" t="s">
        <v>1500</v>
      </c>
      <c r="F184" t="s">
        <v>1616</v>
      </c>
      <c r="G184" s="189" t="s">
        <v>1617</v>
      </c>
      <c r="H184" s="190">
        <v>39.259987199999998</v>
      </c>
      <c r="I184" s="190">
        <v>39.101680799999997</v>
      </c>
      <c r="J184" s="190">
        <v>38.943374399999996</v>
      </c>
      <c r="K184" s="190">
        <v>38.785067999999995</v>
      </c>
      <c r="L184" s="190">
        <v>38.626761599999995</v>
      </c>
      <c r="M184" s="190">
        <v>38.468455199999994</v>
      </c>
      <c r="N184" s="190">
        <v>38.3101488</v>
      </c>
      <c r="O184" s="190">
        <v>38.1518424</v>
      </c>
      <c r="P184" s="190">
        <v>37.993535999999999</v>
      </c>
      <c r="Q184" s="190">
        <v>37.874806199999995</v>
      </c>
      <c r="R184" s="190">
        <v>37.756076400000005</v>
      </c>
      <c r="S184" s="190">
        <v>37.637346600000001</v>
      </c>
      <c r="T184" s="190">
        <v>37.518616800000011</v>
      </c>
      <c r="U184" s="190">
        <v>37.399887000000014</v>
      </c>
      <c r="V184" s="190">
        <v>37.28115720000001</v>
      </c>
      <c r="W184" s="190">
        <v>37.16242740000002</v>
      </c>
      <c r="X184" s="190">
        <v>37.043697600000016</v>
      </c>
      <c r="Y184" s="190">
        <v>36.924967800000026</v>
      </c>
      <c r="Z184" s="190">
        <v>36.806238000000029</v>
      </c>
      <c r="AA184" s="190">
        <v>36.687508200000032</v>
      </c>
      <c r="AB184" s="190">
        <v>36.568778400000035</v>
      </c>
      <c r="AC184" s="190">
        <v>36.450048600000038</v>
      </c>
      <c r="AD184" s="190">
        <v>36.331318800000041</v>
      </c>
      <c r="AE184" s="190">
        <v>36.212589000000051</v>
      </c>
      <c r="AF184" s="190">
        <v>36.093859200000047</v>
      </c>
      <c r="AG184" s="190">
        <v>35.97512940000005</v>
      </c>
      <c r="AH184" s="190">
        <v>35.856399600000046</v>
      </c>
      <c r="AI184" s="190">
        <v>35.737669800000049</v>
      </c>
      <c r="AJ184" s="190">
        <v>35.618940000000045</v>
      </c>
    </row>
    <row r="185" spans="1:36" hidden="1" x14ac:dyDescent="0.35">
      <c r="A185" t="s">
        <v>1619</v>
      </c>
      <c r="B185" s="188" t="s">
        <v>1342</v>
      </c>
      <c r="C185" t="s">
        <v>1350</v>
      </c>
      <c r="D185" s="188">
        <v>30</v>
      </c>
      <c r="E185" t="s">
        <v>1500</v>
      </c>
      <c r="F185" t="s">
        <v>1616</v>
      </c>
      <c r="G185" s="189" t="s">
        <v>1617</v>
      </c>
      <c r="H185" s="190">
        <v>39.259987199999998</v>
      </c>
      <c r="I185" s="190">
        <v>39.101680799999997</v>
      </c>
      <c r="J185" s="190">
        <v>38.943374399999996</v>
      </c>
      <c r="K185" s="190">
        <v>38.785067999999995</v>
      </c>
      <c r="L185" s="190">
        <v>38.626761599999995</v>
      </c>
      <c r="M185" s="190">
        <v>38.468455199999994</v>
      </c>
      <c r="N185" s="190">
        <v>38.3101488</v>
      </c>
      <c r="O185" s="190">
        <v>38.1518424</v>
      </c>
      <c r="P185" s="190">
        <v>37.993535999999999</v>
      </c>
      <c r="Q185" s="190">
        <v>37.874806199999995</v>
      </c>
      <c r="R185" s="190">
        <v>37.756076400000005</v>
      </c>
      <c r="S185" s="190">
        <v>37.637346600000001</v>
      </c>
      <c r="T185" s="190">
        <v>37.518616800000011</v>
      </c>
      <c r="U185" s="190">
        <v>37.399887000000014</v>
      </c>
      <c r="V185" s="190">
        <v>37.28115720000001</v>
      </c>
      <c r="W185" s="190">
        <v>37.16242740000002</v>
      </c>
      <c r="X185" s="190">
        <v>37.043697600000016</v>
      </c>
      <c r="Y185" s="190">
        <v>36.924967800000026</v>
      </c>
      <c r="Z185" s="190">
        <v>36.806238000000029</v>
      </c>
      <c r="AA185" s="190">
        <v>36.687508200000032</v>
      </c>
      <c r="AB185" s="190">
        <v>36.568778400000035</v>
      </c>
      <c r="AC185" s="190">
        <v>36.450048600000038</v>
      </c>
      <c r="AD185" s="190">
        <v>36.331318800000041</v>
      </c>
      <c r="AE185" s="190">
        <v>36.212589000000051</v>
      </c>
      <c r="AF185" s="190">
        <v>36.093859200000047</v>
      </c>
      <c r="AG185" s="190">
        <v>35.97512940000005</v>
      </c>
      <c r="AH185" s="190">
        <v>35.856399600000046</v>
      </c>
      <c r="AI185" s="190">
        <v>35.737669800000049</v>
      </c>
      <c r="AJ185" s="190">
        <v>35.618940000000045</v>
      </c>
    </row>
    <row r="186" spans="1:36" hidden="1" x14ac:dyDescent="0.35">
      <c r="A186" t="s">
        <v>1620</v>
      </c>
      <c r="B186" s="188" t="s">
        <v>1342</v>
      </c>
      <c r="C186" t="s">
        <v>1343</v>
      </c>
      <c r="D186" s="188">
        <v>30</v>
      </c>
      <c r="E186" t="s">
        <v>1500</v>
      </c>
      <c r="F186" t="s">
        <v>1621</v>
      </c>
      <c r="G186" s="189" t="s">
        <v>1622</v>
      </c>
      <c r="H186" s="190">
        <v>39.259987199999998</v>
      </c>
      <c r="I186" s="190">
        <v>39.101680799999997</v>
      </c>
      <c r="J186" s="190">
        <v>38.943374399999996</v>
      </c>
      <c r="K186" s="190">
        <v>38.785067999999995</v>
      </c>
      <c r="L186" s="190">
        <v>38.626761599999995</v>
      </c>
      <c r="M186" s="190">
        <v>38.468455199999994</v>
      </c>
      <c r="N186" s="190">
        <v>38.3101488</v>
      </c>
      <c r="O186" s="190">
        <v>38.1518424</v>
      </c>
      <c r="P186" s="190">
        <v>37.993535999999999</v>
      </c>
      <c r="Q186" s="190">
        <v>37.874806199999995</v>
      </c>
      <c r="R186" s="190">
        <v>37.756076400000005</v>
      </c>
      <c r="S186" s="190">
        <v>37.637346600000001</v>
      </c>
      <c r="T186" s="190">
        <v>37.518616800000011</v>
      </c>
      <c r="U186" s="190">
        <v>37.399887000000014</v>
      </c>
      <c r="V186" s="190">
        <v>37.28115720000001</v>
      </c>
      <c r="W186" s="190">
        <v>37.16242740000002</v>
      </c>
      <c r="X186" s="190">
        <v>37.043697600000016</v>
      </c>
      <c r="Y186" s="190">
        <v>36.924967800000026</v>
      </c>
      <c r="Z186" s="190">
        <v>36.806238000000029</v>
      </c>
      <c r="AA186" s="190">
        <v>36.687508200000032</v>
      </c>
      <c r="AB186" s="190">
        <v>36.568778400000035</v>
      </c>
      <c r="AC186" s="190">
        <v>36.450048600000038</v>
      </c>
      <c r="AD186" s="190">
        <v>36.331318800000041</v>
      </c>
      <c r="AE186" s="190">
        <v>36.212589000000051</v>
      </c>
      <c r="AF186" s="190">
        <v>36.093859200000047</v>
      </c>
      <c r="AG186" s="190">
        <v>35.97512940000005</v>
      </c>
      <c r="AH186" s="190">
        <v>35.856399600000046</v>
      </c>
      <c r="AI186" s="190">
        <v>35.737669800000049</v>
      </c>
      <c r="AJ186" s="190">
        <v>35.618940000000045</v>
      </c>
    </row>
    <row r="187" spans="1:36" hidden="1" x14ac:dyDescent="0.35">
      <c r="A187" t="s">
        <v>1623</v>
      </c>
      <c r="B187" s="188" t="s">
        <v>1342</v>
      </c>
      <c r="C187" t="s">
        <v>1348</v>
      </c>
      <c r="D187" s="188">
        <v>30</v>
      </c>
      <c r="E187" t="s">
        <v>1500</v>
      </c>
      <c r="F187" t="s">
        <v>1621</v>
      </c>
      <c r="G187" s="189" t="s">
        <v>1622</v>
      </c>
      <c r="H187" s="190">
        <v>39.259987199999998</v>
      </c>
      <c r="I187" s="190">
        <v>39.101680799999997</v>
      </c>
      <c r="J187" s="190">
        <v>38.943374399999996</v>
      </c>
      <c r="K187" s="190">
        <v>38.785067999999995</v>
      </c>
      <c r="L187" s="190">
        <v>38.626761599999995</v>
      </c>
      <c r="M187" s="190">
        <v>38.468455199999994</v>
      </c>
      <c r="N187" s="190">
        <v>38.3101488</v>
      </c>
      <c r="O187" s="190">
        <v>38.1518424</v>
      </c>
      <c r="P187" s="190">
        <v>37.993535999999999</v>
      </c>
      <c r="Q187" s="190">
        <v>37.874806199999995</v>
      </c>
      <c r="R187" s="190">
        <v>37.756076400000005</v>
      </c>
      <c r="S187" s="190">
        <v>37.637346600000001</v>
      </c>
      <c r="T187" s="190">
        <v>37.518616800000011</v>
      </c>
      <c r="U187" s="190">
        <v>37.399887000000014</v>
      </c>
      <c r="V187" s="190">
        <v>37.28115720000001</v>
      </c>
      <c r="W187" s="190">
        <v>37.16242740000002</v>
      </c>
      <c r="X187" s="190">
        <v>37.043697600000016</v>
      </c>
      <c r="Y187" s="190">
        <v>36.924967800000026</v>
      </c>
      <c r="Z187" s="190">
        <v>36.806238000000029</v>
      </c>
      <c r="AA187" s="190">
        <v>36.687508200000032</v>
      </c>
      <c r="AB187" s="190">
        <v>36.568778400000035</v>
      </c>
      <c r="AC187" s="190">
        <v>36.450048600000038</v>
      </c>
      <c r="AD187" s="190">
        <v>36.331318800000041</v>
      </c>
      <c r="AE187" s="190">
        <v>36.212589000000051</v>
      </c>
      <c r="AF187" s="190">
        <v>36.093859200000047</v>
      </c>
      <c r="AG187" s="190">
        <v>35.97512940000005</v>
      </c>
      <c r="AH187" s="190">
        <v>35.856399600000046</v>
      </c>
      <c r="AI187" s="190">
        <v>35.737669800000049</v>
      </c>
      <c r="AJ187" s="190">
        <v>35.618940000000045</v>
      </c>
    </row>
    <row r="188" spans="1:36" hidden="1" x14ac:dyDescent="0.35">
      <c r="A188" t="s">
        <v>1624</v>
      </c>
      <c r="B188" s="188" t="s">
        <v>1342</v>
      </c>
      <c r="C188" t="s">
        <v>1350</v>
      </c>
      <c r="D188" s="188">
        <v>30</v>
      </c>
      <c r="E188" t="s">
        <v>1500</v>
      </c>
      <c r="F188" t="s">
        <v>1621</v>
      </c>
      <c r="G188" s="189" t="s">
        <v>1622</v>
      </c>
      <c r="H188" s="190">
        <v>39.259987199999998</v>
      </c>
      <c r="I188" s="190">
        <v>39.101680799999997</v>
      </c>
      <c r="J188" s="190">
        <v>38.943374399999996</v>
      </c>
      <c r="K188" s="190">
        <v>38.785067999999995</v>
      </c>
      <c r="L188" s="190">
        <v>38.626761599999995</v>
      </c>
      <c r="M188" s="190">
        <v>38.468455199999994</v>
      </c>
      <c r="N188" s="190">
        <v>38.3101488</v>
      </c>
      <c r="O188" s="190">
        <v>38.1518424</v>
      </c>
      <c r="P188" s="190">
        <v>37.993535999999999</v>
      </c>
      <c r="Q188" s="190">
        <v>37.874806199999995</v>
      </c>
      <c r="R188" s="190">
        <v>37.756076400000005</v>
      </c>
      <c r="S188" s="190">
        <v>37.637346600000001</v>
      </c>
      <c r="T188" s="190">
        <v>37.518616800000011</v>
      </c>
      <c r="U188" s="190">
        <v>37.399887000000014</v>
      </c>
      <c r="V188" s="190">
        <v>37.28115720000001</v>
      </c>
      <c r="W188" s="190">
        <v>37.16242740000002</v>
      </c>
      <c r="X188" s="190">
        <v>37.043697600000016</v>
      </c>
      <c r="Y188" s="190">
        <v>36.924967800000026</v>
      </c>
      <c r="Z188" s="190">
        <v>36.806238000000029</v>
      </c>
      <c r="AA188" s="190">
        <v>36.687508200000032</v>
      </c>
      <c r="AB188" s="190">
        <v>36.568778400000035</v>
      </c>
      <c r="AC188" s="190">
        <v>36.450048600000038</v>
      </c>
      <c r="AD188" s="190">
        <v>36.331318800000041</v>
      </c>
      <c r="AE188" s="190">
        <v>36.212589000000051</v>
      </c>
      <c r="AF188" s="190">
        <v>36.093859200000047</v>
      </c>
      <c r="AG188" s="190">
        <v>35.97512940000005</v>
      </c>
      <c r="AH188" s="190">
        <v>35.856399600000046</v>
      </c>
      <c r="AI188" s="190">
        <v>35.737669800000049</v>
      </c>
      <c r="AJ188" s="190">
        <v>35.618940000000045</v>
      </c>
    </row>
    <row r="189" spans="1:36" hidden="1" x14ac:dyDescent="0.35">
      <c r="A189" t="s">
        <v>1625</v>
      </c>
      <c r="B189" s="188" t="s">
        <v>1342</v>
      </c>
      <c r="C189" t="s">
        <v>1343</v>
      </c>
      <c r="D189" s="188">
        <v>30</v>
      </c>
      <c r="E189" t="s">
        <v>1500</v>
      </c>
      <c r="F189" t="s">
        <v>1626</v>
      </c>
      <c r="G189" s="189" t="s">
        <v>1627</v>
      </c>
      <c r="H189" s="190">
        <v>39.259987199999998</v>
      </c>
      <c r="I189" s="190">
        <v>39.101680799999997</v>
      </c>
      <c r="J189" s="190">
        <v>38.943374399999996</v>
      </c>
      <c r="K189" s="190">
        <v>38.785067999999995</v>
      </c>
      <c r="L189" s="190">
        <v>38.626761599999995</v>
      </c>
      <c r="M189" s="190">
        <v>38.468455199999994</v>
      </c>
      <c r="N189" s="190">
        <v>38.3101488</v>
      </c>
      <c r="O189" s="190">
        <v>38.1518424</v>
      </c>
      <c r="P189" s="190">
        <v>37.993535999999999</v>
      </c>
      <c r="Q189" s="190">
        <v>37.874806199999995</v>
      </c>
      <c r="R189" s="190">
        <v>37.756076400000005</v>
      </c>
      <c r="S189" s="190">
        <v>37.637346600000001</v>
      </c>
      <c r="T189" s="190">
        <v>37.518616800000011</v>
      </c>
      <c r="U189" s="190">
        <v>37.399887000000014</v>
      </c>
      <c r="V189" s="190">
        <v>37.28115720000001</v>
      </c>
      <c r="W189" s="190">
        <v>37.16242740000002</v>
      </c>
      <c r="X189" s="190">
        <v>37.043697600000016</v>
      </c>
      <c r="Y189" s="190">
        <v>36.924967800000026</v>
      </c>
      <c r="Z189" s="190">
        <v>36.806238000000029</v>
      </c>
      <c r="AA189" s="190">
        <v>36.687508200000032</v>
      </c>
      <c r="AB189" s="190">
        <v>36.568778400000035</v>
      </c>
      <c r="AC189" s="190">
        <v>36.450048600000038</v>
      </c>
      <c r="AD189" s="190">
        <v>36.331318800000041</v>
      </c>
      <c r="AE189" s="190">
        <v>36.212589000000051</v>
      </c>
      <c r="AF189" s="190">
        <v>36.093859200000047</v>
      </c>
      <c r="AG189" s="190">
        <v>35.97512940000005</v>
      </c>
      <c r="AH189" s="190">
        <v>35.856399600000046</v>
      </c>
      <c r="AI189" s="190">
        <v>35.737669800000049</v>
      </c>
      <c r="AJ189" s="190">
        <v>35.618940000000045</v>
      </c>
    </row>
    <row r="190" spans="1:36" hidden="1" x14ac:dyDescent="0.35">
      <c r="A190" t="s">
        <v>1628</v>
      </c>
      <c r="B190" s="188" t="s">
        <v>1342</v>
      </c>
      <c r="C190" t="s">
        <v>1348</v>
      </c>
      <c r="D190" s="188">
        <v>30</v>
      </c>
      <c r="E190" t="s">
        <v>1500</v>
      </c>
      <c r="F190" t="s">
        <v>1626</v>
      </c>
      <c r="G190" s="189" t="s">
        <v>1627</v>
      </c>
      <c r="H190" s="190">
        <v>39.259987199999998</v>
      </c>
      <c r="I190" s="190">
        <v>39.101680799999997</v>
      </c>
      <c r="J190" s="190">
        <v>38.943374399999996</v>
      </c>
      <c r="K190" s="190">
        <v>38.785067999999995</v>
      </c>
      <c r="L190" s="190">
        <v>38.626761599999995</v>
      </c>
      <c r="M190" s="190">
        <v>38.468455199999994</v>
      </c>
      <c r="N190" s="190">
        <v>38.3101488</v>
      </c>
      <c r="O190" s="190">
        <v>38.1518424</v>
      </c>
      <c r="P190" s="190">
        <v>37.993535999999999</v>
      </c>
      <c r="Q190" s="190">
        <v>37.874806199999995</v>
      </c>
      <c r="R190" s="190">
        <v>37.756076400000005</v>
      </c>
      <c r="S190" s="190">
        <v>37.637346600000001</v>
      </c>
      <c r="T190" s="190">
        <v>37.518616800000011</v>
      </c>
      <c r="U190" s="190">
        <v>37.399887000000014</v>
      </c>
      <c r="V190" s="190">
        <v>37.28115720000001</v>
      </c>
      <c r="W190" s="190">
        <v>37.16242740000002</v>
      </c>
      <c r="X190" s="190">
        <v>37.043697600000016</v>
      </c>
      <c r="Y190" s="190">
        <v>36.924967800000026</v>
      </c>
      <c r="Z190" s="190">
        <v>36.806238000000029</v>
      </c>
      <c r="AA190" s="190">
        <v>36.687508200000032</v>
      </c>
      <c r="AB190" s="190">
        <v>36.568778400000035</v>
      </c>
      <c r="AC190" s="190">
        <v>36.450048600000038</v>
      </c>
      <c r="AD190" s="190">
        <v>36.331318800000041</v>
      </c>
      <c r="AE190" s="190">
        <v>36.212589000000051</v>
      </c>
      <c r="AF190" s="190">
        <v>36.093859200000047</v>
      </c>
      <c r="AG190" s="190">
        <v>35.97512940000005</v>
      </c>
      <c r="AH190" s="190">
        <v>35.856399600000046</v>
      </c>
      <c r="AI190" s="190">
        <v>35.737669800000049</v>
      </c>
      <c r="AJ190" s="190">
        <v>35.618940000000045</v>
      </c>
    </row>
    <row r="191" spans="1:36" hidden="1" x14ac:dyDescent="0.35">
      <c r="A191" t="s">
        <v>1629</v>
      </c>
      <c r="B191" s="188" t="s">
        <v>1342</v>
      </c>
      <c r="C191" t="s">
        <v>1350</v>
      </c>
      <c r="D191" s="188">
        <v>30</v>
      </c>
      <c r="E191" t="s">
        <v>1500</v>
      </c>
      <c r="F191" t="s">
        <v>1626</v>
      </c>
      <c r="G191" s="189" t="s">
        <v>1627</v>
      </c>
      <c r="H191" s="190">
        <v>39.259987199999998</v>
      </c>
      <c r="I191" s="190">
        <v>39.101680799999997</v>
      </c>
      <c r="J191" s="190">
        <v>38.943374399999996</v>
      </c>
      <c r="K191" s="190">
        <v>38.785067999999995</v>
      </c>
      <c r="L191" s="190">
        <v>38.626761599999995</v>
      </c>
      <c r="M191" s="190">
        <v>38.468455199999994</v>
      </c>
      <c r="N191" s="190">
        <v>38.3101488</v>
      </c>
      <c r="O191" s="190">
        <v>38.1518424</v>
      </c>
      <c r="P191" s="190">
        <v>37.993535999999999</v>
      </c>
      <c r="Q191" s="190">
        <v>37.874806199999995</v>
      </c>
      <c r="R191" s="190">
        <v>37.756076400000005</v>
      </c>
      <c r="S191" s="190">
        <v>37.637346600000001</v>
      </c>
      <c r="T191" s="190">
        <v>37.518616800000011</v>
      </c>
      <c r="U191" s="190">
        <v>37.399887000000014</v>
      </c>
      <c r="V191" s="190">
        <v>37.28115720000001</v>
      </c>
      <c r="W191" s="190">
        <v>37.16242740000002</v>
      </c>
      <c r="X191" s="190">
        <v>37.043697600000016</v>
      </c>
      <c r="Y191" s="190">
        <v>36.924967800000026</v>
      </c>
      <c r="Z191" s="190">
        <v>36.806238000000029</v>
      </c>
      <c r="AA191" s="190">
        <v>36.687508200000032</v>
      </c>
      <c r="AB191" s="190">
        <v>36.568778400000035</v>
      </c>
      <c r="AC191" s="190">
        <v>36.450048600000038</v>
      </c>
      <c r="AD191" s="190">
        <v>36.331318800000041</v>
      </c>
      <c r="AE191" s="190">
        <v>36.212589000000051</v>
      </c>
      <c r="AF191" s="190">
        <v>36.093859200000047</v>
      </c>
      <c r="AG191" s="190">
        <v>35.97512940000005</v>
      </c>
      <c r="AH191" s="190">
        <v>35.856399600000046</v>
      </c>
      <c r="AI191" s="190">
        <v>35.737669800000049</v>
      </c>
      <c r="AJ191" s="190">
        <v>35.618940000000045</v>
      </c>
    </row>
    <row r="192" spans="1:36" hidden="1" x14ac:dyDescent="0.35">
      <c r="A192" t="s">
        <v>1630</v>
      </c>
      <c r="B192" s="188" t="s">
        <v>1342</v>
      </c>
      <c r="C192" t="s">
        <v>1343</v>
      </c>
      <c r="D192" s="188">
        <v>30</v>
      </c>
      <c r="E192" t="s">
        <v>1500</v>
      </c>
      <c r="F192" t="s">
        <v>1631</v>
      </c>
      <c r="G192" s="189" t="s">
        <v>1632</v>
      </c>
      <c r="H192" s="190">
        <v>39.259987199999998</v>
      </c>
      <c r="I192" s="190">
        <v>39.101680799999997</v>
      </c>
      <c r="J192" s="190">
        <v>38.943374399999996</v>
      </c>
      <c r="K192" s="190">
        <v>38.785067999999995</v>
      </c>
      <c r="L192" s="190">
        <v>38.626761599999995</v>
      </c>
      <c r="M192" s="190">
        <v>38.468455199999994</v>
      </c>
      <c r="N192" s="190">
        <v>38.3101488</v>
      </c>
      <c r="O192" s="190">
        <v>38.1518424</v>
      </c>
      <c r="P192" s="190">
        <v>37.993535999999999</v>
      </c>
      <c r="Q192" s="190">
        <v>37.874806199999995</v>
      </c>
      <c r="R192" s="190">
        <v>37.756076400000005</v>
      </c>
      <c r="S192" s="190">
        <v>37.637346600000001</v>
      </c>
      <c r="T192" s="190">
        <v>37.518616800000011</v>
      </c>
      <c r="U192" s="190">
        <v>37.399887000000014</v>
      </c>
      <c r="V192" s="190">
        <v>37.28115720000001</v>
      </c>
      <c r="W192" s="190">
        <v>37.16242740000002</v>
      </c>
      <c r="X192" s="190">
        <v>37.043697600000016</v>
      </c>
      <c r="Y192" s="190">
        <v>36.924967800000026</v>
      </c>
      <c r="Z192" s="190">
        <v>36.806238000000029</v>
      </c>
      <c r="AA192" s="190">
        <v>36.687508200000032</v>
      </c>
      <c r="AB192" s="190">
        <v>36.568778400000035</v>
      </c>
      <c r="AC192" s="190">
        <v>36.450048600000038</v>
      </c>
      <c r="AD192" s="190">
        <v>36.331318800000041</v>
      </c>
      <c r="AE192" s="190">
        <v>36.212589000000051</v>
      </c>
      <c r="AF192" s="190">
        <v>36.093859200000047</v>
      </c>
      <c r="AG192" s="190">
        <v>35.97512940000005</v>
      </c>
      <c r="AH192" s="190">
        <v>35.856399600000046</v>
      </c>
      <c r="AI192" s="190">
        <v>35.737669800000049</v>
      </c>
      <c r="AJ192" s="190">
        <v>35.618940000000045</v>
      </c>
    </row>
    <row r="193" spans="1:36" hidden="1" x14ac:dyDescent="0.35">
      <c r="A193" t="s">
        <v>1633</v>
      </c>
      <c r="B193" s="188" t="s">
        <v>1342</v>
      </c>
      <c r="C193" t="s">
        <v>1348</v>
      </c>
      <c r="D193" s="188">
        <v>30</v>
      </c>
      <c r="E193" t="s">
        <v>1500</v>
      </c>
      <c r="F193" t="s">
        <v>1631</v>
      </c>
      <c r="G193" s="189" t="s">
        <v>1632</v>
      </c>
      <c r="H193" s="190">
        <v>39.259987199999998</v>
      </c>
      <c r="I193" s="190">
        <v>39.101680799999997</v>
      </c>
      <c r="J193" s="190">
        <v>38.943374399999996</v>
      </c>
      <c r="K193" s="190">
        <v>38.785067999999995</v>
      </c>
      <c r="L193" s="190">
        <v>38.626761599999995</v>
      </c>
      <c r="M193" s="190">
        <v>38.468455199999994</v>
      </c>
      <c r="N193" s="190">
        <v>38.3101488</v>
      </c>
      <c r="O193" s="190">
        <v>38.1518424</v>
      </c>
      <c r="P193" s="190">
        <v>37.993535999999999</v>
      </c>
      <c r="Q193" s="190">
        <v>37.874806199999995</v>
      </c>
      <c r="R193" s="190">
        <v>37.756076400000005</v>
      </c>
      <c r="S193" s="190">
        <v>37.637346600000001</v>
      </c>
      <c r="T193" s="190">
        <v>37.518616800000011</v>
      </c>
      <c r="U193" s="190">
        <v>37.399887000000014</v>
      </c>
      <c r="V193" s="190">
        <v>37.28115720000001</v>
      </c>
      <c r="W193" s="190">
        <v>37.16242740000002</v>
      </c>
      <c r="X193" s="190">
        <v>37.043697600000016</v>
      </c>
      <c r="Y193" s="190">
        <v>36.924967800000026</v>
      </c>
      <c r="Z193" s="190">
        <v>36.806238000000029</v>
      </c>
      <c r="AA193" s="190">
        <v>36.687508200000032</v>
      </c>
      <c r="AB193" s="190">
        <v>36.568778400000035</v>
      </c>
      <c r="AC193" s="190">
        <v>36.450048600000038</v>
      </c>
      <c r="AD193" s="190">
        <v>36.331318800000041</v>
      </c>
      <c r="AE193" s="190">
        <v>36.212589000000051</v>
      </c>
      <c r="AF193" s="190">
        <v>36.093859200000047</v>
      </c>
      <c r="AG193" s="190">
        <v>35.97512940000005</v>
      </c>
      <c r="AH193" s="190">
        <v>35.856399600000046</v>
      </c>
      <c r="AI193" s="190">
        <v>35.737669800000049</v>
      </c>
      <c r="AJ193" s="190">
        <v>35.618940000000045</v>
      </c>
    </row>
    <row r="194" spans="1:36" hidden="1" x14ac:dyDescent="0.35">
      <c r="A194" t="s">
        <v>1634</v>
      </c>
      <c r="B194" s="188" t="s">
        <v>1342</v>
      </c>
      <c r="C194" t="s">
        <v>1350</v>
      </c>
      <c r="D194" s="188">
        <v>30</v>
      </c>
      <c r="E194" t="s">
        <v>1500</v>
      </c>
      <c r="F194" t="s">
        <v>1631</v>
      </c>
      <c r="G194" s="189" t="s">
        <v>1632</v>
      </c>
      <c r="H194" s="190">
        <v>39.259987199999998</v>
      </c>
      <c r="I194" s="190">
        <v>39.101680799999997</v>
      </c>
      <c r="J194" s="190">
        <v>38.943374399999996</v>
      </c>
      <c r="K194" s="190">
        <v>38.785067999999995</v>
      </c>
      <c r="L194" s="190">
        <v>38.626761599999995</v>
      </c>
      <c r="M194" s="190">
        <v>38.468455199999994</v>
      </c>
      <c r="N194" s="190">
        <v>38.3101488</v>
      </c>
      <c r="O194" s="190">
        <v>38.1518424</v>
      </c>
      <c r="P194" s="190">
        <v>37.993535999999999</v>
      </c>
      <c r="Q194" s="190">
        <v>37.874806199999995</v>
      </c>
      <c r="R194" s="190">
        <v>37.756076400000005</v>
      </c>
      <c r="S194" s="190">
        <v>37.637346600000001</v>
      </c>
      <c r="T194" s="190">
        <v>37.518616800000011</v>
      </c>
      <c r="U194" s="190">
        <v>37.399887000000014</v>
      </c>
      <c r="V194" s="190">
        <v>37.28115720000001</v>
      </c>
      <c r="W194" s="190">
        <v>37.16242740000002</v>
      </c>
      <c r="X194" s="190">
        <v>37.043697600000016</v>
      </c>
      <c r="Y194" s="190">
        <v>36.924967800000026</v>
      </c>
      <c r="Z194" s="190">
        <v>36.806238000000029</v>
      </c>
      <c r="AA194" s="190">
        <v>36.687508200000032</v>
      </c>
      <c r="AB194" s="190">
        <v>36.568778400000035</v>
      </c>
      <c r="AC194" s="190">
        <v>36.450048600000038</v>
      </c>
      <c r="AD194" s="190">
        <v>36.331318800000041</v>
      </c>
      <c r="AE194" s="190">
        <v>36.212589000000051</v>
      </c>
      <c r="AF194" s="190">
        <v>36.093859200000047</v>
      </c>
      <c r="AG194" s="190">
        <v>35.97512940000005</v>
      </c>
      <c r="AH194" s="190">
        <v>35.856399600000046</v>
      </c>
      <c r="AI194" s="190">
        <v>35.737669800000049</v>
      </c>
      <c r="AJ194" s="190">
        <v>35.618940000000045</v>
      </c>
    </row>
    <row r="195" spans="1:36" hidden="1" x14ac:dyDescent="0.35">
      <c r="A195" t="s">
        <v>1635</v>
      </c>
      <c r="B195" s="188" t="s">
        <v>1342</v>
      </c>
      <c r="C195" t="s">
        <v>1343</v>
      </c>
      <c r="D195" s="188">
        <v>30</v>
      </c>
      <c r="E195" t="s">
        <v>1500</v>
      </c>
      <c r="F195" t="s">
        <v>1636</v>
      </c>
      <c r="G195" s="189" t="s">
        <v>1637</v>
      </c>
      <c r="H195" s="190">
        <v>39.259987199999998</v>
      </c>
      <c r="I195" s="190">
        <v>39.101680799999997</v>
      </c>
      <c r="J195" s="190">
        <v>38.943374399999996</v>
      </c>
      <c r="K195" s="190">
        <v>38.785067999999995</v>
      </c>
      <c r="L195" s="190">
        <v>38.626761599999995</v>
      </c>
      <c r="M195" s="190">
        <v>38.468455199999994</v>
      </c>
      <c r="N195" s="190">
        <v>38.3101488</v>
      </c>
      <c r="O195" s="190">
        <v>38.1518424</v>
      </c>
      <c r="P195" s="190">
        <v>37.993535999999999</v>
      </c>
      <c r="Q195" s="190">
        <v>37.874806199999995</v>
      </c>
      <c r="R195" s="190">
        <v>37.756076400000005</v>
      </c>
      <c r="S195" s="190">
        <v>37.637346600000001</v>
      </c>
      <c r="T195" s="190">
        <v>37.518616800000011</v>
      </c>
      <c r="U195" s="190">
        <v>37.399887000000014</v>
      </c>
      <c r="V195" s="190">
        <v>37.28115720000001</v>
      </c>
      <c r="W195" s="190">
        <v>37.16242740000002</v>
      </c>
      <c r="X195" s="190">
        <v>37.043697600000016</v>
      </c>
      <c r="Y195" s="190">
        <v>36.924967800000026</v>
      </c>
      <c r="Z195" s="190">
        <v>36.806238000000029</v>
      </c>
      <c r="AA195" s="190">
        <v>36.687508200000032</v>
      </c>
      <c r="AB195" s="190">
        <v>36.568778400000035</v>
      </c>
      <c r="AC195" s="190">
        <v>36.450048600000038</v>
      </c>
      <c r="AD195" s="190">
        <v>36.331318800000041</v>
      </c>
      <c r="AE195" s="190">
        <v>36.212589000000051</v>
      </c>
      <c r="AF195" s="190">
        <v>36.093859200000047</v>
      </c>
      <c r="AG195" s="190">
        <v>35.97512940000005</v>
      </c>
      <c r="AH195" s="190">
        <v>35.856399600000046</v>
      </c>
      <c r="AI195" s="190">
        <v>35.737669800000049</v>
      </c>
      <c r="AJ195" s="190">
        <v>35.618940000000045</v>
      </c>
    </row>
    <row r="196" spans="1:36" hidden="1" x14ac:dyDescent="0.35">
      <c r="A196" t="s">
        <v>1638</v>
      </c>
      <c r="B196" s="188" t="s">
        <v>1342</v>
      </c>
      <c r="C196" t="s">
        <v>1348</v>
      </c>
      <c r="D196" s="188">
        <v>30</v>
      </c>
      <c r="E196" t="s">
        <v>1500</v>
      </c>
      <c r="F196" t="s">
        <v>1636</v>
      </c>
      <c r="G196" s="189" t="s">
        <v>1637</v>
      </c>
      <c r="H196" s="190">
        <v>39.259987199999998</v>
      </c>
      <c r="I196" s="190">
        <v>39.101680799999997</v>
      </c>
      <c r="J196" s="190">
        <v>38.943374399999996</v>
      </c>
      <c r="K196" s="190">
        <v>38.785067999999995</v>
      </c>
      <c r="L196" s="190">
        <v>38.626761599999995</v>
      </c>
      <c r="M196" s="190">
        <v>38.468455199999994</v>
      </c>
      <c r="N196" s="190">
        <v>38.3101488</v>
      </c>
      <c r="O196" s="190">
        <v>38.1518424</v>
      </c>
      <c r="P196" s="190">
        <v>37.993535999999999</v>
      </c>
      <c r="Q196" s="190">
        <v>37.874806199999995</v>
      </c>
      <c r="R196" s="190">
        <v>37.756076400000005</v>
      </c>
      <c r="S196" s="190">
        <v>37.637346600000001</v>
      </c>
      <c r="T196" s="190">
        <v>37.518616800000011</v>
      </c>
      <c r="U196" s="190">
        <v>37.399887000000014</v>
      </c>
      <c r="V196" s="190">
        <v>37.28115720000001</v>
      </c>
      <c r="W196" s="190">
        <v>37.16242740000002</v>
      </c>
      <c r="X196" s="190">
        <v>37.043697600000016</v>
      </c>
      <c r="Y196" s="190">
        <v>36.924967800000026</v>
      </c>
      <c r="Z196" s="190">
        <v>36.806238000000029</v>
      </c>
      <c r="AA196" s="190">
        <v>36.687508200000032</v>
      </c>
      <c r="AB196" s="190">
        <v>36.568778400000035</v>
      </c>
      <c r="AC196" s="190">
        <v>36.450048600000038</v>
      </c>
      <c r="AD196" s="190">
        <v>36.331318800000041</v>
      </c>
      <c r="AE196" s="190">
        <v>36.212589000000051</v>
      </c>
      <c r="AF196" s="190">
        <v>36.093859200000047</v>
      </c>
      <c r="AG196" s="190">
        <v>35.97512940000005</v>
      </c>
      <c r="AH196" s="190">
        <v>35.856399600000046</v>
      </c>
      <c r="AI196" s="190">
        <v>35.737669800000049</v>
      </c>
      <c r="AJ196" s="190">
        <v>35.618940000000045</v>
      </c>
    </row>
    <row r="197" spans="1:36" hidden="1" x14ac:dyDescent="0.35">
      <c r="A197" t="s">
        <v>1639</v>
      </c>
      <c r="B197" s="188" t="s">
        <v>1342</v>
      </c>
      <c r="C197" t="s">
        <v>1350</v>
      </c>
      <c r="D197" s="188">
        <v>30</v>
      </c>
      <c r="E197" t="s">
        <v>1500</v>
      </c>
      <c r="F197" t="s">
        <v>1636</v>
      </c>
      <c r="G197" s="189" t="s">
        <v>1637</v>
      </c>
      <c r="H197" s="190">
        <v>39.259987199999998</v>
      </c>
      <c r="I197" s="190">
        <v>39.101680799999997</v>
      </c>
      <c r="J197" s="190">
        <v>38.943374399999996</v>
      </c>
      <c r="K197" s="190">
        <v>38.785067999999995</v>
      </c>
      <c r="L197" s="190">
        <v>38.626761599999995</v>
      </c>
      <c r="M197" s="190">
        <v>38.468455199999994</v>
      </c>
      <c r="N197" s="190">
        <v>38.3101488</v>
      </c>
      <c r="O197" s="190">
        <v>38.1518424</v>
      </c>
      <c r="P197" s="190">
        <v>37.993535999999999</v>
      </c>
      <c r="Q197" s="190">
        <v>37.874806199999995</v>
      </c>
      <c r="R197" s="190">
        <v>37.756076400000005</v>
      </c>
      <c r="S197" s="190">
        <v>37.637346600000001</v>
      </c>
      <c r="T197" s="190">
        <v>37.518616800000011</v>
      </c>
      <c r="U197" s="190">
        <v>37.399887000000014</v>
      </c>
      <c r="V197" s="190">
        <v>37.28115720000001</v>
      </c>
      <c r="W197" s="190">
        <v>37.16242740000002</v>
      </c>
      <c r="X197" s="190">
        <v>37.043697600000016</v>
      </c>
      <c r="Y197" s="190">
        <v>36.924967800000026</v>
      </c>
      <c r="Z197" s="190">
        <v>36.806238000000029</v>
      </c>
      <c r="AA197" s="190">
        <v>36.687508200000032</v>
      </c>
      <c r="AB197" s="190">
        <v>36.568778400000035</v>
      </c>
      <c r="AC197" s="190">
        <v>36.450048600000038</v>
      </c>
      <c r="AD197" s="190">
        <v>36.331318800000041</v>
      </c>
      <c r="AE197" s="190">
        <v>36.212589000000051</v>
      </c>
      <c r="AF197" s="190">
        <v>36.093859200000047</v>
      </c>
      <c r="AG197" s="190">
        <v>35.97512940000005</v>
      </c>
      <c r="AH197" s="190">
        <v>35.856399600000046</v>
      </c>
      <c r="AI197" s="190">
        <v>35.737669800000049</v>
      </c>
      <c r="AJ197" s="190">
        <v>35.618940000000045</v>
      </c>
    </row>
    <row r="198" spans="1:36" hidden="1" x14ac:dyDescent="0.35">
      <c r="A198" t="s">
        <v>1640</v>
      </c>
      <c r="B198" s="188" t="s">
        <v>1342</v>
      </c>
      <c r="C198" t="s">
        <v>1343</v>
      </c>
      <c r="D198" s="188">
        <v>30</v>
      </c>
      <c r="E198" t="s">
        <v>1500</v>
      </c>
      <c r="F198" t="s">
        <v>1641</v>
      </c>
      <c r="G198" s="189" t="s">
        <v>1642</v>
      </c>
      <c r="H198" s="190">
        <v>39.259987199999998</v>
      </c>
      <c r="I198" s="190">
        <v>39.101680799999997</v>
      </c>
      <c r="J198" s="190">
        <v>38.943374399999996</v>
      </c>
      <c r="K198" s="190">
        <v>38.785067999999995</v>
      </c>
      <c r="L198" s="190">
        <v>38.626761599999995</v>
      </c>
      <c r="M198" s="190">
        <v>38.468455199999994</v>
      </c>
      <c r="N198" s="190">
        <v>38.3101488</v>
      </c>
      <c r="O198" s="190">
        <v>38.1518424</v>
      </c>
      <c r="P198" s="190">
        <v>37.993535999999999</v>
      </c>
      <c r="Q198" s="190">
        <v>37.874806199999995</v>
      </c>
      <c r="R198" s="190">
        <v>37.756076400000005</v>
      </c>
      <c r="S198" s="190">
        <v>37.637346600000001</v>
      </c>
      <c r="T198" s="190">
        <v>37.518616800000011</v>
      </c>
      <c r="U198" s="190">
        <v>37.399887000000014</v>
      </c>
      <c r="V198" s="190">
        <v>37.28115720000001</v>
      </c>
      <c r="W198" s="190">
        <v>37.16242740000002</v>
      </c>
      <c r="X198" s="190">
        <v>37.043697600000016</v>
      </c>
      <c r="Y198" s="190">
        <v>36.924967800000026</v>
      </c>
      <c r="Z198" s="190">
        <v>36.806238000000029</v>
      </c>
      <c r="AA198" s="190">
        <v>36.687508200000032</v>
      </c>
      <c r="AB198" s="190">
        <v>36.568778400000035</v>
      </c>
      <c r="AC198" s="190">
        <v>36.450048600000038</v>
      </c>
      <c r="AD198" s="190">
        <v>36.331318800000041</v>
      </c>
      <c r="AE198" s="190">
        <v>36.212589000000051</v>
      </c>
      <c r="AF198" s="190">
        <v>36.093859200000047</v>
      </c>
      <c r="AG198" s="190">
        <v>35.97512940000005</v>
      </c>
      <c r="AH198" s="190">
        <v>35.856399600000046</v>
      </c>
      <c r="AI198" s="190">
        <v>35.737669800000049</v>
      </c>
      <c r="AJ198" s="190">
        <v>35.618940000000045</v>
      </c>
    </row>
    <row r="199" spans="1:36" hidden="1" x14ac:dyDescent="0.35">
      <c r="A199" t="s">
        <v>1643</v>
      </c>
      <c r="B199" s="188" t="s">
        <v>1342</v>
      </c>
      <c r="C199" t="s">
        <v>1348</v>
      </c>
      <c r="D199" s="188">
        <v>30</v>
      </c>
      <c r="E199" t="s">
        <v>1500</v>
      </c>
      <c r="F199" t="s">
        <v>1641</v>
      </c>
      <c r="G199" s="189" t="s">
        <v>1642</v>
      </c>
      <c r="H199" s="190">
        <v>39.259987199999998</v>
      </c>
      <c r="I199" s="190">
        <v>39.101680799999997</v>
      </c>
      <c r="J199" s="190">
        <v>38.943374399999996</v>
      </c>
      <c r="K199" s="190">
        <v>38.785067999999995</v>
      </c>
      <c r="L199" s="190">
        <v>38.626761599999995</v>
      </c>
      <c r="M199" s="190">
        <v>38.468455199999994</v>
      </c>
      <c r="N199" s="190">
        <v>38.3101488</v>
      </c>
      <c r="O199" s="190">
        <v>38.1518424</v>
      </c>
      <c r="P199" s="190">
        <v>37.993535999999999</v>
      </c>
      <c r="Q199" s="190">
        <v>37.874806199999995</v>
      </c>
      <c r="R199" s="190">
        <v>37.756076400000005</v>
      </c>
      <c r="S199" s="190">
        <v>37.637346600000001</v>
      </c>
      <c r="T199" s="190">
        <v>37.518616800000011</v>
      </c>
      <c r="U199" s="190">
        <v>37.399887000000014</v>
      </c>
      <c r="V199" s="190">
        <v>37.28115720000001</v>
      </c>
      <c r="W199" s="190">
        <v>37.16242740000002</v>
      </c>
      <c r="X199" s="190">
        <v>37.043697600000016</v>
      </c>
      <c r="Y199" s="190">
        <v>36.924967800000026</v>
      </c>
      <c r="Z199" s="190">
        <v>36.806238000000029</v>
      </c>
      <c r="AA199" s="190">
        <v>36.687508200000032</v>
      </c>
      <c r="AB199" s="190">
        <v>36.568778400000035</v>
      </c>
      <c r="AC199" s="190">
        <v>36.450048600000038</v>
      </c>
      <c r="AD199" s="190">
        <v>36.331318800000041</v>
      </c>
      <c r="AE199" s="190">
        <v>36.212589000000051</v>
      </c>
      <c r="AF199" s="190">
        <v>36.093859200000047</v>
      </c>
      <c r="AG199" s="190">
        <v>35.97512940000005</v>
      </c>
      <c r="AH199" s="190">
        <v>35.856399600000046</v>
      </c>
      <c r="AI199" s="190">
        <v>35.737669800000049</v>
      </c>
      <c r="AJ199" s="190">
        <v>35.618940000000045</v>
      </c>
    </row>
    <row r="200" spans="1:36" hidden="1" x14ac:dyDescent="0.35">
      <c r="A200" t="s">
        <v>1644</v>
      </c>
      <c r="B200" s="188" t="s">
        <v>1342</v>
      </c>
      <c r="C200" t="s">
        <v>1350</v>
      </c>
      <c r="D200" s="188">
        <v>30</v>
      </c>
      <c r="E200" t="s">
        <v>1500</v>
      </c>
      <c r="F200" t="s">
        <v>1641</v>
      </c>
      <c r="G200" s="189" t="s">
        <v>1642</v>
      </c>
      <c r="H200" s="190">
        <v>39.259987199999998</v>
      </c>
      <c r="I200" s="190">
        <v>39.101680799999997</v>
      </c>
      <c r="J200" s="190">
        <v>38.943374399999996</v>
      </c>
      <c r="K200" s="190">
        <v>38.785067999999995</v>
      </c>
      <c r="L200" s="190">
        <v>38.626761599999995</v>
      </c>
      <c r="M200" s="190">
        <v>38.468455199999994</v>
      </c>
      <c r="N200" s="190">
        <v>38.3101488</v>
      </c>
      <c r="O200" s="190">
        <v>38.1518424</v>
      </c>
      <c r="P200" s="190">
        <v>37.993535999999999</v>
      </c>
      <c r="Q200" s="190">
        <v>37.874806199999995</v>
      </c>
      <c r="R200" s="190">
        <v>37.756076400000005</v>
      </c>
      <c r="S200" s="190">
        <v>37.637346600000001</v>
      </c>
      <c r="T200" s="190">
        <v>37.518616800000011</v>
      </c>
      <c r="U200" s="190">
        <v>37.399887000000014</v>
      </c>
      <c r="V200" s="190">
        <v>37.28115720000001</v>
      </c>
      <c r="W200" s="190">
        <v>37.16242740000002</v>
      </c>
      <c r="X200" s="190">
        <v>37.043697600000016</v>
      </c>
      <c r="Y200" s="190">
        <v>36.924967800000026</v>
      </c>
      <c r="Z200" s="190">
        <v>36.806238000000029</v>
      </c>
      <c r="AA200" s="190">
        <v>36.687508200000032</v>
      </c>
      <c r="AB200" s="190">
        <v>36.568778400000035</v>
      </c>
      <c r="AC200" s="190">
        <v>36.450048600000038</v>
      </c>
      <c r="AD200" s="190">
        <v>36.331318800000041</v>
      </c>
      <c r="AE200" s="190">
        <v>36.212589000000051</v>
      </c>
      <c r="AF200" s="190">
        <v>36.093859200000047</v>
      </c>
      <c r="AG200" s="190">
        <v>35.97512940000005</v>
      </c>
      <c r="AH200" s="190">
        <v>35.856399600000046</v>
      </c>
      <c r="AI200" s="190">
        <v>35.737669800000049</v>
      </c>
      <c r="AJ200" s="190">
        <v>35.618940000000045</v>
      </c>
    </row>
    <row r="201" spans="1:36" hidden="1" x14ac:dyDescent="0.35">
      <c r="A201" t="s">
        <v>1645</v>
      </c>
      <c r="B201" s="188" t="s">
        <v>1342</v>
      </c>
      <c r="C201" t="s">
        <v>1343</v>
      </c>
      <c r="D201" s="188">
        <v>30</v>
      </c>
      <c r="E201" t="s">
        <v>1500</v>
      </c>
      <c r="F201" t="s">
        <v>1646</v>
      </c>
      <c r="G201" s="189" t="s">
        <v>1647</v>
      </c>
      <c r="H201" s="190">
        <v>39.259987199999998</v>
      </c>
      <c r="I201" s="190">
        <v>39.101680799999997</v>
      </c>
      <c r="J201" s="190">
        <v>38.943374399999996</v>
      </c>
      <c r="K201" s="190">
        <v>38.785067999999995</v>
      </c>
      <c r="L201" s="190">
        <v>38.626761599999995</v>
      </c>
      <c r="M201" s="190">
        <v>38.468455199999994</v>
      </c>
      <c r="N201" s="190">
        <v>38.3101488</v>
      </c>
      <c r="O201" s="190">
        <v>38.1518424</v>
      </c>
      <c r="P201" s="190">
        <v>37.993535999999999</v>
      </c>
      <c r="Q201" s="190">
        <v>37.874806199999995</v>
      </c>
      <c r="R201" s="190">
        <v>37.756076400000005</v>
      </c>
      <c r="S201" s="190">
        <v>37.637346600000001</v>
      </c>
      <c r="T201" s="190">
        <v>37.518616800000011</v>
      </c>
      <c r="U201" s="190">
        <v>37.399887000000014</v>
      </c>
      <c r="V201" s="190">
        <v>37.28115720000001</v>
      </c>
      <c r="W201" s="190">
        <v>37.16242740000002</v>
      </c>
      <c r="X201" s="190">
        <v>37.043697600000016</v>
      </c>
      <c r="Y201" s="190">
        <v>36.924967800000026</v>
      </c>
      <c r="Z201" s="190">
        <v>36.806238000000029</v>
      </c>
      <c r="AA201" s="190">
        <v>36.687508200000032</v>
      </c>
      <c r="AB201" s="190">
        <v>36.568778400000035</v>
      </c>
      <c r="AC201" s="190">
        <v>36.450048600000038</v>
      </c>
      <c r="AD201" s="190">
        <v>36.331318800000041</v>
      </c>
      <c r="AE201" s="190">
        <v>36.212589000000051</v>
      </c>
      <c r="AF201" s="190">
        <v>36.093859200000047</v>
      </c>
      <c r="AG201" s="190">
        <v>35.97512940000005</v>
      </c>
      <c r="AH201" s="190">
        <v>35.856399600000046</v>
      </c>
      <c r="AI201" s="190">
        <v>35.737669800000049</v>
      </c>
      <c r="AJ201" s="190">
        <v>35.618940000000045</v>
      </c>
    </row>
    <row r="202" spans="1:36" hidden="1" x14ac:dyDescent="0.35">
      <c r="A202" t="s">
        <v>1648</v>
      </c>
      <c r="B202" s="188" t="s">
        <v>1342</v>
      </c>
      <c r="C202" t="s">
        <v>1348</v>
      </c>
      <c r="D202" s="188">
        <v>30</v>
      </c>
      <c r="E202" t="s">
        <v>1500</v>
      </c>
      <c r="F202" t="s">
        <v>1646</v>
      </c>
      <c r="G202" s="189" t="s">
        <v>1647</v>
      </c>
      <c r="H202" s="190">
        <v>39.259987199999998</v>
      </c>
      <c r="I202" s="190">
        <v>39.101680799999997</v>
      </c>
      <c r="J202" s="190">
        <v>38.943374399999996</v>
      </c>
      <c r="K202" s="190">
        <v>38.785067999999995</v>
      </c>
      <c r="L202" s="190">
        <v>38.626761599999995</v>
      </c>
      <c r="M202" s="190">
        <v>38.468455199999994</v>
      </c>
      <c r="N202" s="190">
        <v>38.3101488</v>
      </c>
      <c r="O202" s="190">
        <v>38.1518424</v>
      </c>
      <c r="P202" s="190">
        <v>37.993535999999999</v>
      </c>
      <c r="Q202" s="190">
        <v>37.874806199999995</v>
      </c>
      <c r="R202" s="190">
        <v>37.756076400000005</v>
      </c>
      <c r="S202" s="190">
        <v>37.637346600000001</v>
      </c>
      <c r="T202" s="190">
        <v>37.518616800000011</v>
      </c>
      <c r="U202" s="190">
        <v>37.399887000000014</v>
      </c>
      <c r="V202" s="190">
        <v>37.28115720000001</v>
      </c>
      <c r="W202" s="190">
        <v>37.16242740000002</v>
      </c>
      <c r="X202" s="190">
        <v>37.043697600000016</v>
      </c>
      <c r="Y202" s="190">
        <v>36.924967800000026</v>
      </c>
      <c r="Z202" s="190">
        <v>36.806238000000029</v>
      </c>
      <c r="AA202" s="190">
        <v>36.687508200000032</v>
      </c>
      <c r="AB202" s="190">
        <v>36.568778400000035</v>
      </c>
      <c r="AC202" s="190">
        <v>36.450048600000038</v>
      </c>
      <c r="AD202" s="190">
        <v>36.331318800000041</v>
      </c>
      <c r="AE202" s="190">
        <v>36.212589000000051</v>
      </c>
      <c r="AF202" s="190">
        <v>36.093859200000047</v>
      </c>
      <c r="AG202" s="190">
        <v>35.97512940000005</v>
      </c>
      <c r="AH202" s="190">
        <v>35.856399600000046</v>
      </c>
      <c r="AI202" s="190">
        <v>35.737669800000049</v>
      </c>
      <c r="AJ202" s="190">
        <v>35.618940000000045</v>
      </c>
    </row>
    <row r="203" spans="1:36" hidden="1" x14ac:dyDescent="0.35">
      <c r="A203" t="s">
        <v>1649</v>
      </c>
      <c r="B203" s="188" t="s">
        <v>1342</v>
      </c>
      <c r="C203" t="s">
        <v>1350</v>
      </c>
      <c r="D203" s="188">
        <v>30</v>
      </c>
      <c r="E203" t="s">
        <v>1500</v>
      </c>
      <c r="F203" t="s">
        <v>1646</v>
      </c>
      <c r="G203" s="189" t="s">
        <v>1647</v>
      </c>
      <c r="H203" s="190">
        <v>39.259987199999998</v>
      </c>
      <c r="I203" s="190">
        <v>39.101680799999997</v>
      </c>
      <c r="J203" s="190">
        <v>38.943374399999996</v>
      </c>
      <c r="K203" s="190">
        <v>38.785067999999995</v>
      </c>
      <c r="L203" s="190">
        <v>38.626761599999995</v>
      </c>
      <c r="M203" s="190">
        <v>38.468455199999994</v>
      </c>
      <c r="N203" s="190">
        <v>38.3101488</v>
      </c>
      <c r="O203" s="190">
        <v>38.1518424</v>
      </c>
      <c r="P203" s="190">
        <v>37.993535999999999</v>
      </c>
      <c r="Q203" s="190">
        <v>37.874806199999995</v>
      </c>
      <c r="R203" s="190">
        <v>37.756076400000005</v>
      </c>
      <c r="S203" s="190">
        <v>37.637346600000001</v>
      </c>
      <c r="T203" s="190">
        <v>37.518616800000011</v>
      </c>
      <c r="U203" s="190">
        <v>37.399887000000014</v>
      </c>
      <c r="V203" s="190">
        <v>37.28115720000001</v>
      </c>
      <c r="W203" s="190">
        <v>37.16242740000002</v>
      </c>
      <c r="X203" s="190">
        <v>37.043697600000016</v>
      </c>
      <c r="Y203" s="190">
        <v>36.924967800000026</v>
      </c>
      <c r="Z203" s="190">
        <v>36.806238000000029</v>
      </c>
      <c r="AA203" s="190">
        <v>36.687508200000032</v>
      </c>
      <c r="AB203" s="190">
        <v>36.568778400000035</v>
      </c>
      <c r="AC203" s="190">
        <v>36.450048600000038</v>
      </c>
      <c r="AD203" s="190">
        <v>36.331318800000041</v>
      </c>
      <c r="AE203" s="190">
        <v>36.212589000000051</v>
      </c>
      <c r="AF203" s="190">
        <v>36.093859200000047</v>
      </c>
      <c r="AG203" s="190">
        <v>35.97512940000005</v>
      </c>
      <c r="AH203" s="190">
        <v>35.856399600000046</v>
      </c>
      <c r="AI203" s="190">
        <v>35.737669800000049</v>
      </c>
      <c r="AJ203" s="190">
        <v>35.618940000000045</v>
      </c>
    </row>
    <row r="204" spans="1:36" hidden="1" x14ac:dyDescent="0.35">
      <c r="A204" t="s">
        <v>1650</v>
      </c>
      <c r="B204" s="188" t="s">
        <v>1342</v>
      </c>
      <c r="C204" t="s">
        <v>1343</v>
      </c>
      <c r="D204" s="188">
        <v>30</v>
      </c>
      <c r="E204" t="s">
        <v>1500</v>
      </c>
      <c r="F204" t="s">
        <v>1651</v>
      </c>
      <c r="G204" s="189" t="s">
        <v>1652</v>
      </c>
      <c r="H204" s="190">
        <v>39.259987199999998</v>
      </c>
      <c r="I204" s="190">
        <v>39.101680799999997</v>
      </c>
      <c r="J204" s="190">
        <v>38.943374399999996</v>
      </c>
      <c r="K204" s="190">
        <v>38.785067999999995</v>
      </c>
      <c r="L204" s="190">
        <v>38.626761599999995</v>
      </c>
      <c r="M204" s="190">
        <v>38.468455199999994</v>
      </c>
      <c r="N204" s="190">
        <v>38.3101488</v>
      </c>
      <c r="O204" s="190">
        <v>38.1518424</v>
      </c>
      <c r="P204" s="190">
        <v>37.993535999999999</v>
      </c>
      <c r="Q204" s="190">
        <v>37.874806199999995</v>
      </c>
      <c r="R204" s="190">
        <v>37.756076400000005</v>
      </c>
      <c r="S204" s="190">
        <v>37.637346600000001</v>
      </c>
      <c r="T204" s="190">
        <v>37.518616800000011</v>
      </c>
      <c r="U204" s="190">
        <v>37.399887000000014</v>
      </c>
      <c r="V204" s="190">
        <v>37.28115720000001</v>
      </c>
      <c r="W204" s="190">
        <v>37.16242740000002</v>
      </c>
      <c r="X204" s="190">
        <v>37.043697600000016</v>
      </c>
      <c r="Y204" s="190">
        <v>36.924967800000026</v>
      </c>
      <c r="Z204" s="190">
        <v>36.806238000000029</v>
      </c>
      <c r="AA204" s="190">
        <v>36.687508200000032</v>
      </c>
      <c r="AB204" s="190">
        <v>36.568778400000035</v>
      </c>
      <c r="AC204" s="190">
        <v>36.450048600000038</v>
      </c>
      <c r="AD204" s="190">
        <v>36.331318800000041</v>
      </c>
      <c r="AE204" s="190">
        <v>36.212589000000051</v>
      </c>
      <c r="AF204" s="190">
        <v>36.093859200000047</v>
      </c>
      <c r="AG204" s="190">
        <v>35.97512940000005</v>
      </c>
      <c r="AH204" s="190">
        <v>35.856399600000046</v>
      </c>
      <c r="AI204" s="190">
        <v>35.737669800000049</v>
      </c>
      <c r="AJ204" s="190">
        <v>35.618940000000045</v>
      </c>
    </row>
    <row r="205" spans="1:36" hidden="1" x14ac:dyDescent="0.35">
      <c r="A205" t="s">
        <v>1653</v>
      </c>
      <c r="B205" s="188" t="s">
        <v>1342</v>
      </c>
      <c r="C205" t="s">
        <v>1348</v>
      </c>
      <c r="D205" s="188">
        <v>30</v>
      </c>
      <c r="E205" t="s">
        <v>1500</v>
      </c>
      <c r="F205" t="s">
        <v>1651</v>
      </c>
      <c r="G205" s="189" t="s">
        <v>1652</v>
      </c>
      <c r="H205" s="190">
        <v>39.259987199999998</v>
      </c>
      <c r="I205" s="190">
        <v>39.101680799999997</v>
      </c>
      <c r="J205" s="190">
        <v>38.943374399999996</v>
      </c>
      <c r="K205" s="190">
        <v>38.785067999999995</v>
      </c>
      <c r="L205" s="190">
        <v>38.626761599999995</v>
      </c>
      <c r="M205" s="190">
        <v>38.468455199999994</v>
      </c>
      <c r="N205" s="190">
        <v>38.3101488</v>
      </c>
      <c r="O205" s="190">
        <v>38.1518424</v>
      </c>
      <c r="P205" s="190">
        <v>37.993535999999999</v>
      </c>
      <c r="Q205" s="190">
        <v>37.874806199999995</v>
      </c>
      <c r="R205" s="190">
        <v>37.756076400000005</v>
      </c>
      <c r="S205" s="190">
        <v>37.637346600000001</v>
      </c>
      <c r="T205" s="190">
        <v>37.518616800000011</v>
      </c>
      <c r="U205" s="190">
        <v>37.399887000000014</v>
      </c>
      <c r="V205" s="190">
        <v>37.28115720000001</v>
      </c>
      <c r="W205" s="190">
        <v>37.16242740000002</v>
      </c>
      <c r="X205" s="190">
        <v>37.043697600000016</v>
      </c>
      <c r="Y205" s="190">
        <v>36.924967800000026</v>
      </c>
      <c r="Z205" s="190">
        <v>36.806238000000029</v>
      </c>
      <c r="AA205" s="190">
        <v>36.687508200000032</v>
      </c>
      <c r="AB205" s="190">
        <v>36.568778400000035</v>
      </c>
      <c r="AC205" s="190">
        <v>36.450048600000038</v>
      </c>
      <c r="AD205" s="190">
        <v>36.331318800000041</v>
      </c>
      <c r="AE205" s="190">
        <v>36.212589000000051</v>
      </c>
      <c r="AF205" s="190">
        <v>36.093859200000047</v>
      </c>
      <c r="AG205" s="190">
        <v>35.97512940000005</v>
      </c>
      <c r="AH205" s="190">
        <v>35.856399600000046</v>
      </c>
      <c r="AI205" s="190">
        <v>35.737669800000049</v>
      </c>
      <c r="AJ205" s="190">
        <v>35.618940000000045</v>
      </c>
    </row>
    <row r="206" spans="1:36" hidden="1" x14ac:dyDescent="0.35">
      <c r="A206" t="s">
        <v>1654</v>
      </c>
      <c r="B206" s="188" t="s">
        <v>1342</v>
      </c>
      <c r="C206" t="s">
        <v>1350</v>
      </c>
      <c r="D206" s="188">
        <v>30</v>
      </c>
      <c r="E206" t="s">
        <v>1500</v>
      </c>
      <c r="F206" t="s">
        <v>1651</v>
      </c>
      <c r="G206" s="189" t="s">
        <v>1652</v>
      </c>
      <c r="H206" s="190">
        <v>39.259987199999998</v>
      </c>
      <c r="I206" s="190">
        <v>39.101680799999997</v>
      </c>
      <c r="J206" s="190">
        <v>38.943374399999996</v>
      </c>
      <c r="K206" s="190">
        <v>38.785067999999995</v>
      </c>
      <c r="L206" s="190">
        <v>38.626761599999995</v>
      </c>
      <c r="M206" s="190">
        <v>38.468455199999994</v>
      </c>
      <c r="N206" s="190">
        <v>38.3101488</v>
      </c>
      <c r="O206" s="190">
        <v>38.1518424</v>
      </c>
      <c r="P206" s="190">
        <v>37.993535999999999</v>
      </c>
      <c r="Q206" s="190">
        <v>37.874806199999995</v>
      </c>
      <c r="R206" s="190">
        <v>37.756076400000005</v>
      </c>
      <c r="S206" s="190">
        <v>37.637346600000001</v>
      </c>
      <c r="T206" s="190">
        <v>37.518616800000011</v>
      </c>
      <c r="U206" s="190">
        <v>37.399887000000014</v>
      </c>
      <c r="V206" s="190">
        <v>37.28115720000001</v>
      </c>
      <c r="W206" s="190">
        <v>37.16242740000002</v>
      </c>
      <c r="X206" s="190">
        <v>37.043697600000016</v>
      </c>
      <c r="Y206" s="190">
        <v>36.924967800000026</v>
      </c>
      <c r="Z206" s="190">
        <v>36.806238000000029</v>
      </c>
      <c r="AA206" s="190">
        <v>36.687508200000032</v>
      </c>
      <c r="AB206" s="190">
        <v>36.568778400000035</v>
      </c>
      <c r="AC206" s="190">
        <v>36.450048600000038</v>
      </c>
      <c r="AD206" s="190">
        <v>36.331318800000041</v>
      </c>
      <c r="AE206" s="190">
        <v>36.212589000000051</v>
      </c>
      <c r="AF206" s="190">
        <v>36.093859200000047</v>
      </c>
      <c r="AG206" s="190">
        <v>35.97512940000005</v>
      </c>
      <c r="AH206" s="190">
        <v>35.856399600000046</v>
      </c>
      <c r="AI206" s="190">
        <v>35.737669800000049</v>
      </c>
      <c r="AJ206" s="190">
        <v>35.618940000000045</v>
      </c>
    </row>
    <row r="207" spans="1:36" hidden="1" x14ac:dyDescent="0.35">
      <c r="A207" t="s">
        <v>1655</v>
      </c>
      <c r="B207" s="188" t="s">
        <v>1342</v>
      </c>
      <c r="C207" t="s">
        <v>1343</v>
      </c>
      <c r="D207" s="188">
        <v>30</v>
      </c>
      <c r="E207" t="s">
        <v>1500</v>
      </c>
      <c r="F207" t="s">
        <v>1656</v>
      </c>
      <c r="G207" s="189" t="s">
        <v>1657</v>
      </c>
      <c r="H207" s="190">
        <v>39.259987199999998</v>
      </c>
      <c r="I207" s="190">
        <v>39.101680799999997</v>
      </c>
      <c r="J207" s="190">
        <v>38.943374399999996</v>
      </c>
      <c r="K207" s="190">
        <v>38.785067999999995</v>
      </c>
      <c r="L207" s="190">
        <v>38.626761599999995</v>
      </c>
      <c r="M207" s="190">
        <v>38.468455199999994</v>
      </c>
      <c r="N207" s="190">
        <v>38.3101488</v>
      </c>
      <c r="O207" s="190">
        <v>38.1518424</v>
      </c>
      <c r="P207" s="190">
        <v>37.993535999999999</v>
      </c>
      <c r="Q207" s="190">
        <v>37.874806199999995</v>
      </c>
      <c r="R207" s="190">
        <v>37.756076400000005</v>
      </c>
      <c r="S207" s="190">
        <v>37.637346600000001</v>
      </c>
      <c r="T207" s="190">
        <v>37.518616800000011</v>
      </c>
      <c r="U207" s="190">
        <v>37.399887000000014</v>
      </c>
      <c r="V207" s="190">
        <v>37.28115720000001</v>
      </c>
      <c r="W207" s="190">
        <v>37.16242740000002</v>
      </c>
      <c r="X207" s="190">
        <v>37.043697600000016</v>
      </c>
      <c r="Y207" s="190">
        <v>36.924967800000026</v>
      </c>
      <c r="Z207" s="190">
        <v>36.806238000000029</v>
      </c>
      <c r="AA207" s="190">
        <v>36.687508200000032</v>
      </c>
      <c r="AB207" s="190">
        <v>36.568778400000035</v>
      </c>
      <c r="AC207" s="190">
        <v>36.450048600000038</v>
      </c>
      <c r="AD207" s="190">
        <v>36.331318800000041</v>
      </c>
      <c r="AE207" s="190">
        <v>36.212589000000051</v>
      </c>
      <c r="AF207" s="190">
        <v>36.093859200000047</v>
      </c>
      <c r="AG207" s="190">
        <v>35.97512940000005</v>
      </c>
      <c r="AH207" s="190">
        <v>35.856399600000046</v>
      </c>
      <c r="AI207" s="190">
        <v>35.737669800000049</v>
      </c>
      <c r="AJ207" s="190">
        <v>35.618940000000045</v>
      </c>
    </row>
    <row r="208" spans="1:36" hidden="1" x14ac:dyDescent="0.35">
      <c r="A208" t="s">
        <v>1658</v>
      </c>
      <c r="B208" s="188" t="s">
        <v>1342</v>
      </c>
      <c r="C208" t="s">
        <v>1348</v>
      </c>
      <c r="D208" s="188">
        <v>30</v>
      </c>
      <c r="E208" t="s">
        <v>1500</v>
      </c>
      <c r="F208" t="s">
        <v>1656</v>
      </c>
      <c r="G208" s="189" t="s">
        <v>1657</v>
      </c>
      <c r="H208" s="190">
        <v>39.259987199999998</v>
      </c>
      <c r="I208" s="190">
        <v>39.101680799999997</v>
      </c>
      <c r="J208" s="190">
        <v>38.943374399999996</v>
      </c>
      <c r="K208" s="190">
        <v>38.785067999999995</v>
      </c>
      <c r="L208" s="190">
        <v>38.626761599999995</v>
      </c>
      <c r="M208" s="190">
        <v>38.468455199999994</v>
      </c>
      <c r="N208" s="190">
        <v>38.3101488</v>
      </c>
      <c r="O208" s="190">
        <v>38.1518424</v>
      </c>
      <c r="P208" s="190">
        <v>37.993535999999999</v>
      </c>
      <c r="Q208" s="190">
        <v>37.874806199999995</v>
      </c>
      <c r="R208" s="190">
        <v>37.756076400000005</v>
      </c>
      <c r="S208" s="190">
        <v>37.637346600000001</v>
      </c>
      <c r="T208" s="190">
        <v>37.518616800000011</v>
      </c>
      <c r="U208" s="190">
        <v>37.399887000000014</v>
      </c>
      <c r="V208" s="190">
        <v>37.28115720000001</v>
      </c>
      <c r="W208" s="190">
        <v>37.16242740000002</v>
      </c>
      <c r="X208" s="190">
        <v>37.043697600000016</v>
      </c>
      <c r="Y208" s="190">
        <v>36.924967800000026</v>
      </c>
      <c r="Z208" s="190">
        <v>36.806238000000029</v>
      </c>
      <c r="AA208" s="190">
        <v>36.687508200000032</v>
      </c>
      <c r="AB208" s="190">
        <v>36.568778400000035</v>
      </c>
      <c r="AC208" s="190">
        <v>36.450048600000038</v>
      </c>
      <c r="AD208" s="190">
        <v>36.331318800000041</v>
      </c>
      <c r="AE208" s="190">
        <v>36.212589000000051</v>
      </c>
      <c r="AF208" s="190">
        <v>36.093859200000047</v>
      </c>
      <c r="AG208" s="190">
        <v>35.97512940000005</v>
      </c>
      <c r="AH208" s="190">
        <v>35.856399600000046</v>
      </c>
      <c r="AI208" s="190">
        <v>35.737669800000049</v>
      </c>
      <c r="AJ208" s="190">
        <v>35.618940000000045</v>
      </c>
    </row>
    <row r="209" spans="1:36" hidden="1" x14ac:dyDescent="0.35">
      <c r="A209" t="s">
        <v>1659</v>
      </c>
      <c r="B209" s="188" t="s">
        <v>1342</v>
      </c>
      <c r="C209" t="s">
        <v>1350</v>
      </c>
      <c r="D209" s="188">
        <v>30</v>
      </c>
      <c r="E209" t="s">
        <v>1500</v>
      </c>
      <c r="F209" t="s">
        <v>1656</v>
      </c>
      <c r="G209" s="189" t="s">
        <v>1657</v>
      </c>
      <c r="H209" s="190">
        <v>39.259987199999998</v>
      </c>
      <c r="I209" s="190">
        <v>39.101680799999997</v>
      </c>
      <c r="J209" s="190">
        <v>38.943374399999996</v>
      </c>
      <c r="K209" s="190">
        <v>38.785067999999995</v>
      </c>
      <c r="L209" s="190">
        <v>38.626761599999995</v>
      </c>
      <c r="M209" s="190">
        <v>38.468455199999994</v>
      </c>
      <c r="N209" s="190">
        <v>38.3101488</v>
      </c>
      <c r="O209" s="190">
        <v>38.1518424</v>
      </c>
      <c r="P209" s="190">
        <v>37.993535999999999</v>
      </c>
      <c r="Q209" s="190">
        <v>37.874806199999995</v>
      </c>
      <c r="R209" s="190">
        <v>37.756076400000005</v>
      </c>
      <c r="S209" s="190">
        <v>37.637346600000001</v>
      </c>
      <c r="T209" s="190">
        <v>37.518616800000011</v>
      </c>
      <c r="U209" s="190">
        <v>37.399887000000014</v>
      </c>
      <c r="V209" s="190">
        <v>37.28115720000001</v>
      </c>
      <c r="W209" s="190">
        <v>37.16242740000002</v>
      </c>
      <c r="X209" s="190">
        <v>37.043697600000016</v>
      </c>
      <c r="Y209" s="190">
        <v>36.924967800000026</v>
      </c>
      <c r="Z209" s="190">
        <v>36.806238000000029</v>
      </c>
      <c r="AA209" s="190">
        <v>36.687508200000032</v>
      </c>
      <c r="AB209" s="190">
        <v>36.568778400000035</v>
      </c>
      <c r="AC209" s="190">
        <v>36.450048600000038</v>
      </c>
      <c r="AD209" s="190">
        <v>36.331318800000041</v>
      </c>
      <c r="AE209" s="190">
        <v>36.212589000000051</v>
      </c>
      <c r="AF209" s="190">
        <v>36.093859200000047</v>
      </c>
      <c r="AG209" s="190">
        <v>35.97512940000005</v>
      </c>
      <c r="AH209" s="190">
        <v>35.856399600000046</v>
      </c>
      <c r="AI209" s="190">
        <v>35.737669800000049</v>
      </c>
      <c r="AJ209" s="190">
        <v>35.618940000000045</v>
      </c>
    </row>
    <row r="210" spans="1:36" hidden="1" x14ac:dyDescent="0.35">
      <c r="A210" t="s">
        <v>1660</v>
      </c>
      <c r="B210" s="188" t="s">
        <v>1342</v>
      </c>
      <c r="C210" t="s">
        <v>1343</v>
      </c>
      <c r="D210" s="188">
        <v>30</v>
      </c>
      <c r="E210" t="s">
        <v>1500</v>
      </c>
      <c r="F210" t="s">
        <v>1661</v>
      </c>
      <c r="G210" s="189" t="s">
        <v>1662</v>
      </c>
      <c r="H210" s="190">
        <v>39.259987199999998</v>
      </c>
      <c r="I210" s="190">
        <v>39.101680799999997</v>
      </c>
      <c r="J210" s="190">
        <v>38.943374399999996</v>
      </c>
      <c r="K210" s="190">
        <v>38.785067999999995</v>
      </c>
      <c r="L210" s="190">
        <v>38.626761599999995</v>
      </c>
      <c r="M210" s="190">
        <v>38.468455199999994</v>
      </c>
      <c r="N210" s="190">
        <v>38.3101488</v>
      </c>
      <c r="O210" s="190">
        <v>38.1518424</v>
      </c>
      <c r="P210" s="190">
        <v>37.993535999999999</v>
      </c>
      <c r="Q210" s="190">
        <v>37.874806199999995</v>
      </c>
      <c r="R210" s="190">
        <v>37.756076400000005</v>
      </c>
      <c r="S210" s="190">
        <v>37.637346600000001</v>
      </c>
      <c r="T210" s="190">
        <v>37.518616800000011</v>
      </c>
      <c r="U210" s="190">
        <v>37.399887000000014</v>
      </c>
      <c r="V210" s="190">
        <v>37.28115720000001</v>
      </c>
      <c r="W210" s="190">
        <v>37.16242740000002</v>
      </c>
      <c r="X210" s="190">
        <v>37.043697600000016</v>
      </c>
      <c r="Y210" s="190">
        <v>36.924967800000026</v>
      </c>
      <c r="Z210" s="190">
        <v>36.806238000000029</v>
      </c>
      <c r="AA210" s="190">
        <v>36.687508200000032</v>
      </c>
      <c r="AB210" s="190">
        <v>36.568778400000035</v>
      </c>
      <c r="AC210" s="190">
        <v>36.450048600000038</v>
      </c>
      <c r="AD210" s="190">
        <v>36.331318800000041</v>
      </c>
      <c r="AE210" s="190">
        <v>36.212589000000051</v>
      </c>
      <c r="AF210" s="190">
        <v>36.093859200000047</v>
      </c>
      <c r="AG210" s="190">
        <v>35.97512940000005</v>
      </c>
      <c r="AH210" s="190">
        <v>35.856399600000046</v>
      </c>
      <c r="AI210" s="190">
        <v>35.737669800000049</v>
      </c>
      <c r="AJ210" s="190">
        <v>35.618940000000045</v>
      </c>
    </row>
    <row r="211" spans="1:36" hidden="1" x14ac:dyDescent="0.35">
      <c r="A211" t="s">
        <v>1663</v>
      </c>
      <c r="B211" s="188" t="s">
        <v>1342</v>
      </c>
      <c r="C211" t="s">
        <v>1348</v>
      </c>
      <c r="D211" s="188">
        <v>30</v>
      </c>
      <c r="E211" t="s">
        <v>1500</v>
      </c>
      <c r="F211" t="s">
        <v>1661</v>
      </c>
      <c r="G211" s="189" t="s">
        <v>1662</v>
      </c>
      <c r="H211" s="190">
        <v>39.259987199999998</v>
      </c>
      <c r="I211" s="190">
        <v>39.101680799999997</v>
      </c>
      <c r="J211" s="190">
        <v>38.943374399999996</v>
      </c>
      <c r="K211" s="190">
        <v>38.785067999999995</v>
      </c>
      <c r="L211" s="190">
        <v>38.626761599999995</v>
      </c>
      <c r="M211" s="190">
        <v>38.468455199999994</v>
      </c>
      <c r="N211" s="190">
        <v>38.3101488</v>
      </c>
      <c r="O211" s="190">
        <v>38.1518424</v>
      </c>
      <c r="P211" s="190">
        <v>37.993535999999999</v>
      </c>
      <c r="Q211" s="190">
        <v>37.874806199999995</v>
      </c>
      <c r="R211" s="190">
        <v>37.756076400000005</v>
      </c>
      <c r="S211" s="190">
        <v>37.637346600000001</v>
      </c>
      <c r="T211" s="190">
        <v>37.518616800000011</v>
      </c>
      <c r="U211" s="190">
        <v>37.399887000000014</v>
      </c>
      <c r="V211" s="190">
        <v>37.28115720000001</v>
      </c>
      <c r="W211" s="190">
        <v>37.16242740000002</v>
      </c>
      <c r="X211" s="190">
        <v>37.043697600000016</v>
      </c>
      <c r="Y211" s="190">
        <v>36.924967800000026</v>
      </c>
      <c r="Z211" s="190">
        <v>36.806238000000029</v>
      </c>
      <c r="AA211" s="190">
        <v>36.687508200000032</v>
      </c>
      <c r="AB211" s="190">
        <v>36.568778400000035</v>
      </c>
      <c r="AC211" s="190">
        <v>36.450048600000038</v>
      </c>
      <c r="AD211" s="190">
        <v>36.331318800000041</v>
      </c>
      <c r="AE211" s="190">
        <v>36.212589000000051</v>
      </c>
      <c r="AF211" s="190">
        <v>36.093859200000047</v>
      </c>
      <c r="AG211" s="190">
        <v>35.97512940000005</v>
      </c>
      <c r="AH211" s="190">
        <v>35.856399600000046</v>
      </c>
      <c r="AI211" s="190">
        <v>35.737669800000049</v>
      </c>
      <c r="AJ211" s="190">
        <v>35.618940000000045</v>
      </c>
    </row>
    <row r="212" spans="1:36" hidden="1" x14ac:dyDescent="0.35">
      <c r="A212" t="s">
        <v>1664</v>
      </c>
      <c r="B212" s="188" t="s">
        <v>1342</v>
      </c>
      <c r="C212" t="s">
        <v>1350</v>
      </c>
      <c r="D212" s="188">
        <v>30</v>
      </c>
      <c r="E212" t="s">
        <v>1500</v>
      </c>
      <c r="F212" t="s">
        <v>1661</v>
      </c>
      <c r="G212" s="189" t="s">
        <v>1662</v>
      </c>
      <c r="H212" s="190">
        <v>39.259987199999998</v>
      </c>
      <c r="I212" s="190">
        <v>39.101680799999997</v>
      </c>
      <c r="J212" s="190">
        <v>38.943374399999996</v>
      </c>
      <c r="K212" s="190">
        <v>38.785067999999995</v>
      </c>
      <c r="L212" s="190">
        <v>38.626761599999995</v>
      </c>
      <c r="M212" s="190">
        <v>38.468455199999994</v>
      </c>
      <c r="N212" s="190">
        <v>38.3101488</v>
      </c>
      <c r="O212" s="190">
        <v>38.1518424</v>
      </c>
      <c r="P212" s="190">
        <v>37.993535999999999</v>
      </c>
      <c r="Q212" s="190">
        <v>37.874806199999995</v>
      </c>
      <c r="R212" s="190">
        <v>37.756076400000005</v>
      </c>
      <c r="S212" s="190">
        <v>37.637346600000001</v>
      </c>
      <c r="T212" s="190">
        <v>37.518616800000011</v>
      </c>
      <c r="U212" s="190">
        <v>37.399887000000014</v>
      </c>
      <c r="V212" s="190">
        <v>37.28115720000001</v>
      </c>
      <c r="W212" s="190">
        <v>37.16242740000002</v>
      </c>
      <c r="X212" s="190">
        <v>37.043697600000016</v>
      </c>
      <c r="Y212" s="190">
        <v>36.924967800000026</v>
      </c>
      <c r="Z212" s="190">
        <v>36.806238000000029</v>
      </c>
      <c r="AA212" s="190">
        <v>36.687508200000032</v>
      </c>
      <c r="AB212" s="190">
        <v>36.568778400000035</v>
      </c>
      <c r="AC212" s="190">
        <v>36.450048600000038</v>
      </c>
      <c r="AD212" s="190">
        <v>36.331318800000041</v>
      </c>
      <c r="AE212" s="190">
        <v>36.212589000000051</v>
      </c>
      <c r="AF212" s="190">
        <v>36.093859200000047</v>
      </c>
      <c r="AG212" s="190">
        <v>35.97512940000005</v>
      </c>
      <c r="AH212" s="190">
        <v>35.856399600000046</v>
      </c>
      <c r="AI212" s="190">
        <v>35.737669800000049</v>
      </c>
      <c r="AJ212" s="190">
        <v>35.618940000000045</v>
      </c>
    </row>
    <row r="213" spans="1:36" hidden="1" x14ac:dyDescent="0.35">
      <c r="A213" t="s">
        <v>1665</v>
      </c>
      <c r="B213" s="188" t="s">
        <v>1342</v>
      </c>
      <c r="C213" t="s">
        <v>1343</v>
      </c>
      <c r="D213" s="188">
        <v>30</v>
      </c>
      <c r="E213" t="s">
        <v>1500</v>
      </c>
      <c r="F213" t="s">
        <v>1666</v>
      </c>
      <c r="G213" s="189" t="s">
        <v>1667</v>
      </c>
      <c r="H213" s="190">
        <v>39.259987199999998</v>
      </c>
      <c r="I213" s="190">
        <v>39.101680799999997</v>
      </c>
      <c r="J213" s="190">
        <v>38.943374399999996</v>
      </c>
      <c r="K213" s="190">
        <v>38.785067999999995</v>
      </c>
      <c r="L213" s="190">
        <v>38.626761599999995</v>
      </c>
      <c r="M213" s="190">
        <v>38.468455199999994</v>
      </c>
      <c r="N213" s="190">
        <v>38.3101488</v>
      </c>
      <c r="O213" s="190">
        <v>38.1518424</v>
      </c>
      <c r="P213" s="190">
        <v>37.993535999999999</v>
      </c>
      <c r="Q213" s="190">
        <v>37.874806199999995</v>
      </c>
      <c r="R213" s="190">
        <v>37.756076400000005</v>
      </c>
      <c r="S213" s="190">
        <v>37.637346600000001</v>
      </c>
      <c r="T213" s="190">
        <v>37.518616800000011</v>
      </c>
      <c r="U213" s="190">
        <v>37.399887000000014</v>
      </c>
      <c r="V213" s="190">
        <v>37.28115720000001</v>
      </c>
      <c r="W213" s="190">
        <v>37.16242740000002</v>
      </c>
      <c r="X213" s="190">
        <v>37.043697600000016</v>
      </c>
      <c r="Y213" s="190">
        <v>36.924967800000026</v>
      </c>
      <c r="Z213" s="190">
        <v>36.806238000000029</v>
      </c>
      <c r="AA213" s="190">
        <v>36.687508200000032</v>
      </c>
      <c r="AB213" s="190">
        <v>36.568778400000035</v>
      </c>
      <c r="AC213" s="190">
        <v>36.450048600000038</v>
      </c>
      <c r="AD213" s="190">
        <v>36.331318800000041</v>
      </c>
      <c r="AE213" s="190">
        <v>36.212589000000051</v>
      </c>
      <c r="AF213" s="190">
        <v>36.093859200000047</v>
      </c>
      <c r="AG213" s="190">
        <v>35.97512940000005</v>
      </c>
      <c r="AH213" s="190">
        <v>35.856399600000046</v>
      </c>
      <c r="AI213" s="190">
        <v>35.737669800000049</v>
      </c>
      <c r="AJ213" s="190">
        <v>35.618940000000045</v>
      </c>
    </row>
    <row r="214" spans="1:36" hidden="1" x14ac:dyDescent="0.35">
      <c r="A214" t="s">
        <v>1668</v>
      </c>
      <c r="B214" s="188" t="s">
        <v>1342</v>
      </c>
      <c r="C214" t="s">
        <v>1348</v>
      </c>
      <c r="D214" s="188">
        <v>30</v>
      </c>
      <c r="E214" t="s">
        <v>1500</v>
      </c>
      <c r="F214" t="s">
        <v>1666</v>
      </c>
      <c r="G214" s="189" t="s">
        <v>1667</v>
      </c>
      <c r="H214" s="190">
        <v>39.259987199999998</v>
      </c>
      <c r="I214" s="190">
        <v>39.101680799999997</v>
      </c>
      <c r="J214" s="190">
        <v>38.943374399999996</v>
      </c>
      <c r="K214" s="190">
        <v>38.785067999999995</v>
      </c>
      <c r="L214" s="190">
        <v>38.626761599999995</v>
      </c>
      <c r="M214" s="190">
        <v>38.468455199999994</v>
      </c>
      <c r="N214" s="190">
        <v>38.3101488</v>
      </c>
      <c r="O214" s="190">
        <v>38.1518424</v>
      </c>
      <c r="P214" s="190">
        <v>37.993535999999999</v>
      </c>
      <c r="Q214" s="190">
        <v>37.874806199999995</v>
      </c>
      <c r="R214" s="190">
        <v>37.756076400000005</v>
      </c>
      <c r="S214" s="190">
        <v>37.637346600000001</v>
      </c>
      <c r="T214" s="190">
        <v>37.518616800000011</v>
      </c>
      <c r="U214" s="190">
        <v>37.399887000000014</v>
      </c>
      <c r="V214" s="190">
        <v>37.28115720000001</v>
      </c>
      <c r="W214" s="190">
        <v>37.16242740000002</v>
      </c>
      <c r="X214" s="190">
        <v>37.043697600000016</v>
      </c>
      <c r="Y214" s="190">
        <v>36.924967800000026</v>
      </c>
      <c r="Z214" s="190">
        <v>36.806238000000029</v>
      </c>
      <c r="AA214" s="190">
        <v>36.687508200000032</v>
      </c>
      <c r="AB214" s="190">
        <v>36.568778400000035</v>
      </c>
      <c r="AC214" s="190">
        <v>36.450048600000038</v>
      </c>
      <c r="AD214" s="190">
        <v>36.331318800000041</v>
      </c>
      <c r="AE214" s="190">
        <v>36.212589000000051</v>
      </c>
      <c r="AF214" s="190">
        <v>36.093859200000047</v>
      </c>
      <c r="AG214" s="190">
        <v>35.97512940000005</v>
      </c>
      <c r="AH214" s="190">
        <v>35.856399600000046</v>
      </c>
      <c r="AI214" s="190">
        <v>35.737669800000049</v>
      </c>
      <c r="AJ214" s="190">
        <v>35.618940000000045</v>
      </c>
    </row>
    <row r="215" spans="1:36" hidden="1" x14ac:dyDescent="0.35">
      <c r="A215" t="s">
        <v>1669</v>
      </c>
      <c r="B215" s="188" t="s">
        <v>1342</v>
      </c>
      <c r="C215" t="s">
        <v>1350</v>
      </c>
      <c r="D215" s="188">
        <v>30</v>
      </c>
      <c r="E215" t="s">
        <v>1500</v>
      </c>
      <c r="F215" t="s">
        <v>1666</v>
      </c>
      <c r="G215" s="189" t="s">
        <v>1667</v>
      </c>
      <c r="H215" s="190">
        <v>39.259987199999998</v>
      </c>
      <c r="I215" s="190">
        <v>39.101680799999997</v>
      </c>
      <c r="J215" s="190">
        <v>38.943374399999996</v>
      </c>
      <c r="K215" s="190">
        <v>38.785067999999995</v>
      </c>
      <c r="L215" s="190">
        <v>38.626761599999995</v>
      </c>
      <c r="M215" s="190">
        <v>38.468455199999994</v>
      </c>
      <c r="N215" s="190">
        <v>38.3101488</v>
      </c>
      <c r="O215" s="190">
        <v>38.1518424</v>
      </c>
      <c r="P215" s="190">
        <v>37.993535999999999</v>
      </c>
      <c r="Q215" s="190">
        <v>37.874806199999995</v>
      </c>
      <c r="R215" s="190">
        <v>37.756076400000005</v>
      </c>
      <c r="S215" s="190">
        <v>37.637346600000001</v>
      </c>
      <c r="T215" s="190">
        <v>37.518616800000011</v>
      </c>
      <c r="U215" s="190">
        <v>37.399887000000014</v>
      </c>
      <c r="V215" s="190">
        <v>37.28115720000001</v>
      </c>
      <c r="W215" s="190">
        <v>37.16242740000002</v>
      </c>
      <c r="X215" s="190">
        <v>37.043697600000016</v>
      </c>
      <c r="Y215" s="190">
        <v>36.924967800000026</v>
      </c>
      <c r="Z215" s="190">
        <v>36.806238000000029</v>
      </c>
      <c r="AA215" s="190">
        <v>36.687508200000032</v>
      </c>
      <c r="AB215" s="190">
        <v>36.568778400000035</v>
      </c>
      <c r="AC215" s="190">
        <v>36.450048600000038</v>
      </c>
      <c r="AD215" s="190">
        <v>36.331318800000041</v>
      </c>
      <c r="AE215" s="190">
        <v>36.212589000000051</v>
      </c>
      <c r="AF215" s="190">
        <v>36.093859200000047</v>
      </c>
      <c r="AG215" s="190">
        <v>35.97512940000005</v>
      </c>
      <c r="AH215" s="190">
        <v>35.856399600000046</v>
      </c>
      <c r="AI215" s="190">
        <v>35.737669800000049</v>
      </c>
      <c r="AJ215" s="190">
        <v>35.618940000000045</v>
      </c>
    </row>
    <row r="216" spans="1:36" hidden="1" x14ac:dyDescent="0.35">
      <c r="A216" t="s">
        <v>1670</v>
      </c>
      <c r="B216" s="188" t="s">
        <v>1342</v>
      </c>
      <c r="C216" t="s">
        <v>1343</v>
      </c>
      <c r="D216" s="188">
        <v>30</v>
      </c>
      <c r="E216" t="s">
        <v>1500</v>
      </c>
      <c r="F216" t="s">
        <v>1671</v>
      </c>
      <c r="G216" s="189" t="s">
        <v>1672</v>
      </c>
      <c r="H216" s="190">
        <v>39.259987199999998</v>
      </c>
      <c r="I216" s="190">
        <v>39.101680799999997</v>
      </c>
      <c r="J216" s="190">
        <v>38.943374399999996</v>
      </c>
      <c r="K216" s="190">
        <v>38.785067999999995</v>
      </c>
      <c r="L216" s="190">
        <v>38.626761599999995</v>
      </c>
      <c r="M216" s="190">
        <v>38.468455199999994</v>
      </c>
      <c r="N216" s="190">
        <v>38.3101488</v>
      </c>
      <c r="O216" s="190">
        <v>38.1518424</v>
      </c>
      <c r="P216" s="190">
        <v>37.993535999999999</v>
      </c>
      <c r="Q216" s="190">
        <v>37.874806199999995</v>
      </c>
      <c r="R216" s="190">
        <v>37.756076400000005</v>
      </c>
      <c r="S216" s="190">
        <v>37.637346600000001</v>
      </c>
      <c r="T216" s="190">
        <v>37.518616800000011</v>
      </c>
      <c r="U216" s="190">
        <v>37.399887000000014</v>
      </c>
      <c r="V216" s="190">
        <v>37.28115720000001</v>
      </c>
      <c r="W216" s="190">
        <v>37.16242740000002</v>
      </c>
      <c r="X216" s="190">
        <v>37.043697600000016</v>
      </c>
      <c r="Y216" s="190">
        <v>36.924967800000026</v>
      </c>
      <c r="Z216" s="190">
        <v>36.806238000000029</v>
      </c>
      <c r="AA216" s="190">
        <v>36.687508200000032</v>
      </c>
      <c r="AB216" s="190">
        <v>36.568778400000035</v>
      </c>
      <c r="AC216" s="190">
        <v>36.450048600000038</v>
      </c>
      <c r="AD216" s="190">
        <v>36.331318800000041</v>
      </c>
      <c r="AE216" s="190">
        <v>36.212589000000051</v>
      </c>
      <c r="AF216" s="190">
        <v>36.093859200000047</v>
      </c>
      <c r="AG216" s="190">
        <v>35.97512940000005</v>
      </c>
      <c r="AH216" s="190">
        <v>35.856399600000046</v>
      </c>
      <c r="AI216" s="190">
        <v>35.737669800000049</v>
      </c>
      <c r="AJ216" s="190">
        <v>35.618940000000045</v>
      </c>
    </row>
    <row r="217" spans="1:36" hidden="1" x14ac:dyDescent="0.35">
      <c r="A217" t="s">
        <v>1673</v>
      </c>
      <c r="B217" s="188" t="s">
        <v>1342</v>
      </c>
      <c r="C217" t="s">
        <v>1348</v>
      </c>
      <c r="D217" s="188">
        <v>30</v>
      </c>
      <c r="E217" t="s">
        <v>1500</v>
      </c>
      <c r="F217" t="s">
        <v>1671</v>
      </c>
      <c r="G217" s="189" t="s">
        <v>1672</v>
      </c>
      <c r="H217" s="190">
        <v>39.259987199999998</v>
      </c>
      <c r="I217" s="190">
        <v>39.101680799999997</v>
      </c>
      <c r="J217" s="190">
        <v>38.943374399999996</v>
      </c>
      <c r="K217" s="190">
        <v>38.785067999999995</v>
      </c>
      <c r="L217" s="190">
        <v>38.626761599999995</v>
      </c>
      <c r="M217" s="190">
        <v>38.468455199999994</v>
      </c>
      <c r="N217" s="190">
        <v>38.3101488</v>
      </c>
      <c r="O217" s="190">
        <v>38.1518424</v>
      </c>
      <c r="P217" s="190">
        <v>37.993535999999999</v>
      </c>
      <c r="Q217" s="190">
        <v>37.874806199999995</v>
      </c>
      <c r="R217" s="190">
        <v>37.756076400000005</v>
      </c>
      <c r="S217" s="190">
        <v>37.637346600000001</v>
      </c>
      <c r="T217" s="190">
        <v>37.518616800000011</v>
      </c>
      <c r="U217" s="190">
        <v>37.399887000000014</v>
      </c>
      <c r="V217" s="190">
        <v>37.28115720000001</v>
      </c>
      <c r="W217" s="190">
        <v>37.16242740000002</v>
      </c>
      <c r="X217" s="190">
        <v>37.043697600000016</v>
      </c>
      <c r="Y217" s="190">
        <v>36.924967800000026</v>
      </c>
      <c r="Z217" s="190">
        <v>36.806238000000029</v>
      </c>
      <c r="AA217" s="190">
        <v>36.687508200000032</v>
      </c>
      <c r="AB217" s="190">
        <v>36.568778400000035</v>
      </c>
      <c r="AC217" s="190">
        <v>36.450048600000038</v>
      </c>
      <c r="AD217" s="190">
        <v>36.331318800000041</v>
      </c>
      <c r="AE217" s="190">
        <v>36.212589000000051</v>
      </c>
      <c r="AF217" s="190">
        <v>36.093859200000047</v>
      </c>
      <c r="AG217" s="190">
        <v>35.97512940000005</v>
      </c>
      <c r="AH217" s="190">
        <v>35.856399600000046</v>
      </c>
      <c r="AI217" s="190">
        <v>35.737669800000049</v>
      </c>
      <c r="AJ217" s="190">
        <v>35.618940000000045</v>
      </c>
    </row>
    <row r="218" spans="1:36" hidden="1" x14ac:dyDescent="0.35">
      <c r="A218" t="s">
        <v>1674</v>
      </c>
      <c r="B218" s="188" t="s">
        <v>1342</v>
      </c>
      <c r="C218" t="s">
        <v>1350</v>
      </c>
      <c r="D218" s="188">
        <v>30</v>
      </c>
      <c r="E218" t="s">
        <v>1500</v>
      </c>
      <c r="F218" t="s">
        <v>1671</v>
      </c>
      <c r="G218" s="189" t="s">
        <v>1672</v>
      </c>
      <c r="H218" s="190">
        <v>39.259987199999998</v>
      </c>
      <c r="I218" s="190">
        <v>39.101680799999997</v>
      </c>
      <c r="J218" s="190">
        <v>38.943374399999996</v>
      </c>
      <c r="K218" s="190">
        <v>38.785067999999995</v>
      </c>
      <c r="L218" s="190">
        <v>38.626761599999995</v>
      </c>
      <c r="M218" s="190">
        <v>38.468455199999994</v>
      </c>
      <c r="N218" s="190">
        <v>38.3101488</v>
      </c>
      <c r="O218" s="190">
        <v>38.1518424</v>
      </c>
      <c r="P218" s="190">
        <v>37.993535999999999</v>
      </c>
      <c r="Q218" s="190">
        <v>37.874806199999995</v>
      </c>
      <c r="R218" s="190">
        <v>37.756076400000005</v>
      </c>
      <c r="S218" s="190">
        <v>37.637346600000001</v>
      </c>
      <c r="T218" s="190">
        <v>37.518616800000011</v>
      </c>
      <c r="U218" s="190">
        <v>37.399887000000014</v>
      </c>
      <c r="V218" s="190">
        <v>37.28115720000001</v>
      </c>
      <c r="W218" s="190">
        <v>37.16242740000002</v>
      </c>
      <c r="X218" s="190">
        <v>37.043697600000016</v>
      </c>
      <c r="Y218" s="190">
        <v>36.924967800000026</v>
      </c>
      <c r="Z218" s="190">
        <v>36.806238000000029</v>
      </c>
      <c r="AA218" s="190">
        <v>36.687508200000032</v>
      </c>
      <c r="AB218" s="190">
        <v>36.568778400000035</v>
      </c>
      <c r="AC218" s="190">
        <v>36.450048600000038</v>
      </c>
      <c r="AD218" s="190">
        <v>36.331318800000041</v>
      </c>
      <c r="AE218" s="190">
        <v>36.212589000000051</v>
      </c>
      <c r="AF218" s="190">
        <v>36.093859200000047</v>
      </c>
      <c r="AG218" s="190">
        <v>35.97512940000005</v>
      </c>
      <c r="AH218" s="190">
        <v>35.856399600000046</v>
      </c>
      <c r="AI218" s="190">
        <v>35.737669800000049</v>
      </c>
      <c r="AJ218" s="190">
        <v>35.618940000000045</v>
      </c>
    </row>
    <row r="219" spans="1:36" hidden="1" x14ac:dyDescent="0.35">
      <c r="A219" t="s">
        <v>1675</v>
      </c>
      <c r="B219" s="188" t="s">
        <v>1342</v>
      </c>
      <c r="C219" t="s">
        <v>1343</v>
      </c>
      <c r="D219" s="188">
        <v>30</v>
      </c>
      <c r="E219" t="s">
        <v>1500</v>
      </c>
      <c r="F219" t="s">
        <v>1676</v>
      </c>
      <c r="G219" s="189" t="s">
        <v>1677</v>
      </c>
      <c r="H219" s="190">
        <v>39.259987199999998</v>
      </c>
      <c r="I219" s="190">
        <v>39.101680799999997</v>
      </c>
      <c r="J219" s="190">
        <v>38.943374399999996</v>
      </c>
      <c r="K219" s="190">
        <v>38.785067999999995</v>
      </c>
      <c r="L219" s="190">
        <v>38.626761599999995</v>
      </c>
      <c r="M219" s="190">
        <v>38.468455199999994</v>
      </c>
      <c r="N219" s="190">
        <v>38.3101488</v>
      </c>
      <c r="O219" s="190">
        <v>38.1518424</v>
      </c>
      <c r="P219" s="190">
        <v>37.993535999999999</v>
      </c>
      <c r="Q219" s="190">
        <v>37.874806199999995</v>
      </c>
      <c r="R219" s="190">
        <v>37.756076400000005</v>
      </c>
      <c r="S219" s="190">
        <v>37.637346600000001</v>
      </c>
      <c r="T219" s="190">
        <v>37.518616800000011</v>
      </c>
      <c r="U219" s="190">
        <v>37.399887000000014</v>
      </c>
      <c r="V219" s="190">
        <v>37.28115720000001</v>
      </c>
      <c r="W219" s="190">
        <v>37.16242740000002</v>
      </c>
      <c r="X219" s="190">
        <v>37.043697600000016</v>
      </c>
      <c r="Y219" s="190">
        <v>36.924967800000026</v>
      </c>
      <c r="Z219" s="190">
        <v>36.806238000000029</v>
      </c>
      <c r="AA219" s="190">
        <v>36.687508200000032</v>
      </c>
      <c r="AB219" s="190">
        <v>36.568778400000035</v>
      </c>
      <c r="AC219" s="190">
        <v>36.450048600000038</v>
      </c>
      <c r="AD219" s="190">
        <v>36.331318800000041</v>
      </c>
      <c r="AE219" s="190">
        <v>36.212589000000051</v>
      </c>
      <c r="AF219" s="190">
        <v>36.093859200000047</v>
      </c>
      <c r="AG219" s="190">
        <v>35.97512940000005</v>
      </c>
      <c r="AH219" s="190">
        <v>35.856399600000046</v>
      </c>
      <c r="AI219" s="190">
        <v>35.737669800000049</v>
      </c>
      <c r="AJ219" s="190">
        <v>35.618940000000045</v>
      </c>
    </row>
    <row r="220" spans="1:36" hidden="1" x14ac:dyDescent="0.35">
      <c r="A220" t="s">
        <v>1678</v>
      </c>
      <c r="B220" s="188" t="s">
        <v>1342</v>
      </c>
      <c r="C220" t="s">
        <v>1348</v>
      </c>
      <c r="D220" s="188">
        <v>30</v>
      </c>
      <c r="E220" t="s">
        <v>1500</v>
      </c>
      <c r="F220" t="s">
        <v>1676</v>
      </c>
      <c r="G220" s="189" t="s">
        <v>1677</v>
      </c>
      <c r="H220" s="190">
        <v>39.259987199999998</v>
      </c>
      <c r="I220" s="190">
        <v>39.101680799999997</v>
      </c>
      <c r="J220" s="190">
        <v>38.943374399999996</v>
      </c>
      <c r="K220" s="190">
        <v>38.785067999999995</v>
      </c>
      <c r="L220" s="190">
        <v>38.626761599999995</v>
      </c>
      <c r="M220" s="190">
        <v>38.468455199999994</v>
      </c>
      <c r="N220" s="190">
        <v>38.3101488</v>
      </c>
      <c r="O220" s="190">
        <v>38.1518424</v>
      </c>
      <c r="P220" s="190">
        <v>37.993535999999999</v>
      </c>
      <c r="Q220" s="190">
        <v>37.874806199999995</v>
      </c>
      <c r="R220" s="190">
        <v>37.756076400000005</v>
      </c>
      <c r="S220" s="190">
        <v>37.637346600000001</v>
      </c>
      <c r="T220" s="190">
        <v>37.518616800000011</v>
      </c>
      <c r="U220" s="190">
        <v>37.399887000000014</v>
      </c>
      <c r="V220" s="190">
        <v>37.28115720000001</v>
      </c>
      <c r="W220" s="190">
        <v>37.16242740000002</v>
      </c>
      <c r="X220" s="190">
        <v>37.043697600000016</v>
      </c>
      <c r="Y220" s="190">
        <v>36.924967800000026</v>
      </c>
      <c r="Z220" s="190">
        <v>36.806238000000029</v>
      </c>
      <c r="AA220" s="190">
        <v>36.687508200000032</v>
      </c>
      <c r="AB220" s="190">
        <v>36.568778400000035</v>
      </c>
      <c r="AC220" s="190">
        <v>36.450048600000038</v>
      </c>
      <c r="AD220" s="190">
        <v>36.331318800000041</v>
      </c>
      <c r="AE220" s="190">
        <v>36.212589000000051</v>
      </c>
      <c r="AF220" s="190">
        <v>36.093859200000047</v>
      </c>
      <c r="AG220" s="190">
        <v>35.97512940000005</v>
      </c>
      <c r="AH220" s="190">
        <v>35.856399600000046</v>
      </c>
      <c r="AI220" s="190">
        <v>35.737669800000049</v>
      </c>
      <c r="AJ220" s="190">
        <v>35.618940000000045</v>
      </c>
    </row>
    <row r="221" spans="1:36" hidden="1" x14ac:dyDescent="0.35">
      <c r="A221" t="s">
        <v>1679</v>
      </c>
      <c r="B221" s="188" t="s">
        <v>1342</v>
      </c>
      <c r="C221" t="s">
        <v>1350</v>
      </c>
      <c r="D221" s="188">
        <v>30</v>
      </c>
      <c r="E221" t="s">
        <v>1500</v>
      </c>
      <c r="F221" t="s">
        <v>1676</v>
      </c>
      <c r="G221" s="189" t="s">
        <v>1677</v>
      </c>
      <c r="H221" s="190">
        <v>39.259987199999998</v>
      </c>
      <c r="I221" s="190">
        <v>39.101680799999997</v>
      </c>
      <c r="J221" s="190">
        <v>38.943374399999996</v>
      </c>
      <c r="K221" s="190">
        <v>38.785067999999995</v>
      </c>
      <c r="L221" s="190">
        <v>38.626761599999995</v>
      </c>
      <c r="M221" s="190">
        <v>38.468455199999994</v>
      </c>
      <c r="N221" s="190">
        <v>38.3101488</v>
      </c>
      <c r="O221" s="190">
        <v>38.1518424</v>
      </c>
      <c r="P221" s="190">
        <v>37.993535999999999</v>
      </c>
      <c r="Q221" s="190">
        <v>37.874806199999995</v>
      </c>
      <c r="R221" s="190">
        <v>37.756076400000005</v>
      </c>
      <c r="S221" s="190">
        <v>37.637346600000001</v>
      </c>
      <c r="T221" s="190">
        <v>37.518616800000011</v>
      </c>
      <c r="U221" s="190">
        <v>37.399887000000014</v>
      </c>
      <c r="V221" s="190">
        <v>37.28115720000001</v>
      </c>
      <c r="W221" s="190">
        <v>37.16242740000002</v>
      </c>
      <c r="X221" s="190">
        <v>37.043697600000016</v>
      </c>
      <c r="Y221" s="190">
        <v>36.924967800000026</v>
      </c>
      <c r="Z221" s="190">
        <v>36.806238000000029</v>
      </c>
      <c r="AA221" s="190">
        <v>36.687508200000032</v>
      </c>
      <c r="AB221" s="190">
        <v>36.568778400000035</v>
      </c>
      <c r="AC221" s="190">
        <v>36.450048600000038</v>
      </c>
      <c r="AD221" s="190">
        <v>36.331318800000041</v>
      </c>
      <c r="AE221" s="190">
        <v>36.212589000000051</v>
      </c>
      <c r="AF221" s="190">
        <v>36.093859200000047</v>
      </c>
      <c r="AG221" s="190">
        <v>35.97512940000005</v>
      </c>
      <c r="AH221" s="190">
        <v>35.856399600000046</v>
      </c>
      <c r="AI221" s="190">
        <v>35.737669800000049</v>
      </c>
      <c r="AJ221" s="190">
        <v>35.618940000000045</v>
      </c>
    </row>
    <row r="222" spans="1:36" hidden="1" x14ac:dyDescent="0.35">
      <c r="A222" t="s">
        <v>1680</v>
      </c>
      <c r="B222" s="188" t="s">
        <v>1342</v>
      </c>
      <c r="C222" t="s">
        <v>1343</v>
      </c>
      <c r="D222" s="188">
        <v>30</v>
      </c>
      <c r="E222" t="s">
        <v>1500</v>
      </c>
      <c r="F222" t="s">
        <v>1681</v>
      </c>
      <c r="G222" s="189" t="s">
        <v>1682</v>
      </c>
      <c r="H222" s="190">
        <v>39.259987199999998</v>
      </c>
      <c r="I222" s="190">
        <v>39.101680799999997</v>
      </c>
      <c r="J222" s="190">
        <v>38.943374399999996</v>
      </c>
      <c r="K222" s="190">
        <v>38.785067999999995</v>
      </c>
      <c r="L222" s="190">
        <v>38.626761599999995</v>
      </c>
      <c r="M222" s="190">
        <v>38.468455199999994</v>
      </c>
      <c r="N222" s="190">
        <v>38.3101488</v>
      </c>
      <c r="O222" s="190">
        <v>38.1518424</v>
      </c>
      <c r="P222" s="190">
        <v>37.993535999999999</v>
      </c>
      <c r="Q222" s="190">
        <v>37.874806199999995</v>
      </c>
      <c r="R222" s="190">
        <v>37.756076400000005</v>
      </c>
      <c r="S222" s="190">
        <v>37.637346600000001</v>
      </c>
      <c r="T222" s="190">
        <v>37.518616800000011</v>
      </c>
      <c r="U222" s="190">
        <v>37.399887000000014</v>
      </c>
      <c r="V222" s="190">
        <v>37.28115720000001</v>
      </c>
      <c r="W222" s="190">
        <v>37.16242740000002</v>
      </c>
      <c r="X222" s="190">
        <v>37.043697600000016</v>
      </c>
      <c r="Y222" s="190">
        <v>36.924967800000026</v>
      </c>
      <c r="Z222" s="190">
        <v>36.806238000000029</v>
      </c>
      <c r="AA222" s="190">
        <v>36.687508200000032</v>
      </c>
      <c r="AB222" s="190">
        <v>36.568778400000035</v>
      </c>
      <c r="AC222" s="190">
        <v>36.450048600000038</v>
      </c>
      <c r="AD222" s="190">
        <v>36.331318800000041</v>
      </c>
      <c r="AE222" s="190">
        <v>36.212589000000051</v>
      </c>
      <c r="AF222" s="190">
        <v>36.093859200000047</v>
      </c>
      <c r="AG222" s="190">
        <v>35.97512940000005</v>
      </c>
      <c r="AH222" s="190">
        <v>35.856399600000046</v>
      </c>
      <c r="AI222" s="190">
        <v>35.737669800000049</v>
      </c>
      <c r="AJ222" s="190">
        <v>35.618940000000045</v>
      </c>
    </row>
    <row r="223" spans="1:36" hidden="1" x14ac:dyDescent="0.35">
      <c r="A223" t="s">
        <v>1683</v>
      </c>
      <c r="B223" s="188" t="s">
        <v>1342</v>
      </c>
      <c r="C223" t="s">
        <v>1348</v>
      </c>
      <c r="D223" s="188">
        <v>30</v>
      </c>
      <c r="E223" t="s">
        <v>1500</v>
      </c>
      <c r="F223" t="s">
        <v>1681</v>
      </c>
      <c r="G223" s="189" t="s">
        <v>1682</v>
      </c>
      <c r="H223" s="190">
        <v>39.259987199999998</v>
      </c>
      <c r="I223" s="190">
        <v>39.101680799999997</v>
      </c>
      <c r="J223" s="190">
        <v>38.943374399999996</v>
      </c>
      <c r="K223" s="190">
        <v>38.785067999999995</v>
      </c>
      <c r="L223" s="190">
        <v>38.626761599999995</v>
      </c>
      <c r="M223" s="190">
        <v>38.468455199999994</v>
      </c>
      <c r="N223" s="190">
        <v>38.3101488</v>
      </c>
      <c r="O223" s="190">
        <v>38.1518424</v>
      </c>
      <c r="P223" s="190">
        <v>37.993535999999999</v>
      </c>
      <c r="Q223" s="190">
        <v>37.874806199999995</v>
      </c>
      <c r="R223" s="190">
        <v>37.756076400000005</v>
      </c>
      <c r="S223" s="190">
        <v>37.637346600000001</v>
      </c>
      <c r="T223" s="190">
        <v>37.518616800000011</v>
      </c>
      <c r="U223" s="190">
        <v>37.399887000000014</v>
      </c>
      <c r="V223" s="190">
        <v>37.28115720000001</v>
      </c>
      <c r="W223" s="190">
        <v>37.16242740000002</v>
      </c>
      <c r="X223" s="190">
        <v>37.043697600000016</v>
      </c>
      <c r="Y223" s="190">
        <v>36.924967800000026</v>
      </c>
      <c r="Z223" s="190">
        <v>36.806238000000029</v>
      </c>
      <c r="AA223" s="190">
        <v>36.687508200000032</v>
      </c>
      <c r="AB223" s="190">
        <v>36.568778400000035</v>
      </c>
      <c r="AC223" s="190">
        <v>36.450048600000038</v>
      </c>
      <c r="AD223" s="190">
        <v>36.331318800000041</v>
      </c>
      <c r="AE223" s="190">
        <v>36.212589000000051</v>
      </c>
      <c r="AF223" s="190">
        <v>36.093859200000047</v>
      </c>
      <c r="AG223" s="190">
        <v>35.97512940000005</v>
      </c>
      <c r="AH223" s="190">
        <v>35.856399600000046</v>
      </c>
      <c r="AI223" s="190">
        <v>35.737669800000049</v>
      </c>
      <c r="AJ223" s="190">
        <v>35.618940000000045</v>
      </c>
    </row>
    <row r="224" spans="1:36" hidden="1" x14ac:dyDescent="0.35">
      <c r="A224" t="s">
        <v>1684</v>
      </c>
      <c r="B224" s="188" t="s">
        <v>1342</v>
      </c>
      <c r="C224" t="s">
        <v>1350</v>
      </c>
      <c r="D224" s="188">
        <v>30</v>
      </c>
      <c r="E224" t="s">
        <v>1500</v>
      </c>
      <c r="F224" t="s">
        <v>1681</v>
      </c>
      <c r="G224" s="189" t="s">
        <v>1682</v>
      </c>
      <c r="H224" s="190">
        <v>39.259987199999998</v>
      </c>
      <c r="I224" s="190">
        <v>39.101680799999997</v>
      </c>
      <c r="J224" s="190">
        <v>38.943374399999996</v>
      </c>
      <c r="K224" s="190">
        <v>38.785067999999995</v>
      </c>
      <c r="L224" s="190">
        <v>38.626761599999995</v>
      </c>
      <c r="M224" s="190">
        <v>38.468455199999994</v>
      </c>
      <c r="N224" s="190">
        <v>38.3101488</v>
      </c>
      <c r="O224" s="190">
        <v>38.1518424</v>
      </c>
      <c r="P224" s="190">
        <v>37.993535999999999</v>
      </c>
      <c r="Q224" s="190">
        <v>37.874806199999995</v>
      </c>
      <c r="R224" s="190">
        <v>37.756076400000005</v>
      </c>
      <c r="S224" s="190">
        <v>37.637346600000001</v>
      </c>
      <c r="T224" s="190">
        <v>37.518616800000011</v>
      </c>
      <c r="U224" s="190">
        <v>37.399887000000014</v>
      </c>
      <c r="V224" s="190">
        <v>37.28115720000001</v>
      </c>
      <c r="W224" s="190">
        <v>37.16242740000002</v>
      </c>
      <c r="X224" s="190">
        <v>37.043697600000016</v>
      </c>
      <c r="Y224" s="190">
        <v>36.924967800000026</v>
      </c>
      <c r="Z224" s="190">
        <v>36.806238000000029</v>
      </c>
      <c r="AA224" s="190">
        <v>36.687508200000032</v>
      </c>
      <c r="AB224" s="190">
        <v>36.568778400000035</v>
      </c>
      <c r="AC224" s="190">
        <v>36.450048600000038</v>
      </c>
      <c r="AD224" s="190">
        <v>36.331318800000041</v>
      </c>
      <c r="AE224" s="190">
        <v>36.212589000000051</v>
      </c>
      <c r="AF224" s="190">
        <v>36.093859200000047</v>
      </c>
      <c r="AG224" s="190">
        <v>35.97512940000005</v>
      </c>
      <c r="AH224" s="190">
        <v>35.856399600000046</v>
      </c>
      <c r="AI224" s="190">
        <v>35.737669800000049</v>
      </c>
      <c r="AJ224" s="190">
        <v>35.618940000000045</v>
      </c>
    </row>
    <row r="225" spans="1:36" hidden="1" x14ac:dyDescent="0.35">
      <c r="A225" t="s">
        <v>1685</v>
      </c>
      <c r="B225" s="188" t="s">
        <v>1342</v>
      </c>
      <c r="C225" t="s">
        <v>1343</v>
      </c>
      <c r="D225" s="188">
        <v>30</v>
      </c>
      <c r="E225" t="s">
        <v>1500</v>
      </c>
      <c r="F225" t="s">
        <v>1686</v>
      </c>
      <c r="G225" s="189" t="s">
        <v>1687</v>
      </c>
      <c r="H225" s="190">
        <v>39.259987199999998</v>
      </c>
      <c r="I225" s="190">
        <v>39.101680799999997</v>
      </c>
      <c r="J225" s="190">
        <v>38.943374399999996</v>
      </c>
      <c r="K225" s="190">
        <v>38.785067999999995</v>
      </c>
      <c r="L225" s="190">
        <v>38.626761599999995</v>
      </c>
      <c r="M225" s="190">
        <v>38.468455199999994</v>
      </c>
      <c r="N225" s="190">
        <v>38.3101488</v>
      </c>
      <c r="O225" s="190">
        <v>38.1518424</v>
      </c>
      <c r="P225" s="190">
        <v>37.993535999999999</v>
      </c>
      <c r="Q225" s="190">
        <v>37.874806199999995</v>
      </c>
      <c r="R225" s="190">
        <v>37.756076400000005</v>
      </c>
      <c r="S225" s="190">
        <v>37.637346600000001</v>
      </c>
      <c r="T225" s="190">
        <v>37.518616800000011</v>
      </c>
      <c r="U225" s="190">
        <v>37.399887000000014</v>
      </c>
      <c r="V225" s="190">
        <v>37.28115720000001</v>
      </c>
      <c r="W225" s="190">
        <v>37.16242740000002</v>
      </c>
      <c r="X225" s="190">
        <v>37.043697600000016</v>
      </c>
      <c r="Y225" s="190">
        <v>36.924967800000026</v>
      </c>
      <c r="Z225" s="190">
        <v>36.806238000000029</v>
      </c>
      <c r="AA225" s="190">
        <v>36.687508200000032</v>
      </c>
      <c r="AB225" s="190">
        <v>36.568778400000035</v>
      </c>
      <c r="AC225" s="190">
        <v>36.450048600000038</v>
      </c>
      <c r="AD225" s="190">
        <v>36.331318800000041</v>
      </c>
      <c r="AE225" s="190">
        <v>36.212589000000051</v>
      </c>
      <c r="AF225" s="190">
        <v>36.093859200000047</v>
      </c>
      <c r="AG225" s="190">
        <v>35.97512940000005</v>
      </c>
      <c r="AH225" s="190">
        <v>35.856399600000046</v>
      </c>
      <c r="AI225" s="190">
        <v>35.737669800000049</v>
      </c>
      <c r="AJ225" s="190">
        <v>35.618940000000045</v>
      </c>
    </row>
    <row r="226" spans="1:36" hidden="1" x14ac:dyDescent="0.35">
      <c r="A226" t="s">
        <v>1688</v>
      </c>
      <c r="B226" s="188" t="s">
        <v>1342</v>
      </c>
      <c r="C226" t="s">
        <v>1348</v>
      </c>
      <c r="D226" s="188">
        <v>30</v>
      </c>
      <c r="E226" t="s">
        <v>1500</v>
      </c>
      <c r="F226" t="s">
        <v>1686</v>
      </c>
      <c r="G226" s="189" t="s">
        <v>1687</v>
      </c>
      <c r="H226" s="190">
        <v>39.259987199999998</v>
      </c>
      <c r="I226" s="190">
        <v>39.101680799999997</v>
      </c>
      <c r="J226" s="190">
        <v>38.943374399999996</v>
      </c>
      <c r="K226" s="190">
        <v>38.785067999999995</v>
      </c>
      <c r="L226" s="190">
        <v>38.626761599999995</v>
      </c>
      <c r="M226" s="190">
        <v>38.468455199999994</v>
      </c>
      <c r="N226" s="190">
        <v>38.3101488</v>
      </c>
      <c r="O226" s="190">
        <v>38.1518424</v>
      </c>
      <c r="P226" s="190">
        <v>37.993535999999999</v>
      </c>
      <c r="Q226" s="190">
        <v>37.874806199999995</v>
      </c>
      <c r="R226" s="190">
        <v>37.756076400000005</v>
      </c>
      <c r="S226" s="190">
        <v>37.637346600000001</v>
      </c>
      <c r="T226" s="190">
        <v>37.518616800000011</v>
      </c>
      <c r="U226" s="190">
        <v>37.399887000000014</v>
      </c>
      <c r="V226" s="190">
        <v>37.28115720000001</v>
      </c>
      <c r="W226" s="190">
        <v>37.16242740000002</v>
      </c>
      <c r="X226" s="190">
        <v>37.043697600000016</v>
      </c>
      <c r="Y226" s="190">
        <v>36.924967800000026</v>
      </c>
      <c r="Z226" s="190">
        <v>36.806238000000029</v>
      </c>
      <c r="AA226" s="190">
        <v>36.687508200000032</v>
      </c>
      <c r="AB226" s="190">
        <v>36.568778400000035</v>
      </c>
      <c r="AC226" s="190">
        <v>36.450048600000038</v>
      </c>
      <c r="AD226" s="190">
        <v>36.331318800000041</v>
      </c>
      <c r="AE226" s="190">
        <v>36.212589000000051</v>
      </c>
      <c r="AF226" s="190">
        <v>36.093859200000047</v>
      </c>
      <c r="AG226" s="190">
        <v>35.97512940000005</v>
      </c>
      <c r="AH226" s="190">
        <v>35.856399600000046</v>
      </c>
      <c r="AI226" s="190">
        <v>35.737669800000049</v>
      </c>
      <c r="AJ226" s="190">
        <v>35.618940000000045</v>
      </c>
    </row>
    <row r="227" spans="1:36" hidden="1" x14ac:dyDescent="0.35">
      <c r="A227" t="s">
        <v>1689</v>
      </c>
      <c r="B227" s="188" t="s">
        <v>1342</v>
      </c>
      <c r="C227" t="s">
        <v>1350</v>
      </c>
      <c r="D227" s="188">
        <v>30</v>
      </c>
      <c r="E227" t="s">
        <v>1500</v>
      </c>
      <c r="F227" t="s">
        <v>1686</v>
      </c>
      <c r="G227" s="189" t="s">
        <v>1687</v>
      </c>
      <c r="H227" s="190">
        <v>39.259987199999998</v>
      </c>
      <c r="I227" s="190">
        <v>39.101680799999997</v>
      </c>
      <c r="J227" s="190">
        <v>38.943374399999996</v>
      </c>
      <c r="K227" s="190">
        <v>38.785067999999995</v>
      </c>
      <c r="L227" s="190">
        <v>38.626761599999995</v>
      </c>
      <c r="M227" s="190">
        <v>38.468455199999994</v>
      </c>
      <c r="N227" s="190">
        <v>38.3101488</v>
      </c>
      <c r="O227" s="190">
        <v>38.1518424</v>
      </c>
      <c r="P227" s="190">
        <v>37.993535999999999</v>
      </c>
      <c r="Q227" s="190">
        <v>37.874806199999995</v>
      </c>
      <c r="R227" s="190">
        <v>37.756076400000005</v>
      </c>
      <c r="S227" s="190">
        <v>37.637346600000001</v>
      </c>
      <c r="T227" s="190">
        <v>37.518616800000011</v>
      </c>
      <c r="U227" s="190">
        <v>37.399887000000014</v>
      </c>
      <c r="V227" s="190">
        <v>37.28115720000001</v>
      </c>
      <c r="W227" s="190">
        <v>37.16242740000002</v>
      </c>
      <c r="X227" s="190">
        <v>37.043697600000016</v>
      </c>
      <c r="Y227" s="190">
        <v>36.924967800000026</v>
      </c>
      <c r="Z227" s="190">
        <v>36.806238000000029</v>
      </c>
      <c r="AA227" s="190">
        <v>36.687508200000032</v>
      </c>
      <c r="AB227" s="190">
        <v>36.568778400000035</v>
      </c>
      <c r="AC227" s="190">
        <v>36.450048600000038</v>
      </c>
      <c r="AD227" s="190">
        <v>36.331318800000041</v>
      </c>
      <c r="AE227" s="190">
        <v>36.212589000000051</v>
      </c>
      <c r="AF227" s="190">
        <v>36.093859200000047</v>
      </c>
      <c r="AG227" s="190">
        <v>35.97512940000005</v>
      </c>
      <c r="AH227" s="190">
        <v>35.856399600000046</v>
      </c>
      <c r="AI227" s="190">
        <v>35.737669800000049</v>
      </c>
      <c r="AJ227" s="190">
        <v>35.618940000000045</v>
      </c>
    </row>
    <row r="228" spans="1:36" hidden="1" x14ac:dyDescent="0.35">
      <c r="A228" t="s">
        <v>1690</v>
      </c>
      <c r="B228" s="188" t="s">
        <v>1342</v>
      </c>
      <c r="C228" t="s">
        <v>1343</v>
      </c>
      <c r="D228" s="188">
        <v>30</v>
      </c>
      <c r="E228" t="s">
        <v>1500</v>
      </c>
      <c r="F228" t="s">
        <v>1691</v>
      </c>
      <c r="G228" s="189" t="s">
        <v>1692</v>
      </c>
      <c r="H228" s="190">
        <v>39.259987199999998</v>
      </c>
      <c r="I228" s="190">
        <v>39.101680799999997</v>
      </c>
      <c r="J228" s="190">
        <v>38.943374399999996</v>
      </c>
      <c r="K228" s="190">
        <v>38.785067999999995</v>
      </c>
      <c r="L228" s="190">
        <v>38.626761599999995</v>
      </c>
      <c r="M228" s="190">
        <v>38.468455199999994</v>
      </c>
      <c r="N228" s="190">
        <v>38.3101488</v>
      </c>
      <c r="O228" s="190">
        <v>38.1518424</v>
      </c>
      <c r="P228" s="190">
        <v>37.993535999999999</v>
      </c>
      <c r="Q228" s="190">
        <v>37.874806199999995</v>
      </c>
      <c r="R228" s="190">
        <v>37.756076400000005</v>
      </c>
      <c r="S228" s="190">
        <v>37.637346600000001</v>
      </c>
      <c r="T228" s="190">
        <v>37.518616800000011</v>
      </c>
      <c r="U228" s="190">
        <v>37.399887000000014</v>
      </c>
      <c r="V228" s="190">
        <v>37.28115720000001</v>
      </c>
      <c r="W228" s="190">
        <v>37.16242740000002</v>
      </c>
      <c r="X228" s="190">
        <v>37.043697600000016</v>
      </c>
      <c r="Y228" s="190">
        <v>36.924967800000026</v>
      </c>
      <c r="Z228" s="190">
        <v>36.806238000000029</v>
      </c>
      <c r="AA228" s="190">
        <v>36.687508200000032</v>
      </c>
      <c r="AB228" s="190">
        <v>36.568778400000035</v>
      </c>
      <c r="AC228" s="190">
        <v>36.450048600000038</v>
      </c>
      <c r="AD228" s="190">
        <v>36.331318800000041</v>
      </c>
      <c r="AE228" s="190">
        <v>36.212589000000051</v>
      </c>
      <c r="AF228" s="190">
        <v>36.093859200000047</v>
      </c>
      <c r="AG228" s="190">
        <v>35.97512940000005</v>
      </c>
      <c r="AH228" s="190">
        <v>35.856399600000046</v>
      </c>
      <c r="AI228" s="190">
        <v>35.737669800000049</v>
      </c>
      <c r="AJ228" s="190">
        <v>35.618940000000045</v>
      </c>
    </row>
    <row r="229" spans="1:36" hidden="1" x14ac:dyDescent="0.35">
      <c r="A229" t="s">
        <v>1693</v>
      </c>
      <c r="B229" s="188" t="s">
        <v>1342</v>
      </c>
      <c r="C229" t="s">
        <v>1348</v>
      </c>
      <c r="D229" s="188">
        <v>30</v>
      </c>
      <c r="E229" t="s">
        <v>1500</v>
      </c>
      <c r="F229" t="s">
        <v>1691</v>
      </c>
      <c r="G229" s="189" t="s">
        <v>1692</v>
      </c>
      <c r="H229" s="190">
        <v>39.259987199999998</v>
      </c>
      <c r="I229" s="190">
        <v>39.101680799999997</v>
      </c>
      <c r="J229" s="190">
        <v>38.943374399999996</v>
      </c>
      <c r="K229" s="190">
        <v>38.785067999999995</v>
      </c>
      <c r="L229" s="190">
        <v>38.626761599999995</v>
      </c>
      <c r="M229" s="190">
        <v>38.468455199999994</v>
      </c>
      <c r="N229" s="190">
        <v>38.3101488</v>
      </c>
      <c r="O229" s="190">
        <v>38.1518424</v>
      </c>
      <c r="P229" s="190">
        <v>37.993535999999999</v>
      </c>
      <c r="Q229" s="190">
        <v>37.874806199999995</v>
      </c>
      <c r="R229" s="190">
        <v>37.756076400000005</v>
      </c>
      <c r="S229" s="190">
        <v>37.637346600000001</v>
      </c>
      <c r="T229" s="190">
        <v>37.518616800000011</v>
      </c>
      <c r="U229" s="190">
        <v>37.399887000000014</v>
      </c>
      <c r="V229" s="190">
        <v>37.28115720000001</v>
      </c>
      <c r="W229" s="190">
        <v>37.16242740000002</v>
      </c>
      <c r="X229" s="190">
        <v>37.043697600000016</v>
      </c>
      <c r="Y229" s="190">
        <v>36.924967800000026</v>
      </c>
      <c r="Z229" s="190">
        <v>36.806238000000029</v>
      </c>
      <c r="AA229" s="190">
        <v>36.687508200000032</v>
      </c>
      <c r="AB229" s="190">
        <v>36.568778400000035</v>
      </c>
      <c r="AC229" s="190">
        <v>36.450048600000038</v>
      </c>
      <c r="AD229" s="190">
        <v>36.331318800000041</v>
      </c>
      <c r="AE229" s="190">
        <v>36.212589000000051</v>
      </c>
      <c r="AF229" s="190">
        <v>36.093859200000047</v>
      </c>
      <c r="AG229" s="190">
        <v>35.97512940000005</v>
      </c>
      <c r="AH229" s="190">
        <v>35.856399600000046</v>
      </c>
      <c r="AI229" s="190">
        <v>35.737669800000049</v>
      </c>
      <c r="AJ229" s="190">
        <v>35.618940000000045</v>
      </c>
    </row>
    <row r="230" spans="1:36" hidden="1" x14ac:dyDescent="0.35">
      <c r="A230" t="s">
        <v>1694</v>
      </c>
      <c r="B230" s="188" t="s">
        <v>1342</v>
      </c>
      <c r="C230" t="s">
        <v>1350</v>
      </c>
      <c r="D230" s="188">
        <v>30</v>
      </c>
      <c r="E230" t="s">
        <v>1500</v>
      </c>
      <c r="F230" t="s">
        <v>1691</v>
      </c>
      <c r="G230" s="189" t="s">
        <v>1692</v>
      </c>
      <c r="H230" s="190">
        <v>39.259987199999998</v>
      </c>
      <c r="I230" s="190">
        <v>39.101680799999997</v>
      </c>
      <c r="J230" s="190">
        <v>38.943374399999996</v>
      </c>
      <c r="K230" s="190">
        <v>38.785067999999995</v>
      </c>
      <c r="L230" s="190">
        <v>38.626761599999995</v>
      </c>
      <c r="M230" s="190">
        <v>38.468455199999994</v>
      </c>
      <c r="N230" s="190">
        <v>38.3101488</v>
      </c>
      <c r="O230" s="190">
        <v>38.1518424</v>
      </c>
      <c r="P230" s="190">
        <v>37.993535999999999</v>
      </c>
      <c r="Q230" s="190">
        <v>37.874806199999995</v>
      </c>
      <c r="R230" s="190">
        <v>37.756076400000005</v>
      </c>
      <c r="S230" s="190">
        <v>37.637346600000001</v>
      </c>
      <c r="T230" s="190">
        <v>37.518616800000011</v>
      </c>
      <c r="U230" s="190">
        <v>37.399887000000014</v>
      </c>
      <c r="V230" s="190">
        <v>37.28115720000001</v>
      </c>
      <c r="W230" s="190">
        <v>37.16242740000002</v>
      </c>
      <c r="X230" s="190">
        <v>37.043697600000016</v>
      </c>
      <c r="Y230" s="190">
        <v>36.924967800000026</v>
      </c>
      <c r="Z230" s="190">
        <v>36.806238000000029</v>
      </c>
      <c r="AA230" s="190">
        <v>36.687508200000032</v>
      </c>
      <c r="AB230" s="190">
        <v>36.568778400000035</v>
      </c>
      <c r="AC230" s="190">
        <v>36.450048600000038</v>
      </c>
      <c r="AD230" s="190">
        <v>36.331318800000041</v>
      </c>
      <c r="AE230" s="190">
        <v>36.212589000000051</v>
      </c>
      <c r="AF230" s="190">
        <v>36.093859200000047</v>
      </c>
      <c r="AG230" s="190">
        <v>35.97512940000005</v>
      </c>
      <c r="AH230" s="190">
        <v>35.856399600000046</v>
      </c>
      <c r="AI230" s="190">
        <v>35.737669800000049</v>
      </c>
      <c r="AJ230" s="190">
        <v>35.618940000000045</v>
      </c>
    </row>
    <row r="231" spans="1:36" hidden="1" x14ac:dyDescent="0.35">
      <c r="A231" t="s">
        <v>1695</v>
      </c>
      <c r="B231" s="188" t="s">
        <v>1342</v>
      </c>
      <c r="C231" t="s">
        <v>1343</v>
      </c>
      <c r="D231" s="188">
        <v>30</v>
      </c>
      <c r="E231" t="s">
        <v>1500</v>
      </c>
      <c r="F231" t="s">
        <v>1696</v>
      </c>
      <c r="G231" s="189" t="s">
        <v>1697</v>
      </c>
      <c r="H231" s="190">
        <v>39.259987199999998</v>
      </c>
      <c r="I231" s="190">
        <v>39.101680799999997</v>
      </c>
      <c r="J231" s="190">
        <v>38.943374399999996</v>
      </c>
      <c r="K231" s="190">
        <v>38.785067999999995</v>
      </c>
      <c r="L231" s="190">
        <v>38.626761599999995</v>
      </c>
      <c r="M231" s="190">
        <v>38.468455199999994</v>
      </c>
      <c r="N231" s="190">
        <v>38.3101488</v>
      </c>
      <c r="O231" s="190">
        <v>38.1518424</v>
      </c>
      <c r="P231" s="190">
        <v>37.993535999999999</v>
      </c>
      <c r="Q231" s="190">
        <v>37.874806199999995</v>
      </c>
      <c r="R231" s="190">
        <v>37.756076400000005</v>
      </c>
      <c r="S231" s="190">
        <v>37.637346600000001</v>
      </c>
      <c r="T231" s="190">
        <v>37.518616800000011</v>
      </c>
      <c r="U231" s="190">
        <v>37.399887000000014</v>
      </c>
      <c r="V231" s="190">
        <v>37.28115720000001</v>
      </c>
      <c r="W231" s="190">
        <v>37.16242740000002</v>
      </c>
      <c r="X231" s="190">
        <v>37.043697600000016</v>
      </c>
      <c r="Y231" s="190">
        <v>36.924967800000026</v>
      </c>
      <c r="Z231" s="190">
        <v>36.806238000000029</v>
      </c>
      <c r="AA231" s="190">
        <v>36.687508200000032</v>
      </c>
      <c r="AB231" s="190">
        <v>36.568778400000035</v>
      </c>
      <c r="AC231" s="190">
        <v>36.450048600000038</v>
      </c>
      <c r="AD231" s="190">
        <v>36.331318800000041</v>
      </c>
      <c r="AE231" s="190">
        <v>36.212589000000051</v>
      </c>
      <c r="AF231" s="190">
        <v>36.093859200000047</v>
      </c>
      <c r="AG231" s="190">
        <v>35.97512940000005</v>
      </c>
      <c r="AH231" s="190">
        <v>35.856399600000046</v>
      </c>
      <c r="AI231" s="190">
        <v>35.737669800000049</v>
      </c>
      <c r="AJ231" s="190">
        <v>35.618940000000045</v>
      </c>
    </row>
    <row r="232" spans="1:36" hidden="1" x14ac:dyDescent="0.35">
      <c r="A232" t="s">
        <v>1698</v>
      </c>
      <c r="B232" s="188" t="s">
        <v>1342</v>
      </c>
      <c r="C232" t="s">
        <v>1348</v>
      </c>
      <c r="D232" s="188">
        <v>30</v>
      </c>
      <c r="E232" t="s">
        <v>1500</v>
      </c>
      <c r="F232" t="s">
        <v>1696</v>
      </c>
      <c r="G232" s="189" t="s">
        <v>1697</v>
      </c>
      <c r="H232" s="190">
        <v>39.259987199999998</v>
      </c>
      <c r="I232" s="190">
        <v>39.101680799999997</v>
      </c>
      <c r="J232" s="190">
        <v>38.943374399999996</v>
      </c>
      <c r="K232" s="190">
        <v>38.785067999999995</v>
      </c>
      <c r="L232" s="190">
        <v>38.626761599999995</v>
      </c>
      <c r="M232" s="190">
        <v>38.468455199999994</v>
      </c>
      <c r="N232" s="190">
        <v>38.3101488</v>
      </c>
      <c r="O232" s="190">
        <v>38.1518424</v>
      </c>
      <c r="P232" s="190">
        <v>37.993535999999999</v>
      </c>
      <c r="Q232" s="190">
        <v>37.874806199999995</v>
      </c>
      <c r="R232" s="190">
        <v>37.756076400000005</v>
      </c>
      <c r="S232" s="190">
        <v>37.637346600000001</v>
      </c>
      <c r="T232" s="190">
        <v>37.518616800000011</v>
      </c>
      <c r="U232" s="190">
        <v>37.399887000000014</v>
      </c>
      <c r="V232" s="190">
        <v>37.28115720000001</v>
      </c>
      <c r="W232" s="190">
        <v>37.16242740000002</v>
      </c>
      <c r="X232" s="190">
        <v>37.043697600000016</v>
      </c>
      <c r="Y232" s="190">
        <v>36.924967800000026</v>
      </c>
      <c r="Z232" s="190">
        <v>36.806238000000029</v>
      </c>
      <c r="AA232" s="190">
        <v>36.687508200000032</v>
      </c>
      <c r="AB232" s="190">
        <v>36.568778400000035</v>
      </c>
      <c r="AC232" s="190">
        <v>36.450048600000038</v>
      </c>
      <c r="AD232" s="190">
        <v>36.331318800000041</v>
      </c>
      <c r="AE232" s="190">
        <v>36.212589000000051</v>
      </c>
      <c r="AF232" s="190">
        <v>36.093859200000047</v>
      </c>
      <c r="AG232" s="190">
        <v>35.97512940000005</v>
      </c>
      <c r="AH232" s="190">
        <v>35.856399600000046</v>
      </c>
      <c r="AI232" s="190">
        <v>35.737669800000049</v>
      </c>
      <c r="AJ232" s="190">
        <v>35.618940000000045</v>
      </c>
    </row>
    <row r="233" spans="1:36" hidden="1" x14ac:dyDescent="0.35">
      <c r="A233" t="s">
        <v>1699</v>
      </c>
      <c r="B233" s="188" t="s">
        <v>1342</v>
      </c>
      <c r="C233" t="s">
        <v>1350</v>
      </c>
      <c r="D233" s="188">
        <v>30</v>
      </c>
      <c r="E233" t="s">
        <v>1500</v>
      </c>
      <c r="F233" t="s">
        <v>1696</v>
      </c>
      <c r="G233" s="189" t="s">
        <v>1697</v>
      </c>
      <c r="H233" s="190">
        <v>39.259987199999998</v>
      </c>
      <c r="I233" s="190">
        <v>39.101680799999997</v>
      </c>
      <c r="J233" s="190">
        <v>38.943374399999996</v>
      </c>
      <c r="K233" s="190">
        <v>38.785067999999995</v>
      </c>
      <c r="L233" s="190">
        <v>38.626761599999995</v>
      </c>
      <c r="M233" s="190">
        <v>38.468455199999994</v>
      </c>
      <c r="N233" s="190">
        <v>38.3101488</v>
      </c>
      <c r="O233" s="190">
        <v>38.1518424</v>
      </c>
      <c r="P233" s="190">
        <v>37.993535999999999</v>
      </c>
      <c r="Q233" s="190">
        <v>37.874806199999995</v>
      </c>
      <c r="R233" s="190">
        <v>37.756076400000005</v>
      </c>
      <c r="S233" s="190">
        <v>37.637346600000001</v>
      </c>
      <c r="T233" s="190">
        <v>37.518616800000011</v>
      </c>
      <c r="U233" s="190">
        <v>37.399887000000014</v>
      </c>
      <c r="V233" s="190">
        <v>37.28115720000001</v>
      </c>
      <c r="W233" s="190">
        <v>37.16242740000002</v>
      </c>
      <c r="X233" s="190">
        <v>37.043697600000016</v>
      </c>
      <c r="Y233" s="190">
        <v>36.924967800000026</v>
      </c>
      <c r="Z233" s="190">
        <v>36.806238000000029</v>
      </c>
      <c r="AA233" s="190">
        <v>36.687508200000032</v>
      </c>
      <c r="AB233" s="190">
        <v>36.568778400000035</v>
      </c>
      <c r="AC233" s="190">
        <v>36.450048600000038</v>
      </c>
      <c r="AD233" s="190">
        <v>36.331318800000041</v>
      </c>
      <c r="AE233" s="190">
        <v>36.212589000000051</v>
      </c>
      <c r="AF233" s="190">
        <v>36.093859200000047</v>
      </c>
      <c r="AG233" s="190">
        <v>35.97512940000005</v>
      </c>
      <c r="AH233" s="190">
        <v>35.856399600000046</v>
      </c>
      <c r="AI233" s="190">
        <v>35.737669800000049</v>
      </c>
      <c r="AJ233" s="190">
        <v>35.618940000000045</v>
      </c>
    </row>
    <row r="234" spans="1:36" hidden="1" x14ac:dyDescent="0.35">
      <c r="A234" t="s">
        <v>1700</v>
      </c>
      <c r="B234" s="188" t="s">
        <v>1342</v>
      </c>
      <c r="C234" t="s">
        <v>1343</v>
      </c>
      <c r="D234" s="188">
        <v>30</v>
      </c>
      <c r="E234" t="s">
        <v>1701</v>
      </c>
      <c r="F234" t="s">
        <v>1363</v>
      </c>
      <c r="G234" s="188" t="s">
        <v>1702</v>
      </c>
      <c r="H234" s="188">
        <v>20.583832601636189</v>
      </c>
      <c r="I234" s="188">
        <v>18.810681947891432</v>
      </c>
      <c r="J234" s="188">
        <v>18.170128768105009</v>
      </c>
      <c r="K234" s="188">
        <v>17.529575588318586</v>
      </c>
      <c r="L234" s="188">
        <v>16.889022408532167</v>
      </c>
      <c r="M234" s="188">
        <v>16.248469228745744</v>
      </c>
      <c r="N234" s="188">
        <v>15.607916048959321</v>
      </c>
      <c r="O234" s="188">
        <v>14.967362869172899</v>
      </c>
      <c r="P234" s="188">
        <v>14.326809689386476</v>
      </c>
      <c r="Q234" s="188">
        <v>13.686256509600053</v>
      </c>
      <c r="R234" s="188">
        <v>13.045703329813634</v>
      </c>
      <c r="S234" s="188">
        <v>12.405150150027211</v>
      </c>
      <c r="T234" s="188">
        <v>11.764596970240788</v>
      </c>
      <c r="U234" s="188">
        <v>11.124043790454357</v>
      </c>
      <c r="V234" s="188">
        <v>11.037156068383243</v>
      </c>
      <c r="W234" s="188">
        <v>10.950268346312132</v>
      </c>
      <c r="X234" s="188">
        <v>10.863380624241021</v>
      </c>
      <c r="Y234" s="188">
        <v>10.77649290216991</v>
      </c>
      <c r="Z234" s="188">
        <v>10.689605180098798</v>
      </c>
      <c r="AA234" s="188">
        <v>10.602717458027687</v>
      </c>
      <c r="AB234" s="188">
        <v>10.515829735956574</v>
      </c>
      <c r="AC234" s="188">
        <v>10.428942013885461</v>
      </c>
      <c r="AD234" s="188">
        <v>10.342054291814351</v>
      </c>
      <c r="AE234" s="188">
        <v>10.255166569743238</v>
      </c>
      <c r="AF234" s="188">
        <v>10.168278847672127</v>
      </c>
      <c r="AG234" s="188">
        <v>10.081391125601016</v>
      </c>
      <c r="AH234" s="188">
        <v>9.9945034035299045</v>
      </c>
      <c r="AI234" s="188">
        <v>9.9076156814587932</v>
      </c>
      <c r="AJ234" s="188">
        <v>9.8207279593876837</v>
      </c>
    </row>
    <row r="235" spans="1:36" hidden="1" x14ac:dyDescent="0.35">
      <c r="A235" t="s">
        <v>1703</v>
      </c>
      <c r="B235" s="188" t="s">
        <v>1342</v>
      </c>
      <c r="C235" t="s">
        <v>1348</v>
      </c>
      <c r="D235" s="188">
        <v>30</v>
      </c>
      <c r="E235" t="s">
        <v>1701</v>
      </c>
      <c r="F235" t="s">
        <v>1363</v>
      </c>
      <c r="G235" s="188" t="s">
        <v>1702</v>
      </c>
      <c r="H235" s="188">
        <v>20.583832601636189</v>
      </c>
      <c r="I235" s="188">
        <v>18.810681947891432</v>
      </c>
      <c r="J235" s="188">
        <v>18.387009127244639</v>
      </c>
      <c r="K235" s="188">
        <v>17.963336306597849</v>
      </c>
      <c r="L235" s="188">
        <v>17.539663485951056</v>
      </c>
      <c r="M235" s="188">
        <v>17.115990665304263</v>
      </c>
      <c r="N235" s="188">
        <v>16.692317844657474</v>
      </c>
      <c r="O235" s="188">
        <v>16.268645024010681</v>
      </c>
      <c r="P235" s="188">
        <v>15.844972203363888</v>
      </c>
      <c r="Q235" s="188">
        <v>15.421299382717098</v>
      </c>
      <c r="R235" s="188">
        <v>14.997626562070305</v>
      </c>
      <c r="S235" s="188">
        <v>14.573953741423516</v>
      </c>
      <c r="T235" s="188">
        <v>14.150280920776723</v>
      </c>
      <c r="U235" s="188">
        <v>13.726608100129923</v>
      </c>
      <c r="V235" s="188">
        <v>13.553103812818218</v>
      </c>
      <c r="W235" s="188">
        <v>13.379599525506514</v>
      </c>
      <c r="X235" s="188">
        <v>13.206095238194813</v>
      </c>
      <c r="Y235" s="188">
        <v>13.032590950883108</v>
      </c>
      <c r="Z235" s="188">
        <v>12.859086663571404</v>
      </c>
      <c r="AA235" s="188">
        <v>12.685582376259699</v>
      </c>
      <c r="AB235" s="188">
        <v>12.512078088947998</v>
      </c>
      <c r="AC235" s="188">
        <v>12.338573801636294</v>
      </c>
      <c r="AD235" s="188">
        <v>12.165069514324589</v>
      </c>
      <c r="AE235" s="188">
        <v>11.991565227012885</v>
      </c>
      <c r="AF235" s="188">
        <v>11.81806093970118</v>
      </c>
      <c r="AG235" s="188">
        <v>11.644556652389475</v>
      </c>
      <c r="AH235" s="188">
        <v>11.471052365077771</v>
      </c>
      <c r="AI235" s="188">
        <v>11.297548077766066</v>
      </c>
      <c r="AJ235" s="188">
        <v>11.124043790454357</v>
      </c>
    </row>
    <row r="236" spans="1:36" hidden="1" x14ac:dyDescent="0.35">
      <c r="A236" t="s">
        <v>1704</v>
      </c>
      <c r="B236" s="188" t="s">
        <v>1342</v>
      </c>
      <c r="C236" t="s">
        <v>1350</v>
      </c>
      <c r="D236" s="188">
        <v>30</v>
      </c>
      <c r="E236" t="s">
        <v>1701</v>
      </c>
      <c r="F236" t="s">
        <v>1363</v>
      </c>
      <c r="G236" s="188" t="s">
        <v>1702</v>
      </c>
      <c r="H236" s="188">
        <v>20.583832601636189</v>
      </c>
      <c r="I236" s="188">
        <v>18.810681947891432</v>
      </c>
      <c r="J236" s="188">
        <v>18.697334652293776</v>
      </c>
      <c r="K236" s="188">
        <v>18.58398735669612</v>
      </c>
      <c r="L236" s="188">
        <v>18.470640061098464</v>
      </c>
      <c r="M236" s="188">
        <v>18.357292765500809</v>
      </c>
      <c r="N236" s="188">
        <v>18.243945469903153</v>
      </c>
      <c r="O236" s="188">
        <v>18.130598174305501</v>
      </c>
      <c r="P236" s="188">
        <v>18.017250878707845</v>
      </c>
      <c r="Q236" s="188">
        <v>17.903903583110189</v>
      </c>
      <c r="R236" s="188">
        <v>17.790556287512533</v>
      </c>
      <c r="S236" s="188">
        <v>17.677208991914878</v>
      </c>
      <c r="T236" s="188">
        <v>17.563861696317222</v>
      </c>
      <c r="U236" s="188">
        <v>17.45051440071957</v>
      </c>
      <c r="V236" s="188">
        <v>17.202253980680258</v>
      </c>
      <c r="W236" s="188">
        <v>16.953993560640949</v>
      </c>
      <c r="X236" s="188">
        <v>16.705733140601637</v>
      </c>
      <c r="Y236" s="188">
        <v>16.457472720562329</v>
      </c>
      <c r="Z236" s="188">
        <v>16.209212300523021</v>
      </c>
      <c r="AA236" s="188">
        <v>15.960951880483709</v>
      </c>
      <c r="AB236" s="188">
        <v>15.7126914604444</v>
      </c>
      <c r="AC236" s="188">
        <v>15.464431040405092</v>
      </c>
      <c r="AD236" s="188">
        <v>15.216170620365784</v>
      </c>
      <c r="AE236" s="188">
        <v>14.967910200326472</v>
      </c>
      <c r="AF236" s="188">
        <v>14.719649780287163</v>
      </c>
      <c r="AG236" s="188">
        <v>14.471389360247855</v>
      </c>
      <c r="AH236" s="188">
        <v>14.223128940208543</v>
      </c>
      <c r="AI236" s="188">
        <v>13.974868520169235</v>
      </c>
      <c r="AJ236" s="188">
        <v>13.726608100129923</v>
      </c>
    </row>
    <row r="237" spans="1:36" hidden="1" x14ac:dyDescent="0.35">
      <c r="A237" t="s">
        <v>1705</v>
      </c>
      <c r="B237" s="188" t="s">
        <v>1342</v>
      </c>
      <c r="C237" t="s">
        <v>1343</v>
      </c>
      <c r="D237" s="188">
        <v>30</v>
      </c>
      <c r="E237" t="s">
        <v>1701</v>
      </c>
      <c r="F237" t="s">
        <v>1345</v>
      </c>
      <c r="G237" s="188" t="s">
        <v>1706</v>
      </c>
      <c r="H237" s="188">
        <v>20.583832601636189</v>
      </c>
      <c r="I237" s="188">
        <v>18.810681947891432</v>
      </c>
      <c r="J237" s="188">
        <v>18.170128768105009</v>
      </c>
      <c r="K237" s="188">
        <v>17.529575588318586</v>
      </c>
      <c r="L237" s="188">
        <v>16.889022408532167</v>
      </c>
      <c r="M237" s="188">
        <v>16.248469228745744</v>
      </c>
      <c r="N237" s="188">
        <v>15.607916048959321</v>
      </c>
      <c r="O237" s="188">
        <v>14.967362869172899</v>
      </c>
      <c r="P237" s="188">
        <v>14.326809689386476</v>
      </c>
      <c r="Q237" s="188">
        <v>13.686256509600053</v>
      </c>
      <c r="R237" s="188">
        <v>13.045703329813634</v>
      </c>
      <c r="S237" s="188">
        <v>12.405150150027211</v>
      </c>
      <c r="T237" s="188">
        <v>11.764596970240788</v>
      </c>
      <c r="U237" s="188">
        <v>11.124043790454357</v>
      </c>
      <c r="V237" s="188">
        <v>11.037156068383243</v>
      </c>
      <c r="W237" s="188">
        <v>10.950268346312132</v>
      </c>
      <c r="X237" s="188">
        <v>10.863380624241021</v>
      </c>
      <c r="Y237" s="188">
        <v>10.77649290216991</v>
      </c>
      <c r="Z237" s="188">
        <v>10.689605180098798</v>
      </c>
      <c r="AA237" s="188">
        <v>10.602717458027687</v>
      </c>
      <c r="AB237" s="188">
        <v>10.515829735956574</v>
      </c>
      <c r="AC237" s="188">
        <v>10.428942013885461</v>
      </c>
      <c r="AD237" s="188">
        <v>10.342054291814351</v>
      </c>
      <c r="AE237" s="188">
        <v>10.255166569743238</v>
      </c>
      <c r="AF237" s="188">
        <v>10.168278847672127</v>
      </c>
      <c r="AG237" s="188">
        <v>10.081391125601016</v>
      </c>
      <c r="AH237" s="188">
        <v>9.9945034035299045</v>
      </c>
      <c r="AI237" s="188">
        <v>9.9076156814587932</v>
      </c>
      <c r="AJ237" s="188">
        <v>9.8207279593876837</v>
      </c>
    </row>
    <row r="238" spans="1:36" hidden="1" x14ac:dyDescent="0.35">
      <c r="A238" t="s">
        <v>1707</v>
      </c>
      <c r="B238" s="188" t="s">
        <v>1342</v>
      </c>
      <c r="C238" t="s">
        <v>1348</v>
      </c>
      <c r="D238" s="188">
        <v>30</v>
      </c>
      <c r="E238" t="s">
        <v>1701</v>
      </c>
      <c r="F238" t="s">
        <v>1345</v>
      </c>
      <c r="G238" s="188" t="s">
        <v>1706</v>
      </c>
      <c r="H238" s="188">
        <v>20.583832601636189</v>
      </c>
      <c r="I238" s="188">
        <v>18.810681947891432</v>
      </c>
      <c r="J238" s="188">
        <v>18.387009127244639</v>
      </c>
      <c r="K238" s="188">
        <v>17.963336306597849</v>
      </c>
      <c r="L238" s="188">
        <v>17.539663485951056</v>
      </c>
      <c r="M238" s="188">
        <v>17.115990665304263</v>
      </c>
      <c r="N238" s="188">
        <v>16.692317844657474</v>
      </c>
      <c r="O238" s="188">
        <v>16.268645024010681</v>
      </c>
      <c r="P238" s="188">
        <v>15.844972203363888</v>
      </c>
      <c r="Q238" s="188">
        <v>15.421299382717098</v>
      </c>
      <c r="R238" s="188">
        <v>14.997626562070305</v>
      </c>
      <c r="S238" s="188">
        <v>14.573953741423516</v>
      </c>
      <c r="T238" s="188">
        <v>14.150280920776723</v>
      </c>
      <c r="U238" s="188">
        <v>13.726608100129923</v>
      </c>
      <c r="V238" s="188">
        <v>13.553103812818218</v>
      </c>
      <c r="W238" s="188">
        <v>13.379599525506514</v>
      </c>
      <c r="X238" s="188">
        <v>13.206095238194813</v>
      </c>
      <c r="Y238" s="188">
        <v>13.032590950883108</v>
      </c>
      <c r="Z238" s="188">
        <v>12.859086663571404</v>
      </c>
      <c r="AA238" s="188">
        <v>12.685582376259699</v>
      </c>
      <c r="AB238" s="188">
        <v>12.512078088947998</v>
      </c>
      <c r="AC238" s="188">
        <v>12.338573801636294</v>
      </c>
      <c r="AD238" s="188">
        <v>12.165069514324589</v>
      </c>
      <c r="AE238" s="188">
        <v>11.991565227012885</v>
      </c>
      <c r="AF238" s="188">
        <v>11.81806093970118</v>
      </c>
      <c r="AG238" s="188">
        <v>11.644556652389475</v>
      </c>
      <c r="AH238" s="188">
        <v>11.471052365077771</v>
      </c>
      <c r="AI238" s="188">
        <v>11.297548077766066</v>
      </c>
      <c r="AJ238" s="188">
        <v>11.124043790454357</v>
      </c>
    </row>
    <row r="239" spans="1:36" hidden="1" x14ac:dyDescent="0.35">
      <c r="A239" t="s">
        <v>1708</v>
      </c>
      <c r="B239" s="188" t="s">
        <v>1342</v>
      </c>
      <c r="C239" t="s">
        <v>1350</v>
      </c>
      <c r="D239" s="188">
        <v>30</v>
      </c>
      <c r="E239" t="s">
        <v>1701</v>
      </c>
      <c r="F239" t="s">
        <v>1345</v>
      </c>
      <c r="G239" s="188" t="s">
        <v>1706</v>
      </c>
      <c r="H239" s="188">
        <v>20.583832601636189</v>
      </c>
      <c r="I239" s="188">
        <v>18.810681947891432</v>
      </c>
      <c r="J239" s="188">
        <v>18.697334652293776</v>
      </c>
      <c r="K239" s="188">
        <v>18.58398735669612</v>
      </c>
      <c r="L239" s="188">
        <v>18.470640061098464</v>
      </c>
      <c r="M239" s="188">
        <v>18.357292765500809</v>
      </c>
      <c r="N239" s="188">
        <v>18.243945469903153</v>
      </c>
      <c r="O239" s="188">
        <v>18.130598174305501</v>
      </c>
      <c r="P239" s="188">
        <v>18.017250878707845</v>
      </c>
      <c r="Q239" s="188">
        <v>17.903903583110189</v>
      </c>
      <c r="R239" s="188">
        <v>17.790556287512533</v>
      </c>
      <c r="S239" s="188">
        <v>17.677208991914878</v>
      </c>
      <c r="T239" s="188">
        <v>17.563861696317222</v>
      </c>
      <c r="U239" s="188">
        <v>17.45051440071957</v>
      </c>
      <c r="V239" s="188">
        <v>17.202253980680258</v>
      </c>
      <c r="W239" s="188">
        <v>16.953993560640949</v>
      </c>
      <c r="X239" s="188">
        <v>16.705733140601637</v>
      </c>
      <c r="Y239" s="188">
        <v>16.457472720562329</v>
      </c>
      <c r="Z239" s="188">
        <v>16.209212300523021</v>
      </c>
      <c r="AA239" s="188">
        <v>15.960951880483709</v>
      </c>
      <c r="AB239" s="188">
        <v>15.7126914604444</v>
      </c>
      <c r="AC239" s="188">
        <v>15.464431040405092</v>
      </c>
      <c r="AD239" s="188">
        <v>15.216170620365784</v>
      </c>
      <c r="AE239" s="188">
        <v>14.967910200326472</v>
      </c>
      <c r="AF239" s="188">
        <v>14.719649780287163</v>
      </c>
      <c r="AG239" s="188">
        <v>14.471389360247855</v>
      </c>
      <c r="AH239" s="188">
        <v>14.223128940208543</v>
      </c>
      <c r="AI239" s="188">
        <v>13.974868520169235</v>
      </c>
      <c r="AJ239" s="188">
        <v>13.726608100129923</v>
      </c>
    </row>
    <row r="240" spans="1:36" hidden="1" x14ac:dyDescent="0.35">
      <c r="A240" t="s">
        <v>1709</v>
      </c>
      <c r="B240" s="188" t="s">
        <v>1342</v>
      </c>
      <c r="C240" t="s">
        <v>1343</v>
      </c>
      <c r="D240" s="188">
        <v>30</v>
      </c>
      <c r="E240" t="s">
        <v>1701</v>
      </c>
      <c r="F240" t="s">
        <v>1352</v>
      </c>
      <c r="G240" s="188" t="s">
        <v>1710</v>
      </c>
      <c r="H240" s="188">
        <v>20.583832601636189</v>
      </c>
      <c r="I240" s="188">
        <v>18.810681947891432</v>
      </c>
      <c r="J240" s="188">
        <v>18.170128768105009</v>
      </c>
      <c r="K240" s="188">
        <v>17.529575588318586</v>
      </c>
      <c r="L240" s="188">
        <v>16.889022408532167</v>
      </c>
      <c r="M240" s="188">
        <v>16.248469228745744</v>
      </c>
      <c r="N240" s="188">
        <v>15.607916048959321</v>
      </c>
      <c r="O240" s="188">
        <v>14.967362869172899</v>
      </c>
      <c r="P240" s="188">
        <v>14.326809689386476</v>
      </c>
      <c r="Q240" s="188">
        <v>13.686256509600053</v>
      </c>
      <c r="R240" s="188">
        <v>13.045703329813634</v>
      </c>
      <c r="S240" s="188">
        <v>12.405150150027211</v>
      </c>
      <c r="T240" s="188">
        <v>11.764596970240788</v>
      </c>
      <c r="U240" s="188">
        <v>11.124043790454357</v>
      </c>
      <c r="V240" s="188">
        <v>11.037156068383243</v>
      </c>
      <c r="W240" s="188">
        <v>10.950268346312132</v>
      </c>
      <c r="X240" s="188">
        <v>10.863380624241021</v>
      </c>
      <c r="Y240" s="188">
        <v>10.77649290216991</v>
      </c>
      <c r="Z240" s="188">
        <v>10.689605180098798</v>
      </c>
      <c r="AA240" s="188">
        <v>10.602717458027687</v>
      </c>
      <c r="AB240" s="188">
        <v>10.515829735956574</v>
      </c>
      <c r="AC240" s="188">
        <v>10.428942013885461</v>
      </c>
      <c r="AD240" s="188">
        <v>10.342054291814351</v>
      </c>
      <c r="AE240" s="188">
        <v>10.255166569743238</v>
      </c>
      <c r="AF240" s="188">
        <v>10.168278847672127</v>
      </c>
      <c r="AG240" s="188">
        <v>10.081391125601016</v>
      </c>
      <c r="AH240" s="188">
        <v>9.9945034035299045</v>
      </c>
      <c r="AI240" s="188">
        <v>9.9076156814587932</v>
      </c>
      <c r="AJ240" s="188">
        <v>9.8207279593876837</v>
      </c>
    </row>
    <row r="241" spans="1:36" hidden="1" x14ac:dyDescent="0.35">
      <c r="A241" t="s">
        <v>1711</v>
      </c>
      <c r="B241" s="188" t="s">
        <v>1342</v>
      </c>
      <c r="C241" t="s">
        <v>1348</v>
      </c>
      <c r="D241" s="188">
        <v>30</v>
      </c>
      <c r="E241" t="s">
        <v>1701</v>
      </c>
      <c r="F241" t="s">
        <v>1352</v>
      </c>
      <c r="G241" s="188" t="s">
        <v>1710</v>
      </c>
      <c r="H241" s="188">
        <v>20.583832601636189</v>
      </c>
      <c r="I241" s="188">
        <v>18.810681947891432</v>
      </c>
      <c r="J241" s="188">
        <v>18.387009127244639</v>
      </c>
      <c r="K241" s="188">
        <v>17.963336306597849</v>
      </c>
      <c r="L241" s="188">
        <v>17.539663485951056</v>
      </c>
      <c r="M241" s="188">
        <v>17.115990665304263</v>
      </c>
      <c r="N241" s="188">
        <v>16.692317844657474</v>
      </c>
      <c r="O241" s="188">
        <v>16.268645024010681</v>
      </c>
      <c r="P241" s="188">
        <v>15.844972203363888</v>
      </c>
      <c r="Q241" s="188">
        <v>15.421299382717098</v>
      </c>
      <c r="R241" s="188">
        <v>14.997626562070305</v>
      </c>
      <c r="S241" s="188">
        <v>14.573953741423516</v>
      </c>
      <c r="T241" s="188">
        <v>14.150280920776723</v>
      </c>
      <c r="U241" s="188">
        <v>13.726608100129923</v>
      </c>
      <c r="V241" s="188">
        <v>13.553103812818218</v>
      </c>
      <c r="W241" s="188">
        <v>13.379599525506514</v>
      </c>
      <c r="X241" s="188">
        <v>13.206095238194813</v>
      </c>
      <c r="Y241" s="188">
        <v>13.032590950883108</v>
      </c>
      <c r="Z241" s="188">
        <v>12.859086663571404</v>
      </c>
      <c r="AA241" s="188">
        <v>12.685582376259699</v>
      </c>
      <c r="AB241" s="188">
        <v>12.512078088947998</v>
      </c>
      <c r="AC241" s="188">
        <v>12.338573801636294</v>
      </c>
      <c r="AD241" s="188">
        <v>12.165069514324589</v>
      </c>
      <c r="AE241" s="188">
        <v>11.991565227012885</v>
      </c>
      <c r="AF241" s="188">
        <v>11.81806093970118</v>
      </c>
      <c r="AG241" s="188">
        <v>11.644556652389475</v>
      </c>
      <c r="AH241" s="188">
        <v>11.471052365077771</v>
      </c>
      <c r="AI241" s="188">
        <v>11.297548077766066</v>
      </c>
      <c r="AJ241" s="188">
        <v>11.124043790454357</v>
      </c>
    </row>
    <row r="242" spans="1:36" hidden="1" x14ac:dyDescent="0.35">
      <c r="A242" t="s">
        <v>1712</v>
      </c>
      <c r="B242" s="188" t="s">
        <v>1342</v>
      </c>
      <c r="C242" t="s">
        <v>1350</v>
      </c>
      <c r="D242" s="188">
        <v>30</v>
      </c>
      <c r="E242" t="s">
        <v>1701</v>
      </c>
      <c r="F242" t="s">
        <v>1352</v>
      </c>
      <c r="G242" s="188" t="s">
        <v>1710</v>
      </c>
      <c r="H242" s="188">
        <v>20.583832601636189</v>
      </c>
      <c r="I242" s="188">
        <v>18.810681947891432</v>
      </c>
      <c r="J242" s="188">
        <v>18.697334652293776</v>
      </c>
      <c r="K242" s="188">
        <v>18.58398735669612</v>
      </c>
      <c r="L242" s="188">
        <v>18.470640061098464</v>
      </c>
      <c r="M242" s="188">
        <v>18.357292765500809</v>
      </c>
      <c r="N242" s="188">
        <v>18.243945469903153</v>
      </c>
      <c r="O242" s="188">
        <v>18.130598174305501</v>
      </c>
      <c r="P242" s="188">
        <v>18.017250878707845</v>
      </c>
      <c r="Q242" s="188">
        <v>17.903903583110189</v>
      </c>
      <c r="R242" s="188">
        <v>17.790556287512533</v>
      </c>
      <c r="S242" s="188">
        <v>17.677208991914878</v>
      </c>
      <c r="T242" s="188">
        <v>17.563861696317222</v>
      </c>
      <c r="U242" s="188">
        <v>17.45051440071957</v>
      </c>
      <c r="V242" s="188">
        <v>17.202253980680258</v>
      </c>
      <c r="W242" s="188">
        <v>16.953993560640949</v>
      </c>
      <c r="X242" s="188">
        <v>16.705733140601637</v>
      </c>
      <c r="Y242" s="188">
        <v>16.457472720562329</v>
      </c>
      <c r="Z242" s="188">
        <v>16.209212300523021</v>
      </c>
      <c r="AA242" s="188">
        <v>15.960951880483709</v>
      </c>
      <c r="AB242" s="188">
        <v>15.7126914604444</v>
      </c>
      <c r="AC242" s="188">
        <v>15.464431040405092</v>
      </c>
      <c r="AD242" s="188">
        <v>15.216170620365784</v>
      </c>
      <c r="AE242" s="188">
        <v>14.967910200326472</v>
      </c>
      <c r="AF242" s="188">
        <v>14.719649780287163</v>
      </c>
      <c r="AG242" s="188">
        <v>14.471389360247855</v>
      </c>
      <c r="AH242" s="188">
        <v>14.223128940208543</v>
      </c>
      <c r="AI242" s="188">
        <v>13.974868520169235</v>
      </c>
      <c r="AJ242" s="188">
        <v>13.726608100129923</v>
      </c>
    </row>
    <row r="243" spans="1:36" hidden="1" x14ac:dyDescent="0.35">
      <c r="A243" t="s">
        <v>1713</v>
      </c>
      <c r="B243" s="188" t="s">
        <v>1342</v>
      </c>
      <c r="C243" t="s">
        <v>1343</v>
      </c>
      <c r="D243" s="188">
        <v>30</v>
      </c>
      <c r="E243" t="s">
        <v>1701</v>
      </c>
      <c r="F243" t="s">
        <v>1376</v>
      </c>
      <c r="G243" s="188" t="s">
        <v>1714</v>
      </c>
      <c r="H243" s="188">
        <v>20.583832601636189</v>
      </c>
      <c r="I243" s="188">
        <v>18.810681947891432</v>
      </c>
      <c r="J243" s="188">
        <v>18.170128768105009</v>
      </c>
      <c r="K243" s="188">
        <v>17.529575588318586</v>
      </c>
      <c r="L243" s="188">
        <v>16.889022408532167</v>
      </c>
      <c r="M243" s="188">
        <v>16.248469228745744</v>
      </c>
      <c r="N243" s="188">
        <v>15.607916048959321</v>
      </c>
      <c r="O243" s="188">
        <v>14.967362869172899</v>
      </c>
      <c r="P243" s="188">
        <v>14.326809689386476</v>
      </c>
      <c r="Q243" s="188">
        <v>13.686256509600053</v>
      </c>
      <c r="R243" s="188">
        <v>13.045703329813634</v>
      </c>
      <c r="S243" s="188">
        <v>12.405150150027211</v>
      </c>
      <c r="T243" s="188">
        <v>11.764596970240788</v>
      </c>
      <c r="U243" s="188">
        <v>11.124043790454357</v>
      </c>
      <c r="V243" s="188">
        <v>11.037156068383243</v>
      </c>
      <c r="W243" s="188">
        <v>10.950268346312132</v>
      </c>
      <c r="X243" s="188">
        <v>10.863380624241021</v>
      </c>
      <c r="Y243" s="188">
        <v>10.77649290216991</v>
      </c>
      <c r="Z243" s="188">
        <v>10.689605180098798</v>
      </c>
      <c r="AA243" s="188">
        <v>10.602717458027687</v>
      </c>
      <c r="AB243" s="188">
        <v>10.515829735956574</v>
      </c>
      <c r="AC243" s="188">
        <v>10.428942013885461</v>
      </c>
      <c r="AD243" s="188">
        <v>10.342054291814351</v>
      </c>
      <c r="AE243" s="188">
        <v>10.255166569743238</v>
      </c>
      <c r="AF243" s="188">
        <v>10.168278847672127</v>
      </c>
      <c r="AG243" s="188">
        <v>10.081391125601016</v>
      </c>
      <c r="AH243" s="188">
        <v>9.9945034035299045</v>
      </c>
      <c r="AI243" s="188">
        <v>9.9076156814587932</v>
      </c>
      <c r="AJ243" s="188">
        <v>9.8207279593876837</v>
      </c>
    </row>
    <row r="244" spans="1:36" hidden="1" x14ac:dyDescent="0.35">
      <c r="A244" t="s">
        <v>1715</v>
      </c>
      <c r="B244" s="188" t="s">
        <v>1342</v>
      </c>
      <c r="C244" t="s">
        <v>1348</v>
      </c>
      <c r="D244" s="188">
        <v>30</v>
      </c>
      <c r="E244" t="s">
        <v>1701</v>
      </c>
      <c r="F244" t="s">
        <v>1376</v>
      </c>
      <c r="G244" s="188" t="s">
        <v>1714</v>
      </c>
      <c r="H244" s="188">
        <v>20.583832601636189</v>
      </c>
      <c r="I244" s="188">
        <v>18.810681947891432</v>
      </c>
      <c r="J244" s="188">
        <v>18.387009127244639</v>
      </c>
      <c r="K244" s="188">
        <v>17.963336306597849</v>
      </c>
      <c r="L244" s="188">
        <v>17.539663485951056</v>
      </c>
      <c r="M244" s="188">
        <v>17.115990665304263</v>
      </c>
      <c r="N244" s="188">
        <v>16.692317844657474</v>
      </c>
      <c r="O244" s="188">
        <v>16.268645024010681</v>
      </c>
      <c r="P244" s="188">
        <v>15.844972203363888</v>
      </c>
      <c r="Q244" s="188">
        <v>15.421299382717098</v>
      </c>
      <c r="R244" s="188">
        <v>14.997626562070305</v>
      </c>
      <c r="S244" s="188">
        <v>14.573953741423516</v>
      </c>
      <c r="T244" s="188">
        <v>14.150280920776723</v>
      </c>
      <c r="U244" s="188">
        <v>13.726608100129923</v>
      </c>
      <c r="V244" s="188">
        <v>13.553103812818218</v>
      </c>
      <c r="W244" s="188">
        <v>13.379599525506514</v>
      </c>
      <c r="X244" s="188">
        <v>13.206095238194813</v>
      </c>
      <c r="Y244" s="188">
        <v>13.032590950883108</v>
      </c>
      <c r="Z244" s="188">
        <v>12.859086663571404</v>
      </c>
      <c r="AA244" s="188">
        <v>12.685582376259699</v>
      </c>
      <c r="AB244" s="188">
        <v>12.512078088947998</v>
      </c>
      <c r="AC244" s="188">
        <v>12.338573801636294</v>
      </c>
      <c r="AD244" s="188">
        <v>12.165069514324589</v>
      </c>
      <c r="AE244" s="188">
        <v>11.991565227012885</v>
      </c>
      <c r="AF244" s="188">
        <v>11.81806093970118</v>
      </c>
      <c r="AG244" s="188">
        <v>11.644556652389475</v>
      </c>
      <c r="AH244" s="188">
        <v>11.471052365077771</v>
      </c>
      <c r="AI244" s="188">
        <v>11.297548077766066</v>
      </c>
      <c r="AJ244" s="188">
        <v>11.124043790454357</v>
      </c>
    </row>
    <row r="245" spans="1:36" hidden="1" x14ac:dyDescent="0.35">
      <c r="A245" t="s">
        <v>1716</v>
      </c>
      <c r="B245" s="188" t="s">
        <v>1342</v>
      </c>
      <c r="C245" t="s">
        <v>1350</v>
      </c>
      <c r="D245" s="188">
        <v>30</v>
      </c>
      <c r="E245" t="s">
        <v>1701</v>
      </c>
      <c r="F245" t="s">
        <v>1376</v>
      </c>
      <c r="G245" s="188" t="s">
        <v>1714</v>
      </c>
      <c r="H245" s="188">
        <v>20.583832601636189</v>
      </c>
      <c r="I245" s="188">
        <v>18.810681947891432</v>
      </c>
      <c r="J245" s="188">
        <v>18.697334652293776</v>
      </c>
      <c r="K245" s="188">
        <v>18.58398735669612</v>
      </c>
      <c r="L245" s="188">
        <v>18.470640061098464</v>
      </c>
      <c r="M245" s="188">
        <v>18.357292765500809</v>
      </c>
      <c r="N245" s="188">
        <v>18.243945469903153</v>
      </c>
      <c r="O245" s="188">
        <v>18.130598174305501</v>
      </c>
      <c r="P245" s="188">
        <v>18.017250878707845</v>
      </c>
      <c r="Q245" s="188">
        <v>17.903903583110189</v>
      </c>
      <c r="R245" s="188">
        <v>17.790556287512533</v>
      </c>
      <c r="S245" s="188">
        <v>17.677208991914878</v>
      </c>
      <c r="T245" s="188">
        <v>17.563861696317222</v>
      </c>
      <c r="U245" s="188">
        <v>17.45051440071957</v>
      </c>
      <c r="V245" s="188">
        <v>17.202253980680258</v>
      </c>
      <c r="W245" s="188">
        <v>16.953993560640949</v>
      </c>
      <c r="X245" s="188">
        <v>16.705733140601637</v>
      </c>
      <c r="Y245" s="188">
        <v>16.457472720562329</v>
      </c>
      <c r="Z245" s="188">
        <v>16.209212300523021</v>
      </c>
      <c r="AA245" s="188">
        <v>15.960951880483709</v>
      </c>
      <c r="AB245" s="188">
        <v>15.7126914604444</v>
      </c>
      <c r="AC245" s="188">
        <v>15.464431040405092</v>
      </c>
      <c r="AD245" s="188">
        <v>15.216170620365784</v>
      </c>
      <c r="AE245" s="188">
        <v>14.967910200326472</v>
      </c>
      <c r="AF245" s="188">
        <v>14.719649780287163</v>
      </c>
      <c r="AG245" s="188">
        <v>14.471389360247855</v>
      </c>
      <c r="AH245" s="188">
        <v>14.223128940208543</v>
      </c>
      <c r="AI245" s="188">
        <v>13.974868520169235</v>
      </c>
      <c r="AJ245" s="188">
        <v>13.726608100129923</v>
      </c>
    </row>
    <row r="246" spans="1:36" hidden="1" x14ac:dyDescent="0.35">
      <c r="A246" t="s">
        <v>1717</v>
      </c>
      <c r="B246" s="188" t="s">
        <v>1342</v>
      </c>
      <c r="C246" t="s">
        <v>1343</v>
      </c>
      <c r="D246" s="188">
        <v>30</v>
      </c>
      <c r="E246" t="s">
        <v>1701</v>
      </c>
      <c r="F246" t="s">
        <v>1381</v>
      </c>
      <c r="G246" s="188" t="s">
        <v>1718</v>
      </c>
      <c r="H246" s="188">
        <v>20.583832601636189</v>
      </c>
      <c r="I246" s="188">
        <v>18.810681947891432</v>
      </c>
      <c r="J246" s="188">
        <v>18.170128768105009</v>
      </c>
      <c r="K246" s="188">
        <v>17.529575588318586</v>
      </c>
      <c r="L246" s="188">
        <v>16.889022408532167</v>
      </c>
      <c r="M246" s="188">
        <v>16.248469228745744</v>
      </c>
      <c r="N246" s="188">
        <v>15.607916048959321</v>
      </c>
      <c r="O246" s="188">
        <v>14.967362869172899</v>
      </c>
      <c r="P246" s="188">
        <v>14.326809689386476</v>
      </c>
      <c r="Q246" s="188">
        <v>13.686256509600053</v>
      </c>
      <c r="R246" s="188">
        <v>13.045703329813634</v>
      </c>
      <c r="S246" s="188">
        <v>12.405150150027211</v>
      </c>
      <c r="T246" s="188">
        <v>11.764596970240788</v>
      </c>
      <c r="U246" s="188">
        <v>11.124043790454357</v>
      </c>
      <c r="V246" s="188">
        <v>11.037156068383243</v>
      </c>
      <c r="W246" s="188">
        <v>10.950268346312132</v>
      </c>
      <c r="X246" s="188">
        <v>10.863380624241021</v>
      </c>
      <c r="Y246" s="188">
        <v>10.77649290216991</v>
      </c>
      <c r="Z246" s="188">
        <v>10.689605180098798</v>
      </c>
      <c r="AA246" s="188">
        <v>10.602717458027687</v>
      </c>
      <c r="AB246" s="188">
        <v>10.515829735956574</v>
      </c>
      <c r="AC246" s="188">
        <v>10.428942013885461</v>
      </c>
      <c r="AD246" s="188">
        <v>10.342054291814351</v>
      </c>
      <c r="AE246" s="188">
        <v>10.255166569743238</v>
      </c>
      <c r="AF246" s="188">
        <v>10.168278847672127</v>
      </c>
      <c r="AG246" s="188">
        <v>10.081391125601016</v>
      </c>
      <c r="AH246" s="188">
        <v>9.9945034035299045</v>
      </c>
      <c r="AI246" s="188">
        <v>9.9076156814587932</v>
      </c>
      <c r="AJ246" s="188">
        <v>9.8207279593876837</v>
      </c>
    </row>
    <row r="247" spans="1:36" hidden="1" x14ac:dyDescent="0.35">
      <c r="A247" t="s">
        <v>1719</v>
      </c>
      <c r="B247" s="188" t="s">
        <v>1342</v>
      </c>
      <c r="C247" t="s">
        <v>1348</v>
      </c>
      <c r="D247" s="188">
        <v>30</v>
      </c>
      <c r="E247" t="s">
        <v>1701</v>
      </c>
      <c r="F247" t="s">
        <v>1381</v>
      </c>
      <c r="G247" s="188" t="s">
        <v>1718</v>
      </c>
      <c r="H247" s="188">
        <v>20.583832601636189</v>
      </c>
      <c r="I247" s="188">
        <v>18.810681947891432</v>
      </c>
      <c r="J247" s="188">
        <v>18.387009127244639</v>
      </c>
      <c r="K247" s="188">
        <v>17.963336306597849</v>
      </c>
      <c r="L247" s="188">
        <v>17.539663485951056</v>
      </c>
      <c r="M247" s="188">
        <v>17.115990665304263</v>
      </c>
      <c r="N247" s="188">
        <v>16.692317844657474</v>
      </c>
      <c r="O247" s="188">
        <v>16.268645024010681</v>
      </c>
      <c r="P247" s="188">
        <v>15.844972203363888</v>
      </c>
      <c r="Q247" s="188">
        <v>15.421299382717098</v>
      </c>
      <c r="R247" s="188">
        <v>14.997626562070305</v>
      </c>
      <c r="S247" s="188">
        <v>14.573953741423516</v>
      </c>
      <c r="T247" s="188">
        <v>14.150280920776723</v>
      </c>
      <c r="U247" s="188">
        <v>13.726608100129923</v>
      </c>
      <c r="V247" s="188">
        <v>13.553103812818218</v>
      </c>
      <c r="W247" s="188">
        <v>13.379599525506514</v>
      </c>
      <c r="X247" s="188">
        <v>13.206095238194813</v>
      </c>
      <c r="Y247" s="188">
        <v>13.032590950883108</v>
      </c>
      <c r="Z247" s="188">
        <v>12.859086663571404</v>
      </c>
      <c r="AA247" s="188">
        <v>12.685582376259699</v>
      </c>
      <c r="AB247" s="188">
        <v>12.512078088947998</v>
      </c>
      <c r="AC247" s="188">
        <v>12.338573801636294</v>
      </c>
      <c r="AD247" s="188">
        <v>12.165069514324589</v>
      </c>
      <c r="AE247" s="188">
        <v>11.991565227012885</v>
      </c>
      <c r="AF247" s="188">
        <v>11.81806093970118</v>
      </c>
      <c r="AG247" s="188">
        <v>11.644556652389475</v>
      </c>
      <c r="AH247" s="188">
        <v>11.471052365077771</v>
      </c>
      <c r="AI247" s="188">
        <v>11.297548077766066</v>
      </c>
      <c r="AJ247" s="188">
        <v>11.124043790454357</v>
      </c>
    </row>
    <row r="248" spans="1:36" hidden="1" x14ac:dyDescent="0.35">
      <c r="A248" t="s">
        <v>1720</v>
      </c>
      <c r="B248" s="188" t="s">
        <v>1342</v>
      </c>
      <c r="C248" t="s">
        <v>1350</v>
      </c>
      <c r="D248" s="188">
        <v>30</v>
      </c>
      <c r="E248" t="s">
        <v>1701</v>
      </c>
      <c r="F248" t="s">
        <v>1381</v>
      </c>
      <c r="G248" s="188" t="s">
        <v>1718</v>
      </c>
      <c r="H248" s="188">
        <v>20.583832601636189</v>
      </c>
      <c r="I248" s="188">
        <v>18.810681947891432</v>
      </c>
      <c r="J248" s="188">
        <v>18.697334652293776</v>
      </c>
      <c r="K248" s="188">
        <v>18.58398735669612</v>
      </c>
      <c r="L248" s="188">
        <v>18.470640061098464</v>
      </c>
      <c r="M248" s="188">
        <v>18.357292765500809</v>
      </c>
      <c r="N248" s="188">
        <v>18.243945469903153</v>
      </c>
      <c r="O248" s="188">
        <v>18.130598174305501</v>
      </c>
      <c r="P248" s="188">
        <v>18.017250878707845</v>
      </c>
      <c r="Q248" s="188">
        <v>17.903903583110189</v>
      </c>
      <c r="R248" s="188">
        <v>17.790556287512533</v>
      </c>
      <c r="S248" s="188">
        <v>17.677208991914878</v>
      </c>
      <c r="T248" s="188">
        <v>17.563861696317222</v>
      </c>
      <c r="U248" s="188">
        <v>17.45051440071957</v>
      </c>
      <c r="V248" s="188">
        <v>17.202253980680258</v>
      </c>
      <c r="W248" s="188">
        <v>16.953993560640949</v>
      </c>
      <c r="X248" s="188">
        <v>16.705733140601637</v>
      </c>
      <c r="Y248" s="188">
        <v>16.457472720562329</v>
      </c>
      <c r="Z248" s="188">
        <v>16.209212300523021</v>
      </c>
      <c r="AA248" s="188">
        <v>15.960951880483709</v>
      </c>
      <c r="AB248" s="188">
        <v>15.7126914604444</v>
      </c>
      <c r="AC248" s="188">
        <v>15.464431040405092</v>
      </c>
      <c r="AD248" s="188">
        <v>15.216170620365784</v>
      </c>
      <c r="AE248" s="188">
        <v>14.967910200326472</v>
      </c>
      <c r="AF248" s="188">
        <v>14.719649780287163</v>
      </c>
      <c r="AG248" s="188">
        <v>14.471389360247855</v>
      </c>
      <c r="AH248" s="188">
        <v>14.223128940208543</v>
      </c>
      <c r="AI248" s="188">
        <v>13.974868520169235</v>
      </c>
      <c r="AJ248" s="188">
        <v>13.726608100129923</v>
      </c>
    </row>
    <row r="249" spans="1:36" hidden="1" x14ac:dyDescent="0.35">
      <c r="A249" t="s">
        <v>1721</v>
      </c>
      <c r="B249" s="188" t="s">
        <v>1342</v>
      </c>
      <c r="C249" t="s">
        <v>1343</v>
      </c>
      <c r="D249" s="188">
        <v>30</v>
      </c>
      <c r="E249" t="s">
        <v>1701</v>
      </c>
      <c r="F249" t="s">
        <v>1386</v>
      </c>
      <c r="G249" s="188" t="s">
        <v>1722</v>
      </c>
      <c r="H249" s="188">
        <v>20.583832601636189</v>
      </c>
      <c r="I249" s="188">
        <v>18.810681947891432</v>
      </c>
      <c r="J249" s="188">
        <v>18.170128768105009</v>
      </c>
      <c r="K249" s="188">
        <v>17.529575588318586</v>
      </c>
      <c r="L249" s="188">
        <v>16.889022408532167</v>
      </c>
      <c r="M249" s="188">
        <v>16.248469228745744</v>
      </c>
      <c r="N249" s="188">
        <v>15.607916048959321</v>
      </c>
      <c r="O249" s="188">
        <v>14.967362869172899</v>
      </c>
      <c r="P249" s="188">
        <v>14.326809689386476</v>
      </c>
      <c r="Q249" s="188">
        <v>13.686256509600053</v>
      </c>
      <c r="R249" s="188">
        <v>13.045703329813634</v>
      </c>
      <c r="S249" s="188">
        <v>12.405150150027211</v>
      </c>
      <c r="T249" s="188">
        <v>11.764596970240788</v>
      </c>
      <c r="U249" s="188">
        <v>11.124043790454357</v>
      </c>
      <c r="V249" s="188">
        <v>11.037156068383243</v>
      </c>
      <c r="W249" s="188">
        <v>10.950268346312132</v>
      </c>
      <c r="X249" s="188">
        <v>10.863380624241021</v>
      </c>
      <c r="Y249" s="188">
        <v>10.77649290216991</v>
      </c>
      <c r="Z249" s="188">
        <v>10.689605180098798</v>
      </c>
      <c r="AA249" s="188">
        <v>10.602717458027687</v>
      </c>
      <c r="AB249" s="188">
        <v>10.515829735956574</v>
      </c>
      <c r="AC249" s="188">
        <v>10.428942013885461</v>
      </c>
      <c r="AD249" s="188">
        <v>10.342054291814351</v>
      </c>
      <c r="AE249" s="188">
        <v>10.255166569743238</v>
      </c>
      <c r="AF249" s="188">
        <v>10.168278847672127</v>
      </c>
      <c r="AG249" s="188">
        <v>10.081391125601016</v>
      </c>
      <c r="AH249" s="188">
        <v>9.9945034035299045</v>
      </c>
      <c r="AI249" s="188">
        <v>9.9076156814587932</v>
      </c>
      <c r="AJ249" s="188">
        <v>9.8207279593876837</v>
      </c>
    </row>
    <row r="250" spans="1:36" hidden="1" x14ac:dyDescent="0.35">
      <c r="A250" t="s">
        <v>1723</v>
      </c>
      <c r="B250" s="188" t="s">
        <v>1342</v>
      </c>
      <c r="C250" t="s">
        <v>1348</v>
      </c>
      <c r="D250" s="188">
        <v>30</v>
      </c>
      <c r="E250" t="s">
        <v>1701</v>
      </c>
      <c r="F250" t="s">
        <v>1386</v>
      </c>
      <c r="G250" s="188" t="s">
        <v>1722</v>
      </c>
      <c r="H250" s="188">
        <v>20.583832601636189</v>
      </c>
      <c r="I250" s="188">
        <v>18.810681947891432</v>
      </c>
      <c r="J250" s="188">
        <v>18.387009127244639</v>
      </c>
      <c r="K250" s="188">
        <v>17.963336306597849</v>
      </c>
      <c r="L250" s="188">
        <v>17.539663485951056</v>
      </c>
      <c r="M250" s="188">
        <v>17.115990665304263</v>
      </c>
      <c r="N250" s="188">
        <v>16.692317844657474</v>
      </c>
      <c r="O250" s="188">
        <v>16.268645024010681</v>
      </c>
      <c r="P250" s="188">
        <v>15.844972203363888</v>
      </c>
      <c r="Q250" s="188">
        <v>15.421299382717098</v>
      </c>
      <c r="R250" s="188">
        <v>14.997626562070305</v>
      </c>
      <c r="S250" s="188">
        <v>14.573953741423516</v>
      </c>
      <c r="T250" s="188">
        <v>14.150280920776723</v>
      </c>
      <c r="U250" s="188">
        <v>13.726608100129923</v>
      </c>
      <c r="V250" s="188">
        <v>13.553103812818218</v>
      </c>
      <c r="W250" s="188">
        <v>13.379599525506514</v>
      </c>
      <c r="X250" s="188">
        <v>13.206095238194813</v>
      </c>
      <c r="Y250" s="188">
        <v>13.032590950883108</v>
      </c>
      <c r="Z250" s="188">
        <v>12.859086663571404</v>
      </c>
      <c r="AA250" s="188">
        <v>12.685582376259699</v>
      </c>
      <c r="AB250" s="188">
        <v>12.512078088947998</v>
      </c>
      <c r="AC250" s="188">
        <v>12.338573801636294</v>
      </c>
      <c r="AD250" s="188">
        <v>12.165069514324589</v>
      </c>
      <c r="AE250" s="188">
        <v>11.991565227012885</v>
      </c>
      <c r="AF250" s="188">
        <v>11.81806093970118</v>
      </c>
      <c r="AG250" s="188">
        <v>11.644556652389475</v>
      </c>
      <c r="AH250" s="188">
        <v>11.471052365077771</v>
      </c>
      <c r="AI250" s="188">
        <v>11.297548077766066</v>
      </c>
      <c r="AJ250" s="188">
        <v>11.124043790454357</v>
      </c>
    </row>
    <row r="251" spans="1:36" hidden="1" x14ac:dyDescent="0.35">
      <c r="A251" t="s">
        <v>1724</v>
      </c>
      <c r="B251" s="188" t="s">
        <v>1342</v>
      </c>
      <c r="C251" t="s">
        <v>1350</v>
      </c>
      <c r="D251" s="188">
        <v>30</v>
      </c>
      <c r="E251" t="s">
        <v>1701</v>
      </c>
      <c r="F251" t="s">
        <v>1386</v>
      </c>
      <c r="G251" s="188" t="s">
        <v>1722</v>
      </c>
      <c r="H251" s="188">
        <v>20.583832601636189</v>
      </c>
      <c r="I251" s="188">
        <v>18.810681947891432</v>
      </c>
      <c r="J251" s="188">
        <v>18.697334652293776</v>
      </c>
      <c r="K251" s="188">
        <v>18.58398735669612</v>
      </c>
      <c r="L251" s="188">
        <v>18.470640061098464</v>
      </c>
      <c r="M251" s="188">
        <v>18.357292765500809</v>
      </c>
      <c r="N251" s="188">
        <v>18.243945469903153</v>
      </c>
      <c r="O251" s="188">
        <v>18.130598174305501</v>
      </c>
      <c r="P251" s="188">
        <v>18.017250878707845</v>
      </c>
      <c r="Q251" s="188">
        <v>17.903903583110189</v>
      </c>
      <c r="R251" s="188">
        <v>17.790556287512533</v>
      </c>
      <c r="S251" s="188">
        <v>17.677208991914878</v>
      </c>
      <c r="T251" s="188">
        <v>17.563861696317222</v>
      </c>
      <c r="U251" s="188">
        <v>17.45051440071957</v>
      </c>
      <c r="V251" s="188">
        <v>17.202253980680258</v>
      </c>
      <c r="W251" s="188">
        <v>16.953993560640949</v>
      </c>
      <c r="X251" s="188">
        <v>16.705733140601637</v>
      </c>
      <c r="Y251" s="188">
        <v>16.457472720562329</v>
      </c>
      <c r="Z251" s="188">
        <v>16.209212300523021</v>
      </c>
      <c r="AA251" s="188">
        <v>15.960951880483709</v>
      </c>
      <c r="AB251" s="188">
        <v>15.7126914604444</v>
      </c>
      <c r="AC251" s="188">
        <v>15.464431040405092</v>
      </c>
      <c r="AD251" s="188">
        <v>15.216170620365784</v>
      </c>
      <c r="AE251" s="188">
        <v>14.967910200326472</v>
      </c>
      <c r="AF251" s="188">
        <v>14.719649780287163</v>
      </c>
      <c r="AG251" s="188">
        <v>14.471389360247855</v>
      </c>
      <c r="AH251" s="188">
        <v>14.223128940208543</v>
      </c>
      <c r="AI251" s="188">
        <v>13.974868520169235</v>
      </c>
      <c r="AJ251" s="188">
        <v>13.726608100129923</v>
      </c>
    </row>
    <row r="252" spans="1:36" hidden="1" x14ac:dyDescent="0.35">
      <c r="A252" t="s">
        <v>1725</v>
      </c>
      <c r="B252" s="188" t="s">
        <v>1342</v>
      </c>
      <c r="C252" t="s">
        <v>1343</v>
      </c>
      <c r="D252" s="188">
        <v>30</v>
      </c>
      <c r="E252" t="s">
        <v>1701</v>
      </c>
      <c r="F252" t="s">
        <v>1391</v>
      </c>
      <c r="G252" s="188" t="s">
        <v>1726</v>
      </c>
      <c r="H252" s="188">
        <v>20.583832601636189</v>
      </c>
      <c r="I252" s="188">
        <v>18.810681947891432</v>
      </c>
      <c r="J252" s="188">
        <v>18.170128768105009</v>
      </c>
      <c r="K252" s="188">
        <v>17.529575588318586</v>
      </c>
      <c r="L252" s="188">
        <v>16.889022408532167</v>
      </c>
      <c r="M252" s="188">
        <v>16.248469228745744</v>
      </c>
      <c r="N252" s="188">
        <v>15.607916048959321</v>
      </c>
      <c r="O252" s="188">
        <v>14.967362869172899</v>
      </c>
      <c r="P252" s="188">
        <v>14.326809689386476</v>
      </c>
      <c r="Q252" s="188">
        <v>13.686256509600053</v>
      </c>
      <c r="R252" s="188">
        <v>13.045703329813634</v>
      </c>
      <c r="S252" s="188">
        <v>12.405150150027211</v>
      </c>
      <c r="T252" s="188">
        <v>11.764596970240788</v>
      </c>
      <c r="U252" s="188">
        <v>11.124043790454357</v>
      </c>
      <c r="V252" s="188">
        <v>11.037156068383243</v>
      </c>
      <c r="W252" s="188">
        <v>10.950268346312132</v>
      </c>
      <c r="X252" s="188">
        <v>10.863380624241021</v>
      </c>
      <c r="Y252" s="188">
        <v>10.77649290216991</v>
      </c>
      <c r="Z252" s="188">
        <v>10.689605180098798</v>
      </c>
      <c r="AA252" s="188">
        <v>10.602717458027687</v>
      </c>
      <c r="AB252" s="188">
        <v>10.515829735956574</v>
      </c>
      <c r="AC252" s="188">
        <v>10.428942013885461</v>
      </c>
      <c r="AD252" s="188">
        <v>10.342054291814351</v>
      </c>
      <c r="AE252" s="188">
        <v>10.255166569743238</v>
      </c>
      <c r="AF252" s="188">
        <v>10.168278847672127</v>
      </c>
      <c r="AG252" s="188">
        <v>10.081391125601016</v>
      </c>
      <c r="AH252" s="188">
        <v>9.9945034035299045</v>
      </c>
      <c r="AI252" s="188">
        <v>9.9076156814587932</v>
      </c>
      <c r="AJ252" s="188">
        <v>9.8207279593876837</v>
      </c>
    </row>
    <row r="253" spans="1:36" hidden="1" x14ac:dyDescent="0.35">
      <c r="A253" t="s">
        <v>1727</v>
      </c>
      <c r="B253" s="188" t="s">
        <v>1342</v>
      </c>
      <c r="C253" t="s">
        <v>1348</v>
      </c>
      <c r="D253" s="188">
        <v>30</v>
      </c>
      <c r="E253" t="s">
        <v>1701</v>
      </c>
      <c r="F253" t="s">
        <v>1391</v>
      </c>
      <c r="G253" s="188" t="s">
        <v>1726</v>
      </c>
      <c r="H253" s="188">
        <v>20.583832601636189</v>
      </c>
      <c r="I253" s="188">
        <v>18.810681947891432</v>
      </c>
      <c r="J253" s="188">
        <v>18.387009127244639</v>
      </c>
      <c r="K253" s="188">
        <v>17.963336306597849</v>
      </c>
      <c r="L253" s="188">
        <v>17.539663485951056</v>
      </c>
      <c r="M253" s="188">
        <v>17.115990665304263</v>
      </c>
      <c r="N253" s="188">
        <v>16.692317844657474</v>
      </c>
      <c r="O253" s="188">
        <v>16.268645024010681</v>
      </c>
      <c r="P253" s="188">
        <v>15.844972203363888</v>
      </c>
      <c r="Q253" s="188">
        <v>15.421299382717098</v>
      </c>
      <c r="R253" s="188">
        <v>14.997626562070305</v>
      </c>
      <c r="S253" s="188">
        <v>14.573953741423516</v>
      </c>
      <c r="T253" s="188">
        <v>14.150280920776723</v>
      </c>
      <c r="U253" s="188">
        <v>13.726608100129923</v>
      </c>
      <c r="V253" s="188">
        <v>13.553103812818218</v>
      </c>
      <c r="W253" s="188">
        <v>13.379599525506514</v>
      </c>
      <c r="X253" s="188">
        <v>13.206095238194813</v>
      </c>
      <c r="Y253" s="188">
        <v>13.032590950883108</v>
      </c>
      <c r="Z253" s="188">
        <v>12.859086663571404</v>
      </c>
      <c r="AA253" s="188">
        <v>12.685582376259699</v>
      </c>
      <c r="AB253" s="188">
        <v>12.512078088947998</v>
      </c>
      <c r="AC253" s="188">
        <v>12.338573801636294</v>
      </c>
      <c r="AD253" s="188">
        <v>12.165069514324589</v>
      </c>
      <c r="AE253" s="188">
        <v>11.991565227012885</v>
      </c>
      <c r="AF253" s="188">
        <v>11.81806093970118</v>
      </c>
      <c r="AG253" s="188">
        <v>11.644556652389475</v>
      </c>
      <c r="AH253" s="188">
        <v>11.471052365077771</v>
      </c>
      <c r="AI253" s="188">
        <v>11.297548077766066</v>
      </c>
      <c r="AJ253" s="188">
        <v>11.124043790454357</v>
      </c>
    </row>
    <row r="254" spans="1:36" hidden="1" x14ac:dyDescent="0.35">
      <c r="A254" t="s">
        <v>1728</v>
      </c>
      <c r="B254" s="188" t="s">
        <v>1342</v>
      </c>
      <c r="C254" t="s">
        <v>1350</v>
      </c>
      <c r="D254" s="188">
        <v>30</v>
      </c>
      <c r="E254" t="s">
        <v>1701</v>
      </c>
      <c r="F254" t="s">
        <v>1391</v>
      </c>
      <c r="G254" s="188" t="s">
        <v>1726</v>
      </c>
      <c r="H254" s="188">
        <v>20.583832601636189</v>
      </c>
      <c r="I254" s="188">
        <v>18.810681947891432</v>
      </c>
      <c r="J254" s="188">
        <v>18.697334652293776</v>
      </c>
      <c r="K254" s="188">
        <v>18.58398735669612</v>
      </c>
      <c r="L254" s="188">
        <v>18.470640061098464</v>
      </c>
      <c r="M254" s="188">
        <v>18.357292765500809</v>
      </c>
      <c r="N254" s="188">
        <v>18.243945469903153</v>
      </c>
      <c r="O254" s="188">
        <v>18.130598174305501</v>
      </c>
      <c r="P254" s="188">
        <v>18.017250878707845</v>
      </c>
      <c r="Q254" s="188">
        <v>17.903903583110189</v>
      </c>
      <c r="R254" s="188">
        <v>17.790556287512533</v>
      </c>
      <c r="S254" s="188">
        <v>17.677208991914878</v>
      </c>
      <c r="T254" s="188">
        <v>17.563861696317222</v>
      </c>
      <c r="U254" s="188">
        <v>17.45051440071957</v>
      </c>
      <c r="V254" s="188">
        <v>17.202253980680258</v>
      </c>
      <c r="W254" s="188">
        <v>16.953993560640949</v>
      </c>
      <c r="X254" s="188">
        <v>16.705733140601637</v>
      </c>
      <c r="Y254" s="188">
        <v>16.457472720562329</v>
      </c>
      <c r="Z254" s="188">
        <v>16.209212300523021</v>
      </c>
      <c r="AA254" s="188">
        <v>15.960951880483709</v>
      </c>
      <c r="AB254" s="188">
        <v>15.7126914604444</v>
      </c>
      <c r="AC254" s="188">
        <v>15.464431040405092</v>
      </c>
      <c r="AD254" s="188">
        <v>15.216170620365784</v>
      </c>
      <c r="AE254" s="188">
        <v>14.967910200326472</v>
      </c>
      <c r="AF254" s="188">
        <v>14.719649780287163</v>
      </c>
      <c r="AG254" s="188">
        <v>14.471389360247855</v>
      </c>
      <c r="AH254" s="188">
        <v>14.223128940208543</v>
      </c>
      <c r="AI254" s="188">
        <v>13.974868520169235</v>
      </c>
      <c r="AJ254" s="188">
        <v>13.726608100129923</v>
      </c>
    </row>
    <row r="255" spans="1:36" hidden="1" x14ac:dyDescent="0.35">
      <c r="A255" t="s">
        <v>1729</v>
      </c>
      <c r="B255" s="188" t="s">
        <v>1342</v>
      </c>
      <c r="C255" t="s">
        <v>1343</v>
      </c>
      <c r="D255" s="188">
        <v>30</v>
      </c>
      <c r="E255" t="s">
        <v>1701</v>
      </c>
      <c r="F255" t="s">
        <v>1357</v>
      </c>
      <c r="G255" s="188" t="s">
        <v>1730</v>
      </c>
      <c r="H255" s="188">
        <v>20.583832601636189</v>
      </c>
      <c r="I255" s="188">
        <v>18.810681947891432</v>
      </c>
      <c r="J255" s="188">
        <v>18.170128768105009</v>
      </c>
      <c r="K255" s="188">
        <v>17.529575588318586</v>
      </c>
      <c r="L255" s="188">
        <v>16.889022408532167</v>
      </c>
      <c r="M255" s="188">
        <v>16.248469228745744</v>
      </c>
      <c r="N255" s="188">
        <v>15.607916048959321</v>
      </c>
      <c r="O255" s="188">
        <v>14.967362869172899</v>
      </c>
      <c r="P255" s="188">
        <v>14.326809689386476</v>
      </c>
      <c r="Q255" s="188">
        <v>13.686256509600053</v>
      </c>
      <c r="R255" s="188">
        <v>13.045703329813634</v>
      </c>
      <c r="S255" s="188">
        <v>12.405150150027211</v>
      </c>
      <c r="T255" s="188">
        <v>11.764596970240788</v>
      </c>
      <c r="U255" s="188">
        <v>11.124043790454357</v>
      </c>
      <c r="V255" s="188">
        <v>11.037156068383243</v>
      </c>
      <c r="W255" s="188">
        <v>10.950268346312132</v>
      </c>
      <c r="X255" s="188">
        <v>10.863380624241021</v>
      </c>
      <c r="Y255" s="188">
        <v>10.77649290216991</v>
      </c>
      <c r="Z255" s="188">
        <v>10.689605180098798</v>
      </c>
      <c r="AA255" s="188">
        <v>10.602717458027687</v>
      </c>
      <c r="AB255" s="188">
        <v>10.515829735956574</v>
      </c>
      <c r="AC255" s="188">
        <v>10.428942013885461</v>
      </c>
      <c r="AD255" s="188">
        <v>10.342054291814351</v>
      </c>
      <c r="AE255" s="188">
        <v>10.255166569743238</v>
      </c>
      <c r="AF255" s="188">
        <v>10.168278847672127</v>
      </c>
      <c r="AG255" s="188">
        <v>10.081391125601016</v>
      </c>
      <c r="AH255" s="188">
        <v>9.9945034035299045</v>
      </c>
      <c r="AI255" s="188">
        <v>9.9076156814587932</v>
      </c>
      <c r="AJ255" s="188">
        <v>9.8207279593876837</v>
      </c>
    </row>
    <row r="256" spans="1:36" hidden="1" x14ac:dyDescent="0.35">
      <c r="A256" t="s">
        <v>1731</v>
      </c>
      <c r="B256" s="188" t="s">
        <v>1342</v>
      </c>
      <c r="C256" t="s">
        <v>1348</v>
      </c>
      <c r="D256" s="188">
        <v>30</v>
      </c>
      <c r="E256" t="s">
        <v>1701</v>
      </c>
      <c r="F256" t="s">
        <v>1357</v>
      </c>
      <c r="G256" s="188" t="s">
        <v>1730</v>
      </c>
      <c r="H256" s="188">
        <v>20.583832601636189</v>
      </c>
      <c r="I256" s="188">
        <v>18.810681947891432</v>
      </c>
      <c r="J256" s="188">
        <v>18.387009127244639</v>
      </c>
      <c r="K256" s="188">
        <v>17.963336306597849</v>
      </c>
      <c r="L256" s="188">
        <v>17.539663485951056</v>
      </c>
      <c r="M256" s="188">
        <v>17.115990665304263</v>
      </c>
      <c r="N256" s="188">
        <v>16.692317844657474</v>
      </c>
      <c r="O256" s="188">
        <v>16.268645024010681</v>
      </c>
      <c r="P256" s="188">
        <v>15.844972203363888</v>
      </c>
      <c r="Q256" s="188">
        <v>15.421299382717098</v>
      </c>
      <c r="R256" s="188">
        <v>14.997626562070305</v>
      </c>
      <c r="S256" s="188">
        <v>14.573953741423516</v>
      </c>
      <c r="T256" s="188">
        <v>14.150280920776723</v>
      </c>
      <c r="U256" s="188">
        <v>13.726608100129923</v>
      </c>
      <c r="V256" s="188">
        <v>13.553103812818218</v>
      </c>
      <c r="W256" s="188">
        <v>13.379599525506514</v>
      </c>
      <c r="X256" s="188">
        <v>13.206095238194813</v>
      </c>
      <c r="Y256" s="188">
        <v>13.032590950883108</v>
      </c>
      <c r="Z256" s="188">
        <v>12.859086663571404</v>
      </c>
      <c r="AA256" s="188">
        <v>12.685582376259699</v>
      </c>
      <c r="AB256" s="188">
        <v>12.512078088947998</v>
      </c>
      <c r="AC256" s="188">
        <v>12.338573801636294</v>
      </c>
      <c r="AD256" s="188">
        <v>12.165069514324589</v>
      </c>
      <c r="AE256" s="188">
        <v>11.991565227012885</v>
      </c>
      <c r="AF256" s="188">
        <v>11.81806093970118</v>
      </c>
      <c r="AG256" s="188">
        <v>11.644556652389475</v>
      </c>
      <c r="AH256" s="188">
        <v>11.471052365077771</v>
      </c>
      <c r="AI256" s="188">
        <v>11.297548077766066</v>
      </c>
      <c r="AJ256" s="188">
        <v>11.124043790454357</v>
      </c>
    </row>
    <row r="257" spans="1:36" hidden="1" x14ac:dyDescent="0.35">
      <c r="A257" t="s">
        <v>1732</v>
      </c>
      <c r="B257" s="188" t="s">
        <v>1342</v>
      </c>
      <c r="C257" t="s">
        <v>1350</v>
      </c>
      <c r="D257" s="188">
        <v>30</v>
      </c>
      <c r="E257" t="s">
        <v>1701</v>
      </c>
      <c r="F257" t="s">
        <v>1357</v>
      </c>
      <c r="G257" s="188" t="s">
        <v>1730</v>
      </c>
      <c r="H257" s="188">
        <v>20.583832601636189</v>
      </c>
      <c r="I257" s="188">
        <v>18.810681947891432</v>
      </c>
      <c r="J257" s="188">
        <v>18.697334652293776</v>
      </c>
      <c r="K257" s="188">
        <v>18.58398735669612</v>
      </c>
      <c r="L257" s="188">
        <v>18.470640061098464</v>
      </c>
      <c r="M257" s="188">
        <v>18.357292765500809</v>
      </c>
      <c r="N257" s="188">
        <v>18.243945469903153</v>
      </c>
      <c r="O257" s="188">
        <v>18.130598174305501</v>
      </c>
      <c r="P257" s="188">
        <v>18.017250878707845</v>
      </c>
      <c r="Q257" s="188">
        <v>17.903903583110189</v>
      </c>
      <c r="R257" s="188">
        <v>17.790556287512533</v>
      </c>
      <c r="S257" s="188">
        <v>17.677208991914878</v>
      </c>
      <c r="T257" s="188">
        <v>17.563861696317222</v>
      </c>
      <c r="U257" s="188">
        <v>17.45051440071957</v>
      </c>
      <c r="V257" s="188">
        <v>17.202253980680258</v>
      </c>
      <c r="W257" s="188">
        <v>16.953993560640949</v>
      </c>
      <c r="X257" s="188">
        <v>16.705733140601637</v>
      </c>
      <c r="Y257" s="188">
        <v>16.457472720562329</v>
      </c>
      <c r="Z257" s="188">
        <v>16.209212300523021</v>
      </c>
      <c r="AA257" s="188">
        <v>15.960951880483709</v>
      </c>
      <c r="AB257" s="188">
        <v>15.7126914604444</v>
      </c>
      <c r="AC257" s="188">
        <v>15.464431040405092</v>
      </c>
      <c r="AD257" s="188">
        <v>15.216170620365784</v>
      </c>
      <c r="AE257" s="188">
        <v>14.967910200326472</v>
      </c>
      <c r="AF257" s="188">
        <v>14.719649780287163</v>
      </c>
      <c r="AG257" s="188">
        <v>14.471389360247855</v>
      </c>
      <c r="AH257" s="188">
        <v>14.223128940208543</v>
      </c>
      <c r="AI257" s="188">
        <v>13.974868520169235</v>
      </c>
      <c r="AJ257" s="188">
        <v>13.726608100129923</v>
      </c>
    </row>
    <row r="258" spans="1:36" hidden="1" x14ac:dyDescent="0.35">
      <c r="A258" t="s">
        <v>1733</v>
      </c>
      <c r="B258" s="188" t="s">
        <v>1342</v>
      </c>
      <c r="C258" t="s">
        <v>1343</v>
      </c>
      <c r="D258" s="188">
        <v>30</v>
      </c>
      <c r="E258" t="s">
        <v>1701</v>
      </c>
      <c r="F258" t="s">
        <v>1400</v>
      </c>
      <c r="G258" s="188" t="s">
        <v>1734</v>
      </c>
      <c r="H258" s="188">
        <v>20.583832601636189</v>
      </c>
      <c r="I258" s="188">
        <v>18.810681947891432</v>
      </c>
      <c r="J258" s="188">
        <v>18.170128768105009</v>
      </c>
      <c r="K258" s="188">
        <v>17.529575588318586</v>
      </c>
      <c r="L258" s="188">
        <v>16.889022408532167</v>
      </c>
      <c r="M258" s="188">
        <v>16.248469228745744</v>
      </c>
      <c r="N258" s="188">
        <v>15.607916048959321</v>
      </c>
      <c r="O258" s="188">
        <v>14.967362869172899</v>
      </c>
      <c r="P258" s="188">
        <v>14.326809689386476</v>
      </c>
      <c r="Q258" s="188">
        <v>13.686256509600053</v>
      </c>
      <c r="R258" s="188">
        <v>13.045703329813634</v>
      </c>
      <c r="S258" s="188">
        <v>12.405150150027211</v>
      </c>
      <c r="T258" s="188">
        <v>11.764596970240788</v>
      </c>
      <c r="U258" s="188">
        <v>11.124043790454357</v>
      </c>
      <c r="V258" s="188">
        <v>11.037156068383243</v>
      </c>
      <c r="W258" s="188">
        <v>10.950268346312132</v>
      </c>
      <c r="X258" s="188">
        <v>10.863380624241021</v>
      </c>
      <c r="Y258" s="188">
        <v>10.77649290216991</v>
      </c>
      <c r="Z258" s="188">
        <v>10.689605180098798</v>
      </c>
      <c r="AA258" s="188">
        <v>10.602717458027687</v>
      </c>
      <c r="AB258" s="188">
        <v>10.515829735956574</v>
      </c>
      <c r="AC258" s="188">
        <v>10.428942013885461</v>
      </c>
      <c r="AD258" s="188">
        <v>10.342054291814351</v>
      </c>
      <c r="AE258" s="188">
        <v>10.255166569743238</v>
      </c>
      <c r="AF258" s="188">
        <v>10.168278847672127</v>
      </c>
      <c r="AG258" s="188">
        <v>10.081391125601016</v>
      </c>
      <c r="AH258" s="188">
        <v>9.9945034035299045</v>
      </c>
      <c r="AI258" s="188">
        <v>9.9076156814587932</v>
      </c>
      <c r="AJ258" s="188">
        <v>9.8207279593876837</v>
      </c>
    </row>
    <row r="259" spans="1:36" hidden="1" x14ac:dyDescent="0.35">
      <c r="A259" t="s">
        <v>1735</v>
      </c>
      <c r="B259" s="188" t="s">
        <v>1342</v>
      </c>
      <c r="C259" t="s">
        <v>1348</v>
      </c>
      <c r="D259" s="188">
        <v>30</v>
      </c>
      <c r="E259" t="s">
        <v>1701</v>
      </c>
      <c r="F259" t="s">
        <v>1400</v>
      </c>
      <c r="G259" s="188" t="s">
        <v>1734</v>
      </c>
      <c r="H259" s="188">
        <v>20.583832601636189</v>
      </c>
      <c r="I259" s="188">
        <v>18.810681947891432</v>
      </c>
      <c r="J259" s="188">
        <v>18.387009127244639</v>
      </c>
      <c r="K259" s="188">
        <v>17.963336306597849</v>
      </c>
      <c r="L259" s="188">
        <v>17.539663485951056</v>
      </c>
      <c r="M259" s="188">
        <v>17.115990665304263</v>
      </c>
      <c r="N259" s="188">
        <v>16.692317844657474</v>
      </c>
      <c r="O259" s="188">
        <v>16.268645024010681</v>
      </c>
      <c r="P259" s="188">
        <v>15.844972203363888</v>
      </c>
      <c r="Q259" s="188">
        <v>15.421299382717098</v>
      </c>
      <c r="R259" s="188">
        <v>14.997626562070305</v>
      </c>
      <c r="S259" s="188">
        <v>14.573953741423516</v>
      </c>
      <c r="T259" s="188">
        <v>14.150280920776723</v>
      </c>
      <c r="U259" s="188">
        <v>13.726608100129923</v>
      </c>
      <c r="V259" s="188">
        <v>13.553103812818218</v>
      </c>
      <c r="W259" s="188">
        <v>13.379599525506514</v>
      </c>
      <c r="X259" s="188">
        <v>13.206095238194813</v>
      </c>
      <c r="Y259" s="188">
        <v>13.032590950883108</v>
      </c>
      <c r="Z259" s="188">
        <v>12.859086663571404</v>
      </c>
      <c r="AA259" s="188">
        <v>12.685582376259699</v>
      </c>
      <c r="AB259" s="188">
        <v>12.512078088947998</v>
      </c>
      <c r="AC259" s="188">
        <v>12.338573801636294</v>
      </c>
      <c r="AD259" s="188">
        <v>12.165069514324589</v>
      </c>
      <c r="AE259" s="188">
        <v>11.991565227012885</v>
      </c>
      <c r="AF259" s="188">
        <v>11.81806093970118</v>
      </c>
      <c r="AG259" s="188">
        <v>11.644556652389475</v>
      </c>
      <c r="AH259" s="188">
        <v>11.471052365077771</v>
      </c>
      <c r="AI259" s="188">
        <v>11.297548077766066</v>
      </c>
      <c r="AJ259" s="188">
        <v>11.124043790454357</v>
      </c>
    </row>
    <row r="260" spans="1:36" hidden="1" x14ac:dyDescent="0.35">
      <c r="A260" t="s">
        <v>1736</v>
      </c>
      <c r="B260" s="188" t="s">
        <v>1342</v>
      </c>
      <c r="C260" t="s">
        <v>1350</v>
      </c>
      <c r="D260" s="188">
        <v>30</v>
      </c>
      <c r="E260" t="s">
        <v>1701</v>
      </c>
      <c r="F260" t="s">
        <v>1400</v>
      </c>
      <c r="G260" s="188" t="s">
        <v>1734</v>
      </c>
      <c r="H260" s="188">
        <v>20.583832601636189</v>
      </c>
      <c r="I260" s="188">
        <v>18.810681947891432</v>
      </c>
      <c r="J260" s="188">
        <v>18.697334652293776</v>
      </c>
      <c r="K260" s="188">
        <v>18.58398735669612</v>
      </c>
      <c r="L260" s="188">
        <v>18.470640061098464</v>
      </c>
      <c r="M260" s="188">
        <v>18.357292765500809</v>
      </c>
      <c r="N260" s="188">
        <v>18.243945469903153</v>
      </c>
      <c r="O260" s="188">
        <v>18.130598174305501</v>
      </c>
      <c r="P260" s="188">
        <v>18.017250878707845</v>
      </c>
      <c r="Q260" s="188">
        <v>17.903903583110189</v>
      </c>
      <c r="R260" s="188">
        <v>17.790556287512533</v>
      </c>
      <c r="S260" s="188">
        <v>17.677208991914878</v>
      </c>
      <c r="T260" s="188">
        <v>17.563861696317222</v>
      </c>
      <c r="U260" s="188">
        <v>17.45051440071957</v>
      </c>
      <c r="V260" s="188">
        <v>17.202253980680258</v>
      </c>
      <c r="W260" s="188">
        <v>16.953993560640949</v>
      </c>
      <c r="X260" s="188">
        <v>16.705733140601637</v>
      </c>
      <c r="Y260" s="188">
        <v>16.457472720562329</v>
      </c>
      <c r="Z260" s="188">
        <v>16.209212300523021</v>
      </c>
      <c r="AA260" s="188">
        <v>15.960951880483709</v>
      </c>
      <c r="AB260" s="188">
        <v>15.7126914604444</v>
      </c>
      <c r="AC260" s="188">
        <v>15.464431040405092</v>
      </c>
      <c r="AD260" s="188">
        <v>15.216170620365784</v>
      </c>
      <c r="AE260" s="188">
        <v>14.967910200326472</v>
      </c>
      <c r="AF260" s="188">
        <v>14.719649780287163</v>
      </c>
      <c r="AG260" s="188">
        <v>14.471389360247855</v>
      </c>
      <c r="AH260" s="188">
        <v>14.223128940208543</v>
      </c>
      <c r="AI260" s="188">
        <v>13.974868520169235</v>
      </c>
      <c r="AJ260" s="188">
        <v>13.726608100129923</v>
      </c>
    </row>
    <row r="261" spans="1:36" hidden="1" x14ac:dyDescent="0.35">
      <c r="A261" t="s">
        <v>1737</v>
      </c>
      <c r="B261" s="188" t="s">
        <v>1342</v>
      </c>
      <c r="C261" t="s">
        <v>1343</v>
      </c>
      <c r="D261" s="188">
        <v>30</v>
      </c>
      <c r="E261" t="s">
        <v>1701</v>
      </c>
      <c r="F261" t="s">
        <v>1405</v>
      </c>
      <c r="G261" s="188" t="s">
        <v>1738</v>
      </c>
      <c r="H261" s="188">
        <v>20.583832601636189</v>
      </c>
      <c r="I261" s="188">
        <v>18.810681947891432</v>
      </c>
      <c r="J261" s="188">
        <v>18.170128768105009</v>
      </c>
      <c r="K261" s="188">
        <v>17.529575588318586</v>
      </c>
      <c r="L261" s="188">
        <v>16.889022408532167</v>
      </c>
      <c r="M261" s="188">
        <v>16.248469228745744</v>
      </c>
      <c r="N261" s="188">
        <v>15.607916048959321</v>
      </c>
      <c r="O261" s="188">
        <v>14.967362869172899</v>
      </c>
      <c r="P261" s="188">
        <v>14.326809689386476</v>
      </c>
      <c r="Q261" s="188">
        <v>13.686256509600053</v>
      </c>
      <c r="R261" s="188">
        <v>13.045703329813634</v>
      </c>
      <c r="S261" s="188">
        <v>12.405150150027211</v>
      </c>
      <c r="T261" s="188">
        <v>11.764596970240788</v>
      </c>
      <c r="U261" s="188">
        <v>11.124043790454357</v>
      </c>
      <c r="V261" s="188">
        <v>11.037156068383243</v>
      </c>
      <c r="W261" s="188">
        <v>10.950268346312132</v>
      </c>
      <c r="X261" s="188">
        <v>10.863380624241021</v>
      </c>
      <c r="Y261" s="188">
        <v>10.77649290216991</v>
      </c>
      <c r="Z261" s="188">
        <v>10.689605180098798</v>
      </c>
      <c r="AA261" s="188">
        <v>10.602717458027687</v>
      </c>
      <c r="AB261" s="188">
        <v>10.515829735956574</v>
      </c>
      <c r="AC261" s="188">
        <v>10.428942013885461</v>
      </c>
      <c r="AD261" s="188">
        <v>10.342054291814351</v>
      </c>
      <c r="AE261" s="188">
        <v>10.255166569743238</v>
      </c>
      <c r="AF261" s="188">
        <v>10.168278847672127</v>
      </c>
      <c r="AG261" s="188">
        <v>10.081391125601016</v>
      </c>
      <c r="AH261" s="188">
        <v>9.9945034035299045</v>
      </c>
      <c r="AI261" s="188">
        <v>9.9076156814587932</v>
      </c>
      <c r="AJ261" s="188">
        <v>9.8207279593876837</v>
      </c>
    </row>
    <row r="262" spans="1:36" hidden="1" x14ac:dyDescent="0.35">
      <c r="A262" t="s">
        <v>1739</v>
      </c>
      <c r="B262" s="188" t="s">
        <v>1342</v>
      </c>
      <c r="C262" t="s">
        <v>1348</v>
      </c>
      <c r="D262" s="188">
        <v>30</v>
      </c>
      <c r="E262" t="s">
        <v>1701</v>
      </c>
      <c r="F262" t="s">
        <v>1405</v>
      </c>
      <c r="G262" s="188" t="s">
        <v>1738</v>
      </c>
      <c r="H262" s="188">
        <v>20.583832601636189</v>
      </c>
      <c r="I262" s="188">
        <v>18.810681947891432</v>
      </c>
      <c r="J262" s="188">
        <v>18.387009127244639</v>
      </c>
      <c r="K262" s="188">
        <v>17.963336306597849</v>
      </c>
      <c r="L262" s="188">
        <v>17.539663485951056</v>
      </c>
      <c r="M262" s="188">
        <v>17.115990665304263</v>
      </c>
      <c r="N262" s="188">
        <v>16.692317844657474</v>
      </c>
      <c r="O262" s="188">
        <v>16.268645024010681</v>
      </c>
      <c r="P262" s="188">
        <v>15.844972203363888</v>
      </c>
      <c r="Q262" s="188">
        <v>15.421299382717098</v>
      </c>
      <c r="R262" s="188">
        <v>14.997626562070305</v>
      </c>
      <c r="S262" s="188">
        <v>14.573953741423516</v>
      </c>
      <c r="T262" s="188">
        <v>14.150280920776723</v>
      </c>
      <c r="U262" s="188">
        <v>13.726608100129923</v>
      </c>
      <c r="V262" s="188">
        <v>13.553103812818218</v>
      </c>
      <c r="W262" s="188">
        <v>13.379599525506514</v>
      </c>
      <c r="X262" s="188">
        <v>13.206095238194813</v>
      </c>
      <c r="Y262" s="188">
        <v>13.032590950883108</v>
      </c>
      <c r="Z262" s="188">
        <v>12.859086663571404</v>
      </c>
      <c r="AA262" s="188">
        <v>12.685582376259699</v>
      </c>
      <c r="AB262" s="188">
        <v>12.512078088947998</v>
      </c>
      <c r="AC262" s="188">
        <v>12.338573801636294</v>
      </c>
      <c r="AD262" s="188">
        <v>12.165069514324589</v>
      </c>
      <c r="AE262" s="188">
        <v>11.991565227012885</v>
      </c>
      <c r="AF262" s="188">
        <v>11.81806093970118</v>
      </c>
      <c r="AG262" s="188">
        <v>11.644556652389475</v>
      </c>
      <c r="AH262" s="188">
        <v>11.471052365077771</v>
      </c>
      <c r="AI262" s="188">
        <v>11.297548077766066</v>
      </c>
      <c r="AJ262" s="188">
        <v>11.124043790454357</v>
      </c>
    </row>
    <row r="263" spans="1:36" hidden="1" x14ac:dyDescent="0.35">
      <c r="A263" t="s">
        <v>1740</v>
      </c>
      <c r="B263" s="188" t="s">
        <v>1342</v>
      </c>
      <c r="C263" t="s">
        <v>1350</v>
      </c>
      <c r="D263" s="188">
        <v>30</v>
      </c>
      <c r="E263" t="s">
        <v>1701</v>
      </c>
      <c r="F263" t="s">
        <v>1405</v>
      </c>
      <c r="G263" s="188" t="s">
        <v>1738</v>
      </c>
      <c r="H263" s="188">
        <v>20.583832601636189</v>
      </c>
      <c r="I263" s="188">
        <v>18.810681947891432</v>
      </c>
      <c r="J263" s="188">
        <v>18.697334652293776</v>
      </c>
      <c r="K263" s="188">
        <v>18.58398735669612</v>
      </c>
      <c r="L263" s="188">
        <v>18.470640061098464</v>
      </c>
      <c r="M263" s="188">
        <v>18.357292765500809</v>
      </c>
      <c r="N263" s="188">
        <v>18.243945469903153</v>
      </c>
      <c r="O263" s="188">
        <v>18.130598174305501</v>
      </c>
      <c r="P263" s="188">
        <v>18.017250878707845</v>
      </c>
      <c r="Q263" s="188">
        <v>17.903903583110189</v>
      </c>
      <c r="R263" s="188">
        <v>17.790556287512533</v>
      </c>
      <c r="S263" s="188">
        <v>17.677208991914878</v>
      </c>
      <c r="T263" s="188">
        <v>17.563861696317222</v>
      </c>
      <c r="U263" s="188">
        <v>17.45051440071957</v>
      </c>
      <c r="V263" s="188">
        <v>17.202253980680258</v>
      </c>
      <c r="W263" s="188">
        <v>16.953993560640949</v>
      </c>
      <c r="X263" s="188">
        <v>16.705733140601637</v>
      </c>
      <c r="Y263" s="188">
        <v>16.457472720562329</v>
      </c>
      <c r="Z263" s="188">
        <v>16.209212300523021</v>
      </c>
      <c r="AA263" s="188">
        <v>15.960951880483709</v>
      </c>
      <c r="AB263" s="188">
        <v>15.7126914604444</v>
      </c>
      <c r="AC263" s="188">
        <v>15.464431040405092</v>
      </c>
      <c r="AD263" s="188">
        <v>15.216170620365784</v>
      </c>
      <c r="AE263" s="188">
        <v>14.967910200326472</v>
      </c>
      <c r="AF263" s="188">
        <v>14.719649780287163</v>
      </c>
      <c r="AG263" s="188">
        <v>14.471389360247855</v>
      </c>
      <c r="AH263" s="188">
        <v>14.223128940208543</v>
      </c>
      <c r="AI263" s="188">
        <v>13.974868520169235</v>
      </c>
      <c r="AJ263" s="188">
        <v>13.726608100129923</v>
      </c>
    </row>
    <row r="264" spans="1:36" hidden="1" x14ac:dyDescent="0.35">
      <c r="A264" t="s">
        <v>1741</v>
      </c>
      <c r="B264" s="188" t="s">
        <v>1342</v>
      </c>
      <c r="C264" t="s">
        <v>1343</v>
      </c>
      <c r="D264" s="188">
        <v>30</v>
      </c>
      <c r="E264" t="s">
        <v>1742</v>
      </c>
      <c r="F264" t="s">
        <v>1363</v>
      </c>
      <c r="G264" s="188" t="s">
        <v>1743</v>
      </c>
      <c r="H264" s="188">
        <v>33.611297392310398</v>
      </c>
      <c r="I264" s="188">
        <v>30.362045461474846</v>
      </c>
      <c r="J264" s="188">
        <v>29.112221989363608</v>
      </c>
      <c r="K264" s="188">
        <v>27.862398517252362</v>
      </c>
      <c r="L264" s="188">
        <v>26.612575045141121</v>
      </c>
      <c r="M264" s="188">
        <v>25.362751573029882</v>
      </c>
      <c r="N264" s="188">
        <v>24.112928100918637</v>
      </c>
      <c r="O264" s="188">
        <v>22.863104628807399</v>
      </c>
      <c r="P264" s="188">
        <v>21.613281156696154</v>
      </c>
      <c r="Q264" s="188">
        <v>20.363457684584912</v>
      </c>
      <c r="R264" s="188">
        <v>19.113634212473674</v>
      </c>
      <c r="S264" s="188">
        <v>17.863810740362428</v>
      </c>
      <c r="T264" s="188">
        <v>16.613987268251186</v>
      </c>
      <c r="U264" s="188">
        <v>15.364163796139934</v>
      </c>
      <c r="V264" s="188">
        <v>15.183887638577856</v>
      </c>
      <c r="W264" s="188">
        <v>15.003611481015778</v>
      </c>
      <c r="X264" s="188">
        <v>14.8233353234537</v>
      </c>
      <c r="Y264" s="188">
        <v>14.643059165891621</v>
      </c>
      <c r="Z264" s="188">
        <v>14.462783008329541</v>
      </c>
      <c r="AA264" s="188">
        <v>14.282506850767463</v>
      </c>
      <c r="AB264" s="188">
        <v>14.102230693205383</v>
      </c>
      <c r="AC264" s="188">
        <v>13.921954535643305</v>
      </c>
      <c r="AD264" s="188">
        <v>13.741678378081225</v>
      </c>
      <c r="AE264" s="188">
        <v>13.561402220519147</v>
      </c>
      <c r="AF264" s="188">
        <v>13.381126062957067</v>
      </c>
      <c r="AG264" s="188">
        <v>13.200849905394991</v>
      </c>
      <c r="AH264" s="188">
        <v>13.020573747832913</v>
      </c>
      <c r="AI264" s="188">
        <v>12.840297590270836</v>
      </c>
      <c r="AJ264" s="188">
        <v>12.660021432708763</v>
      </c>
    </row>
    <row r="265" spans="1:36" hidden="1" x14ac:dyDescent="0.35">
      <c r="A265" t="s">
        <v>1744</v>
      </c>
      <c r="B265" s="188" t="s">
        <v>1342</v>
      </c>
      <c r="C265" t="s">
        <v>1348</v>
      </c>
      <c r="D265" s="188">
        <v>30</v>
      </c>
      <c r="E265" t="s">
        <v>1742</v>
      </c>
      <c r="F265" t="s">
        <v>1363</v>
      </c>
      <c r="G265" s="188" t="s">
        <v>1743</v>
      </c>
      <c r="H265" s="188">
        <v>33.611297392310398</v>
      </c>
      <c r="I265" s="188">
        <v>30.362045461474846</v>
      </c>
      <c r="J265" s="188">
        <v>29.531747558093898</v>
      </c>
      <c r="K265" s="188">
        <v>28.701449654712953</v>
      </c>
      <c r="L265" s="188">
        <v>27.871151751332</v>
      </c>
      <c r="M265" s="188">
        <v>27.040853847951055</v>
      </c>
      <c r="N265" s="188">
        <v>26.210555944570107</v>
      </c>
      <c r="O265" s="188">
        <v>25.380258041189158</v>
      </c>
      <c r="P265" s="188">
        <v>24.549960137808213</v>
      </c>
      <c r="Q265" s="188">
        <v>23.719662234427261</v>
      </c>
      <c r="R265" s="188">
        <v>22.88936433104632</v>
      </c>
      <c r="S265" s="188">
        <v>22.059066427665371</v>
      </c>
      <c r="T265" s="188">
        <v>21.22876852428443</v>
      </c>
      <c r="U265" s="188">
        <v>20.398470620903499</v>
      </c>
      <c r="V265" s="188">
        <v>20.062850165919258</v>
      </c>
      <c r="W265" s="188">
        <v>19.727229710935024</v>
      </c>
      <c r="X265" s="188">
        <v>19.391609255950783</v>
      </c>
      <c r="Y265" s="188">
        <v>19.055988800966546</v>
      </c>
      <c r="Z265" s="188">
        <v>18.720368345982308</v>
      </c>
      <c r="AA265" s="188">
        <v>18.384747890998071</v>
      </c>
      <c r="AB265" s="188">
        <v>18.049127436013833</v>
      </c>
      <c r="AC265" s="188">
        <v>17.713506981029596</v>
      </c>
      <c r="AD265" s="188">
        <v>17.377886526045359</v>
      </c>
      <c r="AE265" s="188">
        <v>17.042266071061118</v>
      </c>
      <c r="AF265" s="188">
        <v>16.70664561607688</v>
      </c>
      <c r="AG265" s="188">
        <v>16.371025161092643</v>
      </c>
      <c r="AH265" s="188">
        <v>16.035404706108405</v>
      </c>
      <c r="AI265" s="188">
        <v>15.69978425112417</v>
      </c>
      <c r="AJ265" s="188">
        <v>15.364163796139934</v>
      </c>
    </row>
    <row r="266" spans="1:36" hidden="1" x14ac:dyDescent="0.35">
      <c r="A266" t="s">
        <v>1745</v>
      </c>
      <c r="B266" s="188" t="s">
        <v>1342</v>
      </c>
      <c r="C266" t="s">
        <v>1350</v>
      </c>
      <c r="D266" s="188">
        <v>30</v>
      </c>
      <c r="E266" t="s">
        <v>1742</v>
      </c>
      <c r="F266" t="s">
        <v>1363</v>
      </c>
      <c r="G266" s="188" t="s">
        <v>1743</v>
      </c>
      <c r="H266" s="188">
        <v>33.611297392310398</v>
      </c>
      <c r="I266" s="188">
        <v>30.362045461474846</v>
      </c>
      <c r="J266" s="188">
        <v>30.128312507336265</v>
      </c>
      <c r="K266" s="188">
        <v>29.894579553197683</v>
      </c>
      <c r="L266" s="188">
        <v>29.660846599059102</v>
      </c>
      <c r="M266" s="188">
        <v>29.427113644920521</v>
      </c>
      <c r="N266" s="188">
        <v>29.19338069078194</v>
      </c>
      <c r="O266" s="188">
        <v>28.959647736643362</v>
      </c>
      <c r="P266" s="188">
        <v>28.72591478250478</v>
      </c>
      <c r="Q266" s="188">
        <v>28.492181828366199</v>
      </c>
      <c r="R266" s="188">
        <v>28.258448874227618</v>
      </c>
      <c r="S266" s="188">
        <v>28.024715920089037</v>
      </c>
      <c r="T266" s="188">
        <v>27.790982965950455</v>
      </c>
      <c r="U266" s="188">
        <v>27.55725001181187</v>
      </c>
      <c r="V266" s="188">
        <v>27.079998052417974</v>
      </c>
      <c r="W266" s="188">
        <v>26.602746093024084</v>
      </c>
      <c r="X266" s="188">
        <v>26.125494133630191</v>
      </c>
      <c r="Y266" s="188">
        <v>25.648242174236294</v>
      </c>
      <c r="Z266" s="188">
        <v>25.170990214842401</v>
      </c>
      <c r="AA266" s="188">
        <v>24.693738255448512</v>
      </c>
      <c r="AB266" s="188">
        <v>24.216486296054615</v>
      </c>
      <c r="AC266" s="188">
        <v>23.739234336660722</v>
      </c>
      <c r="AD266" s="188">
        <v>23.261982377266829</v>
      </c>
      <c r="AE266" s="188">
        <v>22.78473041787294</v>
      </c>
      <c r="AF266" s="188">
        <v>22.30747845847905</v>
      </c>
      <c r="AG266" s="188">
        <v>21.830226499085157</v>
      </c>
      <c r="AH266" s="188">
        <v>21.352974539691264</v>
      </c>
      <c r="AI266" s="188">
        <v>20.875722580297374</v>
      </c>
      <c r="AJ266" s="188">
        <v>20.398470620903499</v>
      </c>
    </row>
    <row r="267" spans="1:36" hidden="1" x14ac:dyDescent="0.35">
      <c r="A267" t="s">
        <v>1746</v>
      </c>
      <c r="B267" s="188" t="s">
        <v>1342</v>
      </c>
      <c r="C267" t="s">
        <v>1343</v>
      </c>
      <c r="D267" s="188">
        <v>30</v>
      </c>
      <c r="E267" t="s">
        <v>1742</v>
      </c>
      <c r="F267" t="s">
        <v>1345</v>
      </c>
      <c r="G267" s="188" t="s">
        <v>1747</v>
      </c>
      <c r="H267" s="188">
        <v>33.611297392310398</v>
      </c>
      <c r="I267" s="188">
        <v>30.362045461474846</v>
      </c>
      <c r="J267" s="188">
        <v>29.112221989363608</v>
      </c>
      <c r="K267" s="188">
        <v>27.862398517252362</v>
      </c>
      <c r="L267" s="188">
        <v>26.612575045141121</v>
      </c>
      <c r="M267" s="188">
        <v>25.362751573029882</v>
      </c>
      <c r="N267" s="188">
        <v>24.112928100918637</v>
      </c>
      <c r="O267" s="188">
        <v>22.863104628807399</v>
      </c>
      <c r="P267" s="188">
        <v>21.613281156696154</v>
      </c>
      <c r="Q267" s="188">
        <v>20.363457684584912</v>
      </c>
      <c r="R267" s="188">
        <v>19.113634212473674</v>
      </c>
      <c r="S267" s="188">
        <v>17.863810740362428</v>
      </c>
      <c r="T267" s="188">
        <v>16.613987268251186</v>
      </c>
      <c r="U267" s="188">
        <v>15.364163796139934</v>
      </c>
      <c r="V267" s="188">
        <v>15.183887638577856</v>
      </c>
      <c r="W267" s="188">
        <v>15.003611481015778</v>
      </c>
      <c r="X267" s="188">
        <v>14.8233353234537</v>
      </c>
      <c r="Y267" s="188">
        <v>14.643059165891621</v>
      </c>
      <c r="Z267" s="188">
        <v>14.462783008329541</v>
      </c>
      <c r="AA267" s="188">
        <v>14.282506850767463</v>
      </c>
      <c r="AB267" s="188">
        <v>14.102230693205383</v>
      </c>
      <c r="AC267" s="188">
        <v>13.921954535643305</v>
      </c>
      <c r="AD267" s="188">
        <v>13.741678378081225</v>
      </c>
      <c r="AE267" s="188">
        <v>13.561402220519147</v>
      </c>
      <c r="AF267" s="188">
        <v>13.381126062957067</v>
      </c>
      <c r="AG267" s="188">
        <v>13.200849905394991</v>
      </c>
      <c r="AH267" s="188">
        <v>13.020573747832913</v>
      </c>
      <c r="AI267" s="188">
        <v>12.840297590270836</v>
      </c>
      <c r="AJ267" s="188">
        <v>12.660021432708763</v>
      </c>
    </row>
    <row r="268" spans="1:36" hidden="1" x14ac:dyDescent="0.35">
      <c r="A268" t="s">
        <v>1748</v>
      </c>
      <c r="B268" s="188" t="s">
        <v>1342</v>
      </c>
      <c r="C268" t="s">
        <v>1348</v>
      </c>
      <c r="D268" s="188">
        <v>30</v>
      </c>
      <c r="E268" t="s">
        <v>1742</v>
      </c>
      <c r="F268" t="s">
        <v>1345</v>
      </c>
      <c r="G268" s="188" t="s">
        <v>1747</v>
      </c>
      <c r="H268" s="188">
        <v>33.611297392310398</v>
      </c>
      <c r="I268" s="188">
        <v>30.362045461474846</v>
      </c>
      <c r="J268" s="188">
        <v>29.531747558093898</v>
      </c>
      <c r="K268" s="188">
        <v>28.701449654712953</v>
      </c>
      <c r="L268" s="188">
        <v>27.871151751332</v>
      </c>
      <c r="M268" s="188">
        <v>27.040853847951055</v>
      </c>
      <c r="N268" s="188">
        <v>26.210555944570107</v>
      </c>
      <c r="O268" s="188">
        <v>25.380258041189158</v>
      </c>
      <c r="P268" s="188">
        <v>24.549960137808213</v>
      </c>
      <c r="Q268" s="188">
        <v>23.719662234427261</v>
      </c>
      <c r="R268" s="188">
        <v>22.88936433104632</v>
      </c>
      <c r="S268" s="188">
        <v>22.059066427665371</v>
      </c>
      <c r="T268" s="188">
        <v>21.22876852428443</v>
      </c>
      <c r="U268" s="188">
        <v>20.398470620903499</v>
      </c>
      <c r="V268" s="188">
        <v>20.062850165919258</v>
      </c>
      <c r="W268" s="188">
        <v>19.727229710935024</v>
      </c>
      <c r="X268" s="188">
        <v>19.391609255950783</v>
      </c>
      <c r="Y268" s="188">
        <v>19.055988800966546</v>
      </c>
      <c r="Z268" s="188">
        <v>18.720368345982308</v>
      </c>
      <c r="AA268" s="188">
        <v>18.384747890998071</v>
      </c>
      <c r="AB268" s="188">
        <v>18.049127436013833</v>
      </c>
      <c r="AC268" s="188">
        <v>17.713506981029596</v>
      </c>
      <c r="AD268" s="188">
        <v>17.377886526045359</v>
      </c>
      <c r="AE268" s="188">
        <v>17.042266071061118</v>
      </c>
      <c r="AF268" s="188">
        <v>16.70664561607688</v>
      </c>
      <c r="AG268" s="188">
        <v>16.371025161092643</v>
      </c>
      <c r="AH268" s="188">
        <v>16.035404706108405</v>
      </c>
      <c r="AI268" s="188">
        <v>15.69978425112417</v>
      </c>
      <c r="AJ268" s="188">
        <v>15.364163796139934</v>
      </c>
    </row>
    <row r="269" spans="1:36" hidden="1" x14ac:dyDescent="0.35">
      <c r="A269" t="s">
        <v>1749</v>
      </c>
      <c r="B269" s="188" t="s">
        <v>1342</v>
      </c>
      <c r="C269" t="s">
        <v>1350</v>
      </c>
      <c r="D269" s="188">
        <v>30</v>
      </c>
      <c r="E269" t="s">
        <v>1742</v>
      </c>
      <c r="F269" t="s">
        <v>1345</v>
      </c>
      <c r="G269" s="188" t="s">
        <v>1747</v>
      </c>
      <c r="H269" s="188">
        <v>33.611297392310398</v>
      </c>
      <c r="I269" s="188">
        <v>30.362045461474846</v>
      </c>
      <c r="J269" s="188">
        <v>30.128312507336265</v>
      </c>
      <c r="K269" s="188">
        <v>29.894579553197683</v>
      </c>
      <c r="L269" s="188">
        <v>29.660846599059102</v>
      </c>
      <c r="M269" s="188">
        <v>29.427113644920521</v>
      </c>
      <c r="N269" s="188">
        <v>29.19338069078194</v>
      </c>
      <c r="O269" s="188">
        <v>28.959647736643362</v>
      </c>
      <c r="P269" s="188">
        <v>28.72591478250478</v>
      </c>
      <c r="Q269" s="188">
        <v>28.492181828366199</v>
      </c>
      <c r="R269" s="188">
        <v>28.258448874227618</v>
      </c>
      <c r="S269" s="188">
        <v>28.024715920089037</v>
      </c>
      <c r="T269" s="188">
        <v>27.790982965950455</v>
      </c>
      <c r="U269" s="188">
        <v>27.55725001181187</v>
      </c>
      <c r="V269" s="188">
        <v>27.079998052417974</v>
      </c>
      <c r="W269" s="188">
        <v>26.602746093024084</v>
      </c>
      <c r="X269" s="188">
        <v>26.125494133630191</v>
      </c>
      <c r="Y269" s="188">
        <v>25.648242174236294</v>
      </c>
      <c r="Z269" s="188">
        <v>25.170990214842401</v>
      </c>
      <c r="AA269" s="188">
        <v>24.693738255448512</v>
      </c>
      <c r="AB269" s="188">
        <v>24.216486296054615</v>
      </c>
      <c r="AC269" s="188">
        <v>23.739234336660722</v>
      </c>
      <c r="AD269" s="188">
        <v>23.261982377266829</v>
      </c>
      <c r="AE269" s="188">
        <v>22.78473041787294</v>
      </c>
      <c r="AF269" s="188">
        <v>22.30747845847905</v>
      </c>
      <c r="AG269" s="188">
        <v>21.830226499085157</v>
      </c>
      <c r="AH269" s="188">
        <v>21.352974539691264</v>
      </c>
      <c r="AI269" s="188">
        <v>20.875722580297374</v>
      </c>
      <c r="AJ269" s="188">
        <v>20.398470620903499</v>
      </c>
    </row>
    <row r="270" spans="1:36" hidden="1" x14ac:dyDescent="0.35">
      <c r="A270" t="s">
        <v>1750</v>
      </c>
      <c r="B270" s="188" t="s">
        <v>1342</v>
      </c>
      <c r="C270" t="s">
        <v>1343</v>
      </c>
      <c r="D270" s="188">
        <v>30</v>
      </c>
      <c r="E270" t="s">
        <v>1742</v>
      </c>
      <c r="F270" t="s">
        <v>1352</v>
      </c>
      <c r="G270" s="188" t="s">
        <v>1751</v>
      </c>
      <c r="H270" s="188">
        <v>33.611297392310398</v>
      </c>
      <c r="I270" s="188">
        <v>30.362045461474846</v>
      </c>
      <c r="J270" s="188">
        <v>29.112221989363608</v>
      </c>
      <c r="K270" s="188">
        <v>27.862398517252362</v>
      </c>
      <c r="L270" s="188">
        <v>26.612575045141121</v>
      </c>
      <c r="M270" s="188">
        <v>25.362751573029882</v>
      </c>
      <c r="N270" s="188">
        <v>24.112928100918637</v>
      </c>
      <c r="O270" s="188">
        <v>22.863104628807399</v>
      </c>
      <c r="P270" s="188">
        <v>21.613281156696154</v>
      </c>
      <c r="Q270" s="188">
        <v>20.363457684584912</v>
      </c>
      <c r="R270" s="188">
        <v>19.113634212473674</v>
      </c>
      <c r="S270" s="188">
        <v>17.863810740362428</v>
      </c>
      <c r="T270" s="188">
        <v>16.613987268251186</v>
      </c>
      <c r="U270" s="188">
        <v>15.364163796139934</v>
      </c>
      <c r="V270" s="188">
        <v>15.183887638577856</v>
      </c>
      <c r="W270" s="188">
        <v>15.003611481015778</v>
      </c>
      <c r="X270" s="188">
        <v>14.8233353234537</v>
      </c>
      <c r="Y270" s="188">
        <v>14.643059165891621</v>
      </c>
      <c r="Z270" s="188">
        <v>14.462783008329541</v>
      </c>
      <c r="AA270" s="188">
        <v>14.282506850767463</v>
      </c>
      <c r="AB270" s="188">
        <v>14.102230693205383</v>
      </c>
      <c r="AC270" s="188">
        <v>13.921954535643305</v>
      </c>
      <c r="AD270" s="188">
        <v>13.741678378081225</v>
      </c>
      <c r="AE270" s="188">
        <v>13.561402220519147</v>
      </c>
      <c r="AF270" s="188">
        <v>13.381126062957067</v>
      </c>
      <c r="AG270" s="188">
        <v>13.200849905394991</v>
      </c>
      <c r="AH270" s="188">
        <v>13.020573747832913</v>
      </c>
      <c r="AI270" s="188">
        <v>12.840297590270836</v>
      </c>
      <c r="AJ270" s="188">
        <v>12.660021432708763</v>
      </c>
    </row>
    <row r="271" spans="1:36" hidden="1" x14ac:dyDescent="0.35">
      <c r="A271" t="s">
        <v>1752</v>
      </c>
      <c r="B271" s="188" t="s">
        <v>1342</v>
      </c>
      <c r="C271" t="s">
        <v>1348</v>
      </c>
      <c r="D271" s="188">
        <v>30</v>
      </c>
      <c r="E271" t="s">
        <v>1742</v>
      </c>
      <c r="F271" t="s">
        <v>1352</v>
      </c>
      <c r="G271" s="188" t="s">
        <v>1751</v>
      </c>
      <c r="H271" s="188">
        <v>33.611297392310398</v>
      </c>
      <c r="I271" s="188">
        <v>30.362045461474846</v>
      </c>
      <c r="J271" s="188">
        <v>29.531747558093898</v>
      </c>
      <c r="K271" s="188">
        <v>28.701449654712953</v>
      </c>
      <c r="L271" s="188">
        <v>27.871151751332</v>
      </c>
      <c r="M271" s="188">
        <v>27.040853847951055</v>
      </c>
      <c r="N271" s="188">
        <v>26.210555944570107</v>
      </c>
      <c r="O271" s="188">
        <v>25.380258041189158</v>
      </c>
      <c r="P271" s="188">
        <v>24.549960137808213</v>
      </c>
      <c r="Q271" s="188">
        <v>23.719662234427261</v>
      </c>
      <c r="R271" s="188">
        <v>22.88936433104632</v>
      </c>
      <c r="S271" s="188">
        <v>22.059066427665371</v>
      </c>
      <c r="T271" s="188">
        <v>21.22876852428443</v>
      </c>
      <c r="U271" s="188">
        <v>20.398470620903499</v>
      </c>
      <c r="V271" s="188">
        <v>20.062850165919258</v>
      </c>
      <c r="W271" s="188">
        <v>19.727229710935024</v>
      </c>
      <c r="X271" s="188">
        <v>19.391609255950783</v>
      </c>
      <c r="Y271" s="188">
        <v>19.055988800966546</v>
      </c>
      <c r="Z271" s="188">
        <v>18.720368345982308</v>
      </c>
      <c r="AA271" s="188">
        <v>18.384747890998071</v>
      </c>
      <c r="AB271" s="188">
        <v>18.049127436013833</v>
      </c>
      <c r="AC271" s="188">
        <v>17.713506981029596</v>
      </c>
      <c r="AD271" s="188">
        <v>17.377886526045359</v>
      </c>
      <c r="AE271" s="188">
        <v>17.042266071061118</v>
      </c>
      <c r="AF271" s="188">
        <v>16.70664561607688</v>
      </c>
      <c r="AG271" s="188">
        <v>16.371025161092643</v>
      </c>
      <c r="AH271" s="188">
        <v>16.035404706108405</v>
      </c>
      <c r="AI271" s="188">
        <v>15.69978425112417</v>
      </c>
      <c r="AJ271" s="188">
        <v>15.364163796139934</v>
      </c>
    </row>
    <row r="272" spans="1:36" hidden="1" x14ac:dyDescent="0.35">
      <c r="A272" t="s">
        <v>1753</v>
      </c>
      <c r="B272" s="188" t="s">
        <v>1342</v>
      </c>
      <c r="C272" t="s">
        <v>1350</v>
      </c>
      <c r="D272" s="188">
        <v>30</v>
      </c>
      <c r="E272" t="s">
        <v>1742</v>
      </c>
      <c r="F272" t="s">
        <v>1352</v>
      </c>
      <c r="G272" s="188" t="s">
        <v>1751</v>
      </c>
      <c r="H272" s="188">
        <v>33.611297392310398</v>
      </c>
      <c r="I272" s="188">
        <v>30.362045461474846</v>
      </c>
      <c r="J272" s="188">
        <v>30.128312507336265</v>
      </c>
      <c r="K272" s="188">
        <v>29.894579553197683</v>
      </c>
      <c r="L272" s="188">
        <v>29.660846599059102</v>
      </c>
      <c r="M272" s="188">
        <v>29.427113644920521</v>
      </c>
      <c r="N272" s="188">
        <v>29.19338069078194</v>
      </c>
      <c r="O272" s="188">
        <v>28.959647736643362</v>
      </c>
      <c r="P272" s="188">
        <v>28.72591478250478</v>
      </c>
      <c r="Q272" s="188">
        <v>28.492181828366199</v>
      </c>
      <c r="R272" s="188">
        <v>28.258448874227618</v>
      </c>
      <c r="S272" s="188">
        <v>28.024715920089037</v>
      </c>
      <c r="T272" s="188">
        <v>27.790982965950455</v>
      </c>
      <c r="U272" s="188">
        <v>27.55725001181187</v>
      </c>
      <c r="V272" s="188">
        <v>27.079998052417974</v>
      </c>
      <c r="W272" s="188">
        <v>26.602746093024084</v>
      </c>
      <c r="X272" s="188">
        <v>26.125494133630191</v>
      </c>
      <c r="Y272" s="188">
        <v>25.648242174236294</v>
      </c>
      <c r="Z272" s="188">
        <v>25.170990214842401</v>
      </c>
      <c r="AA272" s="188">
        <v>24.693738255448512</v>
      </c>
      <c r="AB272" s="188">
        <v>24.216486296054615</v>
      </c>
      <c r="AC272" s="188">
        <v>23.739234336660722</v>
      </c>
      <c r="AD272" s="188">
        <v>23.261982377266829</v>
      </c>
      <c r="AE272" s="188">
        <v>22.78473041787294</v>
      </c>
      <c r="AF272" s="188">
        <v>22.30747845847905</v>
      </c>
      <c r="AG272" s="188">
        <v>21.830226499085157</v>
      </c>
      <c r="AH272" s="188">
        <v>21.352974539691264</v>
      </c>
      <c r="AI272" s="188">
        <v>20.875722580297374</v>
      </c>
      <c r="AJ272" s="188">
        <v>20.398470620903499</v>
      </c>
    </row>
    <row r="273" spans="1:36" hidden="1" x14ac:dyDescent="0.35">
      <c r="A273" t="s">
        <v>1754</v>
      </c>
      <c r="B273" s="188" t="s">
        <v>1342</v>
      </c>
      <c r="C273" t="s">
        <v>1343</v>
      </c>
      <c r="D273" s="188">
        <v>30</v>
      </c>
      <c r="E273" t="s">
        <v>1742</v>
      </c>
      <c r="F273" t="s">
        <v>1376</v>
      </c>
      <c r="G273" s="188" t="s">
        <v>1755</v>
      </c>
      <c r="H273" s="188">
        <v>33.611297392310398</v>
      </c>
      <c r="I273" s="188">
        <v>30.362045461474846</v>
      </c>
      <c r="J273" s="188">
        <v>29.112221989363608</v>
      </c>
      <c r="K273" s="188">
        <v>27.862398517252362</v>
      </c>
      <c r="L273" s="188">
        <v>26.612575045141121</v>
      </c>
      <c r="M273" s="188">
        <v>25.362751573029882</v>
      </c>
      <c r="N273" s="188">
        <v>24.112928100918637</v>
      </c>
      <c r="O273" s="188">
        <v>22.863104628807399</v>
      </c>
      <c r="P273" s="188">
        <v>21.613281156696154</v>
      </c>
      <c r="Q273" s="188">
        <v>20.363457684584912</v>
      </c>
      <c r="R273" s="188">
        <v>19.113634212473674</v>
      </c>
      <c r="S273" s="188">
        <v>17.863810740362428</v>
      </c>
      <c r="T273" s="188">
        <v>16.613987268251186</v>
      </c>
      <c r="U273" s="188">
        <v>15.364163796139934</v>
      </c>
      <c r="V273" s="188">
        <v>15.183887638577856</v>
      </c>
      <c r="W273" s="188">
        <v>15.003611481015778</v>
      </c>
      <c r="X273" s="188">
        <v>14.8233353234537</v>
      </c>
      <c r="Y273" s="188">
        <v>14.643059165891621</v>
      </c>
      <c r="Z273" s="188">
        <v>14.462783008329541</v>
      </c>
      <c r="AA273" s="188">
        <v>14.282506850767463</v>
      </c>
      <c r="AB273" s="188">
        <v>14.102230693205383</v>
      </c>
      <c r="AC273" s="188">
        <v>13.921954535643305</v>
      </c>
      <c r="AD273" s="188">
        <v>13.741678378081225</v>
      </c>
      <c r="AE273" s="188">
        <v>13.561402220519147</v>
      </c>
      <c r="AF273" s="188">
        <v>13.381126062957067</v>
      </c>
      <c r="AG273" s="188">
        <v>13.200849905394991</v>
      </c>
      <c r="AH273" s="188">
        <v>13.020573747832913</v>
      </c>
      <c r="AI273" s="188">
        <v>12.840297590270836</v>
      </c>
      <c r="AJ273" s="188">
        <v>12.660021432708763</v>
      </c>
    </row>
    <row r="274" spans="1:36" hidden="1" x14ac:dyDescent="0.35">
      <c r="A274" t="s">
        <v>1756</v>
      </c>
      <c r="B274" s="188" t="s">
        <v>1342</v>
      </c>
      <c r="C274" t="s">
        <v>1348</v>
      </c>
      <c r="D274" s="188">
        <v>30</v>
      </c>
      <c r="E274" t="s">
        <v>1742</v>
      </c>
      <c r="F274" t="s">
        <v>1376</v>
      </c>
      <c r="G274" s="188" t="s">
        <v>1755</v>
      </c>
      <c r="H274" s="188">
        <v>33.611297392310398</v>
      </c>
      <c r="I274" s="188">
        <v>30.362045461474846</v>
      </c>
      <c r="J274" s="188">
        <v>29.531747558093898</v>
      </c>
      <c r="K274" s="188">
        <v>28.701449654712953</v>
      </c>
      <c r="L274" s="188">
        <v>27.871151751332</v>
      </c>
      <c r="M274" s="188">
        <v>27.040853847951055</v>
      </c>
      <c r="N274" s="188">
        <v>26.210555944570107</v>
      </c>
      <c r="O274" s="188">
        <v>25.380258041189158</v>
      </c>
      <c r="P274" s="188">
        <v>24.549960137808213</v>
      </c>
      <c r="Q274" s="188">
        <v>23.719662234427261</v>
      </c>
      <c r="R274" s="188">
        <v>22.88936433104632</v>
      </c>
      <c r="S274" s="188">
        <v>22.059066427665371</v>
      </c>
      <c r="T274" s="188">
        <v>21.22876852428443</v>
      </c>
      <c r="U274" s="188">
        <v>20.398470620903499</v>
      </c>
      <c r="V274" s="188">
        <v>20.062850165919258</v>
      </c>
      <c r="W274" s="188">
        <v>19.727229710935024</v>
      </c>
      <c r="X274" s="188">
        <v>19.391609255950783</v>
      </c>
      <c r="Y274" s="188">
        <v>19.055988800966546</v>
      </c>
      <c r="Z274" s="188">
        <v>18.720368345982308</v>
      </c>
      <c r="AA274" s="188">
        <v>18.384747890998071</v>
      </c>
      <c r="AB274" s="188">
        <v>18.049127436013833</v>
      </c>
      <c r="AC274" s="188">
        <v>17.713506981029596</v>
      </c>
      <c r="AD274" s="188">
        <v>17.377886526045359</v>
      </c>
      <c r="AE274" s="188">
        <v>17.042266071061118</v>
      </c>
      <c r="AF274" s="188">
        <v>16.70664561607688</v>
      </c>
      <c r="AG274" s="188">
        <v>16.371025161092643</v>
      </c>
      <c r="AH274" s="188">
        <v>16.035404706108405</v>
      </c>
      <c r="AI274" s="188">
        <v>15.69978425112417</v>
      </c>
      <c r="AJ274" s="188">
        <v>15.364163796139934</v>
      </c>
    </row>
    <row r="275" spans="1:36" hidden="1" x14ac:dyDescent="0.35">
      <c r="A275" t="s">
        <v>1757</v>
      </c>
      <c r="B275" s="188" t="s">
        <v>1342</v>
      </c>
      <c r="C275" t="s">
        <v>1350</v>
      </c>
      <c r="D275" s="188">
        <v>30</v>
      </c>
      <c r="E275" t="s">
        <v>1742</v>
      </c>
      <c r="F275" t="s">
        <v>1376</v>
      </c>
      <c r="G275" s="188" t="s">
        <v>1755</v>
      </c>
      <c r="H275" s="188">
        <v>33.611297392310398</v>
      </c>
      <c r="I275" s="188">
        <v>30.362045461474846</v>
      </c>
      <c r="J275" s="188">
        <v>30.128312507336265</v>
      </c>
      <c r="K275" s="188">
        <v>29.894579553197683</v>
      </c>
      <c r="L275" s="188">
        <v>29.660846599059102</v>
      </c>
      <c r="M275" s="188">
        <v>29.427113644920521</v>
      </c>
      <c r="N275" s="188">
        <v>29.19338069078194</v>
      </c>
      <c r="O275" s="188">
        <v>28.959647736643362</v>
      </c>
      <c r="P275" s="188">
        <v>28.72591478250478</v>
      </c>
      <c r="Q275" s="188">
        <v>28.492181828366199</v>
      </c>
      <c r="R275" s="188">
        <v>28.258448874227618</v>
      </c>
      <c r="S275" s="188">
        <v>28.024715920089037</v>
      </c>
      <c r="T275" s="188">
        <v>27.790982965950455</v>
      </c>
      <c r="U275" s="188">
        <v>27.55725001181187</v>
      </c>
      <c r="V275" s="188">
        <v>27.079998052417974</v>
      </c>
      <c r="W275" s="188">
        <v>26.602746093024084</v>
      </c>
      <c r="X275" s="188">
        <v>26.125494133630191</v>
      </c>
      <c r="Y275" s="188">
        <v>25.648242174236294</v>
      </c>
      <c r="Z275" s="188">
        <v>25.170990214842401</v>
      </c>
      <c r="AA275" s="188">
        <v>24.693738255448512</v>
      </c>
      <c r="AB275" s="188">
        <v>24.216486296054615</v>
      </c>
      <c r="AC275" s="188">
        <v>23.739234336660722</v>
      </c>
      <c r="AD275" s="188">
        <v>23.261982377266829</v>
      </c>
      <c r="AE275" s="188">
        <v>22.78473041787294</v>
      </c>
      <c r="AF275" s="188">
        <v>22.30747845847905</v>
      </c>
      <c r="AG275" s="188">
        <v>21.830226499085157</v>
      </c>
      <c r="AH275" s="188">
        <v>21.352974539691264</v>
      </c>
      <c r="AI275" s="188">
        <v>20.875722580297374</v>
      </c>
      <c r="AJ275" s="188">
        <v>20.398470620903499</v>
      </c>
    </row>
    <row r="276" spans="1:36" hidden="1" x14ac:dyDescent="0.35">
      <c r="A276" t="s">
        <v>1758</v>
      </c>
      <c r="B276" s="188" t="s">
        <v>1342</v>
      </c>
      <c r="C276" t="s">
        <v>1343</v>
      </c>
      <c r="D276" s="188">
        <v>30</v>
      </c>
      <c r="E276" t="s">
        <v>1742</v>
      </c>
      <c r="F276" t="s">
        <v>1381</v>
      </c>
      <c r="G276" s="188" t="s">
        <v>1759</v>
      </c>
      <c r="H276" s="188">
        <v>33.611297392310398</v>
      </c>
      <c r="I276" s="188">
        <v>30.362045461474846</v>
      </c>
      <c r="J276" s="188">
        <v>29.112221989363608</v>
      </c>
      <c r="K276" s="188">
        <v>27.862398517252362</v>
      </c>
      <c r="L276" s="188">
        <v>26.612575045141121</v>
      </c>
      <c r="M276" s="188">
        <v>25.362751573029882</v>
      </c>
      <c r="N276" s="188">
        <v>24.112928100918637</v>
      </c>
      <c r="O276" s="188">
        <v>22.863104628807399</v>
      </c>
      <c r="P276" s="188">
        <v>21.613281156696154</v>
      </c>
      <c r="Q276" s="188">
        <v>20.363457684584912</v>
      </c>
      <c r="R276" s="188">
        <v>19.113634212473674</v>
      </c>
      <c r="S276" s="188">
        <v>17.863810740362428</v>
      </c>
      <c r="T276" s="188">
        <v>16.613987268251186</v>
      </c>
      <c r="U276" s="188">
        <v>15.364163796139934</v>
      </c>
      <c r="V276" s="188">
        <v>15.183887638577856</v>
      </c>
      <c r="W276" s="188">
        <v>15.003611481015778</v>
      </c>
      <c r="X276" s="188">
        <v>14.8233353234537</v>
      </c>
      <c r="Y276" s="188">
        <v>14.643059165891621</v>
      </c>
      <c r="Z276" s="188">
        <v>14.462783008329541</v>
      </c>
      <c r="AA276" s="188">
        <v>14.282506850767463</v>
      </c>
      <c r="AB276" s="188">
        <v>14.102230693205383</v>
      </c>
      <c r="AC276" s="188">
        <v>13.921954535643305</v>
      </c>
      <c r="AD276" s="188">
        <v>13.741678378081225</v>
      </c>
      <c r="AE276" s="188">
        <v>13.561402220519147</v>
      </c>
      <c r="AF276" s="188">
        <v>13.381126062957067</v>
      </c>
      <c r="AG276" s="188">
        <v>13.200849905394991</v>
      </c>
      <c r="AH276" s="188">
        <v>13.020573747832913</v>
      </c>
      <c r="AI276" s="188">
        <v>12.840297590270836</v>
      </c>
      <c r="AJ276" s="188">
        <v>12.660021432708763</v>
      </c>
    </row>
    <row r="277" spans="1:36" hidden="1" x14ac:dyDescent="0.35">
      <c r="A277" t="s">
        <v>1760</v>
      </c>
      <c r="B277" s="188" t="s">
        <v>1342</v>
      </c>
      <c r="C277" t="s">
        <v>1348</v>
      </c>
      <c r="D277" s="188">
        <v>30</v>
      </c>
      <c r="E277" t="s">
        <v>1742</v>
      </c>
      <c r="F277" t="s">
        <v>1381</v>
      </c>
      <c r="G277" s="188" t="s">
        <v>1759</v>
      </c>
      <c r="H277" s="188">
        <v>33.611297392310398</v>
      </c>
      <c r="I277" s="188">
        <v>30.362045461474846</v>
      </c>
      <c r="J277" s="188">
        <v>29.531747558093898</v>
      </c>
      <c r="K277" s="188">
        <v>28.701449654712953</v>
      </c>
      <c r="L277" s="188">
        <v>27.871151751332</v>
      </c>
      <c r="M277" s="188">
        <v>27.040853847951055</v>
      </c>
      <c r="N277" s="188">
        <v>26.210555944570107</v>
      </c>
      <c r="O277" s="188">
        <v>25.380258041189158</v>
      </c>
      <c r="P277" s="188">
        <v>24.549960137808213</v>
      </c>
      <c r="Q277" s="188">
        <v>23.719662234427261</v>
      </c>
      <c r="R277" s="188">
        <v>22.88936433104632</v>
      </c>
      <c r="S277" s="188">
        <v>22.059066427665371</v>
      </c>
      <c r="T277" s="188">
        <v>21.22876852428443</v>
      </c>
      <c r="U277" s="188">
        <v>20.398470620903499</v>
      </c>
      <c r="V277" s="188">
        <v>20.062850165919258</v>
      </c>
      <c r="W277" s="188">
        <v>19.727229710935024</v>
      </c>
      <c r="X277" s="188">
        <v>19.391609255950783</v>
      </c>
      <c r="Y277" s="188">
        <v>19.055988800966546</v>
      </c>
      <c r="Z277" s="188">
        <v>18.720368345982308</v>
      </c>
      <c r="AA277" s="188">
        <v>18.384747890998071</v>
      </c>
      <c r="AB277" s="188">
        <v>18.049127436013833</v>
      </c>
      <c r="AC277" s="188">
        <v>17.713506981029596</v>
      </c>
      <c r="AD277" s="188">
        <v>17.377886526045359</v>
      </c>
      <c r="AE277" s="188">
        <v>17.042266071061118</v>
      </c>
      <c r="AF277" s="188">
        <v>16.70664561607688</v>
      </c>
      <c r="AG277" s="188">
        <v>16.371025161092643</v>
      </c>
      <c r="AH277" s="188">
        <v>16.035404706108405</v>
      </c>
      <c r="AI277" s="188">
        <v>15.69978425112417</v>
      </c>
      <c r="AJ277" s="188">
        <v>15.364163796139934</v>
      </c>
    </row>
    <row r="278" spans="1:36" hidden="1" x14ac:dyDescent="0.35">
      <c r="A278" t="s">
        <v>1761</v>
      </c>
      <c r="B278" s="188" t="s">
        <v>1342</v>
      </c>
      <c r="C278" t="s">
        <v>1350</v>
      </c>
      <c r="D278" s="188">
        <v>30</v>
      </c>
      <c r="E278" t="s">
        <v>1742</v>
      </c>
      <c r="F278" t="s">
        <v>1381</v>
      </c>
      <c r="G278" s="188" t="s">
        <v>1759</v>
      </c>
      <c r="H278" s="188">
        <v>33.611297392310398</v>
      </c>
      <c r="I278" s="188">
        <v>30.362045461474846</v>
      </c>
      <c r="J278" s="188">
        <v>30.128312507336265</v>
      </c>
      <c r="K278" s="188">
        <v>29.894579553197683</v>
      </c>
      <c r="L278" s="188">
        <v>29.660846599059102</v>
      </c>
      <c r="M278" s="188">
        <v>29.427113644920521</v>
      </c>
      <c r="N278" s="188">
        <v>29.19338069078194</v>
      </c>
      <c r="O278" s="188">
        <v>28.959647736643362</v>
      </c>
      <c r="P278" s="188">
        <v>28.72591478250478</v>
      </c>
      <c r="Q278" s="188">
        <v>28.492181828366199</v>
      </c>
      <c r="R278" s="188">
        <v>28.258448874227618</v>
      </c>
      <c r="S278" s="188">
        <v>28.024715920089037</v>
      </c>
      <c r="T278" s="188">
        <v>27.790982965950455</v>
      </c>
      <c r="U278" s="188">
        <v>27.55725001181187</v>
      </c>
      <c r="V278" s="188">
        <v>27.079998052417974</v>
      </c>
      <c r="W278" s="188">
        <v>26.602746093024084</v>
      </c>
      <c r="X278" s="188">
        <v>26.125494133630191</v>
      </c>
      <c r="Y278" s="188">
        <v>25.648242174236294</v>
      </c>
      <c r="Z278" s="188">
        <v>25.170990214842401</v>
      </c>
      <c r="AA278" s="188">
        <v>24.693738255448512</v>
      </c>
      <c r="AB278" s="188">
        <v>24.216486296054615</v>
      </c>
      <c r="AC278" s="188">
        <v>23.739234336660722</v>
      </c>
      <c r="AD278" s="188">
        <v>23.261982377266829</v>
      </c>
      <c r="AE278" s="188">
        <v>22.78473041787294</v>
      </c>
      <c r="AF278" s="188">
        <v>22.30747845847905</v>
      </c>
      <c r="AG278" s="188">
        <v>21.830226499085157</v>
      </c>
      <c r="AH278" s="188">
        <v>21.352974539691264</v>
      </c>
      <c r="AI278" s="188">
        <v>20.875722580297374</v>
      </c>
      <c r="AJ278" s="188">
        <v>20.398470620903499</v>
      </c>
    </row>
    <row r="279" spans="1:36" hidden="1" x14ac:dyDescent="0.35">
      <c r="A279" t="s">
        <v>1762</v>
      </c>
      <c r="B279" s="188" t="s">
        <v>1342</v>
      </c>
      <c r="C279" t="s">
        <v>1343</v>
      </c>
      <c r="D279" s="188">
        <v>30</v>
      </c>
      <c r="E279" t="s">
        <v>1742</v>
      </c>
      <c r="F279" t="s">
        <v>1386</v>
      </c>
      <c r="G279" s="188" t="s">
        <v>1763</v>
      </c>
      <c r="H279" s="188">
        <v>33.611297392310398</v>
      </c>
      <c r="I279" s="188">
        <v>30.362045461474846</v>
      </c>
      <c r="J279" s="188">
        <v>29.112221989363608</v>
      </c>
      <c r="K279" s="188">
        <v>27.862398517252362</v>
      </c>
      <c r="L279" s="188">
        <v>26.612575045141121</v>
      </c>
      <c r="M279" s="188">
        <v>25.362751573029882</v>
      </c>
      <c r="N279" s="188">
        <v>24.112928100918637</v>
      </c>
      <c r="O279" s="188">
        <v>22.863104628807399</v>
      </c>
      <c r="P279" s="188">
        <v>21.613281156696154</v>
      </c>
      <c r="Q279" s="188">
        <v>20.363457684584912</v>
      </c>
      <c r="R279" s="188">
        <v>19.113634212473674</v>
      </c>
      <c r="S279" s="188">
        <v>17.863810740362428</v>
      </c>
      <c r="T279" s="188">
        <v>16.613987268251186</v>
      </c>
      <c r="U279" s="188">
        <v>15.364163796139934</v>
      </c>
      <c r="V279" s="188">
        <v>15.183887638577856</v>
      </c>
      <c r="W279" s="188">
        <v>15.003611481015778</v>
      </c>
      <c r="X279" s="188">
        <v>14.8233353234537</v>
      </c>
      <c r="Y279" s="188">
        <v>14.643059165891621</v>
      </c>
      <c r="Z279" s="188">
        <v>14.462783008329541</v>
      </c>
      <c r="AA279" s="188">
        <v>14.282506850767463</v>
      </c>
      <c r="AB279" s="188">
        <v>14.102230693205383</v>
      </c>
      <c r="AC279" s="188">
        <v>13.921954535643305</v>
      </c>
      <c r="AD279" s="188">
        <v>13.741678378081225</v>
      </c>
      <c r="AE279" s="188">
        <v>13.561402220519147</v>
      </c>
      <c r="AF279" s="188">
        <v>13.381126062957067</v>
      </c>
      <c r="AG279" s="188">
        <v>13.200849905394991</v>
      </c>
      <c r="AH279" s="188">
        <v>13.020573747832913</v>
      </c>
      <c r="AI279" s="188">
        <v>12.840297590270836</v>
      </c>
      <c r="AJ279" s="188">
        <v>12.660021432708763</v>
      </c>
    </row>
    <row r="280" spans="1:36" hidden="1" x14ac:dyDescent="0.35">
      <c r="A280" t="s">
        <v>1764</v>
      </c>
      <c r="B280" s="188" t="s">
        <v>1342</v>
      </c>
      <c r="C280" t="s">
        <v>1348</v>
      </c>
      <c r="D280" s="188">
        <v>30</v>
      </c>
      <c r="E280" t="s">
        <v>1742</v>
      </c>
      <c r="F280" t="s">
        <v>1386</v>
      </c>
      <c r="G280" s="188" t="s">
        <v>1763</v>
      </c>
      <c r="H280" s="188">
        <v>33.611297392310398</v>
      </c>
      <c r="I280" s="188">
        <v>30.362045461474846</v>
      </c>
      <c r="J280" s="188">
        <v>29.531747558093898</v>
      </c>
      <c r="K280" s="188">
        <v>28.701449654712953</v>
      </c>
      <c r="L280" s="188">
        <v>27.871151751332</v>
      </c>
      <c r="M280" s="188">
        <v>27.040853847951055</v>
      </c>
      <c r="N280" s="188">
        <v>26.210555944570107</v>
      </c>
      <c r="O280" s="188">
        <v>25.380258041189158</v>
      </c>
      <c r="P280" s="188">
        <v>24.549960137808213</v>
      </c>
      <c r="Q280" s="188">
        <v>23.719662234427261</v>
      </c>
      <c r="R280" s="188">
        <v>22.88936433104632</v>
      </c>
      <c r="S280" s="188">
        <v>22.059066427665371</v>
      </c>
      <c r="T280" s="188">
        <v>21.22876852428443</v>
      </c>
      <c r="U280" s="188">
        <v>20.398470620903499</v>
      </c>
      <c r="V280" s="188">
        <v>20.062850165919258</v>
      </c>
      <c r="W280" s="188">
        <v>19.727229710935024</v>
      </c>
      <c r="X280" s="188">
        <v>19.391609255950783</v>
      </c>
      <c r="Y280" s="188">
        <v>19.055988800966546</v>
      </c>
      <c r="Z280" s="188">
        <v>18.720368345982308</v>
      </c>
      <c r="AA280" s="188">
        <v>18.384747890998071</v>
      </c>
      <c r="AB280" s="188">
        <v>18.049127436013833</v>
      </c>
      <c r="AC280" s="188">
        <v>17.713506981029596</v>
      </c>
      <c r="AD280" s="188">
        <v>17.377886526045359</v>
      </c>
      <c r="AE280" s="188">
        <v>17.042266071061118</v>
      </c>
      <c r="AF280" s="188">
        <v>16.70664561607688</v>
      </c>
      <c r="AG280" s="188">
        <v>16.371025161092643</v>
      </c>
      <c r="AH280" s="188">
        <v>16.035404706108405</v>
      </c>
      <c r="AI280" s="188">
        <v>15.69978425112417</v>
      </c>
      <c r="AJ280" s="188">
        <v>15.364163796139934</v>
      </c>
    </row>
    <row r="281" spans="1:36" hidden="1" x14ac:dyDescent="0.35">
      <c r="A281" t="s">
        <v>1765</v>
      </c>
      <c r="B281" s="188" t="s">
        <v>1342</v>
      </c>
      <c r="C281" t="s">
        <v>1350</v>
      </c>
      <c r="D281" s="188">
        <v>30</v>
      </c>
      <c r="E281" t="s">
        <v>1742</v>
      </c>
      <c r="F281" t="s">
        <v>1386</v>
      </c>
      <c r="G281" s="188" t="s">
        <v>1763</v>
      </c>
      <c r="H281" s="188">
        <v>33.611297392310398</v>
      </c>
      <c r="I281" s="188">
        <v>30.362045461474846</v>
      </c>
      <c r="J281" s="188">
        <v>30.128312507336265</v>
      </c>
      <c r="K281" s="188">
        <v>29.894579553197683</v>
      </c>
      <c r="L281" s="188">
        <v>29.660846599059102</v>
      </c>
      <c r="M281" s="188">
        <v>29.427113644920521</v>
      </c>
      <c r="N281" s="188">
        <v>29.19338069078194</v>
      </c>
      <c r="O281" s="188">
        <v>28.959647736643362</v>
      </c>
      <c r="P281" s="188">
        <v>28.72591478250478</v>
      </c>
      <c r="Q281" s="188">
        <v>28.492181828366199</v>
      </c>
      <c r="R281" s="188">
        <v>28.258448874227618</v>
      </c>
      <c r="S281" s="188">
        <v>28.024715920089037</v>
      </c>
      <c r="T281" s="188">
        <v>27.790982965950455</v>
      </c>
      <c r="U281" s="188">
        <v>27.55725001181187</v>
      </c>
      <c r="V281" s="188">
        <v>27.079998052417974</v>
      </c>
      <c r="W281" s="188">
        <v>26.602746093024084</v>
      </c>
      <c r="X281" s="188">
        <v>26.125494133630191</v>
      </c>
      <c r="Y281" s="188">
        <v>25.648242174236294</v>
      </c>
      <c r="Z281" s="188">
        <v>25.170990214842401</v>
      </c>
      <c r="AA281" s="188">
        <v>24.693738255448512</v>
      </c>
      <c r="AB281" s="188">
        <v>24.216486296054615</v>
      </c>
      <c r="AC281" s="188">
        <v>23.739234336660722</v>
      </c>
      <c r="AD281" s="188">
        <v>23.261982377266829</v>
      </c>
      <c r="AE281" s="188">
        <v>22.78473041787294</v>
      </c>
      <c r="AF281" s="188">
        <v>22.30747845847905</v>
      </c>
      <c r="AG281" s="188">
        <v>21.830226499085157</v>
      </c>
      <c r="AH281" s="188">
        <v>21.352974539691264</v>
      </c>
      <c r="AI281" s="188">
        <v>20.875722580297374</v>
      </c>
      <c r="AJ281" s="188">
        <v>20.398470620903499</v>
      </c>
    </row>
    <row r="282" spans="1:36" hidden="1" x14ac:dyDescent="0.35">
      <c r="A282" t="s">
        <v>1766</v>
      </c>
      <c r="B282" s="188" t="s">
        <v>1342</v>
      </c>
      <c r="C282" t="s">
        <v>1343</v>
      </c>
      <c r="D282" s="188">
        <v>30</v>
      </c>
      <c r="E282" t="s">
        <v>1742</v>
      </c>
      <c r="F282" t="s">
        <v>1391</v>
      </c>
      <c r="G282" s="188" t="s">
        <v>1767</v>
      </c>
      <c r="H282" s="188">
        <v>33.611297392310398</v>
      </c>
      <c r="I282" s="188">
        <v>30.362045461474846</v>
      </c>
      <c r="J282" s="188">
        <v>29.112221989363608</v>
      </c>
      <c r="K282" s="188">
        <v>27.862398517252362</v>
      </c>
      <c r="L282" s="188">
        <v>26.612575045141121</v>
      </c>
      <c r="M282" s="188">
        <v>25.362751573029882</v>
      </c>
      <c r="N282" s="188">
        <v>24.112928100918637</v>
      </c>
      <c r="O282" s="188">
        <v>22.863104628807399</v>
      </c>
      <c r="P282" s="188">
        <v>21.613281156696154</v>
      </c>
      <c r="Q282" s="188">
        <v>20.363457684584912</v>
      </c>
      <c r="R282" s="188">
        <v>19.113634212473674</v>
      </c>
      <c r="S282" s="188">
        <v>17.863810740362428</v>
      </c>
      <c r="T282" s="188">
        <v>16.613987268251186</v>
      </c>
      <c r="U282" s="188">
        <v>15.364163796139934</v>
      </c>
      <c r="V282" s="188">
        <v>15.183887638577856</v>
      </c>
      <c r="W282" s="188">
        <v>15.003611481015778</v>
      </c>
      <c r="X282" s="188">
        <v>14.8233353234537</v>
      </c>
      <c r="Y282" s="188">
        <v>14.643059165891621</v>
      </c>
      <c r="Z282" s="188">
        <v>14.462783008329541</v>
      </c>
      <c r="AA282" s="188">
        <v>14.282506850767463</v>
      </c>
      <c r="AB282" s="188">
        <v>14.102230693205383</v>
      </c>
      <c r="AC282" s="188">
        <v>13.921954535643305</v>
      </c>
      <c r="AD282" s="188">
        <v>13.741678378081225</v>
      </c>
      <c r="AE282" s="188">
        <v>13.561402220519147</v>
      </c>
      <c r="AF282" s="188">
        <v>13.381126062957067</v>
      </c>
      <c r="AG282" s="188">
        <v>13.200849905394991</v>
      </c>
      <c r="AH282" s="188">
        <v>13.020573747832913</v>
      </c>
      <c r="AI282" s="188">
        <v>12.840297590270836</v>
      </c>
      <c r="AJ282" s="188">
        <v>12.660021432708763</v>
      </c>
    </row>
    <row r="283" spans="1:36" hidden="1" x14ac:dyDescent="0.35">
      <c r="A283" t="s">
        <v>1768</v>
      </c>
      <c r="B283" s="188" t="s">
        <v>1342</v>
      </c>
      <c r="C283" t="s">
        <v>1348</v>
      </c>
      <c r="D283" s="188">
        <v>30</v>
      </c>
      <c r="E283" t="s">
        <v>1742</v>
      </c>
      <c r="F283" t="s">
        <v>1391</v>
      </c>
      <c r="G283" s="188" t="s">
        <v>1767</v>
      </c>
      <c r="H283" s="188">
        <v>33.611297392310398</v>
      </c>
      <c r="I283" s="188">
        <v>30.362045461474846</v>
      </c>
      <c r="J283" s="188">
        <v>29.531747558093898</v>
      </c>
      <c r="K283" s="188">
        <v>28.701449654712953</v>
      </c>
      <c r="L283" s="188">
        <v>27.871151751332</v>
      </c>
      <c r="M283" s="188">
        <v>27.040853847951055</v>
      </c>
      <c r="N283" s="188">
        <v>26.210555944570107</v>
      </c>
      <c r="O283" s="188">
        <v>25.380258041189158</v>
      </c>
      <c r="P283" s="188">
        <v>24.549960137808213</v>
      </c>
      <c r="Q283" s="188">
        <v>23.719662234427261</v>
      </c>
      <c r="R283" s="188">
        <v>22.88936433104632</v>
      </c>
      <c r="S283" s="188">
        <v>22.059066427665371</v>
      </c>
      <c r="T283" s="188">
        <v>21.22876852428443</v>
      </c>
      <c r="U283" s="188">
        <v>20.398470620903499</v>
      </c>
      <c r="V283" s="188">
        <v>20.062850165919258</v>
      </c>
      <c r="W283" s="188">
        <v>19.727229710935024</v>
      </c>
      <c r="X283" s="188">
        <v>19.391609255950783</v>
      </c>
      <c r="Y283" s="188">
        <v>19.055988800966546</v>
      </c>
      <c r="Z283" s="188">
        <v>18.720368345982308</v>
      </c>
      <c r="AA283" s="188">
        <v>18.384747890998071</v>
      </c>
      <c r="AB283" s="188">
        <v>18.049127436013833</v>
      </c>
      <c r="AC283" s="188">
        <v>17.713506981029596</v>
      </c>
      <c r="AD283" s="188">
        <v>17.377886526045359</v>
      </c>
      <c r="AE283" s="188">
        <v>17.042266071061118</v>
      </c>
      <c r="AF283" s="188">
        <v>16.70664561607688</v>
      </c>
      <c r="AG283" s="188">
        <v>16.371025161092643</v>
      </c>
      <c r="AH283" s="188">
        <v>16.035404706108405</v>
      </c>
      <c r="AI283" s="188">
        <v>15.69978425112417</v>
      </c>
      <c r="AJ283" s="188">
        <v>15.364163796139934</v>
      </c>
    </row>
    <row r="284" spans="1:36" hidden="1" x14ac:dyDescent="0.35">
      <c r="A284" t="s">
        <v>1769</v>
      </c>
      <c r="B284" s="188" t="s">
        <v>1342</v>
      </c>
      <c r="C284" t="s">
        <v>1350</v>
      </c>
      <c r="D284" s="188">
        <v>30</v>
      </c>
      <c r="E284" t="s">
        <v>1742</v>
      </c>
      <c r="F284" t="s">
        <v>1391</v>
      </c>
      <c r="G284" s="188" t="s">
        <v>1767</v>
      </c>
      <c r="H284" s="188">
        <v>33.611297392310398</v>
      </c>
      <c r="I284" s="188">
        <v>30.362045461474846</v>
      </c>
      <c r="J284" s="188">
        <v>30.128312507336265</v>
      </c>
      <c r="K284" s="188">
        <v>29.894579553197683</v>
      </c>
      <c r="L284" s="188">
        <v>29.660846599059102</v>
      </c>
      <c r="M284" s="188">
        <v>29.427113644920521</v>
      </c>
      <c r="N284" s="188">
        <v>29.19338069078194</v>
      </c>
      <c r="O284" s="188">
        <v>28.959647736643362</v>
      </c>
      <c r="P284" s="188">
        <v>28.72591478250478</v>
      </c>
      <c r="Q284" s="188">
        <v>28.492181828366199</v>
      </c>
      <c r="R284" s="188">
        <v>28.258448874227618</v>
      </c>
      <c r="S284" s="188">
        <v>28.024715920089037</v>
      </c>
      <c r="T284" s="188">
        <v>27.790982965950455</v>
      </c>
      <c r="U284" s="188">
        <v>27.55725001181187</v>
      </c>
      <c r="V284" s="188">
        <v>27.079998052417974</v>
      </c>
      <c r="W284" s="188">
        <v>26.602746093024084</v>
      </c>
      <c r="X284" s="188">
        <v>26.125494133630191</v>
      </c>
      <c r="Y284" s="188">
        <v>25.648242174236294</v>
      </c>
      <c r="Z284" s="188">
        <v>25.170990214842401</v>
      </c>
      <c r="AA284" s="188">
        <v>24.693738255448512</v>
      </c>
      <c r="AB284" s="188">
        <v>24.216486296054615</v>
      </c>
      <c r="AC284" s="188">
        <v>23.739234336660722</v>
      </c>
      <c r="AD284" s="188">
        <v>23.261982377266829</v>
      </c>
      <c r="AE284" s="188">
        <v>22.78473041787294</v>
      </c>
      <c r="AF284" s="188">
        <v>22.30747845847905</v>
      </c>
      <c r="AG284" s="188">
        <v>21.830226499085157</v>
      </c>
      <c r="AH284" s="188">
        <v>21.352974539691264</v>
      </c>
      <c r="AI284" s="188">
        <v>20.875722580297374</v>
      </c>
      <c r="AJ284" s="188">
        <v>20.398470620903499</v>
      </c>
    </row>
    <row r="285" spans="1:36" hidden="1" x14ac:dyDescent="0.35">
      <c r="A285" t="s">
        <v>1770</v>
      </c>
      <c r="B285" s="188" t="s">
        <v>1342</v>
      </c>
      <c r="C285" t="s">
        <v>1343</v>
      </c>
      <c r="D285" s="188">
        <v>30</v>
      </c>
      <c r="E285" t="s">
        <v>1742</v>
      </c>
      <c r="F285" t="s">
        <v>1357</v>
      </c>
      <c r="G285" s="188" t="s">
        <v>1771</v>
      </c>
      <c r="H285" s="188">
        <v>33.611297392310398</v>
      </c>
      <c r="I285" s="188">
        <v>30.362045461474846</v>
      </c>
      <c r="J285" s="188">
        <v>29.112221989363608</v>
      </c>
      <c r="K285" s="188">
        <v>27.862398517252362</v>
      </c>
      <c r="L285" s="188">
        <v>26.612575045141121</v>
      </c>
      <c r="M285" s="188">
        <v>25.362751573029882</v>
      </c>
      <c r="N285" s="188">
        <v>24.112928100918637</v>
      </c>
      <c r="O285" s="188">
        <v>22.863104628807399</v>
      </c>
      <c r="P285" s="188">
        <v>21.613281156696154</v>
      </c>
      <c r="Q285" s="188">
        <v>20.363457684584912</v>
      </c>
      <c r="R285" s="188">
        <v>19.113634212473674</v>
      </c>
      <c r="S285" s="188">
        <v>17.863810740362428</v>
      </c>
      <c r="T285" s="188">
        <v>16.613987268251186</v>
      </c>
      <c r="U285" s="188">
        <v>15.364163796139934</v>
      </c>
      <c r="V285" s="188">
        <v>15.183887638577856</v>
      </c>
      <c r="W285" s="188">
        <v>15.003611481015778</v>
      </c>
      <c r="X285" s="188">
        <v>14.8233353234537</v>
      </c>
      <c r="Y285" s="188">
        <v>14.643059165891621</v>
      </c>
      <c r="Z285" s="188">
        <v>14.462783008329541</v>
      </c>
      <c r="AA285" s="188">
        <v>14.282506850767463</v>
      </c>
      <c r="AB285" s="188">
        <v>14.102230693205383</v>
      </c>
      <c r="AC285" s="188">
        <v>13.921954535643305</v>
      </c>
      <c r="AD285" s="188">
        <v>13.741678378081225</v>
      </c>
      <c r="AE285" s="188">
        <v>13.561402220519147</v>
      </c>
      <c r="AF285" s="188">
        <v>13.381126062957067</v>
      </c>
      <c r="AG285" s="188">
        <v>13.200849905394991</v>
      </c>
      <c r="AH285" s="188">
        <v>13.020573747832913</v>
      </c>
      <c r="AI285" s="188">
        <v>12.840297590270836</v>
      </c>
      <c r="AJ285" s="188">
        <v>12.660021432708763</v>
      </c>
    </row>
    <row r="286" spans="1:36" hidden="1" x14ac:dyDescent="0.35">
      <c r="A286" t="s">
        <v>1772</v>
      </c>
      <c r="B286" s="188" t="s">
        <v>1342</v>
      </c>
      <c r="C286" t="s">
        <v>1348</v>
      </c>
      <c r="D286" s="188">
        <v>30</v>
      </c>
      <c r="E286" t="s">
        <v>1742</v>
      </c>
      <c r="F286" t="s">
        <v>1357</v>
      </c>
      <c r="G286" s="188" t="s">
        <v>1771</v>
      </c>
      <c r="H286" s="188">
        <v>33.611297392310398</v>
      </c>
      <c r="I286" s="188">
        <v>30.362045461474846</v>
      </c>
      <c r="J286" s="188">
        <v>29.531747558093898</v>
      </c>
      <c r="K286" s="188">
        <v>28.701449654712953</v>
      </c>
      <c r="L286" s="188">
        <v>27.871151751332</v>
      </c>
      <c r="M286" s="188">
        <v>27.040853847951055</v>
      </c>
      <c r="N286" s="188">
        <v>26.210555944570107</v>
      </c>
      <c r="O286" s="188">
        <v>25.380258041189158</v>
      </c>
      <c r="P286" s="188">
        <v>24.549960137808213</v>
      </c>
      <c r="Q286" s="188">
        <v>23.719662234427261</v>
      </c>
      <c r="R286" s="188">
        <v>22.88936433104632</v>
      </c>
      <c r="S286" s="188">
        <v>22.059066427665371</v>
      </c>
      <c r="T286" s="188">
        <v>21.22876852428443</v>
      </c>
      <c r="U286" s="188">
        <v>20.398470620903499</v>
      </c>
      <c r="V286" s="188">
        <v>20.062850165919258</v>
      </c>
      <c r="W286" s="188">
        <v>19.727229710935024</v>
      </c>
      <c r="X286" s="188">
        <v>19.391609255950783</v>
      </c>
      <c r="Y286" s="188">
        <v>19.055988800966546</v>
      </c>
      <c r="Z286" s="188">
        <v>18.720368345982308</v>
      </c>
      <c r="AA286" s="188">
        <v>18.384747890998071</v>
      </c>
      <c r="AB286" s="188">
        <v>18.049127436013833</v>
      </c>
      <c r="AC286" s="188">
        <v>17.713506981029596</v>
      </c>
      <c r="AD286" s="188">
        <v>17.377886526045359</v>
      </c>
      <c r="AE286" s="188">
        <v>17.042266071061118</v>
      </c>
      <c r="AF286" s="188">
        <v>16.70664561607688</v>
      </c>
      <c r="AG286" s="188">
        <v>16.371025161092643</v>
      </c>
      <c r="AH286" s="188">
        <v>16.035404706108405</v>
      </c>
      <c r="AI286" s="188">
        <v>15.69978425112417</v>
      </c>
      <c r="AJ286" s="188">
        <v>15.364163796139934</v>
      </c>
    </row>
    <row r="287" spans="1:36" hidden="1" x14ac:dyDescent="0.35">
      <c r="A287" t="s">
        <v>1773</v>
      </c>
      <c r="B287" s="188" t="s">
        <v>1342</v>
      </c>
      <c r="C287" t="s">
        <v>1350</v>
      </c>
      <c r="D287" s="188">
        <v>30</v>
      </c>
      <c r="E287" t="s">
        <v>1742</v>
      </c>
      <c r="F287" t="s">
        <v>1357</v>
      </c>
      <c r="G287" s="188" t="s">
        <v>1771</v>
      </c>
      <c r="H287" s="188">
        <v>33.611297392310398</v>
      </c>
      <c r="I287" s="188">
        <v>30.362045461474846</v>
      </c>
      <c r="J287" s="188">
        <v>30.128312507336265</v>
      </c>
      <c r="K287" s="188">
        <v>29.894579553197683</v>
      </c>
      <c r="L287" s="188">
        <v>29.660846599059102</v>
      </c>
      <c r="M287" s="188">
        <v>29.427113644920521</v>
      </c>
      <c r="N287" s="188">
        <v>29.19338069078194</v>
      </c>
      <c r="O287" s="188">
        <v>28.959647736643362</v>
      </c>
      <c r="P287" s="188">
        <v>28.72591478250478</v>
      </c>
      <c r="Q287" s="188">
        <v>28.492181828366199</v>
      </c>
      <c r="R287" s="188">
        <v>28.258448874227618</v>
      </c>
      <c r="S287" s="188">
        <v>28.024715920089037</v>
      </c>
      <c r="T287" s="188">
        <v>27.790982965950455</v>
      </c>
      <c r="U287" s="188">
        <v>27.55725001181187</v>
      </c>
      <c r="V287" s="188">
        <v>27.079998052417974</v>
      </c>
      <c r="W287" s="188">
        <v>26.602746093024084</v>
      </c>
      <c r="X287" s="188">
        <v>26.125494133630191</v>
      </c>
      <c r="Y287" s="188">
        <v>25.648242174236294</v>
      </c>
      <c r="Z287" s="188">
        <v>25.170990214842401</v>
      </c>
      <c r="AA287" s="188">
        <v>24.693738255448512</v>
      </c>
      <c r="AB287" s="188">
        <v>24.216486296054615</v>
      </c>
      <c r="AC287" s="188">
        <v>23.739234336660722</v>
      </c>
      <c r="AD287" s="188">
        <v>23.261982377266829</v>
      </c>
      <c r="AE287" s="188">
        <v>22.78473041787294</v>
      </c>
      <c r="AF287" s="188">
        <v>22.30747845847905</v>
      </c>
      <c r="AG287" s="188">
        <v>21.830226499085157</v>
      </c>
      <c r="AH287" s="188">
        <v>21.352974539691264</v>
      </c>
      <c r="AI287" s="188">
        <v>20.875722580297374</v>
      </c>
      <c r="AJ287" s="188">
        <v>20.398470620903499</v>
      </c>
    </row>
    <row r="288" spans="1:36" hidden="1" x14ac:dyDescent="0.35">
      <c r="A288" t="s">
        <v>1774</v>
      </c>
      <c r="B288" s="188" t="s">
        <v>1342</v>
      </c>
      <c r="C288" t="s">
        <v>1343</v>
      </c>
      <c r="D288" s="188">
        <v>30</v>
      </c>
      <c r="E288" t="s">
        <v>1742</v>
      </c>
      <c r="F288" t="s">
        <v>1400</v>
      </c>
      <c r="G288" s="188" t="s">
        <v>1775</v>
      </c>
      <c r="H288" s="188">
        <v>33.611297392310398</v>
      </c>
      <c r="I288" s="188">
        <v>30.362045461474846</v>
      </c>
      <c r="J288" s="188">
        <v>29.112221989363608</v>
      </c>
      <c r="K288" s="188">
        <v>27.862398517252362</v>
      </c>
      <c r="L288" s="188">
        <v>26.612575045141121</v>
      </c>
      <c r="M288" s="188">
        <v>25.362751573029882</v>
      </c>
      <c r="N288" s="188">
        <v>24.112928100918637</v>
      </c>
      <c r="O288" s="188">
        <v>22.863104628807399</v>
      </c>
      <c r="P288" s="188">
        <v>21.613281156696154</v>
      </c>
      <c r="Q288" s="188">
        <v>20.363457684584912</v>
      </c>
      <c r="R288" s="188">
        <v>19.113634212473674</v>
      </c>
      <c r="S288" s="188">
        <v>17.863810740362428</v>
      </c>
      <c r="T288" s="188">
        <v>16.613987268251186</v>
      </c>
      <c r="U288" s="188">
        <v>15.364163796139934</v>
      </c>
      <c r="V288" s="188">
        <v>15.183887638577856</v>
      </c>
      <c r="W288" s="188">
        <v>15.003611481015778</v>
      </c>
      <c r="X288" s="188">
        <v>14.8233353234537</v>
      </c>
      <c r="Y288" s="188">
        <v>14.643059165891621</v>
      </c>
      <c r="Z288" s="188">
        <v>14.462783008329541</v>
      </c>
      <c r="AA288" s="188">
        <v>14.282506850767463</v>
      </c>
      <c r="AB288" s="188">
        <v>14.102230693205383</v>
      </c>
      <c r="AC288" s="188">
        <v>13.921954535643305</v>
      </c>
      <c r="AD288" s="188">
        <v>13.741678378081225</v>
      </c>
      <c r="AE288" s="188">
        <v>13.561402220519147</v>
      </c>
      <c r="AF288" s="188">
        <v>13.381126062957067</v>
      </c>
      <c r="AG288" s="188">
        <v>13.200849905394991</v>
      </c>
      <c r="AH288" s="188">
        <v>13.020573747832913</v>
      </c>
      <c r="AI288" s="188">
        <v>12.840297590270836</v>
      </c>
      <c r="AJ288" s="188">
        <v>12.660021432708763</v>
      </c>
    </row>
    <row r="289" spans="1:36" hidden="1" x14ac:dyDescent="0.35">
      <c r="A289" t="s">
        <v>1776</v>
      </c>
      <c r="B289" s="188" t="s">
        <v>1342</v>
      </c>
      <c r="C289" t="s">
        <v>1348</v>
      </c>
      <c r="D289" s="188">
        <v>30</v>
      </c>
      <c r="E289" t="s">
        <v>1742</v>
      </c>
      <c r="F289" t="s">
        <v>1400</v>
      </c>
      <c r="G289" s="188" t="s">
        <v>1775</v>
      </c>
      <c r="H289" s="188">
        <v>33.611297392310398</v>
      </c>
      <c r="I289" s="188">
        <v>30.362045461474846</v>
      </c>
      <c r="J289" s="188">
        <v>29.531747558093898</v>
      </c>
      <c r="K289" s="188">
        <v>28.701449654712953</v>
      </c>
      <c r="L289" s="188">
        <v>27.871151751332</v>
      </c>
      <c r="M289" s="188">
        <v>27.040853847951055</v>
      </c>
      <c r="N289" s="188">
        <v>26.210555944570107</v>
      </c>
      <c r="O289" s="188">
        <v>25.380258041189158</v>
      </c>
      <c r="P289" s="188">
        <v>24.549960137808213</v>
      </c>
      <c r="Q289" s="188">
        <v>23.719662234427261</v>
      </c>
      <c r="R289" s="188">
        <v>22.88936433104632</v>
      </c>
      <c r="S289" s="188">
        <v>22.059066427665371</v>
      </c>
      <c r="T289" s="188">
        <v>21.22876852428443</v>
      </c>
      <c r="U289" s="188">
        <v>20.398470620903499</v>
      </c>
      <c r="V289" s="188">
        <v>20.062850165919258</v>
      </c>
      <c r="W289" s="188">
        <v>19.727229710935024</v>
      </c>
      <c r="X289" s="188">
        <v>19.391609255950783</v>
      </c>
      <c r="Y289" s="188">
        <v>19.055988800966546</v>
      </c>
      <c r="Z289" s="188">
        <v>18.720368345982308</v>
      </c>
      <c r="AA289" s="188">
        <v>18.384747890998071</v>
      </c>
      <c r="AB289" s="188">
        <v>18.049127436013833</v>
      </c>
      <c r="AC289" s="188">
        <v>17.713506981029596</v>
      </c>
      <c r="AD289" s="188">
        <v>17.377886526045359</v>
      </c>
      <c r="AE289" s="188">
        <v>17.042266071061118</v>
      </c>
      <c r="AF289" s="188">
        <v>16.70664561607688</v>
      </c>
      <c r="AG289" s="188">
        <v>16.371025161092643</v>
      </c>
      <c r="AH289" s="188">
        <v>16.035404706108405</v>
      </c>
      <c r="AI289" s="188">
        <v>15.69978425112417</v>
      </c>
      <c r="AJ289" s="188">
        <v>15.364163796139934</v>
      </c>
    </row>
    <row r="290" spans="1:36" hidden="1" x14ac:dyDescent="0.35">
      <c r="A290" t="s">
        <v>1777</v>
      </c>
      <c r="B290" s="188" t="s">
        <v>1342</v>
      </c>
      <c r="C290" t="s">
        <v>1350</v>
      </c>
      <c r="D290" s="188">
        <v>30</v>
      </c>
      <c r="E290" t="s">
        <v>1742</v>
      </c>
      <c r="F290" t="s">
        <v>1400</v>
      </c>
      <c r="G290" s="188" t="s">
        <v>1775</v>
      </c>
      <c r="H290" s="188">
        <v>33.611297392310398</v>
      </c>
      <c r="I290" s="188">
        <v>30.362045461474846</v>
      </c>
      <c r="J290" s="188">
        <v>30.128312507336265</v>
      </c>
      <c r="K290" s="188">
        <v>29.894579553197683</v>
      </c>
      <c r="L290" s="188">
        <v>29.660846599059102</v>
      </c>
      <c r="M290" s="188">
        <v>29.427113644920521</v>
      </c>
      <c r="N290" s="188">
        <v>29.19338069078194</v>
      </c>
      <c r="O290" s="188">
        <v>28.959647736643362</v>
      </c>
      <c r="P290" s="188">
        <v>28.72591478250478</v>
      </c>
      <c r="Q290" s="188">
        <v>28.492181828366199</v>
      </c>
      <c r="R290" s="188">
        <v>28.258448874227618</v>
      </c>
      <c r="S290" s="188">
        <v>28.024715920089037</v>
      </c>
      <c r="T290" s="188">
        <v>27.790982965950455</v>
      </c>
      <c r="U290" s="188">
        <v>27.55725001181187</v>
      </c>
      <c r="V290" s="188">
        <v>27.079998052417974</v>
      </c>
      <c r="W290" s="188">
        <v>26.602746093024084</v>
      </c>
      <c r="X290" s="188">
        <v>26.125494133630191</v>
      </c>
      <c r="Y290" s="188">
        <v>25.648242174236294</v>
      </c>
      <c r="Z290" s="188">
        <v>25.170990214842401</v>
      </c>
      <c r="AA290" s="188">
        <v>24.693738255448512</v>
      </c>
      <c r="AB290" s="188">
        <v>24.216486296054615</v>
      </c>
      <c r="AC290" s="188">
        <v>23.739234336660722</v>
      </c>
      <c r="AD290" s="188">
        <v>23.261982377266829</v>
      </c>
      <c r="AE290" s="188">
        <v>22.78473041787294</v>
      </c>
      <c r="AF290" s="188">
        <v>22.30747845847905</v>
      </c>
      <c r="AG290" s="188">
        <v>21.830226499085157</v>
      </c>
      <c r="AH290" s="188">
        <v>21.352974539691264</v>
      </c>
      <c r="AI290" s="188">
        <v>20.875722580297374</v>
      </c>
      <c r="AJ290" s="188">
        <v>20.398470620903499</v>
      </c>
    </row>
    <row r="291" spans="1:36" hidden="1" x14ac:dyDescent="0.35">
      <c r="A291" t="s">
        <v>1778</v>
      </c>
      <c r="B291" s="188" t="s">
        <v>1342</v>
      </c>
      <c r="C291" t="s">
        <v>1343</v>
      </c>
      <c r="D291" s="188">
        <v>30</v>
      </c>
      <c r="E291" t="s">
        <v>1742</v>
      </c>
      <c r="F291" t="s">
        <v>1405</v>
      </c>
      <c r="G291" s="188" t="s">
        <v>1779</v>
      </c>
      <c r="H291" s="188">
        <v>33.611297392310398</v>
      </c>
      <c r="I291" s="188">
        <v>30.362045461474846</v>
      </c>
      <c r="J291" s="188">
        <v>29.112221989363608</v>
      </c>
      <c r="K291" s="188">
        <v>27.862398517252362</v>
      </c>
      <c r="L291" s="188">
        <v>26.612575045141121</v>
      </c>
      <c r="M291" s="188">
        <v>25.362751573029882</v>
      </c>
      <c r="N291" s="188">
        <v>24.112928100918637</v>
      </c>
      <c r="O291" s="188">
        <v>22.863104628807399</v>
      </c>
      <c r="P291" s="188">
        <v>21.613281156696154</v>
      </c>
      <c r="Q291" s="188">
        <v>20.363457684584912</v>
      </c>
      <c r="R291" s="188">
        <v>19.113634212473674</v>
      </c>
      <c r="S291" s="188">
        <v>17.863810740362428</v>
      </c>
      <c r="T291" s="188">
        <v>16.613987268251186</v>
      </c>
      <c r="U291" s="188">
        <v>15.364163796139934</v>
      </c>
      <c r="V291" s="188">
        <v>15.183887638577856</v>
      </c>
      <c r="W291" s="188">
        <v>15.003611481015778</v>
      </c>
      <c r="X291" s="188">
        <v>14.8233353234537</v>
      </c>
      <c r="Y291" s="188">
        <v>14.643059165891621</v>
      </c>
      <c r="Z291" s="188">
        <v>14.462783008329541</v>
      </c>
      <c r="AA291" s="188">
        <v>14.282506850767463</v>
      </c>
      <c r="AB291" s="188">
        <v>14.102230693205383</v>
      </c>
      <c r="AC291" s="188">
        <v>13.921954535643305</v>
      </c>
      <c r="AD291" s="188">
        <v>13.741678378081225</v>
      </c>
      <c r="AE291" s="188">
        <v>13.561402220519147</v>
      </c>
      <c r="AF291" s="188">
        <v>13.381126062957067</v>
      </c>
      <c r="AG291" s="188">
        <v>13.200849905394991</v>
      </c>
      <c r="AH291" s="188">
        <v>13.020573747832913</v>
      </c>
      <c r="AI291" s="188">
        <v>12.840297590270836</v>
      </c>
      <c r="AJ291" s="188">
        <v>12.660021432708763</v>
      </c>
    </row>
    <row r="292" spans="1:36" hidden="1" x14ac:dyDescent="0.35">
      <c r="A292" t="s">
        <v>1780</v>
      </c>
      <c r="B292" s="188" t="s">
        <v>1342</v>
      </c>
      <c r="C292" t="s">
        <v>1348</v>
      </c>
      <c r="D292" s="188">
        <v>30</v>
      </c>
      <c r="E292" t="s">
        <v>1742</v>
      </c>
      <c r="F292" t="s">
        <v>1405</v>
      </c>
      <c r="G292" s="188" t="s">
        <v>1779</v>
      </c>
      <c r="H292" s="188">
        <v>33.611297392310398</v>
      </c>
      <c r="I292" s="188">
        <v>30.362045461474846</v>
      </c>
      <c r="J292" s="188">
        <v>29.531747558093898</v>
      </c>
      <c r="K292" s="188">
        <v>28.701449654712953</v>
      </c>
      <c r="L292" s="188">
        <v>27.871151751332</v>
      </c>
      <c r="M292" s="188">
        <v>27.040853847951055</v>
      </c>
      <c r="N292" s="188">
        <v>26.210555944570107</v>
      </c>
      <c r="O292" s="188">
        <v>25.380258041189158</v>
      </c>
      <c r="P292" s="188">
        <v>24.549960137808213</v>
      </c>
      <c r="Q292" s="188">
        <v>23.719662234427261</v>
      </c>
      <c r="R292" s="188">
        <v>22.88936433104632</v>
      </c>
      <c r="S292" s="188">
        <v>22.059066427665371</v>
      </c>
      <c r="T292" s="188">
        <v>21.22876852428443</v>
      </c>
      <c r="U292" s="188">
        <v>20.398470620903499</v>
      </c>
      <c r="V292" s="188">
        <v>20.062850165919258</v>
      </c>
      <c r="W292" s="188">
        <v>19.727229710935024</v>
      </c>
      <c r="X292" s="188">
        <v>19.391609255950783</v>
      </c>
      <c r="Y292" s="188">
        <v>19.055988800966546</v>
      </c>
      <c r="Z292" s="188">
        <v>18.720368345982308</v>
      </c>
      <c r="AA292" s="188">
        <v>18.384747890998071</v>
      </c>
      <c r="AB292" s="188">
        <v>18.049127436013833</v>
      </c>
      <c r="AC292" s="188">
        <v>17.713506981029596</v>
      </c>
      <c r="AD292" s="188">
        <v>17.377886526045359</v>
      </c>
      <c r="AE292" s="188">
        <v>17.042266071061118</v>
      </c>
      <c r="AF292" s="188">
        <v>16.70664561607688</v>
      </c>
      <c r="AG292" s="188">
        <v>16.371025161092643</v>
      </c>
      <c r="AH292" s="188">
        <v>16.035404706108405</v>
      </c>
      <c r="AI292" s="188">
        <v>15.69978425112417</v>
      </c>
      <c r="AJ292" s="188">
        <v>15.364163796139934</v>
      </c>
    </row>
    <row r="293" spans="1:36" hidden="1" x14ac:dyDescent="0.35">
      <c r="A293" t="s">
        <v>1781</v>
      </c>
      <c r="B293" s="188" t="s">
        <v>1342</v>
      </c>
      <c r="C293" t="s">
        <v>1350</v>
      </c>
      <c r="D293" s="188">
        <v>30</v>
      </c>
      <c r="E293" t="s">
        <v>1742</v>
      </c>
      <c r="F293" t="s">
        <v>1405</v>
      </c>
      <c r="G293" s="188" t="s">
        <v>1779</v>
      </c>
      <c r="H293" s="188">
        <v>33.611297392310398</v>
      </c>
      <c r="I293" s="188">
        <v>30.362045461474846</v>
      </c>
      <c r="J293" s="188">
        <v>30.128312507336265</v>
      </c>
      <c r="K293" s="188">
        <v>29.894579553197683</v>
      </c>
      <c r="L293" s="188">
        <v>29.660846599059102</v>
      </c>
      <c r="M293" s="188">
        <v>29.427113644920521</v>
      </c>
      <c r="N293" s="188">
        <v>29.19338069078194</v>
      </c>
      <c r="O293" s="188">
        <v>28.959647736643362</v>
      </c>
      <c r="P293" s="188">
        <v>28.72591478250478</v>
      </c>
      <c r="Q293" s="188">
        <v>28.492181828366199</v>
      </c>
      <c r="R293" s="188">
        <v>28.258448874227618</v>
      </c>
      <c r="S293" s="188">
        <v>28.024715920089037</v>
      </c>
      <c r="T293" s="188">
        <v>27.790982965950455</v>
      </c>
      <c r="U293" s="188">
        <v>27.55725001181187</v>
      </c>
      <c r="V293" s="188">
        <v>27.079998052417974</v>
      </c>
      <c r="W293" s="188">
        <v>26.602746093024084</v>
      </c>
      <c r="X293" s="188">
        <v>26.125494133630191</v>
      </c>
      <c r="Y293" s="188">
        <v>25.648242174236294</v>
      </c>
      <c r="Z293" s="188">
        <v>25.170990214842401</v>
      </c>
      <c r="AA293" s="188">
        <v>24.693738255448512</v>
      </c>
      <c r="AB293" s="188">
        <v>24.216486296054615</v>
      </c>
      <c r="AC293" s="188">
        <v>23.739234336660722</v>
      </c>
      <c r="AD293" s="188">
        <v>23.261982377266829</v>
      </c>
      <c r="AE293" s="188">
        <v>22.78473041787294</v>
      </c>
      <c r="AF293" s="188">
        <v>22.30747845847905</v>
      </c>
      <c r="AG293" s="188">
        <v>21.830226499085157</v>
      </c>
      <c r="AH293" s="188">
        <v>21.352974539691264</v>
      </c>
      <c r="AI293" s="188">
        <v>20.875722580297374</v>
      </c>
      <c r="AJ293" s="188">
        <v>20.398470620903499</v>
      </c>
    </row>
    <row r="294" spans="1:36" hidden="1" x14ac:dyDescent="0.35">
      <c r="A294" t="s">
        <v>1782</v>
      </c>
      <c r="B294" s="188" t="s">
        <v>1342</v>
      </c>
      <c r="C294" t="s">
        <v>1343</v>
      </c>
      <c r="D294" s="188">
        <v>30</v>
      </c>
      <c r="E294" t="s">
        <v>236</v>
      </c>
      <c r="F294" t="s">
        <v>1783</v>
      </c>
      <c r="G294" s="190" t="s">
        <v>1784</v>
      </c>
      <c r="H294" s="190">
        <v>121.11564948696193</v>
      </c>
      <c r="I294" s="190">
        <v>120.37379367750981</v>
      </c>
      <c r="J294" s="190">
        <v>119.63193786805769</v>
      </c>
      <c r="K294" s="190">
        <v>118.89008205860557</v>
      </c>
      <c r="L294" s="190">
        <v>118.14822624915345</v>
      </c>
      <c r="M294" s="190">
        <v>117.40637043970133</v>
      </c>
      <c r="N294" s="190">
        <v>116.66451463024922</v>
      </c>
      <c r="O294" s="190">
        <v>115.9226588207971</v>
      </c>
      <c r="P294" s="190">
        <v>115.18080301134498</v>
      </c>
      <c r="Q294" s="190">
        <v>114.43894720189286</v>
      </c>
      <c r="R294" s="190">
        <v>113.69709139244074</v>
      </c>
      <c r="S294" s="190">
        <v>112.95523558298862</v>
      </c>
      <c r="T294" s="190">
        <v>112.2133797735365</v>
      </c>
      <c r="U294" s="190">
        <v>111.47152396408444</v>
      </c>
      <c r="V294" s="190">
        <v>111.47152396408444</v>
      </c>
      <c r="W294" s="190">
        <v>111.47152396408444</v>
      </c>
      <c r="X294" s="190">
        <v>111.47152396408444</v>
      </c>
      <c r="Y294" s="190">
        <v>111.47152396408444</v>
      </c>
      <c r="Z294" s="190">
        <v>111.47152396408444</v>
      </c>
      <c r="AA294" s="190">
        <v>111.47152396408444</v>
      </c>
      <c r="AB294" s="190">
        <v>111.47152396408444</v>
      </c>
      <c r="AC294" s="190">
        <v>111.47152396408444</v>
      </c>
      <c r="AD294" s="190">
        <v>111.47152396408444</v>
      </c>
      <c r="AE294" s="190">
        <v>111.47152396408444</v>
      </c>
      <c r="AF294" s="190">
        <v>111.47152396408444</v>
      </c>
      <c r="AG294" s="190">
        <v>111.47152396408444</v>
      </c>
      <c r="AH294" s="190">
        <v>111.47152396408444</v>
      </c>
      <c r="AI294" s="190">
        <v>111.47152396408444</v>
      </c>
      <c r="AJ294" s="190">
        <v>111.47152396408444</v>
      </c>
    </row>
    <row r="295" spans="1:36" hidden="1" x14ac:dyDescent="0.35">
      <c r="A295" t="s">
        <v>1785</v>
      </c>
      <c r="B295" s="188" t="s">
        <v>1342</v>
      </c>
      <c r="C295" t="s">
        <v>1348</v>
      </c>
      <c r="D295" s="188">
        <v>30</v>
      </c>
      <c r="E295" t="s">
        <v>236</v>
      </c>
      <c r="F295" t="s">
        <v>1783</v>
      </c>
      <c r="G295" s="190" t="s">
        <v>1784</v>
      </c>
      <c r="H295" s="190">
        <v>121.11564948696193</v>
      </c>
      <c r="I295" s="190">
        <v>120.43984538801548</v>
      </c>
      <c r="J295" s="190">
        <v>119.76404128906904</v>
      </c>
      <c r="K295" s="190">
        <v>119.0882371901226</v>
      </c>
      <c r="L295" s="190">
        <v>118.41243309117615</v>
      </c>
      <c r="M295" s="190">
        <v>117.73662899222971</v>
      </c>
      <c r="N295" s="190">
        <v>117.06082489328327</v>
      </c>
      <c r="O295" s="190">
        <v>116.38502079433682</v>
      </c>
      <c r="P295" s="190">
        <v>115.70921669539038</v>
      </c>
      <c r="Q295" s="190">
        <v>115.03341259644394</v>
      </c>
      <c r="R295" s="190">
        <v>114.35760849749749</v>
      </c>
      <c r="S295" s="190">
        <v>113.68180439855105</v>
      </c>
      <c r="T295" s="190">
        <v>113.00600029960461</v>
      </c>
      <c r="U295" s="190">
        <v>112.33019620065808</v>
      </c>
      <c r="V295" s="190">
        <v>112.33019620065808</v>
      </c>
      <c r="W295" s="190">
        <v>112.33019620065808</v>
      </c>
      <c r="X295" s="190">
        <v>112.33019620065808</v>
      </c>
      <c r="Y295" s="190">
        <v>112.33019620065808</v>
      </c>
      <c r="Z295" s="190">
        <v>112.33019620065808</v>
      </c>
      <c r="AA295" s="190">
        <v>112.33019620065808</v>
      </c>
      <c r="AB295" s="190">
        <v>112.33019620065808</v>
      </c>
      <c r="AC295" s="190">
        <v>112.33019620065808</v>
      </c>
      <c r="AD295" s="190">
        <v>112.33019620065808</v>
      </c>
      <c r="AE295" s="190">
        <v>112.33019620065808</v>
      </c>
      <c r="AF295" s="190">
        <v>112.33019620065808</v>
      </c>
      <c r="AG295" s="190">
        <v>112.33019620065808</v>
      </c>
      <c r="AH295" s="190">
        <v>112.33019620065808</v>
      </c>
      <c r="AI295" s="190">
        <v>112.33019620065808</v>
      </c>
      <c r="AJ295" s="190">
        <v>112.33019620065808</v>
      </c>
    </row>
    <row r="296" spans="1:36" hidden="1" x14ac:dyDescent="0.35">
      <c r="A296" t="s">
        <v>1786</v>
      </c>
      <c r="B296" s="188" t="s">
        <v>1342</v>
      </c>
      <c r="C296" t="s">
        <v>1350</v>
      </c>
      <c r="D296" s="188">
        <v>30</v>
      </c>
      <c r="E296" t="s">
        <v>236</v>
      </c>
      <c r="F296" t="s">
        <v>1783</v>
      </c>
      <c r="G296" s="190" t="s">
        <v>1784</v>
      </c>
      <c r="H296" s="190">
        <v>121.11564948696193</v>
      </c>
      <c r="I296" s="190">
        <v>121.11564948696193</v>
      </c>
      <c r="J296" s="190">
        <v>121.11564948696193</v>
      </c>
      <c r="K296" s="190">
        <v>121.11564948696193</v>
      </c>
      <c r="L296" s="190">
        <v>121.11564948696193</v>
      </c>
      <c r="M296" s="190">
        <v>121.11564948696193</v>
      </c>
      <c r="N296" s="190">
        <v>121.11564948696193</v>
      </c>
      <c r="O296" s="190">
        <v>121.11564948696193</v>
      </c>
      <c r="P296" s="190">
        <v>121.11564948696193</v>
      </c>
      <c r="Q296" s="190">
        <v>121.11564948696193</v>
      </c>
      <c r="R296" s="190">
        <v>121.11564948696193</v>
      </c>
      <c r="S296" s="190">
        <v>121.11564948696193</v>
      </c>
      <c r="T296" s="190">
        <v>121.11564948696193</v>
      </c>
      <c r="U296" s="190">
        <v>121.11564948696193</v>
      </c>
      <c r="V296" s="190">
        <v>121.11564948696193</v>
      </c>
      <c r="W296" s="190">
        <v>121.11564948696193</v>
      </c>
      <c r="X296" s="190">
        <v>121.11564948696193</v>
      </c>
      <c r="Y296" s="190">
        <v>121.11564948696193</v>
      </c>
      <c r="Z296" s="190">
        <v>121.11564948696193</v>
      </c>
      <c r="AA296" s="190">
        <v>121.11564948696193</v>
      </c>
      <c r="AB296" s="190">
        <v>121.11564948696193</v>
      </c>
      <c r="AC296" s="190">
        <v>121.11564948696193</v>
      </c>
      <c r="AD296" s="190">
        <v>121.11564948696193</v>
      </c>
      <c r="AE296" s="190">
        <v>121.11564948696193</v>
      </c>
      <c r="AF296" s="190">
        <v>121.11564948696193</v>
      </c>
      <c r="AG296" s="190">
        <v>121.11564948696193</v>
      </c>
      <c r="AH296" s="190">
        <v>121.11564948696193</v>
      </c>
      <c r="AI296" s="190">
        <v>121.11564948696193</v>
      </c>
      <c r="AJ296" s="190">
        <v>121.11564948696193</v>
      </c>
    </row>
    <row r="297" spans="1:36" hidden="1" x14ac:dyDescent="0.35">
      <c r="A297" t="s">
        <v>1787</v>
      </c>
      <c r="B297" s="188" t="s">
        <v>1342</v>
      </c>
      <c r="C297" t="s">
        <v>1343</v>
      </c>
      <c r="D297" s="188">
        <v>30</v>
      </c>
      <c r="E297" t="s">
        <v>236</v>
      </c>
      <c r="F297" t="s">
        <v>1788</v>
      </c>
      <c r="G297" s="190" t="s">
        <v>1789</v>
      </c>
      <c r="H297" s="190">
        <v>161.16810720595237</v>
      </c>
      <c r="I297" s="190">
        <v>158.43497851225757</v>
      </c>
      <c r="J297" s="190">
        <v>155.70184981856278</v>
      </c>
      <c r="K297" s="190">
        <v>152.96872112486798</v>
      </c>
      <c r="L297" s="190">
        <v>150.23559243117319</v>
      </c>
      <c r="M297" s="190">
        <v>147.50246373747839</v>
      </c>
      <c r="N297" s="190">
        <v>144.7693350437836</v>
      </c>
      <c r="O297" s="190">
        <v>142.0362063500888</v>
      </c>
      <c r="P297" s="190">
        <v>139.30307765639401</v>
      </c>
      <c r="Q297" s="190">
        <v>136.56994896269921</v>
      </c>
      <c r="R297" s="190">
        <v>133.83682026900442</v>
      </c>
      <c r="S297" s="190">
        <v>131.10369157530963</v>
      </c>
      <c r="T297" s="190">
        <v>128.37056288161483</v>
      </c>
      <c r="U297" s="190">
        <v>125.63743418791996</v>
      </c>
      <c r="V297" s="190">
        <v>125.63743418791996</v>
      </c>
      <c r="W297" s="190">
        <v>125.63743418791996</v>
      </c>
      <c r="X297" s="190">
        <v>125.63743418791996</v>
      </c>
      <c r="Y297" s="190">
        <v>125.63743418791996</v>
      </c>
      <c r="Z297" s="190">
        <v>125.63743418791996</v>
      </c>
      <c r="AA297" s="190">
        <v>125.63743418791996</v>
      </c>
      <c r="AB297" s="190">
        <v>125.63743418791996</v>
      </c>
      <c r="AC297" s="190">
        <v>125.63743418791996</v>
      </c>
      <c r="AD297" s="190">
        <v>125.63743418791996</v>
      </c>
      <c r="AE297" s="190">
        <v>125.63743418791996</v>
      </c>
      <c r="AF297" s="190">
        <v>125.63743418791996</v>
      </c>
      <c r="AG297" s="190">
        <v>125.63743418791996</v>
      </c>
      <c r="AH297" s="190">
        <v>125.63743418791996</v>
      </c>
      <c r="AI297" s="190">
        <v>125.63743418791996</v>
      </c>
      <c r="AJ297" s="190">
        <v>125.63743418791996</v>
      </c>
    </row>
    <row r="298" spans="1:36" hidden="1" x14ac:dyDescent="0.35">
      <c r="A298" t="s">
        <v>1790</v>
      </c>
      <c r="B298" s="188" t="s">
        <v>1342</v>
      </c>
      <c r="C298" t="s">
        <v>1348</v>
      </c>
      <c r="D298" s="188">
        <v>30</v>
      </c>
      <c r="E298" t="s">
        <v>236</v>
      </c>
      <c r="F298" t="s">
        <v>1788</v>
      </c>
      <c r="G298" s="190" t="s">
        <v>1789</v>
      </c>
      <c r="H298" s="190">
        <v>161.16810720595237</v>
      </c>
      <c r="I298" s="190">
        <v>159.02845794013967</v>
      </c>
      <c r="J298" s="190">
        <v>156.88880867432698</v>
      </c>
      <c r="K298" s="190">
        <v>154.74915940851429</v>
      </c>
      <c r="L298" s="190">
        <v>152.60951014270159</v>
      </c>
      <c r="M298" s="190">
        <v>150.4698608768889</v>
      </c>
      <c r="N298" s="190">
        <v>148.33021161107621</v>
      </c>
      <c r="O298" s="190">
        <v>146.19056234526352</v>
      </c>
      <c r="P298" s="190">
        <v>144.05091307945082</v>
      </c>
      <c r="Q298" s="190">
        <v>141.91126381363813</v>
      </c>
      <c r="R298" s="190">
        <v>139.77161454782544</v>
      </c>
      <c r="S298" s="190">
        <v>137.63196528201274</v>
      </c>
      <c r="T298" s="190">
        <v>135.49231601620005</v>
      </c>
      <c r="U298" s="190">
        <v>133.35266675038753</v>
      </c>
      <c r="V298" s="190">
        <v>133.35266675038753</v>
      </c>
      <c r="W298" s="190">
        <v>133.35266675038753</v>
      </c>
      <c r="X298" s="190">
        <v>133.35266675038753</v>
      </c>
      <c r="Y298" s="190">
        <v>133.35266675038753</v>
      </c>
      <c r="Z298" s="190">
        <v>133.35266675038753</v>
      </c>
      <c r="AA298" s="190">
        <v>133.35266675038753</v>
      </c>
      <c r="AB298" s="190">
        <v>133.35266675038753</v>
      </c>
      <c r="AC298" s="190">
        <v>133.35266675038753</v>
      </c>
      <c r="AD298" s="190">
        <v>133.35266675038753</v>
      </c>
      <c r="AE298" s="190">
        <v>133.35266675038753</v>
      </c>
      <c r="AF298" s="190">
        <v>133.35266675038753</v>
      </c>
      <c r="AG298" s="190">
        <v>133.35266675038753</v>
      </c>
      <c r="AH298" s="190">
        <v>133.35266675038753</v>
      </c>
      <c r="AI298" s="190">
        <v>133.35266675038753</v>
      </c>
      <c r="AJ298" s="190">
        <v>133.35266675038753</v>
      </c>
    </row>
    <row r="299" spans="1:36" hidden="1" x14ac:dyDescent="0.35">
      <c r="A299" t="s">
        <v>1791</v>
      </c>
      <c r="B299" s="188" t="s">
        <v>1342</v>
      </c>
      <c r="C299" t="s">
        <v>1350</v>
      </c>
      <c r="D299" s="188">
        <v>30</v>
      </c>
      <c r="E299" t="s">
        <v>236</v>
      </c>
      <c r="F299" t="s">
        <v>1788</v>
      </c>
      <c r="G299" s="190" t="s">
        <v>1789</v>
      </c>
      <c r="H299" s="190">
        <v>161.16810720595237</v>
      </c>
      <c r="I299" s="190">
        <v>161.16810720595237</v>
      </c>
      <c r="J299" s="190">
        <v>161.16810720595237</v>
      </c>
      <c r="K299" s="190">
        <v>161.16810720595237</v>
      </c>
      <c r="L299" s="190">
        <v>161.16810720595237</v>
      </c>
      <c r="M299" s="190">
        <v>161.16810720595237</v>
      </c>
      <c r="N299" s="190">
        <v>161.16810720595237</v>
      </c>
      <c r="O299" s="190">
        <v>161.16810720595237</v>
      </c>
      <c r="P299" s="190">
        <v>161.16810720595237</v>
      </c>
      <c r="Q299" s="190">
        <v>161.16810720595237</v>
      </c>
      <c r="R299" s="190">
        <v>161.16810720595237</v>
      </c>
      <c r="S299" s="190">
        <v>161.16810720595237</v>
      </c>
      <c r="T299" s="190">
        <v>161.16810720595237</v>
      </c>
      <c r="U299" s="190">
        <v>161.16810720595237</v>
      </c>
      <c r="V299" s="190">
        <v>161.16810720595237</v>
      </c>
      <c r="W299" s="190">
        <v>161.16810720595237</v>
      </c>
      <c r="X299" s="190">
        <v>161.16810720595237</v>
      </c>
      <c r="Y299" s="190">
        <v>161.16810720595237</v>
      </c>
      <c r="Z299" s="190">
        <v>161.16810720595237</v>
      </c>
      <c r="AA299" s="190">
        <v>161.16810720595237</v>
      </c>
      <c r="AB299" s="190">
        <v>161.16810720595237</v>
      </c>
      <c r="AC299" s="190">
        <v>161.16810720595237</v>
      </c>
      <c r="AD299" s="190">
        <v>161.16810720595237</v>
      </c>
      <c r="AE299" s="190">
        <v>161.16810720595237</v>
      </c>
      <c r="AF299" s="190">
        <v>161.16810720595237</v>
      </c>
      <c r="AG299" s="190">
        <v>161.16810720595237</v>
      </c>
      <c r="AH299" s="190">
        <v>161.16810720595237</v>
      </c>
      <c r="AI299" s="190">
        <v>161.16810720595237</v>
      </c>
      <c r="AJ299" s="190">
        <v>161.16810720595237</v>
      </c>
    </row>
    <row r="300" spans="1:36" hidden="1" x14ac:dyDescent="0.35">
      <c r="A300" t="s">
        <v>1792</v>
      </c>
      <c r="B300" s="188" t="s">
        <v>1342</v>
      </c>
      <c r="C300" t="s">
        <v>1343</v>
      </c>
      <c r="D300" s="188">
        <v>30</v>
      </c>
      <c r="E300" t="s">
        <v>236</v>
      </c>
      <c r="F300" t="s">
        <v>1793</v>
      </c>
      <c r="G300" s="190" t="s">
        <v>1794</v>
      </c>
      <c r="H300" s="190">
        <v>154.27087742463428</v>
      </c>
      <c r="I300" s="190">
        <v>151.02494260534434</v>
      </c>
      <c r="J300" s="190">
        <v>147.77900778605439</v>
      </c>
      <c r="K300" s="190">
        <v>144.53307296676445</v>
      </c>
      <c r="L300" s="190">
        <v>141.28713814747451</v>
      </c>
      <c r="M300" s="190">
        <v>138.04120332818457</v>
      </c>
      <c r="N300" s="190">
        <v>134.79526850889462</v>
      </c>
      <c r="O300" s="190">
        <v>131.54933368960468</v>
      </c>
      <c r="P300" s="190">
        <v>128.30339887031474</v>
      </c>
      <c r="Q300" s="190">
        <v>125.05746405102479</v>
      </c>
      <c r="R300" s="190">
        <v>121.81152923173485</v>
      </c>
      <c r="S300" s="190">
        <v>118.56559441244491</v>
      </c>
      <c r="T300" s="190">
        <v>115.31965959315497</v>
      </c>
      <c r="U300" s="190">
        <v>112.07372477386502</v>
      </c>
      <c r="V300" s="190">
        <v>112.07372477386502</v>
      </c>
      <c r="W300" s="190">
        <v>112.07372477386502</v>
      </c>
      <c r="X300" s="190">
        <v>112.07372477386502</v>
      </c>
      <c r="Y300" s="190">
        <v>112.07372477386502</v>
      </c>
      <c r="Z300" s="190">
        <v>112.07372477386502</v>
      </c>
      <c r="AA300" s="190">
        <v>112.07372477386502</v>
      </c>
      <c r="AB300" s="190">
        <v>112.07372477386502</v>
      </c>
      <c r="AC300" s="190">
        <v>112.07372477386502</v>
      </c>
      <c r="AD300" s="190">
        <v>112.07372477386502</v>
      </c>
      <c r="AE300" s="190">
        <v>112.07372477386502</v>
      </c>
      <c r="AF300" s="190">
        <v>112.07372477386502</v>
      </c>
      <c r="AG300" s="190">
        <v>112.07372477386502</v>
      </c>
      <c r="AH300" s="190">
        <v>112.07372477386502</v>
      </c>
      <c r="AI300" s="190">
        <v>112.07372477386502</v>
      </c>
      <c r="AJ300" s="190">
        <v>112.07372477386502</v>
      </c>
    </row>
    <row r="301" spans="1:36" hidden="1" x14ac:dyDescent="0.35">
      <c r="A301" t="s">
        <v>1795</v>
      </c>
      <c r="B301" s="188" t="s">
        <v>1342</v>
      </c>
      <c r="C301" t="s">
        <v>1348</v>
      </c>
      <c r="D301" s="188">
        <v>30</v>
      </c>
      <c r="E301" t="s">
        <v>236</v>
      </c>
      <c r="F301" t="s">
        <v>1793</v>
      </c>
      <c r="G301" s="190" t="s">
        <v>1794</v>
      </c>
      <c r="H301" s="190">
        <v>154.27087742463428</v>
      </c>
      <c r="I301" s="190">
        <v>153.14562645137252</v>
      </c>
      <c r="J301" s="190">
        <v>152.02037547811076</v>
      </c>
      <c r="K301" s="190">
        <v>150.89512450484901</v>
      </c>
      <c r="L301" s="190">
        <v>149.76987353158725</v>
      </c>
      <c r="M301" s="190">
        <v>148.64462255832549</v>
      </c>
      <c r="N301" s="190">
        <v>147.51937158506374</v>
      </c>
      <c r="O301" s="190">
        <v>146.39412061180198</v>
      </c>
      <c r="P301" s="190">
        <v>145.26886963854022</v>
      </c>
      <c r="Q301" s="190">
        <v>144.14361866527847</v>
      </c>
      <c r="R301" s="190">
        <v>143.01836769201671</v>
      </c>
      <c r="S301" s="190">
        <v>141.89311671875495</v>
      </c>
      <c r="T301" s="190">
        <v>140.7678657454932</v>
      </c>
      <c r="U301" s="190">
        <v>139.6426147722315</v>
      </c>
      <c r="V301" s="190">
        <v>139.6426147722315</v>
      </c>
      <c r="W301" s="190">
        <v>139.6426147722315</v>
      </c>
      <c r="X301" s="190">
        <v>139.6426147722315</v>
      </c>
      <c r="Y301" s="190">
        <v>139.6426147722315</v>
      </c>
      <c r="Z301" s="190">
        <v>139.6426147722315</v>
      </c>
      <c r="AA301" s="190">
        <v>139.6426147722315</v>
      </c>
      <c r="AB301" s="190">
        <v>139.6426147722315</v>
      </c>
      <c r="AC301" s="190">
        <v>139.6426147722315</v>
      </c>
      <c r="AD301" s="190">
        <v>139.6426147722315</v>
      </c>
      <c r="AE301" s="190">
        <v>139.6426147722315</v>
      </c>
      <c r="AF301" s="190">
        <v>139.6426147722315</v>
      </c>
      <c r="AG301" s="190">
        <v>139.6426147722315</v>
      </c>
      <c r="AH301" s="190">
        <v>139.6426147722315</v>
      </c>
      <c r="AI301" s="190">
        <v>139.6426147722315</v>
      </c>
      <c r="AJ301" s="190">
        <v>139.6426147722315</v>
      </c>
    </row>
    <row r="302" spans="1:36" hidden="1" x14ac:dyDescent="0.35">
      <c r="A302" t="s">
        <v>1796</v>
      </c>
      <c r="B302" s="188" t="s">
        <v>1342</v>
      </c>
      <c r="C302" t="s">
        <v>1350</v>
      </c>
      <c r="D302" s="188">
        <v>30</v>
      </c>
      <c r="E302" t="s">
        <v>236</v>
      </c>
      <c r="F302" t="s">
        <v>1793</v>
      </c>
      <c r="G302" s="190" t="s">
        <v>1794</v>
      </c>
      <c r="H302" s="190">
        <v>154.27087742463428</v>
      </c>
      <c r="I302" s="190">
        <v>154.27087742463428</v>
      </c>
      <c r="J302" s="190">
        <v>154.27087742463428</v>
      </c>
      <c r="K302" s="190">
        <v>154.27087742463428</v>
      </c>
      <c r="L302" s="190">
        <v>154.27087742463428</v>
      </c>
      <c r="M302" s="190">
        <v>154.27087742463428</v>
      </c>
      <c r="N302" s="190">
        <v>154.27087742463428</v>
      </c>
      <c r="O302" s="190">
        <v>154.27087742463428</v>
      </c>
      <c r="P302" s="190">
        <v>154.27087742463428</v>
      </c>
      <c r="Q302" s="190">
        <v>154.27087742463428</v>
      </c>
      <c r="R302" s="190">
        <v>154.27087742463428</v>
      </c>
      <c r="S302" s="190">
        <v>154.27087742463428</v>
      </c>
      <c r="T302" s="190">
        <v>154.27087742463428</v>
      </c>
      <c r="U302" s="190">
        <v>154.27087742463428</v>
      </c>
      <c r="V302" s="190">
        <v>154.27087742463428</v>
      </c>
      <c r="W302" s="190">
        <v>154.27087742463428</v>
      </c>
      <c r="X302" s="190">
        <v>154.27087742463428</v>
      </c>
      <c r="Y302" s="190">
        <v>154.27087742463428</v>
      </c>
      <c r="Z302" s="190">
        <v>154.27087742463428</v>
      </c>
      <c r="AA302" s="190">
        <v>154.27087742463428</v>
      </c>
      <c r="AB302" s="190">
        <v>154.27087742463428</v>
      </c>
      <c r="AC302" s="190">
        <v>154.27087742463428</v>
      </c>
      <c r="AD302" s="190">
        <v>154.27087742463428</v>
      </c>
      <c r="AE302" s="190">
        <v>154.27087742463428</v>
      </c>
      <c r="AF302" s="190">
        <v>154.27087742463428</v>
      </c>
      <c r="AG302" s="190">
        <v>154.27087742463428</v>
      </c>
      <c r="AH302" s="190">
        <v>154.27087742463428</v>
      </c>
      <c r="AI302" s="190">
        <v>154.27087742463428</v>
      </c>
      <c r="AJ302" s="190">
        <v>154.27087742463428</v>
      </c>
    </row>
    <row r="303" spans="1:36" hidden="1" x14ac:dyDescent="0.35">
      <c r="A303" t="s">
        <v>1797</v>
      </c>
      <c r="B303" s="188" t="s">
        <v>1342</v>
      </c>
      <c r="C303" t="s">
        <v>1343</v>
      </c>
      <c r="D303" s="188">
        <v>30</v>
      </c>
      <c r="E303" t="s">
        <v>236</v>
      </c>
      <c r="F303" t="s">
        <v>1798</v>
      </c>
      <c r="G303" s="190" t="s">
        <v>1799</v>
      </c>
      <c r="H303" s="190">
        <v>199.96073410596523</v>
      </c>
      <c r="I303" s="190">
        <v>193.86938359752401</v>
      </c>
      <c r="J303" s="190">
        <v>187.77803308908278</v>
      </c>
      <c r="K303" s="190">
        <v>181.68668258064156</v>
      </c>
      <c r="L303" s="190">
        <v>175.59533207220034</v>
      </c>
      <c r="M303" s="190">
        <v>169.50398156375911</v>
      </c>
      <c r="N303" s="190">
        <v>163.41263105531789</v>
      </c>
      <c r="O303" s="190">
        <v>157.32128054687666</v>
      </c>
      <c r="P303" s="190">
        <v>151.22993003843544</v>
      </c>
      <c r="Q303" s="190">
        <v>145.13857952999422</v>
      </c>
      <c r="R303" s="190">
        <v>139.04722902155299</v>
      </c>
      <c r="S303" s="190">
        <v>132.95587851311177</v>
      </c>
      <c r="T303" s="190">
        <v>126.86452800467056</v>
      </c>
      <c r="U303" s="190">
        <v>120.77317749622948</v>
      </c>
      <c r="V303" s="190">
        <v>120.77317749622948</v>
      </c>
      <c r="W303" s="190">
        <v>120.77317749622948</v>
      </c>
      <c r="X303" s="190">
        <v>120.77317749622948</v>
      </c>
      <c r="Y303" s="190">
        <v>120.77317749622948</v>
      </c>
      <c r="Z303" s="190">
        <v>120.77317749622948</v>
      </c>
      <c r="AA303" s="190">
        <v>120.77317749622948</v>
      </c>
      <c r="AB303" s="190">
        <v>120.77317749622948</v>
      </c>
      <c r="AC303" s="190">
        <v>120.77317749622948</v>
      </c>
      <c r="AD303" s="190">
        <v>120.77317749622948</v>
      </c>
      <c r="AE303" s="190">
        <v>120.77317749622948</v>
      </c>
      <c r="AF303" s="190">
        <v>120.77317749622948</v>
      </c>
      <c r="AG303" s="190">
        <v>120.77317749622948</v>
      </c>
      <c r="AH303" s="190">
        <v>120.77317749622948</v>
      </c>
      <c r="AI303" s="190">
        <v>120.77317749622948</v>
      </c>
      <c r="AJ303" s="190">
        <v>120.77317749622948</v>
      </c>
    </row>
    <row r="304" spans="1:36" hidden="1" x14ac:dyDescent="0.35">
      <c r="A304" t="s">
        <v>1800</v>
      </c>
      <c r="B304" s="188" t="s">
        <v>1342</v>
      </c>
      <c r="C304" t="s">
        <v>1348</v>
      </c>
      <c r="D304" s="188">
        <v>30</v>
      </c>
      <c r="E304" t="s">
        <v>236</v>
      </c>
      <c r="F304" t="s">
        <v>1798</v>
      </c>
      <c r="G304" s="190" t="s">
        <v>1799</v>
      </c>
      <c r="H304" s="190">
        <v>199.96073410596523</v>
      </c>
      <c r="I304" s="190">
        <v>197.01729920078273</v>
      </c>
      <c r="J304" s="190">
        <v>194.07386429560023</v>
      </c>
      <c r="K304" s="190">
        <v>191.13042939041773</v>
      </c>
      <c r="L304" s="190">
        <v>188.18699448523523</v>
      </c>
      <c r="M304" s="190">
        <v>185.24355958005273</v>
      </c>
      <c r="N304" s="190">
        <v>182.30012467487023</v>
      </c>
      <c r="O304" s="190">
        <v>179.35668976968773</v>
      </c>
      <c r="P304" s="190">
        <v>176.41325486450523</v>
      </c>
      <c r="Q304" s="190">
        <v>173.46981995932273</v>
      </c>
      <c r="R304" s="190">
        <v>170.52638505414023</v>
      </c>
      <c r="S304" s="190">
        <v>167.58295014895774</v>
      </c>
      <c r="T304" s="190">
        <v>164.63951524377524</v>
      </c>
      <c r="U304" s="190">
        <v>161.69608033859285</v>
      </c>
      <c r="V304" s="190">
        <v>161.69608033859285</v>
      </c>
      <c r="W304" s="190">
        <v>161.69608033859285</v>
      </c>
      <c r="X304" s="190">
        <v>161.69608033859285</v>
      </c>
      <c r="Y304" s="190">
        <v>161.69608033859285</v>
      </c>
      <c r="Z304" s="190">
        <v>161.69608033859285</v>
      </c>
      <c r="AA304" s="190">
        <v>161.69608033859285</v>
      </c>
      <c r="AB304" s="190">
        <v>161.69608033859285</v>
      </c>
      <c r="AC304" s="190">
        <v>161.69608033859285</v>
      </c>
      <c r="AD304" s="190">
        <v>161.69608033859285</v>
      </c>
      <c r="AE304" s="190">
        <v>161.69608033859285</v>
      </c>
      <c r="AF304" s="190">
        <v>161.69608033859285</v>
      </c>
      <c r="AG304" s="190">
        <v>161.69608033859285</v>
      </c>
      <c r="AH304" s="190">
        <v>161.69608033859285</v>
      </c>
      <c r="AI304" s="190">
        <v>161.69608033859285</v>
      </c>
      <c r="AJ304" s="190">
        <v>161.69608033859285</v>
      </c>
    </row>
    <row r="305" spans="1:36" hidden="1" x14ac:dyDescent="0.35">
      <c r="A305" t="s">
        <v>1801</v>
      </c>
      <c r="B305" s="188" t="s">
        <v>1342</v>
      </c>
      <c r="C305" t="s">
        <v>1350</v>
      </c>
      <c r="D305" s="188">
        <v>30</v>
      </c>
      <c r="E305" t="s">
        <v>236</v>
      </c>
      <c r="F305" t="s">
        <v>1798</v>
      </c>
      <c r="G305" s="190" t="s">
        <v>1799</v>
      </c>
      <c r="H305" s="190">
        <v>199.96073410596523</v>
      </c>
      <c r="I305" s="190">
        <v>199.96073410596523</v>
      </c>
      <c r="J305" s="190">
        <v>199.96073410596523</v>
      </c>
      <c r="K305" s="190">
        <v>199.96073410596523</v>
      </c>
      <c r="L305" s="190">
        <v>199.96073410596523</v>
      </c>
      <c r="M305" s="190">
        <v>199.96073410596523</v>
      </c>
      <c r="N305" s="190">
        <v>199.96073410596523</v>
      </c>
      <c r="O305" s="190">
        <v>199.96073410596523</v>
      </c>
      <c r="P305" s="190">
        <v>199.96073410596523</v>
      </c>
      <c r="Q305" s="190">
        <v>199.96073410596523</v>
      </c>
      <c r="R305" s="190">
        <v>199.96073410596523</v>
      </c>
      <c r="S305" s="190">
        <v>199.96073410596523</v>
      </c>
      <c r="T305" s="190">
        <v>199.96073410596523</v>
      </c>
      <c r="U305" s="190">
        <v>199.96073410596523</v>
      </c>
      <c r="V305" s="190">
        <v>199.96073410596523</v>
      </c>
      <c r="W305" s="190">
        <v>199.96073410596523</v>
      </c>
      <c r="X305" s="190">
        <v>199.96073410596523</v>
      </c>
      <c r="Y305" s="190">
        <v>199.96073410596523</v>
      </c>
      <c r="Z305" s="190">
        <v>199.96073410596523</v>
      </c>
      <c r="AA305" s="190">
        <v>199.96073410596523</v>
      </c>
      <c r="AB305" s="190">
        <v>199.96073410596523</v>
      </c>
      <c r="AC305" s="190">
        <v>199.96073410596523</v>
      </c>
      <c r="AD305" s="190">
        <v>199.96073410596523</v>
      </c>
      <c r="AE305" s="190">
        <v>199.96073410596523</v>
      </c>
      <c r="AF305" s="190">
        <v>199.96073410596523</v>
      </c>
      <c r="AG305" s="190">
        <v>199.96073410596523</v>
      </c>
      <c r="AH305" s="190">
        <v>199.96073410596523</v>
      </c>
      <c r="AI305" s="190">
        <v>199.96073410596523</v>
      </c>
      <c r="AJ305" s="190">
        <v>199.96073410596523</v>
      </c>
    </row>
    <row r="306" spans="1:36" hidden="1" x14ac:dyDescent="0.35">
      <c r="A306" t="s">
        <v>1802</v>
      </c>
      <c r="B306" s="188" t="s">
        <v>1342</v>
      </c>
      <c r="C306" t="s">
        <v>1343</v>
      </c>
      <c r="D306" s="188">
        <v>30</v>
      </c>
      <c r="E306" t="s">
        <v>236</v>
      </c>
      <c r="F306" t="s">
        <v>1803</v>
      </c>
      <c r="G306" s="190" t="s">
        <v>1804</v>
      </c>
      <c r="H306" s="190">
        <v>146.96894687966105</v>
      </c>
      <c r="I306" s="190">
        <v>143.27951725997903</v>
      </c>
      <c r="J306" s="190">
        <v>139.59008764029701</v>
      </c>
      <c r="K306" s="190">
        <v>135.900658020615</v>
      </c>
      <c r="L306" s="190">
        <v>132.21122840093298</v>
      </c>
      <c r="M306" s="190">
        <v>128.52179878125096</v>
      </c>
      <c r="N306" s="190">
        <v>124.83236916156895</v>
      </c>
      <c r="O306" s="190">
        <v>121.14293954188693</v>
      </c>
      <c r="P306" s="190">
        <v>117.45350992220492</v>
      </c>
      <c r="Q306" s="190">
        <v>113.7640803025229</v>
      </c>
      <c r="R306" s="190">
        <v>110.07465068284088</v>
      </c>
      <c r="S306" s="190">
        <v>106.38522106315887</v>
      </c>
      <c r="T306" s="190">
        <v>102.69579144347685</v>
      </c>
      <c r="U306" s="190">
        <v>99.006361823794919</v>
      </c>
      <c r="V306" s="190">
        <v>99.006361823794919</v>
      </c>
      <c r="W306" s="190">
        <v>99.006361823794919</v>
      </c>
      <c r="X306" s="190">
        <v>99.006361823794919</v>
      </c>
      <c r="Y306" s="190">
        <v>99.006361823794919</v>
      </c>
      <c r="Z306" s="190">
        <v>99.006361823794919</v>
      </c>
      <c r="AA306" s="190">
        <v>99.006361823794919</v>
      </c>
      <c r="AB306" s="190">
        <v>99.006361823794919</v>
      </c>
      <c r="AC306" s="190">
        <v>99.006361823794919</v>
      </c>
      <c r="AD306" s="190">
        <v>99.006361823794919</v>
      </c>
      <c r="AE306" s="190">
        <v>99.006361823794919</v>
      </c>
      <c r="AF306" s="190">
        <v>99.006361823794919</v>
      </c>
      <c r="AG306" s="190">
        <v>99.006361823794919</v>
      </c>
      <c r="AH306" s="190">
        <v>99.006361823794919</v>
      </c>
      <c r="AI306" s="190">
        <v>99.006361823794919</v>
      </c>
      <c r="AJ306" s="190">
        <v>99.006361823794919</v>
      </c>
    </row>
    <row r="307" spans="1:36" hidden="1" x14ac:dyDescent="0.35">
      <c r="A307" t="s">
        <v>1805</v>
      </c>
      <c r="B307" s="188" t="s">
        <v>1342</v>
      </c>
      <c r="C307" t="s">
        <v>1348</v>
      </c>
      <c r="D307" s="188">
        <v>30</v>
      </c>
      <c r="E307" t="s">
        <v>236</v>
      </c>
      <c r="F307" t="s">
        <v>1803</v>
      </c>
      <c r="G307" s="190" t="s">
        <v>1804</v>
      </c>
      <c r="H307" s="190">
        <v>146.96894687966105</v>
      </c>
      <c r="I307" s="190">
        <v>145.35606717509901</v>
      </c>
      <c r="J307" s="190">
        <v>143.74318747053698</v>
      </c>
      <c r="K307" s="190">
        <v>142.13030776597495</v>
      </c>
      <c r="L307" s="190">
        <v>140.51742806141291</v>
      </c>
      <c r="M307" s="190">
        <v>138.90454835685088</v>
      </c>
      <c r="N307" s="190">
        <v>137.29166865228885</v>
      </c>
      <c r="O307" s="190">
        <v>135.67878894772682</v>
      </c>
      <c r="P307" s="190">
        <v>134.06590924316478</v>
      </c>
      <c r="Q307" s="190">
        <v>132.45302953860275</v>
      </c>
      <c r="R307" s="190">
        <v>130.84014983404072</v>
      </c>
      <c r="S307" s="190">
        <v>129.22727012947868</v>
      </c>
      <c r="T307" s="190">
        <v>127.61439042491665</v>
      </c>
      <c r="U307" s="190">
        <v>126.00151072035455</v>
      </c>
      <c r="V307" s="190">
        <v>126.00151072035455</v>
      </c>
      <c r="W307" s="190">
        <v>126.00151072035455</v>
      </c>
      <c r="X307" s="190">
        <v>126.00151072035455</v>
      </c>
      <c r="Y307" s="190">
        <v>126.00151072035455</v>
      </c>
      <c r="Z307" s="190">
        <v>126.00151072035455</v>
      </c>
      <c r="AA307" s="190">
        <v>126.00151072035455</v>
      </c>
      <c r="AB307" s="190">
        <v>126.00151072035455</v>
      </c>
      <c r="AC307" s="190">
        <v>126.00151072035455</v>
      </c>
      <c r="AD307" s="190">
        <v>126.00151072035455</v>
      </c>
      <c r="AE307" s="190">
        <v>126.00151072035455</v>
      </c>
      <c r="AF307" s="190">
        <v>126.00151072035455</v>
      </c>
      <c r="AG307" s="190">
        <v>126.00151072035455</v>
      </c>
      <c r="AH307" s="190">
        <v>126.00151072035455</v>
      </c>
      <c r="AI307" s="190">
        <v>126.00151072035455</v>
      </c>
      <c r="AJ307" s="190">
        <v>126.00151072035455</v>
      </c>
    </row>
    <row r="308" spans="1:36" hidden="1" x14ac:dyDescent="0.35">
      <c r="A308" t="s">
        <v>1806</v>
      </c>
      <c r="B308" s="188" t="s">
        <v>1342</v>
      </c>
      <c r="C308" t="s">
        <v>1350</v>
      </c>
      <c r="D308" s="188">
        <v>30</v>
      </c>
      <c r="E308" t="s">
        <v>236</v>
      </c>
      <c r="F308" t="s">
        <v>1803</v>
      </c>
      <c r="G308" s="190" t="s">
        <v>1804</v>
      </c>
      <c r="H308" s="190">
        <v>146.96894687966105</v>
      </c>
      <c r="I308" s="190">
        <v>146.96894687966105</v>
      </c>
      <c r="J308" s="190">
        <v>146.96894687966105</v>
      </c>
      <c r="K308" s="190">
        <v>146.96894687966105</v>
      </c>
      <c r="L308" s="190">
        <v>146.96894687966105</v>
      </c>
      <c r="M308" s="190">
        <v>146.96894687966105</v>
      </c>
      <c r="N308" s="190">
        <v>146.96894687966105</v>
      </c>
      <c r="O308" s="190">
        <v>146.96894687966105</v>
      </c>
      <c r="P308" s="190">
        <v>146.96894687966105</v>
      </c>
      <c r="Q308" s="190">
        <v>146.96894687966105</v>
      </c>
      <c r="R308" s="190">
        <v>146.96894687966105</v>
      </c>
      <c r="S308" s="190">
        <v>146.96894687966105</v>
      </c>
      <c r="T308" s="190">
        <v>146.96894687966105</v>
      </c>
      <c r="U308" s="190">
        <v>146.96894687966105</v>
      </c>
      <c r="V308" s="190">
        <v>146.96894687966105</v>
      </c>
      <c r="W308" s="190">
        <v>146.96894687966105</v>
      </c>
      <c r="X308" s="190">
        <v>146.96894687966105</v>
      </c>
      <c r="Y308" s="190">
        <v>146.96894687966105</v>
      </c>
      <c r="Z308" s="190">
        <v>146.96894687966105</v>
      </c>
      <c r="AA308" s="190">
        <v>146.96894687966105</v>
      </c>
      <c r="AB308" s="190">
        <v>146.96894687966105</v>
      </c>
      <c r="AC308" s="190">
        <v>146.96894687966105</v>
      </c>
      <c r="AD308" s="190">
        <v>146.96894687966105</v>
      </c>
      <c r="AE308" s="190">
        <v>146.96894687966105</v>
      </c>
      <c r="AF308" s="190">
        <v>146.96894687966105</v>
      </c>
      <c r="AG308" s="190">
        <v>146.96894687966105</v>
      </c>
      <c r="AH308" s="190">
        <v>146.96894687966105</v>
      </c>
      <c r="AI308" s="190">
        <v>146.96894687966105</v>
      </c>
      <c r="AJ308" s="190">
        <v>146.96894687966105</v>
      </c>
    </row>
    <row r="309" spans="1:36" hidden="1" x14ac:dyDescent="0.35">
      <c r="A309" t="s">
        <v>1807</v>
      </c>
      <c r="B309" s="188" t="s">
        <v>1342</v>
      </c>
      <c r="C309" t="s">
        <v>1343</v>
      </c>
      <c r="D309" s="188">
        <v>30</v>
      </c>
      <c r="E309" t="s">
        <v>236</v>
      </c>
      <c r="F309" t="s">
        <v>1808</v>
      </c>
      <c r="G309" s="190" t="s">
        <v>1809</v>
      </c>
      <c r="H309" s="190">
        <v>226.31128048778422</v>
      </c>
      <c r="I309" s="190">
        <v>218.06870620889606</v>
      </c>
      <c r="J309" s="190">
        <v>209.82613193000788</v>
      </c>
      <c r="K309" s="190">
        <v>201.58355765111969</v>
      </c>
      <c r="L309" s="190">
        <v>193.34098337223151</v>
      </c>
      <c r="M309" s="190">
        <v>185.09840909334332</v>
      </c>
      <c r="N309" s="190">
        <v>176.85583481445514</v>
      </c>
      <c r="O309" s="190">
        <v>168.61326053556695</v>
      </c>
      <c r="P309" s="190">
        <v>160.37068625667877</v>
      </c>
      <c r="Q309" s="190">
        <v>152.12811197779058</v>
      </c>
      <c r="R309" s="190">
        <v>143.8855376989024</v>
      </c>
      <c r="S309" s="190">
        <v>135.64296342001421</v>
      </c>
      <c r="T309" s="190">
        <v>127.40038914112604</v>
      </c>
      <c r="U309" s="190">
        <v>119.157814862238</v>
      </c>
      <c r="V309" s="190">
        <v>119.157814862238</v>
      </c>
      <c r="W309" s="190">
        <v>119.157814862238</v>
      </c>
      <c r="X309" s="190">
        <v>119.157814862238</v>
      </c>
      <c r="Y309" s="190">
        <v>119.157814862238</v>
      </c>
      <c r="Z309" s="190">
        <v>119.157814862238</v>
      </c>
      <c r="AA309" s="190">
        <v>119.157814862238</v>
      </c>
      <c r="AB309" s="190">
        <v>119.157814862238</v>
      </c>
      <c r="AC309" s="190">
        <v>119.157814862238</v>
      </c>
      <c r="AD309" s="190">
        <v>119.157814862238</v>
      </c>
      <c r="AE309" s="190">
        <v>119.157814862238</v>
      </c>
      <c r="AF309" s="190">
        <v>119.157814862238</v>
      </c>
      <c r="AG309" s="190">
        <v>119.157814862238</v>
      </c>
      <c r="AH309" s="190">
        <v>119.157814862238</v>
      </c>
      <c r="AI309" s="190">
        <v>119.157814862238</v>
      </c>
      <c r="AJ309" s="190">
        <v>119.157814862238</v>
      </c>
    </row>
    <row r="310" spans="1:36" hidden="1" x14ac:dyDescent="0.35">
      <c r="A310" t="s">
        <v>1810</v>
      </c>
      <c r="B310" s="188" t="s">
        <v>1342</v>
      </c>
      <c r="C310" t="s">
        <v>1348</v>
      </c>
      <c r="D310" s="188">
        <v>30</v>
      </c>
      <c r="E310" t="s">
        <v>236</v>
      </c>
      <c r="F310" t="s">
        <v>1808</v>
      </c>
      <c r="G310" s="190" t="s">
        <v>1809</v>
      </c>
      <c r="H310" s="190">
        <v>226.31128048778422</v>
      </c>
      <c r="I310" s="190">
        <v>221.6256414562647</v>
      </c>
      <c r="J310" s="190">
        <v>216.94000242474519</v>
      </c>
      <c r="K310" s="190">
        <v>212.25436339322567</v>
      </c>
      <c r="L310" s="190">
        <v>207.56872436170616</v>
      </c>
      <c r="M310" s="190">
        <v>202.88308533018665</v>
      </c>
      <c r="N310" s="190">
        <v>198.19744629866713</v>
      </c>
      <c r="O310" s="190">
        <v>193.51180726714762</v>
      </c>
      <c r="P310" s="190">
        <v>188.8261682356281</v>
      </c>
      <c r="Q310" s="190">
        <v>184.14052920410859</v>
      </c>
      <c r="R310" s="190">
        <v>179.45489017258907</v>
      </c>
      <c r="S310" s="190">
        <v>174.76925114106956</v>
      </c>
      <c r="T310" s="190">
        <v>170.08361210955005</v>
      </c>
      <c r="U310" s="190">
        <v>165.39797307803039</v>
      </c>
      <c r="V310" s="190">
        <v>165.39797307803039</v>
      </c>
      <c r="W310" s="190">
        <v>165.39797307803039</v>
      </c>
      <c r="X310" s="190">
        <v>165.39797307803039</v>
      </c>
      <c r="Y310" s="190">
        <v>165.39797307803039</v>
      </c>
      <c r="Z310" s="190">
        <v>165.39797307803039</v>
      </c>
      <c r="AA310" s="190">
        <v>165.39797307803039</v>
      </c>
      <c r="AB310" s="190">
        <v>165.39797307803039</v>
      </c>
      <c r="AC310" s="190">
        <v>165.39797307803039</v>
      </c>
      <c r="AD310" s="190">
        <v>165.39797307803039</v>
      </c>
      <c r="AE310" s="190">
        <v>165.39797307803039</v>
      </c>
      <c r="AF310" s="190">
        <v>165.39797307803039</v>
      </c>
      <c r="AG310" s="190">
        <v>165.39797307803039</v>
      </c>
      <c r="AH310" s="190">
        <v>165.39797307803039</v>
      </c>
      <c r="AI310" s="190">
        <v>165.39797307803039</v>
      </c>
      <c r="AJ310" s="190">
        <v>165.39797307803039</v>
      </c>
    </row>
    <row r="311" spans="1:36" hidden="1" x14ac:dyDescent="0.35">
      <c r="A311" t="s">
        <v>1811</v>
      </c>
      <c r="B311" s="188" t="s">
        <v>1342</v>
      </c>
      <c r="C311" t="s">
        <v>1350</v>
      </c>
      <c r="D311" s="188">
        <v>30</v>
      </c>
      <c r="E311" t="s">
        <v>236</v>
      </c>
      <c r="F311" t="s">
        <v>1808</v>
      </c>
      <c r="G311" s="190" t="s">
        <v>1809</v>
      </c>
      <c r="H311" s="190">
        <v>226.31128048778422</v>
      </c>
      <c r="I311" s="190">
        <v>226.31128048778422</v>
      </c>
      <c r="J311" s="190">
        <v>226.31128048778422</v>
      </c>
      <c r="K311" s="190">
        <v>226.31128048778422</v>
      </c>
      <c r="L311" s="190">
        <v>226.31128048778422</v>
      </c>
      <c r="M311" s="190">
        <v>226.31128048778422</v>
      </c>
      <c r="N311" s="190">
        <v>226.31128048778422</v>
      </c>
      <c r="O311" s="190">
        <v>226.31128048778422</v>
      </c>
      <c r="P311" s="190">
        <v>226.31128048778422</v>
      </c>
      <c r="Q311" s="190">
        <v>226.31128048778422</v>
      </c>
      <c r="R311" s="190">
        <v>226.31128048778422</v>
      </c>
      <c r="S311" s="190">
        <v>226.31128048778422</v>
      </c>
      <c r="T311" s="190">
        <v>226.31128048778422</v>
      </c>
      <c r="U311" s="190">
        <v>226.31128048778422</v>
      </c>
      <c r="V311" s="190">
        <v>226.31128048778422</v>
      </c>
      <c r="W311" s="190">
        <v>226.31128048778422</v>
      </c>
      <c r="X311" s="190">
        <v>226.31128048778422</v>
      </c>
      <c r="Y311" s="190">
        <v>226.31128048778422</v>
      </c>
      <c r="Z311" s="190">
        <v>226.31128048778422</v>
      </c>
      <c r="AA311" s="190">
        <v>226.31128048778422</v>
      </c>
      <c r="AB311" s="190">
        <v>226.31128048778422</v>
      </c>
      <c r="AC311" s="190">
        <v>226.31128048778422</v>
      </c>
      <c r="AD311" s="190">
        <v>226.31128048778422</v>
      </c>
      <c r="AE311" s="190">
        <v>226.31128048778422</v>
      </c>
      <c r="AF311" s="190">
        <v>226.31128048778422</v>
      </c>
      <c r="AG311" s="190">
        <v>226.31128048778422</v>
      </c>
      <c r="AH311" s="190">
        <v>226.31128048778422</v>
      </c>
      <c r="AI311" s="190">
        <v>226.31128048778422</v>
      </c>
      <c r="AJ311" s="190">
        <v>226.31128048778422</v>
      </c>
    </row>
    <row r="312" spans="1:36" hidden="1" x14ac:dyDescent="0.35">
      <c r="A312" t="s">
        <v>1812</v>
      </c>
      <c r="B312" s="188" t="s">
        <v>1342</v>
      </c>
      <c r="C312" t="s">
        <v>1343</v>
      </c>
      <c r="D312" s="188">
        <v>60</v>
      </c>
      <c r="E312" t="s">
        <v>692</v>
      </c>
      <c r="F312" t="s">
        <v>692</v>
      </c>
      <c r="G312" s="190" t="s">
        <v>1813</v>
      </c>
      <c r="H312" s="190"/>
      <c r="I312" s="190"/>
      <c r="J312" s="190"/>
      <c r="K312" s="190"/>
      <c r="L312" s="190"/>
      <c r="M312" s="190"/>
      <c r="N312" s="190"/>
      <c r="O312" s="190"/>
      <c r="P312" s="190">
        <v>126</v>
      </c>
      <c r="Q312" s="190">
        <v>126</v>
      </c>
      <c r="R312" s="190">
        <v>126</v>
      </c>
      <c r="S312" s="190">
        <v>126</v>
      </c>
      <c r="T312" s="190">
        <v>126</v>
      </c>
      <c r="U312" s="190">
        <v>126</v>
      </c>
      <c r="V312" s="190">
        <v>126</v>
      </c>
      <c r="W312" s="190">
        <v>126</v>
      </c>
      <c r="X312" s="190">
        <v>126</v>
      </c>
      <c r="Y312" s="190">
        <v>126</v>
      </c>
      <c r="Z312" s="190">
        <v>126</v>
      </c>
      <c r="AA312" s="190">
        <v>126</v>
      </c>
      <c r="AB312" s="190">
        <v>126</v>
      </c>
      <c r="AC312" s="190">
        <v>126</v>
      </c>
      <c r="AD312" s="190">
        <v>126</v>
      </c>
      <c r="AE312" s="190">
        <v>126</v>
      </c>
      <c r="AF312" s="190">
        <v>126</v>
      </c>
      <c r="AG312" s="190">
        <v>126</v>
      </c>
      <c r="AH312" s="190">
        <v>126</v>
      </c>
      <c r="AI312" s="190">
        <v>126</v>
      </c>
      <c r="AJ312" s="190">
        <v>126</v>
      </c>
    </row>
    <row r="313" spans="1:36" hidden="1" x14ac:dyDescent="0.35">
      <c r="A313" t="s">
        <v>1814</v>
      </c>
      <c r="B313" s="188" t="s">
        <v>1342</v>
      </c>
      <c r="C313" t="s">
        <v>1348</v>
      </c>
      <c r="D313" s="188">
        <v>60</v>
      </c>
      <c r="E313" t="s">
        <v>692</v>
      </c>
      <c r="F313" t="s">
        <v>692</v>
      </c>
      <c r="G313" s="190" t="s">
        <v>1813</v>
      </c>
      <c r="H313" s="190"/>
      <c r="I313" s="190"/>
      <c r="J313" s="190"/>
      <c r="K313" s="190"/>
      <c r="L313" s="190"/>
      <c r="M313" s="190"/>
      <c r="N313" s="190"/>
      <c r="O313" s="190"/>
      <c r="P313" s="190">
        <v>175</v>
      </c>
      <c r="Q313" s="190">
        <v>175</v>
      </c>
      <c r="R313" s="190">
        <v>175</v>
      </c>
      <c r="S313" s="190">
        <v>175</v>
      </c>
      <c r="T313" s="190">
        <v>175</v>
      </c>
      <c r="U313" s="190">
        <v>175</v>
      </c>
      <c r="V313" s="190">
        <v>175</v>
      </c>
      <c r="W313" s="190">
        <v>175</v>
      </c>
      <c r="X313" s="190">
        <v>175</v>
      </c>
      <c r="Y313" s="190">
        <v>175</v>
      </c>
      <c r="Z313" s="190">
        <v>175</v>
      </c>
      <c r="AA313" s="190">
        <v>175</v>
      </c>
      <c r="AB313" s="190">
        <v>175</v>
      </c>
      <c r="AC313" s="190">
        <v>175</v>
      </c>
      <c r="AD313" s="190">
        <v>175</v>
      </c>
      <c r="AE313" s="190">
        <v>175</v>
      </c>
      <c r="AF313" s="190">
        <v>175</v>
      </c>
      <c r="AG313" s="190">
        <v>175</v>
      </c>
      <c r="AH313" s="190">
        <v>175</v>
      </c>
      <c r="AI313" s="190">
        <v>175</v>
      </c>
      <c r="AJ313" s="190">
        <v>175</v>
      </c>
    </row>
    <row r="314" spans="1:36" hidden="1" x14ac:dyDescent="0.35">
      <c r="A314" t="s">
        <v>1815</v>
      </c>
      <c r="B314" s="188" t="s">
        <v>1342</v>
      </c>
      <c r="C314" t="s">
        <v>1350</v>
      </c>
      <c r="D314" s="188">
        <v>60</v>
      </c>
      <c r="E314" t="s">
        <v>692</v>
      </c>
      <c r="F314" t="s">
        <v>692</v>
      </c>
      <c r="G314" s="190" t="s">
        <v>1813</v>
      </c>
      <c r="H314" s="190"/>
      <c r="I314" s="190"/>
      <c r="J314" s="190"/>
      <c r="K314" s="190"/>
      <c r="L314" s="190"/>
      <c r="M314" s="190"/>
      <c r="N314" s="190"/>
      <c r="O314" s="190"/>
      <c r="P314" s="190">
        <v>204</v>
      </c>
      <c r="Q314" s="190">
        <v>204</v>
      </c>
      <c r="R314" s="190">
        <v>204</v>
      </c>
      <c r="S314" s="190">
        <v>204</v>
      </c>
      <c r="T314" s="190">
        <v>204</v>
      </c>
      <c r="U314" s="190">
        <v>204</v>
      </c>
      <c r="V314" s="190">
        <v>204</v>
      </c>
      <c r="W314" s="190">
        <v>204</v>
      </c>
      <c r="X314" s="190">
        <v>204</v>
      </c>
      <c r="Y314" s="190">
        <v>204</v>
      </c>
      <c r="Z314" s="190">
        <v>204</v>
      </c>
      <c r="AA314" s="190">
        <v>204</v>
      </c>
      <c r="AB314" s="190">
        <v>204</v>
      </c>
      <c r="AC314" s="190">
        <v>204</v>
      </c>
      <c r="AD314" s="190">
        <v>204</v>
      </c>
      <c r="AE314" s="190">
        <v>204</v>
      </c>
      <c r="AF314" s="190">
        <v>204</v>
      </c>
      <c r="AG314" s="190">
        <v>204</v>
      </c>
      <c r="AH314" s="190">
        <v>204</v>
      </c>
      <c r="AI314" s="190">
        <v>204</v>
      </c>
      <c r="AJ314" s="190">
        <v>204</v>
      </c>
    </row>
    <row r="315" spans="1:36" hidden="1" x14ac:dyDescent="0.35">
      <c r="A315" t="s">
        <v>1816</v>
      </c>
      <c r="B315" s="188" t="s">
        <v>1342</v>
      </c>
      <c r="C315" t="s">
        <v>1343</v>
      </c>
      <c r="D315" s="188">
        <v>60</v>
      </c>
      <c r="E315" t="s">
        <v>692</v>
      </c>
      <c r="F315" t="s">
        <v>1817</v>
      </c>
      <c r="G315" s="190" t="s">
        <v>1818</v>
      </c>
      <c r="H315" s="190"/>
      <c r="I315" s="190"/>
      <c r="J315" s="190"/>
      <c r="K315" s="190"/>
      <c r="L315" s="190"/>
      <c r="M315" s="190"/>
      <c r="N315" s="190"/>
      <c r="O315" s="190"/>
      <c r="P315" s="190">
        <v>118</v>
      </c>
      <c r="Q315" s="190">
        <v>118</v>
      </c>
      <c r="R315" s="190">
        <v>118</v>
      </c>
      <c r="S315" s="190">
        <v>118</v>
      </c>
      <c r="T315" s="190">
        <v>118</v>
      </c>
      <c r="U315" s="190">
        <v>118</v>
      </c>
      <c r="V315" s="190">
        <v>118</v>
      </c>
      <c r="W315" s="190">
        <v>118</v>
      </c>
      <c r="X315" s="190">
        <v>118</v>
      </c>
      <c r="Y315" s="190">
        <v>118</v>
      </c>
      <c r="Z315" s="190">
        <v>118</v>
      </c>
      <c r="AA315" s="190">
        <v>118</v>
      </c>
      <c r="AB315" s="190">
        <v>118</v>
      </c>
      <c r="AC315" s="190">
        <v>118</v>
      </c>
      <c r="AD315" s="190">
        <v>118</v>
      </c>
      <c r="AE315" s="190">
        <v>118</v>
      </c>
      <c r="AF315" s="190">
        <v>118</v>
      </c>
      <c r="AG315" s="190">
        <v>118</v>
      </c>
      <c r="AH315" s="190">
        <v>118</v>
      </c>
      <c r="AI315" s="190">
        <v>118</v>
      </c>
      <c r="AJ315" s="190">
        <v>118</v>
      </c>
    </row>
    <row r="316" spans="1:36" hidden="1" x14ac:dyDescent="0.35">
      <c r="A316" t="s">
        <v>1819</v>
      </c>
      <c r="B316" s="188" t="s">
        <v>1342</v>
      </c>
      <c r="C316" t="s">
        <v>1348</v>
      </c>
      <c r="D316" s="188">
        <v>60</v>
      </c>
      <c r="E316" t="s">
        <v>692</v>
      </c>
      <c r="F316" t="s">
        <v>1817</v>
      </c>
      <c r="G316" s="190" t="s">
        <v>1818</v>
      </c>
      <c r="H316" s="190"/>
      <c r="I316" s="190"/>
      <c r="J316" s="190"/>
      <c r="K316" s="190"/>
      <c r="L316" s="190"/>
      <c r="M316" s="190"/>
      <c r="N316" s="190"/>
      <c r="O316" s="190"/>
      <c r="P316" s="190">
        <v>136</v>
      </c>
      <c r="Q316" s="190">
        <v>136</v>
      </c>
      <c r="R316" s="190">
        <v>136</v>
      </c>
      <c r="S316" s="190">
        <v>136</v>
      </c>
      <c r="T316" s="190">
        <v>136</v>
      </c>
      <c r="U316" s="190">
        <v>136</v>
      </c>
      <c r="V316" s="190">
        <v>136</v>
      </c>
      <c r="W316" s="190">
        <v>136</v>
      </c>
      <c r="X316" s="190">
        <v>136</v>
      </c>
      <c r="Y316" s="190">
        <v>136</v>
      </c>
      <c r="Z316" s="190">
        <v>136</v>
      </c>
      <c r="AA316" s="190">
        <v>136</v>
      </c>
      <c r="AB316" s="190">
        <v>136</v>
      </c>
      <c r="AC316" s="190">
        <v>136</v>
      </c>
      <c r="AD316" s="190">
        <v>136</v>
      </c>
      <c r="AE316" s="190">
        <v>136</v>
      </c>
      <c r="AF316" s="190">
        <v>136</v>
      </c>
      <c r="AG316" s="190">
        <v>136</v>
      </c>
      <c r="AH316" s="190">
        <v>136</v>
      </c>
      <c r="AI316" s="190">
        <v>136</v>
      </c>
      <c r="AJ316" s="190">
        <v>136</v>
      </c>
    </row>
    <row r="317" spans="1:36" hidden="1" x14ac:dyDescent="0.35">
      <c r="A317" t="s">
        <v>1820</v>
      </c>
      <c r="B317" s="188" t="s">
        <v>1342</v>
      </c>
      <c r="C317" t="s">
        <v>1350</v>
      </c>
      <c r="D317" s="188">
        <v>60</v>
      </c>
      <c r="E317" t="s">
        <v>692</v>
      </c>
      <c r="F317" t="s">
        <v>1817</v>
      </c>
      <c r="G317" s="190" t="s">
        <v>1818</v>
      </c>
      <c r="H317" s="190"/>
      <c r="I317" s="190"/>
      <c r="J317" s="190"/>
      <c r="K317" s="190"/>
      <c r="L317" s="190"/>
      <c r="M317" s="190"/>
      <c r="N317" s="190"/>
      <c r="O317" s="190"/>
      <c r="P317" s="190">
        <v>216</v>
      </c>
      <c r="Q317" s="190">
        <v>216</v>
      </c>
      <c r="R317" s="190">
        <v>216</v>
      </c>
      <c r="S317" s="190">
        <v>216</v>
      </c>
      <c r="T317" s="190">
        <v>216</v>
      </c>
      <c r="U317" s="190">
        <v>216</v>
      </c>
      <c r="V317" s="190">
        <v>216</v>
      </c>
      <c r="W317" s="190">
        <v>216</v>
      </c>
      <c r="X317" s="190">
        <v>216</v>
      </c>
      <c r="Y317" s="190">
        <v>216</v>
      </c>
      <c r="Z317" s="190">
        <v>216</v>
      </c>
      <c r="AA317" s="190">
        <v>216</v>
      </c>
      <c r="AB317" s="190">
        <v>216</v>
      </c>
      <c r="AC317" s="190">
        <v>216</v>
      </c>
      <c r="AD317" s="190">
        <v>216</v>
      </c>
      <c r="AE317" s="190">
        <v>216</v>
      </c>
      <c r="AF317" s="190">
        <v>216</v>
      </c>
      <c r="AG317" s="190">
        <v>216</v>
      </c>
      <c r="AH317" s="190">
        <v>216</v>
      </c>
      <c r="AI317" s="190">
        <v>216</v>
      </c>
      <c r="AJ317" s="190">
        <v>216</v>
      </c>
    </row>
    <row r="318" spans="1:36" hidden="1" x14ac:dyDescent="0.35">
      <c r="A318" t="s">
        <v>1821</v>
      </c>
      <c r="B318" s="188" t="s">
        <v>1342</v>
      </c>
      <c r="C318" t="s">
        <v>1343</v>
      </c>
      <c r="D318" s="188">
        <v>45</v>
      </c>
      <c r="E318" t="s">
        <v>1822</v>
      </c>
      <c r="F318" t="s">
        <v>1823</v>
      </c>
      <c r="G318" t="s">
        <v>1824</v>
      </c>
      <c r="H318">
        <v>163.66601999999997</v>
      </c>
      <c r="I318">
        <v>163.66601999999997</v>
      </c>
      <c r="J318">
        <v>163.66601999999997</v>
      </c>
      <c r="K318">
        <v>163.66601999999997</v>
      </c>
      <c r="L318">
        <v>163.66601999999997</v>
      </c>
      <c r="M318">
        <v>163.66601999999997</v>
      </c>
      <c r="N318">
        <v>163.66601999999997</v>
      </c>
      <c r="O318">
        <v>163.66601999999997</v>
      </c>
      <c r="P318">
        <v>163.66601999999997</v>
      </c>
      <c r="Q318">
        <v>163.66601999999997</v>
      </c>
      <c r="R318">
        <v>163.66601999999997</v>
      </c>
      <c r="S318">
        <v>163.66601999999997</v>
      </c>
      <c r="T318">
        <v>163.66601999999997</v>
      </c>
      <c r="U318">
        <v>163.66601999999997</v>
      </c>
      <c r="V318">
        <v>163.66601999999997</v>
      </c>
      <c r="W318">
        <v>163.66601999999997</v>
      </c>
      <c r="X318">
        <v>163.66601999999997</v>
      </c>
      <c r="Y318">
        <v>163.66601999999997</v>
      </c>
      <c r="Z318">
        <v>163.66601999999997</v>
      </c>
      <c r="AA318">
        <v>163.66601999999997</v>
      </c>
      <c r="AB318">
        <v>163.66601999999997</v>
      </c>
      <c r="AC318">
        <v>163.66601999999997</v>
      </c>
      <c r="AD318">
        <v>163.66601999999997</v>
      </c>
      <c r="AE318">
        <v>163.66601999999997</v>
      </c>
      <c r="AF318">
        <v>163.66601999999997</v>
      </c>
      <c r="AG318">
        <v>163.66601999999997</v>
      </c>
      <c r="AH318">
        <v>163.66601999999997</v>
      </c>
      <c r="AI318">
        <v>163.66601999999997</v>
      </c>
      <c r="AJ318">
        <v>163.66601999999997</v>
      </c>
    </row>
    <row r="319" spans="1:36" hidden="1" x14ac:dyDescent="0.35">
      <c r="A319" t="s">
        <v>1825</v>
      </c>
      <c r="B319" s="188" t="s">
        <v>1342</v>
      </c>
      <c r="C319" t="s">
        <v>1348</v>
      </c>
      <c r="D319" s="188">
        <v>45</v>
      </c>
      <c r="E319" t="s">
        <v>1822</v>
      </c>
      <c r="F319" t="s">
        <v>1823</v>
      </c>
      <c r="G319" t="s">
        <v>1824</v>
      </c>
      <c r="H319">
        <v>163.66601999999997</v>
      </c>
      <c r="I319">
        <v>163.66601999999997</v>
      </c>
      <c r="J319">
        <v>163.66601999999997</v>
      </c>
      <c r="K319">
        <v>163.66601999999997</v>
      </c>
      <c r="L319">
        <v>163.66601999999997</v>
      </c>
      <c r="M319">
        <v>163.66601999999997</v>
      </c>
      <c r="N319">
        <v>163.66601999999997</v>
      </c>
      <c r="O319">
        <v>163.66601999999997</v>
      </c>
      <c r="P319">
        <v>163.66601999999997</v>
      </c>
      <c r="Q319">
        <v>163.66601999999997</v>
      </c>
      <c r="R319">
        <v>163.66601999999997</v>
      </c>
      <c r="S319">
        <v>163.66601999999997</v>
      </c>
      <c r="T319">
        <v>163.66601999999997</v>
      </c>
      <c r="U319">
        <v>163.66601999999997</v>
      </c>
      <c r="V319">
        <v>163.66601999999997</v>
      </c>
      <c r="W319">
        <v>163.66601999999997</v>
      </c>
      <c r="X319">
        <v>163.66601999999997</v>
      </c>
      <c r="Y319">
        <v>163.66601999999997</v>
      </c>
      <c r="Z319">
        <v>163.66601999999997</v>
      </c>
      <c r="AA319">
        <v>163.66601999999997</v>
      </c>
      <c r="AB319">
        <v>163.66601999999997</v>
      </c>
      <c r="AC319">
        <v>163.66601999999997</v>
      </c>
      <c r="AD319">
        <v>163.66601999999997</v>
      </c>
      <c r="AE319">
        <v>163.66601999999997</v>
      </c>
      <c r="AF319">
        <v>163.66601999999997</v>
      </c>
      <c r="AG319">
        <v>163.66601999999997</v>
      </c>
      <c r="AH319">
        <v>163.66601999999997</v>
      </c>
      <c r="AI319">
        <v>163.66601999999997</v>
      </c>
      <c r="AJ319">
        <v>163.66601999999997</v>
      </c>
    </row>
    <row r="320" spans="1:36" hidden="1" x14ac:dyDescent="0.35">
      <c r="A320" t="s">
        <v>1826</v>
      </c>
      <c r="B320" s="188" t="s">
        <v>1342</v>
      </c>
      <c r="C320" t="s">
        <v>1350</v>
      </c>
      <c r="D320" s="188">
        <v>45</v>
      </c>
      <c r="E320" t="s">
        <v>1822</v>
      </c>
      <c r="F320" t="s">
        <v>1823</v>
      </c>
      <c r="G320" t="s">
        <v>1824</v>
      </c>
      <c r="H320">
        <v>163.66601999999997</v>
      </c>
      <c r="I320">
        <v>163.66601999999997</v>
      </c>
      <c r="J320">
        <v>163.66601999999997</v>
      </c>
      <c r="K320">
        <v>163.66601999999997</v>
      </c>
      <c r="L320">
        <v>163.66601999999997</v>
      </c>
      <c r="M320">
        <v>163.66601999999997</v>
      </c>
      <c r="N320">
        <v>163.66601999999997</v>
      </c>
      <c r="O320">
        <v>163.66601999999997</v>
      </c>
      <c r="P320">
        <v>163.66601999999997</v>
      </c>
      <c r="Q320">
        <v>163.66601999999997</v>
      </c>
      <c r="R320">
        <v>163.66601999999997</v>
      </c>
      <c r="S320">
        <v>163.66601999999997</v>
      </c>
      <c r="T320">
        <v>163.66601999999997</v>
      </c>
      <c r="U320">
        <v>163.66601999999997</v>
      </c>
      <c r="V320">
        <v>163.66601999999997</v>
      </c>
      <c r="W320">
        <v>163.66601999999997</v>
      </c>
      <c r="X320">
        <v>163.66601999999997</v>
      </c>
      <c r="Y320">
        <v>163.66601999999997</v>
      </c>
      <c r="Z320">
        <v>163.66601999999997</v>
      </c>
      <c r="AA320">
        <v>163.66601999999997</v>
      </c>
      <c r="AB320">
        <v>163.66601999999997</v>
      </c>
      <c r="AC320">
        <v>163.66601999999997</v>
      </c>
      <c r="AD320">
        <v>163.66601999999997</v>
      </c>
      <c r="AE320">
        <v>163.66601999999997</v>
      </c>
      <c r="AF320">
        <v>163.66601999999997</v>
      </c>
      <c r="AG320">
        <v>163.66601999999997</v>
      </c>
      <c r="AH320">
        <v>163.66601999999997</v>
      </c>
      <c r="AI320">
        <v>163.66601999999997</v>
      </c>
      <c r="AJ320">
        <v>163.66601999999997</v>
      </c>
    </row>
    <row r="321" spans="1:36" x14ac:dyDescent="0.35">
      <c r="A321" t="s">
        <v>1827</v>
      </c>
      <c r="B321" s="188" t="s">
        <v>1342</v>
      </c>
      <c r="C321" t="s">
        <v>1343</v>
      </c>
      <c r="D321" s="188" t="s">
        <v>555</v>
      </c>
      <c r="E321" t="s">
        <v>1828</v>
      </c>
      <c r="F321" t="s">
        <v>1829</v>
      </c>
      <c r="G321" s="175" t="s">
        <v>1830</v>
      </c>
      <c r="H321" s="175">
        <v>28.621570104</v>
      </c>
      <c r="I321" s="175">
        <v>28.328033821999998</v>
      </c>
      <c r="J321" s="175">
        <v>23.386829694928366</v>
      </c>
      <c r="K321" s="175">
        <v>18.434735962974226</v>
      </c>
      <c r="L321" s="175">
        <v>17.656705558730032</v>
      </c>
      <c r="M321" s="175">
        <v>16.877981552703879</v>
      </c>
      <c r="N321" s="175">
        <v>16.100460136776984</v>
      </c>
      <c r="O321" s="175">
        <v>15.323288433696764</v>
      </c>
      <c r="P321" s="175">
        <v>14.529715961717471</v>
      </c>
      <c r="Q321" s="175">
        <v>14.2728936365667</v>
      </c>
      <c r="R321" s="175">
        <v>14.016071669791604</v>
      </c>
      <c r="S321" s="175">
        <v>13.775178275205093</v>
      </c>
      <c r="T321" s="175">
        <v>13.518341548771076</v>
      </c>
      <c r="U321" s="175">
        <v>13.244481958220286</v>
      </c>
      <c r="V321" s="175">
        <v>13.003667773321737</v>
      </c>
      <c r="W321" s="175">
        <v>12.746810206296871</v>
      </c>
      <c r="X321" s="175">
        <v>12.489951592458088</v>
      </c>
      <c r="Y321" s="175">
        <v>12.233091865551135</v>
      </c>
      <c r="Z321" s="175">
        <v>11.992473775472199</v>
      </c>
      <c r="AA321" s="175">
        <v>11.735599962687498</v>
      </c>
      <c r="AB321" s="175">
        <v>11.461344114321907</v>
      </c>
      <c r="AC321" s="175">
        <v>11.204451700623139</v>
      </c>
      <c r="AD321" s="175">
        <v>10.963932642952786</v>
      </c>
      <c r="AE321" s="175">
        <v>10.707024279461491</v>
      </c>
      <c r="AF321" s="175">
        <v>10.450112061310666</v>
      </c>
      <c r="AG321" s="175">
        <v>10.19319568813625</v>
      </c>
      <c r="AH321" s="175">
        <v>9.9529598279546274</v>
      </c>
      <c r="AI321" s="175">
        <v>9.6960311492410867</v>
      </c>
      <c r="AJ321" s="175">
        <v>9.4211698798675041</v>
      </c>
    </row>
    <row r="322" spans="1:36" x14ac:dyDescent="0.35">
      <c r="A322" t="s">
        <v>1831</v>
      </c>
      <c r="B322" s="188" t="s">
        <v>1342</v>
      </c>
      <c r="C322" t="s">
        <v>1348</v>
      </c>
      <c r="D322" s="188" t="s">
        <v>555</v>
      </c>
      <c r="E322" t="s">
        <v>1828</v>
      </c>
      <c r="F322" t="s">
        <v>1829</v>
      </c>
      <c r="G322" s="175" t="s">
        <v>1830</v>
      </c>
      <c r="H322" s="175">
        <v>28.621570104</v>
      </c>
      <c r="I322" s="175">
        <v>28.328033821999998</v>
      </c>
      <c r="J322" s="175">
        <v>26.459223198949783</v>
      </c>
      <c r="K322" s="175">
        <v>23.280382723411293</v>
      </c>
      <c r="L322" s="175">
        <v>22.665573143824247</v>
      </c>
      <c r="M322" s="175">
        <v>22.051901388363184</v>
      </c>
      <c r="N322" s="175">
        <v>21.439505002049103</v>
      </c>
      <c r="O322" s="175">
        <v>20.828544630088974</v>
      </c>
      <c r="P322" s="175">
        <v>20.219209079903308</v>
      </c>
      <c r="Q322" s="175">
        <v>19.941613196987682</v>
      </c>
      <c r="R322" s="175">
        <v>19.66382420981121</v>
      </c>
      <c r="S322" s="175">
        <v>19.385834595252661</v>
      </c>
      <c r="T322" s="175">
        <v>19.107636434259479</v>
      </c>
      <c r="U322" s="175">
        <v>18.82922138545398</v>
      </c>
      <c r="V322" s="175">
        <v>18.550580656599443</v>
      </c>
      <c r="W322" s="175">
        <v>18.271704973721217</v>
      </c>
      <c r="X322" s="175">
        <v>17.992584547654719</v>
      </c>
      <c r="Y322" s="175">
        <v>17.713209037766603</v>
      </c>
      <c r="Z322" s="175">
        <v>17.433567512566629</v>
      </c>
      <c r="AA322" s="175">
        <v>17.153648406894558</v>
      </c>
      <c r="AB322" s="175">
        <v>16.873439475329757</v>
      </c>
      <c r="AC322" s="175">
        <v>16.592927741428777</v>
      </c>
      <c r="AD322" s="175">
        <v>16.312099442348426</v>
      </c>
      <c r="AE322" s="175">
        <v>16.030939968357519</v>
      </c>
      <c r="AF322" s="175">
        <v>15.749433796678193</v>
      </c>
      <c r="AG322" s="175">
        <v>15.467564419026861</v>
      </c>
      <c r="AH322" s="175">
        <v>15.185314262143457</v>
      </c>
      <c r="AI322" s="175">
        <v>14.902664600504473</v>
      </c>
      <c r="AJ322" s="175">
        <v>14.619595460307892</v>
      </c>
    </row>
    <row r="323" spans="1:36" x14ac:dyDescent="0.35">
      <c r="A323" t="s">
        <v>1832</v>
      </c>
      <c r="B323" s="188" t="s">
        <v>1342</v>
      </c>
      <c r="C323" t="s">
        <v>1350</v>
      </c>
      <c r="D323" s="188" t="s">
        <v>555</v>
      </c>
      <c r="E323" t="s">
        <v>1828</v>
      </c>
      <c r="F323" t="s">
        <v>1829</v>
      </c>
      <c r="G323" s="175" t="s">
        <v>1830</v>
      </c>
      <c r="H323" s="175">
        <v>28.621570104</v>
      </c>
      <c r="I323" s="175">
        <v>28.328033821999998</v>
      </c>
      <c r="J323" s="175">
        <v>29.895013484443492</v>
      </c>
      <c r="K323" s="175">
        <v>29.479535608780878</v>
      </c>
      <c r="L323" s="175">
        <v>28.461849153775439</v>
      </c>
      <c r="M323" s="175">
        <v>27.443109602701664</v>
      </c>
      <c r="N323" s="175">
        <v>26.423205754766386</v>
      </c>
      <c r="O323" s="175">
        <v>25.402010181798751</v>
      </c>
      <c r="P323" s="175">
        <v>24.379376156124067</v>
      </c>
      <c r="Q323" s="175">
        <v>24.212455868630595</v>
      </c>
      <c r="R323" s="175">
        <v>24.045535581137116</v>
      </c>
      <c r="S323" s="175">
        <v>23.878615293643637</v>
      </c>
      <c r="T323" s="175">
        <v>23.711695006150155</v>
      </c>
      <c r="U323" s="175">
        <v>23.544774718656683</v>
      </c>
      <c r="V323" s="175">
        <v>23.3778544311632</v>
      </c>
      <c r="W323" s="175">
        <v>23.210934143669729</v>
      </c>
      <c r="X323" s="175">
        <v>23.04401385617625</v>
      </c>
      <c r="Y323" s="175">
        <v>22.877093568682774</v>
      </c>
      <c r="Z323" s="175">
        <v>22.710173281189295</v>
      </c>
      <c r="AA323" s="175">
        <v>22.543252993695816</v>
      </c>
      <c r="AB323" s="175">
        <v>22.376332706202334</v>
      </c>
      <c r="AC323" s="175">
        <v>22.209412418708862</v>
      </c>
      <c r="AD323" s="175">
        <v>22.042492131215386</v>
      </c>
      <c r="AE323" s="175">
        <v>21.875571843721907</v>
      </c>
      <c r="AF323" s="175">
        <v>21.708651556228432</v>
      </c>
      <c r="AG323" s="175">
        <v>21.541731268734949</v>
      </c>
      <c r="AH323" s="175">
        <v>21.374810981241474</v>
      </c>
      <c r="AI323" s="175">
        <v>21.207890693747999</v>
      </c>
      <c r="AJ323" s="175">
        <v>21.04097040625453</v>
      </c>
    </row>
    <row r="324" spans="1:36" x14ac:dyDescent="0.35">
      <c r="A324" t="s">
        <v>1833</v>
      </c>
      <c r="B324" s="188" t="s">
        <v>1342</v>
      </c>
      <c r="C324" t="s">
        <v>1343</v>
      </c>
      <c r="D324" s="188" t="s">
        <v>555</v>
      </c>
      <c r="E324" t="s">
        <v>1828</v>
      </c>
      <c r="F324" t="s">
        <v>1834</v>
      </c>
      <c r="G324" s="175" t="s">
        <v>1835</v>
      </c>
      <c r="H324" s="175">
        <v>48.168000000000006</v>
      </c>
      <c r="I324" s="175">
        <v>47.674000000000007</v>
      </c>
      <c r="J324" s="175">
        <v>39.358316425410791</v>
      </c>
      <c r="K324" s="175">
        <v>31.042921530881053</v>
      </c>
      <c r="L324" s="175">
        <v>29.72526291141352</v>
      </c>
      <c r="M324" s="175">
        <v>28.407622679114844</v>
      </c>
      <c r="N324" s="175">
        <v>27.089950566524347</v>
      </c>
      <c r="O324" s="175">
        <v>25.772269183154386</v>
      </c>
      <c r="P324" s="175">
        <v>24.455022579098483</v>
      </c>
      <c r="Q324" s="175">
        <v>24.026246214602896</v>
      </c>
      <c r="R324" s="175">
        <v>23.59746984060688</v>
      </c>
      <c r="S324" s="175">
        <v>23.168271205085642</v>
      </c>
      <c r="T324" s="175">
        <v>22.739495222363619</v>
      </c>
      <c r="U324" s="175">
        <v>22.311170510507598</v>
      </c>
      <c r="V324" s="175">
        <v>21.881969775162009</v>
      </c>
      <c r="W324" s="175">
        <v>21.453194344917616</v>
      </c>
      <c r="X324" s="175">
        <v>21.024418942423928</v>
      </c>
      <c r="Y324" s="175">
        <v>20.595643569437335</v>
      </c>
      <c r="Z324" s="175">
        <v>20.166437635678694</v>
      </c>
      <c r="AA324" s="175">
        <v>19.737662636104368</v>
      </c>
      <c r="AB324" s="175">
        <v>19.309348428920529</v>
      </c>
      <c r="AC324" s="175">
        <v>18.880573922450687</v>
      </c>
      <c r="AD324" s="175">
        <v>18.451365363373505</v>
      </c>
      <c r="AE324" s="175">
        <v>18.022591279727731</v>
      </c>
      <c r="AF324" s="175">
        <v>17.593817298267791</v>
      </c>
      <c r="AG324" s="175">
        <v>17.165043426956238</v>
      </c>
      <c r="AH324" s="175">
        <v>16.735827360401171</v>
      </c>
      <c r="AI324" s="175">
        <v>16.307053815305654</v>
      </c>
      <c r="AJ324" s="175">
        <v>15.878755657645625</v>
      </c>
    </row>
    <row r="325" spans="1:36" x14ac:dyDescent="0.35">
      <c r="A325" t="s">
        <v>1836</v>
      </c>
      <c r="B325" s="188" t="s">
        <v>1342</v>
      </c>
      <c r="C325" t="s">
        <v>1348</v>
      </c>
      <c r="D325" s="188" t="s">
        <v>555</v>
      </c>
      <c r="E325" t="s">
        <v>1828</v>
      </c>
      <c r="F325" t="s">
        <v>1834</v>
      </c>
      <c r="G325" s="175" t="s">
        <v>1835</v>
      </c>
      <c r="H325" s="175">
        <v>48.168000000000006</v>
      </c>
      <c r="I325" s="175">
        <v>47.674000000000007</v>
      </c>
      <c r="J325" s="175">
        <v>44.246916025232842</v>
      </c>
      <c r="K325" s="175">
        <v>38.776782454974047</v>
      </c>
      <c r="L325" s="175">
        <v>37.522397883081418</v>
      </c>
      <c r="M325" s="175">
        <v>36.26792129883431</v>
      </c>
      <c r="N325" s="175">
        <v>35.013341579387877</v>
      </c>
      <c r="O325" s="175">
        <v>33.758645733855914</v>
      </c>
      <c r="P325" s="175">
        <v>32.503818493960217</v>
      </c>
      <c r="Q325" s="175">
        <v>32.002507123486154</v>
      </c>
      <c r="R325" s="175">
        <v>31.501211368762622</v>
      </c>
      <c r="S325" s="175">
        <v>30.999931838161412</v>
      </c>
      <c r="T325" s="175">
        <v>30.498669172072056</v>
      </c>
      <c r="U325" s="175">
        <v>29.997424045036247</v>
      </c>
      <c r="V325" s="175">
        <v>29.49619716805525</v>
      </c>
      <c r="W325" s="175">
        <v>28.994989291087013</v>
      </c>
      <c r="X325" s="175">
        <v>28.493801205751325</v>
      </c>
      <c r="Y325" s="175">
        <v>27.992633748263525</v>
      </c>
      <c r="Z325" s="175">
        <v>27.491487802619801</v>
      </c>
      <c r="AA325" s="175">
        <v>26.990364304059245</v>
      </c>
      <c r="AB325" s="175">
        <v>26.489264242831553</v>
      </c>
      <c r="AC325" s="175">
        <v>25.988188668301987</v>
      </c>
      <c r="AD325" s="175">
        <v>25.487138693429547</v>
      </c>
      <c r="AE325" s="175">
        <v>24.986115499658482</v>
      </c>
      <c r="AF325" s="175">
        <v>24.485120342268324</v>
      </c>
      <c r="AG325" s="175">
        <v>23.984154556233438</v>
      </c>
      <c r="AH325" s="175">
        <v>23.483219562649584</v>
      </c>
      <c r="AI325" s="175">
        <v>22.982316875792531</v>
      </c>
      <c r="AJ325" s="175">
        <v>22.4814481108825</v>
      </c>
    </row>
    <row r="326" spans="1:36" x14ac:dyDescent="0.35">
      <c r="A326" t="s">
        <v>1837</v>
      </c>
      <c r="B326" s="188" t="s">
        <v>1342</v>
      </c>
      <c r="C326" t="s">
        <v>1350</v>
      </c>
      <c r="D326" s="188" t="s">
        <v>555</v>
      </c>
      <c r="E326" t="s">
        <v>1828</v>
      </c>
      <c r="F326" t="s">
        <v>1834</v>
      </c>
      <c r="G326" s="175" t="s">
        <v>1835</v>
      </c>
      <c r="H326" s="175">
        <v>48.168000000000006</v>
      </c>
      <c r="I326" s="175">
        <v>47.674000000000007</v>
      </c>
      <c r="J326" s="175">
        <v>50.308768119050107</v>
      </c>
      <c r="K326" s="175">
        <v>49.594969782282917</v>
      </c>
      <c r="L326" s="175">
        <v>47.737642193296708</v>
      </c>
      <c r="M326" s="175">
        <v>45.88033904647039</v>
      </c>
      <c r="N326" s="175">
        <v>44.023062922753255</v>
      </c>
      <c r="O326" s="175">
        <v>42.165816779728956</v>
      </c>
      <c r="P326" s="175">
        <v>40.308604022918985</v>
      </c>
      <c r="Q326" s="175">
        <v>40.032619775870224</v>
      </c>
      <c r="R326" s="175">
        <v>39.756635528821462</v>
      </c>
      <c r="S326" s="175">
        <v>39.480651281772708</v>
      </c>
      <c r="T326" s="175">
        <v>39.20466703472394</v>
      </c>
      <c r="U326" s="175">
        <v>38.928682787675186</v>
      </c>
      <c r="V326" s="175">
        <v>38.652698540626425</v>
      </c>
      <c r="W326" s="175">
        <v>38.37671429357767</v>
      </c>
      <c r="X326" s="175">
        <v>38.100730046528909</v>
      </c>
      <c r="Y326" s="175">
        <v>37.824745799480148</v>
      </c>
      <c r="Z326" s="175">
        <v>37.548761552431387</v>
      </c>
      <c r="AA326" s="175">
        <v>37.272777305382625</v>
      </c>
      <c r="AB326" s="175">
        <v>36.996793058333864</v>
      </c>
      <c r="AC326" s="175">
        <v>36.72080881128511</v>
      </c>
      <c r="AD326" s="175">
        <v>36.444824564236356</v>
      </c>
      <c r="AE326" s="175">
        <v>36.168840317187595</v>
      </c>
      <c r="AF326" s="175">
        <v>35.892856070138834</v>
      </c>
      <c r="AG326" s="175">
        <v>35.616871823090072</v>
      </c>
      <c r="AH326" s="175">
        <v>35.340887576041311</v>
      </c>
      <c r="AI326" s="175">
        <v>35.06490332899255</v>
      </c>
      <c r="AJ326" s="175">
        <v>34.78891908194381</v>
      </c>
    </row>
    <row r="327" spans="1:36" x14ac:dyDescent="0.35">
      <c r="A327" t="s">
        <v>1838</v>
      </c>
      <c r="B327" s="188" t="s">
        <v>1342</v>
      </c>
      <c r="C327" t="s">
        <v>1343</v>
      </c>
      <c r="D327" s="188" t="s">
        <v>555</v>
      </c>
      <c r="E327" t="s">
        <v>1828</v>
      </c>
      <c r="F327" t="s">
        <v>1839</v>
      </c>
      <c r="G327" s="175" t="s">
        <v>1840</v>
      </c>
      <c r="H327" s="175">
        <v>67.714429895999999</v>
      </c>
      <c r="I327" s="175">
        <v>67.019966178000004</v>
      </c>
      <c r="J327" s="175">
        <v>55.32980315589321</v>
      </c>
      <c r="K327" s="175">
        <v>43.651107098787875</v>
      </c>
      <c r="L327" s="175">
        <v>41.793820264097008</v>
      </c>
      <c r="M327" s="175">
        <v>39.937263805525809</v>
      </c>
      <c r="N327" s="175">
        <v>38.079440996271707</v>
      </c>
      <c r="O327" s="175">
        <v>36.221249932612011</v>
      </c>
      <c r="P327" s="175">
        <v>34.380329196479501</v>
      </c>
      <c r="Q327" s="175">
        <v>33.779598792639085</v>
      </c>
      <c r="R327" s="175">
        <v>33.178868011422161</v>
      </c>
      <c r="S327" s="175">
        <v>32.56136413496619</v>
      </c>
      <c r="T327" s="175">
        <v>31.960648895956162</v>
      </c>
      <c r="U327" s="175">
        <v>31.377859062794911</v>
      </c>
      <c r="V327" s="175">
        <v>30.760271777002284</v>
      </c>
      <c r="W327" s="175">
        <v>30.159578483538361</v>
      </c>
      <c r="X327" s="175">
        <v>29.558886292389765</v>
      </c>
      <c r="Y327" s="175">
        <v>28.958195273323533</v>
      </c>
      <c r="Z327" s="175">
        <v>28.340401495885189</v>
      </c>
      <c r="AA327" s="175">
        <v>27.739725309521237</v>
      </c>
      <c r="AB327" s="175">
        <v>27.157352743519155</v>
      </c>
      <c r="AC327" s="175">
        <v>26.556696144278227</v>
      </c>
      <c r="AD327" s="175">
        <v>25.938798083794225</v>
      </c>
      <c r="AE327" s="175">
        <v>25.338158279993969</v>
      </c>
      <c r="AF327" s="175">
        <v>24.737522535224912</v>
      </c>
      <c r="AG327" s="175">
        <v>24.136891165776227</v>
      </c>
      <c r="AH327" s="175">
        <v>23.518694892847709</v>
      </c>
      <c r="AI327" s="175">
        <v>22.918076481370221</v>
      </c>
      <c r="AJ327" s="175">
        <v>22.336341435423748</v>
      </c>
    </row>
    <row r="328" spans="1:36" x14ac:dyDescent="0.35">
      <c r="A328" t="s">
        <v>1841</v>
      </c>
      <c r="B328" s="188" t="s">
        <v>1342</v>
      </c>
      <c r="C328" t="s">
        <v>1348</v>
      </c>
      <c r="D328" s="188" t="s">
        <v>555</v>
      </c>
      <c r="E328" t="s">
        <v>1828</v>
      </c>
      <c r="F328" t="s">
        <v>1839</v>
      </c>
      <c r="G328" s="175" t="s">
        <v>1840</v>
      </c>
      <c r="H328" s="175">
        <v>67.714429895999999</v>
      </c>
      <c r="I328" s="175">
        <v>67.019966178000004</v>
      </c>
      <c r="J328" s="175">
        <v>62.034608851515884</v>
      </c>
      <c r="K328" s="175">
        <v>54.273182186536793</v>
      </c>
      <c r="L328" s="175">
        <v>52.379222622338581</v>
      </c>
      <c r="M328" s="175">
        <v>50.483941209305435</v>
      </c>
      <c r="N328" s="175">
        <v>48.587178156726658</v>
      </c>
      <c r="O328" s="175">
        <v>46.688746837622858</v>
      </c>
      <c r="P328" s="175">
        <v>44.788427908017127</v>
      </c>
      <c r="Q328" s="175">
        <v>44.063401049984627</v>
      </c>
      <c r="R328" s="175">
        <v>43.338598527714026</v>
      </c>
      <c r="S328" s="175">
        <v>42.614029081070164</v>
      </c>
      <c r="T328" s="175">
        <v>41.889701909884629</v>
      </c>
      <c r="U328" s="175">
        <v>41.165626704618511</v>
      </c>
      <c r="V328" s="175">
        <v>40.441813679511064</v>
      </c>
      <c r="W328" s="175">
        <v>39.718273608452812</v>
      </c>
      <c r="X328" s="175">
        <v>38.99501786384792</v>
      </c>
      <c r="Y328" s="175">
        <v>38.272058458760448</v>
      </c>
      <c r="Z328" s="175">
        <v>37.549408092672969</v>
      </c>
      <c r="AA328" s="175">
        <v>36.827080201223943</v>
      </c>
      <c r="AB328" s="175">
        <v>36.105089010333337</v>
      </c>
      <c r="AC328" s="175">
        <v>35.383449595175193</v>
      </c>
      <c r="AD328" s="175">
        <v>34.662177944510667</v>
      </c>
      <c r="AE328" s="175">
        <v>33.941291030959448</v>
      </c>
      <c r="AF328" s="175">
        <v>33.220806887858451</v>
      </c>
      <c r="AG328" s="175">
        <v>32.500744693440019</v>
      </c>
      <c r="AH328" s="175">
        <v>31.781124863155711</v>
      </c>
      <c r="AI328" s="175">
        <v>31.061969151080589</v>
      </c>
      <c r="AJ328" s="175">
        <v>30.343300761457108</v>
      </c>
    </row>
    <row r="329" spans="1:36" x14ac:dyDescent="0.35">
      <c r="A329" t="s">
        <v>1842</v>
      </c>
      <c r="B329" s="188" t="s">
        <v>1342</v>
      </c>
      <c r="C329" t="s">
        <v>1350</v>
      </c>
      <c r="D329" s="188" t="s">
        <v>555</v>
      </c>
      <c r="E329" t="s">
        <v>1828</v>
      </c>
      <c r="F329" t="s">
        <v>1839</v>
      </c>
      <c r="G329" s="175" t="s">
        <v>1840</v>
      </c>
      <c r="H329" s="175">
        <v>67.714429895999999</v>
      </c>
      <c r="I329" s="175">
        <v>67.019966178000004</v>
      </c>
      <c r="J329" s="175">
        <v>70.722522753656719</v>
      </c>
      <c r="K329" s="175">
        <v>69.710403955784955</v>
      </c>
      <c r="L329" s="175">
        <v>67.013435232817969</v>
      </c>
      <c r="M329" s="175">
        <v>64.317568490239111</v>
      </c>
      <c r="N329" s="175">
        <v>61.622920090740131</v>
      </c>
      <c r="O329" s="175">
        <v>58.929623377659155</v>
      </c>
      <c r="P329" s="175">
        <v>56.237831889713895</v>
      </c>
      <c r="Q329" s="175">
        <v>55.852783683109855</v>
      </c>
      <c r="R329" s="175">
        <v>55.467735476505815</v>
      </c>
      <c r="S329" s="175">
        <v>55.082687269901776</v>
      </c>
      <c r="T329" s="175">
        <v>54.697639063297721</v>
      </c>
      <c r="U329" s="175">
        <v>54.312590856693696</v>
      </c>
      <c r="V329" s="175">
        <v>53.927542650089642</v>
      </c>
      <c r="W329" s="175">
        <v>53.542494443485616</v>
      </c>
      <c r="X329" s="175">
        <v>53.157446236881562</v>
      </c>
      <c r="Y329" s="175">
        <v>52.772398030277522</v>
      </c>
      <c r="Z329" s="175">
        <v>52.387349823673482</v>
      </c>
      <c r="AA329" s="175">
        <v>52.002301617069442</v>
      </c>
      <c r="AB329" s="175">
        <v>51.617253410465395</v>
      </c>
      <c r="AC329" s="175">
        <v>51.232205203861355</v>
      </c>
      <c r="AD329" s="175">
        <v>50.847156997257315</v>
      </c>
      <c r="AE329" s="175">
        <v>50.462108790653275</v>
      </c>
      <c r="AF329" s="175">
        <v>50.077060584049235</v>
      </c>
      <c r="AG329" s="175">
        <v>49.692012377445195</v>
      </c>
      <c r="AH329" s="175">
        <v>49.306964170841155</v>
      </c>
      <c r="AI329" s="175">
        <v>48.921915964237115</v>
      </c>
      <c r="AJ329" s="175">
        <v>48.536867757633097</v>
      </c>
    </row>
    <row r="330" spans="1:36" x14ac:dyDescent="0.35">
      <c r="A330" t="s">
        <v>1843</v>
      </c>
      <c r="B330" s="188" t="s">
        <v>1342</v>
      </c>
      <c r="C330" t="s">
        <v>1343</v>
      </c>
      <c r="D330" s="188" t="s">
        <v>555</v>
      </c>
      <c r="E330" t="s">
        <v>1828</v>
      </c>
      <c r="F330" t="s">
        <v>1844</v>
      </c>
      <c r="G330" s="175" t="s">
        <v>1845</v>
      </c>
      <c r="H330" s="175">
        <v>87.260859792000005</v>
      </c>
      <c r="I330" s="175">
        <v>86.365932356000016</v>
      </c>
      <c r="J330" s="175">
        <v>71.301289886375642</v>
      </c>
      <c r="K330" s="175">
        <v>56.259292666694705</v>
      </c>
      <c r="L330" s="175">
        <v>53.862377616780499</v>
      </c>
      <c r="M330" s="175">
        <v>51.466904931936767</v>
      </c>
      <c r="N330" s="175">
        <v>49.068931426019077</v>
      </c>
      <c r="O330" s="175">
        <v>46.670230682069636</v>
      </c>
      <c r="P330" s="175">
        <v>44.305635813860512</v>
      </c>
      <c r="Q330" s="175">
        <v>43.532951370675285</v>
      </c>
      <c r="R330" s="175">
        <v>42.760266182237437</v>
      </c>
      <c r="S330" s="175">
        <v>41.954457064846736</v>
      </c>
      <c r="T330" s="175">
        <v>41.181802569548701</v>
      </c>
      <c r="U330" s="175">
        <v>40.444547615082222</v>
      </c>
      <c r="V330" s="175">
        <v>39.638573778842556</v>
      </c>
      <c r="W330" s="175">
        <v>38.865962622159103</v>
      </c>
      <c r="X330" s="175">
        <v>38.093353642355602</v>
      </c>
      <c r="Y330" s="175">
        <v>37.320746977209737</v>
      </c>
      <c r="Z330" s="175">
        <v>36.51436535609168</v>
      </c>
      <c r="AA330" s="175">
        <v>35.741787982938106</v>
      </c>
      <c r="AB330" s="175">
        <v>35.005357058117781</v>
      </c>
      <c r="AC330" s="175">
        <v>34.232818366105775</v>
      </c>
      <c r="AD330" s="175">
        <v>33.426230804214946</v>
      </c>
      <c r="AE330" s="175">
        <v>32.653725280260211</v>
      </c>
      <c r="AF330" s="175">
        <v>31.881227772182037</v>
      </c>
      <c r="AG330" s="175">
        <v>31.108738904596215</v>
      </c>
      <c r="AH330" s="175">
        <v>30.30156242529425</v>
      </c>
      <c r="AI330" s="175">
        <v>29.529099147434792</v>
      </c>
      <c r="AJ330" s="175">
        <v>28.793927213201865</v>
      </c>
    </row>
    <row r="331" spans="1:36" x14ac:dyDescent="0.35">
      <c r="A331" t="s">
        <v>1846</v>
      </c>
      <c r="B331" s="188" t="s">
        <v>1342</v>
      </c>
      <c r="C331" t="s">
        <v>1348</v>
      </c>
      <c r="D331" s="188" t="s">
        <v>555</v>
      </c>
      <c r="E331" t="s">
        <v>1828</v>
      </c>
      <c r="F331" t="s">
        <v>1844</v>
      </c>
      <c r="G331" s="175" t="s">
        <v>1845</v>
      </c>
      <c r="H331" s="175">
        <v>87.260859792000005</v>
      </c>
      <c r="I331" s="175">
        <v>86.365932356000016</v>
      </c>
      <c r="J331" s="175">
        <v>79.822301677798947</v>
      </c>
      <c r="K331" s="175">
        <v>69.769581918099547</v>
      </c>
      <c r="L331" s="175">
        <v>67.236047361595737</v>
      </c>
      <c r="M331" s="175">
        <v>64.69996111977656</v>
      </c>
      <c r="N331" s="175">
        <v>62.161014734065432</v>
      </c>
      <c r="O331" s="175">
        <v>59.618847941389788</v>
      </c>
      <c r="P331" s="175">
        <v>57.073037322074043</v>
      </c>
      <c r="Q331" s="175">
        <v>56.124294976483093</v>
      </c>
      <c r="R331" s="175">
        <v>55.175985686665449</v>
      </c>
      <c r="S331" s="175">
        <v>54.228126323978906</v>
      </c>
      <c r="T331" s="175">
        <v>53.280734647697209</v>
      </c>
      <c r="U331" s="175">
        <v>52.333829364200781</v>
      </c>
      <c r="V331" s="175">
        <v>51.387430190966874</v>
      </c>
      <c r="W331" s="175">
        <v>50.441557925818614</v>
      </c>
      <c r="X331" s="175">
        <v>49.496234521944523</v>
      </c>
      <c r="Y331" s="175">
        <v>48.551483169257367</v>
      </c>
      <c r="Z331" s="175">
        <v>47.607328382726138</v>
      </c>
      <c r="AA331" s="175">
        <v>46.66379609838863</v>
      </c>
      <c r="AB331" s="175">
        <v>45.720913777835136</v>
      </c>
      <c r="AC331" s="175">
        <v>44.778710522048407</v>
      </c>
      <c r="AD331" s="175">
        <v>43.837217195591791</v>
      </c>
      <c r="AE331" s="175">
        <v>42.896466562260407</v>
      </c>
      <c r="AF331" s="175">
        <v>41.956493433448578</v>
      </c>
      <c r="AG331" s="175">
        <v>41.017334830646597</v>
      </c>
      <c r="AH331" s="175">
        <v>40.079030163661841</v>
      </c>
      <c r="AI331" s="175">
        <v>39.141621426368644</v>
      </c>
      <c r="AJ331" s="175">
        <v>38.205153412031713</v>
      </c>
    </row>
    <row r="332" spans="1:36" x14ac:dyDescent="0.35">
      <c r="A332" t="s">
        <v>1847</v>
      </c>
      <c r="B332" s="188" t="s">
        <v>1342</v>
      </c>
      <c r="C332" t="s">
        <v>1350</v>
      </c>
      <c r="D332" s="188" t="s">
        <v>555</v>
      </c>
      <c r="E332" t="s">
        <v>1828</v>
      </c>
      <c r="F332" t="s">
        <v>1844</v>
      </c>
      <c r="G332" s="175" t="s">
        <v>1845</v>
      </c>
      <c r="H332" s="175">
        <v>87.260859792000005</v>
      </c>
      <c r="I332" s="175">
        <v>86.365932356000016</v>
      </c>
      <c r="J332" s="175">
        <v>91.136277388263338</v>
      </c>
      <c r="K332" s="175">
        <v>89.825838129286993</v>
      </c>
      <c r="L332" s="175">
        <v>86.289228272339244</v>
      </c>
      <c r="M332" s="175">
        <v>82.75479793400784</v>
      </c>
      <c r="N332" s="175">
        <v>79.222777258727007</v>
      </c>
      <c r="O332" s="175">
        <v>75.693429975589353</v>
      </c>
      <c r="P332" s="175">
        <v>72.167059756508806</v>
      </c>
      <c r="Q332" s="175">
        <v>71.67294759034948</v>
      </c>
      <c r="R332" s="175">
        <v>71.178835424190169</v>
      </c>
      <c r="S332" s="175">
        <v>70.684723258030843</v>
      </c>
      <c r="T332" s="175">
        <v>70.190611091871503</v>
      </c>
      <c r="U332" s="175">
        <v>69.696498925712191</v>
      </c>
      <c r="V332" s="175">
        <v>69.202386759552866</v>
      </c>
      <c r="W332" s="175">
        <v>68.708274593393554</v>
      </c>
      <c r="X332" s="175">
        <v>68.214162427234214</v>
      </c>
      <c r="Y332" s="175">
        <v>67.720050261074888</v>
      </c>
      <c r="Z332" s="175">
        <v>67.225938094915577</v>
      </c>
      <c r="AA332" s="175">
        <v>66.731825928756251</v>
      </c>
      <c r="AB332" s="175">
        <v>66.237713762596925</v>
      </c>
      <c r="AC332" s="175">
        <v>65.7436015964376</v>
      </c>
      <c r="AD332" s="175">
        <v>65.249489430278274</v>
      </c>
      <c r="AE332" s="175">
        <v>64.755377264118962</v>
      </c>
      <c r="AF332" s="175">
        <v>64.261265097959637</v>
      </c>
      <c r="AG332" s="175">
        <v>63.767152931800311</v>
      </c>
      <c r="AH332" s="175">
        <v>63.273040765640985</v>
      </c>
      <c r="AI332" s="175">
        <v>62.778928599481667</v>
      </c>
      <c r="AJ332" s="175">
        <v>62.284816433322376</v>
      </c>
    </row>
    <row r="333" spans="1:36" x14ac:dyDescent="0.35">
      <c r="A333" t="s">
        <v>1848</v>
      </c>
      <c r="B333" s="188" t="s">
        <v>1342</v>
      </c>
      <c r="C333" t="s">
        <v>1343</v>
      </c>
      <c r="D333" s="188" t="s">
        <v>555</v>
      </c>
      <c r="E333" t="s">
        <v>1828</v>
      </c>
      <c r="F333" t="s">
        <v>1849</v>
      </c>
      <c r="G333" s="175" t="s">
        <v>1850</v>
      </c>
      <c r="H333" s="175">
        <v>106.807289688</v>
      </c>
      <c r="I333" s="175">
        <v>105.71189853400001</v>
      </c>
      <c r="J333" s="175">
        <v>87.272776616858053</v>
      </c>
      <c r="K333" s="175">
        <v>68.867478234601535</v>
      </c>
      <c r="L333" s="175">
        <v>65.930934969463976</v>
      </c>
      <c r="M333" s="175">
        <v>62.996546058347725</v>
      </c>
      <c r="N333" s="175">
        <v>60.05842185576644</v>
      </c>
      <c r="O333" s="175">
        <v>57.119211431527255</v>
      </c>
      <c r="P333" s="175">
        <v>54.230942431241523</v>
      </c>
      <c r="Q333" s="175">
        <v>53.286303948711492</v>
      </c>
      <c r="R333" s="175">
        <v>52.341664353052721</v>
      </c>
      <c r="S333" s="175">
        <v>51.347549994727288</v>
      </c>
      <c r="T333" s="175">
        <v>50.40295624314124</v>
      </c>
      <c r="U333" s="175">
        <v>49.511236167369532</v>
      </c>
      <c r="V333" s="175">
        <v>48.516875780682831</v>
      </c>
      <c r="W333" s="175">
        <v>47.572346760779844</v>
      </c>
      <c r="X333" s="175">
        <v>46.627820992321439</v>
      </c>
      <c r="Y333" s="175">
        <v>45.683298681095934</v>
      </c>
      <c r="Z333" s="175">
        <v>44.688329216298172</v>
      </c>
      <c r="AA333" s="175">
        <v>43.743850656354972</v>
      </c>
      <c r="AB333" s="175">
        <v>42.853361372716407</v>
      </c>
      <c r="AC333" s="175">
        <v>41.908940587933323</v>
      </c>
      <c r="AD333" s="175">
        <v>40.913663524635666</v>
      </c>
      <c r="AE333" s="175">
        <v>39.969292280526453</v>
      </c>
      <c r="AF333" s="175">
        <v>39.024933009139161</v>
      </c>
      <c r="AG333" s="175">
        <v>38.080586643416204</v>
      </c>
      <c r="AH333" s="175">
        <v>37.084429957740788</v>
      </c>
      <c r="AI333" s="175">
        <v>36.140121813499363</v>
      </c>
      <c r="AJ333" s="175">
        <v>35.251512990979982</v>
      </c>
    </row>
    <row r="334" spans="1:36" x14ac:dyDescent="0.35">
      <c r="A334" t="s">
        <v>1851</v>
      </c>
      <c r="B334" s="188" t="s">
        <v>1342</v>
      </c>
      <c r="C334" t="s">
        <v>1348</v>
      </c>
      <c r="D334" s="188" t="s">
        <v>555</v>
      </c>
      <c r="E334" t="s">
        <v>1828</v>
      </c>
      <c r="F334" t="s">
        <v>1849</v>
      </c>
      <c r="G334" s="175" t="s">
        <v>1850</v>
      </c>
      <c r="H334" s="175">
        <v>106.807289688</v>
      </c>
      <c r="I334" s="175">
        <v>105.71189853400001</v>
      </c>
      <c r="J334" s="175">
        <v>97.60999450408201</v>
      </c>
      <c r="K334" s="175">
        <v>85.265981649662294</v>
      </c>
      <c r="L334" s="175">
        <v>82.092872100852915</v>
      </c>
      <c r="M334" s="175">
        <v>78.915981030247679</v>
      </c>
      <c r="N334" s="175">
        <v>75.734851311404213</v>
      </c>
      <c r="O334" s="175">
        <v>72.548949045156732</v>
      </c>
      <c r="P334" s="175">
        <v>69.357646736130945</v>
      </c>
      <c r="Q334" s="175">
        <v>68.185188902981565</v>
      </c>
      <c r="R334" s="175">
        <v>67.013372845616843</v>
      </c>
      <c r="S334" s="175">
        <v>65.842223566887654</v>
      </c>
      <c r="T334" s="175">
        <v>64.671767385509781</v>
      </c>
      <c r="U334" s="175">
        <v>63.502032023783038</v>
      </c>
      <c r="V334" s="175">
        <v>62.333046702422678</v>
      </c>
      <c r="W334" s="175">
        <v>61.164842243184403</v>
      </c>
      <c r="X334" s="175">
        <v>59.997451180041118</v>
      </c>
      <c r="Y334" s="175">
        <v>58.830907879754278</v>
      </c>
      <c r="Z334" s="175">
        <v>57.665248672779313</v>
      </c>
      <c r="AA334" s="175">
        <v>56.500511995553325</v>
      </c>
      <c r="AB334" s="175">
        <v>55.336738545336928</v>
      </c>
      <c r="AC334" s="175">
        <v>54.173971448921613</v>
      </c>
      <c r="AD334" s="175">
        <v>53.012256446672907</v>
      </c>
      <c r="AE334" s="175">
        <v>51.851642093561374</v>
      </c>
      <c r="AF334" s="175">
        <v>50.692179979038713</v>
      </c>
      <c r="AG334" s="175">
        <v>49.533924967853174</v>
      </c>
      <c r="AH334" s="175">
        <v>48.376935464167964</v>
      </c>
      <c r="AI334" s="175">
        <v>47.221273701656699</v>
      </c>
      <c r="AJ334" s="175">
        <v>46.067006062606318</v>
      </c>
    </row>
    <row r="335" spans="1:36" x14ac:dyDescent="0.35">
      <c r="A335" t="s">
        <v>1852</v>
      </c>
      <c r="B335" s="188" t="s">
        <v>1342</v>
      </c>
      <c r="C335" t="s">
        <v>1350</v>
      </c>
      <c r="D335" s="188" t="s">
        <v>555</v>
      </c>
      <c r="E335" t="s">
        <v>1828</v>
      </c>
      <c r="F335" t="s">
        <v>1849</v>
      </c>
      <c r="G335" s="175" t="s">
        <v>1850</v>
      </c>
      <c r="H335" s="175">
        <v>106.807289688</v>
      </c>
      <c r="I335" s="175">
        <v>105.71189853400001</v>
      </c>
      <c r="J335" s="175">
        <v>111.55003202286994</v>
      </c>
      <c r="K335" s="175">
        <v>109.94127230278903</v>
      </c>
      <c r="L335" s="175">
        <v>105.56502131186053</v>
      </c>
      <c r="M335" s="175">
        <v>101.19202737777657</v>
      </c>
      <c r="N335" s="175">
        <v>96.822634426713876</v>
      </c>
      <c r="O335" s="175">
        <v>92.457236573519566</v>
      </c>
      <c r="P335" s="175">
        <v>88.096287623303724</v>
      </c>
      <c r="Q335" s="175">
        <v>87.493111497589112</v>
      </c>
      <c r="R335" s="175">
        <v>86.889935371874515</v>
      </c>
      <c r="S335" s="175">
        <v>86.286759246159917</v>
      </c>
      <c r="T335" s="175">
        <v>85.683583120445292</v>
      </c>
      <c r="U335" s="175">
        <v>85.080406994730708</v>
      </c>
      <c r="V335" s="175">
        <v>84.477230869016083</v>
      </c>
      <c r="W335" s="175">
        <v>83.874054743301485</v>
      </c>
      <c r="X335" s="175">
        <v>83.270878617586874</v>
      </c>
      <c r="Y335" s="175">
        <v>82.667702491872262</v>
      </c>
      <c r="Z335" s="175">
        <v>82.064526366157665</v>
      </c>
      <c r="AA335" s="175">
        <v>81.461350240443053</v>
      </c>
      <c r="AB335" s="175">
        <v>80.858174114728456</v>
      </c>
      <c r="AC335" s="175">
        <v>80.254997989013859</v>
      </c>
      <c r="AD335" s="175">
        <v>79.651821863299247</v>
      </c>
      <c r="AE335" s="175">
        <v>79.04864573758465</v>
      </c>
      <c r="AF335" s="175">
        <v>78.445469611870053</v>
      </c>
      <c r="AG335" s="175">
        <v>77.842293486155427</v>
      </c>
      <c r="AH335" s="175">
        <v>77.239117360440829</v>
      </c>
      <c r="AI335" s="175">
        <v>76.635941234726218</v>
      </c>
      <c r="AJ335" s="175">
        <v>76.032765109011663</v>
      </c>
    </row>
    <row r="336" spans="1:36" hidden="1" x14ac:dyDescent="0.35">
      <c r="A336" t="s">
        <v>1853</v>
      </c>
      <c r="B336" s="188" t="s">
        <v>1342</v>
      </c>
      <c r="C336" t="s">
        <v>1343</v>
      </c>
      <c r="D336" s="188">
        <v>100</v>
      </c>
      <c r="E336" t="s">
        <v>1854</v>
      </c>
      <c r="F336" t="s">
        <v>1855</v>
      </c>
      <c r="G336" s="188" t="s">
        <v>1856</v>
      </c>
      <c r="H336" s="188">
        <v>92</v>
      </c>
      <c r="I336" s="188">
        <v>92</v>
      </c>
      <c r="J336" s="188">
        <v>92</v>
      </c>
      <c r="K336" s="188">
        <v>92</v>
      </c>
      <c r="L336" s="188">
        <v>92</v>
      </c>
      <c r="M336" s="188">
        <v>92</v>
      </c>
      <c r="N336" s="188">
        <v>92</v>
      </c>
      <c r="O336" s="188">
        <v>92</v>
      </c>
      <c r="P336" s="188">
        <v>92</v>
      </c>
      <c r="Q336" s="188">
        <v>87</v>
      </c>
      <c r="R336" s="188">
        <v>87</v>
      </c>
      <c r="S336" s="188">
        <v>87</v>
      </c>
      <c r="T336" s="188">
        <v>87</v>
      </c>
      <c r="U336" s="188">
        <v>87</v>
      </c>
      <c r="V336" s="188">
        <v>87</v>
      </c>
      <c r="W336" s="188">
        <v>87</v>
      </c>
      <c r="X336" s="188">
        <v>87</v>
      </c>
      <c r="Y336" s="188">
        <v>87</v>
      </c>
      <c r="Z336" s="188">
        <v>87</v>
      </c>
      <c r="AA336" s="188">
        <v>79</v>
      </c>
      <c r="AB336" s="188">
        <v>79</v>
      </c>
      <c r="AC336" s="188">
        <v>79</v>
      </c>
      <c r="AD336" s="188">
        <v>79</v>
      </c>
      <c r="AE336" s="188">
        <v>79</v>
      </c>
      <c r="AF336" s="188">
        <v>79</v>
      </c>
      <c r="AG336" s="188">
        <v>79</v>
      </c>
      <c r="AH336" s="188">
        <v>79</v>
      </c>
      <c r="AI336" s="188">
        <v>79</v>
      </c>
      <c r="AJ336" s="188">
        <v>79</v>
      </c>
    </row>
    <row r="337" spans="1:36" hidden="1" x14ac:dyDescent="0.35">
      <c r="A337" t="s">
        <v>1857</v>
      </c>
      <c r="B337" s="188" t="s">
        <v>1342</v>
      </c>
      <c r="C337" t="s">
        <v>1348</v>
      </c>
      <c r="D337" s="188">
        <v>100</v>
      </c>
      <c r="E337" t="s">
        <v>1854</v>
      </c>
      <c r="F337" t="s">
        <v>1855</v>
      </c>
      <c r="G337" s="188" t="s">
        <v>1856</v>
      </c>
      <c r="H337" s="188">
        <v>92</v>
      </c>
      <c r="I337" s="188">
        <v>92</v>
      </c>
      <c r="J337" s="188">
        <v>92</v>
      </c>
      <c r="K337" s="188">
        <v>92</v>
      </c>
      <c r="L337" s="188">
        <v>92</v>
      </c>
      <c r="M337" s="188">
        <v>92</v>
      </c>
      <c r="N337" s="188">
        <v>92</v>
      </c>
      <c r="O337" s="188">
        <v>92</v>
      </c>
      <c r="P337" s="188">
        <v>92</v>
      </c>
      <c r="Q337" s="188">
        <v>92</v>
      </c>
      <c r="R337" s="188">
        <v>92</v>
      </c>
      <c r="S337" s="188">
        <v>92</v>
      </c>
      <c r="T337" s="188">
        <v>92</v>
      </c>
      <c r="U337" s="188">
        <v>92</v>
      </c>
      <c r="V337" s="188">
        <v>92</v>
      </c>
      <c r="W337" s="188">
        <v>92</v>
      </c>
      <c r="X337" s="188">
        <v>92</v>
      </c>
      <c r="Y337" s="188">
        <v>92</v>
      </c>
      <c r="Z337" s="188">
        <v>92</v>
      </c>
      <c r="AA337" s="188">
        <v>88</v>
      </c>
      <c r="AB337" s="188">
        <v>88</v>
      </c>
      <c r="AC337" s="188">
        <v>88</v>
      </c>
      <c r="AD337" s="188">
        <v>88</v>
      </c>
      <c r="AE337" s="188">
        <v>88</v>
      </c>
      <c r="AF337" s="188">
        <v>88</v>
      </c>
      <c r="AG337" s="188">
        <v>88</v>
      </c>
      <c r="AH337" s="188">
        <v>88</v>
      </c>
      <c r="AI337" s="188">
        <v>88</v>
      </c>
      <c r="AJ337" s="188">
        <v>88</v>
      </c>
    </row>
    <row r="338" spans="1:36" hidden="1" x14ac:dyDescent="0.35">
      <c r="A338" t="s">
        <v>1858</v>
      </c>
      <c r="B338" s="188" t="s">
        <v>1342</v>
      </c>
      <c r="C338" t="s">
        <v>1350</v>
      </c>
      <c r="D338" s="188">
        <v>100</v>
      </c>
      <c r="E338" t="s">
        <v>1854</v>
      </c>
      <c r="F338" t="s">
        <v>1855</v>
      </c>
      <c r="G338" s="188" t="s">
        <v>1856</v>
      </c>
      <c r="H338" s="188">
        <v>92</v>
      </c>
      <c r="I338" s="188">
        <v>92</v>
      </c>
      <c r="J338" s="188">
        <v>92</v>
      </c>
      <c r="K338" s="188">
        <v>92</v>
      </c>
      <c r="L338" s="188">
        <v>92</v>
      </c>
      <c r="M338" s="188">
        <v>92</v>
      </c>
      <c r="N338" s="188">
        <v>92</v>
      </c>
      <c r="O338" s="188">
        <v>92</v>
      </c>
      <c r="P338" s="188">
        <v>92</v>
      </c>
      <c r="Q338" s="188">
        <v>92</v>
      </c>
      <c r="R338" s="188">
        <v>92</v>
      </c>
      <c r="S338" s="188">
        <v>92</v>
      </c>
      <c r="T338" s="188">
        <v>92</v>
      </c>
      <c r="U338" s="188">
        <v>92</v>
      </c>
      <c r="V338" s="188">
        <v>92</v>
      </c>
      <c r="W338" s="188">
        <v>92</v>
      </c>
      <c r="X338" s="188">
        <v>92</v>
      </c>
      <c r="Y338" s="188">
        <v>92</v>
      </c>
      <c r="Z338" s="188">
        <v>92</v>
      </c>
      <c r="AA338" s="188">
        <v>92</v>
      </c>
      <c r="AB338" s="188">
        <v>92</v>
      </c>
      <c r="AC338" s="188">
        <v>92</v>
      </c>
      <c r="AD338" s="188">
        <v>92</v>
      </c>
      <c r="AE338" s="188">
        <v>92</v>
      </c>
      <c r="AF338" s="188">
        <v>92</v>
      </c>
      <c r="AG338" s="188">
        <v>92</v>
      </c>
      <c r="AH338" s="188">
        <v>92</v>
      </c>
      <c r="AI338" s="188">
        <v>92</v>
      </c>
      <c r="AJ338" s="188">
        <v>92</v>
      </c>
    </row>
    <row r="339" spans="1:36" hidden="1" x14ac:dyDescent="0.35">
      <c r="A339" t="s">
        <v>1859</v>
      </c>
      <c r="B339" s="188" t="s">
        <v>1342</v>
      </c>
      <c r="C339" t="s">
        <v>1343</v>
      </c>
      <c r="D339" s="188">
        <v>100</v>
      </c>
      <c r="E339" t="s">
        <v>1854</v>
      </c>
      <c r="F339" t="s">
        <v>1860</v>
      </c>
      <c r="G339" s="188" t="s">
        <v>1861</v>
      </c>
      <c r="H339" s="188">
        <v>93</v>
      </c>
      <c r="I339" s="188">
        <v>93</v>
      </c>
      <c r="J339" s="188">
        <v>93</v>
      </c>
      <c r="K339" s="188">
        <v>93</v>
      </c>
      <c r="L339" s="188">
        <v>93</v>
      </c>
      <c r="M339" s="188">
        <v>93</v>
      </c>
      <c r="N339" s="188">
        <v>93</v>
      </c>
      <c r="O339" s="188">
        <v>93</v>
      </c>
      <c r="P339" s="188">
        <v>93</v>
      </c>
      <c r="Q339" s="188">
        <v>89</v>
      </c>
      <c r="R339" s="188">
        <v>89</v>
      </c>
      <c r="S339" s="188">
        <v>89</v>
      </c>
      <c r="T339" s="188">
        <v>89</v>
      </c>
      <c r="U339" s="188">
        <v>89</v>
      </c>
      <c r="V339" s="188">
        <v>89</v>
      </c>
      <c r="W339" s="188">
        <v>89</v>
      </c>
      <c r="X339" s="188">
        <v>89</v>
      </c>
      <c r="Y339" s="188">
        <v>89</v>
      </c>
      <c r="Z339" s="188">
        <v>89</v>
      </c>
      <c r="AA339" s="188">
        <v>81</v>
      </c>
      <c r="AB339" s="188">
        <v>81</v>
      </c>
      <c r="AC339" s="188">
        <v>81</v>
      </c>
      <c r="AD339" s="188">
        <v>81</v>
      </c>
      <c r="AE339" s="188">
        <v>81</v>
      </c>
      <c r="AF339" s="188">
        <v>81</v>
      </c>
      <c r="AG339" s="188">
        <v>81</v>
      </c>
      <c r="AH339" s="188">
        <v>81</v>
      </c>
      <c r="AI339" s="188">
        <v>81</v>
      </c>
      <c r="AJ339" s="188">
        <v>81</v>
      </c>
    </row>
    <row r="340" spans="1:36" hidden="1" x14ac:dyDescent="0.35">
      <c r="A340" t="s">
        <v>1862</v>
      </c>
      <c r="B340" s="188" t="s">
        <v>1342</v>
      </c>
      <c r="C340" t="s">
        <v>1348</v>
      </c>
      <c r="D340" s="188">
        <v>100</v>
      </c>
      <c r="E340" t="s">
        <v>1854</v>
      </c>
      <c r="F340" t="s">
        <v>1860</v>
      </c>
      <c r="G340" s="188" t="s">
        <v>1861</v>
      </c>
      <c r="H340" s="188">
        <v>93</v>
      </c>
      <c r="I340" s="188">
        <v>93</v>
      </c>
      <c r="J340" s="188">
        <v>93</v>
      </c>
      <c r="K340" s="188">
        <v>93</v>
      </c>
      <c r="L340" s="188">
        <v>93</v>
      </c>
      <c r="M340" s="188">
        <v>93</v>
      </c>
      <c r="N340" s="188">
        <v>93</v>
      </c>
      <c r="O340" s="188">
        <v>93</v>
      </c>
      <c r="P340" s="188">
        <v>93</v>
      </c>
      <c r="Q340" s="188">
        <v>93</v>
      </c>
      <c r="R340" s="188">
        <v>93</v>
      </c>
      <c r="S340" s="188">
        <v>93</v>
      </c>
      <c r="T340" s="188">
        <v>93</v>
      </c>
      <c r="U340" s="188">
        <v>93</v>
      </c>
      <c r="V340" s="188">
        <v>93</v>
      </c>
      <c r="W340" s="188">
        <v>93</v>
      </c>
      <c r="X340" s="188">
        <v>93</v>
      </c>
      <c r="Y340" s="188">
        <v>93</v>
      </c>
      <c r="Z340" s="188">
        <v>93</v>
      </c>
      <c r="AA340" s="188">
        <v>90</v>
      </c>
      <c r="AB340" s="188">
        <v>90</v>
      </c>
      <c r="AC340" s="188">
        <v>90</v>
      </c>
      <c r="AD340" s="188">
        <v>90</v>
      </c>
      <c r="AE340" s="188">
        <v>90</v>
      </c>
      <c r="AF340" s="188">
        <v>90</v>
      </c>
      <c r="AG340" s="188">
        <v>90</v>
      </c>
      <c r="AH340" s="188">
        <v>90</v>
      </c>
      <c r="AI340" s="188">
        <v>90</v>
      </c>
      <c r="AJ340" s="188">
        <v>90</v>
      </c>
    </row>
    <row r="341" spans="1:36" hidden="1" x14ac:dyDescent="0.35">
      <c r="A341" t="s">
        <v>1863</v>
      </c>
      <c r="B341" s="188" t="s">
        <v>1342</v>
      </c>
      <c r="C341" t="s">
        <v>1350</v>
      </c>
      <c r="D341" s="188">
        <v>100</v>
      </c>
      <c r="E341" t="s">
        <v>1854</v>
      </c>
      <c r="F341" t="s">
        <v>1860</v>
      </c>
      <c r="G341" s="188" t="s">
        <v>1861</v>
      </c>
      <c r="H341" s="188">
        <v>93</v>
      </c>
      <c r="I341" s="188">
        <v>93</v>
      </c>
      <c r="J341" s="188">
        <v>93</v>
      </c>
      <c r="K341" s="188">
        <v>93</v>
      </c>
      <c r="L341" s="188">
        <v>93</v>
      </c>
      <c r="M341" s="188">
        <v>93</v>
      </c>
      <c r="N341" s="188">
        <v>93</v>
      </c>
      <c r="O341" s="188">
        <v>93</v>
      </c>
      <c r="P341" s="188">
        <v>93</v>
      </c>
      <c r="Q341" s="188">
        <v>93</v>
      </c>
      <c r="R341" s="188">
        <v>93</v>
      </c>
      <c r="S341" s="188">
        <v>93</v>
      </c>
      <c r="T341" s="188">
        <v>93</v>
      </c>
      <c r="U341" s="188">
        <v>93</v>
      </c>
      <c r="V341" s="188">
        <v>93</v>
      </c>
      <c r="W341" s="188">
        <v>93</v>
      </c>
      <c r="X341" s="188">
        <v>93</v>
      </c>
      <c r="Y341" s="188">
        <v>93</v>
      </c>
      <c r="Z341" s="188">
        <v>93</v>
      </c>
      <c r="AA341" s="188">
        <v>93</v>
      </c>
      <c r="AB341" s="188">
        <v>93</v>
      </c>
      <c r="AC341" s="188">
        <v>93</v>
      </c>
      <c r="AD341" s="188">
        <v>93</v>
      </c>
      <c r="AE341" s="188">
        <v>93</v>
      </c>
      <c r="AF341" s="188">
        <v>93</v>
      </c>
      <c r="AG341" s="188">
        <v>93</v>
      </c>
      <c r="AH341" s="188">
        <v>93</v>
      </c>
      <c r="AI341" s="188">
        <v>93</v>
      </c>
      <c r="AJ341" s="188">
        <v>93</v>
      </c>
    </row>
    <row r="342" spans="1:36" hidden="1" x14ac:dyDescent="0.35">
      <c r="A342" t="s">
        <v>1864</v>
      </c>
      <c r="B342" s="188" t="s">
        <v>1342</v>
      </c>
      <c r="C342" t="s">
        <v>1343</v>
      </c>
      <c r="D342" s="188">
        <v>100</v>
      </c>
      <c r="E342" t="s">
        <v>1854</v>
      </c>
      <c r="F342" t="s">
        <v>1865</v>
      </c>
      <c r="G342" s="188" t="s">
        <v>1866</v>
      </c>
      <c r="H342" s="188">
        <v>113</v>
      </c>
      <c r="I342" s="188">
        <v>113</v>
      </c>
      <c r="J342" s="188">
        <v>113</v>
      </c>
      <c r="K342" s="188">
        <v>113</v>
      </c>
      <c r="L342" s="188">
        <v>113</v>
      </c>
      <c r="M342" s="188">
        <v>113</v>
      </c>
      <c r="N342" s="188">
        <v>113</v>
      </c>
      <c r="O342" s="188">
        <v>113</v>
      </c>
      <c r="P342" s="188">
        <v>113</v>
      </c>
      <c r="Q342" s="188">
        <v>107</v>
      </c>
      <c r="R342" s="188">
        <v>107</v>
      </c>
      <c r="S342" s="188">
        <v>107</v>
      </c>
      <c r="T342" s="188">
        <v>107</v>
      </c>
      <c r="U342" s="188">
        <v>107</v>
      </c>
      <c r="V342" s="188">
        <v>107</v>
      </c>
      <c r="W342" s="188">
        <v>107</v>
      </c>
      <c r="X342" s="188">
        <v>107</v>
      </c>
      <c r="Y342" s="188">
        <v>107</v>
      </c>
      <c r="Z342" s="188">
        <v>107</v>
      </c>
      <c r="AA342" s="188">
        <v>97</v>
      </c>
      <c r="AB342" s="188">
        <v>97</v>
      </c>
      <c r="AC342" s="188">
        <v>97</v>
      </c>
      <c r="AD342" s="188">
        <v>97</v>
      </c>
      <c r="AE342" s="188">
        <v>97</v>
      </c>
      <c r="AF342" s="188">
        <v>97</v>
      </c>
      <c r="AG342" s="188">
        <v>97</v>
      </c>
      <c r="AH342" s="188">
        <v>97</v>
      </c>
      <c r="AI342" s="188">
        <v>97</v>
      </c>
      <c r="AJ342" s="188">
        <v>97</v>
      </c>
    </row>
    <row r="343" spans="1:36" hidden="1" x14ac:dyDescent="0.35">
      <c r="A343" t="s">
        <v>1867</v>
      </c>
      <c r="B343" s="188" t="s">
        <v>1342</v>
      </c>
      <c r="C343" t="s">
        <v>1348</v>
      </c>
      <c r="D343" s="188">
        <v>100</v>
      </c>
      <c r="E343" t="s">
        <v>1854</v>
      </c>
      <c r="F343" t="s">
        <v>1865</v>
      </c>
      <c r="G343" s="188" t="s">
        <v>1866</v>
      </c>
      <c r="H343" s="188">
        <v>113</v>
      </c>
      <c r="I343" s="188">
        <v>113</v>
      </c>
      <c r="J343" s="188">
        <v>113</v>
      </c>
      <c r="K343" s="188">
        <v>113</v>
      </c>
      <c r="L343" s="188">
        <v>113</v>
      </c>
      <c r="M343" s="188">
        <v>113</v>
      </c>
      <c r="N343" s="188">
        <v>113</v>
      </c>
      <c r="O343" s="188">
        <v>113</v>
      </c>
      <c r="P343" s="188">
        <v>113</v>
      </c>
      <c r="Q343" s="188">
        <v>113</v>
      </c>
      <c r="R343" s="188">
        <v>113</v>
      </c>
      <c r="S343" s="188">
        <v>113</v>
      </c>
      <c r="T343" s="188">
        <v>113</v>
      </c>
      <c r="U343" s="188">
        <v>113</v>
      </c>
      <c r="V343" s="188">
        <v>113</v>
      </c>
      <c r="W343" s="188">
        <v>113</v>
      </c>
      <c r="X343" s="188">
        <v>113</v>
      </c>
      <c r="Y343" s="188">
        <v>113</v>
      </c>
      <c r="Z343" s="188">
        <v>113</v>
      </c>
      <c r="AA343" s="188">
        <v>108</v>
      </c>
      <c r="AB343" s="188">
        <v>108</v>
      </c>
      <c r="AC343" s="188">
        <v>108</v>
      </c>
      <c r="AD343" s="188">
        <v>108</v>
      </c>
      <c r="AE343" s="188">
        <v>108</v>
      </c>
      <c r="AF343" s="188">
        <v>108</v>
      </c>
      <c r="AG343" s="188">
        <v>108</v>
      </c>
      <c r="AH343" s="188">
        <v>108</v>
      </c>
      <c r="AI343" s="188">
        <v>108</v>
      </c>
      <c r="AJ343" s="188">
        <v>108</v>
      </c>
    </row>
    <row r="344" spans="1:36" hidden="1" x14ac:dyDescent="0.35">
      <c r="A344" t="s">
        <v>1868</v>
      </c>
      <c r="B344" s="188" t="s">
        <v>1342</v>
      </c>
      <c r="C344" t="s">
        <v>1350</v>
      </c>
      <c r="D344" s="188">
        <v>100</v>
      </c>
      <c r="E344" t="s">
        <v>1854</v>
      </c>
      <c r="F344" t="s">
        <v>1865</v>
      </c>
      <c r="G344" s="188" t="s">
        <v>1866</v>
      </c>
      <c r="H344" s="188">
        <v>113</v>
      </c>
      <c r="I344" s="188">
        <v>113</v>
      </c>
      <c r="J344" s="188">
        <v>113</v>
      </c>
      <c r="K344" s="188">
        <v>113</v>
      </c>
      <c r="L344" s="188">
        <v>113</v>
      </c>
      <c r="M344" s="188">
        <v>113</v>
      </c>
      <c r="N344" s="188">
        <v>113</v>
      </c>
      <c r="O344" s="188">
        <v>113</v>
      </c>
      <c r="P344" s="188">
        <v>113</v>
      </c>
      <c r="Q344" s="188">
        <v>113</v>
      </c>
      <c r="R344" s="188">
        <v>113</v>
      </c>
      <c r="S344" s="188">
        <v>113</v>
      </c>
      <c r="T344" s="188">
        <v>113</v>
      </c>
      <c r="U344" s="188">
        <v>113</v>
      </c>
      <c r="V344" s="188">
        <v>113</v>
      </c>
      <c r="W344" s="188">
        <v>113</v>
      </c>
      <c r="X344" s="188">
        <v>113</v>
      </c>
      <c r="Y344" s="188">
        <v>113</v>
      </c>
      <c r="Z344" s="188">
        <v>113</v>
      </c>
      <c r="AA344" s="188">
        <v>113</v>
      </c>
      <c r="AB344" s="188">
        <v>113</v>
      </c>
      <c r="AC344" s="188">
        <v>113</v>
      </c>
      <c r="AD344" s="188">
        <v>113</v>
      </c>
      <c r="AE344" s="188">
        <v>113</v>
      </c>
      <c r="AF344" s="188">
        <v>113</v>
      </c>
      <c r="AG344" s="188">
        <v>113</v>
      </c>
      <c r="AH344" s="188">
        <v>113</v>
      </c>
      <c r="AI344" s="188">
        <v>113</v>
      </c>
      <c r="AJ344" s="188">
        <v>113</v>
      </c>
    </row>
    <row r="345" spans="1:36" hidden="1" x14ac:dyDescent="0.35">
      <c r="A345" t="s">
        <v>1869</v>
      </c>
      <c r="B345" s="188" t="s">
        <v>1342</v>
      </c>
      <c r="C345" t="s">
        <v>1343</v>
      </c>
      <c r="D345" s="188">
        <v>100</v>
      </c>
      <c r="E345" t="s">
        <v>1854</v>
      </c>
      <c r="F345" t="s">
        <v>1870</v>
      </c>
      <c r="G345" s="188" t="s">
        <v>1871</v>
      </c>
      <c r="H345" s="188">
        <v>188</v>
      </c>
      <c r="I345" s="188">
        <v>188</v>
      </c>
      <c r="J345" s="188">
        <v>188</v>
      </c>
      <c r="K345" s="188">
        <v>188</v>
      </c>
      <c r="L345" s="188">
        <v>188</v>
      </c>
      <c r="M345" s="188">
        <v>188</v>
      </c>
      <c r="N345" s="188">
        <v>188</v>
      </c>
      <c r="O345" s="188">
        <v>188</v>
      </c>
      <c r="P345" s="188">
        <v>188</v>
      </c>
      <c r="Q345" s="188">
        <v>179</v>
      </c>
      <c r="R345" s="188">
        <v>179</v>
      </c>
      <c r="S345" s="188">
        <v>179</v>
      </c>
      <c r="T345" s="188">
        <v>179</v>
      </c>
      <c r="U345" s="188">
        <v>179</v>
      </c>
      <c r="V345" s="188">
        <v>179</v>
      </c>
      <c r="W345" s="188">
        <v>179</v>
      </c>
      <c r="X345" s="188">
        <v>179</v>
      </c>
      <c r="Y345" s="188">
        <v>179</v>
      </c>
      <c r="Z345" s="188">
        <v>179</v>
      </c>
      <c r="AA345" s="188">
        <v>163</v>
      </c>
      <c r="AB345" s="188">
        <v>163</v>
      </c>
      <c r="AC345" s="188">
        <v>163</v>
      </c>
      <c r="AD345" s="188">
        <v>163</v>
      </c>
      <c r="AE345" s="188">
        <v>163</v>
      </c>
      <c r="AF345" s="188">
        <v>163</v>
      </c>
      <c r="AG345" s="188">
        <v>163</v>
      </c>
      <c r="AH345" s="188">
        <v>163</v>
      </c>
      <c r="AI345" s="188">
        <v>163</v>
      </c>
      <c r="AJ345" s="188">
        <v>163</v>
      </c>
    </row>
    <row r="346" spans="1:36" hidden="1" x14ac:dyDescent="0.35">
      <c r="A346" t="s">
        <v>1872</v>
      </c>
      <c r="B346" s="188" t="s">
        <v>1342</v>
      </c>
      <c r="C346" t="s">
        <v>1348</v>
      </c>
      <c r="D346" s="188">
        <v>100</v>
      </c>
      <c r="E346" t="s">
        <v>1854</v>
      </c>
      <c r="F346" t="s">
        <v>1870</v>
      </c>
      <c r="G346" s="188" t="s">
        <v>1871</v>
      </c>
      <c r="H346" s="188">
        <v>188</v>
      </c>
      <c r="I346" s="188">
        <v>188</v>
      </c>
      <c r="J346" s="188">
        <v>188</v>
      </c>
      <c r="K346" s="188">
        <v>188</v>
      </c>
      <c r="L346" s="188">
        <v>188</v>
      </c>
      <c r="M346" s="188">
        <v>188</v>
      </c>
      <c r="N346" s="188">
        <v>188</v>
      </c>
      <c r="O346" s="188">
        <v>188</v>
      </c>
      <c r="P346" s="188">
        <v>188</v>
      </c>
      <c r="Q346" s="188">
        <v>188</v>
      </c>
      <c r="R346" s="188">
        <v>188</v>
      </c>
      <c r="S346" s="188">
        <v>188</v>
      </c>
      <c r="T346" s="188">
        <v>188</v>
      </c>
      <c r="U346" s="188">
        <v>188</v>
      </c>
      <c r="V346" s="188">
        <v>188</v>
      </c>
      <c r="W346" s="188">
        <v>188</v>
      </c>
      <c r="X346" s="188">
        <v>188</v>
      </c>
      <c r="Y346" s="188">
        <v>188</v>
      </c>
      <c r="Z346" s="188">
        <v>188</v>
      </c>
      <c r="AA346" s="188">
        <v>181</v>
      </c>
      <c r="AB346" s="188">
        <v>181</v>
      </c>
      <c r="AC346" s="188">
        <v>181</v>
      </c>
      <c r="AD346" s="188">
        <v>181</v>
      </c>
      <c r="AE346" s="188">
        <v>181</v>
      </c>
      <c r="AF346" s="188">
        <v>181</v>
      </c>
      <c r="AG346" s="188">
        <v>181</v>
      </c>
      <c r="AH346" s="188">
        <v>181</v>
      </c>
      <c r="AI346" s="188">
        <v>181</v>
      </c>
      <c r="AJ346" s="188">
        <v>181</v>
      </c>
    </row>
    <row r="347" spans="1:36" hidden="1" x14ac:dyDescent="0.35">
      <c r="A347" t="s">
        <v>1873</v>
      </c>
      <c r="B347" s="188" t="s">
        <v>1342</v>
      </c>
      <c r="C347" t="s">
        <v>1350</v>
      </c>
      <c r="D347" s="188">
        <v>100</v>
      </c>
      <c r="E347" t="s">
        <v>1854</v>
      </c>
      <c r="F347" t="s">
        <v>1870</v>
      </c>
      <c r="G347" s="188" t="s">
        <v>1871</v>
      </c>
      <c r="H347" s="188">
        <v>188</v>
      </c>
      <c r="I347" s="188">
        <v>188</v>
      </c>
      <c r="J347" s="188">
        <v>188</v>
      </c>
      <c r="K347" s="188">
        <v>188</v>
      </c>
      <c r="L347" s="188">
        <v>188</v>
      </c>
      <c r="M347" s="188">
        <v>188</v>
      </c>
      <c r="N347" s="188">
        <v>188</v>
      </c>
      <c r="O347" s="188">
        <v>188</v>
      </c>
      <c r="P347" s="188">
        <v>188</v>
      </c>
      <c r="Q347" s="188">
        <v>188</v>
      </c>
      <c r="R347" s="188">
        <v>188</v>
      </c>
      <c r="S347" s="188">
        <v>188</v>
      </c>
      <c r="T347" s="188">
        <v>188</v>
      </c>
      <c r="U347" s="188">
        <v>188</v>
      </c>
      <c r="V347" s="188">
        <v>188</v>
      </c>
      <c r="W347" s="188">
        <v>188</v>
      </c>
      <c r="X347" s="188">
        <v>188</v>
      </c>
      <c r="Y347" s="188">
        <v>188</v>
      </c>
      <c r="Z347" s="188">
        <v>188</v>
      </c>
      <c r="AA347" s="188">
        <v>188</v>
      </c>
      <c r="AB347" s="188">
        <v>188</v>
      </c>
      <c r="AC347" s="188">
        <v>188</v>
      </c>
      <c r="AD347" s="188">
        <v>188</v>
      </c>
      <c r="AE347" s="188">
        <v>188</v>
      </c>
      <c r="AF347" s="188">
        <v>188</v>
      </c>
      <c r="AG347" s="188">
        <v>188</v>
      </c>
      <c r="AH347" s="188">
        <v>188</v>
      </c>
      <c r="AI347" s="188">
        <v>188</v>
      </c>
      <c r="AJ347" s="188">
        <v>188</v>
      </c>
    </row>
    <row r="348" spans="1:36" hidden="1" x14ac:dyDescent="0.35">
      <c r="A348" t="s">
        <v>1874</v>
      </c>
      <c r="B348" s="188" t="s">
        <v>1342</v>
      </c>
      <c r="C348" t="s">
        <v>1343</v>
      </c>
      <c r="D348" s="188">
        <v>100</v>
      </c>
      <c r="E348" t="s">
        <v>1854</v>
      </c>
      <c r="F348" t="s">
        <v>1875</v>
      </c>
      <c r="G348" s="188" t="s">
        <v>1876</v>
      </c>
      <c r="H348" s="188">
        <v>34</v>
      </c>
      <c r="I348" s="188">
        <v>34</v>
      </c>
      <c r="J348" s="188">
        <v>34</v>
      </c>
      <c r="K348" s="188">
        <v>34</v>
      </c>
      <c r="L348" s="188">
        <v>34</v>
      </c>
      <c r="M348" s="188">
        <v>34</v>
      </c>
      <c r="N348" s="188">
        <v>34</v>
      </c>
      <c r="O348" s="188">
        <v>34</v>
      </c>
      <c r="P348" s="188">
        <v>34</v>
      </c>
      <c r="Q348" s="188">
        <v>33</v>
      </c>
      <c r="R348" s="188">
        <v>33</v>
      </c>
      <c r="S348" s="188">
        <v>33</v>
      </c>
      <c r="T348" s="188">
        <v>33</v>
      </c>
      <c r="U348" s="188">
        <v>33</v>
      </c>
      <c r="V348" s="188">
        <v>33</v>
      </c>
      <c r="W348" s="188">
        <v>33</v>
      </c>
      <c r="X348" s="188">
        <v>33</v>
      </c>
      <c r="Y348" s="188">
        <v>33</v>
      </c>
      <c r="Z348" s="188">
        <v>33</v>
      </c>
      <c r="AA348" s="188">
        <v>30</v>
      </c>
      <c r="AB348" s="188">
        <v>30</v>
      </c>
      <c r="AC348" s="188">
        <v>30</v>
      </c>
      <c r="AD348" s="188">
        <v>30</v>
      </c>
      <c r="AE348" s="188">
        <v>30</v>
      </c>
      <c r="AF348" s="188">
        <v>30</v>
      </c>
      <c r="AG348" s="188">
        <v>30</v>
      </c>
      <c r="AH348" s="188">
        <v>30</v>
      </c>
      <c r="AI348" s="188">
        <v>30</v>
      </c>
      <c r="AJ348" s="188">
        <v>30</v>
      </c>
    </row>
    <row r="349" spans="1:36" hidden="1" x14ac:dyDescent="0.35">
      <c r="A349" t="s">
        <v>1877</v>
      </c>
      <c r="B349" s="188" t="s">
        <v>1342</v>
      </c>
      <c r="C349" t="s">
        <v>1348</v>
      </c>
      <c r="D349" s="188">
        <v>100</v>
      </c>
      <c r="E349" t="s">
        <v>1854</v>
      </c>
      <c r="F349" t="s">
        <v>1875</v>
      </c>
      <c r="G349" s="188" t="s">
        <v>1876</v>
      </c>
      <c r="H349" s="188">
        <v>34</v>
      </c>
      <c r="I349" s="188">
        <v>34</v>
      </c>
      <c r="J349" s="188">
        <v>34</v>
      </c>
      <c r="K349" s="188">
        <v>34</v>
      </c>
      <c r="L349" s="188">
        <v>34</v>
      </c>
      <c r="M349" s="188">
        <v>34</v>
      </c>
      <c r="N349" s="188">
        <v>34</v>
      </c>
      <c r="O349" s="188">
        <v>34</v>
      </c>
      <c r="P349" s="188">
        <v>34</v>
      </c>
      <c r="Q349" s="188">
        <v>34</v>
      </c>
      <c r="R349" s="188">
        <v>34</v>
      </c>
      <c r="S349" s="188">
        <v>34</v>
      </c>
      <c r="T349" s="188">
        <v>34</v>
      </c>
      <c r="U349" s="188">
        <v>34</v>
      </c>
      <c r="V349" s="188">
        <v>34</v>
      </c>
      <c r="W349" s="188">
        <v>34</v>
      </c>
      <c r="X349" s="188">
        <v>34</v>
      </c>
      <c r="Y349" s="188">
        <v>34</v>
      </c>
      <c r="Z349" s="188">
        <v>34</v>
      </c>
      <c r="AA349" s="188">
        <v>33</v>
      </c>
      <c r="AB349" s="188">
        <v>33</v>
      </c>
      <c r="AC349" s="188">
        <v>33</v>
      </c>
      <c r="AD349" s="188">
        <v>33</v>
      </c>
      <c r="AE349" s="188">
        <v>33</v>
      </c>
      <c r="AF349" s="188">
        <v>33</v>
      </c>
      <c r="AG349" s="188">
        <v>33</v>
      </c>
      <c r="AH349" s="188">
        <v>33</v>
      </c>
      <c r="AI349" s="188">
        <v>33</v>
      </c>
      <c r="AJ349" s="188">
        <v>33</v>
      </c>
    </row>
    <row r="350" spans="1:36" hidden="1" x14ac:dyDescent="0.35">
      <c r="A350" t="s">
        <v>1878</v>
      </c>
      <c r="B350" s="188" t="s">
        <v>1342</v>
      </c>
      <c r="C350" t="s">
        <v>1350</v>
      </c>
      <c r="D350" s="188">
        <v>100</v>
      </c>
      <c r="E350" t="s">
        <v>1854</v>
      </c>
      <c r="F350" t="s">
        <v>1875</v>
      </c>
      <c r="G350" s="188" t="s">
        <v>1876</v>
      </c>
      <c r="H350" s="188">
        <v>34</v>
      </c>
      <c r="I350" s="188">
        <v>34</v>
      </c>
      <c r="J350" s="188">
        <v>34</v>
      </c>
      <c r="K350" s="188">
        <v>34</v>
      </c>
      <c r="L350" s="188">
        <v>34</v>
      </c>
      <c r="M350" s="188">
        <v>34</v>
      </c>
      <c r="N350" s="188">
        <v>34</v>
      </c>
      <c r="O350" s="188">
        <v>34</v>
      </c>
      <c r="P350" s="188">
        <v>34</v>
      </c>
      <c r="Q350" s="188">
        <v>34</v>
      </c>
      <c r="R350" s="188">
        <v>34</v>
      </c>
      <c r="S350" s="188">
        <v>34</v>
      </c>
      <c r="T350" s="188">
        <v>34</v>
      </c>
      <c r="U350" s="188">
        <v>34</v>
      </c>
      <c r="V350" s="188">
        <v>34</v>
      </c>
      <c r="W350" s="188">
        <v>34</v>
      </c>
      <c r="X350" s="188">
        <v>34</v>
      </c>
      <c r="Y350" s="188">
        <v>34</v>
      </c>
      <c r="Z350" s="188">
        <v>34</v>
      </c>
      <c r="AA350" s="188">
        <v>34</v>
      </c>
      <c r="AB350" s="188">
        <v>34</v>
      </c>
      <c r="AC350" s="188">
        <v>34</v>
      </c>
      <c r="AD350" s="188">
        <v>34</v>
      </c>
      <c r="AE350" s="188">
        <v>34</v>
      </c>
      <c r="AF350" s="188">
        <v>34</v>
      </c>
      <c r="AG350" s="188">
        <v>34</v>
      </c>
      <c r="AH350" s="188">
        <v>34</v>
      </c>
      <c r="AI350" s="188">
        <v>34</v>
      </c>
      <c r="AJ350" s="188">
        <v>34</v>
      </c>
    </row>
    <row r="351" spans="1:36" hidden="1" x14ac:dyDescent="0.35">
      <c r="A351" t="s">
        <v>1879</v>
      </c>
      <c r="B351" s="188" t="s">
        <v>1342</v>
      </c>
      <c r="C351" t="s">
        <v>1343</v>
      </c>
      <c r="D351" s="188">
        <v>100</v>
      </c>
      <c r="E351" t="s">
        <v>1854</v>
      </c>
      <c r="F351" t="s">
        <v>1880</v>
      </c>
      <c r="G351" s="188" t="s">
        <v>1881</v>
      </c>
      <c r="H351" s="188">
        <v>39</v>
      </c>
      <c r="I351" s="188">
        <v>39</v>
      </c>
      <c r="J351" s="188">
        <v>39</v>
      </c>
      <c r="K351" s="188">
        <v>39</v>
      </c>
      <c r="L351" s="188">
        <v>39</v>
      </c>
      <c r="M351" s="188">
        <v>39</v>
      </c>
      <c r="N351" s="188">
        <v>39</v>
      </c>
      <c r="O351" s="188">
        <v>39</v>
      </c>
      <c r="P351" s="188">
        <v>39</v>
      </c>
      <c r="Q351" s="188">
        <v>37</v>
      </c>
      <c r="R351" s="188">
        <v>37</v>
      </c>
      <c r="S351" s="188">
        <v>37</v>
      </c>
      <c r="T351" s="188">
        <v>37</v>
      </c>
      <c r="U351" s="188">
        <v>37</v>
      </c>
      <c r="V351" s="188">
        <v>37</v>
      </c>
      <c r="W351" s="188">
        <v>37</v>
      </c>
      <c r="X351" s="188">
        <v>37</v>
      </c>
      <c r="Y351" s="188">
        <v>37</v>
      </c>
      <c r="Z351" s="188">
        <v>37</v>
      </c>
      <c r="AA351" s="188">
        <v>33</v>
      </c>
      <c r="AB351" s="188">
        <v>33</v>
      </c>
      <c r="AC351" s="188">
        <v>33</v>
      </c>
      <c r="AD351" s="188">
        <v>33</v>
      </c>
      <c r="AE351" s="188">
        <v>33</v>
      </c>
      <c r="AF351" s="188">
        <v>33</v>
      </c>
      <c r="AG351" s="188">
        <v>33</v>
      </c>
      <c r="AH351" s="188">
        <v>33</v>
      </c>
      <c r="AI351" s="188">
        <v>33</v>
      </c>
      <c r="AJ351" s="188">
        <v>33</v>
      </c>
    </row>
    <row r="352" spans="1:36" hidden="1" x14ac:dyDescent="0.35">
      <c r="A352" t="s">
        <v>1882</v>
      </c>
      <c r="B352" s="188" t="s">
        <v>1342</v>
      </c>
      <c r="C352" t="s">
        <v>1348</v>
      </c>
      <c r="D352" s="188">
        <v>100</v>
      </c>
      <c r="E352" t="s">
        <v>1854</v>
      </c>
      <c r="F352" t="s">
        <v>1880</v>
      </c>
      <c r="G352" s="188" t="s">
        <v>1881</v>
      </c>
      <c r="H352" s="188">
        <v>39</v>
      </c>
      <c r="I352" s="188">
        <v>39</v>
      </c>
      <c r="J352" s="188">
        <v>39</v>
      </c>
      <c r="K352" s="188">
        <v>39</v>
      </c>
      <c r="L352" s="188">
        <v>39</v>
      </c>
      <c r="M352" s="188">
        <v>39</v>
      </c>
      <c r="N352" s="188">
        <v>39</v>
      </c>
      <c r="O352" s="188">
        <v>39</v>
      </c>
      <c r="P352" s="188">
        <v>39</v>
      </c>
      <c r="Q352" s="188">
        <v>39</v>
      </c>
      <c r="R352" s="188">
        <v>39</v>
      </c>
      <c r="S352" s="188">
        <v>39</v>
      </c>
      <c r="T352" s="188">
        <v>39</v>
      </c>
      <c r="U352" s="188">
        <v>39</v>
      </c>
      <c r="V352" s="188">
        <v>39</v>
      </c>
      <c r="W352" s="188">
        <v>39</v>
      </c>
      <c r="X352" s="188">
        <v>39</v>
      </c>
      <c r="Y352" s="188">
        <v>39</v>
      </c>
      <c r="Z352" s="188">
        <v>39</v>
      </c>
      <c r="AA352" s="188">
        <v>37</v>
      </c>
      <c r="AB352" s="188">
        <v>37</v>
      </c>
      <c r="AC352" s="188">
        <v>37</v>
      </c>
      <c r="AD352" s="188">
        <v>37</v>
      </c>
      <c r="AE352" s="188">
        <v>37</v>
      </c>
      <c r="AF352" s="188">
        <v>37</v>
      </c>
      <c r="AG352" s="188">
        <v>37</v>
      </c>
      <c r="AH352" s="188">
        <v>37</v>
      </c>
      <c r="AI352" s="188">
        <v>37</v>
      </c>
      <c r="AJ352" s="188">
        <v>37</v>
      </c>
    </row>
    <row r="353" spans="1:36" hidden="1" x14ac:dyDescent="0.35">
      <c r="A353" t="s">
        <v>1883</v>
      </c>
      <c r="B353" s="188" t="s">
        <v>1342</v>
      </c>
      <c r="C353" t="s">
        <v>1350</v>
      </c>
      <c r="D353" s="188">
        <v>100</v>
      </c>
      <c r="E353" t="s">
        <v>1854</v>
      </c>
      <c r="F353" t="s">
        <v>1880</v>
      </c>
      <c r="G353" s="188" t="s">
        <v>1881</v>
      </c>
      <c r="H353" s="188">
        <v>39</v>
      </c>
      <c r="I353" s="188">
        <v>39</v>
      </c>
      <c r="J353" s="188">
        <v>39</v>
      </c>
      <c r="K353" s="188">
        <v>39</v>
      </c>
      <c r="L353" s="188">
        <v>39</v>
      </c>
      <c r="M353" s="188">
        <v>39</v>
      </c>
      <c r="N353" s="188">
        <v>39</v>
      </c>
      <c r="O353" s="188">
        <v>39</v>
      </c>
      <c r="P353" s="188">
        <v>39</v>
      </c>
      <c r="Q353" s="188">
        <v>39</v>
      </c>
      <c r="R353" s="188">
        <v>39</v>
      </c>
      <c r="S353" s="188">
        <v>39</v>
      </c>
      <c r="T353" s="188">
        <v>39</v>
      </c>
      <c r="U353" s="188">
        <v>39</v>
      </c>
      <c r="V353" s="188">
        <v>39</v>
      </c>
      <c r="W353" s="188">
        <v>39</v>
      </c>
      <c r="X353" s="188">
        <v>39</v>
      </c>
      <c r="Y353" s="188">
        <v>39</v>
      </c>
      <c r="Z353" s="188">
        <v>39</v>
      </c>
      <c r="AA353" s="188">
        <v>39</v>
      </c>
      <c r="AB353" s="188">
        <v>39</v>
      </c>
      <c r="AC353" s="188">
        <v>39</v>
      </c>
      <c r="AD353" s="188">
        <v>39</v>
      </c>
      <c r="AE353" s="188">
        <v>39</v>
      </c>
      <c r="AF353" s="188">
        <v>39</v>
      </c>
      <c r="AG353" s="188">
        <v>39</v>
      </c>
      <c r="AH353" s="188">
        <v>39</v>
      </c>
      <c r="AI353" s="188">
        <v>39</v>
      </c>
      <c r="AJ353" s="188">
        <v>39</v>
      </c>
    </row>
    <row r="354" spans="1:36" hidden="1" x14ac:dyDescent="0.35">
      <c r="A354" t="s">
        <v>1884</v>
      </c>
      <c r="B354" s="188" t="s">
        <v>1342</v>
      </c>
      <c r="C354" t="s">
        <v>1343</v>
      </c>
      <c r="D354" s="188">
        <v>100</v>
      </c>
      <c r="E354" t="s">
        <v>1854</v>
      </c>
      <c r="F354" t="s">
        <v>1885</v>
      </c>
      <c r="G354" s="188" t="s">
        <v>1886</v>
      </c>
      <c r="H354" s="188">
        <v>67</v>
      </c>
      <c r="I354" s="188">
        <v>67</v>
      </c>
      <c r="J354" s="188">
        <v>67</v>
      </c>
      <c r="K354" s="188">
        <v>67</v>
      </c>
      <c r="L354" s="188">
        <v>67</v>
      </c>
      <c r="M354" s="188">
        <v>67</v>
      </c>
      <c r="N354" s="188">
        <v>67</v>
      </c>
      <c r="O354" s="188">
        <v>67</v>
      </c>
      <c r="P354" s="188">
        <v>67</v>
      </c>
      <c r="Q354" s="188">
        <v>63</v>
      </c>
      <c r="R354" s="188">
        <v>63</v>
      </c>
      <c r="S354" s="188">
        <v>63</v>
      </c>
      <c r="T354" s="188">
        <v>63</v>
      </c>
      <c r="U354" s="188">
        <v>63</v>
      </c>
      <c r="V354" s="188">
        <v>63</v>
      </c>
      <c r="W354" s="188">
        <v>63</v>
      </c>
      <c r="X354" s="188">
        <v>63</v>
      </c>
      <c r="Y354" s="188">
        <v>63</v>
      </c>
      <c r="Z354" s="188">
        <v>63</v>
      </c>
      <c r="AA354" s="188">
        <v>58</v>
      </c>
      <c r="AB354" s="188">
        <v>58</v>
      </c>
      <c r="AC354" s="188">
        <v>58</v>
      </c>
      <c r="AD354" s="188">
        <v>58</v>
      </c>
      <c r="AE354" s="188">
        <v>58</v>
      </c>
      <c r="AF354" s="188">
        <v>58</v>
      </c>
      <c r="AG354" s="188">
        <v>58</v>
      </c>
      <c r="AH354" s="188">
        <v>58</v>
      </c>
      <c r="AI354" s="188">
        <v>58</v>
      </c>
      <c r="AJ354" s="188">
        <v>58</v>
      </c>
    </row>
    <row r="355" spans="1:36" hidden="1" x14ac:dyDescent="0.35">
      <c r="A355" t="s">
        <v>1887</v>
      </c>
      <c r="B355" s="188" t="s">
        <v>1342</v>
      </c>
      <c r="C355" t="s">
        <v>1348</v>
      </c>
      <c r="D355" s="188">
        <v>100</v>
      </c>
      <c r="E355" t="s">
        <v>1854</v>
      </c>
      <c r="F355" t="s">
        <v>1885</v>
      </c>
      <c r="G355" s="188" t="s">
        <v>1886</v>
      </c>
      <c r="H355" s="188">
        <v>67</v>
      </c>
      <c r="I355" s="188">
        <v>67</v>
      </c>
      <c r="J355" s="188">
        <v>67</v>
      </c>
      <c r="K355" s="188">
        <v>67</v>
      </c>
      <c r="L355" s="188">
        <v>67</v>
      </c>
      <c r="M355" s="188">
        <v>67</v>
      </c>
      <c r="N355" s="188">
        <v>67</v>
      </c>
      <c r="O355" s="188">
        <v>67</v>
      </c>
      <c r="P355" s="188">
        <v>67</v>
      </c>
      <c r="Q355" s="188">
        <v>67</v>
      </c>
      <c r="R355" s="188">
        <v>67</v>
      </c>
      <c r="S355" s="188">
        <v>67</v>
      </c>
      <c r="T355" s="188">
        <v>67</v>
      </c>
      <c r="U355" s="188">
        <v>67</v>
      </c>
      <c r="V355" s="188">
        <v>67</v>
      </c>
      <c r="W355" s="188">
        <v>67</v>
      </c>
      <c r="X355" s="188">
        <v>67</v>
      </c>
      <c r="Y355" s="188">
        <v>67</v>
      </c>
      <c r="Z355" s="188">
        <v>67</v>
      </c>
      <c r="AA355" s="188">
        <v>64</v>
      </c>
      <c r="AB355" s="188">
        <v>64</v>
      </c>
      <c r="AC355" s="188">
        <v>64</v>
      </c>
      <c r="AD355" s="188">
        <v>64</v>
      </c>
      <c r="AE355" s="188">
        <v>64</v>
      </c>
      <c r="AF355" s="188">
        <v>64</v>
      </c>
      <c r="AG355" s="188">
        <v>64</v>
      </c>
      <c r="AH355" s="188">
        <v>64</v>
      </c>
      <c r="AI355" s="188">
        <v>64</v>
      </c>
      <c r="AJ355" s="188">
        <v>64</v>
      </c>
    </row>
    <row r="356" spans="1:36" hidden="1" x14ac:dyDescent="0.35">
      <c r="A356" t="s">
        <v>1888</v>
      </c>
      <c r="B356" s="188" t="s">
        <v>1342</v>
      </c>
      <c r="C356" t="s">
        <v>1350</v>
      </c>
      <c r="D356" s="188">
        <v>100</v>
      </c>
      <c r="E356" t="s">
        <v>1854</v>
      </c>
      <c r="F356" t="s">
        <v>1885</v>
      </c>
      <c r="G356" s="188" t="s">
        <v>1886</v>
      </c>
      <c r="H356" s="188">
        <v>67</v>
      </c>
      <c r="I356" s="188">
        <v>67</v>
      </c>
      <c r="J356" s="188">
        <v>67</v>
      </c>
      <c r="K356" s="188">
        <v>67</v>
      </c>
      <c r="L356" s="188">
        <v>67</v>
      </c>
      <c r="M356" s="188">
        <v>67</v>
      </c>
      <c r="N356" s="188">
        <v>67</v>
      </c>
      <c r="O356" s="188">
        <v>67</v>
      </c>
      <c r="P356" s="188">
        <v>67</v>
      </c>
      <c r="Q356" s="188">
        <v>67</v>
      </c>
      <c r="R356" s="188">
        <v>67</v>
      </c>
      <c r="S356" s="188">
        <v>67</v>
      </c>
      <c r="T356" s="188">
        <v>67</v>
      </c>
      <c r="U356" s="188">
        <v>67</v>
      </c>
      <c r="V356" s="188">
        <v>67</v>
      </c>
      <c r="W356" s="188">
        <v>67</v>
      </c>
      <c r="X356" s="188">
        <v>67</v>
      </c>
      <c r="Y356" s="188">
        <v>67</v>
      </c>
      <c r="Z356" s="188">
        <v>67</v>
      </c>
      <c r="AA356" s="188">
        <v>67</v>
      </c>
      <c r="AB356" s="188">
        <v>67</v>
      </c>
      <c r="AC356" s="188">
        <v>67</v>
      </c>
      <c r="AD356" s="188">
        <v>67</v>
      </c>
      <c r="AE356" s="188">
        <v>67</v>
      </c>
      <c r="AF356" s="188">
        <v>67</v>
      </c>
      <c r="AG356" s="188">
        <v>67</v>
      </c>
      <c r="AH356" s="188">
        <v>67</v>
      </c>
      <c r="AI356" s="188">
        <v>67</v>
      </c>
      <c r="AJ356" s="188">
        <v>67</v>
      </c>
    </row>
    <row r="357" spans="1:36" hidden="1" x14ac:dyDescent="0.35">
      <c r="A357" t="s">
        <v>1889</v>
      </c>
      <c r="B357" s="188" t="s">
        <v>1342</v>
      </c>
      <c r="C357" t="s">
        <v>1343</v>
      </c>
      <c r="D357" s="188">
        <v>100</v>
      </c>
      <c r="E357" t="s">
        <v>1854</v>
      </c>
      <c r="F357" t="s">
        <v>1890</v>
      </c>
      <c r="G357" s="188" t="s">
        <v>1891</v>
      </c>
      <c r="H357" s="188">
        <v>204</v>
      </c>
      <c r="I357" s="188">
        <v>204</v>
      </c>
      <c r="J357" s="188">
        <v>204</v>
      </c>
      <c r="K357" s="188">
        <v>204</v>
      </c>
      <c r="L357" s="188">
        <v>204</v>
      </c>
      <c r="M357" s="188">
        <v>204</v>
      </c>
      <c r="N357" s="188">
        <v>204</v>
      </c>
      <c r="O357" s="188">
        <v>204</v>
      </c>
      <c r="P357" s="188">
        <v>204</v>
      </c>
      <c r="Q357" s="188">
        <v>194</v>
      </c>
      <c r="R357" s="188">
        <v>194</v>
      </c>
      <c r="S357" s="188">
        <v>194</v>
      </c>
      <c r="T357" s="188">
        <v>194</v>
      </c>
      <c r="U357" s="188">
        <v>194</v>
      </c>
      <c r="V357" s="188">
        <v>194</v>
      </c>
      <c r="W357" s="188">
        <v>194</v>
      </c>
      <c r="X357" s="188">
        <v>194</v>
      </c>
      <c r="Y357" s="188">
        <v>194</v>
      </c>
      <c r="Z357" s="188">
        <v>194</v>
      </c>
      <c r="AA357" s="188">
        <v>176</v>
      </c>
      <c r="AB357" s="188">
        <v>176</v>
      </c>
      <c r="AC357" s="188">
        <v>176</v>
      </c>
      <c r="AD357" s="188">
        <v>176</v>
      </c>
      <c r="AE357" s="188">
        <v>176</v>
      </c>
      <c r="AF357" s="188">
        <v>176</v>
      </c>
      <c r="AG357" s="188">
        <v>176</v>
      </c>
      <c r="AH357" s="188">
        <v>176</v>
      </c>
      <c r="AI357" s="188">
        <v>176</v>
      </c>
      <c r="AJ357" s="188">
        <v>176</v>
      </c>
    </row>
    <row r="358" spans="1:36" hidden="1" x14ac:dyDescent="0.35">
      <c r="A358" t="s">
        <v>1892</v>
      </c>
      <c r="B358" s="188" t="s">
        <v>1342</v>
      </c>
      <c r="C358" t="s">
        <v>1348</v>
      </c>
      <c r="D358" s="188">
        <v>100</v>
      </c>
      <c r="E358" t="s">
        <v>1854</v>
      </c>
      <c r="F358" t="s">
        <v>1890</v>
      </c>
      <c r="G358" s="188" t="s">
        <v>1891</v>
      </c>
      <c r="H358" s="188">
        <v>204</v>
      </c>
      <c r="I358" s="188">
        <v>204</v>
      </c>
      <c r="J358" s="188">
        <v>204</v>
      </c>
      <c r="K358" s="188">
        <v>204</v>
      </c>
      <c r="L358" s="188">
        <v>204</v>
      </c>
      <c r="M358" s="188">
        <v>204</v>
      </c>
      <c r="N358" s="188">
        <v>204</v>
      </c>
      <c r="O358" s="188">
        <v>204</v>
      </c>
      <c r="P358" s="188">
        <v>204</v>
      </c>
      <c r="Q358" s="188">
        <v>204</v>
      </c>
      <c r="R358" s="188">
        <v>204</v>
      </c>
      <c r="S358" s="188">
        <v>204</v>
      </c>
      <c r="T358" s="188">
        <v>204</v>
      </c>
      <c r="U358" s="188">
        <v>204</v>
      </c>
      <c r="V358" s="188">
        <v>204</v>
      </c>
      <c r="W358" s="188">
        <v>204</v>
      </c>
      <c r="X358" s="188">
        <v>204</v>
      </c>
      <c r="Y358" s="188">
        <v>204</v>
      </c>
      <c r="Z358" s="188">
        <v>204</v>
      </c>
      <c r="AA358" s="188">
        <v>196</v>
      </c>
      <c r="AB358" s="188">
        <v>196</v>
      </c>
      <c r="AC358" s="188">
        <v>196</v>
      </c>
      <c r="AD358" s="188">
        <v>196</v>
      </c>
      <c r="AE358" s="188">
        <v>196</v>
      </c>
      <c r="AF358" s="188">
        <v>196</v>
      </c>
      <c r="AG358" s="188">
        <v>196</v>
      </c>
      <c r="AH358" s="188">
        <v>196</v>
      </c>
      <c r="AI358" s="188">
        <v>196</v>
      </c>
      <c r="AJ358" s="188">
        <v>196</v>
      </c>
    </row>
    <row r="359" spans="1:36" hidden="1" x14ac:dyDescent="0.35">
      <c r="A359" t="s">
        <v>1893</v>
      </c>
      <c r="B359" s="188" t="s">
        <v>1342</v>
      </c>
      <c r="C359" t="s">
        <v>1350</v>
      </c>
      <c r="D359" s="188">
        <v>100</v>
      </c>
      <c r="E359" t="s">
        <v>1854</v>
      </c>
      <c r="F359" t="s">
        <v>1890</v>
      </c>
      <c r="G359" s="188" t="s">
        <v>1891</v>
      </c>
      <c r="H359" s="188">
        <v>204</v>
      </c>
      <c r="I359" s="188">
        <v>204</v>
      </c>
      <c r="J359" s="188">
        <v>204</v>
      </c>
      <c r="K359" s="188">
        <v>204</v>
      </c>
      <c r="L359" s="188">
        <v>204</v>
      </c>
      <c r="M359" s="188">
        <v>204</v>
      </c>
      <c r="N359" s="188">
        <v>204</v>
      </c>
      <c r="O359" s="188">
        <v>204</v>
      </c>
      <c r="P359" s="188">
        <v>204</v>
      </c>
      <c r="Q359" s="188">
        <v>204</v>
      </c>
      <c r="R359" s="188">
        <v>204</v>
      </c>
      <c r="S359" s="188">
        <v>204</v>
      </c>
      <c r="T359" s="188">
        <v>204</v>
      </c>
      <c r="U359" s="188">
        <v>204</v>
      </c>
      <c r="V359" s="188">
        <v>204</v>
      </c>
      <c r="W359" s="188">
        <v>204</v>
      </c>
      <c r="X359" s="188">
        <v>204</v>
      </c>
      <c r="Y359" s="188">
        <v>204</v>
      </c>
      <c r="Z359" s="188">
        <v>204</v>
      </c>
      <c r="AA359" s="188">
        <v>204</v>
      </c>
      <c r="AB359" s="188">
        <v>204</v>
      </c>
      <c r="AC359" s="188">
        <v>204</v>
      </c>
      <c r="AD359" s="188">
        <v>204</v>
      </c>
      <c r="AE359" s="188">
        <v>204</v>
      </c>
      <c r="AF359" s="188">
        <v>204</v>
      </c>
      <c r="AG359" s="188">
        <v>204</v>
      </c>
      <c r="AH359" s="188">
        <v>204</v>
      </c>
      <c r="AI359" s="188">
        <v>204</v>
      </c>
      <c r="AJ359" s="188">
        <v>204</v>
      </c>
    </row>
    <row r="360" spans="1:36" hidden="1" x14ac:dyDescent="0.35">
      <c r="A360" t="s">
        <v>1894</v>
      </c>
      <c r="B360" s="188" t="s">
        <v>1342</v>
      </c>
      <c r="C360" t="s">
        <v>1343</v>
      </c>
      <c r="D360" s="188">
        <v>100</v>
      </c>
      <c r="E360" t="s">
        <v>1854</v>
      </c>
      <c r="F360" s="188" t="s">
        <v>1895</v>
      </c>
      <c r="G360" s="188" t="s">
        <v>1896</v>
      </c>
      <c r="H360" s="188">
        <v>129</v>
      </c>
      <c r="I360" s="188">
        <v>125</v>
      </c>
      <c r="J360" s="188">
        <v>121</v>
      </c>
      <c r="K360" s="188">
        <v>117</v>
      </c>
      <c r="L360" s="188">
        <v>112</v>
      </c>
      <c r="M360" s="188">
        <v>109</v>
      </c>
      <c r="N360" s="188">
        <v>105</v>
      </c>
      <c r="O360" s="188">
        <v>102</v>
      </c>
      <c r="P360" s="188">
        <v>98</v>
      </c>
      <c r="Q360" s="188">
        <v>95</v>
      </c>
      <c r="R360" s="188">
        <v>92</v>
      </c>
      <c r="S360" s="188">
        <v>88</v>
      </c>
      <c r="T360" s="188">
        <v>86</v>
      </c>
      <c r="U360" s="188">
        <v>82</v>
      </c>
      <c r="V360" s="188">
        <v>80</v>
      </c>
      <c r="W360" s="188">
        <v>77</v>
      </c>
      <c r="X360" s="188">
        <v>77</v>
      </c>
      <c r="Y360" s="188">
        <v>77</v>
      </c>
      <c r="Z360" s="188">
        <v>76</v>
      </c>
      <c r="AA360" s="188">
        <v>76</v>
      </c>
      <c r="AB360" s="188">
        <v>76</v>
      </c>
      <c r="AC360" s="188">
        <v>74</v>
      </c>
      <c r="AD360" s="188">
        <v>74</v>
      </c>
      <c r="AE360" s="188">
        <v>73</v>
      </c>
      <c r="AF360" s="188">
        <v>73</v>
      </c>
      <c r="AG360" s="188">
        <v>73</v>
      </c>
      <c r="AH360" s="188">
        <v>72</v>
      </c>
      <c r="AI360" s="188">
        <v>72</v>
      </c>
      <c r="AJ360" s="188">
        <v>72</v>
      </c>
    </row>
    <row r="361" spans="1:36" hidden="1" x14ac:dyDescent="0.35">
      <c r="A361" t="s">
        <v>1897</v>
      </c>
      <c r="B361" s="188" t="s">
        <v>1342</v>
      </c>
      <c r="C361" t="s">
        <v>1348</v>
      </c>
      <c r="D361" s="188">
        <v>100</v>
      </c>
      <c r="E361" t="s">
        <v>1854</v>
      </c>
      <c r="F361" s="188" t="s">
        <v>1895</v>
      </c>
      <c r="G361" s="188" t="s">
        <v>1896</v>
      </c>
      <c r="H361" s="188">
        <v>155</v>
      </c>
      <c r="I361" s="188">
        <v>155</v>
      </c>
      <c r="J361" s="188">
        <v>155</v>
      </c>
      <c r="K361" s="188">
        <v>155</v>
      </c>
      <c r="L361" s="188">
        <v>155</v>
      </c>
      <c r="M361" s="188">
        <v>155</v>
      </c>
      <c r="N361" s="188">
        <v>155</v>
      </c>
      <c r="O361" s="188">
        <v>155</v>
      </c>
      <c r="P361" s="188">
        <v>155</v>
      </c>
      <c r="Q361" s="188">
        <v>155</v>
      </c>
      <c r="R361" s="188">
        <v>155</v>
      </c>
      <c r="S361" s="188">
        <v>155</v>
      </c>
      <c r="T361" s="188">
        <v>155</v>
      </c>
      <c r="U361" s="188">
        <v>155</v>
      </c>
      <c r="V361" s="188">
        <v>155</v>
      </c>
      <c r="W361" s="188">
        <v>155</v>
      </c>
      <c r="X361" s="188">
        <v>155</v>
      </c>
      <c r="Y361" s="188">
        <v>155</v>
      </c>
      <c r="Z361" s="188">
        <v>155</v>
      </c>
      <c r="AA361" s="188">
        <v>155</v>
      </c>
      <c r="AB361" s="188">
        <v>155</v>
      </c>
      <c r="AC361" s="188">
        <v>155</v>
      </c>
      <c r="AD361" s="188">
        <v>155</v>
      </c>
      <c r="AE361" s="188">
        <v>155</v>
      </c>
      <c r="AF361" s="188">
        <v>155</v>
      </c>
      <c r="AG361" s="188">
        <v>155</v>
      </c>
      <c r="AH361" s="188">
        <v>155</v>
      </c>
      <c r="AI361" s="188">
        <v>155</v>
      </c>
      <c r="AJ361" s="188">
        <v>155</v>
      </c>
    </row>
    <row r="362" spans="1:36" hidden="1" x14ac:dyDescent="0.35">
      <c r="A362" t="s">
        <v>1898</v>
      </c>
      <c r="B362" s="188" t="s">
        <v>1342</v>
      </c>
      <c r="C362" t="s">
        <v>1350</v>
      </c>
      <c r="D362" s="188">
        <v>100</v>
      </c>
      <c r="E362" t="s">
        <v>1854</v>
      </c>
      <c r="F362" s="188" t="s">
        <v>1895</v>
      </c>
      <c r="G362" s="188" t="s">
        <v>1896</v>
      </c>
      <c r="H362" s="188">
        <v>155</v>
      </c>
      <c r="I362" s="188">
        <v>155</v>
      </c>
      <c r="J362" s="188">
        <v>155</v>
      </c>
      <c r="K362" s="188">
        <v>155</v>
      </c>
      <c r="L362" s="188">
        <v>155</v>
      </c>
      <c r="M362" s="188">
        <v>155</v>
      </c>
      <c r="N362" s="188">
        <v>155</v>
      </c>
      <c r="O362" s="188">
        <v>155</v>
      </c>
      <c r="P362" s="188">
        <v>155</v>
      </c>
      <c r="Q362" s="188">
        <v>155</v>
      </c>
      <c r="R362" s="188">
        <v>155</v>
      </c>
      <c r="S362" s="188">
        <v>155</v>
      </c>
      <c r="T362" s="188">
        <v>155</v>
      </c>
      <c r="U362" s="188">
        <v>155</v>
      </c>
      <c r="V362" s="188">
        <v>155</v>
      </c>
      <c r="W362" s="188">
        <v>155</v>
      </c>
      <c r="X362" s="188">
        <v>155</v>
      </c>
      <c r="Y362" s="188">
        <v>155</v>
      </c>
      <c r="Z362" s="188">
        <v>155</v>
      </c>
      <c r="AA362" s="188">
        <v>155</v>
      </c>
      <c r="AB362" s="188">
        <v>155</v>
      </c>
      <c r="AC362" s="188">
        <v>155</v>
      </c>
      <c r="AD362" s="188">
        <v>155</v>
      </c>
      <c r="AE362" s="188">
        <v>155</v>
      </c>
      <c r="AF362" s="188">
        <v>155</v>
      </c>
      <c r="AG362" s="188">
        <v>155</v>
      </c>
      <c r="AH362" s="188">
        <v>155</v>
      </c>
      <c r="AI362" s="188">
        <v>155</v>
      </c>
      <c r="AJ362" s="188">
        <v>155</v>
      </c>
    </row>
    <row r="363" spans="1:36" hidden="1" x14ac:dyDescent="0.35">
      <c r="A363" t="s">
        <v>1899</v>
      </c>
      <c r="B363" s="188" t="s">
        <v>1342</v>
      </c>
      <c r="C363" t="s">
        <v>1343</v>
      </c>
      <c r="D363" s="188">
        <v>100</v>
      </c>
      <c r="E363" t="s">
        <v>1854</v>
      </c>
      <c r="F363" s="188" t="s">
        <v>1900</v>
      </c>
      <c r="G363" s="188" t="s">
        <v>1901</v>
      </c>
      <c r="H363" s="188">
        <v>42</v>
      </c>
      <c r="I363" s="188">
        <v>41</v>
      </c>
      <c r="J363" s="188">
        <v>39</v>
      </c>
      <c r="K363" s="188">
        <v>38</v>
      </c>
      <c r="L363" s="188">
        <v>37</v>
      </c>
      <c r="M363" s="188">
        <v>35</v>
      </c>
      <c r="N363" s="188">
        <v>34</v>
      </c>
      <c r="O363" s="188">
        <v>33</v>
      </c>
      <c r="P363" s="188">
        <v>32</v>
      </c>
      <c r="Q363" s="188">
        <v>31</v>
      </c>
      <c r="R363" s="188">
        <v>30</v>
      </c>
      <c r="S363" s="188">
        <v>29</v>
      </c>
      <c r="T363" s="188">
        <v>27</v>
      </c>
      <c r="U363" s="188">
        <v>27</v>
      </c>
      <c r="V363" s="188">
        <v>26</v>
      </c>
      <c r="W363" s="188">
        <v>25</v>
      </c>
      <c r="X363" s="188">
        <v>25</v>
      </c>
      <c r="Y363" s="188">
        <v>25</v>
      </c>
      <c r="Z363" s="188">
        <v>25</v>
      </c>
      <c r="AA363" s="188">
        <v>24</v>
      </c>
      <c r="AB363" s="188">
        <v>24</v>
      </c>
      <c r="AC363" s="188">
        <v>24</v>
      </c>
      <c r="AD363" s="188">
        <v>24</v>
      </c>
      <c r="AE363" s="188">
        <v>24</v>
      </c>
      <c r="AF363" s="188">
        <v>24</v>
      </c>
      <c r="AG363" s="188">
        <v>24</v>
      </c>
      <c r="AH363" s="188">
        <v>24</v>
      </c>
      <c r="AI363" s="188">
        <v>24</v>
      </c>
      <c r="AJ363" s="188">
        <v>23</v>
      </c>
    </row>
    <row r="364" spans="1:36" hidden="1" x14ac:dyDescent="0.35">
      <c r="A364" t="s">
        <v>1902</v>
      </c>
      <c r="B364" s="188" t="s">
        <v>1342</v>
      </c>
      <c r="C364" t="s">
        <v>1348</v>
      </c>
      <c r="D364" s="188">
        <v>100</v>
      </c>
      <c r="E364" t="s">
        <v>1854</v>
      </c>
      <c r="F364" s="188" t="s">
        <v>1900</v>
      </c>
      <c r="G364" s="188" t="s">
        <v>1901</v>
      </c>
      <c r="H364" s="188">
        <v>50</v>
      </c>
      <c r="I364" s="188">
        <v>50</v>
      </c>
      <c r="J364" s="188">
        <v>50</v>
      </c>
      <c r="K364" s="188">
        <v>50</v>
      </c>
      <c r="L364" s="188">
        <v>50</v>
      </c>
      <c r="M364" s="188">
        <v>50</v>
      </c>
      <c r="N364" s="188">
        <v>50</v>
      </c>
      <c r="O364" s="188">
        <v>50</v>
      </c>
      <c r="P364" s="188">
        <v>50</v>
      </c>
      <c r="Q364" s="188">
        <v>50</v>
      </c>
      <c r="R364" s="188">
        <v>50</v>
      </c>
      <c r="S364" s="188">
        <v>50</v>
      </c>
      <c r="T364" s="188">
        <v>50</v>
      </c>
      <c r="U364" s="188">
        <v>50</v>
      </c>
      <c r="V364" s="188">
        <v>50</v>
      </c>
      <c r="W364" s="188">
        <v>50</v>
      </c>
      <c r="X364" s="188">
        <v>50</v>
      </c>
      <c r="Y364" s="188">
        <v>50</v>
      </c>
      <c r="Z364" s="188">
        <v>50</v>
      </c>
      <c r="AA364" s="188">
        <v>50</v>
      </c>
      <c r="AB364" s="188">
        <v>50</v>
      </c>
      <c r="AC364" s="188">
        <v>50</v>
      </c>
      <c r="AD364" s="188">
        <v>50</v>
      </c>
      <c r="AE364" s="188">
        <v>50</v>
      </c>
      <c r="AF364" s="188">
        <v>50</v>
      </c>
      <c r="AG364" s="188">
        <v>50</v>
      </c>
      <c r="AH364" s="188">
        <v>50</v>
      </c>
      <c r="AI364" s="188">
        <v>50</v>
      </c>
      <c r="AJ364" s="188">
        <v>50</v>
      </c>
    </row>
    <row r="365" spans="1:36" hidden="1" x14ac:dyDescent="0.35">
      <c r="A365" t="s">
        <v>1903</v>
      </c>
      <c r="B365" s="188" t="s">
        <v>1342</v>
      </c>
      <c r="C365" t="s">
        <v>1350</v>
      </c>
      <c r="D365" s="188">
        <v>100</v>
      </c>
      <c r="E365" t="s">
        <v>1854</v>
      </c>
      <c r="F365" s="188" t="s">
        <v>1900</v>
      </c>
      <c r="G365" s="188" t="s">
        <v>1901</v>
      </c>
      <c r="H365" s="188">
        <v>50</v>
      </c>
      <c r="I365" s="188">
        <v>50</v>
      </c>
      <c r="J365" s="188">
        <v>50</v>
      </c>
      <c r="K365" s="188">
        <v>50</v>
      </c>
      <c r="L365" s="188">
        <v>50</v>
      </c>
      <c r="M365" s="188">
        <v>50</v>
      </c>
      <c r="N365" s="188">
        <v>50</v>
      </c>
      <c r="O365" s="188">
        <v>50</v>
      </c>
      <c r="P365" s="188">
        <v>50</v>
      </c>
      <c r="Q365" s="188">
        <v>50</v>
      </c>
      <c r="R365" s="188">
        <v>50</v>
      </c>
      <c r="S365" s="188">
        <v>50</v>
      </c>
      <c r="T365" s="188">
        <v>50</v>
      </c>
      <c r="U365" s="188">
        <v>50</v>
      </c>
      <c r="V365" s="188">
        <v>50</v>
      </c>
      <c r="W365" s="188">
        <v>50</v>
      </c>
      <c r="X365" s="188">
        <v>50</v>
      </c>
      <c r="Y365" s="188">
        <v>50</v>
      </c>
      <c r="Z365" s="188">
        <v>50</v>
      </c>
      <c r="AA365" s="188">
        <v>50</v>
      </c>
      <c r="AB365" s="188">
        <v>50</v>
      </c>
      <c r="AC365" s="188">
        <v>50</v>
      </c>
      <c r="AD365" s="188">
        <v>50</v>
      </c>
      <c r="AE365" s="188">
        <v>50</v>
      </c>
      <c r="AF365" s="188">
        <v>50</v>
      </c>
      <c r="AG365" s="188">
        <v>50</v>
      </c>
      <c r="AH365" s="188">
        <v>50</v>
      </c>
      <c r="AI365" s="188">
        <v>50</v>
      </c>
      <c r="AJ365" s="188">
        <v>50</v>
      </c>
    </row>
    <row r="366" spans="1:36" hidden="1" x14ac:dyDescent="0.35">
      <c r="A366" t="s">
        <v>1904</v>
      </c>
      <c r="B366" s="188" t="s">
        <v>1342</v>
      </c>
      <c r="C366" t="s">
        <v>1343</v>
      </c>
      <c r="D366" s="188">
        <v>100</v>
      </c>
      <c r="E366" t="s">
        <v>1854</v>
      </c>
      <c r="F366" s="188" t="s">
        <v>1905</v>
      </c>
      <c r="G366" s="188" t="s">
        <v>1906</v>
      </c>
      <c r="H366" s="188">
        <v>121</v>
      </c>
      <c r="I366" s="188">
        <v>118</v>
      </c>
      <c r="J366" s="188">
        <v>113</v>
      </c>
      <c r="K366" s="188">
        <v>110</v>
      </c>
      <c r="L366" s="188">
        <v>106</v>
      </c>
      <c r="M366" s="188">
        <v>103</v>
      </c>
      <c r="N366" s="188">
        <v>98</v>
      </c>
      <c r="O366" s="188">
        <v>96</v>
      </c>
      <c r="P366" s="188">
        <v>93</v>
      </c>
      <c r="Q366" s="188">
        <v>89</v>
      </c>
      <c r="R366" s="188">
        <v>86</v>
      </c>
      <c r="S366" s="188">
        <v>84</v>
      </c>
      <c r="T366" s="188">
        <v>80</v>
      </c>
      <c r="U366" s="188">
        <v>78</v>
      </c>
      <c r="V366" s="188">
        <v>76</v>
      </c>
      <c r="W366" s="188">
        <v>72</v>
      </c>
      <c r="X366" s="188">
        <v>72</v>
      </c>
      <c r="Y366" s="188">
        <v>72</v>
      </c>
      <c r="Z366" s="188">
        <v>71</v>
      </c>
      <c r="AA366" s="188">
        <v>71</v>
      </c>
      <c r="AB366" s="188">
        <v>71</v>
      </c>
      <c r="AC366" s="188">
        <v>70</v>
      </c>
      <c r="AD366" s="188">
        <v>70</v>
      </c>
      <c r="AE366" s="188">
        <v>70</v>
      </c>
      <c r="AF366" s="188">
        <v>69</v>
      </c>
      <c r="AG366" s="188">
        <v>69</v>
      </c>
      <c r="AH366" s="188">
        <v>69</v>
      </c>
      <c r="AI366" s="188">
        <v>68</v>
      </c>
      <c r="AJ366" s="188">
        <v>68</v>
      </c>
    </row>
    <row r="367" spans="1:36" hidden="1" x14ac:dyDescent="0.35">
      <c r="A367" t="s">
        <v>1907</v>
      </c>
      <c r="B367" s="188" t="s">
        <v>1342</v>
      </c>
      <c r="C367" t="s">
        <v>1348</v>
      </c>
      <c r="D367" s="188">
        <v>100</v>
      </c>
      <c r="E367" t="s">
        <v>1854</v>
      </c>
      <c r="F367" s="188" t="s">
        <v>1905</v>
      </c>
      <c r="G367" s="188" t="s">
        <v>1906</v>
      </c>
      <c r="H367" s="188">
        <v>145</v>
      </c>
      <c r="I367" s="188">
        <v>145</v>
      </c>
      <c r="J367" s="188">
        <v>145</v>
      </c>
      <c r="K367" s="188">
        <v>145</v>
      </c>
      <c r="L367" s="188">
        <v>145</v>
      </c>
      <c r="M367" s="188">
        <v>145</v>
      </c>
      <c r="N367" s="188">
        <v>145</v>
      </c>
      <c r="O367" s="188">
        <v>145</v>
      </c>
      <c r="P367" s="188">
        <v>145</v>
      </c>
      <c r="Q367" s="188">
        <v>145</v>
      </c>
      <c r="R367" s="188">
        <v>145</v>
      </c>
      <c r="S367" s="188">
        <v>145</v>
      </c>
      <c r="T367" s="188">
        <v>145</v>
      </c>
      <c r="U367" s="188">
        <v>145</v>
      </c>
      <c r="V367" s="188">
        <v>145</v>
      </c>
      <c r="W367" s="188">
        <v>145</v>
      </c>
      <c r="X367" s="188">
        <v>145</v>
      </c>
      <c r="Y367" s="188">
        <v>145</v>
      </c>
      <c r="Z367" s="188">
        <v>145</v>
      </c>
      <c r="AA367" s="188">
        <v>145</v>
      </c>
      <c r="AB367" s="188">
        <v>145</v>
      </c>
      <c r="AC367" s="188">
        <v>145</v>
      </c>
      <c r="AD367" s="188">
        <v>145</v>
      </c>
      <c r="AE367" s="188">
        <v>145</v>
      </c>
      <c r="AF367" s="188">
        <v>145</v>
      </c>
      <c r="AG367" s="188">
        <v>145</v>
      </c>
      <c r="AH367" s="188">
        <v>145</v>
      </c>
      <c r="AI367" s="188">
        <v>145</v>
      </c>
      <c r="AJ367" s="188">
        <v>145</v>
      </c>
    </row>
    <row r="368" spans="1:36" hidden="1" x14ac:dyDescent="0.35">
      <c r="A368" t="s">
        <v>1908</v>
      </c>
      <c r="B368" s="188" t="s">
        <v>1342</v>
      </c>
      <c r="C368" t="s">
        <v>1350</v>
      </c>
      <c r="D368" s="188">
        <v>100</v>
      </c>
      <c r="E368" t="s">
        <v>1854</v>
      </c>
      <c r="F368" s="188" t="s">
        <v>1905</v>
      </c>
      <c r="G368" s="188" t="s">
        <v>1906</v>
      </c>
      <c r="H368" s="188">
        <v>145</v>
      </c>
      <c r="I368" s="188">
        <v>145</v>
      </c>
      <c r="J368" s="188">
        <v>145</v>
      </c>
      <c r="K368" s="188">
        <v>145</v>
      </c>
      <c r="L368" s="188">
        <v>145</v>
      </c>
      <c r="M368" s="188">
        <v>145</v>
      </c>
      <c r="N368" s="188">
        <v>145</v>
      </c>
      <c r="O368" s="188">
        <v>145</v>
      </c>
      <c r="P368" s="188">
        <v>145</v>
      </c>
      <c r="Q368" s="188">
        <v>145</v>
      </c>
      <c r="R368" s="188">
        <v>145</v>
      </c>
      <c r="S368" s="188">
        <v>145</v>
      </c>
      <c r="T368" s="188">
        <v>145</v>
      </c>
      <c r="U368" s="188">
        <v>145</v>
      </c>
      <c r="V368" s="188">
        <v>145</v>
      </c>
      <c r="W368" s="188">
        <v>145</v>
      </c>
      <c r="X368" s="188">
        <v>145</v>
      </c>
      <c r="Y368" s="188">
        <v>145</v>
      </c>
      <c r="Z368" s="188">
        <v>145</v>
      </c>
      <c r="AA368" s="188">
        <v>145</v>
      </c>
      <c r="AB368" s="188">
        <v>145</v>
      </c>
      <c r="AC368" s="188">
        <v>145</v>
      </c>
      <c r="AD368" s="188">
        <v>145</v>
      </c>
      <c r="AE368" s="188">
        <v>145</v>
      </c>
      <c r="AF368" s="188">
        <v>145</v>
      </c>
      <c r="AG368" s="188">
        <v>145</v>
      </c>
      <c r="AH368" s="188">
        <v>145</v>
      </c>
      <c r="AI368" s="188">
        <v>145</v>
      </c>
      <c r="AJ368" s="188">
        <v>145</v>
      </c>
    </row>
    <row r="369" spans="1:36" hidden="1" x14ac:dyDescent="0.35">
      <c r="A369" t="s">
        <v>1909</v>
      </c>
      <c r="B369" s="188" t="s">
        <v>1342</v>
      </c>
      <c r="C369" t="s">
        <v>1343</v>
      </c>
      <c r="D369" s="188">
        <v>100</v>
      </c>
      <c r="E369" t="s">
        <v>1854</v>
      </c>
      <c r="F369" s="188" t="s">
        <v>1910</v>
      </c>
      <c r="G369" s="188" t="s">
        <v>1911</v>
      </c>
      <c r="H369" s="188">
        <v>30</v>
      </c>
      <c r="I369" s="188">
        <v>29</v>
      </c>
      <c r="J369" s="188">
        <v>27</v>
      </c>
      <c r="K369" s="188">
        <v>27</v>
      </c>
      <c r="L369" s="188">
        <v>26</v>
      </c>
      <c r="M369" s="188">
        <v>25</v>
      </c>
      <c r="N369" s="188">
        <v>24</v>
      </c>
      <c r="O369" s="188">
        <v>24</v>
      </c>
      <c r="P369" s="188">
        <v>23</v>
      </c>
      <c r="Q369" s="188">
        <v>22</v>
      </c>
      <c r="R369" s="188">
        <v>22</v>
      </c>
      <c r="S369" s="188">
        <v>21</v>
      </c>
      <c r="T369" s="188">
        <v>19</v>
      </c>
      <c r="U369" s="188">
        <v>19</v>
      </c>
      <c r="V369" s="188">
        <v>18</v>
      </c>
      <c r="W369" s="188">
        <v>18</v>
      </c>
      <c r="X369" s="188">
        <v>17</v>
      </c>
      <c r="Y369" s="188">
        <v>17</v>
      </c>
      <c r="Z369" s="188">
        <v>17</v>
      </c>
      <c r="AA369" s="188">
        <v>17</v>
      </c>
      <c r="AB369" s="188">
        <v>17</v>
      </c>
      <c r="AC369" s="188">
        <v>17</v>
      </c>
      <c r="AD369" s="188">
        <v>17</v>
      </c>
      <c r="AE369" s="188">
        <v>17</v>
      </c>
      <c r="AF369" s="188">
        <v>17</v>
      </c>
      <c r="AG369" s="188">
        <v>17</v>
      </c>
      <c r="AH369" s="188">
        <v>17</v>
      </c>
      <c r="AI369" s="188">
        <v>17</v>
      </c>
      <c r="AJ369" s="188">
        <v>17</v>
      </c>
    </row>
    <row r="370" spans="1:36" hidden="1" x14ac:dyDescent="0.35">
      <c r="A370" t="s">
        <v>1912</v>
      </c>
      <c r="B370" s="188" t="s">
        <v>1342</v>
      </c>
      <c r="C370" t="s">
        <v>1348</v>
      </c>
      <c r="D370" s="188">
        <v>100</v>
      </c>
      <c r="E370" t="s">
        <v>1854</v>
      </c>
      <c r="F370" s="188" t="s">
        <v>1910</v>
      </c>
      <c r="G370" s="188" t="s">
        <v>1911</v>
      </c>
      <c r="H370" s="188">
        <v>35</v>
      </c>
      <c r="I370" s="188">
        <v>35</v>
      </c>
      <c r="J370" s="188">
        <v>35</v>
      </c>
      <c r="K370" s="188">
        <v>35</v>
      </c>
      <c r="L370" s="188">
        <v>35</v>
      </c>
      <c r="M370" s="188">
        <v>35</v>
      </c>
      <c r="N370" s="188">
        <v>35</v>
      </c>
      <c r="O370" s="188">
        <v>35</v>
      </c>
      <c r="P370" s="188">
        <v>35</v>
      </c>
      <c r="Q370" s="188">
        <v>35</v>
      </c>
      <c r="R370" s="188">
        <v>35</v>
      </c>
      <c r="S370" s="188">
        <v>35</v>
      </c>
      <c r="T370" s="188">
        <v>35</v>
      </c>
      <c r="U370" s="188">
        <v>35</v>
      </c>
      <c r="V370" s="188">
        <v>35</v>
      </c>
      <c r="W370" s="188">
        <v>35</v>
      </c>
      <c r="X370" s="188">
        <v>35</v>
      </c>
      <c r="Y370" s="188">
        <v>35</v>
      </c>
      <c r="Z370" s="188">
        <v>35</v>
      </c>
      <c r="AA370" s="188">
        <v>35</v>
      </c>
      <c r="AB370" s="188">
        <v>35</v>
      </c>
      <c r="AC370" s="188">
        <v>35</v>
      </c>
      <c r="AD370" s="188">
        <v>35</v>
      </c>
      <c r="AE370" s="188">
        <v>35</v>
      </c>
      <c r="AF370" s="188">
        <v>35</v>
      </c>
      <c r="AG370" s="188">
        <v>35</v>
      </c>
      <c r="AH370" s="188">
        <v>35</v>
      </c>
      <c r="AI370" s="188">
        <v>35</v>
      </c>
      <c r="AJ370" s="188">
        <v>35</v>
      </c>
    </row>
    <row r="371" spans="1:36" hidden="1" x14ac:dyDescent="0.35">
      <c r="A371" t="s">
        <v>1913</v>
      </c>
      <c r="B371" s="188" t="s">
        <v>1342</v>
      </c>
      <c r="C371" t="s">
        <v>1350</v>
      </c>
      <c r="D371" s="188">
        <v>100</v>
      </c>
      <c r="E371" t="s">
        <v>1854</v>
      </c>
      <c r="F371" s="188" t="s">
        <v>1910</v>
      </c>
      <c r="G371" s="188" t="s">
        <v>1911</v>
      </c>
      <c r="H371" s="188">
        <v>35</v>
      </c>
      <c r="I371" s="188">
        <v>35</v>
      </c>
      <c r="J371" s="188">
        <v>35</v>
      </c>
      <c r="K371" s="188">
        <v>35</v>
      </c>
      <c r="L371" s="188">
        <v>35</v>
      </c>
      <c r="M371" s="188">
        <v>35</v>
      </c>
      <c r="N371" s="188">
        <v>35</v>
      </c>
      <c r="O371" s="188">
        <v>35</v>
      </c>
      <c r="P371" s="188">
        <v>35</v>
      </c>
      <c r="Q371" s="188">
        <v>35</v>
      </c>
      <c r="R371" s="188">
        <v>35</v>
      </c>
      <c r="S371" s="188">
        <v>35</v>
      </c>
      <c r="T371" s="188">
        <v>35</v>
      </c>
      <c r="U371" s="188">
        <v>35</v>
      </c>
      <c r="V371" s="188">
        <v>35</v>
      </c>
      <c r="W371" s="188">
        <v>35</v>
      </c>
      <c r="X371" s="188">
        <v>35</v>
      </c>
      <c r="Y371" s="188">
        <v>35</v>
      </c>
      <c r="Z371" s="188">
        <v>35</v>
      </c>
      <c r="AA371" s="188">
        <v>35</v>
      </c>
      <c r="AB371" s="188">
        <v>35</v>
      </c>
      <c r="AC371" s="188">
        <v>35</v>
      </c>
      <c r="AD371" s="188">
        <v>35</v>
      </c>
      <c r="AE371" s="188">
        <v>35</v>
      </c>
      <c r="AF371" s="188">
        <v>35</v>
      </c>
      <c r="AG371" s="188">
        <v>35</v>
      </c>
      <c r="AH371" s="188">
        <v>35</v>
      </c>
      <c r="AI371" s="188">
        <v>35</v>
      </c>
      <c r="AJ371" s="188">
        <v>35</v>
      </c>
    </row>
    <row r="372" spans="1:36" x14ac:dyDescent="0.35">
      <c r="A372" t="s">
        <v>1914</v>
      </c>
      <c r="B372" s="188" t="s">
        <v>1342</v>
      </c>
      <c r="C372" t="s">
        <v>1343</v>
      </c>
      <c r="D372" t="s">
        <v>555</v>
      </c>
      <c r="E372" t="s">
        <v>1915</v>
      </c>
      <c r="F372" t="s">
        <v>1916</v>
      </c>
      <c r="G372" s="175" t="s">
        <v>1917</v>
      </c>
      <c r="H372" s="175">
        <v>34.929480935955034</v>
      </c>
      <c r="I372" s="175">
        <v>40.450981105990294</v>
      </c>
      <c r="J372" s="175">
        <v>27.816081048641998</v>
      </c>
      <c r="K372" s="175">
        <v>23.354205217573295</v>
      </c>
      <c r="L372" s="175">
        <v>22.512751154819053</v>
      </c>
      <c r="M372" s="175">
        <v>21.671297092064812</v>
      </c>
      <c r="N372" s="175">
        <v>20.829843029310563</v>
      </c>
      <c r="O372" s="175">
        <v>19.988388966556322</v>
      </c>
      <c r="P372" s="175">
        <v>19.146934903802073</v>
      </c>
      <c r="Q372" s="175">
        <v>18.786875067070252</v>
      </c>
      <c r="R372" s="175">
        <v>18.426815230338434</v>
      </c>
      <c r="S372" s="175">
        <v>18.06675539360662</v>
      </c>
      <c r="T372" s="175">
        <v>17.706695556874802</v>
      </c>
      <c r="U372" s="175">
        <v>17.346635720142981</v>
      </c>
      <c r="V372" s="175">
        <v>16.986575883411163</v>
      </c>
      <c r="W372" s="175">
        <v>16.626516046679345</v>
      </c>
      <c r="X372" s="175">
        <v>16.266456209947531</v>
      </c>
      <c r="Y372" s="175">
        <v>15.906396373215713</v>
      </c>
      <c r="Z372" s="175">
        <v>15.546336536483901</v>
      </c>
      <c r="AA372" s="175">
        <v>15.186276699752083</v>
      </c>
      <c r="AB372" s="175">
        <v>14.826216863020262</v>
      </c>
      <c r="AC372" s="175">
        <v>14.466157026288446</v>
      </c>
      <c r="AD372" s="175">
        <v>14.106097189556628</v>
      </c>
      <c r="AE372" s="175">
        <v>13.746037352824812</v>
      </c>
      <c r="AF372" s="175">
        <v>13.385977516092996</v>
      </c>
      <c r="AG372" s="175">
        <v>13.025917679361175</v>
      </c>
      <c r="AH372" s="175">
        <v>12.665857842629361</v>
      </c>
      <c r="AI372" s="175">
        <v>12.305798005897543</v>
      </c>
      <c r="AJ372" s="175">
        <v>11.945738169165722</v>
      </c>
    </row>
    <row r="373" spans="1:36" x14ac:dyDescent="0.35">
      <c r="A373" t="s">
        <v>1918</v>
      </c>
      <c r="B373" s="188" t="s">
        <v>1342</v>
      </c>
      <c r="C373" t="s">
        <v>1348</v>
      </c>
      <c r="D373" t="s">
        <v>555</v>
      </c>
      <c r="E373" t="s">
        <v>1915</v>
      </c>
      <c r="F373" t="s">
        <v>1916</v>
      </c>
      <c r="G373" s="175" t="s">
        <v>1917</v>
      </c>
      <c r="H373" s="175">
        <v>34.929480935955034</v>
      </c>
      <c r="I373" s="175">
        <v>40.450981105990294</v>
      </c>
      <c r="J373" s="175">
        <v>31.415766254995575</v>
      </c>
      <c r="K373" s="175">
        <v>30.088934182341433</v>
      </c>
      <c r="L373" s="175">
        <v>29.074105377022438</v>
      </c>
      <c r="M373" s="175">
        <v>28.091209957443898</v>
      </c>
      <c r="N373" s="175">
        <v>27.173898427106042</v>
      </c>
      <c r="O373" s="175">
        <v>26.341852464613194</v>
      </c>
      <c r="P373" s="175">
        <v>25.537514841997783</v>
      </c>
      <c r="Q373" s="175">
        <v>25.218295906472818</v>
      </c>
      <c r="R373" s="175">
        <v>24.899076970947846</v>
      </c>
      <c r="S373" s="175">
        <v>24.579858035422884</v>
      </c>
      <c r="T373" s="175">
        <v>24.260639099897908</v>
      </c>
      <c r="U373" s="175">
        <v>23.941420164372929</v>
      </c>
      <c r="V373" s="175">
        <v>23.622201228847956</v>
      </c>
      <c r="W373" s="175">
        <v>23.302982293322994</v>
      </c>
      <c r="X373" s="175">
        <v>22.983763357798011</v>
      </c>
      <c r="Y373" s="175">
        <v>22.664544422273046</v>
      </c>
      <c r="Z373" s="175">
        <v>22.345325486748081</v>
      </c>
      <c r="AA373" s="175">
        <v>22.026106551223108</v>
      </c>
      <c r="AB373" s="175">
        <v>21.706887615698136</v>
      </c>
      <c r="AC373" s="175">
        <v>21.38766868017316</v>
      </c>
      <c r="AD373" s="175">
        <v>21.068449744648191</v>
      </c>
      <c r="AE373" s="175">
        <v>20.749230809123219</v>
      </c>
      <c r="AF373" s="175">
        <v>20.430011873598254</v>
      </c>
      <c r="AG373" s="175">
        <v>20.110792938073285</v>
      </c>
      <c r="AH373" s="175">
        <v>19.791574002548309</v>
      </c>
      <c r="AI373" s="175">
        <v>19.472355067023329</v>
      </c>
      <c r="AJ373" s="175">
        <v>19.153136131498343</v>
      </c>
    </row>
    <row r="374" spans="1:36" x14ac:dyDescent="0.35">
      <c r="A374" t="s">
        <v>1919</v>
      </c>
      <c r="B374" s="188" t="s">
        <v>1342</v>
      </c>
      <c r="C374" t="s">
        <v>1350</v>
      </c>
      <c r="D374" t="s">
        <v>555</v>
      </c>
      <c r="E374" t="s">
        <v>1915</v>
      </c>
      <c r="F374" t="s">
        <v>1916</v>
      </c>
      <c r="G374" s="175" t="s">
        <v>1917</v>
      </c>
      <c r="H374" s="175">
        <v>34.929480935955034</v>
      </c>
      <c r="I374" s="175">
        <v>40.450981105990294</v>
      </c>
      <c r="J374" s="175">
        <v>37.848659457980084</v>
      </c>
      <c r="K374" s="175">
        <v>37.3117990401364</v>
      </c>
      <c r="L374" s="175">
        <v>35.915961953742816</v>
      </c>
      <c r="M374" s="175">
        <v>34.520124867349224</v>
      </c>
      <c r="N374" s="175">
        <v>33.124287780955626</v>
      </c>
      <c r="O374" s="175">
        <v>31.728450694562049</v>
      </c>
      <c r="P374" s="175">
        <v>30.332613608168455</v>
      </c>
      <c r="Q374" s="175">
        <v>30.245995804781536</v>
      </c>
      <c r="R374" s="175">
        <v>30.159378001394629</v>
      </c>
      <c r="S374" s="175">
        <v>30.072760198007728</v>
      </c>
      <c r="T374" s="175">
        <v>29.986142394620817</v>
      </c>
      <c r="U374" s="175">
        <v>29.899524591233899</v>
      </c>
      <c r="V374" s="175">
        <v>29.812906787846998</v>
      </c>
      <c r="W374" s="175">
        <v>29.726288984460087</v>
      </c>
      <c r="X374" s="175">
        <v>29.639671181073183</v>
      </c>
      <c r="Y374" s="175">
        <v>29.553053377686275</v>
      </c>
      <c r="Z374" s="175">
        <v>29.466435574299357</v>
      </c>
      <c r="AA374" s="175">
        <v>29.379817770912457</v>
      </c>
      <c r="AB374" s="175">
        <v>29.293199967525538</v>
      </c>
      <c r="AC374" s="175">
        <v>29.206582164138634</v>
      </c>
      <c r="AD374" s="175">
        <v>29.119964360751727</v>
      </c>
      <c r="AE374" s="175">
        <v>29.033346557364816</v>
      </c>
      <c r="AF374" s="175">
        <v>28.946728753977915</v>
      </c>
      <c r="AG374" s="175">
        <v>28.860110950590997</v>
      </c>
      <c r="AH374" s="175">
        <v>28.773493147204086</v>
      </c>
      <c r="AI374" s="175">
        <v>28.686875343817185</v>
      </c>
      <c r="AJ374" s="175">
        <v>28.600257540430238</v>
      </c>
    </row>
    <row r="375" spans="1:36" x14ac:dyDescent="0.35">
      <c r="A375" t="s">
        <v>1920</v>
      </c>
      <c r="B375" s="188" t="s">
        <v>1342</v>
      </c>
      <c r="C375" t="s">
        <v>1343</v>
      </c>
      <c r="D375" t="s">
        <v>555</v>
      </c>
      <c r="E375" t="s">
        <v>1915</v>
      </c>
      <c r="F375" t="s">
        <v>1829</v>
      </c>
      <c r="G375" s="175" t="s">
        <v>1921</v>
      </c>
      <c r="H375" s="175">
        <v>41.808503489582151</v>
      </c>
      <c r="I375" s="175">
        <v>48.919264719006208</v>
      </c>
      <c r="J375" s="175">
        <v>34.115814978666606</v>
      </c>
      <c r="K375" s="175">
        <v>27.953589465747214</v>
      </c>
      <c r="L375" s="175">
        <v>26.94641918504685</v>
      </c>
      <c r="M375" s="175">
        <v>25.939248904346488</v>
      </c>
      <c r="N375" s="175">
        <v>24.93207862364612</v>
      </c>
      <c r="O375" s="175">
        <v>23.924908342945756</v>
      </c>
      <c r="P375" s="175">
        <v>22.917738062245384</v>
      </c>
      <c r="Q375" s="175">
        <v>22.486767932226499</v>
      </c>
      <c r="R375" s="175">
        <v>22.055797802207618</v>
      </c>
      <c r="S375" s="175">
        <v>21.624827672188736</v>
      </c>
      <c r="T375" s="175">
        <v>21.193857542169859</v>
      </c>
      <c r="U375" s="175">
        <v>20.76288741215097</v>
      </c>
      <c r="V375" s="175">
        <v>20.331917282132093</v>
      </c>
      <c r="W375" s="175">
        <v>19.900947152113215</v>
      </c>
      <c r="X375" s="175">
        <v>19.469977022094334</v>
      </c>
      <c r="Y375" s="175">
        <v>19.039006892075452</v>
      </c>
      <c r="Z375" s="175">
        <v>18.608036762056575</v>
      </c>
      <c r="AA375" s="175">
        <v>18.17706663203769</v>
      </c>
      <c r="AB375" s="175">
        <v>17.746096502018812</v>
      </c>
      <c r="AC375" s="175">
        <v>17.315126371999934</v>
      </c>
      <c r="AD375" s="175">
        <v>16.884156241981049</v>
      </c>
      <c r="AE375" s="175">
        <v>16.453186111962168</v>
      </c>
      <c r="AF375" s="175">
        <v>16.022215981943287</v>
      </c>
      <c r="AG375" s="175">
        <v>15.591245851924407</v>
      </c>
      <c r="AH375" s="175">
        <v>15.160275721905528</v>
      </c>
      <c r="AI375" s="175">
        <v>14.729305591886646</v>
      </c>
      <c r="AJ375" s="175">
        <v>14.29833546186776</v>
      </c>
    </row>
    <row r="376" spans="1:36" x14ac:dyDescent="0.35">
      <c r="A376" t="s">
        <v>1922</v>
      </c>
      <c r="B376" s="188" t="s">
        <v>1342</v>
      </c>
      <c r="C376" t="s">
        <v>1348</v>
      </c>
      <c r="D376" t="s">
        <v>555</v>
      </c>
      <c r="E376" t="s">
        <v>1915</v>
      </c>
      <c r="F376" t="s">
        <v>1829</v>
      </c>
      <c r="G376" s="175" t="s">
        <v>1921</v>
      </c>
      <c r="H376" s="175">
        <v>41.808503489582151</v>
      </c>
      <c r="I376" s="175">
        <v>48.919264719006208</v>
      </c>
      <c r="J376" s="175">
        <v>37.33318016259971</v>
      </c>
      <c r="K376" s="175">
        <v>35.724305394852472</v>
      </c>
      <c r="L376" s="175">
        <v>34.400712274776737</v>
      </c>
      <c r="M376" s="175">
        <v>33.136152714827524</v>
      </c>
      <c r="N376" s="175">
        <v>31.959814068857657</v>
      </c>
      <c r="O376" s="175">
        <v>30.893717557267323</v>
      </c>
      <c r="P376" s="175">
        <v>29.87430465035396</v>
      </c>
      <c r="Q376" s="175">
        <v>29.500875842224549</v>
      </c>
      <c r="R376" s="175">
        <v>29.127447034095116</v>
      </c>
      <c r="S376" s="175">
        <v>28.754018225965702</v>
      </c>
      <c r="T376" s="175">
        <v>28.380589417836276</v>
      </c>
      <c r="U376" s="175">
        <v>28.007160609706844</v>
      </c>
      <c r="V376" s="175">
        <v>27.633731801577422</v>
      </c>
      <c r="W376" s="175">
        <v>27.260302993448001</v>
      </c>
      <c r="X376" s="175">
        <v>26.886874185318575</v>
      </c>
      <c r="Y376" s="175">
        <v>26.513445377189157</v>
      </c>
      <c r="Z376" s="175">
        <v>26.140016569059739</v>
      </c>
      <c r="AA376" s="175">
        <v>25.76658776093031</v>
      </c>
      <c r="AB376" s="175">
        <v>25.393158952800889</v>
      </c>
      <c r="AC376" s="175">
        <v>25.01973014467146</v>
      </c>
      <c r="AD376" s="175">
        <v>24.646301336542038</v>
      </c>
      <c r="AE376" s="175">
        <v>24.272872528412616</v>
      </c>
      <c r="AF376" s="175">
        <v>23.899443720283195</v>
      </c>
      <c r="AG376" s="175">
        <v>23.526014912153773</v>
      </c>
      <c r="AH376" s="175">
        <v>23.152586104024351</v>
      </c>
      <c r="AI376" s="175">
        <v>22.779157295894919</v>
      </c>
      <c r="AJ376" s="175">
        <v>22.405728487765476</v>
      </c>
    </row>
    <row r="377" spans="1:36" x14ac:dyDescent="0.35">
      <c r="A377" t="s">
        <v>1923</v>
      </c>
      <c r="B377" s="188" t="s">
        <v>1342</v>
      </c>
      <c r="C377" t="s">
        <v>1350</v>
      </c>
      <c r="D377" t="s">
        <v>555</v>
      </c>
      <c r="E377" t="s">
        <v>1915</v>
      </c>
      <c r="F377" t="s">
        <v>1829</v>
      </c>
      <c r="G377" s="175" t="s">
        <v>1921</v>
      </c>
      <c r="H377" s="175">
        <v>41.808503489582151</v>
      </c>
      <c r="I377" s="175">
        <v>48.919264719006208</v>
      </c>
      <c r="J377" s="175">
        <v>45.302585913783531</v>
      </c>
      <c r="K377" s="175">
        <v>44.659996042666045</v>
      </c>
      <c r="L377" s="175">
        <v>42.989262377760554</v>
      </c>
      <c r="M377" s="175">
        <v>41.318528712855063</v>
      </c>
      <c r="N377" s="175">
        <v>39.647795047949579</v>
      </c>
      <c r="O377" s="175">
        <v>37.977061383044081</v>
      </c>
      <c r="P377" s="175">
        <v>36.30632771813859</v>
      </c>
      <c r="Q377" s="175">
        <v>36.202651378321178</v>
      </c>
      <c r="R377" s="175">
        <v>36.098975038503788</v>
      </c>
      <c r="S377" s="175">
        <v>35.995298698686391</v>
      </c>
      <c r="T377" s="175">
        <v>35.891622358868979</v>
      </c>
      <c r="U377" s="175">
        <v>35.787946019051574</v>
      </c>
      <c r="V377" s="175">
        <v>35.684269679234184</v>
      </c>
      <c r="W377" s="175">
        <v>35.580593339416765</v>
      </c>
      <c r="X377" s="175">
        <v>35.476916999599375</v>
      </c>
      <c r="Y377" s="175">
        <v>35.373240659781978</v>
      </c>
      <c r="Z377" s="175">
        <v>35.269564319964573</v>
      </c>
      <c r="AA377" s="175">
        <v>35.165887980147176</v>
      </c>
      <c r="AB377" s="175">
        <v>35.062211640329764</v>
      </c>
      <c r="AC377" s="175">
        <v>34.958535300512366</v>
      </c>
      <c r="AD377" s="175">
        <v>34.854858960694969</v>
      </c>
      <c r="AE377" s="175">
        <v>34.751182620877564</v>
      </c>
      <c r="AF377" s="175">
        <v>34.647506281060167</v>
      </c>
      <c r="AG377" s="175">
        <v>34.543829941242755</v>
      </c>
      <c r="AH377" s="175">
        <v>34.440153601425365</v>
      </c>
      <c r="AI377" s="175">
        <v>34.336477261607961</v>
      </c>
      <c r="AJ377" s="175">
        <v>34.232800921790528</v>
      </c>
    </row>
    <row r="378" spans="1:36" x14ac:dyDescent="0.35">
      <c r="A378" t="s">
        <v>1924</v>
      </c>
      <c r="B378" s="188" t="s">
        <v>1342</v>
      </c>
      <c r="C378" t="s">
        <v>1343</v>
      </c>
      <c r="D378" t="s">
        <v>555</v>
      </c>
      <c r="E378" t="s">
        <v>1915</v>
      </c>
      <c r="F378" t="s">
        <v>1834</v>
      </c>
      <c r="G378" s="175" t="s">
        <v>1925</v>
      </c>
      <c r="H378" s="175">
        <v>55.566548596836384</v>
      </c>
      <c r="I378" s="175">
        <v>65.85583194503802</v>
      </c>
      <c r="J378" s="175">
        <v>46.715282838715815</v>
      </c>
      <c r="K378" s="175">
        <v>37.152357962095046</v>
      </c>
      <c r="L378" s="175">
        <v>35.813755245502449</v>
      </c>
      <c r="M378" s="175">
        <v>34.475152528909831</v>
      </c>
      <c r="N378" s="175">
        <v>33.136549812317234</v>
      </c>
      <c r="O378" s="175">
        <v>31.797947095724613</v>
      </c>
      <c r="P378" s="175">
        <v>30.459344379132006</v>
      </c>
      <c r="Q378" s="175">
        <v>29.886553662538997</v>
      </c>
      <c r="R378" s="175">
        <v>29.313762945945985</v>
      </c>
      <c r="S378" s="175">
        <v>28.740972229352977</v>
      </c>
      <c r="T378" s="175">
        <v>28.168181512759965</v>
      </c>
      <c r="U378" s="175">
        <v>27.595390796166953</v>
      </c>
      <c r="V378" s="175">
        <v>27.022600079573948</v>
      </c>
      <c r="W378" s="175">
        <v>26.449809362980943</v>
      </c>
      <c r="X378" s="175">
        <v>25.877018646387938</v>
      </c>
      <c r="Y378" s="175">
        <v>25.30422792979493</v>
      </c>
      <c r="Z378" s="175">
        <v>24.731437213201922</v>
      </c>
      <c r="AA378" s="175">
        <v>24.15864649660892</v>
      </c>
      <c r="AB378" s="175">
        <v>23.585855780015908</v>
      </c>
      <c r="AC378" s="175">
        <v>23.013065063422903</v>
      </c>
      <c r="AD378" s="175">
        <v>22.440274346829892</v>
      </c>
      <c r="AE378" s="175">
        <v>21.867483630236887</v>
      </c>
      <c r="AF378" s="175">
        <v>21.294692913643875</v>
      </c>
      <c r="AG378" s="175">
        <v>20.721902197050873</v>
      </c>
      <c r="AH378" s="175">
        <v>20.149111480457861</v>
      </c>
      <c r="AI378" s="175">
        <v>19.576320763864857</v>
      </c>
      <c r="AJ378" s="175">
        <v>19.003530047271838</v>
      </c>
    </row>
    <row r="379" spans="1:36" x14ac:dyDescent="0.35">
      <c r="A379" t="s">
        <v>1926</v>
      </c>
      <c r="B379" s="188" t="s">
        <v>1342</v>
      </c>
      <c r="C379" t="s">
        <v>1348</v>
      </c>
      <c r="D379" t="s">
        <v>555</v>
      </c>
      <c r="E379" t="s">
        <v>1915</v>
      </c>
      <c r="F379" t="s">
        <v>1834</v>
      </c>
      <c r="G379" s="175" t="s">
        <v>1925</v>
      </c>
      <c r="H379" s="175">
        <v>55.566548596836384</v>
      </c>
      <c r="I379" s="175">
        <v>65.85583194503802</v>
      </c>
      <c r="J379" s="175">
        <v>49.168007977807989</v>
      </c>
      <c r="K379" s="175">
        <v>46.995047819874557</v>
      </c>
      <c r="L379" s="175">
        <v>45.05392607028535</v>
      </c>
      <c r="M379" s="175">
        <v>43.226038229594778</v>
      </c>
      <c r="N379" s="175">
        <v>41.531645352360911</v>
      </c>
      <c r="O379" s="175">
        <v>39.997447742575567</v>
      </c>
      <c r="P379" s="175">
        <v>38.547884267066316</v>
      </c>
      <c r="Q379" s="175">
        <v>38.066035713727999</v>
      </c>
      <c r="R379" s="175">
        <v>37.584187160389661</v>
      </c>
      <c r="S379" s="175">
        <v>37.10233860705133</v>
      </c>
      <c r="T379" s="175">
        <v>36.620490053713013</v>
      </c>
      <c r="U379" s="175">
        <v>36.138641500374675</v>
      </c>
      <c r="V379" s="175">
        <v>35.656792947036351</v>
      </c>
      <c r="W379" s="175">
        <v>35.174944393698034</v>
      </c>
      <c r="X379" s="175">
        <v>34.693095840359696</v>
      </c>
      <c r="Y379" s="175">
        <v>34.211247287021365</v>
      </c>
      <c r="Z379" s="175">
        <v>33.729398733683034</v>
      </c>
      <c r="AA379" s="175">
        <v>33.247550180344717</v>
      </c>
      <c r="AB379" s="175">
        <v>32.765701627006393</v>
      </c>
      <c r="AC379" s="175">
        <v>32.283853073668055</v>
      </c>
      <c r="AD379" s="175">
        <v>31.802004520329731</v>
      </c>
      <c r="AE379" s="175">
        <v>31.320155966991411</v>
      </c>
      <c r="AF379" s="175">
        <v>30.838307413653077</v>
      </c>
      <c r="AG379" s="175">
        <v>30.356458860314753</v>
      </c>
      <c r="AH379" s="175">
        <v>29.874610306976429</v>
      </c>
      <c r="AI379" s="175">
        <v>29.392761753638094</v>
      </c>
      <c r="AJ379" s="175">
        <v>28.910913200299742</v>
      </c>
    </row>
    <row r="380" spans="1:36" x14ac:dyDescent="0.35">
      <c r="A380" t="s">
        <v>1927</v>
      </c>
      <c r="B380" s="188" t="s">
        <v>1342</v>
      </c>
      <c r="C380" t="s">
        <v>1350</v>
      </c>
      <c r="D380" t="s">
        <v>555</v>
      </c>
      <c r="E380" t="s">
        <v>1915</v>
      </c>
      <c r="F380" t="s">
        <v>1834</v>
      </c>
      <c r="G380" s="175" t="s">
        <v>1925</v>
      </c>
      <c r="H380" s="175">
        <v>55.566548596836384</v>
      </c>
      <c r="I380" s="175">
        <v>65.85583194503802</v>
      </c>
      <c r="J380" s="175">
        <v>60.210438825390412</v>
      </c>
      <c r="K380" s="175">
        <v>59.356390047725313</v>
      </c>
      <c r="L380" s="175">
        <v>57.135863225796029</v>
      </c>
      <c r="M380" s="175">
        <v>54.915336403866746</v>
      </c>
      <c r="N380" s="175">
        <v>52.694809581937456</v>
      </c>
      <c r="O380" s="175">
        <v>50.474282760008151</v>
      </c>
      <c r="P380" s="175">
        <v>48.253755938078875</v>
      </c>
      <c r="Q380" s="175">
        <v>48.115962525400477</v>
      </c>
      <c r="R380" s="175">
        <v>47.978169112722099</v>
      </c>
      <c r="S380" s="175">
        <v>47.840375700043694</v>
      </c>
      <c r="T380" s="175">
        <v>47.702582287365317</v>
      </c>
      <c r="U380" s="175">
        <v>47.564788874686919</v>
      </c>
      <c r="V380" s="175">
        <v>47.426995462008549</v>
      </c>
      <c r="W380" s="175">
        <v>47.28920204933015</v>
      </c>
      <c r="X380" s="175">
        <v>47.151408636651773</v>
      </c>
      <c r="Y380" s="175">
        <v>47.013615223973389</v>
      </c>
      <c r="Z380" s="175">
        <v>46.875821811294998</v>
      </c>
      <c r="AA380" s="175">
        <v>46.738028398616613</v>
      </c>
      <c r="AB380" s="175">
        <v>46.600234985938222</v>
      </c>
      <c r="AC380" s="175">
        <v>46.462441573259831</v>
      </c>
      <c r="AD380" s="175">
        <v>46.324648160581454</v>
      </c>
      <c r="AE380" s="175">
        <v>46.186854747903062</v>
      </c>
      <c r="AF380" s="175">
        <v>46.049061335224685</v>
      </c>
      <c r="AG380" s="175">
        <v>45.91126792254628</v>
      </c>
      <c r="AH380" s="175">
        <v>45.773474509867903</v>
      </c>
      <c r="AI380" s="175">
        <v>45.635681097189519</v>
      </c>
      <c r="AJ380" s="175">
        <v>45.497887684511092</v>
      </c>
    </row>
    <row r="381" spans="1:36" x14ac:dyDescent="0.35">
      <c r="A381" t="s">
        <v>1928</v>
      </c>
      <c r="B381" s="188" t="s">
        <v>1342</v>
      </c>
      <c r="C381" t="s">
        <v>1343</v>
      </c>
      <c r="D381" t="s">
        <v>555</v>
      </c>
      <c r="E381" t="s">
        <v>1915</v>
      </c>
      <c r="F381" t="s">
        <v>1839</v>
      </c>
      <c r="G381" s="175" t="s">
        <v>1929</v>
      </c>
      <c r="H381" s="175">
        <v>69.324593704090617</v>
      </c>
      <c r="I381" s="175">
        <v>82.792399171069832</v>
      </c>
      <c r="J381" s="175">
        <v>59.31475069876501</v>
      </c>
      <c r="K381" s="175">
        <v>46.351126458442877</v>
      </c>
      <c r="L381" s="175">
        <v>44.681091305958034</v>
      </c>
      <c r="M381" s="175">
        <v>43.011056153473184</v>
      </c>
      <c r="N381" s="175">
        <v>41.341021000988334</v>
      </c>
      <c r="O381" s="175">
        <v>39.670985848503477</v>
      </c>
      <c r="P381" s="175">
        <v>38.000950696018634</v>
      </c>
      <c r="Q381" s="175">
        <v>37.286339392851488</v>
      </c>
      <c r="R381" s="175">
        <v>36.571728089684349</v>
      </c>
      <c r="S381" s="175">
        <v>35.857116786517217</v>
      </c>
      <c r="T381" s="175">
        <v>35.142505483350078</v>
      </c>
      <c r="U381" s="175">
        <v>34.427894180182946</v>
      </c>
      <c r="V381" s="175">
        <v>33.713282877015807</v>
      </c>
      <c r="W381" s="175">
        <v>32.998671573848682</v>
      </c>
      <c r="X381" s="175">
        <v>32.284060270681536</v>
      </c>
      <c r="Y381" s="175">
        <v>31.569448967514404</v>
      </c>
      <c r="Z381" s="175">
        <v>30.854837664347265</v>
      </c>
      <c r="AA381" s="175">
        <v>30.140226361180147</v>
      </c>
      <c r="AB381" s="175">
        <v>29.425615058013008</v>
      </c>
      <c r="AC381" s="175">
        <v>28.711003754845873</v>
      </c>
      <c r="AD381" s="175">
        <v>27.99639245167873</v>
      </c>
      <c r="AE381" s="175">
        <v>27.281781148511602</v>
      </c>
      <c r="AF381" s="175">
        <v>26.567169845344463</v>
      </c>
      <c r="AG381" s="175">
        <v>25.852558542177334</v>
      </c>
      <c r="AH381" s="175">
        <v>25.137947239010195</v>
      </c>
      <c r="AI381" s="175">
        <v>24.423335935843067</v>
      </c>
      <c r="AJ381" s="175">
        <v>23.708724632675917</v>
      </c>
    </row>
    <row r="382" spans="1:36" x14ac:dyDescent="0.35">
      <c r="A382" t="s">
        <v>1930</v>
      </c>
      <c r="B382" s="188" t="s">
        <v>1342</v>
      </c>
      <c r="C382" t="s">
        <v>1348</v>
      </c>
      <c r="D382" t="s">
        <v>555</v>
      </c>
      <c r="E382" t="s">
        <v>1915</v>
      </c>
      <c r="F382" t="s">
        <v>1839</v>
      </c>
      <c r="G382" s="175" t="s">
        <v>1929</v>
      </c>
      <c r="H382" s="175">
        <v>69.324593704090617</v>
      </c>
      <c r="I382" s="175">
        <v>82.792399171069832</v>
      </c>
      <c r="J382" s="175">
        <v>61.00283579301626</v>
      </c>
      <c r="K382" s="175">
        <v>58.265790244896657</v>
      </c>
      <c r="L382" s="175">
        <v>55.707139865793948</v>
      </c>
      <c r="M382" s="175">
        <v>53.315923744362038</v>
      </c>
      <c r="N382" s="175">
        <v>51.103476635864162</v>
      </c>
      <c r="O382" s="175">
        <v>49.101177927883825</v>
      </c>
      <c r="P382" s="175">
        <v>47.221463883778668</v>
      </c>
      <c r="Q382" s="175">
        <v>46.631195585231445</v>
      </c>
      <c r="R382" s="175">
        <v>46.040927286684202</v>
      </c>
      <c r="S382" s="175">
        <v>45.450658988136972</v>
      </c>
      <c r="T382" s="175">
        <v>44.860390689589742</v>
      </c>
      <c r="U382" s="175">
        <v>44.270122391042506</v>
      </c>
      <c r="V382" s="175">
        <v>43.679854092495276</v>
      </c>
      <c r="W382" s="175">
        <v>43.089585793948061</v>
      </c>
      <c r="X382" s="175">
        <v>42.499317495400817</v>
      </c>
      <c r="Y382" s="175">
        <v>41.90904919685358</v>
      </c>
      <c r="Z382" s="175">
        <v>41.318780898306358</v>
      </c>
      <c r="AA382" s="175">
        <v>40.728512599759121</v>
      </c>
      <c r="AB382" s="175">
        <v>40.138244301211898</v>
      </c>
      <c r="AC382" s="175">
        <v>39.547976002664655</v>
      </c>
      <c r="AD382" s="175">
        <v>38.957707704117439</v>
      </c>
      <c r="AE382" s="175">
        <v>38.367439405570195</v>
      </c>
      <c r="AF382" s="175">
        <v>37.777171107022959</v>
      </c>
      <c r="AG382" s="175">
        <v>37.186902808475729</v>
      </c>
      <c r="AH382" s="175">
        <v>36.596634509928506</v>
      </c>
      <c r="AI382" s="175">
        <v>36.00636621138127</v>
      </c>
      <c r="AJ382" s="175">
        <v>35.416097912833997</v>
      </c>
    </row>
    <row r="383" spans="1:36" x14ac:dyDescent="0.35">
      <c r="A383" t="s">
        <v>1931</v>
      </c>
      <c r="B383" s="188" t="s">
        <v>1342</v>
      </c>
      <c r="C383" t="s">
        <v>1350</v>
      </c>
      <c r="D383" t="s">
        <v>555</v>
      </c>
      <c r="E383" t="s">
        <v>1915</v>
      </c>
      <c r="F383" t="s">
        <v>1839</v>
      </c>
      <c r="G383" s="175" t="s">
        <v>1929</v>
      </c>
      <c r="H383" s="175">
        <v>69.324593704090617</v>
      </c>
      <c r="I383" s="175">
        <v>82.792399171069832</v>
      </c>
      <c r="J383" s="175">
        <v>75.118291736997293</v>
      </c>
      <c r="K383" s="175">
        <v>74.052784052784588</v>
      </c>
      <c r="L383" s="175">
        <v>71.282464073831505</v>
      </c>
      <c r="M383" s="175">
        <v>68.512144094878423</v>
      </c>
      <c r="N383" s="175">
        <v>65.741824115925326</v>
      </c>
      <c r="O383" s="175">
        <v>62.971504136972214</v>
      </c>
      <c r="P383" s="175">
        <v>60.201184158019139</v>
      </c>
      <c r="Q383" s="175">
        <v>60.029273672479761</v>
      </c>
      <c r="R383" s="175">
        <v>59.857363186940397</v>
      </c>
      <c r="S383" s="175">
        <v>59.685452701401019</v>
      </c>
      <c r="T383" s="175">
        <v>59.513542215861655</v>
      </c>
      <c r="U383" s="175">
        <v>59.341631730322263</v>
      </c>
      <c r="V383" s="175">
        <v>59.169721244782913</v>
      </c>
      <c r="W383" s="175">
        <v>58.997810759243535</v>
      </c>
      <c r="X383" s="175">
        <v>58.825900273704171</v>
      </c>
      <c r="Y383" s="175">
        <v>58.653989788164807</v>
      </c>
      <c r="Z383" s="175">
        <v>58.482079302625429</v>
      </c>
      <c r="AA383" s="175">
        <v>58.310168817086037</v>
      </c>
      <c r="AB383" s="175">
        <v>58.138258331546673</v>
      </c>
      <c r="AC383" s="175">
        <v>57.966347846007295</v>
      </c>
      <c r="AD383" s="175">
        <v>57.794437360467946</v>
      </c>
      <c r="AE383" s="175">
        <v>57.622526874928568</v>
      </c>
      <c r="AF383" s="175">
        <v>57.450616389389189</v>
      </c>
      <c r="AG383" s="175">
        <v>57.278705903849811</v>
      </c>
      <c r="AH383" s="175">
        <v>57.106795418310448</v>
      </c>
      <c r="AI383" s="175">
        <v>56.93488493277107</v>
      </c>
      <c r="AJ383" s="175">
        <v>56.762974447231663</v>
      </c>
    </row>
    <row r="384" spans="1:36" x14ac:dyDescent="0.35">
      <c r="A384" t="s">
        <v>1932</v>
      </c>
      <c r="B384" s="188" t="s">
        <v>1342</v>
      </c>
      <c r="C384" t="s">
        <v>1343</v>
      </c>
      <c r="D384" t="s">
        <v>555</v>
      </c>
      <c r="E384" t="s">
        <v>1915</v>
      </c>
      <c r="F384" t="s">
        <v>1844</v>
      </c>
      <c r="G384" s="175" t="s">
        <v>1933</v>
      </c>
      <c r="H384" s="175">
        <v>83.082638811344836</v>
      </c>
      <c r="I384" s="175">
        <v>99.72896639710163</v>
      </c>
      <c r="J384" s="175">
        <v>71.914218558814255</v>
      </c>
      <c r="K384" s="175">
        <v>55.549894954790716</v>
      </c>
      <c r="L384" s="175">
        <v>53.548427366413641</v>
      </c>
      <c r="M384" s="175">
        <v>51.546959778036523</v>
      </c>
      <c r="N384" s="175">
        <v>49.545492189659441</v>
      </c>
      <c r="O384" s="175">
        <v>47.544024601282331</v>
      </c>
      <c r="P384" s="175">
        <v>45.542557012905256</v>
      </c>
      <c r="Q384" s="175">
        <v>44.68612512316399</v>
      </c>
      <c r="R384" s="175">
        <v>43.829693233422717</v>
      </c>
      <c r="S384" s="175">
        <v>42.97326134368145</v>
      </c>
      <c r="T384" s="175">
        <v>42.116829453940191</v>
      </c>
      <c r="U384" s="175">
        <v>41.260397564198939</v>
      </c>
      <c r="V384" s="175">
        <v>40.403965674457666</v>
      </c>
      <c r="W384" s="175">
        <v>39.547533784716414</v>
      </c>
      <c r="X384" s="175">
        <v>38.691101894975134</v>
      </c>
      <c r="Y384" s="175">
        <v>37.834670005233882</v>
      </c>
      <c r="Z384" s="175">
        <v>36.978238115492616</v>
      </c>
      <c r="AA384" s="175">
        <v>36.121806225751364</v>
      </c>
      <c r="AB384" s="175">
        <v>35.265374336010105</v>
      </c>
      <c r="AC384" s="175">
        <v>34.408942446268838</v>
      </c>
      <c r="AD384" s="175">
        <v>33.552510556527572</v>
      </c>
      <c r="AE384" s="175">
        <v>32.696078666786313</v>
      </c>
      <c r="AF384" s="175">
        <v>31.839646777045047</v>
      </c>
      <c r="AG384" s="175">
        <v>30.983214887303799</v>
      </c>
      <c r="AH384" s="175">
        <v>30.126782997562533</v>
      </c>
      <c r="AI384" s="175">
        <v>29.27035110782127</v>
      </c>
      <c r="AJ384" s="175">
        <v>28.413919218079993</v>
      </c>
    </row>
    <row r="385" spans="1:36" x14ac:dyDescent="0.35">
      <c r="A385" t="s">
        <v>1934</v>
      </c>
      <c r="B385" s="188" t="s">
        <v>1342</v>
      </c>
      <c r="C385" t="s">
        <v>1348</v>
      </c>
      <c r="D385" t="s">
        <v>555</v>
      </c>
      <c r="E385" t="s">
        <v>1915</v>
      </c>
      <c r="F385" t="s">
        <v>1844</v>
      </c>
      <c r="G385" s="175" t="s">
        <v>1933</v>
      </c>
      <c r="H385" s="175">
        <v>83.082638811344836</v>
      </c>
      <c r="I385" s="175">
        <v>99.72896639710163</v>
      </c>
      <c r="J385" s="175">
        <v>72.837663608224531</v>
      </c>
      <c r="K385" s="175">
        <v>69.536532669918742</v>
      </c>
      <c r="L385" s="175">
        <v>66.36035366130254</v>
      </c>
      <c r="M385" s="175">
        <v>63.405809259129285</v>
      </c>
      <c r="N385" s="175">
        <v>60.675307919367413</v>
      </c>
      <c r="O385" s="175">
        <v>58.204908113192076</v>
      </c>
      <c r="P385" s="175">
        <v>55.895043500491013</v>
      </c>
      <c r="Q385" s="175">
        <v>55.196355456734899</v>
      </c>
      <c r="R385" s="175">
        <v>54.497667412978757</v>
      </c>
      <c r="S385" s="175">
        <v>53.798979369222621</v>
      </c>
      <c r="T385" s="175">
        <v>53.100291325466472</v>
      </c>
      <c r="U385" s="175">
        <v>52.401603281710337</v>
      </c>
      <c r="V385" s="175">
        <v>51.702915237954201</v>
      </c>
      <c r="W385" s="175">
        <v>51.00422719419808</v>
      </c>
      <c r="X385" s="175">
        <v>50.305539150441938</v>
      </c>
      <c r="Y385" s="175">
        <v>49.606851106685795</v>
      </c>
      <c r="Z385" s="175">
        <v>48.90816306292966</v>
      </c>
      <c r="AA385" s="175">
        <v>48.209475019173532</v>
      </c>
      <c r="AB385" s="175">
        <v>47.510786975417396</v>
      </c>
      <c r="AC385" s="175">
        <v>46.812098931661254</v>
      </c>
      <c r="AD385" s="175">
        <v>46.113410887905133</v>
      </c>
      <c r="AE385" s="175">
        <v>45.414722844148983</v>
      </c>
      <c r="AF385" s="175">
        <v>44.716034800392848</v>
      </c>
      <c r="AG385" s="175">
        <v>44.017346756636705</v>
      </c>
      <c r="AH385" s="175">
        <v>43.318658712880591</v>
      </c>
      <c r="AI385" s="175">
        <v>42.619970669124449</v>
      </c>
      <c r="AJ385" s="175">
        <v>41.921282625368264</v>
      </c>
    </row>
    <row r="386" spans="1:36" x14ac:dyDescent="0.35">
      <c r="A386" t="s">
        <v>1935</v>
      </c>
      <c r="B386" s="188" t="s">
        <v>1342</v>
      </c>
      <c r="C386" t="s">
        <v>1350</v>
      </c>
      <c r="D386" t="s">
        <v>555</v>
      </c>
      <c r="E386" t="s">
        <v>1915</v>
      </c>
      <c r="F386" t="s">
        <v>1844</v>
      </c>
      <c r="G386" s="175" t="s">
        <v>1933</v>
      </c>
      <c r="H386" s="175">
        <v>83.082638811344836</v>
      </c>
      <c r="I386" s="175">
        <v>99.72896639710163</v>
      </c>
      <c r="J386" s="175">
        <v>90.026144648604173</v>
      </c>
      <c r="K386" s="175">
        <v>88.749178057843878</v>
      </c>
      <c r="L386" s="175">
        <v>85.429064921866967</v>
      </c>
      <c r="M386" s="175">
        <v>82.108951785890099</v>
      </c>
      <c r="N386" s="175">
        <v>78.788838649913203</v>
      </c>
      <c r="O386" s="175">
        <v>75.468725513936292</v>
      </c>
      <c r="P386" s="175">
        <v>72.148612377959424</v>
      </c>
      <c r="Q386" s="175">
        <v>71.942584819559045</v>
      </c>
      <c r="R386" s="175">
        <v>71.736557261158708</v>
      </c>
      <c r="S386" s="175">
        <v>71.530529702758329</v>
      </c>
      <c r="T386" s="175">
        <v>71.324502144357979</v>
      </c>
      <c r="U386" s="175">
        <v>71.118474585957614</v>
      </c>
      <c r="V386" s="175">
        <v>70.912447027557263</v>
      </c>
      <c r="W386" s="175">
        <v>70.706419469156913</v>
      </c>
      <c r="X386" s="175">
        <v>70.500391910756562</v>
      </c>
      <c r="Y386" s="175">
        <v>70.294364352356212</v>
      </c>
      <c r="Z386" s="175">
        <v>70.088336793955847</v>
      </c>
      <c r="AA386" s="175">
        <v>69.882309235555482</v>
      </c>
      <c r="AB386" s="175">
        <v>69.676281677155131</v>
      </c>
      <c r="AC386" s="175">
        <v>69.470254118754767</v>
      </c>
      <c r="AD386" s="175">
        <v>69.26422656035443</v>
      </c>
      <c r="AE386" s="175">
        <v>69.058199001954037</v>
      </c>
      <c r="AF386" s="175">
        <v>68.852171443553729</v>
      </c>
      <c r="AG386" s="175">
        <v>68.64614388515335</v>
      </c>
      <c r="AH386" s="175">
        <v>68.440116326752999</v>
      </c>
      <c r="AI386" s="175">
        <v>68.234088768352635</v>
      </c>
      <c r="AJ386" s="175">
        <v>68.028061209952241</v>
      </c>
    </row>
    <row r="387" spans="1:36" x14ac:dyDescent="0.35">
      <c r="A387" t="s">
        <v>1936</v>
      </c>
      <c r="B387" s="188" t="s">
        <v>1342</v>
      </c>
      <c r="C387" t="s">
        <v>1343</v>
      </c>
      <c r="D387" t="s">
        <v>555</v>
      </c>
      <c r="E387" t="s">
        <v>1937</v>
      </c>
      <c r="F387" t="s">
        <v>1938</v>
      </c>
      <c r="G387" s="175" t="s">
        <v>1939</v>
      </c>
      <c r="H387" s="175">
        <v>96.467114435625888</v>
      </c>
      <c r="I387" s="175">
        <v>69.398233171595223</v>
      </c>
      <c r="J387" s="175">
        <v>65.502576599312135</v>
      </c>
      <c r="K387" s="175">
        <v>62.169764482713099</v>
      </c>
      <c r="L387" s="175">
        <v>59.929782414511955</v>
      </c>
      <c r="M387" s="175">
        <v>57.689800346310825</v>
      </c>
      <c r="N387" s="175">
        <v>55.44981827810971</v>
      </c>
      <c r="O387" s="175">
        <v>53.209836209908545</v>
      </c>
      <c r="P387" s="175">
        <v>50.969854141707437</v>
      </c>
      <c r="Q387" s="175">
        <v>50.011361440253495</v>
      </c>
      <c r="R387" s="175">
        <v>49.052868738799575</v>
      </c>
      <c r="S387" s="175">
        <v>48.094376037345654</v>
      </c>
      <c r="T387" s="175">
        <v>47.13588333589172</v>
      </c>
      <c r="U387" s="175">
        <v>46.177390634437799</v>
      </c>
      <c r="V387" s="175">
        <v>45.218897932983879</v>
      </c>
      <c r="W387" s="175">
        <v>44.260405231529937</v>
      </c>
      <c r="X387" s="175">
        <v>43.301912530076017</v>
      </c>
      <c r="Y387" s="175">
        <v>42.343419828622096</v>
      </c>
      <c r="Z387" s="175">
        <v>41.384927127168169</v>
      </c>
      <c r="AA387" s="175">
        <v>40.426434425714241</v>
      </c>
      <c r="AB387" s="175">
        <v>39.467941724260321</v>
      </c>
      <c r="AC387" s="175">
        <v>38.509449022806386</v>
      </c>
      <c r="AD387" s="175">
        <v>37.550956321352459</v>
      </c>
      <c r="AE387" s="175">
        <v>36.592463619898545</v>
      </c>
      <c r="AF387" s="175">
        <v>35.633970918444618</v>
      </c>
      <c r="AG387" s="175">
        <v>34.67547821699069</v>
      </c>
      <c r="AH387" s="175">
        <v>33.716985515536763</v>
      </c>
      <c r="AI387" s="175">
        <v>32.758492814082835</v>
      </c>
      <c r="AJ387" s="175">
        <v>31.800000112628904</v>
      </c>
    </row>
    <row r="388" spans="1:36" x14ac:dyDescent="0.35">
      <c r="A388" t="s">
        <v>1940</v>
      </c>
      <c r="B388" s="188" t="s">
        <v>1342</v>
      </c>
      <c r="C388" t="s">
        <v>1348</v>
      </c>
      <c r="D388" t="s">
        <v>555</v>
      </c>
      <c r="E388" t="s">
        <v>1937</v>
      </c>
      <c r="F388" t="s">
        <v>1938</v>
      </c>
      <c r="G388" s="175" t="s">
        <v>1939</v>
      </c>
      <c r="H388" s="175">
        <v>96.467114435625888</v>
      </c>
      <c r="I388" s="175">
        <v>91.289903116423716</v>
      </c>
      <c r="J388" s="175">
        <v>86.559304049883764</v>
      </c>
      <c r="K388" s="175">
        <v>82.180485263040964</v>
      </c>
      <c r="L388" s="175">
        <v>79.654637080446619</v>
      </c>
      <c r="M388" s="175">
        <v>77.393870809337415</v>
      </c>
      <c r="N388" s="175">
        <v>75.413457735882844</v>
      </c>
      <c r="O388" s="175">
        <v>73.476716123516894</v>
      </c>
      <c r="P388" s="175">
        <v>71.716459164447585</v>
      </c>
      <c r="Q388" s="175">
        <v>70.820003424891979</v>
      </c>
      <c r="R388" s="175">
        <v>69.923547685336416</v>
      </c>
      <c r="S388" s="175">
        <v>69.027091945780811</v>
      </c>
      <c r="T388" s="175">
        <v>68.130636206225219</v>
      </c>
      <c r="U388" s="175">
        <v>67.234180466669628</v>
      </c>
      <c r="V388" s="175">
        <v>66.337724727114022</v>
      </c>
      <c r="W388" s="175">
        <v>65.441268987558416</v>
      </c>
      <c r="X388" s="175">
        <v>64.544813248002839</v>
      </c>
      <c r="Y388" s="175">
        <v>63.648357508447262</v>
      </c>
      <c r="Z388" s="175">
        <v>62.751901768891663</v>
      </c>
      <c r="AA388" s="175">
        <v>61.855446029336065</v>
      </c>
      <c r="AB388" s="175">
        <v>60.958990289780473</v>
      </c>
      <c r="AC388" s="175">
        <v>60.062534550224854</v>
      </c>
      <c r="AD388" s="175">
        <v>59.166078810669262</v>
      </c>
      <c r="AE388" s="175">
        <v>58.269623071113678</v>
      </c>
      <c r="AF388" s="175">
        <v>57.373167331558079</v>
      </c>
      <c r="AG388" s="175">
        <v>56.476711592002474</v>
      </c>
      <c r="AH388" s="175">
        <v>55.580255852446925</v>
      </c>
      <c r="AI388" s="175">
        <v>54.683800112891305</v>
      </c>
      <c r="AJ388" s="175">
        <v>53.787344373335671</v>
      </c>
    </row>
    <row r="389" spans="1:36" x14ac:dyDescent="0.35">
      <c r="A389" t="s">
        <v>1941</v>
      </c>
      <c r="B389" s="188" t="s">
        <v>1342</v>
      </c>
      <c r="C389" t="s">
        <v>1350</v>
      </c>
      <c r="D389" t="s">
        <v>555</v>
      </c>
      <c r="E389" t="s">
        <v>1937</v>
      </c>
      <c r="F389" t="s">
        <v>1938</v>
      </c>
      <c r="G389" s="175" t="s">
        <v>1939</v>
      </c>
      <c r="H389" s="175">
        <v>96.467114435625888</v>
      </c>
      <c r="I389" s="175">
        <v>100.03997052583429</v>
      </c>
      <c r="J389" s="175">
        <v>100.7545417438759</v>
      </c>
      <c r="K389" s="175">
        <v>99.32539930779258</v>
      </c>
      <c r="L389" s="175">
        <v>95.609628973975887</v>
      </c>
      <c r="M389" s="175">
        <v>91.893858640159195</v>
      </c>
      <c r="N389" s="175">
        <v>88.178088306342474</v>
      </c>
      <c r="O389" s="175">
        <v>84.462317972525796</v>
      </c>
      <c r="P389" s="175">
        <v>80.746547638709075</v>
      </c>
      <c r="Q389" s="175">
        <v>80.515967818655042</v>
      </c>
      <c r="R389" s="175">
        <v>80.285387998600953</v>
      </c>
      <c r="S389" s="175">
        <v>80.054808178546878</v>
      </c>
      <c r="T389" s="175">
        <v>79.824228358492775</v>
      </c>
      <c r="U389" s="175">
        <v>79.5936485384387</v>
      </c>
      <c r="V389" s="175">
        <v>79.363068718384625</v>
      </c>
      <c r="W389" s="175">
        <v>79.132488898330521</v>
      </c>
      <c r="X389" s="175">
        <v>78.901909078276447</v>
      </c>
      <c r="Y389" s="175">
        <v>78.671329258222386</v>
      </c>
      <c r="Z389" s="175">
        <v>78.440749438168325</v>
      </c>
      <c r="AA389" s="175">
        <v>78.210169618114236</v>
      </c>
      <c r="AB389" s="175">
        <v>77.979589798060147</v>
      </c>
      <c r="AC389" s="175">
        <v>77.749009978006129</v>
      </c>
      <c r="AD389" s="175">
        <v>77.518430157952025</v>
      </c>
      <c r="AE389" s="175">
        <v>77.287850337897908</v>
      </c>
      <c r="AF389" s="175">
        <v>77.057270517843818</v>
      </c>
      <c r="AG389" s="175">
        <v>76.8266906977898</v>
      </c>
      <c r="AH389" s="175">
        <v>76.596110877735683</v>
      </c>
      <c r="AI389" s="175">
        <v>76.365531057681594</v>
      </c>
      <c r="AJ389" s="175">
        <v>76.134951237627476</v>
      </c>
    </row>
    <row r="390" spans="1:36" x14ac:dyDescent="0.35">
      <c r="A390" t="s">
        <v>1942</v>
      </c>
      <c r="B390" s="188" t="s">
        <v>1342</v>
      </c>
      <c r="C390" t="s">
        <v>1343</v>
      </c>
      <c r="D390" t="s">
        <v>555</v>
      </c>
      <c r="E390" t="s">
        <v>1937</v>
      </c>
      <c r="F390" t="s">
        <v>1943</v>
      </c>
      <c r="G390" s="175" t="s">
        <v>1944</v>
      </c>
      <c r="H390" s="175">
        <v>119.78553242518586</v>
      </c>
      <c r="I390" s="175">
        <v>86.173452564231809</v>
      </c>
      <c r="J390" s="175">
        <v>81.336122253413791</v>
      </c>
      <c r="K390" s="175">
        <v>77.197689418602124</v>
      </c>
      <c r="L390" s="175">
        <v>74.41624989662499</v>
      </c>
      <c r="M390" s="175">
        <v>71.634810374647827</v>
      </c>
      <c r="N390" s="175">
        <v>68.853370852670707</v>
      </c>
      <c r="O390" s="175">
        <v>66.071931330693559</v>
      </c>
      <c r="P390" s="175">
        <v>63.290491808716425</v>
      </c>
      <c r="Q390" s="175">
        <v>62.100308405377135</v>
      </c>
      <c r="R390" s="175">
        <v>60.91012500203783</v>
      </c>
      <c r="S390" s="175">
        <v>59.719941598698554</v>
      </c>
      <c r="T390" s="175">
        <v>58.529758195359264</v>
      </c>
      <c r="U390" s="175">
        <v>57.339574792019995</v>
      </c>
      <c r="V390" s="175">
        <v>56.149391388680719</v>
      </c>
      <c r="W390" s="175">
        <v>54.959207985341429</v>
      </c>
      <c r="X390" s="175">
        <v>53.769024582002139</v>
      </c>
      <c r="Y390" s="175">
        <v>52.57884117866287</v>
      </c>
      <c r="Z390" s="175">
        <v>51.38865777532358</v>
      </c>
      <c r="AA390" s="175">
        <v>50.198474371984304</v>
      </c>
      <c r="AB390" s="175">
        <v>49.008290968645014</v>
      </c>
      <c r="AC390" s="175">
        <v>47.818107565305738</v>
      </c>
      <c r="AD390" s="175">
        <v>46.627924161966462</v>
      </c>
      <c r="AE390" s="175">
        <v>45.437740758627179</v>
      </c>
      <c r="AF390" s="175">
        <v>44.247557355287903</v>
      </c>
      <c r="AG390" s="175">
        <v>43.05737395194862</v>
      </c>
      <c r="AH390" s="175">
        <v>41.867190548609329</v>
      </c>
      <c r="AI390" s="175">
        <v>40.677007145270046</v>
      </c>
      <c r="AJ390" s="175">
        <v>39.486823741930756</v>
      </c>
    </row>
    <row r="391" spans="1:36" x14ac:dyDescent="0.35">
      <c r="A391" t="s">
        <v>1945</v>
      </c>
      <c r="B391" s="188" t="s">
        <v>1342</v>
      </c>
      <c r="C391" t="s">
        <v>1348</v>
      </c>
      <c r="D391" t="s">
        <v>555</v>
      </c>
      <c r="E391" t="s">
        <v>1937</v>
      </c>
      <c r="F391" t="s">
        <v>1943</v>
      </c>
      <c r="G391" s="175" t="s">
        <v>1944</v>
      </c>
      <c r="H391" s="175">
        <v>119.78553242518586</v>
      </c>
      <c r="I391" s="175">
        <v>112.64741029985498</v>
      </c>
      <c r="J391" s="175">
        <v>106.04545619672643</v>
      </c>
      <c r="K391" s="175">
        <v>99.865005206193473</v>
      </c>
      <c r="L391" s="175">
        <v>96.480862243664433</v>
      </c>
      <c r="M391" s="175">
        <v>93.462082245041174</v>
      </c>
      <c r="N391" s="175">
        <v>90.839176841713893</v>
      </c>
      <c r="O391" s="175">
        <v>88.296539977023542</v>
      </c>
      <c r="P391" s="175">
        <v>85.989051299390965</v>
      </c>
      <c r="Q391" s="175">
        <v>84.914188158148562</v>
      </c>
      <c r="R391" s="175">
        <v>83.839325016906187</v>
      </c>
      <c r="S391" s="175">
        <v>82.764461875663812</v>
      </c>
      <c r="T391" s="175">
        <v>81.689598734421395</v>
      </c>
      <c r="U391" s="175">
        <v>80.614735593179034</v>
      </c>
      <c r="V391" s="175">
        <v>79.539872451936631</v>
      </c>
      <c r="W391" s="175">
        <v>78.465009310694256</v>
      </c>
      <c r="X391" s="175">
        <v>77.390146169451853</v>
      </c>
      <c r="Y391" s="175">
        <v>76.315283028209507</v>
      </c>
      <c r="Z391" s="175">
        <v>75.240419886967103</v>
      </c>
      <c r="AA391" s="175">
        <v>74.165556745724714</v>
      </c>
      <c r="AB391" s="175">
        <v>73.090693604482325</v>
      </c>
      <c r="AC391" s="175">
        <v>72.015830463239908</v>
      </c>
      <c r="AD391" s="175">
        <v>70.940967321997533</v>
      </c>
      <c r="AE391" s="175">
        <v>69.866104180755158</v>
      </c>
      <c r="AF391" s="175">
        <v>68.791241039512769</v>
      </c>
      <c r="AG391" s="175">
        <v>67.71637789827038</v>
      </c>
      <c r="AH391" s="175">
        <v>66.641514757028034</v>
      </c>
      <c r="AI391" s="175">
        <v>65.566651615785617</v>
      </c>
      <c r="AJ391" s="175">
        <v>64.491788474543213</v>
      </c>
    </row>
    <row r="392" spans="1:36" x14ac:dyDescent="0.35">
      <c r="A392" t="s">
        <v>1946</v>
      </c>
      <c r="B392" s="188" t="s">
        <v>1342</v>
      </c>
      <c r="C392" t="s">
        <v>1350</v>
      </c>
      <c r="D392" t="s">
        <v>555</v>
      </c>
      <c r="E392" t="s">
        <v>1937</v>
      </c>
      <c r="F392" t="s">
        <v>1943</v>
      </c>
      <c r="G392" s="175" t="s">
        <v>1944</v>
      </c>
      <c r="H392" s="175">
        <v>119.78553242518586</v>
      </c>
      <c r="I392" s="175">
        <v>124.22203362611867</v>
      </c>
      <c r="J392" s="175">
        <v>125.10933386630521</v>
      </c>
      <c r="K392" s="175">
        <v>123.33473338593208</v>
      </c>
      <c r="L392" s="175">
        <v>118.72077213696201</v>
      </c>
      <c r="M392" s="175">
        <v>114.10681088799188</v>
      </c>
      <c r="N392" s="175">
        <v>109.49284963902174</v>
      </c>
      <c r="O392" s="175">
        <v>104.87888839005166</v>
      </c>
      <c r="P392" s="175">
        <v>100.2649271410815</v>
      </c>
      <c r="Q392" s="175">
        <v>99.978610641689272</v>
      </c>
      <c r="R392" s="175">
        <v>99.692294142296987</v>
      </c>
      <c r="S392" s="175">
        <v>99.40597764290473</v>
      </c>
      <c r="T392" s="175">
        <v>99.119661143512474</v>
      </c>
      <c r="U392" s="175">
        <v>98.833344644120189</v>
      </c>
      <c r="V392" s="175">
        <v>98.547028144727946</v>
      </c>
      <c r="W392" s="175">
        <v>98.260711645335661</v>
      </c>
      <c r="X392" s="175">
        <v>97.97439514594339</v>
      </c>
      <c r="Y392" s="175">
        <v>97.688078646551133</v>
      </c>
      <c r="Z392" s="175">
        <v>97.401762147158877</v>
      </c>
      <c r="AA392" s="175">
        <v>97.11544564776662</v>
      </c>
      <c r="AB392" s="175">
        <v>96.829129148374349</v>
      </c>
      <c r="AC392" s="175">
        <v>96.542812648982121</v>
      </c>
      <c r="AD392" s="175">
        <v>96.25649614958985</v>
      </c>
      <c r="AE392" s="175">
        <v>95.970179650197565</v>
      </c>
      <c r="AF392" s="175">
        <v>95.68386315080528</v>
      </c>
      <c r="AG392" s="175">
        <v>95.397546651413066</v>
      </c>
      <c r="AH392" s="175">
        <v>95.111230152020767</v>
      </c>
      <c r="AI392" s="175">
        <v>94.824913652628524</v>
      </c>
      <c r="AJ392" s="175">
        <v>94.538597153236182</v>
      </c>
    </row>
    <row r="393" spans="1:36" x14ac:dyDescent="0.35">
      <c r="A393" t="s">
        <v>1947</v>
      </c>
      <c r="B393" s="188" t="s">
        <v>1342</v>
      </c>
      <c r="C393" t="s">
        <v>1343</v>
      </c>
      <c r="D393" s="188">
        <v>30</v>
      </c>
      <c r="E393" t="s">
        <v>1948</v>
      </c>
      <c r="F393" t="s">
        <v>1363</v>
      </c>
      <c r="G393" s="188" t="s">
        <v>1949</v>
      </c>
      <c r="H393" s="188">
        <v>56.649010757605978</v>
      </c>
      <c r="I393" s="188">
        <v>54.644849325659521</v>
      </c>
      <c r="J393" s="188">
        <v>53.376614267120743</v>
      </c>
      <c r="K393" s="188">
        <v>52.112987730369028</v>
      </c>
      <c r="L393" s="188">
        <v>50.854570096770857</v>
      </c>
      <c r="M393" s="188">
        <v>49.601100817839225</v>
      </c>
      <c r="N393" s="188">
        <v>48.351328518616135</v>
      </c>
      <c r="O393" s="188">
        <v>47.10503352017308</v>
      </c>
      <c r="P393" s="188">
        <v>45.862913729434709</v>
      </c>
      <c r="Q393" s="188">
        <v>44.624294628182071</v>
      </c>
      <c r="R393" s="188">
        <v>43.388980761023468</v>
      </c>
      <c r="S393" s="188">
        <v>42.156319158052682</v>
      </c>
      <c r="T393" s="188">
        <v>40.927085344181336</v>
      </c>
      <c r="U393" s="188">
        <v>39.701158061891249</v>
      </c>
      <c r="V393" s="188">
        <v>39.607547995527888</v>
      </c>
      <c r="W393" s="188">
        <v>39.514159046233559</v>
      </c>
      <c r="X393" s="188">
        <v>39.420987863749644</v>
      </c>
      <c r="Y393" s="188">
        <v>39.328031165159402</v>
      </c>
      <c r="Z393" s="188">
        <v>39.235285733204435</v>
      </c>
      <c r="AA393" s="188">
        <v>39.142748414651379</v>
      </c>
      <c r="AB393" s="188">
        <v>39.050416118707119</v>
      </c>
      <c r="AC393" s="188">
        <v>38.958285815480906</v>
      </c>
      <c r="AD393" s="188">
        <v>38.866354534491592</v>
      </c>
      <c r="AE393" s="188">
        <v>38.774619363218619</v>
      </c>
      <c r="AF393" s="188">
        <v>38.683077445695261</v>
      </c>
      <c r="AG393" s="188">
        <v>38.591725981142531</v>
      </c>
      <c r="AH393" s="188">
        <v>38.500562222642586</v>
      </c>
      <c r="AI393" s="188">
        <v>38.40958347585017</v>
      </c>
      <c r="AJ393" s="188">
        <v>38.318787097740895</v>
      </c>
    </row>
    <row r="394" spans="1:36" x14ac:dyDescent="0.35">
      <c r="A394" t="s">
        <v>1950</v>
      </c>
      <c r="B394" s="188" t="s">
        <v>1342</v>
      </c>
      <c r="C394" t="s">
        <v>1348</v>
      </c>
      <c r="D394" s="188">
        <v>30</v>
      </c>
      <c r="E394" t="s">
        <v>1948</v>
      </c>
      <c r="F394" t="s">
        <v>1363</v>
      </c>
      <c r="G394" s="188" t="s">
        <v>1949</v>
      </c>
      <c r="H394" s="188">
        <v>64.693592033520005</v>
      </c>
      <c r="I394" s="188">
        <v>62.612190406542076</v>
      </c>
      <c r="J394" s="188">
        <v>61.467698148099331</v>
      </c>
      <c r="K394" s="188">
        <v>60.325330237283865</v>
      </c>
      <c r="L394" s="188">
        <v>59.18500164939384</v>
      </c>
      <c r="M394" s="188">
        <v>58.046632050374917</v>
      </c>
      <c r="N394" s="188">
        <v>56.91014549357272</v>
      </c>
      <c r="O394" s="188">
        <v>55.775470141078891</v>
      </c>
      <c r="P394" s="188">
        <v>54.642538007521779</v>
      </c>
      <c r="Q394" s="188">
        <v>53.511284724382648</v>
      </c>
      <c r="R394" s="188">
        <v>52.381649323122701</v>
      </c>
      <c r="S394" s="188">
        <v>51.253574035589708</v>
      </c>
      <c r="T394" s="188">
        <v>50.127004110337396</v>
      </c>
      <c r="U394" s="188">
        <v>49.001887643640231</v>
      </c>
      <c r="V394" s="188">
        <v>48.84952941215505</v>
      </c>
      <c r="W394" s="188">
        <v>48.69745195455404</v>
      </c>
      <c r="X394" s="188">
        <v>48.545650667986621</v>
      </c>
      <c r="Y394" s="188">
        <v>48.394121049664228</v>
      </c>
      <c r="Z394" s="188">
        <v>48.242858694155842</v>
      </c>
      <c r="AA394" s="188">
        <v>48.091859290770913</v>
      </c>
      <c r="AB394" s="188">
        <v>47.941118621026192</v>
      </c>
      <c r="AC394" s="188">
        <v>47.790632556193373</v>
      </c>
      <c r="AD394" s="188">
        <v>47.640397054924634</v>
      </c>
      <c r="AE394" s="188">
        <v>47.49040816095318</v>
      </c>
      <c r="AF394" s="188">
        <v>47.340662000865976</v>
      </c>
      <c r="AG394" s="188">
        <v>47.191154781946068</v>
      </c>
      <c r="AH394" s="188">
        <v>47.041882790082056</v>
      </c>
      <c r="AI394" s="188">
        <v>46.892842387742149</v>
      </c>
      <c r="AJ394" s="188">
        <v>46.744030012010583</v>
      </c>
    </row>
    <row r="395" spans="1:36" x14ac:dyDescent="0.35">
      <c r="A395" t="s">
        <v>1951</v>
      </c>
      <c r="B395" s="188" t="s">
        <v>1342</v>
      </c>
      <c r="C395" t="s">
        <v>1350</v>
      </c>
      <c r="D395" s="188">
        <v>30</v>
      </c>
      <c r="E395" t="s">
        <v>1948</v>
      </c>
      <c r="F395" t="s">
        <v>1363</v>
      </c>
      <c r="G395" s="188" t="s">
        <v>1949</v>
      </c>
      <c r="H395" s="188">
        <v>74.700765369510037</v>
      </c>
      <c r="I395" s="188">
        <v>72.859581170038169</v>
      </c>
      <c r="J395" s="188">
        <v>72.206897421034853</v>
      </c>
      <c r="K395" s="188">
        <v>71.554912278102393</v>
      </c>
      <c r="L395" s="188">
        <v>70.903609107762918</v>
      </c>
      <c r="M395" s="188">
        <v>70.252971800427588</v>
      </c>
      <c r="N395" s="188">
        <v>69.602984749932247</v>
      </c>
      <c r="O395" s="188">
        <v>68.953632834024816</v>
      </c>
      <c r="P395" s="188">
        <v>68.304901395753262</v>
      </c>
      <c r="Q395" s="188">
        <v>67.656776225706068</v>
      </c>
      <c r="R395" s="188">
        <v>67.009243545059974</v>
      </c>
      <c r="S395" s="188">
        <v>66.362289989392366</v>
      </c>
      <c r="T395" s="188">
        <v>65.715902593218686</v>
      </c>
      <c r="U395" s="188">
        <v>65.070068775216839</v>
      </c>
      <c r="V395" s="188">
        <v>64.872781385290935</v>
      </c>
      <c r="W395" s="188">
        <v>64.675686305025067</v>
      </c>
      <c r="X395" s="188">
        <v>64.478781004028946</v>
      </c>
      <c r="Y395" s="188">
        <v>64.282062996111264</v>
      </c>
      <c r="Z395" s="188">
        <v>64.085529838318848</v>
      </c>
      <c r="AA395" s="188">
        <v>63.889179130000691</v>
      </c>
      <c r="AB395" s="188">
        <v>63.693008511896373</v>
      </c>
      <c r="AC395" s="188">
        <v>63.497015665247773</v>
      </c>
      <c r="AD395" s="188">
        <v>63.301198310933643</v>
      </c>
      <c r="AE395" s="188">
        <v>63.10555420862633</v>
      </c>
      <c r="AF395" s="188">
        <v>62.91008115596982</v>
      </c>
      <c r="AG395" s="188">
        <v>62.714776987778642</v>
      </c>
      <c r="AH395" s="188">
        <v>62.519639575257017</v>
      </c>
      <c r="AI395" s="188">
        <v>62.324666825237557</v>
      </c>
      <c r="AJ395" s="188">
        <v>62.129856679438966</v>
      </c>
    </row>
    <row r="396" spans="1:36" x14ac:dyDescent="0.35">
      <c r="A396" t="s">
        <v>1952</v>
      </c>
      <c r="B396" s="188" t="s">
        <v>1342</v>
      </c>
      <c r="C396" t="s">
        <v>1343</v>
      </c>
      <c r="D396" s="188">
        <v>30</v>
      </c>
      <c r="E396" t="s">
        <v>1948</v>
      </c>
      <c r="F396" t="s">
        <v>1345</v>
      </c>
      <c r="G396" s="188" t="s">
        <v>1953</v>
      </c>
      <c r="H396" s="188">
        <v>56.649010757605978</v>
      </c>
      <c r="I396" s="188">
        <v>54.644849325659521</v>
      </c>
      <c r="J396" s="188">
        <v>53.376614267120743</v>
      </c>
      <c r="K396" s="188">
        <v>52.112987730369028</v>
      </c>
      <c r="L396" s="188">
        <v>50.854570096770857</v>
      </c>
      <c r="M396" s="188">
        <v>49.601100817839225</v>
      </c>
      <c r="N396" s="188">
        <v>48.351328518616135</v>
      </c>
      <c r="O396" s="188">
        <v>47.10503352017308</v>
      </c>
      <c r="P396" s="188">
        <v>45.862913729434709</v>
      </c>
      <c r="Q396" s="188">
        <v>44.624294628182071</v>
      </c>
      <c r="R396" s="188">
        <v>43.388980761023468</v>
      </c>
      <c r="S396" s="188">
        <v>42.156319158052682</v>
      </c>
      <c r="T396" s="188">
        <v>40.927085344181336</v>
      </c>
      <c r="U396" s="188">
        <v>39.701158061891249</v>
      </c>
      <c r="V396" s="188">
        <v>39.607547995527888</v>
      </c>
      <c r="W396" s="188">
        <v>39.514159046233559</v>
      </c>
      <c r="X396" s="188">
        <v>39.420987863749644</v>
      </c>
      <c r="Y396" s="188">
        <v>39.328031165159402</v>
      </c>
      <c r="Z396" s="188">
        <v>39.235285733204435</v>
      </c>
      <c r="AA396" s="188">
        <v>39.142748414651379</v>
      </c>
      <c r="AB396" s="188">
        <v>39.050416118707119</v>
      </c>
      <c r="AC396" s="188">
        <v>38.958285815480906</v>
      </c>
      <c r="AD396" s="188">
        <v>38.866354534491592</v>
      </c>
      <c r="AE396" s="188">
        <v>38.774619363218619</v>
      </c>
      <c r="AF396" s="188">
        <v>38.683077445695261</v>
      </c>
      <c r="AG396" s="188">
        <v>38.591725981142531</v>
      </c>
      <c r="AH396" s="188">
        <v>38.500562222642586</v>
      </c>
      <c r="AI396" s="188">
        <v>38.40958347585017</v>
      </c>
      <c r="AJ396" s="188">
        <v>38.318787097740895</v>
      </c>
    </row>
    <row r="397" spans="1:36" x14ac:dyDescent="0.35">
      <c r="A397" t="s">
        <v>1954</v>
      </c>
      <c r="B397" s="188" t="s">
        <v>1342</v>
      </c>
      <c r="C397" t="s">
        <v>1348</v>
      </c>
      <c r="D397" s="188">
        <v>30</v>
      </c>
      <c r="E397" t="s">
        <v>1948</v>
      </c>
      <c r="F397" t="s">
        <v>1345</v>
      </c>
      <c r="G397" s="188" t="s">
        <v>1953</v>
      </c>
      <c r="H397" s="188">
        <v>64.693592033520005</v>
      </c>
      <c r="I397" s="188">
        <v>62.612190406542076</v>
      </c>
      <c r="J397" s="188">
        <v>61.467698148099331</v>
      </c>
      <c r="K397" s="188">
        <v>60.325330237283865</v>
      </c>
      <c r="L397" s="188">
        <v>59.18500164939384</v>
      </c>
      <c r="M397" s="188">
        <v>58.046632050374917</v>
      </c>
      <c r="N397" s="188">
        <v>56.91014549357272</v>
      </c>
      <c r="O397" s="188">
        <v>55.775470141078891</v>
      </c>
      <c r="P397" s="188">
        <v>54.642538007521779</v>
      </c>
      <c r="Q397" s="188">
        <v>53.511284724382648</v>
      </c>
      <c r="R397" s="188">
        <v>52.381649323122701</v>
      </c>
      <c r="S397" s="188">
        <v>51.253574035589708</v>
      </c>
      <c r="T397" s="188">
        <v>50.127004110337396</v>
      </c>
      <c r="U397" s="188">
        <v>49.001887643640231</v>
      </c>
      <c r="V397" s="188">
        <v>48.84952941215505</v>
      </c>
      <c r="W397" s="188">
        <v>48.69745195455404</v>
      </c>
      <c r="X397" s="188">
        <v>48.545650667986621</v>
      </c>
      <c r="Y397" s="188">
        <v>48.394121049664228</v>
      </c>
      <c r="Z397" s="188">
        <v>48.242858694155842</v>
      </c>
      <c r="AA397" s="188">
        <v>48.091859290770913</v>
      </c>
      <c r="AB397" s="188">
        <v>47.941118621026192</v>
      </c>
      <c r="AC397" s="188">
        <v>47.790632556193373</v>
      </c>
      <c r="AD397" s="188">
        <v>47.640397054924634</v>
      </c>
      <c r="AE397" s="188">
        <v>47.49040816095318</v>
      </c>
      <c r="AF397" s="188">
        <v>47.340662000865976</v>
      </c>
      <c r="AG397" s="188">
        <v>47.191154781946068</v>
      </c>
      <c r="AH397" s="188">
        <v>47.041882790082056</v>
      </c>
      <c r="AI397" s="188">
        <v>46.892842387742149</v>
      </c>
      <c r="AJ397" s="188">
        <v>46.744030012010583</v>
      </c>
    </row>
    <row r="398" spans="1:36" x14ac:dyDescent="0.35">
      <c r="A398" t="s">
        <v>1955</v>
      </c>
      <c r="B398" s="188" t="s">
        <v>1342</v>
      </c>
      <c r="C398" t="s">
        <v>1350</v>
      </c>
      <c r="D398" s="188">
        <v>30</v>
      </c>
      <c r="E398" t="s">
        <v>1948</v>
      </c>
      <c r="F398" t="s">
        <v>1345</v>
      </c>
      <c r="G398" s="188" t="s">
        <v>1953</v>
      </c>
      <c r="H398" s="188">
        <v>74.700765369510037</v>
      </c>
      <c r="I398" s="188">
        <v>72.859581170038169</v>
      </c>
      <c r="J398" s="188">
        <v>72.206897421034853</v>
      </c>
      <c r="K398" s="188">
        <v>71.554912278102393</v>
      </c>
      <c r="L398" s="188">
        <v>70.903609107762918</v>
      </c>
      <c r="M398" s="188">
        <v>70.252971800427588</v>
      </c>
      <c r="N398" s="188">
        <v>69.602984749932247</v>
      </c>
      <c r="O398" s="188">
        <v>68.953632834024816</v>
      </c>
      <c r="P398" s="188">
        <v>68.304901395753262</v>
      </c>
      <c r="Q398" s="188">
        <v>67.656776225706068</v>
      </c>
      <c r="R398" s="188">
        <v>67.009243545059974</v>
      </c>
      <c r="S398" s="188">
        <v>66.362289989392366</v>
      </c>
      <c r="T398" s="188">
        <v>65.715902593218686</v>
      </c>
      <c r="U398" s="188">
        <v>65.070068775216839</v>
      </c>
      <c r="V398" s="188">
        <v>64.872781385290935</v>
      </c>
      <c r="W398" s="188">
        <v>64.675686305025067</v>
      </c>
      <c r="X398" s="188">
        <v>64.478781004028946</v>
      </c>
      <c r="Y398" s="188">
        <v>64.282062996111264</v>
      </c>
      <c r="Z398" s="188">
        <v>64.085529838318848</v>
      </c>
      <c r="AA398" s="188">
        <v>63.889179130000691</v>
      </c>
      <c r="AB398" s="188">
        <v>63.693008511896373</v>
      </c>
      <c r="AC398" s="188">
        <v>63.497015665247773</v>
      </c>
      <c r="AD398" s="188">
        <v>63.301198310933643</v>
      </c>
      <c r="AE398" s="188">
        <v>63.10555420862633</v>
      </c>
      <c r="AF398" s="188">
        <v>62.91008115596982</v>
      </c>
      <c r="AG398" s="188">
        <v>62.714776987778642</v>
      </c>
      <c r="AH398" s="188">
        <v>62.519639575257017</v>
      </c>
      <c r="AI398" s="188">
        <v>62.324666825237557</v>
      </c>
      <c r="AJ398" s="188">
        <v>62.129856679438966</v>
      </c>
    </row>
    <row r="399" spans="1:36" x14ac:dyDescent="0.35">
      <c r="A399" t="s">
        <v>1956</v>
      </c>
      <c r="B399" s="188" t="s">
        <v>1342</v>
      </c>
      <c r="C399" t="s">
        <v>1343</v>
      </c>
      <c r="D399" s="188">
        <v>30</v>
      </c>
      <c r="E399" t="s">
        <v>1948</v>
      </c>
      <c r="F399" t="s">
        <v>1352</v>
      </c>
      <c r="G399" s="188" t="s">
        <v>1957</v>
      </c>
      <c r="H399" s="188">
        <v>56.649010757605978</v>
      </c>
      <c r="I399" s="188">
        <v>54.644849325659521</v>
      </c>
      <c r="J399" s="188">
        <v>53.376614267120743</v>
      </c>
      <c r="K399" s="188">
        <v>52.112987730369028</v>
      </c>
      <c r="L399" s="188">
        <v>50.854570096770857</v>
      </c>
      <c r="M399" s="188">
        <v>49.601100817839225</v>
      </c>
      <c r="N399" s="188">
        <v>48.351328518616135</v>
      </c>
      <c r="O399" s="188">
        <v>47.10503352017308</v>
      </c>
      <c r="P399" s="188">
        <v>45.862913729434709</v>
      </c>
      <c r="Q399" s="188">
        <v>44.624294628182071</v>
      </c>
      <c r="R399" s="188">
        <v>43.388980761023468</v>
      </c>
      <c r="S399" s="188">
        <v>42.156319158052682</v>
      </c>
      <c r="T399" s="188">
        <v>40.927085344181336</v>
      </c>
      <c r="U399" s="188">
        <v>39.701158061891249</v>
      </c>
      <c r="V399" s="188">
        <v>39.607547995527888</v>
      </c>
      <c r="W399" s="188">
        <v>39.514159046233559</v>
      </c>
      <c r="X399" s="188">
        <v>39.420987863749644</v>
      </c>
      <c r="Y399" s="188">
        <v>39.328031165159402</v>
      </c>
      <c r="Z399" s="188">
        <v>39.235285733204435</v>
      </c>
      <c r="AA399" s="188">
        <v>39.142748414651379</v>
      </c>
      <c r="AB399" s="188">
        <v>39.050416118707119</v>
      </c>
      <c r="AC399" s="188">
        <v>38.958285815480906</v>
      </c>
      <c r="AD399" s="188">
        <v>38.866354534491592</v>
      </c>
      <c r="AE399" s="188">
        <v>38.774619363218619</v>
      </c>
      <c r="AF399" s="188">
        <v>38.683077445695261</v>
      </c>
      <c r="AG399" s="188">
        <v>38.591725981142531</v>
      </c>
      <c r="AH399" s="188">
        <v>38.500562222642586</v>
      </c>
      <c r="AI399" s="188">
        <v>38.40958347585017</v>
      </c>
      <c r="AJ399" s="188">
        <v>38.318787097740895</v>
      </c>
    </row>
    <row r="400" spans="1:36" x14ac:dyDescent="0.35">
      <c r="A400" t="s">
        <v>1958</v>
      </c>
      <c r="B400" s="188" t="s">
        <v>1342</v>
      </c>
      <c r="C400" t="s">
        <v>1348</v>
      </c>
      <c r="D400" s="188">
        <v>30</v>
      </c>
      <c r="E400" t="s">
        <v>1948</v>
      </c>
      <c r="F400" t="s">
        <v>1352</v>
      </c>
      <c r="G400" s="188" t="s">
        <v>1957</v>
      </c>
      <c r="H400" s="188">
        <v>64.693592033520005</v>
      </c>
      <c r="I400" s="188">
        <v>62.612190406542076</v>
      </c>
      <c r="J400" s="188">
        <v>61.467698148099331</v>
      </c>
      <c r="K400" s="188">
        <v>60.325330237283865</v>
      </c>
      <c r="L400" s="188">
        <v>59.18500164939384</v>
      </c>
      <c r="M400" s="188">
        <v>58.046632050374917</v>
      </c>
      <c r="N400" s="188">
        <v>56.91014549357272</v>
      </c>
      <c r="O400" s="188">
        <v>55.775470141078891</v>
      </c>
      <c r="P400" s="188">
        <v>54.642538007521779</v>
      </c>
      <c r="Q400" s="188">
        <v>53.511284724382648</v>
      </c>
      <c r="R400" s="188">
        <v>52.381649323122701</v>
      </c>
      <c r="S400" s="188">
        <v>51.253574035589708</v>
      </c>
      <c r="T400" s="188">
        <v>50.127004110337396</v>
      </c>
      <c r="U400" s="188">
        <v>49.001887643640231</v>
      </c>
      <c r="V400" s="188">
        <v>48.84952941215505</v>
      </c>
      <c r="W400" s="188">
        <v>48.69745195455404</v>
      </c>
      <c r="X400" s="188">
        <v>48.545650667986621</v>
      </c>
      <c r="Y400" s="188">
        <v>48.394121049664228</v>
      </c>
      <c r="Z400" s="188">
        <v>48.242858694155842</v>
      </c>
      <c r="AA400" s="188">
        <v>48.091859290770913</v>
      </c>
      <c r="AB400" s="188">
        <v>47.941118621026192</v>
      </c>
      <c r="AC400" s="188">
        <v>47.790632556193373</v>
      </c>
      <c r="AD400" s="188">
        <v>47.640397054924634</v>
      </c>
      <c r="AE400" s="188">
        <v>47.49040816095318</v>
      </c>
      <c r="AF400" s="188">
        <v>47.340662000865976</v>
      </c>
      <c r="AG400" s="188">
        <v>47.191154781946068</v>
      </c>
      <c r="AH400" s="188">
        <v>47.041882790082056</v>
      </c>
      <c r="AI400" s="188">
        <v>46.892842387742149</v>
      </c>
      <c r="AJ400" s="188">
        <v>46.744030012010583</v>
      </c>
    </row>
    <row r="401" spans="1:36" x14ac:dyDescent="0.35">
      <c r="A401" t="s">
        <v>1959</v>
      </c>
      <c r="B401" s="188" t="s">
        <v>1342</v>
      </c>
      <c r="C401" t="s">
        <v>1350</v>
      </c>
      <c r="D401" s="188">
        <v>30</v>
      </c>
      <c r="E401" t="s">
        <v>1948</v>
      </c>
      <c r="F401" t="s">
        <v>1352</v>
      </c>
      <c r="G401" s="188" t="s">
        <v>1957</v>
      </c>
      <c r="H401" s="188">
        <v>74.700765369510037</v>
      </c>
      <c r="I401" s="188">
        <v>72.859581170038169</v>
      </c>
      <c r="J401" s="188">
        <v>72.206897421034853</v>
      </c>
      <c r="K401" s="188">
        <v>71.554912278102393</v>
      </c>
      <c r="L401" s="188">
        <v>70.903609107762918</v>
      </c>
      <c r="M401" s="188">
        <v>70.252971800427588</v>
      </c>
      <c r="N401" s="188">
        <v>69.602984749932247</v>
      </c>
      <c r="O401" s="188">
        <v>68.953632834024816</v>
      </c>
      <c r="P401" s="188">
        <v>68.304901395753262</v>
      </c>
      <c r="Q401" s="188">
        <v>67.656776225706068</v>
      </c>
      <c r="R401" s="188">
        <v>67.009243545059974</v>
      </c>
      <c r="S401" s="188">
        <v>66.362289989392366</v>
      </c>
      <c r="T401" s="188">
        <v>65.715902593218686</v>
      </c>
      <c r="U401" s="188">
        <v>65.070068775216839</v>
      </c>
      <c r="V401" s="188">
        <v>64.872781385290935</v>
      </c>
      <c r="W401" s="188">
        <v>64.675686305025067</v>
      </c>
      <c r="X401" s="188">
        <v>64.478781004028946</v>
      </c>
      <c r="Y401" s="188">
        <v>64.282062996111264</v>
      </c>
      <c r="Z401" s="188">
        <v>64.085529838318848</v>
      </c>
      <c r="AA401" s="188">
        <v>63.889179130000691</v>
      </c>
      <c r="AB401" s="188">
        <v>63.693008511896373</v>
      </c>
      <c r="AC401" s="188">
        <v>63.497015665247773</v>
      </c>
      <c r="AD401" s="188">
        <v>63.301198310933643</v>
      </c>
      <c r="AE401" s="188">
        <v>63.10555420862633</v>
      </c>
      <c r="AF401" s="188">
        <v>62.91008115596982</v>
      </c>
      <c r="AG401" s="188">
        <v>62.714776987778642</v>
      </c>
      <c r="AH401" s="188">
        <v>62.519639575257017</v>
      </c>
      <c r="AI401" s="188">
        <v>62.324666825237557</v>
      </c>
      <c r="AJ401" s="188">
        <v>62.129856679438966</v>
      </c>
    </row>
    <row r="402" spans="1:36" x14ac:dyDescent="0.35">
      <c r="A402" t="s">
        <v>1960</v>
      </c>
      <c r="B402" s="188" t="s">
        <v>1342</v>
      </c>
      <c r="C402" t="s">
        <v>1343</v>
      </c>
      <c r="D402" s="188">
        <v>30</v>
      </c>
      <c r="E402" t="s">
        <v>1948</v>
      </c>
      <c r="F402" t="s">
        <v>1376</v>
      </c>
      <c r="G402" s="188" t="s">
        <v>1961</v>
      </c>
      <c r="H402" s="188">
        <v>56.649010757605978</v>
      </c>
      <c r="I402" s="188">
        <v>54.644849325659521</v>
      </c>
      <c r="J402" s="188">
        <v>53.376614267120743</v>
      </c>
      <c r="K402" s="188">
        <v>52.112987730369028</v>
      </c>
      <c r="L402" s="188">
        <v>50.854570096770857</v>
      </c>
      <c r="M402" s="188">
        <v>49.601100817839225</v>
      </c>
      <c r="N402" s="188">
        <v>48.351328518616135</v>
      </c>
      <c r="O402" s="188">
        <v>47.10503352017308</v>
      </c>
      <c r="P402" s="188">
        <v>45.862913729434709</v>
      </c>
      <c r="Q402" s="188">
        <v>44.624294628182071</v>
      </c>
      <c r="R402" s="188">
        <v>43.388980761023468</v>
      </c>
      <c r="S402" s="188">
        <v>42.156319158052682</v>
      </c>
      <c r="T402" s="188">
        <v>40.927085344181336</v>
      </c>
      <c r="U402" s="188">
        <v>39.701158061891249</v>
      </c>
      <c r="V402" s="188">
        <v>39.607547995527888</v>
      </c>
      <c r="W402" s="188">
        <v>39.514159046233559</v>
      </c>
      <c r="X402" s="188">
        <v>39.420987863749644</v>
      </c>
      <c r="Y402" s="188">
        <v>39.328031165159402</v>
      </c>
      <c r="Z402" s="188">
        <v>39.235285733204435</v>
      </c>
      <c r="AA402" s="188">
        <v>39.142748414651379</v>
      </c>
      <c r="AB402" s="188">
        <v>39.050416118707119</v>
      </c>
      <c r="AC402" s="188">
        <v>38.958285815480906</v>
      </c>
      <c r="AD402" s="188">
        <v>38.866354534491592</v>
      </c>
      <c r="AE402" s="188">
        <v>38.774619363218619</v>
      </c>
      <c r="AF402" s="188">
        <v>38.683077445695261</v>
      </c>
      <c r="AG402" s="188">
        <v>38.591725981142531</v>
      </c>
      <c r="AH402" s="188">
        <v>38.500562222642586</v>
      </c>
      <c r="AI402" s="188">
        <v>38.40958347585017</v>
      </c>
      <c r="AJ402" s="188">
        <v>38.318787097740895</v>
      </c>
    </row>
    <row r="403" spans="1:36" x14ac:dyDescent="0.35">
      <c r="A403" t="s">
        <v>1962</v>
      </c>
      <c r="B403" s="188" t="s">
        <v>1342</v>
      </c>
      <c r="C403" t="s">
        <v>1348</v>
      </c>
      <c r="D403" s="188">
        <v>30</v>
      </c>
      <c r="E403" t="s">
        <v>1948</v>
      </c>
      <c r="F403" t="s">
        <v>1376</v>
      </c>
      <c r="G403" s="188" t="s">
        <v>1961</v>
      </c>
      <c r="H403" s="188">
        <v>64.693592033520005</v>
      </c>
      <c r="I403" s="188">
        <v>62.612190406542076</v>
      </c>
      <c r="J403" s="188">
        <v>61.467698148099331</v>
      </c>
      <c r="K403" s="188">
        <v>60.325330237283865</v>
      </c>
      <c r="L403" s="188">
        <v>59.18500164939384</v>
      </c>
      <c r="M403" s="188">
        <v>58.046632050374917</v>
      </c>
      <c r="N403" s="188">
        <v>56.91014549357272</v>
      </c>
      <c r="O403" s="188">
        <v>55.775470141078891</v>
      </c>
      <c r="P403" s="188">
        <v>54.642538007521779</v>
      </c>
      <c r="Q403" s="188">
        <v>53.511284724382648</v>
      </c>
      <c r="R403" s="188">
        <v>52.381649323122701</v>
      </c>
      <c r="S403" s="188">
        <v>51.253574035589708</v>
      </c>
      <c r="T403" s="188">
        <v>50.127004110337396</v>
      </c>
      <c r="U403" s="188">
        <v>49.001887643640231</v>
      </c>
      <c r="V403" s="188">
        <v>48.84952941215505</v>
      </c>
      <c r="W403" s="188">
        <v>48.69745195455404</v>
      </c>
      <c r="X403" s="188">
        <v>48.545650667986621</v>
      </c>
      <c r="Y403" s="188">
        <v>48.394121049664228</v>
      </c>
      <c r="Z403" s="188">
        <v>48.242858694155842</v>
      </c>
      <c r="AA403" s="188">
        <v>48.091859290770913</v>
      </c>
      <c r="AB403" s="188">
        <v>47.941118621026192</v>
      </c>
      <c r="AC403" s="188">
        <v>47.790632556193373</v>
      </c>
      <c r="AD403" s="188">
        <v>47.640397054924634</v>
      </c>
      <c r="AE403" s="188">
        <v>47.49040816095318</v>
      </c>
      <c r="AF403" s="188">
        <v>47.340662000865976</v>
      </c>
      <c r="AG403" s="188">
        <v>47.191154781946068</v>
      </c>
      <c r="AH403" s="188">
        <v>47.041882790082056</v>
      </c>
      <c r="AI403" s="188">
        <v>46.892842387742149</v>
      </c>
      <c r="AJ403" s="188">
        <v>46.744030012010583</v>
      </c>
    </row>
    <row r="404" spans="1:36" x14ac:dyDescent="0.35">
      <c r="A404" t="s">
        <v>1963</v>
      </c>
      <c r="B404" s="188" t="s">
        <v>1342</v>
      </c>
      <c r="C404" t="s">
        <v>1350</v>
      </c>
      <c r="D404" s="188">
        <v>30</v>
      </c>
      <c r="E404" t="s">
        <v>1948</v>
      </c>
      <c r="F404" t="s">
        <v>1376</v>
      </c>
      <c r="G404" s="188" t="s">
        <v>1961</v>
      </c>
      <c r="H404" s="188">
        <v>74.700765369510037</v>
      </c>
      <c r="I404" s="188">
        <v>72.859581170038169</v>
      </c>
      <c r="J404" s="188">
        <v>72.206897421034853</v>
      </c>
      <c r="K404" s="188">
        <v>71.554912278102393</v>
      </c>
      <c r="L404" s="188">
        <v>70.903609107762918</v>
      </c>
      <c r="M404" s="188">
        <v>70.252971800427588</v>
      </c>
      <c r="N404" s="188">
        <v>69.602984749932247</v>
      </c>
      <c r="O404" s="188">
        <v>68.953632834024816</v>
      </c>
      <c r="P404" s="188">
        <v>68.304901395753262</v>
      </c>
      <c r="Q404" s="188">
        <v>67.656776225706068</v>
      </c>
      <c r="R404" s="188">
        <v>67.009243545059974</v>
      </c>
      <c r="S404" s="188">
        <v>66.362289989392366</v>
      </c>
      <c r="T404" s="188">
        <v>65.715902593218686</v>
      </c>
      <c r="U404" s="188">
        <v>65.070068775216839</v>
      </c>
      <c r="V404" s="188">
        <v>64.872781385290935</v>
      </c>
      <c r="W404" s="188">
        <v>64.675686305025067</v>
      </c>
      <c r="X404" s="188">
        <v>64.478781004028946</v>
      </c>
      <c r="Y404" s="188">
        <v>64.282062996111264</v>
      </c>
      <c r="Z404" s="188">
        <v>64.085529838318848</v>
      </c>
      <c r="AA404" s="188">
        <v>63.889179130000691</v>
      </c>
      <c r="AB404" s="188">
        <v>63.693008511896373</v>
      </c>
      <c r="AC404" s="188">
        <v>63.497015665247773</v>
      </c>
      <c r="AD404" s="188">
        <v>63.301198310933643</v>
      </c>
      <c r="AE404" s="188">
        <v>63.10555420862633</v>
      </c>
      <c r="AF404" s="188">
        <v>62.91008115596982</v>
      </c>
      <c r="AG404" s="188">
        <v>62.714776987778642</v>
      </c>
      <c r="AH404" s="188">
        <v>62.519639575257017</v>
      </c>
      <c r="AI404" s="188">
        <v>62.324666825237557</v>
      </c>
      <c r="AJ404" s="188">
        <v>62.129856679438966</v>
      </c>
    </row>
    <row r="405" spans="1:36" x14ac:dyDescent="0.35">
      <c r="A405" t="s">
        <v>1964</v>
      </c>
      <c r="B405" s="188" t="s">
        <v>1342</v>
      </c>
      <c r="C405" t="s">
        <v>1343</v>
      </c>
      <c r="D405" s="188">
        <v>30</v>
      </c>
      <c r="E405" t="s">
        <v>1948</v>
      </c>
      <c r="F405" t="s">
        <v>1381</v>
      </c>
      <c r="G405" s="188" t="s">
        <v>1965</v>
      </c>
      <c r="H405" s="188">
        <v>56.649010757605978</v>
      </c>
      <c r="I405" s="188">
        <v>54.644849325659521</v>
      </c>
      <c r="J405" s="188">
        <v>53.376614267120743</v>
      </c>
      <c r="K405" s="188">
        <v>52.112987730369028</v>
      </c>
      <c r="L405" s="188">
        <v>50.854570096770857</v>
      </c>
      <c r="M405" s="188">
        <v>49.601100817839225</v>
      </c>
      <c r="N405" s="188">
        <v>48.351328518616135</v>
      </c>
      <c r="O405" s="188">
        <v>47.10503352017308</v>
      </c>
      <c r="P405" s="188">
        <v>45.862913729434709</v>
      </c>
      <c r="Q405" s="188">
        <v>44.624294628182071</v>
      </c>
      <c r="R405" s="188">
        <v>43.388980761023468</v>
      </c>
      <c r="S405" s="188">
        <v>42.156319158052682</v>
      </c>
      <c r="T405" s="188">
        <v>40.927085344181336</v>
      </c>
      <c r="U405" s="188">
        <v>39.701158061891249</v>
      </c>
      <c r="V405" s="188">
        <v>39.607547995527888</v>
      </c>
      <c r="W405" s="188">
        <v>39.514159046233559</v>
      </c>
      <c r="X405" s="188">
        <v>39.420987863749644</v>
      </c>
      <c r="Y405" s="188">
        <v>39.328031165159402</v>
      </c>
      <c r="Z405" s="188">
        <v>39.235285733204435</v>
      </c>
      <c r="AA405" s="188">
        <v>39.142748414651379</v>
      </c>
      <c r="AB405" s="188">
        <v>39.050416118707119</v>
      </c>
      <c r="AC405" s="188">
        <v>38.958285815480906</v>
      </c>
      <c r="AD405" s="188">
        <v>38.866354534491592</v>
      </c>
      <c r="AE405" s="188">
        <v>38.774619363218619</v>
      </c>
      <c r="AF405" s="188">
        <v>38.683077445695261</v>
      </c>
      <c r="AG405" s="188">
        <v>38.591725981142531</v>
      </c>
      <c r="AH405" s="188">
        <v>38.500562222642586</v>
      </c>
      <c r="AI405" s="188">
        <v>38.40958347585017</v>
      </c>
      <c r="AJ405" s="188">
        <v>38.318787097740895</v>
      </c>
    </row>
    <row r="406" spans="1:36" x14ac:dyDescent="0.35">
      <c r="A406" t="s">
        <v>1966</v>
      </c>
      <c r="B406" s="188" t="s">
        <v>1342</v>
      </c>
      <c r="C406" t="s">
        <v>1348</v>
      </c>
      <c r="D406" s="188">
        <v>30</v>
      </c>
      <c r="E406" t="s">
        <v>1948</v>
      </c>
      <c r="F406" t="s">
        <v>1381</v>
      </c>
      <c r="G406" s="188" t="s">
        <v>1965</v>
      </c>
      <c r="H406" s="188">
        <v>64.693592033520005</v>
      </c>
      <c r="I406" s="188">
        <v>62.612190406542076</v>
      </c>
      <c r="J406" s="188">
        <v>61.467698148099331</v>
      </c>
      <c r="K406" s="188">
        <v>60.325330237283865</v>
      </c>
      <c r="L406" s="188">
        <v>59.18500164939384</v>
      </c>
      <c r="M406" s="188">
        <v>58.046632050374917</v>
      </c>
      <c r="N406" s="188">
        <v>56.91014549357272</v>
      </c>
      <c r="O406" s="188">
        <v>55.775470141078891</v>
      </c>
      <c r="P406" s="188">
        <v>54.642538007521779</v>
      </c>
      <c r="Q406" s="188">
        <v>53.511284724382648</v>
      </c>
      <c r="R406" s="188">
        <v>52.381649323122701</v>
      </c>
      <c r="S406" s="188">
        <v>51.253574035589708</v>
      </c>
      <c r="T406" s="188">
        <v>50.127004110337396</v>
      </c>
      <c r="U406" s="188">
        <v>49.001887643640231</v>
      </c>
      <c r="V406" s="188">
        <v>48.84952941215505</v>
      </c>
      <c r="W406" s="188">
        <v>48.69745195455404</v>
      </c>
      <c r="X406" s="188">
        <v>48.545650667986621</v>
      </c>
      <c r="Y406" s="188">
        <v>48.394121049664228</v>
      </c>
      <c r="Z406" s="188">
        <v>48.242858694155842</v>
      </c>
      <c r="AA406" s="188">
        <v>48.091859290770913</v>
      </c>
      <c r="AB406" s="188">
        <v>47.941118621026192</v>
      </c>
      <c r="AC406" s="188">
        <v>47.790632556193373</v>
      </c>
      <c r="AD406" s="188">
        <v>47.640397054924634</v>
      </c>
      <c r="AE406" s="188">
        <v>47.49040816095318</v>
      </c>
      <c r="AF406" s="188">
        <v>47.340662000865976</v>
      </c>
      <c r="AG406" s="188">
        <v>47.191154781946068</v>
      </c>
      <c r="AH406" s="188">
        <v>47.041882790082056</v>
      </c>
      <c r="AI406" s="188">
        <v>46.892842387742149</v>
      </c>
      <c r="AJ406" s="188">
        <v>46.744030012010583</v>
      </c>
    </row>
    <row r="407" spans="1:36" x14ac:dyDescent="0.35">
      <c r="A407" t="s">
        <v>1967</v>
      </c>
      <c r="B407" s="188" t="s">
        <v>1342</v>
      </c>
      <c r="C407" t="s">
        <v>1350</v>
      </c>
      <c r="D407" s="188">
        <v>30</v>
      </c>
      <c r="E407" t="s">
        <v>1948</v>
      </c>
      <c r="F407" t="s">
        <v>1381</v>
      </c>
      <c r="G407" s="188" t="s">
        <v>1965</v>
      </c>
      <c r="H407" s="188">
        <v>74.700765369510037</v>
      </c>
      <c r="I407" s="188">
        <v>72.859581170038169</v>
      </c>
      <c r="J407" s="188">
        <v>72.206897421034853</v>
      </c>
      <c r="K407" s="188">
        <v>71.554912278102393</v>
      </c>
      <c r="L407" s="188">
        <v>70.903609107762918</v>
      </c>
      <c r="M407" s="188">
        <v>70.252971800427588</v>
      </c>
      <c r="N407" s="188">
        <v>69.602984749932247</v>
      </c>
      <c r="O407" s="188">
        <v>68.953632834024816</v>
      </c>
      <c r="P407" s="188">
        <v>68.304901395753262</v>
      </c>
      <c r="Q407" s="188">
        <v>67.656776225706068</v>
      </c>
      <c r="R407" s="188">
        <v>67.009243545059974</v>
      </c>
      <c r="S407" s="188">
        <v>66.362289989392366</v>
      </c>
      <c r="T407" s="188">
        <v>65.715902593218686</v>
      </c>
      <c r="U407" s="188">
        <v>65.070068775216839</v>
      </c>
      <c r="V407" s="188">
        <v>64.872781385290935</v>
      </c>
      <c r="W407" s="188">
        <v>64.675686305025067</v>
      </c>
      <c r="X407" s="188">
        <v>64.478781004028946</v>
      </c>
      <c r="Y407" s="188">
        <v>64.282062996111264</v>
      </c>
      <c r="Z407" s="188">
        <v>64.085529838318848</v>
      </c>
      <c r="AA407" s="188">
        <v>63.889179130000691</v>
      </c>
      <c r="AB407" s="188">
        <v>63.693008511896373</v>
      </c>
      <c r="AC407" s="188">
        <v>63.497015665247773</v>
      </c>
      <c r="AD407" s="188">
        <v>63.301198310933643</v>
      </c>
      <c r="AE407" s="188">
        <v>63.10555420862633</v>
      </c>
      <c r="AF407" s="188">
        <v>62.91008115596982</v>
      </c>
      <c r="AG407" s="188">
        <v>62.714776987778642</v>
      </c>
      <c r="AH407" s="188">
        <v>62.519639575257017</v>
      </c>
      <c r="AI407" s="188">
        <v>62.324666825237557</v>
      </c>
      <c r="AJ407" s="188">
        <v>62.129856679438966</v>
      </c>
    </row>
    <row r="408" spans="1:36" x14ac:dyDescent="0.35">
      <c r="A408" t="s">
        <v>1968</v>
      </c>
      <c r="B408" s="188" t="s">
        <v>1342</v>
      </c>
      <c r="C408" t="s">
        <v>1343</v>
      </c>
      <c r="D408" s="188">
        <v>30</v>
      </c>
      <c r="E408" t="s">
        <v>1948</v>
      </c>
      <c r="F408" t="s">
        <v>1386</v>
      </c>
      <c r="G408" s="188" t="s">
        <v>1969</v>
      </c>
      <c r="H408" s="188">
        <v>56.649010757605978</v>
      </c>
      <c r="I408" s="188">
        <v>54.644849325659521</v>
      </c>
      <c r="J408" s="188">
        <v>53.376614267120743</v>
      </c>
      <c r="K408" s="188">
        <v>52.112987730369028</v>
      </c>
      <c r="L408" s="188">
        <v>50.854570096770857</v>
      </c>
      <c r="M408" s="188">
        <v>49.601100817839225</v>
      </c>
      <c r="N408" s="188">
        <v>48.351328518616135</v>
      </c>
      <c r="O408" s="188">
        <v>47.10503352017308</v>
      </c>
      <c r="P408" s="188">
        <v>45.862913729434709</v>
      </c>
      <c r="Q408" s="188">
        <v>44.624294628182071</v>
      </c>
      <c r="R408" s="188">
        <v>43.388980761023468</v>
      </c>
      <c r="S408" s="188">
        <v>42.156319158052682</v>
      </c>
      <c r="T408" s="188">
        <v>40.927085344181336</v>
      </c>
      <c r="U408" s="188">
        <v>39.701158061891249</v>
      </c>
      <c r="V408" s="188">
        <v>39.607547995527888</v>
      </c>
      <c r="W408" s="188">
        <v>39.514159046233559</v>
      </c>
      <c r="X408" s="188">
        <v>39.420987863749644</v>
      </c>
      <c r="Y408" s="188">
        <v>39.328031165159402</v>
      </c>
      <c r="Z408" s="188">
        <v>39.235285733204435</v>
      </c>
      <c r="AA408" s="188">
        <v>39.142748414651379</v>
      </c>
      <c r="AB408" s="188">
        <v>39.050416118707119</v>
      </c>
      <c r="AC408" s="188">
        <v>38.958285815480906</v>
      </c>
      <c r="AD408" s="188">
        <v>38.866354534491592</v>
      </c>
      <c r="AE408" s="188">
        <v>38.774619363218619</v>
      </c>
      <c r="AF408" s="188">
        <v>38.683077445695261</v>
      </c>
      <c r="AG408" s="188">
        <v>38.591725981142531</v>
      </c>
      <c r="AH408" s="188">
        <v>38.500562222642586</v>
      </c>
      <c r="AI408" s="188">
        <v>38.40958347585017</v>
      </c>
      <c r="AJ408" s="188">
        <v>38.318787097740895</v>
      </c>
    </row>
    <row r="409" spans="1:36" x14ac:dyDescent="0.35">
      <c r="A409" t="s">
        <v>1970</v>
      </c>
      <c r="B409" s="188" t="s">
        <v>1342</v>
      </c>
      <c r="C409" t="s">
        <v>1348</v>
      </c>
      <c r="D409" s="188">
        <v>30</v>
      </c>
      <c r="E409" t="s">
        <v>1948</v>
      </c>
      <c r="F409" t="s">
        <v>1386</v>
      </c>
      <c r="G409" s="188" t="s">
        <v>1969</v>
      </c>
      <c r="H409" s="188">
        <v>64.693592033520005</v>
      </c>
      <c r="I409" s="188">
        <v>62.612190406542076</v>
      </c>
      <c r="J409" s="188">
        <v>61.467698148099331</v>
      </c>
      <c r="K409" s="188">
        <v>60.325330237283865</v>
      </c>
      <c r="L409" s="188">
        <v>59.18500164939384</v>
      </c>
      <c r="M409" s="188">
        <v>58.046632050374917</v>
      </c>
      <c r="N409" s="188">
        <v>56.91014549357272</v>
      </c>
      <c r="O409" s="188">
        <v>55.775470141078891</v>
      </c>
      <c r="P409" s="188">
        <v>54.642538007521779</v>
      </c>
      <c r="Q409" s="188">
        <v>53.511284724382648</v>
      </c>
      <c r="R409" s="188">
        <v>52.381649323122701</v>
      </c>
      <c r="S409" s="188">
        <v>51.253574035589708</v>
      </c>
      <c r="T409" s="188">
        <v>50.127004110337396</v>
      </c>
      <c r="U409" s="188">
        <v>49.001887643640231</v>
      </c>
      <c r="V409" s="188">
        <v>48.84952941215505</v>
      </c>
      <c r="W409" s="188">
        <v>48.69745195455404</v>
      </c>
      <c r="X409" s="188">
        <v>48.545650667986621</v>
      </c>
      <c r="Y409" s="188">
        <v>48.394121049664228</v>
      </c>
      <c r="Z409" s="188">
        <v>48.242858694155842</v>
      </c>
      <c r="AA409" s="188">
        <v>48.091859290770913</v>
      </c>
      <c r="AB409" s="188">
        <v>47.941118621026192</v>
      </c>
      <c r="AC409" s="188">
        <v>47.790632556193373</v>
      </c>
      <c r="AD409" s="188">
        <v>47.640397054924634</v>
      </c>
      <c r="AE409" s="188">
        <v>47.49040816095318</v>
      </c>
      <c r="AF409" s="188">
        <v>47.340662000865976</v>
      </c>
      <c r="AG409" s="188">
        <v>47.191154781946068</v>
      </c>
      <c r="AH409" s="188">
        <v>47.041882790082056</v>
      </c>
      <c r="AI409" s="188">
        <v>46.892842387742149</v>
      </c>
      <c r="AJ409" s="188">
        <v>46.744030012010583</v>
      </c>
    </row>
    <row r="410" spans="1:36" x14ac:dyDescent="0.35">
      <c r="A410" t="s">
        <v>1971</v>
      </c>
      <c r="B410" s="188" t="s">
        <v>1342</v>
      </c>
      <c r="C410" t="s">
        <v>1350</v>
      </c>
      <c r="D410" s="188">
        <v>30</v>
      </c>
      <c r="E410" t="s">
        <v>1948</v>
      </c>
      <c r="F410" t="s">
        <v>1386</v>
      </c>
      <c r="G410" s="188" t="s">
        <v>1969</v>
      </c>
      <c r="H410" s="188">
        <v>74.700765369510037</v>
      </c>
      <c r="I410" s="188">
        <v>72.859581170038169</v>
      </c>
      <c r="J410" s="188">
        <v>72.206897421034853</v>
      </c>
      <c r="K410" s="188">
        <v>71.554912278102393</v>
      </c>
      <c r="L410" s="188">
        <v>70.903609107762918</v>
      </c>
      <c r="M410" s="188">
        <v>70.252971800427588</v>
      </c>
      <c r="N410" s="188">
        <v>69.602984749932247</v>
      </c>
      <c r="O410" s="188">
        <v>68.953632834024816</v>
      </c>
      <c r="P410" s="188">
        <v>68.304901395753262</v>
      </c>
      <c r="Q410" s="188">
        <v>67.656776225706068</v>
      </c>
      <c r="R410" s="188">
        <v>67.009243545059974</v>
      </c>
      <c r="S410" s="188">
        <v>66.362289989392366</v>
      </c>
      <c r="T410" s="188">
        <v>65.715902593218686</v>
      </c>
      <c r="U410" s="188">
        <v>65.070068775216839</v>
      </c>
      <c r="V410" s="188">
        <v>64.872781385290935</v>
      </c>
      <c r="W410" s="188">
        <v>64.675686305025067</v>
      </c>
      <c r="X410" s="188">
        <v>64.478781004028946</v>
      </c>
      <c r="Y410" s="188">
        <v>64.282062996111264</v>
      </c>
      <c r="Z410" s="188">
        <v>64.085529838318848</v>
      </c>
      <c r="AA410" s="188">
        <v>63.889179130000691</v>
      </c>
      <c r="AB410" s="188">
        <v>63.693008511896373</v>
      </c>
      <c r="AC410" s="188">
        <v>63.497015665247773</v>
      </c>
      <c r="AD410" s="188">
        <v>63.301198310933643</v>
      </c>
      <c r="AE410" s="188">
        <v>63.10555420862633</v>
      </c>
      <c r="AF410" s="188">
        <v>62.91008115596982</v>
      </c>
      <c r="AG410" s="188">
        <v>62.714776987778642</v>
      </c>
      <c r="AH410" s="188">
        <v>62.519639575257017</v>
      </c>
      <c r="AI410" s="188">
        <v>62.324666825237557</v>
      </c>
      <c r="AJ410" s="188">
        <v>62.129856679438966</v>
      </c>
    </row>
    <row r="411" spans="1:36" x14ac:dyDescent="0.35">
      <c r="A411" t="s">
        <v>1972</v>
      </c>
      <c r="B411" s="188" t="s">
        <v>1342</v>
      </c>
      <c r="C411" t="s">
        <v>1343</v>
      </c>
      <c r="D411" s="188">
        <v>30</v>
      </c>
      <c r="E411" t="s">
        <v>1948</v>
      </c>
      <c r="F411" t="s">
        <v>1391</v>
      </c>
      <c r="G411" s="188" t="s">
        <v>1973</v>
      </c>
      <c r="H411" s="188">
        <v>56.649010757605978</v>
      </c>
      <c r="I411" s="188">
        <v>54.644849325659521</v>
      </c>
      <c r="J411" s="188">
        <v>53.376614267120743</v>
      </c>
      <c r="K411" s="188">
        <v>52.112987730369028</v>
      </c>
      <c r="L411" s="188">
        <v>50.854570096770857</v>
      </c>
      <c r="M411" s="188">
        <v>49.601100817839225</v>
      </c>
      <c r="N411" s="188">
        <v>48.351328518616135</v>
      </c>
      <c r="O411" s="188">
        <v>47.10503352017308</v>
      </c>
      <c r="P411" s="188">
        <v>45.862913729434709</v>
      </c>
      <c r="Q411" s="188">
        <v>44.624294628182071</v>
      </c>
      <c r="R411" s="188">
        <v>43.388980761023468</v>
      </c>
      <c r="S411" s="188">
        <v>42.156319158052682</v>
      </c>
      <c r="T411" s="188">
        <v>40.927085344181336</v>
      </c>
      <c r="U411" s="188">
        <v>39.701158061891249</v>
      </c>
      <c r="V411" s="188">
        <v>39.607547995527888</v>
      </c>
      <c r="W411" s="188">
        <v>39.514159046233559</v>
      </c>
      <c r="X411" s="188">
        <v>39.420987863749644</v>
      </c>
      <c r="Y411" s="188">
        <v>39.328031165159402</v>
      </c>
      <c r="Z411" s="188">
        <v>39.235285733204435</v>
      </c>
      <c r="AA411" s="188">
        <v>39.142748414651379</v>
      </c>
      <c r="AB411" s="188">
        <v>39.050416118707119</v>
      </c>
      <c r="AC411" s="188">
        <v>38.958285815480906</v>
      </c>
      <c r="AD411" s="188">
        <v>38.866354534491592</v>
      </c>
      <c r="AE411" s="188">
        <v>38.774619363218619</v>
      </c>
      <c r="AF411" s="188">
        <v>38.683077445695261</v>
      </c>
      <c r="AG411" s="188">
        <v>38.591725981142531</v>
      </c>
      <c r="AH411" s="188">
        <v>38.500562222642586</v>
      </c>
      <c r="AI411" s="188">
        <v>38.40958347585017</v>
      </c>
      <c r="AJ411" s="188">
        <v>38.318787097740895</v>
      </c>
    </row>
    <row r="412" spans="1:36" x14ac:dyDescent="0.35">
      <c r="A412" t="s">
        <v>1974</v>
      </c>
      <c r="B412" s="188" t="s">
        <v>1342</v>
      </c>
      <c r="C412" t="s">
        <v>1348</v>
      </c>
      <c r="D412" s="188">
        <v>30</v>
      </c>
      <c r="E412" t="s">
        <v>1948</v>
      </c>
      <c r="F412" t="s">
        <v>1391</v>
      </c>
      <c r="G412" s="188" t="s">
        <v>1973</v>
      </c>
      <c r="H412" s="188">
        <v>64.693592033520005</v>
      </c>
      <c r="I412" s="188">
        <v>62.612190406542076</v>
      </c>
      <c r="J412" s="188">
        <v>61.467698148099331</v>
      </c>
      <c r="K412" s="188">
        <v>60.325330237283865</v>
      </c>
      <c r="L412" s="188">
        <v>59.18500164939384</v>
      </c>
      <c r="M412" s="188">
        <v>58.046632050374917</v>
      </c>
      <c r="N412" s="188">
        <v>56.91014549357272</v>
      </c>
      <c r="O412" s="188">
        <v>55.775470141078891</v>
      </c>
      <c r="P412" s="188">
        <v>54.642538007521779</v>
      </c>
      <c r="Q412" s="188">
        <v>53.511284724382648</v>
      </c>
      <c r="R412" s="188">
        <v>52.381649323122701</v>
      </c>
      <c r="S412" s="188">
        <v>51.253574035589708</v>
      </c>
      <c r="T412" s="188">
        <v>50.127004110337396</v>
      </c>
      <c r="U412" s="188">
        <v>49.001887643640231</v>
      </c>
      <c r="V412" s="188">
        <v>48.84952941215505</v>
      </c>
      <c r="W412" s="188">
        <v>48.69745195455404</v>
      </c>
      <c r="X412" s="188">
        <v>48.545650667986621</v>
      </c>
      <c r="Y412" s="188">
        <v>48.394121049664228</v>
      </c>
      <c r="Z412" s="188">
        <v>48.242858694155842</v>
      </c>
      <c r="AA412" s="188">
        <v>48.091859290770913</v>
      </c>
      <c r="AB412" s="188">
        <v>47.941118621026192</v>
      </c>
      <c r="AC412" s="188">
        <v>47.790632556193373</v>
      </c>
      <c r="AD412" s="188">
        <v>47.640397054924634</v>
      </c>
      <c r="AE412" s="188">
        <v>47.49040816095318</v>
      </c>
      <c r="AF412" s="188">
        <v>47.340662000865976</v>
      </c>
      <c r="AG412" s="188">
        <v>47.191154781946068</v>
      </c>
      <c r="AH412" s="188">
        <v>47.041882790082056</v>
      </c>
      <c r="AI412" s="188">
        <v>46.892842387742149</v>
      </c>
      <c r="AJ412" s="188">
        <v>46.744030012010583</v>
      </c>
    </row>
    <row r="413" spans="1:36" x14ac:dyDescent="0.35">
      <c r="A413" t="s">
        <v>1975</v>
      </c>
      <c r="B413" s="188" t="s">
        <v>1342</v>
      </c>
      <c r="C413" t="s">
        <v>1350</v>
      </c>
      <c r="D413" s="188">
        <v>30</v>
      </c>
      <c r="E413" t="s">
        <v>1948</v>
      </c>
      <c r="F413" t="s">
        <v>1391</v>
      </c>
      <c r="G413" s="188" t="s">
        <v>1973</v>
      </c>
      <c r="H413" s="188">
        <v>74.700765369510037</v>
      </c>
      <c r="I413" s="188">
        <v>72.859581170038169</v>
      </c>
      <c r="J413" s="188">
        <v>72.206897421034853</v>
      </c>
      <c r="K413" s="188">
        <v>71.554912278102393</v>
      </c>
      <c r="L413" s="188">
        <v>70.903609107762918</v>
      </c>
      <c r="M413" s="188">
        <v>70.252971800427588</v>
      </c>
      <c r="N413" s="188">
        <v>69.602984749932247</v>
      </c>
      <c r="O413" s="188">
        <v>68.953632834024816</v>
      </c>
      <c r="P413" s="188">
        <v>68.304901395753262</v>
      </c>
      <c r="Q413" s="188">
        <v>67.656776225706068</v>
      </c>
      <c r="R413" s="188">
        <v>67.009243545059974</v>
      </c>
      <c r="S413" s="188">
        <v>66.362289989392366</v>
      </c>
      <c r="T413" s="188">
        <v>65.715902593218686</v>
      </c>
      <c r="U413" s="188">
        <v>65.070068775216839</v>
      </c>
      <c r="V413" s="188">
        <v>64.872781385290935</v>
      </c>
      <c r="W413" s="188">
        <v>64.675686305025067</v>
      </c>
      <c r="X413" s="188">
        <v>64.478781004028946</v>
      </c>
      <c r="Y413" s="188">
        <v>64.282062996111264</v>
      </c>
      <c r="Z413" s="188">
        <v>64.085529838318848</v>
      </c>
      <c r="AA413" s="188">
        <v>63.889179130000691</v>
      </c>
      <c r="AB413" s="188">
        <v>63.693008511896373</v>
      </c>
      <c r="AC413" s="188">
        <v>63.497015665247773</v>
      </c>
      <c r="AD413" s="188">
        <v>63.301198310933643</v>
      </c>
      <c r="AE413" s="188">
        <v>63.10555420862633</v>
      </c>
      <c r="AF413" s="188">
        <v>62.91008115596982</v>
      </c>
      <c r="AG413" s="188">
        <v>62.714776987778642</v>
      </c>
      <c r="AH413" s="188">
        <v>62.519639575257017</v>
      </c>
      <c r="AI413" s="188">
        <v>62.324666825237557</v>
      </c>
      <c r="AJ413" s="188">
        <v>62.129856679438966</v>
      </c>
    </row>
    <row r="414" spans="1:36" x14ac:dyDescent="0.35">
      <c r="A414" t="s">
        <v>1976</v>
      </c>
      <c r="B414" s="188" t="s">
        <v>1342</v>
      </c>
      <c r="C414" t="s">
        <v>1343</v>
      </c>
      <c r="D414" s="188">
        <v>30</v>
      </c>
      <c r="E414" t="s">
        <v>1948</v>
      </c>
      <c r="F414" t="s">
        <v>1357</v>
      </c>
      <c r="G414" s="188" t="s">
        <v>1977</v>
      </c>
      <c r="H414" s="188">
        <v>56.649010757605978</v>
      </c>
      <c r="I414" s="188">
        <v>54.644849325659521</v>
      </c>
      <c r="J414" s="188">
        <v>53.376614267120743</v>
      </c>
      <c r="K414" s="188">
        <v>52.112987730369028</v>
      </c>
      <c r="L414" s="188">
        <v>50.854570096770857</v>
      </c>
      <c r="M414" s="188">
        <v>49.601100817839225</v>
      </c>
      <c r="N414" s="188">
        <v>48.351328518616135</v>
      </c>
      <c r="O414" s="188">
        <v>47.10503352017308</v>
      </c>
      <c r="P414" s="188">
        <v>45.862913729434709</v>
      </c>
      <c r="Q414" s="188">
        <v>44.624294628182071</v>
      </c>
      <c r="R414" s="188">
        <v>43.388980761023468</v>
      </c>
      <c r="S414" s="188">
        <v>42.156319158052682</v>
      </c>
      <c r="T414" s="188">
        <v>40.927085344181336</v>
      </c>
      <c r="U414" s="188">
        <v>39.701158061891249</v>
      </c>
      <c r="V414" s="188">
        <v>39.607547995527888</v>
      </c>
      <c r="W414" s="188">
        <v>39.514159046233559</v>
      </c>
      <c r="X414" s="188">
        <v>39.420987863749644</v>
      </c>
      <c r="Y414" s="188">
        <v>39.328031165159402</v>
      </c>
      <c r="Z414" s="188">
        <v>39.235285733204435</v>
      </c>
      <c r="AA414" s="188">
        <v>39.142748414651379</v>
      </c>
      <c r="AB414" s="188">
        <v>39.050416118707119</v>
      </c>
      <c r="AC414" s="188">
        <v>38.958285815480906</v>
      </c>
      <c r="AD414" s="188">
        <v>38.866354534491592</v>
      </c>
      <c r="AE414" s="188">
        <v>38.774619363218619</v>
      </c>
      <c r="AF414" s="188">
        <v>38.683077445695261</v>
      </c>
      <c r="AG414" s="188">
        <v>38.591725981142531</v>
      </c>
      <c r="AH414" s="188">
        <v>38.500562222642586</v>
      </c>
      <c r="AI414" s="188">
        <v>38.40958347585017</v>
      </c>
      <c r="AJ414" s="188">
        <v>38.318787097740895</v>
      </c>
    </row>
    <row r="415" spans="1:36" x14ac:dyDescent="0.35">
      <c r="A415" t="s">
        <v>1978</v>
      </c>
      <c r="B415" s="188" t="s">
        <v>1342</v>
      </c>
      <c r="C415" t="s">
        <v>1348</v>
      </c>
      <c r="D415" s="188">
        <v>30</v>
      </c>
      <c r="E415" t="s">
        <v>1948</v>
      </c>
      <c r="F415" t="s">
        <v>1357</v>
      </c>
      <c r="G415" s="188" t="s">
        <v>1977</v>
      </c>
      <c r="H415" s="188">
        <v>64.693592033520005</v>
      </c>
      <c r="I415" s="188">
        <v>62.612190406542076</v>
      </c>
      <c r="J415" s="188">
        <v>61.467698148099331</v>
      </c>
      <c r="K415" s="188">
        <v>60.325330237283865</v>
      </c>
      <c r="L415" s="188">
        <v>59.18500164939384</v>
      </c>
      <c r="M415" s="188">
        <v>58.046632050374917</v>
      </c>
      <c r="N415" s="188">
        <v>56.91014549357272</v>
      </c>
      <c r="O415" s="188">
        <v>55.775470141078891</v>
      </c>
      <c r="P415" s="188">
        <v>54.642538007521779</v>
      </c>
      <c r="Q415" s="188">
        <v>53.511284724382648</v>
      </c>
      <c r="R415" s="188">
        <v>52.381649323122701</v>
      </c>
      <c r="S415" s="188">
        <v>51.253574035589708</v>
      </c>
      <c r="T415" s="188">
        <v>50.127004110337396</v>
      </c>
      <c r="U415" s="188">
        <v>49.001887643640231</v>
      </c>
      <c r="V415" s="188">
        <v>48.84952941215505</v>
      </c>
      <c r="W415" s="188">
        <v>48.69745195455404</v>
      </c>
      <c r="X415" s="188">
        <v>48.545650667986621</v>
      </c>
      <c r="Y415" s="188">
        <v>48.394121049664228</v>
      </c>
      <c r="Z415" s="188">
        <v>48.242858694155842</v>
      </c>
      <c r="AA415" s="188">
        <v>48.091859290770913</v>
      </c>
      <c r="AB415" s="188">
        <v>47.941118621026192</v>
      </c>
      <c r="AC415" s="188">
        <v>47.790632556193373</v>
      </c>
      <c r="AD415" s="188">
        <v>47.640397054924634</v>
      </c>
      <c r="AE415" s="188">
        <v>47.49040816095318</v>
      </c>
      <c r="AF415" s="188">
        <v>47.340662000865976</v>
      </c>
      <c r="AG415" s="188">
        <v>47.191154781946068</v>
      </c>
      <c r="AH415" s="188">
        <v>47.041882790082056</v>
      </c>
      <c r="AI415" s="188">
        <v>46.892842387742149</v>
      </c>
      <c r="AJ415" s="188">
        <v>46.744030012010583</v>
      </c>
    </row>
    <row r="416" spans="1:36" x14ac:dyDescent="0.35">
      <c r="A416" t="s">
        <v>1979</v>
      </c>
      <c r="B416" s="188" t="s">
        <v>1342</v>
      </c>
      <c r="C416" t="s">
        <v>1350</v>
      </c>
      <c r="D416" s="188">
        <v>30</v>
      </c>
      <c r="E416" t="s">
        <v>1948</v>
      </c>
      <c r="F416" t="s">
        <v>1357</v>
      </c>
      <c r="G416" s="188" t="s">
        <v>1977</v>
      </c>
      <c r="H416" s="188">
        <v>74.700765369510037</v>
      </c>
      <c r="I416" s="188">
        <v>72.859581170038169</v>
      </c>
      <c r="J416" s="188">
        <v>72.206897421034853</v>
      </c>
      <c r="K416" s="188">
        <v>71.554912278102393</v>
      </c>
      <c r="L416" s="188">
        <v>70.903609107762918</v>
      </c>
      <c r="M416" s="188">
        <v>70.252971800427588</v>
      </c>
      <c r="N416" s="188">
        <v>69.602984749932247</v>
      </c>
      <c r="O416" s="188">
        <v>68.953632834024816</v>
      </c>
      <c r="P416" s="188">
        <v>68.304901395753262</v>
      </c>
      <c r="Q416" s="188">
        <v>67.656776225706068</v>
      </c>
      <c r="R416" s="188">
        <v>67.009243545059974</v>
      </c>
      <c r="S416" s="188">
        <v>66.362289989392366</v>
      </c>
      <c r="T416" s="188">
        <v>65.715902593218686</v>
      </c>
      <c r="U416" s="188">
        <v>65.070068775216839</v>
      </c>
      <c r="V416" s="188">
        <v>64.872781385290935</v>
      </c>
      <c r="W416" s="188">
        <v>64.675686305025067</v>
      </c>
      <c r="X416" s="188">
        <v>64.478781004028946</v>
      </c>
      <c r="Y416" s="188">
        <v>64.282062996111264</v>
      </c>
      <c r="Z416" s="188">
        <v>64.085529838318848</v>
      </c>
      <c r="AA416" s="188">
        <v>63.889179130000691</v>
      </c>
      <c r="AB416" s="188">
        <v>63.693008511896373</v>
      </c>
      <c r="AC416" s="188">
        <v>63.497015665247773</v>
      </c>
      <c r="AD416" s="188">
        <v>63.301198310933643</v>
      </c>
      <c r="AE416" s="188">
        <v>63.10555420862633</v>
      </c>
      <c r="AF416" s="188">
        <v>62.91008115596982</v>
      </c>
      <c r="AG416" s="188">
        <v>62.714776987778642</v>
      </c>
      <c r="AH416" s="188">
        <v>62.519639575257017</v>
      </c>
      <c r="AI416" s="188">
        <v>62.324666825237557</v>
      </c>
      <c r="AJ416" s="188">
        <v>62.129856679438966</v>
      </c>
    </row>
    <row r="417" spans="1:36" x14ac:dyDescent="0.35">
      <c r="A417" t="s">
        <v>1980</v>
      </c>
      <c r="B417" s="188" t="s">
        <v>1342</v>
      </c>
      <c r="C417" t="s">
        <v>1343</v>
      </c>
      <c r="D417" s="188">
        <v>30</v>
      </c>
      <c r="E417" t="s">
        <v>1948</v>
      </c>
      <c r="F417" t="s">
        <v>1400</v>
      </c>
      <c r="G417" s="188" t="s">
        <v>1981</v>
      </c>
      <c r="H417" s="188">
        <v>56.649010757605978</v>
      </c>
      <c r="I417" s="188">
        <v>54.644849325659521</v>
      </c>
      <c r="J417" s="188">
        <v>53.376614267120743</v>
      </c>
      <c r="K417" s="188">
        <v>52.112987730369028</v>
      </c>
      <c r="L417" s="188">
        <v>50.854570096770857</v>
      </c>
      <c r="M417" s="188">
        <v>49.601100817839225</v>
      </c>
      <c r="N417" s="188">
        <v>48.351328518616135</v>
      </c>
      <c r="O417" s="188">
        <v>47.10503352017308</v>
      </c>
      <c r="P417" s="188">
        <v>45.862913729434709</v>
      </c>
      <c r="Q417" s="188">
        <v>44.624294628182071</v>
      </c>
      <c r="R417" s="188">
        <v>43.388980761023468</v>
      </c>
      <c r="S417" s="188">
        <v>42.156319158052682</v>
      </c>
      <c r="T417" s="188">
        <v>40.927085344181336</v>
      </c>
      <c r="U417" s="188">
        <v>39.701158061891249</v>
      </c>
      <c r="V417" s="188">
        <v>39.607547995527888</v>
      </c>
      <c r="W417" s="188">
        <v>39.514159046233559</v>
      </c>
      <c r="X417" s="188">
        <v>39.420987863749644</v>
      </c>
      <c r="Y417" s="188">
        <v>39.328031165159402</v>
      </c>
      <c r="Z417" s="188">
        <v>39.235285733204435</v>
      </c>
      <c r="AA417" s="188">
        <v>39.142748414651379</v>
      </c>
      <c r="AB417" s="188">
        <v>39.050416118707119</v>
      </c>
      <c r="AC417" s="188">
        <v>38.958285815480906</v>
      </c>
      <c r="AD417" s="188">
        <v>38.866354534491592</v>
      </c>
      <c r="AE417" s="188">
        <v>38.774619363218619</v>
      </c>
      <c r="AF417" s="188">
        <v>38.683077445695261</v>
      </c>
      <c r="AG417" s="188">
        <v>38.591725981142531</v>
      </c>
      <c r="AH417" s="188">
        <v>38.500562222642586</v>
      </c>
      <c r="AI417" s="188">
        <v>38.40958347585017</v>
      </c>
      <c r="AJ417" s="188">
        <v>38.318787097740895</v>
      </c>
    </row>
    <row r="418" spans="1:36" x14ac:dyDescent="0.35">
      <c r="A418" t="s">
        <v>1982</v>
      </c>
      <c r="B418" s="188" t="s">
        <v>1342</v>
      </c>
      <c r="C418" t="s">
        <v>1348</v>
      </c>
      <c r="D418" s="188">
        <v>30</v>
      </c>
      <c r="E418" t="s">
        <v>1948</v>
      </c>
      <c r="F418" t="s">
        <v>1400</v>
      </c>
      <c r="G418" s="188" t="s">
        <v>1981</v>
      </c>
      <c r="H418" s="188">
        <v>64.693592033520005</v>
      </c>
      <c r="I418" s="188">
        <v>62.612190406542076</v>
      </c>
      <c r="J418" s="188">
        <v>61.467698148099331</v>
      </c>
      <c r="K418" s="188">
        <v>60.325330237283865</v>
      </c>
      <c r="L418" s="188">
        <v>59.18500164939384</v>
      </c>
      <c r="M418" s="188">
        <v>58.046632050374917</v>
      </c>
      <c r="N418" s="188">
        <v>56.91014549357272</v>
      </c>
      <c r="O418" s="188">
        <v>55.775470141078891</v>
      </c>
      <c r="P418" s="188">
        <v>54.642538007521779</v>
      </c>
      <c r="Q418" s="188">
        <v>53.511284724382648</v>
      </c>
      <c r="R418" s="188">
        <v>52.381649323122701</v>
      </c>
      <c r="S418" s="188">
        <v>51.253574035589708</v>
      </c>
      <c r="T418" s="188">
        <v>50.127004110337396</v>
      </c>
      <c r="U418" s="188">
        <v>49.001887643640231</v>
      </c>
      <c r="V418" s="188">
        <v>48.84952941215505</v>
      </c>
      <c r="W418" s="188">
        <v>48.69745195455404</v>
      </c>
      <c r="X418" s="188">
        <v>48.545650667986621</v>
      </c>
      <c r="Y418" s="188">
        <v>48.394121049664228</v>
      </c>
      <c r="Z418" s="188">
        <v>48.242858694155842</v>
      </c>
      <c r="AA418" s="188">
        <v>48.091859290770913</v>
      </c>
      <c r="AB418" s="188">
        <v>47.941118621026192</v>
      </c>
      <c r="AC418" s="188">
        <v>47.790632556193373</v>
      </c>
      <c r="AD418" s="188">
        <v>47.640397054924634</v>
      </c>
      <c r="AE418" s="188">
        <v>47.49040816095318</v>
      </c>
      <c r="AF418" s="188">
        <v>47.340662000865976</v>
      </c>
      <c r="AG418" s="188">
        <v>47.191154781946068</v>
      </c>
      <c r="AH418" s="188">
        <v>47.041882790082056</v>
      </c>
      <c r="AI418" s="188">
        <v>46.892842387742149</v>
      </c>
      <c r="AJ418" s="188">
        <v>46.744030012010583</v>
      </c>
    </row>
    <row r="419" spans="1:36" x14ac:dyDescent="0.35">
      <c r="A419" t="s">
        <v>1983</v>
      </c>
      <c r="B419" s="188" t="s">
        <v>1342</v>
      </c>
      <c r="C419" t="s">
        <v>1350</v>
      </c>
      <c r="D419" s="188">
        <v>30</v>
      </c>
      <c r="E419" t="s">
        <v>1948</v>
      </c>
      <c r="F419" t="s">
        <v>1400</v>
      </c>
      <c r="G419" s="188" t="s">
        <v>1981</v>
      </c>
      <c r="H419" s="188">
        <v>74.700765369510037</v>
      </c>
      <c r="I419" s="188">
        <v>72.859581170038169</v>
      </c>
      <c r="J419" s="188">
        <v>72.206897421034853</v>
      </c>
      <c r="K419" s="188">
        <v>71.554912278102393</v>
      </c>
      <c r="L419" s="188">
        <v>70.903609107762918</v>
      </c>
      <c r="M419" s="188">
        <v>70.252971800427588</v>
      </c>
      <c r="N419" s="188">
        <v>69.602984749932247</v>
      </c>
      <c r="O419" s="188">
        <v>68.953632834024816</v>
      </c>
      <c r="P419" s="188">
        <v>68.304901395753262</v>
      </c>
      <c r="Q419" s="188">
        <v>67.656776225706068</v>
      </c>
      <c r="R419" s="188">
        <v>67.009243545059974</v>
      </c>
      <c r="S419" s="188">
        <v>66.362289989392366</v>
      </c>
      <c r="T419" s="188">
        <v>65.715902593218686</v>
      </c>
      <c r="U419" s="188">
        <v>65.070068775216839</v>
      </c>
      <c r="V419" s="188">
        <v>64.872781385290935</v>
      </c>
      <c r="W419" s="188">
        <v>64.675686305025067</v>
      </c>
      <c r="X419" s="188">
        <v>64.478781004028946</v>
      </c>
      <c r="Y419" s="188">
        <v>64.282062996111264</v>
      </c>
      <c r="Z419" s="188">
        <v>64.085529838318848</v>
      </c>
      <c r="AA419" s="188">
        <v>63.889179130000691</v>
      </c>
      <c r="AB419" s="188">
        <v>63.693008511896373</v>
      </c>
      <c r="AC419" s="188">
        <v>63.497015665247773</v>
      </c>
      <c r="AD419" s="188">
        <v>63.301198310933643</v>
      </c>
      <c r="AE419" s="188">
        <v>63.10555420862633</v>
      </c>
      <c r="AF419" s="188">
        <v>62.91008115596982</v>
      </c>
      <c r="AG419" s="188">
        <v>62.714776987778642</v>
      </c>
      <c r="AH419" s="188">
        <v>62.519639575257017</v>
      </c>
      <c r="AI419" s="188">
        <v>62.324666825237557</v>
      </c>
      <c r="AJ419" s="188">
        <v>62.129856679438966</v>
      </c>
    </row>
    <row r="420" spans="1:36" x14ac:dyDescent="0.35">
      <c r="A420" t="s">
        <v>1984</v>
      </c>
      <c r="B420" s="188" t="s">
        <v>1342</v>
      </c>
      <c r="C420" t="s">
        <v>1343</v>
      </c>
      <c r="D420" s="188">
        <v>30</v>
      </c>
      <c r="E420" t="s">
        <v>1948</v>
      </c>
      <c r="F420" t="s">
        <v>1405</v>
      </c>
      <c r="G420" s="188" t="s">
        <v>1985</v>
      </c>
      <c r="H420" s="188">
        <v>56.649010757605978</v>
      </c>
      <c r="I420" s="188">
        <v>54.644849325659521</v>
      </c>
      <c r="J420" s="188">
        <v>53.376614267120743</v>
      </c>
      <c r="K420" s="188">
        <v>52.112987730369028</v>
      </c>
      <c r="L420" s="188">
        <v>50.854570096770857</v>
      </c>
      <c r="M420" s="188">
        <v>49.601100817839225</v>
      </c>
      <c r="N420" s="188">
        <v>48.351328518616135</v>
      </c>
      <c r="O420" s="188">
        <v>47.10503352017308</v>
      </c>
      <c r="P420" s="188">
        <v>45.862913729434709</v>
      </c>
      <c r="Q420" s="188">
        <v>44.624294628182071</v>
      </c>
      <c r="R420" s="188">
        <v>43.388980761023468</v>
      </c>
      <c r="S420" s="188">
        <v>42.156319158052682</v>
      </c>
      <c r="T420" s="188">
        <v>40.927085344181336</v>
      </c>
      <c r="U420" s="188">
        <v>39.701158061891249</v>
      </c>
      <c r="V420" s="188">
        <v>39.607547995527888</v>
      </c>
      <c r="W420" s="188">
        <v>39.514159046233559</v>
      </c>
      <c r="X420" s="188">
        <v>39.420987863749644</v>
      </c>
      <c r="Y420" s="188">
        <v>39.328031165159402</v>
      </c>
      <c r="Z420" s="188">
        <v>39.235285733204435</v>
      </c>
      <c r="AA420" s="188">
        <v>39.142748414651379</v>
      </c>
      <c r="AB420" s="188">
        <v>39.050416118707119</v>
      </c>
      <c r="AC420" s="188">
        <v>38.958285815480906</v>
      </c>
      <c r="AD420" s="188">
        <v>38.866354534491592</v>
      </c>
      <c r="AE420" s="188">
        <v>38.774619363218619</v>
      </c>
      <c r="AF420" s="188">
        <v>38.683077445695261</v>
      </c>
      <c r="AG420" s="188">
        <v>38.591725981142531</v>
      </c>
      <c r="AH420" s="188">
        <v>38.500562222642586</v>
      </c>
      <c r="AI420" s="188">
        <v>38.40958347585017</v>
      </c>
      <c r="AJ420" s="188">
        <v>38.318787097740895</v>
      </c>
    </row>
    <row r="421" spans="1:36" x14ac:dyDescent="0.35">
      <c r="A421" t="s">
        <v>1986</v>
      </c>
      <c r="B421" s="188" t="s">
        <v>1342</v>
      </c>
      <c r="C421" t="s">
        <v>1348</v>
      </c>
      <c r="D421" s="188">
        <v>30</v>
      </c>
      <c r="E421" t="s">
        <v>1948</v>
      </c>
      <c r="F421" t="s">
        <v>1405</v>
      </c>
      <c r="G421" s="188" t="s">
        <v>1985</v>
      </c>
      <c r="H421" s="188">
        <v>64.693592033520005</v>
      </c>
      <c r="I421" s="188">
        <v>62.612190406542076</v>
      </c>
      <c r="J421" s="188">
        <v>61.467698148099331</v>
      </c>
      <c r="K421" s="188">
        <v>60.325330237283865</v>
      </c>
      <c r="L421" s="188">
        <v>59.18500164939384</v>
      </c>
      <c r="M421" s="188">
        <v>58.046632050374917</v>
      </c>
      <c r="N421" s="188">
        <v>56.91014549357272</v>
      </c>
      <c r="O421" s="188">
        <v>55.775470141078891</v>
      </c>
      <c r="P421" s="188">
        <v>54.642538007521779</v>
      </c>
      <c r="Q421" s="188">
        <v>53.511284724382648</v>
      </c>
      <c r="R421" s="188">
        <v>52.381649323122701</v>
      </c>
      <c r="S421" s="188">
        <v>51.253574035589708</v>
      </c>
      <c r="T421" s="188">
        <v>50.127004110337396</v>
      </c>
      <c r="U421" s="188">
        <v>49.001887643640231</v>
      </c>
      <c r="V421" s="188">
        <v>48.84952941215505</v>
      </c>
      <c r="W421" s="188">
        <v>48.69745195455404</v>
      </c>
      <c r="X421" s="188">
        <v>48.545650667986621</v>
      </c>
      <c r="Y421" s="188">
        <v>48.394121049664228</v>
      </c>
      <c r="Z421" s="188">
        <v>48.242858694155842</v>
      </c>
      <c r="AA421" s="188">
        <v>48.091859290770913</v>
      </c>
      <c r="AB421" s="188">
        <v>47.941118621026192</v>
      </c>
      <c r="AC421" s="188">
        <v>47.790632556193373</v>
      </c>
      <c r="AD421" s="188">
        <v>47.640397054924634</v>
      </c>
      <c r="AE421" s="188">
        <v>47.49040816095318</v>
      </c>
      <c r="AF421" s="188">
        <v>47.340662000865976</v>
      </c>
      <c r="AG421" s="188">
        <v>47.191154781946068</v>
      </c>
      <c r="AH421" s="188">
        <v>47.041882790082056</v>
      </c>
      <c r="AI421" s="188">
        <v>46.892842387742149</v>
      </c>
      <c r="AJ421" s="188">
        <v>46.744030012010583</v>
      </c>
    </row>
    <row r="422" spans="1:36" x14ac:dyDescent="0.35">
      <c r="A422" t="s">
        <v>1987</v>
      </c>
      <c r="B422" s="188" t="s">
        <v>1342</v>
      </c>
      <c r="C422" t="s">
        <v>1350</v>
      </c>
      <c r="D422" s="188">
        <v>30</v>
      </c>
      <c r="E422" t="s">
        <v>1948</v>
      </c>
      <c r="F422" t="s">
        <v>1405</v>
      </c>
      <c r="G422" s="188" t="s">
        <v>1985</v>
      </c>
      <c r="H422" s="188">
        <v>74.700765369510037</v>
      </c>
      <c r="I422" s="188">
        <v>72.859581170038169</v>
      </c>
      <c r="J422" s="188">
        <v>72.206897421034853</v>
      </c>
      <c r="K422" s="188">
        <v>71.554912278102393</v>
      </c>
      <c r="L422" s="188">
        <v>70.903609107762918</v>
      </c>
      <c r="M422" s="188">
        <v>70.252971800427588</v>
      </c>
      <c r="N422" s="188">
        <v>69.602984749932247</v>
      </c>
      <c r="O422" s="188">
        <v>68.953632834024816</v>
      </c>
      <c r="P422" s="188">
        <v>68.304901395753262</v>
      </c>
      <c r="Q422" s="188">
        <v>67.656776225706068</v>
      </c>
      <c r="R422" s="188">
        <v>67.009243545059974</v>
      </c>
      <c r="S422" s="188">
        <v>66.362289989392366</v>
      </c>
      <c r="T422" s="188">
        <v>65.715902593218686</v>
      </c>
      <c r="U422" s="188">
        <v>65.070068775216839</v>
      </c>
      <c r="V422" s="188">
        <v>64.872781385290935</v>
      </c>
      <c r="W422" s="188">
        <v>64.675686305025067</v>
      </c>
      <c r="X422" s="188">
        <v>64.478781004028946</v>
      </c>
      <c r="Y422" s="188">
        <v>64.282062996111264</v>
      </c>
      <c r="Z422" s="188">
        <v>64.085529838318848</v>
      </c>
      <c r="AA422" s="188">
        <v>63.889179130000691</v>
      </c>
      <c r="AB422" s="188">
        <v>63.693008511896373</v>
      </c>
      <c r="AC422" s="188">
        <v>63.497015665247773</v>
      </c>
      <c r="AD422" s="188">
        <v>63.301198310933643</v>
      </c>
      <c r="AE422" s="188">
        <v>63.10555420862633</v>
      </c>
      <c r="AF422" s="188">
        <v>62.91008115596982</v>
      </c>
      <c r="AG422" s="188">
        <v>62.714776987778642</v>
      </c>
      <c r="AH422" s="188">
        <v>62.519639575257017</v>
      </c>
      <c r="AI422" s="188">
        <v>62.324666825237557</v>
      </c>
      <c r="AJ422" s="188">
        <v>62.129856679438966</v>
      </c>
    </row>
    <row r="423" spans="1:36" hidden="1" x14ac:dyDescent="0.35">
      <c r="A423" t="s">
        <v>1988</v>
      </c>
      <c r="B423" s="188" t="s">
        <v>1342</v>
      </c>
      <c r="C423" t="s">
        <v>1343</v>
      </c>
      <c r="D423" t="s">
        <v>555</v>
      </c>
      <c r="E423" t="s">
        <v>1989</v>
      </c>
      <c r="F423" s="188" t="s">
        <v>1990</v>
      </c>
      <c r="G423" s="188" t="s">
        <v>1991</v>
      </c>
      <c r="H423" s="188">
        <v>20.149999999999999</v>
      </c>
      <c r="I423" s="188">
        <v>20.149999999999999</v>
      </c>
      <c r="J423" s="188">
        <v>20.149999999999999</v>
      </c>
      <c r="K423" s="188">
        <v>20.149999999999999</v>
      </c>
      <c r="L423" s="188">
        <v>20.149999999999999</v>
      </c>
      <c r="M423" s="188">
        <v>20.149999999999999</v>
      </c>
      <c r="N423" s="188">
        <v>20.149999999999999</v>
      </c>
      <c r="O423" s="188">
        <v>20.149999999999999</v>
      </c>
      <c r="P423" s="188">
        <v>20.149999999999999</v>
      </c>
      <c r="Q423" s="188">
        <v>20.149999999999999</v>
      </c>
      <c r="R423" s="188">
        <v>20.149999999999999</v>
      </c>
      <c r="S423" s="188">
        <v>20.149999999999999</v>
      </c>
      <c r="T423" s="188">
        <v>20.149999999999999</v>
      </c>
      <c r="U423" s="188">
        <v>20.149999999999999</v>
      </c>
      <c r="V423" s="188">
        <v>20.149999999999999</v>
      </c>
      <c r="W423" s="188">
        <v>20.149999999999999</v>
      </c>
      <c r="X423" s="188">
        <v>20.149999999999999</v>
      </c>
      <c r="Y423" s="188">
        <v>20.149999999999999</v>
      </c>
      <c r="Z423" s="188">
        <v>20.149999999999999</v>
      </c>
      <c r="AA423" s="188">
        <v>20.149999999999999</v>
      </c>
      <c r="AB423" s="188">
        <v>20.149999999999999</v>
      </c>
      <c r="AC423" s="188">
        <v>20.149999999999999</v>
      </c>
      <c r="AD423" s="188">
        <v>20.149999999999999</v>
      </c>
      <c r="AE423" s="188">
        <v>20.149999999999999</v>
      </c>
      <c r="AF423" s="188">
        <v>20.149999999999999</v>
      </c>
      <c r="AG423" s="188">
        <v>20.149999999999999</v>
      </c>
      <c r="AH423" s="188">
        <v>20.149999999999999</v>
      </c>
      <c r="AI423" s="188">
        <v>20.149999999999999</v>
      </c>
      <c r="AJ423" s="188">
        <v>20.149999999999999</v>
      </c>
    </row>
    <row r="424" spans="1:36" hidden="1" x14ac:dyDescent="0.35">
      <c r="A424" t="s">
        <v>1992</v>
      </c>
      <c r="B424" s="188" t="s">
        <v>1342</v>
      </c>
      <c r="C424" t="s">
        <v>1348</v>
      </c>
      <c r="D424" t="s">
        <v>555</v>
      </c>
      <c r="E424" t="s">
        <v>1989</v>
      </c>
      <c r="F424" s="188" t="s">
        <v>1990</v>
      </c>
      <c r="G424" s="188" t="s">
        <v>1991</v>
      </c>
      <c r="H424" s="188">
        <v>20.149999999999999</v>
      </c>
      <c r="I424" s="188">
        <v>20.149999999999999</v>
      </c>
      <c r="J424" s="188">
        <v>20.149999999999999</v>
      </c>
      <c r="K424" s="188">
        <v>20.149999999999999</v>
      </c>
      <c r="L424" s="188">
        <v>20.149999999999999</v>
      </c>
      <c r="M424" s="188">
        <v>20.149999999999999</v>
      </c>
      <c r="N424" s="188">
        <v>20.149999999999999</v>
      </c>
      <c r="O424" s="188">
        <v>20.149999999999999</v>
      </c>
      <c r="P424" s="188">
        <v>20.149999999999999</v>
      </c>
      <c r="Q424" s="188">
        <v>20.149999999999999</v>
      </c>
      <c r="R424" s="188">
        <v>20.149999999999999</v>
      </c>
      <c r="S424" s="188">
        <v>20.149999999999999</v>
      </c>
      <c r="T424" s="188">
        <v>20.149999999999999</v>
      </c>
      <c r="U424" s="188">
        <v>20.149999999999999</v>
      </c>
      <c r="V424" s="188">
        <v>20.149999999999999</v>
      </c>
      <c r="W424" s="188">
        <v>20.149999999999999</v>
      </c>
      <c r="X424" s="188">
        <v>20.149999999999999</v>
      </c>
      <c r="Y424" s="188">
        <v>20.149999999999999</v>
      </c>
      <c r="Z424" s="188">
        <v>20.149999999999999</v>
      </c>
      <c r="AA424" s="188">
        <v>20.149999999999999</v>
      </c>
      <c r="AB424" s="188">
        <v>20.149999999999999</v>
      </c>
      <c r="AC424" s="188">
        <v>20.149999999999999</v>
      </c>
      <c r="AD424" s="188">
        <v>20.149999999999999</v>
      </c>
      <c r="AE424" s="188">
        <v>20.149999999999999</v>
      </c>
      <c r="AF424" s="188">
        <v>20.149999999999999</v>
      </c>
      <c r="AG424" s="188">
        <v>20.149999999999999</v>
      </c>
      <c r="AH424" s="188">
        <v>20.149999999999999</v>
      </c>
      <c r="AI424" s="188">
        <v>20.149999999999999</v>
      </c>
      <c r="AJ424" s="188">
        <v>20.149999999999999</v>
      </c>
    </row>
    <row r="425" spans="1:36" hidden="1" x14ac:dyDescent="0.35">
      <c r="A425" t="s">
        <v>1993</v>
      </c>
      <c r="B425" s="188" t="s">
        <v>1342</v>
      </c>
      <c r="C425" t="s">
        <v>1350</v>
      </c>
      <c r="D425" t="s">
        <v>555</v>
      </c>
      <c r="E425" t="s">
        <v>1989</v>
      </c>
      <c r="F425" s="188" t="s">
        <v>1990</v>
      </c>
      <c r="G425" s="188" t="s">
        <v>1991</v>
      </c>
      <c r="H425" s="188">
        <v>20.149999999999999</v>
      </c>
      <c r="I425" s="188">
        <v>20.149999999999999</v>
      </c>
      <c r="J425" s="188">
        <v>20.149999999999999</v>
      </c>
      <c r="K425" s="188">
        <v>20.149999999999999</v>
      </c>
      <c r="L425" s="188">
        <v>20.149999999999999</v>
      </c>
      <c r="M425" s="188">
        <v>20.149999999999999</v>
      </c>
      <c r="N425" s="188">
        <v>20.149999999999999</v>
      </c>
      <c r="O425" s="188">
        <v>20.149999999999999</v>
      </c>
      <c r="P425" s="188">
        <v>20.149999999999999</v>
      </c>
      <c r="Q425" s="188">
        <v>20.149999999999999</v>
      </c>
      <c r="R425" s="188">
        <v>20.149999999999999</v>
      </c>
      <c r="S425" s="188">
        <v>20.149999999999999</v>
      </c>
      <c r="T425" s="188">
        <v>20.149999999999999</v>
      </c>
      <c r="U425" s="188">
        <v>20.149999999999999</v>
      </c>
      <c r="V425" s="188">
        <v>20.149999999999999</v>
      </c>
      <c r="W425" s="188">
        <v>20.149999999999999</v>
      </c>
      <c r="X425" s="188">
        <v>20.149999999999999</v>
      </c>
      <c r="Y425" s="188">
        <v>20.149999999999999</v>
      </c>
      <c r="Z425" s="188">
        <v>20.149999999999999</v>
      </c>
      <c r="AA425" s="188">
        <v>20.149999999999999</v>
      </c>
      <c r="AB425" s="188">
        <v>20.149999999999999</v>
      </c>
      <c r="AC425" s="188">
        <v>20.149999999999999</v>
      </c>
      <c r="AD425" s="188">
        <v>20.149999999999999</v>
      </c>
      <c r="AE425" s="188">
        <v>20.149999999999999</v>
      </c>
      <c r="AF425" s="188">
        <v>20.149999999999999</v>
      </c>
      <c r="AG425" s="188">
        <v>20.149999999999999</v>
      </c>
      <c r="AH425" s="188">
        <v>20.149999999999999</v>
      </c>
      <c r="AI425" s="188">
        <v>20.149999999999999</v>
      </c>
      <c r="AJ425" s="188">
        <v>20.149999999999999</v>
      </c>
    </row>
    <row r="426" spans="1:36" hidden="1" x14ac:dyDescent="0.35">
      <c r="A426" t="s">
        <v>1994</v>
      </c>
      <c r="B426" s="188" t="s">
        <v>1342</v>
      </c>
      <c r="C426" t="s">
        <v>1343</v>
      </c>
      <c r="D426" t="s">
        <v>555</v>
      </c>
      <c r="E426" t="s">
        <v>1989</v>
      </c>
      <c r="F426" s="188" t="s">
        <v>1995</v>
      </c>
      <c r="G426" s="188" t="s">
        <v>1996</v>
      </c>
      <c r="H426" s="188">
        <v>20.149999999999999</v>
      </c>
      <c r="I426" s="188">
        <v>20.149999999999999</v>
      </c>
      <c r="J426" s="188">
        <v>20.149999999999999</v>
      </c>
      <c r="K426" s="188">
        <v>20.149999999999999</v>
      </c>
      <c r="L426" s="188">
        <v>20.149999999999999</v>
      </c>
      <c r="M426" s="188">
        <v>20.149999999999999</v>
      </c>
      <c r="N426" s="188">
        <v>20.149999999999999</v>
      </c>
      <c r="O426" s="188">
        <v>20.149999999999999</v>
      </c>
      <c r="P426" s="188">
        <v>20.149999999999999</v>
      </c>
      <c r="Q426" s="188">
        <v>20.149999999999999</v>
      </c>
      <c r="R426" s="188">
        <v>20.149999999999999</v>
      </c>
      <c r="S426" s="188">
        <v>20.149999999999999</v>
      </c>
      <c r="T426" s="188">
        <v>20.149999999999999</v>
      </c>
      <c r="U426" s="188">
        <v>20.149999999999999</v>
      </c>
      <c r="V426" s="188">
        <v>20.149999999999999</v>
      </c>
      <c r="W426" s="188">
        <v>20.149999999999999</v>
      </c>
      <c r="X426" s="188">
        <v>20.149999999999999</v>
      </c>
      <c r="Y426" s="188">
        <v>20.149999999999999</v>
      </c>
      <c r="Z426" s="188">
        <v>20.149999999999999</v>
      </c>
      <c r="AA426" s="188">
        <v>20.149999999999999</v>
      </c>
      <c r="AB426" s="188">
        <v>20.149999999999999</v>
      </c>
      <c r="AC426" s="188">
        <v>20.149999999999999</v>
      </c>
      <c r="AD426" s="188">
        <v>20.149999999999999</v>
      </c>
      <c r="AE426" s="188">
        <v>20.149999999999999</v>
      </c>
      <c r="AF426" s="188">
        <v>20.149999999999999</v>
      </c>
      <c r="AG426" s="188">
        <v>20.149999999999999</v>
      </c>
      <c r="AH426" s="188">
        <v>20.149999999999999</v>
      </c>
      <c r="AI426" s="188">
        <v>20.149999999999999</v>
      </c>
      <c r="AJ426" s="188">
        <v>20.149999999999999</v>
      </c>
    </row>
    <row r="427" spans="1:36" hidden="1" x14ac:dyDescent="0.35">
      <c r="A427" t="s">
        <v>1997</v>
      </c>
      <c r="B427" s="188" t="s">
        <v>1342</v>
      </c>
      <c r="C427" t="s">
        <v>1348</v>
      </c>
      <c r="D427" t="s">
        <v>555</v>
      </c>
      <c r="E427" t="s">
        <v>1989</v>
      </c>
      <c r="F427" s="188" t="s">
        <v>1995</v>
      </c>
      <c r="G427" s="188" t="s">
        <v>1996</v>
      </c>
      <c r="H427" s="188">
        <v>20.149999999999999</v>
      </c>
      <c r="I427" s="188">
        <v>20.149999999999999</v>
      </c>
      <c r="J427" s="188">
        <v>20.149999999999999</v>
      </c>
      <c r="K427" s="188">
        <v>20.149999999999999</v>
      </c>
      <c r="L427" s="188">
        <v>20.149999999999999</v>
      </c>
      <c r="M427" s="188">
        <v>20.149999999999999</v>
      </c>
      <c r="N427" s="188">
        <v>20.149999999999999</v>
      </c>
      <c r="O427" s="188">
        <v>20.149999999999999</v>
      </c>
      <c r="P427" s="188">
        <v>20.149999999999999</v>
      </c>
      <c r="Q427" s="188">
        <v>20.149999999999999</v>
      </c>
      <c r="R427" s="188">
        <v>20.149999999999999</v>
      </c>
      <c r="S427" s="188">
        <v>20.149999999999999</v>
      </c>
      <c r="T427" s="188">
        <v>20.149999999999999</v>
      </c>
      <c r="U427" s="188">
        <v>20.149999999999999</v>
      </c>
      <c r="V427" s="188">
        <v>20.149999999999999</v>
      </c>
      <c r="W427" s="188">
        <v>20.149999999999999</v>
      </c>
      <c r="X427" s="188">
        <v>20.149999999999999</v>
      </c>
      <c r="Y427" s="188">
        <v>20.149999999999999</v>
      </c>
      <c r="Z427" s="188">
        <v>20.149999999999999</v>
      </c>
      <c r="AA427" s="188">
        <v>20.149999999999999</v>
      </c>
      <c r="AB427" s="188">
        <v>20.149999999999999</v>
      </c>
      <c r="AC427" s="188">
        <v>20.149999999999999</v>
      </c>
      <c r="AD427" s="188">
        <v>20.149999999999999</v>
      </c>
      <c r="AE427" s="188">
        <v>20.149999999999999</v>
      </c>
      <c r="AF427" s="188">
        <v>20.149999999999999</v>
      </c>
      <c r="AG427" s="188">
        <v>20.149999999999999</v>
      </c>
      <c r="AH427" s="188">
        <v>20.149999999999999</v>
      </c>
      <c r="AI427" s="188">
        <v>20.149999999999999</v>
      </c>
      <c r="AJ427" s="188">
        <v>20.149999999999999</v>
      </c>
    </row>
    <row r="428" spans="1:36" hidden="1" x14ac:dyDescent="0.35">
      <c r="A428" t="s">
        <v>1998</v>
      </c>
      <c r="B428" s="188" t="s">
        <v>1342</v>
      </c>
      <c r="C428" t="s">
        <v>1350</v>
      </c>
      <c r="D428" t="s">
        <v>555</v>
      </c>
      <c r="E428" t="s">
        <v>1989</v>
      </c>
      <c r="F428" s="188" t="s">
        <v>1995</v>
      </c>
      <c r="G428" s="188" t="s">
        <v>1996</v>
      </c>
      <c r="H428" s="188">
        <v>20.149999999999999</v>
      </c>
      <c r="I428" s="188">
        <v>20.149999999999999</v>
      </c>
      <c r="J428" s="188">
        <v>20.149999999999999</v>
      </c>
      <c r="K428" s="188">
        <v>20.149999999999999</v>
      </c>
      <c r="L428" s="188">
        <v>20.149999999999999</v>
      </c>
      <c r="M428" s="188">
        <v>20.149999999999999</v>
      </c>
      <c r="N428" s="188">
        <v>20.149999999999999</v>
      </c>
      <c r="O428" s="188">
        <v>20.149999999999999</v>
      </c>
      <c r="P428" s="188">
        <v>20.149999999999999</v>
      </c>
      <c r="Q428" s="188">
        <v>20.149999999999999</v>
      </c>
      <c r="R428" s="188">
        <v>20.149999999999999</v>
      </c>
      <c r="S428" s="188">
        <v>20.149999999999999</v>
      </c>
      <c r="T428" s="188">
        <v>20.149999999999999</v>
      </c>
      <c r="U428" s="188">
        <v>20.149999999999999</v>
      </c>
      <c r="V428" s="188">
        <v>20.149999999999999</v>
      </c>
      <c r="W428" s="188">
        <v>20.149999999999999</v>
      </c>
      <c r="X428" s="188">
        <v>20.149999999999999</v>
      </c>
      <c r="Y428" s="188">
        <v>20.149999999999999</v>
      </c>
      <c r="Z428" s="188">
        <v>20.149999999999999</v>
      </c>
      <c r="AA428" s="188">
        <v>20.149999999999999</v>
      </c>
      <c r="AB428" s="188">
        <v>20.149999999999999</v>
      </c>
      <c r="AC428" s="188">
        <v>20.149999999999999</v>
      </c>
      <c r="AD428" s="188">
        <v>20.149999999999999</v>
      </c>
      <c r="AE428" s="188">
        <v>20.149999999999999</v>
      </c>
      <c r="AF428" s="188">
        <v>20.149999999999999</v>
      </c>
      <c r="AG428" s="188">
        <v>20.149999999999999</v>
      </c>
      <c r="AH428" s="188">
        <v>20.149999999999999</v>
      </c>
      <c r="AI428" s="188">
        <v>20.149999999999999</v>
      </c>
      <c r="AJ428" s="188">
        <v>20.149999999999999</v>
      </c>
    </row>
    <row r="429" spans="1:36" hidden="1" x14ac:dyDescent="0.35">
      <c r="A429" t="s">
        <v>1999</v>
      </c>
      <c r="B429" s="188" t="s">
        <v>1342</v>
      </c>
      <c r="C429" t="s">
        <v>1343</v>
      </c>
      <c r="D429" t="s">
        <v>555</v>
      </c>
      <c r="E429" t="s">
        <v>1989</v>
      </c>
      <c r="F429" s="188" t="s">
        <v>2000</v>
      </c>
      <c r="G429" s="188" t="s">
        <v>2001</v>
      </c>
      <c r="H429" s="188">
        <v>20.149999999999999</v>
      </c>
      <c r="I429" s="188">
        <v>20.149999999999999</v>
      </c>
      <c r="J429" s="188">
        <v>20.149999999999999</v>
      </c>
      <c r="K429" s="188">
        <v>20.149999999999999</v>
      </c>
      <c r="L429" s="188">
        <v>20.149999999999999</v>
      </c>
      <c r="M429" s="188">
        <v>20.149999999999999</v>
      </c>
      <c r="N429" s="188">
        <v>20.149999999999999</v>
      </c>
      <c r="O429" s="188">
        <v>20.149999999999999</v>
      </c>
      <c r="P429" s="188">
        <v>20.149999999999999</v>
      </c>
      <c r="Q429" s="188">
        <v>20.149999999999999</v>
      </c>
      <c r="R429" s="188">
        <v>20.149999999999999</v>
      </c>
      <c r="S429" s="188">
        <v>20.149999999999999</v>
      </c>
      <c r="T429" s="188">
        <v>20.149999999999999</v>
      </c>
      <c r="U429" s="188">
        <v>20.149999999999999</v>
      </c>
      <c r="V429" s="188">
        <v>20.149999999999999</v>
      </c>
      <c r="W429" s="188">
        <v>20.149999999999999</v>
      </c>
      <c r="X429" s="188">
        <v>20.149999999999999</v>
      </c>
      <c r="Y429" s="188">
        <v>20.149999999999999</v>
      </c>
      <c r="Z429" s="188">
        <v>20.149999999999999</v>
      </c>
      <c r="AA429" s="188">
        <v>20.149999999999999</v>
      </c>
      <c r="AB429" s="188">
        <v>20.149999999999999</v>
      </c>
      <c r="AC429" s="188">
        <v>20.149999999999999</v>
      </c>
      <c r="AD429" s="188">
        <v>20.149999999999999</v>
      </c>
      <c r="AE429" s="188">
        <v>20.149999999999999</v>
      </c>
      <c r="AF429" s="188">
        <v>20.149999999999999</v>
      </c>
      <c r="AG429" s="188">
        <v>20.149999999999999</v>
      </c>
      <c r="AH429" s="188">
        <v>20.149999999999999</v>
      </c>
      <c r="AI429" s="188">
        <v>20.149999999999999</v>
      </c>
      <c r="AJ429" s="188">
        <v>20.149999999999999</v>
      </c>
    </row>
    <row r="430" spans="1:36" hidden="1" x14ac:dyDescent="0.35">
      <c r="A430" t="s">
        <v>2002</v>
      </c>
      <c r="B430" s="188" t="s">
        <v>1342</v>
      </c>
      <c r="C430" t="s">
        <v>1348</v>
      </c>
      <c r="D430" t="s">
        <v>555</v>
      </c>
      <c r="E430" t="s">
        <v>1989</v>
      </c>
      <c r="F430" s="188" t="s">
        <v>2000</v>
      </c>
      <c r="G430" s="188" t="s">
        <v>2001</v>
      </c>
      <c r="H430" s="188">
        <v>20.149999999999999</v>
      </c>
      <c r="I430" s="188">
        <v>20.149999999999999</v>
      </c>
      <c r="J430" s="188">
        <v>20.149999999999999</v>
      </c>
      <c r="K430" s="188">
        <v>20.149999999999999</v>
      </c>
      <c r="L430" s="188">
        <v>20.149999999999999</v>
      </c>
      <c r="M430" s="188">
        <v>20.149999999999999</v>
      </c>
      <c r="N430" s="188">
        <v>20.149999999999999</v>
      </c>
      <c r="O430" s="188">
        <v>20.149999999999999</v>
      </c>
      <c r="P430" s="188">
        <v>20.149999999999999</v>
      </c>
      <c r="Q430" s="188">
        <v>20.149999999999999</v>
      </c>
      <c r="R430" s="188">
        <v>20.149999999999999</v>
      </c>
      <c r="S430" s="188">
        <v>20.149999999999999</v>
      </c>
      <c r="T430" s="188">
        <v>20.149999999999999</v>
      </c>
      <c r="U430" s="188">
        <v>20.149999999999999</v>
      </c>
      <c r="V430" s="188">
        <v>20.149999999999999</v>
      </c>
      <c r="W430" s="188">
        <v>20.149999999999999</v>
      </c>
      <c r="X430" s="188">
        <v>20.149999999999999</v>
      </c>
      <c r="Y430" s="188">
        <v>20.149999999999999</v>
      </c>
      <c r="Z430" s="188">
        <v>20.149999999999999</v>
      </c>
      <c r="AA430" s="188">
        <v>20.149999999999999</v>
      </c>
      <c r="AB430" s="188">
        <v>20.149999999999999</v>
      </c>
      <c r="AC430" s="188">
        <v>20.149999999999999</v>
      </c>
      <c r="AD430" s="188">
        <v>20.149999999999999</v>
      </c>
      <c r="AE430" s="188">
        <v>20.149999999999999</v>
      </c>
      <c r="AF430" s="188">
        <v>20.149999999999999</v>
      </c>
      <c r="AG430" s="188">
        <v>20.149999999999999</v>
      </c>
      <c r="AH430" s="188">
        <v>20.149999999999999</v>
      </c>
      <c r="AI430" s="188">
        <v>20.149999999999999</v>
      </c>
      <c r="AJ430" s="188">
        <v>20.149999999999999</v>
      </c>
    </row>
    <row r="431" spans="1:36" hidden="1" x14ac:dyDescent="0.35">
      <c r="A431" t="s">
        <v>2003</v>
      </c>
      <c r="B431" s="188" t="s">
        <v>1342</v>
      </c>
      <c r="C431" t="s">
        <v>1350</v>
      </c>
      <c r="D431" t="s">
        <v>555</v>
      </c>
      <c r="E431" t="s">
        <v>1989</v>
      </c>
      <c r="F431" s="188" t="s">
        <v>2000</v>
      </c>
      <c r="G431" s="188" t="s">
        <v>2001</v>
      </c>
      <c r="H431" s="188">
        <v>20.149999999999999</v>
      </c>
      <c r="I431" s="188">
        <v>20.149999999999999</v>
      </c>
      <c r="J431" s="188">
        <v>20.149999999999999</v>
      </c>
      <c r="K431" s="188">
        <v>20.149999999999999</v>
      </c>
      <c r="L431" s="188">
        <v>20.149999999999999</v>
      </c>
      <c r="M431" s="188">
        <v>20.149999999999999</v>
      </c>
      <c r="N431" s="188">
        <v>20.149999999999999</v>
      </c>
      <c r="O431" s="188">
        <v>20.149999999999999</v>
      </c>
      <c r="P431" s="188">
        <v>20.149999999999999</v>
      </c>
      <c r="Q431" s="188">
        <v>20.149999999999999</v>
      </c>
      <c r="R431" s="188">
        <v>20.149999999999999</v>
      </c>
      <c r="S431" s="188">
        <v>20.149999999999999</v>
      </c>
      <c r="T431" s="188">
        <v>20.149999999999999</v>
      </c>
      <c r="U431" s="188">
        <v>20.149999999999999</v>
      </c>
      <c r="V431" s="188">
        <v>20.149999999999999</v>
      </c>
      <c r="W431" s="188">
        <v>20.149999999999999</v>
      </c>
      <c r="X431" s="188">
        <v>20.149999999999999</v>
      </c>
      <c r="Y431" s="188">
        <v>20.149999999999999</v>
      </c>
      <c r="Z431" s="188">
        <v>20.149999999999999</v>
      </c>
      <c r="AA431" s="188">
        <v>20.149999999999999</v>
      </c>
      <c r="AB431" s="188">
        <v>20.149999999999999</v>
      </c>
      <c r="AC431" s="188">
        <v>20.149999999999999</v>
      </c>
      <c r="AD431" s="188">
        <v>20.149999999999999</v>
      </c>
      <c r="AE431" s="188">
        <v>20.149999999999999</v>
      </c>
      <c r="AF431" s="188">
        <v>20.149999999999999</v>
      </c>
      <c r="AG431" s="188">
        <v>20.149999999999999</v>
      </c>
      <c r="AH431" s="188">
        <v>20.149999999999999</v>
      </c>
      <c r="AI431" s="188">
        <v>20.149999999999999</v>
      </c>
      <c r="AJ431" s="188">
        <v>20.149999999999999</v>
      </c>
    </row>
    <row r="432" spans="1:36" hidden="1" x14ac:dyDescent="0.35">
      <c r="A432" t="s">
        <v>2004</v>
      </c>
      <c r="B432" s="188" t="s">
        <v>1342</v>
      </c>
      <c r="C432" t="s">
        <v>1343</v>
      </c>
      <c r="D432" t="s">
        <v>555</v>
      </c>
      <c r="E432" t="s">
        <v>1989</v>
      </c>
      <c r="F432" s="188" t="s">
        <v>2005</v>
      </c>
      <c r="G432" s="188" t="s">
        <v>2006</v>
      </c>
      <c r="H432" s="188">
        <v>20.149999999999999</v>
      </c>
      <c r="I432" s="188">
        <v>20.149999999999999</v>
      </c>
      <c r="J432" s="188">
        <v>20.149999999999999</v>
      </c>
      <c r="K432" s="188">
        <v>20.149999999999999</v>
      </c>
      <c r="L432" s="188">
        <v>20.149999999999999</v>
      </c>
      <c r="M432" s="188">
        <v>20.149999999999999</v>
      </c>
      <c r="N432" s="188">
        <v>20.149999999999999</v>
      </c>
      <c r="O432" s="188">
        <v>20.149999999999999</v>
      </c>
      <c r="P432" s="188">
        <v>20.149999999999999</v>
      </c>
      <c r="Q432" s="188">
        <v>20.149999999999999</v>
      </c>
      <c r="R432" s="188">
        <v>20.149999999999999</v>
      </c>
      <c r="S432" s="188">
        <v>20.149999999999999</v>
      </c>
      <c r="T432" s="188">
        <v>20.149999999999999</v>
      </c>
      <c r="U432" s="188">
        <v>20.149999999999999</v>
      </c>
      <c r="V432" s="188">
        <v>20.149999999999999</v>
      </c>
      <c r="W432" s="188">
        <v>20.149999999999999</v>
      </c>
      <c r="X432" s="188">
        <v>20.149999999999999</v>
      </c>
      <c r="Y432" s="188">
        <v>20.149999999999999</v>
      </c>
      <c r="Z432" s="188">
        <v>20.149999999999999</v>
      </c>
      <c r="AA432" s="188">
        <v>20.149999999999999</v>
      </c>
      <c r="AB432" s="188">
        <v>20.149999999999999</v>
      </c>
      <c r="AC432" s="188">
        <v>20.149999999999999</v>
      </c>
      <c r="AD432" s="188">
        <v>20.149999999999999</v>
      </c>
      <c r="AE432" s="188">
        <v>20.149999999999999</v>
      </c>
      <c r="AF432" s="188">
        <v>20.149999999999999</v>
      </c>
      <c r="AG432" s="188">
        <v>20.149999999999999</v>
      </c>
      <c r="AH432" s="188">
        <v>20.149999999999999</v>
      </c>
      <c r="AI432" s="188">
        <v>20.149999999999999</v>
      </c>
      <c r="AJ432" s="188">
        <v>20.149999999999999</v>
      </c>
    </row>
    <row r="433" spans="1:36" hidden="1" x14ac:dyDescent="0.35">
      <c r="A433" t="s">
        <v>2007</v>
      </c>
      <c r="B433" s="188" t="s">
        <v>1342</v>
      </c>
      <c r="C433" t="s">
        <v>1348</v>
      </c>
      <c r="D433" t="s">
        <v>555</v>
      </c>
      <c r="E433" t="s">
        <v>1989</v>
      </c>
      <c r="F433" s="188" t="s">
        <v>2005</v>
      </c>
      <c r="G433" s="188" t="s">
        <v>2006</v>
      </c>
      <c r="H433" s="188">
        <v>20.149999999999999</v>
      </c>
      <c r="I433" s="188">
        <v>20.149999999999999</v>
      </c>
      <c r="J433" s="188">
        <v>20.149999999999999</v>
      </c>
      <c r="K433" s="188">
        <v>20.149999999999999</v>
      </c>
      <c r="L433" s="188">
        <v>20.149999999999999</v>
      </c>
      <c r="M433" s="188">
        <v>20.149999999999999</v>
      </c>
      <c r="N433" s="188">
        <v>20.149999999999999</v>
      </c>
      <c r="O433" s="188">
        <v>20.149999999999999</v>
      </c>
      <c r="P433" s="188">
        <v>20.149999999999999</v>
      </c>
      <c r="Q433" s="188">
        <v>20.149999999999999</v>
      </c>
      <c r="R433" s="188">
        <v>20.149999999999999</v>
      </c>
      <c r="S433" s="188">
        <v>20.149999999999999</v>
      </c>
      <c r="T433" s="188">
        <v>20.149999999999999</v>
      </c>
      <c r="U433" s="188">
        <v>20.149999999999999</v>
      </c>
      <c r="V433" s="188">
        <v>20.149999999999999</v>
      </c>
      <c r="W433" s="188">
        <v>20.149999999999999</v>
      </c>
      <c r="X433" s="188">
        <v>20.149999999999999</v>
      </c>
      <c r="Y433" s="188">
        <v>20.149999999999999</v>
      </c>
      <c r="Z433" s="188">
        <v>20.149999999999999</v>
      </c>
      <c r="AA433" s="188">
        <v>20.149999999999999</v>
      </c>
      <c r="AB433" s="188">
        <v>20.149999999999999</v>
      </c>
      <c r="AC433" s="188">
        <v>20.149999999999999</v>
      </c>
      <c r="AD433" s="188">
        <v>20.149999999999999</v>
      </c>
      <c r="AE433" s="188">
        <v>20.149999999999999</v>
      </c>
      <c r="AF433" s="188">
        <v>20.149999999999999</v>
      </c>
      <c r="AG433" s="188">
        <v>20.149999999999999</v>
      </c>
      <c r="AH433" s="188">
        <v>20.149999999999999</v>
      </c>
      <c r="AI433" s="188">
        <v>20.149999999999999</v>
      </c>
      <c r="AJ433" s="188">
        <v>20.149999999999999</v>
      </c>
    </row>
    <row r="434" spans="1:36" hidden="1" x14ac:dyDescent="0.35">
      <c r="A434" t="s">
        <v>2008</v>
      </c>
      <c r="B434" s="188" t="s">
        <v>1342</v>
      </c>
      <c r="C434" t="s">
        <v>1350</v>
      </c>
      <c r="D434" t="s">
        <v>555</v>
      </c>
      <c r="E434" t="s">
        <v>1989</v>
      </c>
      <c r="F434" s="188" t="s">
        <v>2005</v>
      </c>
      <c r="G434" s="188" t="s">
        <v>2006</v>
      </c>
      <c r="H434" s="188">
        <v>20.149999999999999</v>
      </c>
      <c r="I434" s="188">
        <v>20.149999999999999</v>
      </c>
      <c r="J434" s="188">
        <v>20.149999999999999</v>
      </c>
      <c r="K434" s="188">
        <v>20.149999999999999</v>
      </c>
      <c r="L434" s="188">
        <v>20.149999999999999</v>
      </c>
      <c r="M434" s="188">
        <v>20.149999999999999</v>
      </c>
      <c r="N434" s="188">
        <v>20.149999999999999</v>
      </c>
      <c r="O434" s="188">
        <v>20.149999999999999</v>
      </c>
      <c r="P434" s="188">
        <v>20.149999999999999</v>
      </c>
      <c r="Q434" s="188">
        <v>20.149999999999999</v>
      </c>
      <c r="R434" s="188">
        <v>20.149999999999999</v>
      </c>
      <c r="S434" s="188">
        <v>20.149999999999999</v>
      </c>
      <c r="T434" s="188">
        <v>20.149999999999999</v>
      </c>
      <c r="U434" s="188">
        <v>20.149999999999999</v>
      </c>
      <c r="V434" s="188">
        <v>20.149999999999999</v>
      </c>
      <c r="W434" s="188">
        <v>20.149999999999999</v>
      </c>
      <c r="X434" s="188">
        <v>20.149999999999999</v>
      </c>
      <c r="Y434" s="188">
        <v>20.149999999999999</v>
      </c>
      <c r="Z434" s="188">
        <v>20.149999999999999</v>
      </c>
      <c r="AA434" s="188">
        <v>20.149999999999999</v>
      </c>
      <c r="AB434" s="188">
        <v>20.149999999999999</v>
      </c>
      <c r="AC434" s="188">
        <v>20.149999999999999</v>
      </c>
      <c r="AD434" s="188">
        <v>20.149999999999999</v>
      </c>
      <c r="AE434" s="188">
        <v>20.149999999999999</v>
      </c>
      <c r="AF434" s="188">
        <v>20.149999999999999</v>
      </c>
      <c r="AG434" s="188">
        <v>20.149999999999999</v>
      </c>
      <c r="AH434" s="188">
        <v>20.149999999999999</v>
      </c>
      <c r="AI434" s="188">
        <v>20.149999999999999</v>
      </c>
      <c r="AJ434" s="188">
        <v>20.149999999999999</v>
      </c>
    </row>
    <row r="435" spans="1:36" hidden="1" x14ac:dyDescent="0.35">
      <c r="A435" t="s">
        <v>2009</v>
      </c>
      <c r="B435" s="188" t="s">
        <v>1342</v>
      </c>
      <c r="C435" t="s">
        <v>1343</v>
      </c>
      <c r="D435" t="s">
        <v>555</v>
      </c>
      <c r="E435" t="s">
        <v>1989</v>
      </c>
      <c r="F435" s="188" t="s">
        <v>2010</v>
      </c>
      <c r="G435" s="188" t="s">
        <v>2011</v>
      </c>
      <c r="H435" s="188">
        <v>20.149999999999999</v>
      </c>
      <c r="I435" s="188">
        <v>20.149999999999999</v>
      </c>
      <c r="J435" s="188">
        <v>20.149999999999999</v>
      </c>
      <c r="K435" s="188">
        <v>20.149999999999999</v>
      </c>
      <c r="L435" s="188">
        <v>20.149999999999999</v>
      </c>
      <c r="M435" s="188">
        <v>20.149999999999999</v>
      </c>
      <c r="N435" s="188">
        <v>20.149999999999999</v>
      </c>
      <c r="O435" s="188">
        <v>20.149999999999999</v>
      </c>
      <c r="P435" s="188">
        <v>20.149999999999999</v>
      </c>
      <c r="Q435" s="188">
        <v>20.149999999999999</v>
      </c>
      <c r="R435" s="188">
        <v>20.149999999999999</v>
      </c>
      <c r="S435" s="188">
        <v>20.149999999999999</v>
      </c>
      <c r="T435" s="188">
        <v>20.149999999999999</v>
      </c>
      <c r="U435" s="188">
        <v>20.149999999999999</v>
      </c>
      <c r="V435" s="188">
        <v>20.149999999999999</v>
      </c>
      <c r="W435" s="188">
        <v>20.149999999999999</v>
      </c>
      <c r="X435" s="188">
        <v>20.149999999999999</v>
      </c>
      <c r="Y435" s="188">
        <v>20.149999999999999</v>
      </c>
      <c r="Z435" s="188">
        <v>20.149999999999999</v>
      </c>
      <c r="AA435" s="188">
        <v>20.149999999999999</v>
      </c>
      <c r="AB435" s="188">
        <v>20.149999999999999</v>
      </c>
      <c r="AC435" s="188">
        <v>20.149999999999999</v>
      </c>
      <c r="AD435" s="188">
        <v>20.149999999999999</v>
      </c>
      <c r="AE435" s="188">
        <v>20.149999999999999</v>
      </c>
      <c r="AF435" s="188">
        <v>20.149999999999999</v>
      </c>
      <c r="AG435" s="188">
        <v>20.149999999999999</v>
      </c>
      <c r="AH435" s="188">
        <v>20.149999999999999</v>
      </c>
      <c r="AI435" s="188">
        <v>20.149999999999999</v>
      </c>
      <c r="AJ435" s="188">
        <v>20.149999999999999</v>
      </c>
    </row>
    <row r="436" spans="1:36" hidden="1" x14ac:dyDescent="0.35">
      <c r="A436" t="s">
        <v>2012</v>
      </c>
      <c r="B436" s="188" t="s">
        <v>1342</v>
      </c>
      <c r="C436" t="s">
        <v>1348</v>
      </c>
      <c r="D436" t="s">
        <v>555</v>
      </c>
      <c r="E436" t="s">
        <v>1989</v>
      </c>
      <c r="F436" s="188" t="s">
        <v>2010</v>
      </c>
      <c r="G436" s="188" t="s">
        <v>2011</v>
      </c>
      <c r="H436" s="188">
        <v>20.149999999999999</v>
      </c>
      <c r="I436" s="188">
        <v>20.149999999999999</v>
      </c>
      <c r="J436" s="188">
        <v>20.149999999999999</v>
      </c>
      <c r="K436" s="188">
        <v>20.149999999999999</v>
      </c>
      <c r="L436" s="188">
        <v>20.149999999999999</v>
      </c>
      <c r="M436" s="188">
        <v>20.149999999999999</v>
      </c>
      <c r="N436" s="188">
        <v>20.149999999999999</v>
      </c>
      <c r="O436" s="188">
        <v>20.149999999999999</v>
      </c>
      <c r="P436" s="188">
        <v>20.149999999999999</v>
      </c>
      <c r="Q436" s="188">
        <v>20.149999999999999</v>
      </c>
      <c r="R436" s="188">
        <v>20.149999999999999</v>
      </c>
      <c r="S436" s="188">
        <v>20.149999999999999</v>
      </c>
      <c r="T436" s="188">
        <v>20.149999999999999</v>
      </c>
      <c r="U436" s="188">
        <v>20.149999999999999</v>
      </c>
      <c r="V436" s="188">
        <v>20.149999999999999</v>
      </c>
      <c r="W436" s="188">
        <v>20.149999999999999</v>
      </c>
      <c r="X436" s="188">
        <v>20.149999999999999</v>
      </c>
      <c r="Y436" s="188">
        <v>20.149999999999999</v>
      </c>
      <c r="Z436" s="188">
        <v>20.149999999999999</v>
      </c>
      <c r="AA436" s="188">
        <v>20.149999999999999</v>
      </c>
      <c r="AB436" s="188">
        <v>20.149999999999999</v>
      </c>
      <c r="AC436" s="188">
        <v>20.149999999999999</v>
      </c>
      <c r="AD436" s="188">
        <v>20.149999999999999</v>
      </c>
      <c r="AE436" s="188">
        <v>20.149999999999999</v>
      </c>
      <c r="AF436" s="188">
        <v>20.149999999999999</v>
      </c>
      <c r="AG436" s="188">
        <v>20.149999999999999</v>
      </c>
      <c r="AH436" s="188">
        <v>20.149999999999999</v>
      </c>
      <c r="AI436" s="188">
        <v>20.149999999999999</v>
      </c>
      <c r="AJ436" s="188">
        <v>20.149999999999999</v>
      </c>
    </row>
    <row r="437" spans="1:36" hidden="1" x14ac:dyDescent="0.35">
      <c r="A437" t="s">
        <v>2013</v>
      </c>
      <c r="B437" s="188" t="s">
        <v>1342</v>
      </c>
      <c r="C437" t="s">
        <v>1350</v>
      </c>
      <c r="D437" t="s">
        <v>555</v>
      </c>
      <c r="E437" t="s">
        <v>1989</v>
      </c>
      <c r="F437" s="188" t="s">
        <v>2010</v>
      </c>
      <c r="G437" s="188" t="s">
        <v>2011</v>
      </c>
      <c r="H437" s="188">
        <v>20.149999999999999</v>
      </c>
      <c r="I437" s="188">
        <v>20.149999999999999</v>
      </c>
      <c r="J437" s="188">
        <v>20.149999999999999</v>
      </c>
      <c r="K437" s="188">
        <v>20.149999999999999</v>
      </c>
      <c r="L437" s="188">
        <v>20.149999999999999</v>
      </c>
      <c r="M437" s="188">
        <v>20.149999999999999</v>
      </c>
      <c r="N437" s="188">
        <v>20.149999999999999</v>
      </c>
      <c r="O437" s="188">
        <v>20.149999999999999</v>
      </c>
      <c r="P437" s="188">
        <v>20.149999999999999</v>
      </c>
      <c r="Q437" s="188">
        <v>20.149999999999999</v>
      </c>
      <c r="R437" s="188">
        <v>20.149999999999999</v>
      </c>
      <c r="S437" s="188">
        <v>20.149999999999999</v>
      </c>
      <c r="T437" s="188">
        <v>20.149999999999999</v>
      </c>
      <c r="U437" s="188">
        <v>20.149999999999999</v>
      </c>
      <c r="V437" s="188">
        <v>20.149999999999999</v>
      </c>
      <c r="W437" s="188">
        <v>20.149999999999999</v>
      </c>
      <c r="X437" s="188">
        <v>20.149999999999999</v>
      </c>
      <c r="Y437" s="188">
        <v>20.149999999999999</v>
      </c>
      <c r="Z437" s="188">
        <v>20.149999999999999</v>
      </c>
      <c r="AA437" s="188">
        <v>20.149999999999999</v>
      </c>
      <c r="AB437" s="188">
        <v>20.149999999999999</v>
      </c>
      <c r="AC437" s="188">
        <v>20.149999999999999</v>
      </c>
      <c r="AD437" s="188">
        <v>20.149999999999999</v>
      </c>
      <c r="AE437" s="188">
        <v>20.149999999999999</v>
      </c>
      <c r="AF437" s="188">
        <v>20.149999999999999</v>
      </c>
      <c r="AG437" s="188">
        <v>20.149999999999999</v>
      </c>
      <c r="AH437" s="188">
        <v>20.149999999999999</v>
      </c>
      <c r="AI437" s="188">
        <v>20.149999999999999</v>
      </c>
      <c r="AJ437" s="188">
        <v>20.149999999999999</v>
      </c>
    </row>
    <row r="438" spans="1:36" hidden="1" x14ac:dyDescent="0.35">
      <c r="A438" t="s">
        <v>2014</v>
      </c>
      <c r="B438" s="188" t="s">
        <v>1342</v>
      </c>
      <c r="C438" t="s">
        <v>1343</v>
      </c>
      <c r="D438" t="s">
        <v>555</v>
      </c>
      <c r="E438" t="s">
        <v>1989</v>
      </c>
      <c r="F438" s="188" t="s">
        <v>2015</v>
      </c>
      <c r="G438" s="188" t="s">
        <v>2016</v>
      </c>
      <c r="H438" s="188">
        <v>20.149999999999999</v>
      </c>
      <c r="I438" s="188">
        <v>20.149999999999999</v>
      </c>
      <c r="J438" s="188">
        <v>20.149999999999999</v>
      </c>
      <c r="K438" s="188">
        <v>20.149999999999999</v>
      </c>
      <c r="L438" s="188">
        <v>20.149999999999999</v>
      </c>
      <c r="M438" s="188">
        <v>20.149999999999999</v>
      </c>
      <c r="N438" s="188">
        <v>20.149999999999999</v>
      </c>
      <c r="O438" s="188">
        <v>20.149999999999999</v>
      </c>
      <c r="P438" s="188">
        <v>20.149999999999999</v>
      </c>
      <c r="Q438" s="188">
        <v>20.149999999999999</v>
      </c>
      <c r="R438" s="188">
        <v>20.149999999999999</v>
      </c>
      <c r="S438" s="188">
        <v>20.149999999999999</v>
      </c>
      <c r="T438" s="188">
        <v>20.149999999999999</v>
      </c>
      <c r="U438" s="188">
        <v>20.149999999999999</v>
      </c>
      <c r="V438" s="188">
        <v>20.149999999999999</v>
      </c>
      <c r="W438" s="188">
        <v>20.149999999999999</v>
      </c>
      <c r="X438" s="188">
        <v>20.149999999999999</v>
      </c>
      <c r="Y438" s="188">
        <v>20.149999999999999</v>
      </c>
      <c r="Z438" s="188">
        <v>20.149999999999999</v>
      </c>
      <c r="AA438" s="188">
        <v>20.149999999999999</v>
      </c>
      <c r="AB438" s="188">
        <v>20.149999999999999</v>
      </c>
      <c r="AC438" s="188">
        <v>20.149999999999999</v>
      </c>
      <c r="AD438" s="188">
        <v>20.149999999999999</v>
      </c>
      <c r="AE438" s="188">
        <v>20.149999999999999</v>
      </c>
      <c r="AF438" s="188">
        <v>20.149999999999999</v>
      </c>
      <c r="AG438" s="188">
        <v>20.149999999999999</v>
      </c>
      <c r="AH438" s="188">
        <v>20.149999999999999</v>
      </c>
      <c r="AI438" s="188">
        <v>20.149999999999999</v>
      </c>
      <c r="AJ438" s="188">
        <v>20.149999999999999</v>
      </c>
    </row>
    <row r="439" spans="1:36" hidden="1" x14ac:dyDescent="0.35">
      <c r="A439" t="s">
        <v>2017</v>
      </c>
      <c r="B439" s="188" t="s">
        <v>1342</v>
      </c>
      <c r="C439" t="s">
        <v>1348</v>
      </c>
      <c r="D439" t="s">
        <v>555</v>
      </c>
      <c r="E439" t="s">
        <v>1989</v>
      </c>
      <c r="F439" s="188" t="s">
        <v>2015</v>
      </c>
      <c r="G439" s="188" t="s">
        <v>2016</v>
      </c>
      <c r="H439" s="188">
        <v>20.149999999999999</v>
      </c>
      <c r="I439" s="188">
        <v>20.149999999999999</v>
      </c>
      <c r="J439" s="188">
        <v>20.149999999999999</v>
      </c>
      <c r="K439" s="188">
        <v>20.149999999999999</v>
      </c>
      <c r="L439" s="188">
        <v>20.149999999999999</v>
      </c>
      <c r="M439" s="188">
        <v>20.149999999999999</v>
      </c>
      <c r="N439" s="188">
        <v>20.149999999999999</v>
      </c>
      <c r="O439" s="188">
        <v>20.149999999999999</v>
      </c>
      <c r="P439" s="188">
        <v>20.149999999999999</v>
      </c>
      <c r="Q439" s="188">
        <v>20.149999999999999</v>
      </c>
      <c r="R439" s="188">
        <v>20.149999999999999</v>
      </c>
      <c r="S439" s="188">
        <v>20.149999999999999</v>
      </c>
      <c r="T439" s="188">
        <v>20.149999999999999</v>
      </c>
      <c r="U439" s="188">
        <v>20.149999999999999</v>
      </c>
      <c r="V439" s="188">
        <v>20.149999999999999</v>
      </c>
      <c r="W439" s="188">
        <v>20.149999999999999</v>
      </c>
      <c r="X439" s="188">
        <v>20.149999999999999</v>
      </c>
      <c r="Y439" s="188">
        <v>20.149999999999999</v>
      </c>
      <c r="Z439" s="188">
        <v>20.149999999999999</v>
      </c>
      <c r="AA439" s="188">
        <v>20.149999999999999</v>
      </c>
      <c r="AB439" s="188">
        <v>20.149999999999999</v>
      </c>
      <c r="AC439" s="188">
        <v>20.149999999999999</v>
      </c>
      <c r="AD439" s="188">
        <v>20.149999999999999</v>
      </c>
      <c r="AE439" s="188">
        <v>20.149999999999999</v>
      </c>
      <c r="AF439" s="188">
        <v>20.149999999999999</v>
      </c>
      <c r="AG439" s="188">
        <v>20.149999999999999</v>
      </c>
      <c r="AH439" s="188">
        <v>20.149999999999999</v>
      </c>
      <c r="AI439" s="188">
        <v>20.149999999999999</v>
      </c>
      <c r="AJ439" s="188">
        <v>20.149999999999999</v>
      </c>
    </row>
    <row r="440" spans="1:36" hidden="1" x14ac:dyDescent="0.35">
      <c r="A440" t="s">
        <v>2018</v>
      </c>
      <c r="B440" s="188" t="s">
        <v>1342</v>
      </c>
      <c r="C440" t="s">
        <v>1350</v>
      </c>
      <c r="D440" t="s">
        <v>555</v>
      </c>
      <c r="E440" t="s">
        <v>1989</v>
      </c>
      <c r="F440" s="188" t="s">
        <v>2015</v>
      </c>
      <c r="G440" s="188" t="s">
        <v>2016</v>
      </c>
      <c r="H440" s="188">
        <v>20.149999999999999</v>
      </c>
      <c r="I440" s="188">
        <v>20.149999999999999</v>
      </c>
      <c r="J440" s="188">
        <v>20.149999999999999</v>
      </c>
      <c r="K440" s="188">
        <v>20.149999999999999</v>
      </c>
      <c r="L440" s="188">
        <v>20.149999999999999</v>
      </c>
      <c r="M440" s="188">
        <v>20.149999999999999</v>
      </c>
      <c r="N440" s="188">
        <v>20.149999999999999</v>
      </c>
      <c r="O440" s="188">
        <v>20.149999999999999</v>
      </c>
      <c r="P440" s="188">
        <v>20.149999999999999</v>
      </c>
      <c r="Q440" s="188">
        <v>20.149999999999999</v>
      </c>
      <c r="R440" s="188">
        <v>20.149999999999999</v>
      </c>
      <c r="S440" s="188">
        <v>20.149999999999999</v>
      </c>
      <c r="T440" s="188">
        <v>20.149999999999999</v>
      </c>
      <c r="U440" s="188">
        <v>20.149999999999999</v>
      </c>
      <c r="V440" s="188">
        <v>20.149999999999999</v>
      </c>
      <c r="W440" s="188">
        <v>20.149999999999999</v>
      </c>
      <c r="X440" s="188">
        <v>20.149999999999999</v>
      </c>
      <c r="Y440" s="188">
        <v>20.149999999999999</v>
      </c>
      <c r="Z440" s="188">
        <v>20.149999999999999</v>
      </c>
      <c r="AA440" s="188">
        <v>20.149999999999999</v>
      </c>
      <c r="AB440" s="188">
        <v>20.149999999999999</v>
      </c>
      <c r="AC440" s="188">
        <v>20.149999999999999</v>
      </c>
      <c r="AD440" s="188">
        <v>20.149999999999999</v>
      </c>
      <c r="AE440" s="188">
        <v>20.149999999999999</v>
      </c>
      <c r="AF440" s="188">
        <v>20.149999999999999</v>
      </c>
      <c r="AG440" s="188">
        <v>20.149999999999999</v>
      </c>
      <c r="AH440" s="188">
        <v>20.149999999999999</v>
      </c>
      <c r="AI440" s="188">
        <v>20.149999999999999</v>
      </c>
      <c r="AJ440" s="188">
        <v>20.149999999999999</v>
      </c>
    </row>
    <row r="441" spans="1:36" hidden="1" x14ac:dyDescent="0.35">
      <c r="A441" t="s">
        <v>2019</v>
      </c>
      <c r="B441" s="188" t="s">
        <v>1342</v>
      </c>
      <c r="C441" t="s">
        <v>1343</v>
      </c>
      <c r="D441" t="s">
        <v>555</v>
      </c>
      <c r="E441" t="s">
        <v>1989</v>
      </c>
      <c r="F441" s="188" t="s">
        <v>2020</v>
      </c>
      <c r="G441" s="188" t="s">
        <v>2021</v>
      </c>
      <c r="H441" s="188">
        <v>20.149999999999999</v>
      </c>
      <c r="I441" s="188">
        <v>20.149999999999999</v>
      </c>
      <c r="J441" s="188">
        <v>20.149999999999999</v>
      </c>
      <c r="K441" s="188">
        <v>20.149999999999999</v>
      </c>
      <c r="L441" s="188">
        <v>20.149999999999999</v>
      </c>
      <c r="M441" s="188">
        <v>20.149999999999999</v>
      </c>
      <c r="N441" s="188">
        <v>20.149999999999999</v>
      </c>
      <c r="O441" s="188">
        <v>20.149999999999999</v>
      </c>
      <c r="P441" s="188">
        <v>20.149999999999999</v>
      </c>
      <c r="Q441" s="188">
        <v>20.149999999999999</v>
      </c>
      <c r="R441" s="188">
        <v>20.149999999999999</v>
      </c>
      <c r="S441" s="188">
        <v>20.149999999999999</v>
      </c>
      <c r="T441" s="188">
        <v>20.149999999999999</v>
      </c>
      <c r="U441" s="188">
        <v>20.149999999999999</v>
      </c>
      <c r="V441" s="188">
        <v>20.149999999999999</v>
      </c>
      <c r="W441" s="188">
        <v>20.149999999999999</v>
      </c>
      <c r="X441" s="188">
        <v>20.149999999999999</v>
      </c>
      <c r="Y441" s="188">
        <v>20.149999999999999</v>
      </c>
      <c r="Z441" s="188">
        <v>20.149999999999999</v>
      </c>
      <c r="AA441" s="188">
        <v>20.149999999999999</v>
      </c>
      <c r="AB441" s="188">
        <v>20.149999999999999</v>
      </c>
      <c r="AC441" s="188">
        <v>20.149999999999999</v>
      </c>
      <c r="AD441" s="188">
        <v>20.149999999999999</v>
      </c>
      <c r="AE441" s="188">
        <v>20.149999999999999</v>
      </c>
      <c r="AF441" s="188">
        <v>20.149999999999999</v>
      </c>
      <c r="AG441" s="188">
        <v>20.149999999999999</v>
      </c>
      <c r="AH441" s="188">
        <v>20.149999999999999</v>
      </c>
      <c r="AI441" s="188">
        <v>20.149999999999999</v>
      </c>
      <c r="AJ441" s="188">
        <v>20.149999999999999</v>
      </c>
    </row>
    <row r="442" spans="1:36" hidden="1" x14ac:dyDescent="0.35">
      <c r="A442" t="s">
        <v>2022</v>
      </c>
      <c r="B442" s="188" t="s">
        <v>1342</v>
      </c>
      <c r="C442" t="s">
        <v>1348</v>
      </c>
      <c r="D442" t="s">
        <v>555</v>
      </c>
      <c r="E442" t="s">
        <v>1989</v>
      </c>
      <c r="F442" s="188" t="s">
        <v>2020</v>
      </c>
      <c r="G442" s="188" t="s">
        <v>2021</v>
      </c>
      <c r="H442" s="188">
        <v>20.149999999999999</v>
      </c>
      <c r="I442" s="188">
        <v>20.149999999999999</v>
      </c>
      <c r="J442" s="188">
        <v>20.149999999999999</v>
      </c>
      <c r="K442" s="188">
        <v>20.149999999999999</v>
      </c>
      <c r="L442" s="188">
        <v>20.149999999999999</v>
      </c>
      <c r="M442" s="188">
        <v>20.149999999999999</v>
      </c>
      <c r="N442" s="188">
        <v>20.149999999999999</v>
      </c>
      <c r="O442" s="188">
        <v>20.149999999999999</v>
      </c>
      <c r="P442" s="188">
        <v>20.149999999999999</v>
      </c>
      <c r="Q442" s="188">
        <v>20.149999999999999</v>
      </c>
      <c r="R442" s="188">
        <v>20.149999999999999</v>
      </c>
      <c r="S442" s="188">
        <v>20.149999999999999</v>
      </c>
      <c r="T442" s="188">
        <v>20.149999999999999</v>
      </c>
      <c r="U442" s="188">
        <v>20.149999999999999</v>
      </c>
      <c r="V442" s="188">
        <v>20.149999999999999</v>
      </c>
      <c r="W442" s="188">
        <v>20.149999999999999</v>
      </c>
      <c r="X442" s="188">
        <v>20.149999999999999</v>
      </c>
      <c r="Y442" s="188">
        <v>20.149999999999999</v>
      </c>
      <c r="Z442" s="188">
        <v>20.149999999999999</v>
      </c>
      <c r="AA442" s="188">
        <v>20.149999999999999</v>
      </c>
      <c r="AB442" s="188">
        <v>20.149999999999999</v>
      </c>
      <c r="AC442" s="188">
        <v>20.149999999999999</v>
      </c>
      <c r="AD442" s="188">
        <v>20.149999999999999</v>
      </c>
      <c r="AE442" s="188">
        <v>20.149999999999999</v>
      </c>
      <c r="AF442" s="188">
        <v>20.149999999999999</v>
      </c>
      <c r="AG442" s="188">
        <v>20.149999999999999</v>
      </c>
      <c r="AH442" s="188">
        <v>20.149999999999999</v>
      </c>
      <c r="AI442" s="188">
        <v>20.149999999999999</v>
      </c>
      <c r="AJ442" s="188">
        <v>20.149999999999999</v>
      </c>
    </row>
    <row r="443" spans="1:36" hidden="1" x14ac:dyDescent="0.35">
      <c r="A443" t="s">
        <v>2023</v>
      </c>
      <c r="B443" s="188" t="s">
        <v>1342</v>
      </c>
      <c r="C443" t="s">
        <v>1350</v>
      </c>
      <c r="D443" t="s">
        <v>555</v>
      </c>
      <c r="E443" t="s">
        <v>1989</v>
      </c>
      <c r="F443" s="188" t="s">
        <v>2020</v>
      </c>
      <c r="G443" s="188" t="s">
        <v>2021</v>
      </c>
      <c r="H443" s="188">
        <v>20.149999999999999</v>
      </c>
      <c r="I443" s="188">
        <v>20.149999999999999</v>
      </c>
      <c r="J443" s="188">
        <v>20.149999999999999</v>
      </c>
      <c r="K443" s="188">
        <v>20.149999999999999</v>
      </c>
      <c r="L443" s="188">
        <v>20.149999999999999</v>
      </c>
      <c r="M443" s="188">
        <v>20.149999999999999</v>
      </c>
      <c r="N443" s="188">
        <v>20.149999999999999</v>
      </c>
      <c r="O443" s="188">
        <v>20.149999999999999</v>
      </c>
      <c r="P443" s="188">
        <v>20.149999999999999</v>
      </c>
      <c r="Q443" s="188">
        <v>20.149999999999999</v>
      </c>
      <c r="R443" s="188">
        <v>20.149999999999999</v>
      </c>
      <c r="S443" s="188">
        <v>20.149999999999999</v>
      </c>
      <c r="T443" s="188">
        <v>20.149999999999999</v>
      </c>
      <c r="U443" s="188">
        <v>20.149999999999999</v>
      </c>
      <c r="V443" s="188">
        <v>20.149999999999999</v>
      </c>
      <c r="W443" s="188">
        <v>20.149999999999999</v>
      </c>
      <c r="X443" s="188">
        <v>20.149999999999999</v>
      </c>
      <c r="Y443" s="188">
        <v>20.149999999999999</v>
      </c>
      <c r="Z443" s="188">
        <v>20.149999999999999</v>
      </c>
      <c r="AA443" s="188">
        <v>20.149999999999999</v>
      </c>
      <c r="AB443" s="188">
        <v>20.149999999999999</v>
      </c>
      <c r="AC443" s="188">
        <v>20.149999999999999</v>
      </c>
      <c r="AD443" s="188">
        <v>20.149999999999999</v>
      </c>
      <c r="AE443" s="188">
        <v>20.149999999999999</v>
      </c>
      <c r="AF443" s="188">
        <v>20.149999999999999</v>
      </c>
      <c r="AG443" s="188">
        <v>20.149999999999999</v>
      </c>
      <c r="AH443" s="188">
        <v>20.149999999999999</v>
      </c>
      <c r="AI443" s="188">
        <v>20.149999999999999</v>
      </c>
      <c r="AJ443" s="188">
        <v>20.149999999999999</v>
      </c>
    </row>
    <row r="444" spans="1:36" hidden="1" x14ac:dyDescent="0.35">
      <c r="A444" t="s">
        <v>2024</v>
      </c>
      <c r="B444" s="188" t="s">
        <v>1342</v>
      </c>
      <c r="C444" t="s">
        <v>1343</v>
      </c>
      <c r="D444" t="s">
        <v>555</v>
      </c>
      <c r="E444" t="s">
        <v>1989</v>
      </c>
      <c r="F444" s="188" t="s">
        <v>2025</v>
      </c>
      <c r="G444" s="188" t="s">
        <v>2026</v>
      </c>
      <c r="H444" s="188">
        <v>20.149999999999999</v>
      </c>
      <c r="I444" s="188">
        <v>20.149999999999999</v>
      </c>
      <c r="J444" s="188">
        <v>20.149999999999999</v>
      </c>
      <c r="K444" s="188">
        <v>20.149999999999999</v>
      </c>
      <c r="L444" s="188">
        <v>20.149999999999999</v>
      </c>
      <c r="M444" s="188">
        <v>20.149999999999999</v>
      </c>
      <c r="N444" s="188">
        <v>20.149999999999999</v>
      </c>
      <c r="O444" s="188">
        <v>20.149999999999999</v>
      </c>
      <c r="P444" s="188">
        <v>20.149999999999999</v>
      </c>
      <c r="Q444" s="188">
        <v>20.149999999999999</v>
      </c>
      <c r="R444" s="188">
        <v>20.149999999999999</v>
      </c>
      <c r="S444" s="188">
        <v>20.149999999999999</v>
      </c>
      <c r="T444" s="188">
        <v>20.149999999999999</v>
      </c>
      <c r="U444" s="188">
        <v>20.149999999999999</v>
      </c>
      <c r="V444" s="188">
        <v>20.149999999999999</v>
      </c>
      <c r="W444" s="188">
        <v>20.149999999999999</v>
      </c>
      <c r="X444" s="188">
        <v>20.149999999999999</v>
      </c>
      <c r="Y444" s="188">
        <v>20.149999999999999</v>
      </c>
      <c r="Z444" s="188">
        <v>20.149999999999999</v>
      </c>
      <c r="AA444" s="188">
        <v>20.149999999999999</v>
      </c>
      <c r="AB444" s="188">
        <v>20.149999999999999</v>
      </c>
      <c r="AC444" s="188">
        <v>20.149999999999999</v>
      </c>
      <c r="AD444" s="188">
        <v>20.149999999999999</v>
      </c>
      <c r="AE444" s="188">
        <v>20.149999999999999</v>
      </c>
      <c r="AF444" s="188">
        <v>20.149999999999999</v>
      </c>
      <c r="AG444" s="188">
        <v>20.149999999999999</v>
      </c>
      <c r="AH444" s="188">
        <v>20.149999999999999</v>
      </c>
      <c r="AI444" s="188">
        <v>20.149999999999999</v>
      </c>
      <c r="AJ444" s="188">
        <v>20.149999999999999</v>
      </c>
    </row>
    <row r="445" spans="1:36" hidden="1" x14ac:dyDescent="0.35">
      <c r="A445" t="s">
        <v>2027</v>
      </c>
      <c r="B445" s="188" t="s">
        <v>1342</v>
      </c>
      <c r="C445" t="s">
        <v>1348</v>
      </c>
      <c r="D445" t="s">
        <v>555</v>
      </c>
      <c r="E445" t="s">
        <v>1989</v>
      </c>
      <c r="F445" s="188" t="s">
        <v>2025</v>
      </c>
      <c r="G445" s="188" t="s">
        <v>2026</v>
      </c>
      <c r="H445" s="188">
        <v>20.149999999999999</v>
      </c>
      <c r="I445" s="188">
        <v>20.149999999999999</v>
      </c>
      <c r="J445" s="188">
        <v>20.149999999999999</v>
      </c>
      <c r="K445" s="188">
        <v>20.149999999999999</v>
      </c>
      <c r="L445" s="188">
        <v>20.149999999999999</v>
      </c>
      <c r="M445" s="188">
        <v>20.149999999999999</v>
      </c>
      <c r="N445" s="188">
        <v>20.149999999999999</v>
      </c>
      <c r="O445" s="188">
        <v>20.149999999999999</v>
      </c>
      <c r="P445" s="188">
        <v>20.149999999999999</v>
      </c>
      <c r="Q445" s="188">
        <v>20.149999999999999</v>
      </c>
      <c r="R445" s="188">
        <v>20.149999999999999</v>
      </c>
      <c r="S445" s="188">
        <v>20.149999999999999</v>
      </c>
      <c r="T445" s="188">
        <v>20.149999999999999</v>
      </c>
      <c r="U445" s="188">
        <v>20.149999999999999</v>
      </c>
      <c r="V445" s="188">
        <v>20.149999999999999</v>
      </c>
      <c r="W445" s="188">
        <v>20.149999999999999</v>
      </c>
      <c r="X445" s="188">
        <v>20.149999999999999</v>
      </c>
      <c r="Y445" s="188">
        <v>20.149999999999999</v>
      </c>
      <c r="Z445" s="188">
        <v>20.149999999999999</v>
      </c>
      <c r="AA445" s="188">
        <v>20.149999999999999</v>
      </c>
      <c r="AB445" s="188">
        <v>20.149999999999999</v>
      </c>
      <c r="AC445" s="188">
        <v>20.149999999999999</v>
      </c>
      <c r="AD445" s="188">
        <v>20.149999999999999</v>
      </c>
      <c r="AE445" s="188">
        <v>20.149999999999999</v>
      </c>
      <c r="AF445" s="188">
        <v>20.149999999999999</v>
      </c>
      <c r="AG445" s="188">
        <v>20.149999999999999</v>
      </c>
      <c r="AH445" s="188">
        <v>20.149999999999999</v>
      </c>
      <c r="AI445" s="188">
        <v>20.149999999999999</v>
      </c>
      <c r="AJ445" s="188">
        <v>20.149999999999999</v>
      </c>
    </row>
    <row r="446" spans="1:36" hidden="1" x14ac:dyDescent="0.35">
      <c r="A446" t="s">
        <v>2028</v>
      </c>
      <c r="B446" s="188" t="s">
        <v>1342</v>
      </c>
      <c r="C446" t="s">
        <v>1350</v>
      </c>
      <c r="D446" t="s">
        <v>555</v>
      </c>
      <c r="E446" t="s">
        <v>1989</v>
      </c>
      <c r="F446" s="188" t="s">
        <v>2025</v>
      </c>
      <c r="G446" s="188" t="s">
        <v>2026</v>
      </c>
      <c r="H446" s="188">
        <v>20.149999999999999</v>
      </c>
      <c r="I446" s="188">
        <v>20.149999999999999</v>
      </c>
      <c r="J446" s="188">
        <v>20.149999999999999</v>
      </c>
      <c r="K446" s="188">
        <v>20.149999999999999</v>
      </c>
      <c r="L446" s="188">
        <v>20.149999999999999</v>
      </c>
      <c r="M446" s="188">
        <v>20.149999999999999</v>
      </c>
      <c r="N446" s="188">
        <v>20.149999999999999</v>
      </c>
      <c r="O446" s="188">
        <v>20.149999999999999</v>
      </c>
      <c r="P446" s="188">
        <v>20.149999999999999</v>
      </c>
      <c r="Q446" s="188">
        <v>20.149999999999999</v>
      </c>
      <c r="R446" s="188">
        <v>20.149999999999999</v>
      </c>
      <c r="S446" s="188">
        <v>20.149999999999999</v>
      </c>
      <c r="T446" s="188">
        <v>20.149999999999999</v>
      </c>
      <c r="U446" s="188">
        <v>20.149999999999999</v>
      </c>
      <c r="V446" s="188">
        <v>20.149999999999999</v>
      </c>
      <c r="W446" s="188">
        <v>20.149999999999999</v>
      </c>
      <c r="X446" s="188">
        <v>20.149999999999999</v>
      </c>
      <c r="Y446" s="188">
        <v>20.149999999999999</v>
      </c>
      <c r="Z446" s="188">
        <v>20.149999999999999</v>
      </c>
      <c r="AA446" s="188">
        <v>20.149999999999999</v>
      </c>
      <c r="AB446" s="188">
        <v>20.149999999999999</v>
      </c>
      <c r="AC446" s="188">
        <v>20.149999999999999</v>
      </c>
      <c r="AD446" s="188">
        <v>20.149999999999999</v>
      </c>
      <c r="AE446" s="188">
        <v>20.149999999999999</v>
      </c>
      <c r="AF446" s="188">
        <v>20.149999999999999</v>
      </c>
      <c r="AG446" s="188">
        <v>20.149999999999999</v>
      </c>
      <c r="AH446" s="188">
        <v>20.149999999999999</v>
      </c>
      <c r="AI446" s="188">
        <v>20.149999999999999</v>
      </c>
      <c r="AJ446" s="188">
        <v>20.149999999999999</v>
      </c>
    </row>
    <row r="447" spans="1:36" hidden="1" x14ac:dyDescent="0.35">
      <c r="A447" t="s">
        <v>2029</v>
      </c>
      <c r="B447" s="188" t="s">
        <v>1342</v>
      </c>
      <c r="C447" t="s">
        <v>1343</v>
      </c>
      <c r="D447" t="s">
        <v>555</v>
      </c>
      <c r="E447" t="s">
        <v>1989</v>
      </c>
      <c r="F447" s="188" t="s">
        <v>2030</v>
      </c>
      <c r="G447" s="188" t="s">
        <v>2031</v>
      </c>
      <c r="H447" s="188">
        <v>20.149999999999999</v>
      </c>
      <c r="I447" s="188">
        <v>20.149999999999999</v>
      </c>
      <c r="J447" s="188">
        <v>20.149999999999999</v>
      </c>
      <c r="K447" s="188">
        <v>20.149999999999999</v>
      </c>
      <c r="L447" s="188">
        <v>20.149999999999999</v>
      </c>
      <c r="M447" s="188">
        <v>20.149999999999999</v>
      </c>
      <c r="N447" s="188">
        <v>20.149999999999999</v>
      </c>
      <c r="O447" s="188">
        <v>20.149999999999999</v>
      </c>
      <c r="P447" s="188">
        <v>20.149999999999999</v>
      </c>
      <c r="Q447" s="188">
        <v>20.149999999999999</v>
      </c>
      <c r="R447" s="188">
        <v>20.149999999999999</v>
      </c>
      <c r="S447" s="188">
        <v>20.149999999999999</v>
      </c>
      <c r="T447" s="188">
        <v>20.149999999999999</v>
      </c>
      <c r="U447" s="188">
        <v>20.149999999999999</v>
      </c>
      <c r="V447" s="188">
        <v>20.149999999999999</v>
      </c>
      <c r="W447" s="188">
        <v>20.149999999999999</v>
      </c>
      <c r="X447" s="188">
        <v>20.149999999999999</v>
      </c>
      <c r="Y447" s="188">
        <v>20.149999999999999</v>
      </c>
      <c r="Z447" s="188">
        <v>20.149999999999999</v>
      </c>
      <c r="AA447" s="188">
        <v>20.149999999999999</v>
      </c>
      <c r="AB447" s="188">
        <v>20.149999999999999</v>
      </c>
      <c r="AC447" s="188">
        <v>20.149999999999999</v>
      </c>
      <c r="AD447" s="188">
        <v>20.149999999999999</v>
      </c>
      <c r="AE447" s="188">
        <v>20.149999999999999</v>
      </c>
      <c r="AF447" s="188">
        <v>20.149999999999999</v>
      </c>
      <c r="AG447" s="188">
        <v>20.149999999999999</v>
      </c>
      <c r="AH447" s="188">
        <v>20.149999999999999</v>
      </c>
      <c r="AI447" s="188">
        <v>20.149999999999999</v>
      </c>
      <c r="AJ447" s="188">
        <v>20.149999999999999</v>
      </c>
    </row>
    <row r="448" spans="1:36" hidden="1" x14ac:dyDescent="0.35">
      <c r="A448" t="s">
        <v>2032</v>
      </c>
      <c r="B448" s="188" t="s">
        <v>1342</v>
      </c>
      <c r="C448" t="s">
        <v>1348</v>
      </c>
      <c r="D448" t="s">
        <v>555</v>
      </c>
      <c r="E448" t="s">
        <v>1989</v>
      </c>
      <c r="F448" s="188" t="s">
        <v>2030</v>
      </c>
      <c r="G448" s="188" t="s">
        <v>2031</v>
      </c>
      <c r="H448" s="188">
        <v>20.149999999999999</v>
      </c>
      <c r="I448" s="188">
        <v>20.149999999999999</v>
      </c>
      <c r="J448" s="188">
        <v>20.149999999999999</v>
      </c>
      <c r="K448" s="188">
        <v>20.149999999999999</v>
      </c>
      <c r="L448" s="188">
        <v>20.149999999999999</v>
      </c>
      <c r="M448" s="188">
        <v>20.149999999999999</v>
      </c>
      <c r="N448" s="188">
        <v>20.149999999999999</v>
      </c>
      <c r="O448" s="188">
        <v>20.149999999999999</v>
      </c>
      <c r="P448" s="188">
        <v>20.149999999999999</v>
      </c>
      <c r="Q448" s="188">
        <v>20.149999999999999</v>
      </c>
      <c r="R448" s="188">
        <v>20.149999999999999</v>
      </c>
      <c r="S448" s="188">
        <v>20.149999999999999</v>
      </c>
      <c r="T448" s="188">
        <v>20.149999999999999</v>
      </c>
      <c r="U448" s="188">
        <v>20.149999999999999</v>
      </c>
      <c r="V448" s="188">
        <v>20.149999999999999</v>
      </c>
      <c r="W448" s="188">
        <v>20.149999999999999</v>
      </c>
      <c r="X448" s="188">
        <v>20.149999999999999</v>
      </c>
      <c r="Y448" s="188">
        <v>20.149999999999999</v>
      </c>
      <c r="Z448" s="188">
        <v>20.149999999999999</v>
      </c>
      <c r="AA448" s="188">
        <v>20.149999999999999</v>
      </c>
      <c r="AB448" s="188">
        <v>20.149999999999999</v>
      </c>
      <c r="AC448" s="188">
        <v>20.149999999999999</v>
      </c>
      <c r="AD448" s="188">
        <v>20.149999999999999</v>
      </c>
      <c r="AE448" s="188">
        <v>20.149999999999999</v>
      </c>
      <c r="AF448" s="188">
        <v>20.149999999999999</v>
      </c>
      <c r="AG448" s="188">
        <v>20.149999999999999</v>
      </c>
      <c r="AH448" s="188">
        <v>20.149999999999999</v>
      </c>
      <c r="AI448" s="188">
        <v>20.149999999999999</v>
      </c>
      <c r="AJ448" s="188">
        <v>20.149999999999999</v>
      </c>
    </row>
    <row r="449" spans="1:36" hidden="1" x14ac:dyDescent="0.35">
      <c r="A449" t="s">
        <v>2033</v>
      </c>
      <c r="B449" s="188" t="s">
        <v>1342</v>
      </c>
      <c r="C449" t="s">
        <v>1350</v>
      </c>
      <c r="D449" t="s">
        <v>555</v>
      </c>
      <c r="E449" t="s">
        <v>1989</v>
      </c>
      <c r="F449" s="188" t="s">
        <v>2030</v>
      </c>
      <c r="G449" s="188" t="s">
        <v>2031</v>
      </c>
      <c r="H449" s="188">
        <v>20.149999999999999</v>
      </c>
      <c r="I449" s="188">
        <v>20.149999999999999</v>
      </c>
      <c r="J449" s="188">
        <v>20.149999999999999</v>
      </c>
      <c r="K449" s="188">
        <v>20.149999999999999</v>
      </c>
      <c r="L449" s="188">
        <v>20.149999999999999</v>
      </c>
      <c r="M449" s="188">
        <v>20.149999999999999</v>
      </c>
      <c r="N449" s="188">
        <v>20.149999999999999</v>
      </c>
      <c r="O449" s="188">
        <v>20.149999999999999</v>
      </c>
      <c r="P449" s="188">
        <v>20.149999999999999</v>
      </c>
      <c r="Q449" s="188">
        <v>20.149999999999999</v>
      </c>
      <c r="R449" s="188">
        <v>20.149999999999999</v>
      </c>
      <c r="S449" s="188">
        <v>20.149999999999999</v>
      </c>
      <c r="T449" s="188">
        <v>20.149999999999999</v>
      </c>
      <c r="U449" s="188">
        <v>20.149999999999999</v>
      </c>
      <c r="V449" s="188">
        <v>20.149999999999999</v>
      </c>
      <c r="W449" s="188">
        <v>20.149999999999999</v>
      </c>
      <c r="X449" s="188">
        <v>20.149999999999999</v>
      </c>
      <c r="Y449" s="188">
        <v>20.149999999999999</v>
      </c>
      <c r="Z449" s="188">
        <v>20.149999999999999</v>
      </c>
      <c r="AA449" s="188">
        <v>20.149999999999999</v>
      </c>
      <c r="AB449" s="188">
        <v>20.149999999999999</v>
      </c>
      <c r="AC449" s="188">
        <v>20.149999999999999</v>
      </c>
      <c r="AD449" s="188">
        <v>20.149999999999999</v>
      </c>
      <c r="AE449" s="188">
        <v>20.149999999999999</v>
      </c>
      <c r="AF449" s="188">
        <v>20.149999999999999</v>
      </c>
      <c r="AG449" s="188">
        <v>20.149999999999999</v>
      </c>
      <c r="AH449" s="188">
        <v>20.149999999999999</v>
      </c>
      <c r="AI449" s="188">
        <v>20.149999999999999</v>
      </c>
      <c r="AJ449" s="188">
        <v>20.149999999999999</v>
      </c>
    </row>
    <row r="450" spans="1:36" hidden="1" x14ac:dyDescent="0.35">
      <c r="A450" t="s">
        <v>2034</v>
      </c>
      <c r="B450" s="188" t="s">
        <v>1342</v>
      </c>
      <c r="C450" t="s">
        <v>1343</v>
      </c>
      <c r="D450" t="s">
        <v>555</v>
      </c>
      <c r="E450" t="s">
        <v>1989</v>
      </c>
      <c r="F450" s="188" t="s">
        <v>2035</v>
      </c>
      <c r="G450" s="188" t="s">
        <v>2036</v>
      </c>
      <c r="H450" s="188">
        <v>20.149999999999999</v>
      </c>
      <c r="I450" s="188">
        <v>20.149999999999999</v>
      </c>
      <c r="J450" s="188">
        <v>20.149999999999999</v>
      </c>
      <c r="K450" s="188">
        <v>20.149999999999999</v>
      </c>
      <c r="L450" s="188">
        <v>20.149999999999999</v>
      </c>
      <c r="M450" s="188">
        <v>20.149999999999999</v>
      </c>
      <c r="N450" s="188">
        <v>20.149999999999999</v>
      </c>
      <c r="O450" s="188">
        <v>20.149999999999999</v>
      </c>
      <c r="P450" s="188">
        <v>20.149999999999999</v>
      </c>
      <c r="Q450" s="188">
        <v>20.149999999999999</v>
      </c>
      <c r="R450" s="188">
        <v>20.149999999999999</v>
      </c>
      <c r="S450" s="188">
        <v>20.149999999999999</v>
      </c>
      <c r="T450" s="188">
        <v>20.149999999999999</v>
      </c>
      <c r="U450" s="188">
        <v>20.149999999999999</v>
      </c>
      <c r="V450" s="188">
        <v>20.149999999999999</v>
      </c>
      <c r="W450" s="188">
        <v>20.149999999999999</v>
      </c>
      <c r="X450" s="188">
        <v>20.149999999999999</v>
      </c>
      <c r="Y450" s="188">
        <v>20.149999999999999</v>
      </c>
      <c r="Z450" s="188">
        <v>20.149999999999999</v>
      </c>
      <c r="AA450" s="188">
        <v>20.149999999999999</v>
      </c>
      <c r="AB450" s="188">
        <v>20.149999999999999</v>
      </c>
      <c r="AC450" s="188">
        <v>20.149999999999999</v>
      </c>
      <c r="AD450" s="188">
        <v>20.149999999999999</v>
      </c>
      <c r="AE450" s="188">
        <v>20.149999999999999</v>
      </c>
      <c r="AF450" s="188">
        <v>20.149999999999999</v>
      </c>
      <c r="AG450" s="188">
        <v>20.149999999999999</v>
      </c>
      <c r="AH450" s="188">
        <v>20.149999999999999</v>
      </c>
      <c r="AI450" s="188">
        <v>20.149999999999999</v>
      </c>
      <c r="AJ450" s="188">
        <v>20.149999999999999</v>
      </c>
    </row>
    <row r="451" spans="1:36" hidden="1" x14ac:dyDescent="0.35">
      <c r="A451" t="s">
        <v>2037</v>
      </c>
      <c r="B451" s="188" t="s">
        <v>1342</v>
      </c>
      <c r="C451" t="s">
        <v>1348</v>
      </c>
      <c r="D451" t="s">
        <v>555</v>
      </c>
      <c r="E451" t="s">
        <v>1989</v>
      </c>
      <c r="F451" s="188" t="s">
        <v>2035</v>
      </c>
      <c r="G451" s="188" t="s">
        <v>2036</v>
      </c>
      <c r="H451" s="188">
        <v>20.149999999999999</v>
      </c>
      <c r="I451" s="188">
        <v>20.149999999999999</v>
      </c>
      <c r="J451" s="188">
        <v>20.149999999999999</v>
      </c>
      <c r="K451" s="188">
        <v>20.149999999999999</v>
      </c>
      <c r="L451" s="188">
        <v>20.149999999999999</v>
      </c>
      <c r="M451" s="188">
        <v>20.149999999999999</v>
      </c>
      <c r="N451" s="188">
        <v>20.149999999999999</v>
      </c>
      <c r="O451" s="188">
        <v>20.149999999999999</v>
      </c>
      <c r="P451" s="188">
        <v>20.149999999999999</v>
      </c>
      <c r="Q451" s="188">
        <v>20.149999999999999</v>
      </c>
      <c r="R451" s="188">
        <v>20.149999999999999</v>
      </c>
      <c r="S451" s="188">
        <v>20.149999999999999</v>
      </c>
      <c r="T451" s="188">
        <v>20.149999999999999</v>
      </c>
      <c r="U451" s="188">
        <v>20.149999999999999</v>
      </c>
      <c r="V451" s="188">
        <v>20.149999999999999</v>
      </c>
      <c r="W451" s="188">
        <v>20.149999999999999</v>
      </c>
      <c r="X451" s="188">
        <v>20.149999999999999</v>
      </c>
      <c r="Y451" s="188">
        <v>20.149999999999999</v>
      </c>
      <c r="Z451" s="188">
        <v>20.149999999999999</v>
      </c>
      <c r="AA451" s="188">
        <v>20.149999999999999</v>
      </c>
      <c r="AB451" s="188">
        <v>20.149999999999999</v>
      </c>
      <c r="AC451" s="188">
        <v>20.149999999999999</v>
      </c>
      <c r="AD451" s="188">
        <v>20.149999999999999</v>
      </c>
      <c r="AE451" s="188">
        <v>20.149999999999999</v>
      </c>
      <c r="AF451" s="188">
        <v>20.149999999999999</v>
      </c>
      <c r="AG451" s="188">
        <v>20.149999999999999</v>
      </c>
      <c r="AH451" s="188">
        <v>20.149999999999999</v>
      </c>
      <c r="AI451" s="188">
        <v>20.149999999999999</v>
      </c>
      <c r="AJ451" s="188">
        <v>20.149999999999999</v>
      </c>
    </row>
    <row r="452" spans="1:36" hidden="1" x14ac:dyDescent="0.35">
      <c r="A452" t="s">
        <v>2038</v>
      </c>
      <c r="B452" s="188" t="s">
        <v>1342</v>
      </c>
      <c r="C452" t="s">
        <v>1350</v>
      </c>
      <c r="D452" t="s">
        <v>555</v>
      </c>
      <c r="E452" t="s">
        <v>1989</v>
      </c>
      <c r="F452" s="188" t="s">
        <v>2035</v>
      </c>
      <c r="G452" s="188" t="s">
        <v>2036</v>
      </c>
      <c r="H452" s="188">
        <v>20.149999999999999</v>
      </c>
      <c r="I452" s="188">
        <v>20.149999999999999</v>
      </c>
      <c r="J452" s="188">
        <v>20.149999999999999</v>
      </c>
      <c r="K452" s="188">
        <v>20.149999999999999</v>
      </c>
      <c r="L452" s="188">
        <v>20.149999999999999</v>
      </c>
      <c r="M452" s="188">
        <v>20.149999999999999</v>
      </c>
      <c r="N452" s="188">
        <v>20.149999999999999</v>
      </c>
      <c r="O452" s="188">
        <v>20.149999999999999</v>
      </c>
      <c r="P452" s="188">
        <v>20.149999999999999</v>
      </c>
      <c r="Q452" s="188">
        <v>20.149999999999999</v>
      </c>
      <c r="R452" s="188">
        <v>20.149999999999999</v>
      </c>
      <c r="S452" s="188">
        <v>20.149999999999999</v>
      </c>
      <c r="T452" s="188">
        <v>20.149999999999999</v>
      </c>
      <c r="U452" s="188">
        <v>20.149999999999999</v>
      </c>
      <c r="V452" s="188">
        <v>20.149999999999999</v>
      </c>
      <c r="W452" s="188">
        <v>20.149999999999999</v>
      </c>
      <c r="X452" s="188">
        <v>20.149999999999999</v>
      </c>
      <c r="Y452" s="188">
        <v>20.149999999999999</v>
      </c>
      <c r="Z452" s="188">
        <v>20.149999999999999</v>
      </c>
      <c r="AA452" s="188">
        <v>20.149999999999999</v>
      </c>
      <c r="AB452" s="188">
        <v>20.149999999999999</v>
      </c>
      <c r="AC452" s="188">
        <v>20.149999999999999</v>
      </c>
      <c r="AD452" s="188">
        <v>20.149999999999999</v>
      </c>
      <c r="AE452" s="188">
        <v>20.149999999999999</v>
      </c>
      <c r="AF452" s="188">
        <v>20.149999999999999</v>
      </c>
      <c r="AG452" s="188">
        <v>20.149999999999999</v>
      </c>
      <c r="AH452" s="188">
        <v>20.149999999999999</v>
      </c>
      <c r="AI452" s="188">
        <v>20.149999999999999</v>
      </c>
      <c r="AJ452" s="188">
        <v>20.149999999999999</v>
      </c>
    </row>
    <row r="453" spans="1:36" hidden="1" x14ac:dyDescent="0.35">
      <c r="A453" t="s">
        <v>1988</v>
      </c>
      <c r="B453" s="188" t="s">
        <v>1342</v>
      </c>
      <c r="C453" t="s">
        <v>1343</v>
      </c>
      <c r="D453" t="s">
        <v>555</v>
      </c>
      <c r="E453" t="s">
        <v>1989</v>
      </c>
      <c r="F453" s="188" t="s">
        <v>2039</v>
      </c>
      <c r="G453" s="188" t="s">
        <v>2040</v>
      </c>
      <c r="H453" s="188">
        <v>20.149999999999999</v>
      </c>
      <c r="I453" s="188">
        <v>20.149999999999999</v>
      </c>
      <c r="J453" s="188">
        <v>20.149999999999999</v>
      </c>
      <c r="K453" s="188">
        <v>20.149999999999999</v>
      </c>
      <c r="L453" s="188">
        <v>20.149999999999999</v>
      </c>
      <c r="M453" s="188">
        <v>20.149999999999999</v>
      </c>
      <c r="N453" s="188">
        <v>20.149999999999999</v>
      </c>
      <c r="O453" s="188">
        <v>20.149999999999999</v>
      </c>
      <c r="P453" s="188">
        <v>20.149999999999999</v>
      </c>
      <c r="Q453" s="188">
        <v>20.149999999999999</v>
      </c>
      <c r="R453" s="188">
        <v>20.149999999999999</v>
      </c>
      <c r="S453" s="188">
        <v>20.149999999999999</v>
      </c>
      <c r="T453" s="188">
        <v>20.149999999999999</v>
      </c>
      <c r="U453" s="188">
        <v>20.149999999999999</v>
      </c>
      <c r="V453" s="188">
        <v>20.149999999999999</v>
      </c>
      <c r="W453" s="188">
        <v>20.149999999999999</v>
      </c>
      <c r="X453" s="188">
        <v>20.149999999999999</v>
      </c>
      <c r="Y453" s="188">
        <v>20.149999999999999</v>
      </c>
      <c r="Z453" s="188">
        <v>20.149999999999999</v>
      </c>
      <c r="AA453" s="188">
        <v>20.149999999999999</v>
      </c>
      <c r="AB453" s="188">
        <v>20.149999999999999</v>
      </c>
      <c r="AC453" s="188">
        <v>20.149999999999999</v>
      </c>
      <c r="AD453" s="188">
        <v>20.149999999999999</v>
      </c>
      <c r="AE453" s="188">
        <v>20.149999999999999</v>
      </c>
      <c r="AF453" s="188">
        <v>20.149999999999999</v>
      </c>
      <c r="AG453" s="188">
        <v>20.149999999999999</v>
      </c>
      <c r="AH453" s="188">
        <v>20.149999999999999</v>
      </c>
      <c r="AI453" s="188">
        <v>20.149999999999999</v>
      </c>
      <c r="AJ453" s="188">
        <v>20.149999999999999</v>
      </c>
    </row>
    <row r="454" spans="1:36" hidden="1" x14ac:dyDescent="0.35">
      <c r="A454" t="s">
        <v>1992</v>
      </c>
      <c r="B454" s="188" t="s">
        <v>1342</v>
      </c>
      <c r="C454" t="s">
        <v>1348</v>
      </c>
      <c r="D454" t="s">
        <v>555</v>
      </c>
      <c r="E454" t="s">
        <v>1989</v>
      </c>
      <c r="F454" s="188" t="s">
        <v>2039</v>
      </c>
      <c r="G454" s="188" t="s">
        <v>2040</v>
      </c>
      <c r="H454" s="188">
        <v>20.149999999999999</v>
      </c>
      <c r="I454" s="188">
        <v>20.149999999999999</v>
      </c>
      <c r="J454" s="188">
        <v>20.149999999999999</v>
      </c>
      <c r="K454" s="188">
        <v>20.149999999999999</v>
      </c>
      <c r="L454" s="188">
        <v>20.149999999999999</v>
      </c>
      <c r="M454" s="188">
        <v>20.149999999999999</v>
      </c>
      <c r="N454" s="188">
        <v>20.149999999999999</v>
      </c>
      <c r="O454" s="188">
        <v>20.149999999999999</v>
      </c>
      <c r="P454" s="188">
        <v>20.149999999999999</v>
      </c>
      <c r="Q454" s="188">
        <v>20.149999999999999</v>
      </c>
      <c r="R454" s="188">
        <v>20.149999999999999</v>
      </c>
      <c r="S454" s="188">
        <v>20.149999999999999</v>
      </c>
      <c r="T454" s="188">
        <v>20.149999999999999</v>
      </c>
      <c r="U454" s="188">
        <v>20.149999999999999</v>
      </c>
      <c r="V454" s="188">
        <v>20.149999999999999</v>
      </c>
      <c r="W454" s="188">
        <v>20.149999999999999</v>
      </c>
      <c r="X454" s="188">
        <v>20.149999999999999</v>
      </c>
      <c r="Y454" s="188">
        <v>20.149999999999999</v>
      </c>
      <c r="Z454" s="188">
        <v>20.149999999999999</v>
      </c>
      <c r="AA454" s="188">
        <v>20.149999999999999</v>
      </c>
      <c r="AB454" s="188">
        <v>20.149999999999999</v>
      </c>
      <c r="AC454" s="188">
        <v>20.149999999999999</v>
      </c>
      <c r="AD454" s="188">
        <v>20.149999999999999</v>
      </c>
      <c r="AE454" s="188">
        <v>20.149999999999999</v>
      </c>
      <c r="AF454" s="188">
        <v>20.149999999999999</v>
      </c>
      <c r="AG454" s="188">
        <v>20.149999999999999</v>
      </c>
      <c r="AH454" s="188">
        <v>20.149999999999999</v>
      </c>
      <c r="AI454" s="188">
        <v>20.149999999999999</v>
      </c>
      <c r="AJ454" s="188">
        <v>20.149999999999999</v>
      </c>
    </row>
    <row r="455" spans="1:36" hidden="1" x14ac:dyDescent="0.35">
      <c r="A455" t="s">
        <v>1993</v>
      </c>
      <c r="B455" s="188" t="s">
        <v>1342</v>
      </c>
      <c r="C455" t="s">
        <v>1350</v>
      </c>
      <c r="D455" t="s">
        <v>555</v>
      </c>
      <c r="E455" t="s">
        <v>1989</v>
      </c>
      <c r="F455" s="188" t="s">
        <v>2039</v>
      </c>
      <c r="G455" s="188" t="s">
        <v>2040</v>
      </c>
      <c r="H455" s="188">
        <v>20.149999999999999</v>
      </c>
      <c r="I455" s="188">
        <v>20.149999999999999</v>
      </c>
      <c r="J455" s="188">
        <v>20.149999999999999</v>
      </c>
      <c r="K455" s="188">
        <v>20.149999999999999</v>
      </c>
      <c r="L455" s="188">
        <v>20.149999999999999</v>
      </c>
      <c r="M455" s="188">
        <v>20.149999999999999</v>
      </c>
      <c r="N455" s="188">
        <v>20.149999999999999</v>
      </c>
      <c r="O455" s="188">
        <v>20.149999999999999</v>
      </c>
      <c r="P455" s="188">
        <v>20.149999999999999</v>
      </c>
      <c r="Q455" s="188">
        <v>20.149999999999999</v>
      </c>
      <c r="R455" s="188">
        <v>20.149999999999999</v>
      </c>
      <c r="S455" s="188">
        <v>20.149999999999999</v>
      </c>
      <c r="T455" s="188">
        <v>20.149999999999999</v>
      </c>
      <c r="U455" s="188">
        <v>20.149999999999999</v>
      </c>
      <c r="V455" s="188">
        <v>20.149999999999999</v>
      </c>
      <c r="W455" s="188">
        <v>20.149999999999999</v>
      </c>
      <c r="X455" s="188">
        <v>20.149999999999999</v>
      </c>
      <c r="Y455" s="188">
        <v>20.149999999999999</v>
      </c>
      <c r="Z455" s="188">
        <v>20.149999999999999</v>
      </c>
      <c r="AA455" s="188">
        <v>20.149999999999999</v>
      </c>
      <c r="AB455" s="188">
        <v>20.149999999999999</v>
      </c>
      <c r="AC455" s="188">
        <v>20.149999999999999</v>
      </c>
      <c r="AD455" s="188">
        <v>20.149999999999999</v>
      </c>
      <c r="AE455" s="188">
        <v>20.149999999999999</v>
      </c>
      <c r="AF455" s="188">
        <v>20.149999999999999</v>
      </c>
      <c r="AG455" s="188">
        <v>20.149999999999999</v>
      </c>
      <c r="AH455" s="188">
        <v>20.149999999999999</v>
      </c>
      <c r="AI455" s="188">
        <v>20.149999999999999</v>
      </c>
      <c r="AJ455" s="188">
        <v>20.149999999999999</v>
      </c>
    </row>
    <row r="456" spans="1:36" hidden="1" x14ac:dyDescent="0.35">
      <c r="A456" t="s">
        <v>1994</v>
      </c>
      <c r="B456" s="188" t="s">
        <v>1342</v>
      </c>
      <c r="C456" t="s">
        <v>1343</v>
      </c>
      <c r="D456" t="s">
        <v>555</v>
      </c>
      <c r="E456" t="s">
        <v>1989</v>
      </c>
      <c r="F456" s="188" t="s">
        <v>2041</v>
      </c>
      <c r="G456" s="188" t="s">
        <v>2042</v>
      </c>
      <c r="H456" s="188">
        <v>20.149999999999999</v>
      </c>
      <c r="I456" s="188">
        <v>20.149999999999999</v>
      </c>
      <c r="J456" s="188">
        <v>20.149999999999999</v>
      </c>
      <c r="K456" s="188">
        <v>20.149999999999999</v>
      </c>
      <c r="L456" s="188">
        <v>20.149999999999999</v>
      </c>
      <c r="M456" s="188">
        <v>20.149999999999999</v>
      </c>
      <c r="N456" s="188">
        <v>20.149999999999999</v>
      </c>
      <c r="O456" s="188">
        <v>20.149999999999999</v>
      </c>
      <c r="P456" s="188">
        <v>20.149999999999999</v>
      </c>
      <c r="Q456" s="188">
        <v>20.149999999999999</v>
      </c>
      <c r="R456" s="188">
        <v>20.149999999999999</v>
      </c>
      <c r="S456" s="188">
        <v>20.149999999999999</v>
      </c>
      <c r="T456" s="188">
        <v>20.149999999999999</v>
      </c>
      <c r="U456" s="188">
        <v>20.149999999999999</v>
      </c>
      <c r="V456" s="188">
        <v>20.149999999999999</v>
      </c>
      <c r="W456" s="188">
        <v>20.149999999999999</v>
      </c>
      <c r="X456" s="188">
        <v>20.149999999999999</v>
      </c>
      <c r="Y456" s="188">
        <v>20.149999999999999</v>
      </c>
      <c r="Z456" s="188">
        <v>20.149999999999999</v>
      </c>
      <c r="AA456" s="188">
        <v>20.149999999999999</v>
      </c>
      <c r="AB456" s="188">
        <v>20.149999999999999</v>
      </c>
      <c r="AC456" s="188">
        <v>20.149999999999999</v>
      </c>
      <c r="AD456" s="188">
        <v>20.149999999999999</v>
      </c>
      <c r="AE456" s="188">
        <v>20.149999999999999</v>
      </c>
      <c r="AF456" s="188">
        <v>20.149999999999999</v>
      </c>
      <c r="AG456" s="188">
        <v>20.149999999999999</v>
      </c>
      <c r="AH456" s="188">
        <v>20.149999999999999</v>
      </c>
      <c r="AI456" s="188">
        <v>20.149999999999999</v>
      </c>
      <c r="AJ456" s="188">
        <v>20.149999999999999</v>
      </c>
    </row>
    <row r="457" spans="1:36" hidden="1" x14ac:dyDescent="0.35">
      <c r="A457" t="s">
        <v>1997</v>
      </c>
      <c r="B457" s="188" t="s">
        <v>1342</v>
      </c>
      <c r="C457" t="s">
        <v>1348</v>
      </c>
      <c r="D457" t="s">
        <v>555</v>
      </c>
      <c r="E457" t="s">
        <v>1989</v>
      </c>
      <c r="F457" s="188" t="s">
        <v>2041</v>
      </c>
      <c r="G457" s="188" t="s">
        <v>2042</v>
      </c>
      <c r="H457" s="188">
        <v>20.149999999999999</v>
      </c>
      <c r="I457" s="188">
        <v>20.149999999999999</v>
      </c>
      <c r="J457" s="188">
        <v>20.149999999999999</v>
      </c>
      <c r="K457" s="188">
        <v>20.149999999999999</v>
      </c>
      <c r="L457" s="188">
        <v>20.149999999999999</v>
      </c>
      <c r="M457" s="188">
        <v>20.149999999999999</v>
      </c>
      <c r="N457" s="188">
        <v>20.149999999999999</v>
      </c>
      <c r="O457" s="188">
        <v>20.149999999999999</v>
      </c>
      <c r="P457" s="188">
        <v>20.149999999999999</v>
      </c>
      <c r="Q457" s="188">
        <v>20.149999999999999</v>
      </c>
      <c r="R457" s="188">
        <v>20.149999999999999</v>
      </c>
      <c r="S457" s="188">
        <v>20.149999999999999</v>
      </c>
      <c r="T457" s="188">
        <v>20.149999999999999</v>
      </c>
      <c r="U457" s="188">
        <v>20.149999999999999</v>
      </c>
      <c r="V457" s="188">
        <v>20.149999999999999</v>
      </c>
      <c r="W457" s="188">
        <v>20.149999999999999</v>
      </c>
      <c r="X457" s="188">
        <v>20.149999999999999</v>
      </c>
      <c r="Y457" s="188">
        <v>20.149999999999999</v>
      </c>
      <c r="Z457" s="188">
        <v>20.149999999999999</v>
      </c>
      <c r="AA457" s="188">
        <v>20.149999999999999</v>
      </c>
      <c r="AB457" s="188">
        <v>20.149999999999999</v>
      </c>
      <c r="AC457" s="188">
        <v>20.149999999999999</v>
      </c>
      <c r="AD457" s="188">
        <v>20.149999999999999</v>
      </c>
      <c r="AE457" s="188">
        <v>20.149999999999999</v>
      </c>
      <c r="AF457" s="188">
        <v>20.149999999999999</v>
      </c>
      <c r="AG457" s="188">
        <v>20.149999999999999</v>
      </c>
      <c r="AH457" s="188">
        <v>20.149999999999999</v>
      </c>
      <c r="AI457" s="188">
        <v>20.149999999999999</v>
      </c>
      <c r="AJ457" s="188">
        <v>20.149999999999999</v>
      </c>
    </row>
    <row r="458" spans="1:36" hidden="1" x14ac:dyDescent="0.35">
      <c r="A458" t="s">
        <v>1998</v>
      </c>
      <c r="B458" s="188" t="s">
        <v>1342</v>
      </c>
      <c r="C458" t="s">
        <v>1350</v>
      </c>
      <c r="D458" t="s">
        <v>555</v>
      </c>
      <c r="E458" t="s">
        <v>1989</v>
      </c>
      <c r="F458" s="188" t="s">
        <v>2041</v>
      </c>
      <c r="G458" s="188" t="s">
        <v>2042</v>
      </c>
      <c r="H458" s="188">
        <v>20.149999999999999</v>
      </c>
      <c r="I458" s="188">
        <v>20.149999999999999</v>
      </c>
      <c r="J458" s="188">
        <v>20.149999999999999</v>
      </c>
      <c r="K458" s="188">
        <v>20.149999999999999</v>
      </c>
      <c r="L458" s="188">
        <v>20.149999999999999</v>
      </c>
      <c r="M458" s="188">
        <v>20.149999999999999</v>
      </c>
      <c r="N458" s="188">
        <v>20.149999999999999</v>
      </c>
      <c r="O458" s="188">
        <v>20.149999999999999</v>
      </c>
      <c r="P458" s="188">
        <v>20.149999999999999</v>
      </c>
      <c r="Q458" s="188">
        <v>20.149999999999999</v>
      </c>
      <c r="R458" s="188">
        <v>20.149999999999999</v>
      </c>
      <c r="S458" s="188">
        <v>20.149999999999999</v>
      </c>
      <c r="T458" s="188">
        <v>20.149999999999999</v>
      </c>
      <c r="U458" s="188">
        <v>20.149999999999999</v>
      </c>
      <c r="V458" s="188">
        <v>20.149999999999999</v>
      </c>
      <c r="W458" s="188">
        <v>20.149999999999999</v>
      </c>
      <c r="X458" s="188">
        <v>20.149999999999999</v>
      </c>
      <c r="Y458" s="188">
        <v>20.149999999999999</v>
      </c>
      <c r="Z458" s="188">
        <v>20.149999999999999</v>
      </c>
      <c r="AA458" s="188">
        <v>20.149999999999999</v>
      </c>
      <c r="AB458" s="188">
        <v>20.149999999999999</v>
      </c>
      <c r="AC458" s="188">
        <v>20.149999999999999</v>
      </c>
      <c r="AD458" s="188">
        <v>20.149999999999999</v>
      </c>
      <c r="AE458" s="188">
        <v>20.149999999999999</v>
      </c>
      <c r="AF458" s="188">
        <v>20.149999999999999</v>
      </c>
      <c r="AG458" s="188">
        <v>20.149999999999999</v>
      </c>
      <c r="AH458" s="188">
        <v>20.149999999999999</v>
      </c>
      <c r="AI458" s="188">
        <v>20.149999999999999</v>
      </c>
      <c r="AJ458" s="188">
        <v>20.149999999999999</v>
      </c>
    </row>
    <row r="459" spans="1:36" hidden="1" x14ac:dyDescent="0.35">
      <c r="A459" t="s">
        <v>1999</v>
      </c>
      <c r="B459" s="188" t="s">
        <v>1342</v>
      </c>
      <c r="C459" t="s">
        <v>1343</v>
      </c>
      <c r="D459" t="s">
        <v>555</v>
      </c>
      <c r="E459" t="s">
        <v>1989</v>
      </c>
      <c r="F459" s="188" t="s">
        <v>2043</v>
      </c>
      <c r="G459" s="188" t="s">
        <v>2044</v>
      </c>
      <c r="H459" s="188">
        <v>20.149999999999999</v>
      </c>
      <c r="I459" s="188">
        <v>20.149999999999999</v>
      </c>
      <c r="J459" s="188">
        <v>20.149999999999999</v>
      </c>
      <c r="K459" s="188">
        <v>20.149999999999999</v>
      </c>
      <c r="L459" s="188">
        <v>20.149999999999999</v>
      </c>
      <c r="M459" s="188">
        <v>20.149999999999999</v>
      </c>
      <c r="N459" s="188">
        <v>20.149999999999999</v>
      </c>
      <c r="O459" s="188">
        <v>20.149999999999999</v>
      </c>
      <c r="P459" s="188">
        <v>20.149999999999999</v>
      </c>
      <c r="Q459" s="188">
        <v>20.149999999999999</v>
      </c>
      <c r="R459" s="188">
        <v>20.149999999999999</v>
      </c>
      <c r="S459" s="188">
        <v>20.149999999999999</v>
      </c>
      <c r="T459" s="188">
        <v>20.149999999999999</v>
      </c>
      <c r="U459" s="188">
        <v>20.149999999999999</v>
      </c>
      <c r="V459" s="188">
        <v>20.149999999999999</v>
      </c>
      <c r="W459" s="188">
        <v>20.149999999999999</v>
      </c>
      <c r="X459" s="188">
        <v>20.149999999999999</v>
      </c>
      <c r="Y459" s="188">
        <v>20.149999999999999</v>
      </c>
      <c r="Z459" s="188">
        <v>20.149999999999999</v>
      </c>
      <c r="AA459" s="188">
        <v>20.149999999999999</v>
      </c>
      <c r="AB459" s="188">
        <v>20.149999999999999</v>
      </c>
      <c r="AC459" s="188">
        <v>20.149999999999999</v>
      </c>
      <c r="AD459" s="188">
        <v>20.149999999999999</v>
      </c>
      <c r="AE459" s="188">
        <v>20.149999999999999</v>
      </c>
      <c r="AF459" s="188">
        <v>20.149999999999999</v>
      </c>
      <c r="AG459" s="188">
        <v>20.149999999999999</v>
      </c>
      <c r="AH459" s="188">
        <v>20.149999999999999</v>
      </c>
      <c r="AI459" s="188">
        <v>20.149999999999999</v>
      </c>
      <c r="AJ459" s="188">
        <v>20.149999999999999</v>
      </c>
    </row>
    <row r="460" spans="1:36" hidden="1" x14ac:dyDescent="0.35">
      <c r="A460" t="s">
        <v>2002</v>
      </c>
      <c r="B460" s="188" t="s">
        <v>1342</v>
      </c>
      <c r="C460" t="s">
        <v>1348</v>
      </c>
      <c r="D460" t="s">
        <v>555</v>
      </c>
      <c r="E460" t="s">
        <v>1989</v>
      </c>
      <c r="F460" s="188" t="s">
        <v>2043</v>
      </c>
      <c r="G460" s="188" t="s">
        <v>2044</v>
      </c>
      <c r="H460" s="188">
        <v>20.149999999999999</v>
      </c>
      <c r="I460" s="188">
        <v>20.149999999999999</v>
      </c>
      <c r="J460" s="188">
        <v>20.149999999999999</v>
      </c>
      <c r="K460" s="188">
        <v>20.149999999999999</v>
      </c>
      <c r="L460" s="188">
        <v>20.149999999999999</v>
      </c>
      <c r="M460" s="188">
        <v>20.149999999999999</v>
      </c>
      <c r="N460" s="188">
        <v>20.149999999999999</v>
      </c>
      <c r="O460" s="188">
        <v>20.149999999999999</v>
      </c>
      <c r="P460" s="188">
        <v>20.149999999999999</v>
      </c>
      <c r="Q460" s="188">
        <v>20.149999999999999</v>
      </c>
      <c r="R460" s="188">
        <v>20.149999999999999</v>
      </c>
      <c r="S460" s="188">
        <v>20.149999999999999</v>
      </c>
      <c r="T460" s="188">
        <v>20.149999999999999</v>
      </c>
      <c r="U460" s="188">
        <v>20.149999999999999</v>
      </c>
      <c r="V460" s="188">
        <v>20.149999999999999</v>
      </c>
      <c r="W460" s="188">
        <v>20.149999999999999</v>
      </c>
      <c r="X460" s="188">
        <v>20.149999999999999</v>
      </c>
      <c r="Y460" s="188">
        <v>20.149999999999999</v>
      </c>
      <c r="Z460" s="188">
        <v>20.149999999999999</v>
      </c>
      <c r="AA460" s="188">
        <v>20.149999999999999</v>
      </c>
      <c r="AB460" s="188">
        <v>20.149999999999999</v>
      </c>
      <c r="AC460" s="188">
        <v>20.149999999999999</v>
      </c>
      <c r="AD460" s="188">
        <v>20.149999999999999</v>
      </c>
      <c r="AE460" s="188">
        <v>20.149999999999999</v>
      </c>
      <c r="AF460" s="188">
        <v>20.149999999999999</v>
      </c>
      <c r="AG460" s="188">
        <v>20.149999999999999</v>
      </c>
      <c r="AH460" s="188">
        <v>20.149999999999999</v>
      </c>
      <c r="AI460" s="188">
        <v>20.149999999999999</v>
      </c>
      <c r="AJ460" s="188">
        <v>20.149999999999999</v>
      </c>
    </row>
    <row r="461" spans="1:36" hidden="1" x14ac:dyDescent="0.35">
      <c r="A461" t="s">
        <v>2003</v>
      </c>
      <c r="B461" s="188" t="s">
        <v>1342</v>
      </c>
      <c r="C461" t="s">
        <v>1350</v>
      </c>
      <c r="D461" t="s">
        <v>555</v>
      </c>
      <c r="E461" t="s">
        <v>1989</v>
      </c>
      <c r="F461" s="188" t="s">
        <v>2043</v>
      </c>
      <c r="G461" s="188" t="s">
        <v>2044</v>
      </c>
      <c r="H461" s="188">
        <v>20.149999999999999</v>
      </c>
      <c r="I461" s="188">
        <v>20.149999999999999</v>
      </c>
      <c r="J461" s="188">
        <v>20.149999999999999</v>
      </c>
      <c r="K461" s="188">
        <v>20.149999999999999</v>
      </c>
      <c r="L461" s="188">
        <v>20.149999999999999</v>
      </c>
      <c r="M461" s="188">
        <v>20.149999999999999</v>
      </c>
      <c r="N461" s="188">
        <v>20.149999999999999</v>
      </c>
      <c r="O461" s="188">
        <v>20.149999999999999</v>
      </c>
      <c r="P461" s="188">
        <v>20.149999999999999</v>
      </c>
      <c r="Q461" s="188">
        <v>20.149999999999999</v>
      </c>
      <c r="R461" s="188">
        <v>20.149999999999999</v>
      </c>
      <c r="S461" s="188">
        <v>20.149999999999999</v>
      </c>
      <c r="T461" s="188">
        <v>20.149999999999999</v>
      </c>
      <c r="U461" s="188">
        <v>20.149999999999999</v>
      </c>
      <c r="V461" s="188">
        <v>20.149999999999999</v>
      </c>
      <c r="W461" s="188">
        <v>20.149999999999999</v>
      </c>
      <c r="X461" s="188">
        <v>20.149999999999999</v>
      </c>
      <c r="Y461" s="188">
        <v>20.149999999999999</v>
      </c>
      <c r="Z461" s="188">
        <v>20.149999999999999</v>
      </c>
      <c r="AA461" s="188">
        <v>20.149999999999999</v>
      </c>
      <c r="AB461" s="188">
        <v>20.149999999999999</v>
      </c>
      <c r="AC461" s="188">
        <v>20.149999999999999</v>
      </c>
      <c r="AD461" s="188">
        <v>20.149999999999999</v>
      </c>
      <c r="AE461" s="188">
        <v>20.149999999999999</v>
      </c>
      <c r="AF461" s="188">
        <v>20.149999999999999</v>
      </c>
      <c r="AG461" s="188">
        <v>20.149999999999999</v>
      </c>
      <c r="AH461" s="188">
        <v>20.149999999999999</v>
      </c>
      <c r="AI461" s="188">
        <v>20.149999999999999</v>
      </c>
      <c r="AJ461" s="188">
        <v>20.149999999999999</v>
      </c>
    </row>
    <row r="462" spans="1:36" hidden="1" x14ac:dyDescent="0.35">
      <c r="A462" t="s">
        <v>2004</v>
      </c>
      <c r="B462" s="188" t="s">
        <v>1342</v>
      </c>
      <c r="C462" t="s">
        <v>1343</v>
      </c>
      <c r="D462" t="s">
        <v>555</v>
      </c>
      <c r="E462" t="s">
        <v>1989</v>
      </c>
      <c r="F462" s="188" t="s">
        <v>2045</v>
      </c>
      <c r="G462" s="188" t="s">
        <v>2046</v>
      </c>
      <c r="H462" s="188">
        <v>20.149999999999999</v>
      </c>
      <c r="I462" s="188">
        <v>20.149999999999999</v>
      </c>
      <c r="J462" s="188">
        <v>20.149999999999999</v>
      </c>
      <c r="K462" s="188">
        <v>20.149999999999999</v>
      </c>
      <c r="L462" s="188">
        <v>20.149999999999999</v>
      </c>
      <c r="M462" s="188">
        <v>20.149999999999999</v>
      </c>
      <c r="N462" s="188">
        <v>20.149999999999999</v>
      </c>
      <c r="O462" s="188">
        <v>20.149999999999999</v>
      </c>
      <c r="P462" s="188">
        <v>20.149999999999999</v>
      </c>
      <c r="Q462" s="188">
        <v>20.149999999999999</v>
      </c>
      <c r="R462" s="188">
        <v>20.149999999999999</v>
      </c>
      <c r="S462" s="188">
        <v>20.149999999999999</v>
      </c>
      <c r="T462" s="188">
        <v>20.149999999999999</v>
      </c>
      <c r="U462" s="188">
        <v>20.149999999999999</v>
      </c>
      <c r="V462" s="188">
        <v>20.149999999999999</v>
      </c>
      <c r="W462" s="188">
        <v>20.149999999999999</v>
      </c>
      <c r="X462" s="188">
        <v>20.149999999999999</v>
      </c>
      <c r="Y462" s="188">
        <v>20.149999999999999</v>
      </c>
      <c r="Z462" s="188">
        <v>20.149999999999999</v>
      </c>
      <c r="AA462" s="188">
        <v>20.149999999999999</v>
      </c>
      <c r="AB462" s="188">
        <v>20.149999999999999</v>
      </c>
      <c r="AC462" s="188">
        <v>20.149999999999999</v>
      </c>
      <c r="AD462" s="188">
        <v>20.149999999999999</v>
      </c>
      <c r="AE462" s="188">
        <v>20.149999999999999</v>
      </c>
      <c r="AF462" s="188">
        <v>20.149999999999999</v>
      </c>
      <c r="AG462" s="188">
        <v>20.149999999999999</v>
      </c>
      <c r="AH462" s="188">
        <v>20.149999999999999</v>
      </c>
      <c r="AI462" s="188">
        <v>20.149999999999999</v>
      </c>
      <c r="AJ462" s="188">
        <v>20.149999999999999</v>
      </c>
    </row>
    <row r="463" spans="1:36" hidden="1" x14ac:dyDescent="0.35">
      <c r="A463" t="s">
        <v>2007</v>
      </c>
      <c r="B463" s="188" t="s">
        <v>1342</v>
      </c>
      <c r="C463" t="s">
        <v>1348</v>
      </c>
      <c r="D463" t="s">
        <v>555</v>
      </c>
      <c r="E463" t="s">
        <v>1989</v>
      </c>
      <c r="F463" s="188" t="s">
        <v>2045</v>
      </c>
      <c r="G463" s="188" t="s">
        <v>2046</v>
      </c>
      <c r="H463" s="188">
        <v>20.149999999999999</v>
      </c>
      <c r="I463" s="188">
        <v>20.149999999999999</v>
      </c>
      <c r="J463" s="188">
        <v>20.149999999999999</v>
      </c>
      <c r="K463" s="188">
        <v>20.149999999999999</v>
      </c>
      <c r="L463" s="188">
        <v>20.149999999999999</v>
      </c>
      <c r="M463" s="188">
        <v>20.149999999999999</v>
      </c>
      <c r="N463" s="188">
        <v>20.149999999999999</v>
      </c>
      <c r="O463" s="188">
        <v>20.149999999999999</v>
      </c>
      <c r="P463" s="188">
        <v>20.149999999999999</v>
      </c>
      <c r="Q463" s="188">
        <v>20.149999999999999</v>
      </c>
      <c r="R463" s="188">
        <v>20.149999999999999</v>
      </c>
      <c r="S463" s="188">
        <v>20.149999999999999</v>
      </c>
      <c r="T463" s="188">
        <v>20.149999999999999</v>
      </c>
      <c r="U463" s="188">
        <v>20.149999999999999</v>
      </c>
      <c r="V463" s="188">
        <v>20.149999999999999</v>
      </c>
      <c r="W463" s="188">
        <v>20.149999999999999</v>
      </c>
      <c r="X463" s="188">
        <v>20.149999999999999</v>
      </c>
      <c r="Y463" s="188">
        <v>20.149999999999999</v>
      </c>
      <c r="Z463" s="188">
        <v>20.149999999999999</v>
      </c>
      <c r="AA463" s="188">
        <v>20.149999999999999</v>
      </c>
      <c r="AB463" s="188">
        <v>20.149999999999999</v>
      </c>
      <c r="AC463" s="188">
        <v>20.149999999999999</v>
      </c>
      <c r="AD463" s="188">
        <v>20.149999999999999</v>
      </c>
      <c r="AE463" s="188">
        <v>20.149999999999999</v>
      </c>
      <c r="AF463" s="188">
        <v>20.149999999999999</v>
      </c>
      <c r="AG463" s="188">
        <v>20.149999999999999</v>
      </c>
      <c r="AH463" s="188">
        <v>20.149999999999999</v>
      </c>
      <c r="AI463" s="188">
        <v>20.149999999999999</v>
      </c>
      <c r="AJ463" s="188">
        <v>20.149999999999999</v>
      </c>
    </row>
    <row r="464" spans="1:36" hidden="1" x14ac:dyDescent="0.35">
      <c r="A464" t="s">
        <v>2008</v>
      </c>
      <c r="B464" s="188" t="s">
        <v>1342</v>
      </c>
      <c r="C464" t="s">
        <v>1350</v>
      </c>
      <c r="D464" t="s">
        <v>555</v>
      </c>
      <c r="E464" t="s">
        <v>1989</v>
      </c>
      <c r="F464" s="188" t="s">
        <v>2045</v>
      </c>
      <c r="G464" s="188" t="s">
        <v>2046</v>
      </c>
      <c r="H464" s="188">
        <v>20.149999999999999</v>
      </c>
      <c r="I464" s="188">
        <v>20.149999999999999</v>
      </c>
      <c r="J464" s="188">
        <v>20.149999999999999</v>
      </c>
      <c r="K464" s="188">
        <v>20.149999999999999</v>
      </c>
      <c r="L464" s="188">
        <v>20.149999999999999</v>
      </c>
      <c r="M464" s="188">
        <v>20.149999999999999</v>
      </c>
      <c r="N464" s="188">
        <v>20.149999999999999</v>
      </c>
      <c r="O464" s="188">
        <v>20.149999999999999</v>
      </c>
      <c r="P464" s="188">
        <v>20.149999999999999</v>
      </c>
      <c r="Q464" s="188">
        <v>20.149999999999999</v>
      </c>
      <c r="R464" s="188">
        <v>20.149999999999999</v>
      </c>
      <c r="S464" s="188">
        <v>20.149999999999999</v>
      </c>
      <c r="T464" s="188">
        <v>20.149999999999999</v>
      </c>
      <c r="U464" s="188">
        <v>20.149999999999999</v>
      </c>
      <c r="V464" s="188">
        <v>20.149999999999999</v>
      </c>
      <c r="W464" s="188">
        <v>20.149999999999999</v>
      </c>
      <c r="X464" s="188">
        <v>20.149999999999999</v>
      </c>
      <c r="Y464" s="188">
        <v>20.149999999999999</v>
      </c>
      <c r="Z464" s="188">
        <v>20.149999999999999</v>
      </c>
      <c r="AA464" s="188">
        <v>20.149999999999999</v>
      </c>
      <c r="AB464" s="188">
        <v>20.149999999999999</v>
      </c>
      <c r="AC464" s="188">
        <v>20.149999999999999</v>
      </c>
      <c r="AD464" s="188">
        <v>20.149999999999999</v>
      </c>
      <c r="AE464" s="188">
        <v>20.149999999999999</v>
      </c>
      <c r="AF464" s="188">
        <v>20.149999999999999</v>
      </c>
      <c r="AG464" s="188">
        <v>20.149999999999999</v>
      </c>
      <c r="AH464" s="188">
        <v>20.149999999999999</v>
      </c>
      <c r="AI464" s="188">
        <v>20.149999999999999</v>
      </c>
      <c r="AJ464" s="188">
        <v>20.149999999999999</v>
      </c>
    </row>
    <row r="465" spans="1:36" hidden="1" x14ac:dyDescent="0.35">
      <c r="A465" t="s">
        <v>2009</v>
      </c>
      <c r="B465" s="188" t="s">
        <v>1342</v>
      </c>
      <c r="C465" t="s">
        <v>1343</v>
      </c>
      <c r="D465" t="s">
        <v>555</v>
      </c>
      <c r="E465" t="s">
        <v>1989</v>
      </c>
      <c r="F465" s="188" t="s">
        <v>2047</v>
      </c>
      <c r="G465" s="188" t="s">
        <v>2048</v>
      </c>
      <c r="H465" s="188">
        <v>20.149999999999999</v>
      </c>
      <c r="I465" s="188">
        <v>20.149999999999999</v>
      </c>
      <c r="J465" s="188">
        <v>20.149999999999999</v>
      </c>
      <c r="K465" s="188">
        <v>20.149999999999999</v>
      </c>
      <c r="L465" s="188">
        <v>20.149999999999999</v>
      </c>
      <c r="M465" s="188">
        <v>20.149999999999999</v>
      </c>
      <c r="N465" s="188">
        <v>20.149999999999999</v>
      </c>
      <c r="O465" s="188">
        <v>20.149999999999999</v>
      </c>
      <c r="P465" s="188">
        <v>20.149999999999999</v>
      </c>
      <c r="Q465" s="188">
        <v>20.149999999999999</v>
      </c>
      <c r="R465" s="188">
        <v>20.149999999999999</v>
      </c>
      <c r="S465" s="188">
        <v>20.149999999999999</v>
      </c>
      <c r="T465" s="188">
        <v>20.149999999999999</v>
      </c>
      <c r="U465" s="188">
        <v>20.149999999999999</v>
      </c>
      <c r="V465" s="188">
        <v>20.149999999999999</v>
      </c>
      <c r="W465" s="188">
        <v>20.149999999999999</v>
      </c>
      <c r="X465" s="188">
        <v>20.149999999999999</v>
      </c>
      <c r="Y465" s="188">
        <v>20.149999999999999</v>
      </c>
      <c r="Z465" s="188">
        <v>20.149999999999999</v>
      </c>
      <c r="AA465" s="188">
        <v>20.149999999999999</v>
      </c>
      <c r="AB465" s="188">
        <v>20.149999999999999</v>
      </c>
      <c r="AC465" s="188">
        <v>20.149999999999999</v>
      </c>
      <c r="AD465" s="188">
        <v>20.149999999999999</v>
      </c>
      <c r="AE465" s="188">
        <v>20.149999999999999</v>
      </c>
      <c r="AF465" s="188">
        <v>20.149999999999999</v>
      </c>
      <c r="AG465" s="188">
        <v>20.149999999999999</v>
      </c>
      <c r="AH465" s="188">
        <v>20.149999999999999</v>
      </c>
      <c r="AI465" s="188">
        <v>20.149999999999999</v>
      </c>
      <c r="AJ465" s="188">
        <v>20.149999999999999</v>
      </c>
    </row>
    <row r="466" spans="1:36" hidden="1" x14ac:dyDescent="0.35">
      <c r="A466" t="s">
        <v>2012</v>
      </c>
      <c r="B466" s="188" t="s">
        <v>1342</v>
      </c>
      <c r="C466" t="s">
        <v>1348</v>
      </c>
      <c r="D466" t="s">
        <v>555</v>
      </c>
      <c r="E466" t="s">
        <v>1989</v>
      </c>
      <c r="F466" s="188" t="s">
        <v>2047</v>
      </c>
      <c r="G466" s="188" t="s">
        <v>2048</v>
      </c>
      <c r="H466" s="188">
        <v>20.149999999999999</v>
      </c>
      <c r="I466" s="188">
        <v>20.149999999999999</v>
      </c>
      <c r="J466" s="188">
        <v>20.149999999999999</v>
      </c>
      <c r="K466" s="188">
        <v>20.149999999999999</v>
      </c>
      <c r="L466" s="188">
        <v>20.149999999999999</v>
      </c>
      <c r="M466" s="188">
        <v>20.149999999999999</v>
      </c>
      <c r="N466" s="188">
        <v>20.149999999999999</v>
      </c>
      <c r="O466" s="188">
        <v>20.149999999999999</v>
      </c>
      <c r="P466" s="188">
        <v>20.149999999999999</v>
      </c>
      <c r="Q466" s="188">
        <v>20.149999999999999</v>
      </c>
      <c r="R466" s="188">
        <v>20.149999999999999</v>
      </c>
      <c r="S466" s="188">
        <v>20.149999999999999</v>
      </c>
      <c r="T466" s="188">
        <v>20.149999999999999</v>
      </c>
      <c r="U466" s="188">
        <v>20.149999999999999</v>
      </c>
      <c r="V466" s="188">
        <v>20.149999999999999</v>
      </c>
      <c r="W466" s="188">
        <v>20.149999999999999</v>
      </c>
      <c r="X466" s="188">
        <v>20.149999999999999</v>
      </c>
      <c r="Y466" s="188">
        <v>20.149999999999999</v>
      </c>
      <c r="Z466" s="188">
        <v>20.149999999999999</v>
      </c>
      <c r="AA466" s="188">
        <v>20.149999999999999</v>
      </c>
      <c r="AB466" s="188">
        <v>20.149999999999999</v>
      </c>
      <c r="AC466" s="188">
        <v>20.149999999999999</v>
      </c>
      <c r="AD466" s="188">
        <v>20.149999999999999</v>
      </c>
      <c r="AE466" s="188">
        <v>20.149999999999999</v>
      </c>
      <c r="AF466" s="188">
        <v>20.149999999999999</v>
      </c>
      <c r="AG466" s="188">
        <v>20.149999999999999</v>
      </c>
      <c r="AH466" s="188">
        <v>20.149999999999999</v>
      </c>
      <c r="AI466" s="188">
        <v>20.149999999999999</v>
      </c>
      <c r="AJ466" s="188">
        <v>20.149999999999999</v>
      </c>
    </row>
    <row r="467" spans="1:36" hidden="1" x14ac:dyDescent="0.35">
      <c r="A467" t="s">
        <v>2013</v>
      </c>
      <c r="B467" s="188" t="s">
        <v>1342</v>
      </c>
      <c r="C467" t="s">
        <v>1350</v>
      </c>
      <c r="D467" t="s">
        <v>555</v>
      </c>
      <c r="E467" t="s">
        <v>1989</v>
      </c>
      <c r="F467" s="188" t="s">
        <v>2047</v>
      </c>
      <c r="G467" s="188" t="s">
        <v>2048</v>
      </c>
      <c r="H467" s="188">
        <v>20.149999999999999</v>
      </c>
      <c r="I467" s="188">
        <v>20.149999999999999</v>
      </c>
      <c r="J467" s="188">
        <v>20.149999999999999</v>
      </c>
      <c r="K467" s="188">
        <v>20.149999999999999</v>
      </c>
      <c r="L467" s="188">
        <v>20.149999999999999</v>
      </c>
      <c r="M467" s="188">
        <v>20.149999999999999</v>
      </c>
      <c r="N467" s="188">
        <v>20.149999999999999</v>
      </c>
      <c r="O467" s="188">
        <v>20.149999999999999</v>
      </c>
      <c r="P467" s="188">
        <v>20.149999999999999</v>
      </c>
      <c r="Q467" s="188">
        <v>20.149999999999999</v>
      </c>
      <c r="R467" s="188">
        <v>20.149999999999999</v>
      </c>
      <c r="S467" s="188">
        <v>20.149999999999999</v>
      </c>
      <c r="T467" s="188">
        <v>20.149999999999999</v>
      </c>
      <c r="U467" s="188">
        <v>20.149999999999999</v>
      </c>
      <c r="V467" s="188">
        <v>20.149999999999999</v>
      </c>
      <c r="W467" s="188">
        <v>20.149999999999999</v>
      </c>
      <c r="X467" s="188">
        <v>20.149999999999999</v>
      </c>
      <c r="Y467" s="188">
        <v>20.149999999999999</v>
      </c>
      <c r="Z467" s="188">
        <v>20.149999999999999</v>
      </c>
      <c r="AA467" s="188">
        <v>20.149999999999999</v>
      </c>
      <c r="AB467" s="188">
        <v>20.149999999999999</v>
      </c>
      <c r="AC467" s="188">
        <v>20.149999999999999</v>
      </c>
      <c r="AD467" s="188">
        <v>20.149999999999999</v>
      </c>
      <c r="AE467" s="188">
        <v>20.149999999999999</v>
      </c>
      <c r="AF467" s="188">
        <v>20.149999999999999</v>
      </c>
      <c r="AG467" s="188">
        <v>20.149999999999999</v>
      </c>
      <c r="AH467" s="188">
        <v>20.149999999999999</v>
      </c>
      <c r="AI467" s="188">
        <v>20.149999999999999</v>
      </c>
      <c r="AJ467" s="188">
        <v>20.149999999999999</v>
      </c>
    </row>
    <row r="468" spans="1:36" hidden="1" x14ac:dyDescent="0.35">
      <c r="A468" t="s">
        <v>2049</v>
      </c>
      <c r="B468" s="188" t="s">
        <v>1342</v>
      </c>
      <c r="C468" t="s">
        <v>1343</v>
      </c>
      <c r="D468" t="s">
        <v>555</v>
      </c>
      <c r="E468" t="s">
        <v>2050</v>
      </c>
      <c r="F468" s="188" t="s">
        <v>1990</v>
      </c>
      <c r="G468" s="188" t="s">
        <v>2051</v>
      </c>
      <c r="H468" s="188">
        <v>20.149999999999999</v>
      </c>
      <c r="I468" s="188">
        <v>20.149999999999999</v>
      </c>
      <c r="J468" s="188">
        <v>20.149999999999999</v>
      </c>
      <c r="K468" s="188">
        <v>20.149999999999999</v>
      </c>
      <c r="L468" s="188">
        <v>20.149999999999999</v>
      </c>
      <c r="M468" s="188">
        <v>20.149999999999999</v>
      </c>
      <c r="N468" s="188">
        <v>20.149999999999999</v>
      </c>
      <c r="O468" s="188">
        <v>20.149999999999999</v>
      </c>
      <c r="P468" s="188">
        <v>20.149999999999999</v>
      </c>
      <c r="Q468" s="188">
        <v>20.149999999999999</v>
      </c>
      <c r="R468" s="188">
        <v>20.149999999999999</v>
      </c>
      <c r="S468" s="188">
        <v>20.149999999999999</v>
      </c>
      <c r="T468" s="188">
        <v>20.149999999999999</v>
      </c>
      <c r="U468" s="188">
        <v>20.149999999999999</v>
      </c>
      <c r="V468" s="188">
        <v>20.149999999999999</v>
      </c>
      <c r="W468" s="188">
        <v>20.149999999999999</v>
      </c>
      <c r="X468" s="188">
        <v>20.149999999999999</v>
      </c>
      <c r="Y468" s="188">
        <v>20.149999999999999</v>
      </c>
      <c r="Z468" s="188">
        <v>20.149999999999999</v>
      </c>
      <c r="AA468" s="188">
        <v>20.149999999999999</v>
      </c>
      <c r="AB468" s="188">
        <v>20.149999999999999</v>
      </c>
      <c r="AC468" s="188">
        <v>20.149999999999999</v>
      </c>
      <c r="AD468" s="188">
        <v>20.149999999999999</v>
      </c>
      <c r="AE468" s="188">
        <v>20.149999999999999</v>
      </c>
      <c r="AF468" s="188">
        <v>20.149999999999999</v>
      </c>
      <c r="AG468" s="188">
        <v>20.149999999999999</v>
      </c>
      <c r="AH468" s="188">
        <v>20.149999999999999</v>
      </c>
      <c r="AI468" s="188">
        <v>20.149999999999999</v>
      </c>
      <c r="AJ468" s="188">
        <v>20.149999999999999</v>
      </c>
    </row>
    <row r="469" spans="1:36" hidden="1" x14ac:dyDescent="0.35">
      <c r="A469" t="s">
        <v>2052</v>
      </c>
      <c r="B469" s="188" t="s">
        <v>1342</v>
      </c>
      <c r="C469" t="s">
        <v>1348</v>
      </c>
      <c r="D469" t="s">
        <v>555</v>
      </c>
      <c r="E469" t="s">
        <v>2050</v>
      </c>
      <c r="F469" s="188" t="s">
        <v>1990</v>
      </c>
      <c r="G469" s="188" t="s">
        <v>2051</v>
      </c>
      <c r="H469" s="188">
        <v>20.149999999999999</v>
      </c>
      <c r="I469" s="188">
        <v>20.149999999999999</v>
      </c>
      <c r="J469" s="188">
        <v>20.149999999999999</v>
      </c>
      <c r="K469" s="188">
        <v>20.149999999999999</v>
      </c>
      <c r="L469" s="188">
        <v>20.149999999999999</v>
      </c>
      <c r="M469" s="188">
        <v>20.149999999999999</v>
      </c>
      <c r="N469" s="188">
        <v>20.149999999999999</v>
      </c>
      <c r="O469" s="188">
        <v>20.149999999999999</v>
      </c>
      <c r="P469" s="188">
        <v>20.149999999999999</v>
      </c>
      <c r="Q469" s="188">
        <v>20.149999999999999</v>
      </c>
      <c r="R469" s="188">
        <v>20.149999999999999</v>
      </c>
      <c r="S469" s="188">
        <v>20.149999999999999</v>
      </c>
      <c r="T469" s="188">
        <v>20.149999999999999</v>
      </c>
      <c r="U469" s="188">
        <v>20.149999999999999</v>
      </c>
      <c r="V469" s="188">
        <v>20.149999999999999</v>
      </c>
      <c r="W469" s="188">
        <v>20.149999999999999</v>
      </c>
      <c r="X469" s="188">
        <v>20.149999999999999</v>
      </c>
      <c r="Y469" s="188">
        <v>20.149999999999999</v>
      </c>
      <c r="Z469" s="188">
        <v>20.149999999999999</v>
      </c>
      <c r="AA469" s="188">
        <v>20.149999999999999</v>
      </c>
      <c r="AB469" s="188">
        <v>20.149999999999999</v>
      </c>
      <c r="AC469" s="188">
        <v>20.149999999999999</v>
      </c>
      <c r="AD469" s="188">
        <v>20.149999999999999</v>
      </c>
      <c r="AE469" s="188">
        <v>20.149999999999999</v>
      </c>
      <c r="AF469" s="188">
        <v>20.149999999999999</v>
      </c>
      <c r="AG469" s="188">
        <v>20.149999999999999</v>
      </c>
      <c r="AH469" s="188">
        <v>20.149999999999999</v>
      </c>
      <c r="AI469" s="188">
        <v>20.149999999999999</v>
      </c>
      <c r="AJ469" s="188">
        <v>20.149999999999999</v>
      </c>
    </row>
    <row r="470" spans="1:36" hidden="1" x14ac:dyDescent="0.35">
      <c r="A470" t="s">
        <v>2053</v>
      </c>
      <c r="B470" s="188" t="s">
        <v>1342</v>
      </c>
      <c r="C470" t="s">
        <v>1350</v>
      </c>
      <c r="D470" t="s">
        <v>555</v>
      </c>
      <c r="E470" t="s">
        <v>2050</v>
      </c>
      <c r="F470" s="188" t="s">
        <v>1990</v>
      </c>
      <c r="G470" s="188" t="s">
        <v>2051</v>
      </c>
      <c r="H470" s="188">
        <v>20.149999999999999</v>
      </c>
      <c r="I470" s="188">
        <v>20.149999999999999</v>
      </c>
      <c r="J470" s="188">
        <v>20.149999999999999</v>
      </c>
      <c r="K470" s="188">
        <v>20.149999999999999</v>
      </c>
      <c r="L470" s="188">
        <v>20.149999999999999</v>
      </c>
      <c r="M470" s="188">
        <v>20.149999999999999</v>
      </c>
      <c r="N470" s="188">
        <v>20.149999999999999</v>
      </c>
      <c r="O470" s="188">
        <v>20.149999999999999</v>
      </c>
      <c r="P470" s="188">
        <v>20.149999999999999</v>
      </c>
      <c r="Q470" s="188">
        <v>20.149999999999999</v>
      </c>
      <c r="R470" s="188">
        <v>20.149999999999999</v>
      </c>
      <c r="S470" s="188">
        <v>20.149999999999999</v>
      </c>
      <c r="T470" s="188">
        <v>20.149999999999999</v>
      </c>
      <c r="U470" s="188">
        <v>20.149999999999999</v>
      </c>
      <c r="V470" s="188">
        <v>20.149999999999999</v>
      </c>
      <c r="W470" s="188">
        <v>20.149999999999999</v>
      </c>
      <c r="X470" s="188">
        <v>20.149999999999999</v>
      </c>
      <c r="Y470" s="188">
        <v>20.149999999999999</v>
      </c>
      <c r="Z470" s="188">
        <v>20.149999999999999</v>
      </c>
      <c r="AA470" s="188">
        <v>20.149999999999999</v>
      </c>
      <c r="AB470" s="188">
        <v>20.149999999999999</v>
      </c>
      <c r="AC470" s="188">
        <v>20.149999999999999</v>
      </c>
      <c r="AD470" s="188">
        <v>20.149999999999999</v>
      </c>
      <c r="AE470" s="188">
        <v>20.149999999999999</v>
      </c>
      <c r="AF470" s="188">
        <v>20.149999999999999</v>
      </c>
      <c r="AG470" s="188">
        <v>20.149999999999999</v>
      </c>
      <c r="AH470" s="188">
        <v>20.149999999999999</v>
      </c>
      <c r="AI470" s="188">
        <v>20.149999999999999</v>
      </c>
      <c r="AJ470" s="188">
        <v>20.149999999999999</v>
      </c>
    </row>
    <row r="471" spans="1:36" hidden="1" x14ac:dyDescent="0.35">
      <c r="A471" t="s">
        <v>2054</v>
      </c>
      <c r="B471" s="188" t="s">
        <v>1342</v>
      </c>
      <c r="C471" t="s">
        <v>1343</v>
      </c>
      <c r="D471" t="s">
        <v>555</v>
      </c>
      <c r="E471" t="s">
        <v>2050</v>
      </c>
      <c r="F471" s="188" t="s">
        <v>1995</v>
      </c>
      <c r="G471" s="188" t="s">
        <v>2055</v>
      </c>
      <c r="H471" s="188">
        <v>20.149999999999999</v>
      </c>
      <c r="I471" s="188">
        <v>20.149999999999999</v>
      </c>
      <c r="J471" s="188">
        <v>20.149999999999999</v>
      </c>
      <c r="K471" s="188">
        <v>20.149999999999999</v>
      </c>
      <c r="L471" s="188">
        <v>20.149999999999999</v>
      </c>
      <c r="M471" s="188">
        <v>20.149999999999999</v>
      </c>
      <c r="N471" s="188">
        <v>20.149999999999999</v>
      </c>
      <c r="O471" s="188">
        <v>20.149999999999999</v>
      </c>
      <c r="P471" s="188">
        <v>20.149999999999999</v>
      </c>
      <c r="Q471" s="188">
        <v>20.149999999999999</v>
      </c>
      <c r="R471" s="188">
        <v>20.149999999999999</v>
      </c>
      <c r="S471" s="188">
        <v>20.149999999999999</v>
      </c>
      <c r="T471" s="188">
        <v>20.149999999999999</v>
      </c>
      <c r="U471" s="188">
        <v>20.149999999999999</v>
      </c>
      <c r="V471" s="188">
        <v>20.149999999999999</v>
      </c>
      <c r="W471" s="188">
        <v>20.149999999999999</v>
      </c>
      <c r="X471" s="188">
        <v>20.149999999999999</v>
      </c>
      <c r="Y471" s="188">
        <v>20.149999999999999</v>
      </c>
      <c r="Z471" s="188">
        <v>20.149999999999999</v>
      </c>
      <c r="AA471" s="188">
        <v>20.149999999999999</v>
      </c>
      <c r="AB471" s="188">
        <v>20.149999999999999</v>
      </c>
      <c r="AC471" s="188">
        <v>20.149999999999999</v>
      </c>
      <c r="AD471" s="188">
        <v>20.149999999999999</v>
      </c>
      <c r="AE471" s="188">
        <v>20.149999999999999</v>
      </c>
      <c r="AF471" s="188">
        <v>20.149999999999999</v>
      </c>
      <c r="AG471" s="188">
        <v>20.149999999999999</v>
      </c>
      <c r="AH471" s="188">
        <v>20.149999999999999</v>
      </c>
      <c r="AI471" s="188">
        <v>20.149999999999999</v>
      </c>
      <c r="AJ471" s="188">
        <v>20.149999999999999</v>
      </c>
    </row>
    <row r="472" spans="1:36" hidden="1" x14ac:dyDescent="0.35">
      <c r="A472" t="s">
        <v>2056</v>
      </c>
      <c r="B472" s="188" t="s">
        <v>1342</v>
      </c>
      <c r="C472" t="s">
        <v>1348</v>
      </c>
      <c r="D472" t="s">
        <v>555</v>
      </c>
      <c r="E472" t="s">
        <v>2050</v>
      </c>
      <c r="F472" s="188" t="s">
        <v>1995</v>
      </c>
      <c r="G472" s="188" t="s">
        <v>2055</v>
      </c>
      <c r="H472" s="188">
        <v>20.149999999999999</v>
      </c>
      <c r="I472" s="188">
        <v>20.149999999999999</v>
      </c>
      <c r="J472" s="188">
        <v>20.149999999999999</v>
      </c>
      <c r="K472" s="188">
        <v>20.149999999999999</v>
      </c>
      <c r="L472" s="188">
        <v>20.149999999999999</v>
      </c>
      <c r="M472" s="188">
        <v>20.149999999999999</v>
      </c>
      <c r="N472" s="188">
        <v>20.149999999999999</v>
      </c>
      <c r="O472" s="188">
        <v>20.149999999999999</v>
      </c>
      <c r="P472" s="188">
        <v>20.149999999999999</v>
      </c>
      <c r="Q472" s="188">
        <v>20.149999999999999</v>
      </c>
      <c r="R472" s="188">
        <v>20.149999999999999</v>
      </c>
      <c r="S472" s="188">
        <v>20.149999999999999</v>
      </c>
      <c r="T472" s="188">
        <v>20.149999999999999</v>
      </c>
      <c r="U472" s="188">
        <v>20.149999999999999</v>
      </c>
      <c r="V472" s="188">
        <v>20.149999999999999</v>
      </c>
      <c r="W472" s="188">
        <v>20.149999999999999</v>
      </c>
      <c r="X472" s="188">
        <v>20.149999999999999</v>
      </c>
      <c r="Y472" s="188">
        <v>20.149999999999999</v>
      </c>
      <c r="Z472" s="188">
        <v>20.149999999999999</v>
      </c>
      <c r="AA472" s="188">
        <v>20.149999999999999</v>
      </c>
      <c r="AB472" s="188">
        <v>20.149999999999999</v>
      </c>
      <c r="AC472" s="188">
        <v>20.149999999999999</v>
      </c>
      <c r="AD472" s="188">
        <v>20.149999999999999</v>
      </c>
      <c r="AE472" s="188">
        <v>20.149999999999999</v>
      </c>
      <c r="AF472" s="188">
        <v>20.149999999999999</v>
      </c>
      <c r="AG472" s="188">
        <v>20.149999999999999</v>
      </c>
      <c r="AH472" s="188">
        <v>20.149999999999999</v>
      </c>
      <c r="AI472" s="188">
        <v>20.149999999999999</v>
      </c>
      <c r="AJ472" s="188">
        <v>20.149999999999999</v>
      </c>
    </row>
    <row r="473" spans="1:36" hidden="1" x14ac:dyDescent="0.35">
      <c r="A473" t="s">
        <v>2057</v>
      </c>
      <c r="B473" s="188" t="s">
        <v>1342</v>
      </c>
      <c r="C473" t="s">
        <v>1350</v>
      </c>
      <c r="D473" t="s">
        <v>555</v>
      </c>
      <c r="E473" t="s">
        <v>2050</v>
      </c>
      <c r="F473" s="188" t="s">
        <v>1995</v>
      </c>
      <c r="G473" s="188" t="s">
        <v>2055</v>
      </c>
      <c r="H473" s="188">
        <v>20.149999999999999</v>
      </c>
      <c r="I473" s="188">
        <v>20.149999999999999</v>
      </c>
      <c r="J473" s="188">
        <v>20.149999999999999</v>
      </c>
      <c r="K473" s="188">
        <v>20.149999999999999</v>
      </c>
      <c r="L473" s="188">
        <v>20.149999999999999</v>
      </c>
      <c r="M473" s="188">
        <v>20.149999999999999</v>
      </c>
      <c r="N473" s="188">
        <v>20.149999999999999</v>
      </c>
      <c r="O473" s="188">
        <v>20.149999999999999</v>
      </c>
      <c r="P473" s="188">
        <v>20.149999999999999</v>
      </c>
      <c r="Q473" s="188">
        <v>20.149999999999999</v>
      </c>
      <c r="R473" s="188">
        <v>20.149999999999999</v>
      </c>
      <c r="S473" s="188">
        <v>20.149999999999999</v>
      </c>
      <c r="T473" s="188">
        <v>20.149999999999999</v>
      </c>
      <c r="U473" s="188">
        <v>20.149999999999999</v>
      </c>
      <c r="V473" s="188">
        <v>20.149999999999999</v>
      </c>
      <c r="W473" s="188">
        <v>20.149999999999999</v>
      </c>
      <c r="X473" s="188">
        <v>20.149999999999999</v>
      </c>
      <c r="Y473" s="188">
        <v>20.149999999999999</v>
      </c>
      <c r="Z473" s="188">
        <v>20.149999999999999</v>
      </c>
      <c r="AA473" s="188">
        <v>20.149999999999999</v>
      </c>
      <c r="AB473" s="188">
        <v>20.149999999999999</v>
      </c>
      <c r="AC473" s="188">
        <v>20.149999999999999</v>
      </c>
      <c r="AD473" s="188">
        <v>20.149999999999999</v>
      </c>
      <c r="AE473" s="188">
        <v>20.149999999999999</v>
      </c>
      <c r="AF473" s="188">
        <v>20.149999999999999</v>
      </c>
      <c r="AG473" s="188">
        <v>20.149999999999999</v>
      </c>
      <c r="AH473" s="188">
        <v>20.149999999999999</v>
      </c>
      <c r="AI473" s="188">
        <v>20.149999999999999</v>
      </c>
      <c r="AJ473" s="188">
        <v>20.149999999999999</v>
      </c>
    </row>
    <row r="474" spans="1:36" hidden="1" x14ac:dyDescent="0.35">
      <c r="A474" t="s">
        <v>2058</v>
      </c>
      <c r="B474" s="188" t="s">
        <v>1342</v>
      </c>
      <c r="C474" t="s">
        <v>1343</v>
      </c>
      <c r="D474" t="s">
        <v>555</v>
      </c>
      <c r="E474" t="s">
        <v>2050</v>
      </c>
      <c r="F474" s="188" t="s">
        <v>2000</v>
      </c>
      <c r="G474" s="188" t="s">
        <v>2059</v>
      </c>
      <c r="H474" s="188">
        <v>20.149999999999999</v>
      </c>
      <c r="I474" s="188">
        <v>20.149999999999999</v>
      </c>
      <c r="J474" s="188">
        <v>20.149999999999999</v>
      </c>
      <c r="K474" s="188">
        <v>20.149999999999999</v>
      </c>
      <c r="L474" s="188">
        <v>20.149999999999999</v>
      </c>
      <c r="M474" s="188">
        <v>20.149999999999999</v>
      </c>
      <c r="N474" s="188">
        <v>20.149999999999999</v>
      </c>
      <c r="O474" s="188">
        <v>20.149999999999999</v>
      </c>
      <c r="P474" s="188">
        <v>20.149999999999999</v>
      </c>
      <c r="Q474" s="188">
        <v>20.149999999999999</v>
      </c>
      <c r="R474" s="188">
        <v>20.149999999999999</v>
      </c>
      <c r="S474" s="188">
        <v>20.149999999999999</v>
      </c>
      <c r="T474" s="188">
        <v>20.149999999999999</v>
      </c>
      <c r="U474" s="188">
        <v>20.149999999999999</v>
      </c>
      <c r="V474" s="188">
        <v>20.149999999999999</v>
      </c>
      <c r="W474" s="188">
        <v>20.149999999999999</v>
      </c>
      <c r="X474" s="188">
        <v>20.149999999999999</v>
      </c>
      <c r="Y474" s="188">
        <v>20.149999999999999</v>
      </c>
      <c r="Z474" s="188">
        <v>20.149999999999999</v>
      </c>
      <c r="AA474" s="188">
        <v>20.149999999999999</v>
      </c>
      <c r="AB474" s="188">
        <v>20.149999999999999</v>
      </c>
      <c r="AC474" s="188">
        <v>20.149999999999999</v>
      </c>
      <c r="AD474" s="188">
        <v>20.149999999999999</v>
      </c>
      <c r="AE474" s="188">
        <v>20.149999999999999</v>
      </c>
      <c r="AF474" s="188">
        <v>20.149999999999999</v>
      </c>
      <c r="AG474" s="188">
        <v>20.149999999999999</v>
      </c>
      <c r="AH474" s="188">
        <v>20.149999999999999</v>
      </c>
      <c r="AI474" s="188">
        <v>20.149999999999999</v>
      </c>
      <c r="AJ474" s="188">
        <v>20.149999999999999</v>
      </c>
    </row>
    <row r="475" spans="1:36" hidden="1" x14ac:dyDescent="0.35">
      <c r="A475" t="s">
        <v>2060</v>
      </c>
      <c r="B475" s="188" t="s">
        <v>1342</v>
      </c>
      <c r="C475" t="s">
        <v>1348</v>
      </c>
      <c r="D475" t="s">
        <v>555</v>
      </c>
      <c r="E475" t="s">
        <v>2050</v>
      </c>
      <c r="F475" s="188" t="s">
        <v>2000</v>
      </c>
      <c r="G475" s="188" t="s">
        <v>2059</v>
      </c>
      <c r="H475" s="188">
        <v>20.149999999999999</v>
      </c>
      <c r="I475" s="188">
        <v>20.149999999999999</v>
      </c>
      <c r="J475" s="188">
        <v>20.149999999999999</v>
      </c>
      <c r="K475" s="188">
        <v>20.149999999999999</v>
      </c>
      <c r="L475" s="188">
        <v>20.149999999999999</v>
      </c>
      <c r="M475" s="188">
        <v>20.149999999999999</v>
      </c>
      <c r="N475" s="188">
        <v>20.149999999999999</v>
      </c>
      <c r="O475" s="188">
        <v>20.149999999999999</v>
      </c>
      <c r="P475" s="188">
        <v>20.149999999999999</v>
      </c>
      <c r="Q475" s="188">
        <v>20.149999999999999</v>
      </c>
      <c r="R475" s="188">
        <v>20.149999999999999</v>
      </c>
      <c r="S475" s="188">
        <v>20.149999999999999</v>
      </c>
      <c r="T475" s="188">
        <v>20.149999999999999</v>
      </c>
      <c r="U475" s="188">
        <v>20.149999999999999</v>
      </c>
      <c r="V475" s="188">
        <v>20.149999999999999</v>
      </c>
      <c r="W475" s="188">
        <v>20.149999999999999</v>
      </c>
      <c r="X475" s="188">
        <v>20.149999999999999</v>
      </c>
      <c r="Y475" s="188">
        <v>20.149999999999999</v>
      </c>
      <c r="Z475" s="188">
        <v>20.149999999999999</v>
      </c>
      <c r="AA475" s="188">
        <v>20.149999999999999</v>
      </c>
      <c r="AB475" s="188">
        <v>20.149999999999999</v>
      </c>
      <c r="AC475" s="188">
        <v>20.149999999999999</v>
      </c>
      <c r="AD475" s="188">
        <v>20.149999999999999</v>
      </c>
      <c r="AE475" s="188">
        <v>20.149999999999999</v>
      </c>
      <c r="AF475" s="188">
        <v>20.149999999999999</v>
      </c>
      <c r="AG475" s="188">
        <v>20.149999999999999</v>
      </c>
      <c r="AH475" s="188">
        <v>20.149999999999999</v>
      </c>
      <c r="AI475" s="188">
        <v>20.149999999999999</v>
      </c>
      <c r="AJ475" s="188">
        <v>20.149999999999999</v>
      </c>
    </row>
    <row r="476" spans="1:36" hidden="1" x14ac:dyDescent="0.35">
      <c r="A476" t="s">
        <v>2061</v>
      </c>
      <c r="B476" s="188" t="s">
        <v>1342</v>
      </c>
      <c r="C476" t="s">
        <v>1350</v>
      </c>
      <c r="D476" t="s">
        <v>555</v>
      </c>
      <c r="E476" t="s">
        <v>2050</v>
      </c>
      <c r="F476" s="188" t="s">
        <v>2000</v>
      </c>
      <c r="G476" s="188" t="s">
        <v>2059</v>
      </c>
      <c r="H476" s="188">
        <v>20.149999999999999</v>
      </c>
      <c r="I476" s="188">
        <v>20.149999999999999</v>
      </c>
      <c r="J476" s="188">
        <v>20.149999999999999</v>
      </c>
      <c r="K476" s="188">
        <v>20.149999999999999</v>
      </c>
      <c r="L476" s="188">
        <v>20.149999999999999</v>
      </c>
      <c r="M476" s="188">
        <v>20.149999999999999</v>
      </c>
      <c r="N476" s="188">
        <v>20.149999999999999</v>
      </c>
      <c r="O476" s="188">
        <v>20.149999999999999</v>
      </c>
      <c r="P476" s="188">
        <v>20.149999999999999</v>
      </c>
      <c r="Q476" s="188">
        <v>20.149999999999999</v>
      </c>
      <c r="R476" s="188">
        <v>20.149999999999999</v>
      </c>
      <c r="S476" s="188">
        <v>20.149999999999999</v>
      </c>
      <c r="T476" s="188">
        <v>20.149999999999999</v>
      </c>
      <c r="U476" s="188">
        <v>20.149999999999999</v>
      </c>
      <c r="V476" s="188">
        <v>20.149999999999999</v>
      </c>
      <c r="W476" s="188">
        <v>20.149999999999999</v>
      </c>
      <c r="X476" s="188">
        <v>20.149999999999999</v>
      </c>
      <c r="Y476" s="188">
        <v>20.149999999999999</v>
      </c>
      <c r="Z476" s="188">
        <v>20.149999999999999</v>
      </c>
      <c r="AA476" s="188">
        <v>20.149999999999999</v>
      </c>
      <c r="AB476" s="188">
        <v>20.149999999999999</v>
      </c>
      <c r="AC476" s="188">
        <v>20.149999999999999</v>
      </c>
      <c r="AD476" s="188">
        <v>20.149999999999999</v>
      </c>
      <c r="AE476" s="188">
        <v>20.149999999999999</v>
      </c>
      <c r="AF476" s="188">
        <v>20.149999999999999</v>
      </c>
      <c r="AG476" s="188">
        <v>20.149999999999999</v>
      </c>
      <c r="AH476" s="188">
        <v>20.149999999999999</v>
      </c>
      <c r="AI476" s="188">
        <v>20.149999999999999</v>
      </c>
      <c r="AJ476" s="188">
        <v>20.149999999999999</v>
      </c>
    </row>
    <row r="477" spans="1:36" hidden="1" x14ac:dyDescent="0.35">
      <c r="A477" t="s">
        <v>2062</v>
      </c>
      <c r="B477" s="188" t="s">
        <v>1342</v>
      </c>
      <c r="C477" t="s">
        <v>1343</v>
      </c>
      <c r="D477" t="s">
        <v>555</v>
      </c>
      <c r="E477" t="s">
        <v>2050</v>
      </c>
      <c r="F477" s="188" t="s">
        <v>2005</v>
      </c>
      <c r="G477" s="188" t="s">
        <v>2063</v>
      </c>
      <c r="H477" s="188">
        <v>20.149999999999999</v>
      </c>
      <c r="I477" s="188">
        <v>20.149999999999999</v>
      </c>
      <c r="J477" s="188">
        <v>20.149999999999999</v>
      </c>
      <c r="K477" s="188">
        <v>20.149999999999999</v>
      </c>
      <c r="L477" s="188">
        <v>20.149999999999999</v>
      </c>
      <c r="M477" s="188">
        <v>20.149999999999999</v>
      </c>
      <c r="N477" s="188">
        <v>20.149999999999999</v>
      </c>
      <c r="O477" s="188">
        <v>20.149999999999999</v>
      </c>
      <c r="P477" s="188">
        <v>20.149999999999999</v>
      </c>
      <c r="Q477" s="188">
        <v>20.149999999999999</v>
      </c>
      <c r="R477" s="188">
        <v>20.149999999999999</v>
      </c>
      <c r="S477" s="188">
        <v>20.149999999999999</v>
      </c>
      <c r="T477" s="188">
        <v>20.149999999999999</v>
      </c>
      <c r="U477" s="188">
        <v>20.149999999999999</v>
      </c>
      <c r="V477" s="188">
        <v>20.149999999999999</v>
      </c>
      <c r="W477" s="188">
        <v>20.149999999999999</v>
      </c>
      <c r="X477" s="188">
        <v>20.149999999999999</v>
      </c>
      <c r="Y477" s="188">
        <v>20.149999999999999</v>
      </c>
      <c r="Z477" s="188">
        <v>20.149999999999999</v>
      </c>
      <c r="AA477" s="188">
        <v>20.149999999999999</v>
      </c>
      <c r="AB477" s="188">
        <v>20.149999999999999</v>
      </c>
      <c r="AC477" s="188">
        <v>20.149999999999999</v>
      </c>
      <c r="AD477" s="188">
        <v>20.149999999999999</v>
      </c>
      <c r="AE477" s="188">
        <v>20.149999999999999</v>
      </c>
      <c r="AF477" s="188">
        <v>20.149999999999999</v>
      </c>
      <c r="AG477" s="188">
        <v>20.149999999999999</v>
      </c>
      <c r="AH477" s="188">
        <v>20.149999999999999</v>
      </c>
      <c r="AI477" s="188">
        <v>20.149999999999999</v>
      </c>
      <c r="AJ477" s="188">
        <v>20.149999999999999</v>
      </c>
    </row>
    <row r="478" spans="1:36" hidden="1" x14ac:dyDescent="0.35">
      <c r="A478" t="s">
        <v>2064</v>
      </c>
      <c r="B478" s="188" t="s">
        <v>1342</v>
      </c>
      <c r="C478" t="s">
        <v>1348</v>
      </c>
      <c r="D478" t="s">
        <v>555</v>
      </c>
      <c r="E478" t="s">
        <v>2050</v>
      </c>
      <c r="F478" s="188" t="s">
        <v>2005</v>
      </c>
      <c r="G478" s="188" t="s">
        <v>2063</v>
      </c>
      <c r="H478" s="188">
        <v>20.149999999999999</v>
      </c>
      <c r="I478" s="188">
        <v>20.149999999999999</v>
      </c>
      <c r="J478" s="188">
        <v>20.149999999999999</v>
      </c>
      <c r="K478" s="188">
        <v>20.149999999999999</v>
      </c>
      <c r="L478" s="188">
        <v>20.149999999999999</v>
      </c>
      <c r="M478" s="188">
        <v>20.149999999999999</v>
      </c>
      <c r="N478" s="188">
        <v>20.149999999999999</v>
      </c>
      <c r="O478" s="188">
        <v>20.149999999999999</v>
      </c>
      <c r="P478" s="188">
        <v>20.149999999999999</v>
      </c>
      <c r="Q478" s="188">
        <v>20.149999999999999</v>
      </c>
      <c r="R478" s="188">
        <v>20.149999999999999</v>
      </c>
      <c r="S478" s="188">
        <v>20.149999999999999</v>
      </c>
      <c r="T478" s="188">
        <v>20.149999999999999</v>
      </c>
      <c r="U478" s="188">
        <v>20.149999999999999</v>
      </c>
      <c r="V478" s="188">
        <v>20.149999999999999</v>
      </c>
      <c r="W478" s="188">
        <v>20.149999999999999</v>
      </c>
      <c r="X478" s="188">
        <v>20.149999999999999</v>
      </c>
      <c r="Y478" s="188">
        <v>20.149999999999999</v>
      </c>
      <c r="Z478" s="188">
        <v>20.149999999999999</v>
      </c>
      <c r="AA478" s="188">
        <v>20.149999999999999</v>
      </c>
      <c r="AB478" s="188">
        <v>20.149999999999999</v>
      </c>
      <c r="AC478" s="188">
        <v>20.149999999999999</v>
      </c>
      <c r="AD478" s="188">
        <v>20.149999999999999</v>
      </c>
      <c r="AE478" s="188">
        <v>20.149999999999999</v>
      </c>
      <c r="AF478" s="188">
        <v>20.149999999999999</v>
      </c>
      <c r="AG478" s="188">
        <v>20.149999999999999</v>
      </c>
      <c r="AH478" s="188">
        <v>20.149999999999999</v>
      </c>
      <c r="AI478" s="188">
        <v>20.149999999999999</v>
      </c>
      <c r="AJ478" s="188">
        <v>20.149999999999999</v>
      </c>
    </row>
    <row r="479" spans="1:36" hidden="1" x14ac:dyDescent="0.35">
      <c r="A479" t="s">
        <v>2065</v>
      </c>
      <c r="B479" s="188" t="s">
        <v>1342</v>
      </c>
      <c r="C479" t="s">
        <v>1350</v>
      </c>
      <c r="D479" t="s">
        <v>555</v>
      </c>
      <c r="E479" t="s">
        <v>2050</v>
      </c>
      <c r="F479" s="188" t="s">
        <v>2005</v>
      </c>
      <c r="G479" s="188" t="s">
        <v>2063</v>
      </c>
      <c r="H479" s="188">
        <v>20.149999999999999</v>
      </c>
      <c r="I479" s="188">
        <v>20.149999999999999</v>
      </c>
      <c r="J479" s="188">
        <v>20.149999999999999</v>
      </c>
      <c r="K479" s="188">
        <v>20.149999999999999</v>
      </c>
      <c r="L479" s="188">
        <v>20.149999999999999</v>
      </c>
      <c r="M479" s="188">
        <v>20.149999999999999</v>
      </c>
      <c r="N479" s="188">
        <v>20.149999999999999</v>
      </c>
      <c r="O479" s="188">
        <v>20.149999999999999</v>
      </c>
      <c r="P479" s="188">
        <v>20.149999999999999</v>
      </c>
      <c r="Q479" s="188">
        <v>20.149999999999999</v>
      </c>
      <c r="R479" s="188">
        <v>20.149999999999999</v>
      </c>
      <c r="S479" s="188">
        <v>20.149999999999999</v>
      </c>
      <c r="T479" s="188">
        <v>20.149999999999999</v>
      </c>
      <c r="U479" s="188">
        <v>20.149999999999999</v>
      </c>
      <c r="V479" s="188">
        <v>20.149999999999999</v>
      </c>
      <c r="W479" s="188">
        <v>20.149999999999999</v>
      </c>
      <c r="X479" s="188">
        <v>20.149999999999999</v>
      </c>
      <c r="Y479" s="188">
        <v>20.149999999999999</v>
      </c>
      <c r="Z479" s="188">
        <v>20.149999999999999</v>
      </c>
      <c r="AA479" s="188">
        <v>20.149999999999999</v>
      </c>
      <c r="AB479" s="188">
        <v>20.149999999999999</v>
      </c>
      <c r="AC479" s="188">
        <v>20.149999999999999</v>
      </c>
      <c r="AD479" s="188">
        <v>20.149999999999999</v>
      </c>
      <c r="AE479" s="188">
        <v>20.149999999999999</v>
      </c>
      <c r="AF479" s="188">
        <v>20.149999999999999</v>
      </c>
      <c r="AG479" s="188">
        <v>20.149999999999999</v>
      </c>
      <c r="AH479" s="188">
        <v>20.149999999999999</v>
      </c>
      <c r="AI479" s="188">
        <v>20.149999999999999</v>
      </c>
      <c r="AJ479" s="188">
        <v>20.149999999999999</v>
      </c>
    </row>
    <row r="480" spans="1:36" hidden="1" x14ac:dyDescent="0.35">
      <c r="A480" t="s">
        <v>2066</v>
      </c>
      <c r="B480" s="188" t="s">
        <v>1342</v>
      </c>
      <c r="C480" t="s">
        <v>1343</v>
      </c>
      <c r="D480" t="s">
        <v>555</v>
      </c>
      <c r="E480" t="s">
        <v>2050</v>
      </c>
      <c r="F480" s="188" t="s">
        <v>2010</v>
      </c>
      <c r="G480" s="188" t="s">
        <v>2067</v>
      </c>
      <c r="H480" s="188">
        <v>20.149999999999999</v>
      </c>
      <c r="I480" s="188">
        <v>20.149999999999999</v>
      </c>
      <c r="J480" s="188">
        <v>20.149999999999999</v>
      </c>
      <c r="K480" s="188">
        <v>20.149999999999999</v>
      </c>
      <c r="L480" s="188">
        <v>20.149999999999999</v>
      </c>
      <c r="M480" s="188">
        <v>20.149999999999999</v>
      </c>
      <c r="N480" s="188">
        <v>20.149999999999999</v>
      </c>
      <c r="O480" s="188">
        <v>20.149999999999999</v>
      </c>
      <c r="P480" s="188">
        <v>20.149999999999999</v>
      </c>
      <c r="Q480" s="188">
        <v>20.149999999999999</v>
      </c>
      <c r="R480" s="188">
        <v>20.149999999999999</v>
      </c>
      <c r="S480" s="188">
        <v>20.149999999999999</v>
      </c>
      <c r="T480" s="188">
        <v>20.149999999999999</v>
      </c>
      <c r="U480" s="188">
        <v>20.149999999999999</v>
      </c>
      <c r="V480" s="188">
        <v>20.149999999999999</v>
      </c>
      <c r="W480" s="188">
        <v>20.149999999999999</v>
      </c>
      <c r="X480" s="188">
        <v>20.149999999999999</v>
      </c>
      <c r="Y480" s="188">
        <v>20.149999999999999</v>
      </c>
      <c r="Z480" s="188">
        <v>20.149999999999999</v>
      </c>
      <c r="AA480" s="188">
        <v>20.149999999999999</v>
      </c>
      <c r="AB480" s="188">
        <v>20.149999999999999</v>
      </c>
      <c r="AC480" s="188">
        <v>20.149999999999999</v>
      </c>
      <c r="AD480" s="188">
        <v>20.149999999999999</v>
      </c>
      <c r="AE480" s="188">
        <v>20.149999999999999</v>
      </c>
      <c r="AF480" s="188">
        <v>20.149999999999999</v>
      </c>
      <c r="AG480" s="188">
        <v>20.149999999999999</v>
      </c>
      <c r="AH480" s="188">
        <v>20.149999999999999</v>
      </c>
      <c r="AI480" s="188">
        <v>20.149999999999999</v>
      </c>
      <c r="AJ480" s="188">
        <v>20.149999999999999</v>
      </c>
    </row>
    <row r="481" spans="1:36" hidden="1" x14ac:dyDescent="0.35">
      <c r="A481" t="s">
        <v>2068</v>
      </c>
      <c r="B481" s="188" t="s">
        <v>1342</v>
      </c>
      <c r="C481" t="s">
        <v>1348</v>
      </c>
      <c r="D481" t="s">
        <v>555</v>
      </c>
      <c r="E481" t="s">
        <v>2050</v>
      </c>
      <c r="F481" s="188" t="s">
        <v>2010</v>
      </c>
      <c r="G481" s="188" t="s">
        <v>2067</v>
      </c>
      <c r="H481" s="188">
        <v>20.149999999999999</v>
      </c>
      <c r="I481" s="188">
        <v>20.149999999999999</v>
      </c>
      <c r="J481" s="188">
        <v>20.149999999999999</v>
      </c>
      <c r="K481" s="188">
        <v>20.149999999999999</v>
      </c>
      <c r="L481" s="188">
        <v>20.149999999999999</v>
      </c>
      <c r="M481" s="188">
        <v>20.149999999999999</v>
      </c>
      <c r="N481" s="188">
        <v>20.149999999999999</v>
      </c>
      <c r="O481" s="188">
        <v>20.149999999999999</v>
      </c>
      <c r="P481" s="188">
        <v>20.149999999999999</v>
      </c>
      <c r="Q481" s="188">
        <v>20.149999999999999</v>
      </c>
      <c r="R481" s="188">
        <v>20.149999999999999</v>
      </c>
      <c r="S481" s="188">
        <v>20.149999999999999</v>
      </c>
      <c r="T481" s="188">
        <v>20.149999999999999</v>
      </c>
      <c r="U481" s="188">
        <v>20.149999999999999</v>
      </c>
      <c r="V481" s="188">
        <v>20.149999999999999</v>
      </c>
      <c r="W481" s="188">
        <v>20.149999999999999</v>
      </c>
      <c r="X481" s="188">
        <v>20.149999999999999</v>
      </c>
      <c r="Y481" s="188">
        <v>20.149999999999999</v>
      </c>
      <c r="Z481" s="188">
        <v>20.149999999999999</v>
      </c>
      <c r="AA481" s="188">
        <v>20.149999999999999</v>
      </c>
      <c r="AB481" s="188">
        <v>20.149999999999999</v>
      </c>
      <c r="AC481" s="188">
        <v>20.149999999999999</v>
      </c>
      <c r="AD481" s="188">
        <v>20.149999999999999</v>
      </c>
      <c r="AE481" s="188">
        <v>20.149999999999999</v>
      </c>
      <c r="AF481" s="188">
        <v>20.149999999999999</v>
      </c>
      <c r="AG481" s="188">
        <v>20.149999999999999</v>
      </c>
      <c r="AH481" s="188">
        <v>20.149999999999999</v>
      </c>
      <c r="AI481" s="188">
        <v>20.149999999999999</v>
      </c>
      <c r="AJ481" s="188">
        <v>20.149999999999999</v>
      </c>
    </row>
    <row r="482" spans="1:36" hidden="1" x14ac:dyDescent="0.35">
      <c r="A482" t="s">
        <v>2069</v>
      </c>
      <c r="B482" s="188" t="s">
        <v>1342</v>
      </c>
      <c r="C482" t="s">
        <v>1350</v>
      </c>
      <c r="D482" t="s">
        <v>555</v>
      </c>
      <c r="E482" t="s">
        <v>2050</v>
      </c>
      <c r="F482" s="188" t="s">
        <v>2010</v>
      </c>
      <c r="G482" s="188" t="s">
        <v>2067</v>
      </c>
      <c r="H482" s="188">
        <v>20.149999999999999</v>
      </c>
      <c r="I482" s="188">
        <v>20.149999999999999</v>
      </c>
      <c r="J482" s="188">
        <v>20.149999999999999</v>
      </c>
      <c r="K482" s="188">
        <v>20.149999999999999</v>
      </c>
      <c r="L482" s="188">
        <v>20.149999999999999</v>
      </c>
      <c r="M482" s="188">
        <v>20.149999999999999</v>
      </c>
      <c r="N482" s="188">
        <v>20.149999999999999</v>
      </c>
      <c r="O482" s="188">
        <v>20.149999999999999</v>
      </c>
      <c r="P482" s="188">
        <v>20.149999999999999</v>
      </c>
      <c r="Q482" s="188">
        <v>20.149999999999999</v>
      </c>
      <c r="R482" s="188">
        <v>20.149999999999999</v>
      </c>
      <c r="S482" s="188">
        <v>20.149999999999999</v>
      </c>
      <c r="T482" s="188">
        <v>20.149999999999999</v>
      </c>
      <c r="U482" s="188">
        <v>20.149999999999999</v>
      </c>
      <c r="V482" s="188">
        <v>20.149999999999999</v>
      </c>
      <c r="W482" s="188">
        <v>20.149999999999999</v>
      </c>
      <c r="X482" s="188">
        <v>20.149999999999999</v>
      </c>
      <c r="Y482" s="188">
        <v>20.149999999999999</v>
      </c>
      <c r="Z482" s="188">
        <v>20.149999999999999</v>
      </c>
      <c r="AA482" s="188">
        <v>20.149999999999999</v>
      </c>
      <c r="AB482" s="188">
        <v>20.149999999999999</v>
      </c>
      <c r="AC482" s="188">
        <v>20.149999999999999</v>
      </c>
      <c r="AD482" s="188">
        <v>20.149999999999999</v>
      </c>
      <c r="AE482" s="188">
        <v>20.149999999999999</v>
      </c>
      <c r="AF482" s="188">
        <v>20.149999999999999</v>
      </c>
      <c r="AG482" s="188">
        <v>20.149999999999999</v>
      </c>
      <c r="AH482" s="188">
        <v>20.149999999999999</v>
      </c>
      <c r="AI482" s="188">
        <v>20.149999999999999</v>
      </c>
      <c r="AJ482" s="188">
        <v>20.149999999999999</v>
      </c>
    </row>
    <row r="483" spans="1:36" hidden="1" x14ac:dyDescent="0.35">
      <c r="A483" t="s">
        <v>2070</v>
      </c>
      <c r="B483" s="188" t="s">
        <v>1342</v>
      </c>
      <c r="C483" t="s">
        <v>1343</v>
      </c>
      <c r="D483">
        <v>30</v>
      </c>
      <c r="E483" t="s">
        <v>2072</v>
      </c>
      <c r="F483" t="s">
        <v>2073</v>
      </c>
      <c r="G483" t="s">
        <v>2074</v>
      </c>
      <c r="H483">
        <v>26.1</v>
      </c>
      <c r="I483">
        <v>26</v>
      </c>
      <c r="J483">
        <v>25.8</v>
      </c>
      <c r="K483">
        <v>25.7</v>
      </c>
      <c r="L483">
        <v>25.6</v>
      </c>
      <c r="M483">
        <v>25.4</v>
      </c>
      <c r="N483">
        <v>25.3</v>
      </c>
      <c r="O483">
        <v>25.1</v>
      </c>
      <c r="P483">
        <v>25</v>
      </c>
      <c r="Q483">
        <v>24.8</v>
      </c>
      <c r="R483">
        <v>24.7</v>
      </c>
      <c r="S483">
        <v>24.5</v>
      </c>
      <c r="T483">
        <v>24.4</v>
      </c>
      <c r="U483">
        <v>24.2</v>
      </c>
      <c r="V483">
        <v>24.1</v>
      </c>
      <c r="W483">
        <v>23.9</v>
      </c>
      <c r="X483">
        <v>23.8</v>
      </c>
      <c r="Y483">
        <v>23.7</v>
      </c>
      <c r="Z483">
        <v>23.5</v>
      </c>
      <c r="AA483">
        <v>23.4</v>
      </c>
      <c r="AB483">
        <v>23.2</v>
      </c>
      <c r="AC483">
        <v>23.1</v>
      </c>
      <c r="AD483">
        <v>22.9</v>
      </c>
      <c r="AE483">
        <v>22.8</v>
      </c>
      <c r="AF483">
        <v>22.6</v>
      </c>
      <c r="AG483">
        <v>22.5</v>
      </c>
      <c r="AH483">
        <v>22.3</v>
      </c>
      <c r="AI483">
        <v>22.2</v>
      </c>
      <c r="AJ483">
        <v>22</v>
      </c>
    </row>
    <row r="484" spans="1:36" hidden="1" x14ac:dyDescent="0.35">
      <c r="A484" t="s">
        <v>2075</v>
      </c>
      <c r="B484" s="188" t="s">
        <v>1342</v>
      </c>
      <c r="C484" t="s">
        <v>1348</v>
      </c>
      <c r="D484">
        <v>30</v>
      </c>
      <c r="E484" t="s">
        <v>2072</v>
      </c>
      <c r="F484" t="s">
        <v>2073</v>
      </c>
      <c r="G484" t="s">
        <v>2074</v>
      </c>
      <c r="H484">
        <v>26.1</v>
      </c>
      <c r="I484">
        <v>26</v>
      </c>
      <c r="J484">
        <v>25.8</v>
      </c>
      <c r="K484">
        <v>25.7</v>
      </c>
      <c r="L484">
        <v>25.6</v>
      </c>
      <c r="M484">
        <v>25.4</v>
      </c>
      <c r="N484">
        <v>25.3</v>
      </c>
      <c r="O484">
        <v>25.1</v>
      </c>
      <c r="P484">
        <v>25</v>
      </c>
      <c r="Q484">
        <v>24.8</v>
      </c>
      <c r="R484">
        <v>24.7</v>
      </c>
      <c r="S484">
        <v>24.5</v>
      </c>
      <c r="T484">
        <v>24.4</v>
      </c>
      <c r="U484">
        <v>24.2</v>
      </c>
      <c r="V484">
        <v>24.1</v>
      </c>
      <c r="W484">
        <v>23.9</v>
      </c>
      <c r="X484">
        <v>23.8</v>
      </c>
      <c r="Y484">
        <v>23.7</v>
      </c>
      <c r="Z484">
        <v>23.5</v>
      </c>
      <c r="AA484">
        <v>23.4</v>
      </c>
      <c r="AB484">
        <v>23.2</v>
      </c>
      <c r="AC484">
        <v>23.1</v>
      </c>
      <c r="AD484">
        <v>22.9</v>
      </c>
      <c r="AE484">
        <v>22.8</v>
      </c>
      <c r="AF484">
        <v>22.6</v>
      </c>
      <c r="AG484">
        <v>22.5</v>
      </c>
      <c r="AH484">
        <v>22.3</v>
      </c>
      <c r="AI484">
        <v>22.2</v>
      </c>
      <c r="AJ484">
        <v>22</v>
      </c>
    </row>
    <row r="485" spans="1:36" hidden="1" x14ac:dyDescent="0.35">
      <c r="A485" t="s">
        <v>2076</v>
      </c>
      <c r="B485" s="188" t="s">
        <v>1342</v>
      </c>
      <c r="C485" t="s">
        <v>1350</v>
      </c>
      <c r="D485">
        <v>30</v>
      </c>
      <c r="E485" t="s">
        <v>2072</v>
      </c>
      <c r="F485" t="s">
        <v>2073</v>
      </c>
      <c r="G485" t="s">
        <v>2074</v>
      </c>
      <c r="H485">
        <v>26.1</v>
      </c>
      <c r="I485">
        <v>26</v>
      </c>
      <c r="J485">
        <v>25.8</v>
      </c>
      <c r="K485">
        <v>25.7</v>
      </c>
      <c r="L485">
        <v>25.6</v>
      </c>
      <c r="M485">
        <v>25.4</v>
      </c>
      <c r="N485">
        <v>25.3</v>
      </c>
      <c r="O485">
        <v>25.1</v>
      </c>
      <c r="P485">
        <v>25</v>
      </c>
      <c r="Q485">
        <v>24.8</v>
      </c>
      <c r="R485">
        <v>24.7</v>
      </c>
      <c r="S485">
        <v>24.5</v>
      </c>
      <c r="T485">
        <v>24.4</v>
      </c>
      <c r="U485">
        <v>24.2</v>
      </c>
      <c r="V485">
        <v>24.1</v>
      </c>
      <c r="W485">
        <v>23.9</v>
      </c>
      <c r="X485">
        <v>23.8</v>
      </c>
      <c r="Y485">
        <v>23.7</v>
      </c>
      <c r="Z485">
        <v>23.5</v>
      </c>
      <c r="AA485">
        <v>23.4</v>
      </c>
      <c r="AB485">
        <v>23.2</v>
      </c>
      <c r="AC485">
        <v>23.1</v>
      </c>
      <c r="AD485">
        <v>22.9</v>
      </c>
      <c r="AE485">
        <v>22.8</v>
      </c>
      <c r="AF485">
        <v>22.6</v>
      </c>
      <c r="AG485">
        <v>22.5</v>
      </c>
      <c r="AH485">
        <v>22.3</v>
      </c>
      <c r="AI485">
        <v>22.2</v>
      </c>
      <c r="AJ485">
        <v>22</v>
      </c>
    </row>
    <row r="486" spans="1:36" hidden="1" x14ac:dyDescent="0.35">
      <c r="A486" t="s">
        <v>2077</v>
      </c>
      <c r="B486" s="188" t="s">
        <v>1342</v>
      </c>
      <c r="C486" t="s">
        <v>1343</v>
      </c>
      <c r="D486">
        <v>30</v>
      </c>
      <c r="E486" t="s">
        <v>2072</v>
      </c>
      <c r="F486" t="s">
        <v>2078</v>
      </c>
      <c r="G486" t="s">
        <v>2079</v>
      </c>
      <c r="H486">
        <v>34.5</v>
      </c>
      <c r="I486">
        <v>34</v>
      </c>
      <c r="J486">
        <v>33.5</v>
      </c>
      <c r="K486">
        <v>33</v>
      </c>
      <c r="L486">
        <v>32.6</v>
      </c>
      <c r="M486">
        <v>32.1</v>
      </c>
      <c r="N486">
        <v>31.6</v>
      </c>
      <c r="O486">
        <v>31.1</v>
      </c>
      <c r="P486">
        <v>30.7</v>
      </c>
      <c r="Q486">
        <v>30.2</v>
      </c>
      <c r="R486">
        <v>29.7</v>
      </c>
      <c r="S486">
        <v>29.2</v>
      </c>
      <c r="T486">
        <v>28.8</v>
      </c>
      <c r="U486">
        <v>28.3</v>
      </c>
      <c r="V486">
        <v>28</v>
      </c>
      <c r="W486">
        <v>27.8</v>
      </c>
      <c r="X486">
        <v>27.6</v>
      </c>
      <c r="Y486">
        <v>27.3</v>
      </c>
      <c r="Z486">
        <v>27.1</v>
      </c>
      <c r="AA486">
        <v>26.8</v>
      </c>
      <c r="AB486">
        <v>26.6</v>
      </c>
      <c r="AC486">
        <v>26.4</v>
      </c>
      <c r="AD486">
        <v>26.1</v>
      </c>
      <c r="AE486">
        <v>25.9</v>
      </c>
      <c r="AF486">
        <v>25.6</v>
      </c>
      <c r="AG486">
        <v>25.4</v>
      </c>
      <c r="AH486">
        <v>25.1</v>
      </c>
      <c r="AI486">
        <v>24.9</v>
      </c>
      <c r="AJ486">
        <v>24.7</v>
      </c>
    </row>
    <row r="487" spans="1:36" hidden="1" x14ac:dyDescent="0.35">
      <c r="A487" t="s">
        <v>2080</v>
      </c>
      <c r="B487" s="188" t="s">
        <v>1342</v>
      </c>
      <c r="C487" t="s">
        <v>1348</v>
      </c>
      <c r="D487">
        <v>30</v>
      </c>
      <c r="E487" t="s">
        <v>2072</v>
      </c>
      <c r="F487" t="s">
        <v>2078</v>
      </c>
      <c r="G487" t="s">
        <v>2079</v>
      </c>
      <c r="H487">
        <v>34.5</v>
      </c>
      <c r="I487">
        <v>34.1</v>
      </c>
      <c r="J487">
        <v>33.799999999999997</v>
      </c>
      <c r="K487">
        <v>33.5</v>
      </c>
      <c r="L487">
        <v>33.1</v>
      </c>
      <c r="M487">
        <v>32.799999999999997</v>
      </c>
      <c r="N487">
        <v>32.4</v>
      </c>
      <c r="O487">
        <v>32.1</v>
      </c>
      <c r="P487">
        <v>31.8</v>
      </c>
      <c r="Q487">
        <v>31.4</v>
      </c>
      <c r="R487">
        <v>31.1</v>
      </c>
      <c r="S487">
        <v>30.7</v>
      </c>
      <c r="T487">
        <v>30.4</v>
      </c>
      <c r="U487">
        <v>30.1</v>
      </c>
      <c r="V487">
        <v>29.8</v>
      </c>
      <c r="W487">
        <v>29.6</v>
      </c>
      <c r="X487">
        <v>29.4</v>
      </c>
      <c r="Y487">
        <v>29.2</v>
      </c>
      <c r="Z487">
        <v>29</v>
      </c>
      <c r="AA487">
        <v>28.7</v>
      </c>
      <c r="AB487">
        <v>28.5</v>
      </c>
      <c r="AC487">
        <v>28.3</v>
      </c>
      <c r="AD487">
        <v>28.1</v>
      </c>
      <c r="AE487">
        <v>27.8</v>
      </c>
      <c r="AF487">
        <v>27.6</v>
      </c>
      <c r="AG487">
        <v>27.4</v>
      </c>
      <c r="AH487">
        <v>27.2</v>
      </c>
      <c r="AI487">
        <v>27</v>
      </c>
      <c r="AJ487">
        <v>26.7</v>
      </c>
    </row>
    <row r="488" spans="1:36" hidden="1" x14ac:dyDescent="0.35">
      <c r="A488" t="s">
        <v>2081</v>
      </c>
      <c r="B488" s="188" t="s">
        <v>1342</v>
      </c>
      <c r="C488" t="s">
        <v>1350</v>
      </c>
      <c r="D488">
        <v>30</v>
      </c>
      <c r="E488" t="s">
        <v>2072</v>
      </c>
      <c r="F488" t="s">
        <v>2078</v>
      </c>
      <c r="G488" t="s">
        <v>2079</v>
      </c>
      <c r="H488">
        <v>34.5</v>
      </c>
      <c r="I488">
        <v>34.299999999999997</v>
      </c>
      <c r="J488">
        <v>34.1</v>
      </c>
      <c r="K488">
        <v>33.9</v>
      </c>
      <c r="L488">
        <v>33.700000000000003</v>
      </c>
      <c r="M488">
        <v>33.5</v>
      </c>
      <c r="N488">
        <v>33.299999999999997</v>
      </c>
      <c r="O488">
        <v>33.1</v>
      </c>
      <c r="P488">
        <v>32.799999999999997</v>
      </c>
      <c r="Q488">
        <v>32.6</v>
      </c>
      <c r="R488">
        <v>32.4</v>
      </c>
      <c r="S488">
        <v>32.200000000000003</v>
      </c>
      <c r="T488">
        <v>32</v>
      </c>
      <c r="U488">
        <v>31.8</v>
      </c>
      <c r="V488">
        <v>31.6</v>
      </c>
      <c r="W488">
        <v>31.4</v>
      </c>
      <c r="X488">
        <v>31.2</v>
      </c>
      <c r="Y488">
        <v>31</v>
      </c>
      <c r="Z488">
        <v>30.8</v>
      </c>
      <c r="AA488">
        <v>30.6</v>
      </c>
      <c r="AB488">
        <v>30.4</v>
      </c>
      <c r="AC488">
        <v>30.2</v>
      </c>
      <c r="AD488">
        <v>30</v>
      </c>
      <c r="AE488">
        <v>29.8</v>
      </c>
      <c r="AF488">
        <v>29.6</v>
      </c>
      <c r="AG488">
        <v>29.4</v>
      </c>
      <c r="AH488">
        <v>29.2</v>
      </c>
      <c r="AI488">
        <v>29</v>
      </c>
      <c r="AJ488">
        <v>28.8</v>
      </c>
    </row>
    <row r="489" spans="1:36" hidden="1" x14ac:dyDescent="0.35">
      <c r="A489" t="s">
        <v>2082</v>
      </c>
      <c r="B489" s="188" t="s">
        <v>1342</v>
      </c>
      <c r="C489" t="s">
        <v>1343</v>
      </c>
      <c r="D489">
        <v>30</v>
      </c>
      <c r="E489" t="s">
        <v>2072</v>
      </c>
      <c r="F489" t="s">
        <v>2083</v>
      </c>
      <c r="G489" t="s">
        <v>2084</v>
      </c>
      <c r="H489">
        <v>34.1</v>
      </c>
      <c r="I489">
        <v>33.700000000000003</v>
      </c>
      <c r="J489">
        <v>33.200000000000003</v>
      </c>
      <c r="K489">
        <v>32.799999999999997</v>
      </c>
      <c r="L489">
        <v>32.299999999999997</v>
      </c>
      <c r="M489">
        <v>31.9</v>
      </c>
      <c r="N489">
        <v>31.4</v>
      </c>
      <c r="O489">
        <v>31</v>
      </c>
      <c r="P489">
        <v>30.5</v>
      </c>
      <c r="Q489">
        <v>30.1</v>
      </c>
      <c r="R489">
        <v>29.6</v>
      </c>
      <c r="S489">
        <v>29.2</v>
      </c>
      <c r="T489">
        <v>28.7</v>
      </c>
      <c r="U489">
        <v>28.3</v>
      </c>
      <c r="V489">
        <v>28</v>
      </c>
      <c r="W489">
        <v>27.8</v>
      </c>
      <c r="X489">
        <v>27.6</v>
      </c>
      <c r="Y489">
        <v>27.3</v>
      </c>
      <c r="Z489">
        <v>27.1</v>
      </c>
      <c r="AA489">
        <v>26.8</v>
      </c>
      <c r="AB489">
        <v>26.6</v>
      </c>
      <c r="AC489">
        <v>26.4</v>
      </c>
      <c r="AD489">
        <v>26.1</v>
      </c>
      <c r="AE489">
        <v>25.9</v>
      </c>
      <c r="AF489">
        <v>25.6</v>
      </c>
      <c r="AG489">
        <v>25.4</v>
      </c>
      <c r="AH489">
        <v>25.1</v>
      </c>
      <c r="AI489">
        <v>24.9</v>
      </c>
      <c r="AJ489">
        <v>24.7</v>
      </c>
    </row>
    <row r="490" spans="1:36" hidden="1" x14ac:dyDescent="0.35">
      <c r="A490" t="s">
        <v>2085</v>
      </c>
      <c r="B490" s="188" t="s">
        <v>1342</v>
      </c>
      <c r="C490" t="s">
        <v>1348</v>
      </c>
      <c r="D490">
        <v>30</v>
      </c>
      <c r="E490" t="s">
        <v>2072</v>
      </c>
      <c r="F490" t="s">
        <v>2083</v>
      </c>
      <c r="G490" t="s">
        <v>2084</v>
      </c>
      <c r="H490">
        <v>34.1</v>
      </c>
      <c r="I490">
        <v>33.799999999999997</v>
      </c>
      <c r="J490">
        <v>33.5</v>
      </c>
      <c r="K490">
        <v>33.200000000000003</v>
      </c>
      <c r="L490">
        <v>32.799999999999997</v>
      </c>
      <c r="M490">
        <v>32.5</v>
      </c>
      <c r="N490">
        <v>32.200000000000003</v>
      </c>
      <c r="O490">
        <v>31.8</v>
      </c>
      <c r="P490">
        <v>31.5</v>
      </c>
      <c r="Q490">
        <v>31.2</v>
      </c>
      <c r="R490">
        <v>30.9</v>
      </c>
      <c r="S490">
        <v>30.5</v>
      </c>
      <c r="T490">
        <v>30.2</v>
      </c>
      <c r="U490">
        <v>29.9</v>
      </c>
      <c r="V490">
        <v>29.6</v>
      </c>
      <c r="W490">
        <v>29.4</v>
      </c>
      <c r="X490">
        <v>29.2</v>
      </c>
      <c r="Y490">
        <v>29</v>
      </c>
      <c r="Z490">
        <v>28.7</v>
      </c>
      <c r="AA490">
        <v>28.5</v>
      </c>
      <c r="AB490">
        <v>28.3</v>
      </c>
      <c r="AC490">
        <v>28.1</v>
      </c>
      <c r="AD490">
        <v>27.8</v>
      </c>
      <c r="AE490">
        <v>27.6</v>
      </c>
      <c r="AF490">
        <v>27.4</v>
      </c>
      <c r="AG490">
        <v>27.2</v>
      </c>
      <c r="AH490">
        <v>26.9</v>
      </c>
      <c r="AI490">
        <v>26.7</v>
      </c>
      <c r="AJ490">
        <v>26.5</v>
      </c>
    </row>
    <row r="491" spans="1:36" hidden="1" x14ac:dyDescent="0.35">
      <c r="A491" t="s">
        <v>2086</v>
      </c>
      <c r="B491" s="188" t="s">
        <v>1342</v>
      </c>
      <c r="C491" t="s">
        <v>1350</v>
      </c>
      <c r="D491">
        <v>30</v>
      </c>
      <c r="E491" t="s">
        <v>2072</v>
      </c>
      <c r="F491" t="s">
        <v>2083</v>
      </c>
      <c r="G491" t="s">
        <v>2084</v>
      </c>
      <c r="H491">
        <v>34.1</v>
      </c>
      <c r="I491">
        <v>33.9</v>
      </c>
      <c r="J491">
        <v>33.700000000000003</v>
      </c>
      <c r="K491">
        <v>33.5</v>
      </c>
      <c r="L491">
        <v>33.299999999999997</v>
      </c>
      <c r="M491">
        <v>33.1</v>
      </c>
      <c r="N491">
        <v>32.9</v>
      </c>
      <c r="O491">
        <v>32.700000000000003</v>
      </c>
      <c r="P491">
        <v>32.5</v>
      </c>
      <c r="Q491">
        <v>32.299999999999997</v>
      </c>
      <c r="R491">
        <v>32.1</v>
      </c>
      <c r="S491">
        <v>31.9</v>
      </c>
      <c r="T491">
        <v>31.7</v>
      </c>
      <c r="U491">
        <v>31.4</v>
      </c>
      <c r="V491">
        <v>31.2</v>
      </c>
      <c r="W491">
        <v>31</v>
      </c>
      <c r="X491">
        <v>30.8</v>
      </c>
      <c r="Y491">
        <v>30.6</v>
      </c>
      <c r="Z491">
        <v>30.4</v>
      </c>
      <c r="AA491">
        <v>30.2</v>
      </c>
      <c r="AB491">
        <v>30</v>
      </c>
      <c r="AC491">
        <v>29.8</v>
      </c>
      <c r="AD491">
        <v>29.6</v>
      </c>
      <c r="AE491">
        <v>29.4</v>
      </c>
      <c r="AF491">
        <v>29.2</v>
      </c>
      <c r="AG491">
        <v>29</v>
      </c>
      <c r="AH491">
        <v>28.7</v>
      </c>
      <c r="AI491">
        <v>28.5</v>
      </c>
      <c r="AJ491">
        <v>28.3</v>
      </c>
    </row>
    <row r="492" spans="1:36" hidden="1" x14ac:dyDescent="0.35">
      <c r="A492" t="s">
        <v>2087</v>
      </c>
      <c r="B492" s="188" t="s">
        <v>1342</v>
      </c>
      <c r="C492" t="s">
        <v>1343</v>
      </c>
      <c r="D492">
        <v>30</v>
      </c>
      <c r="E492" t="s">
        <v>2072</v>
      </c>
      <c r="F492" t="s">
        <v>2088</v>
      </c>
      <c r="G492" t="s">
        <v>2089</v>
      </c>
      <c r="H492">
        <v>40</v>
      </c>
      <c r="I492">
        <v>40</v>
      </c>
      <c r="J492">
        <v>39</v>
      </c>
      <c r="K492">
        <v>39</v>
      </c>
      <c r="L492">
        <v>39</v>
      </c>
      <c r="M492">
        <v>38</v>
      </c>
      <c r="N492">
        <v>38</v>
      </c>
      <c r="O492">
        <v>38</v>
      </c>
      <c r="P492">
        <v>37</v>
      </c>
      <c r="Q492">
        <v>37</v>
      </c>
      <c r="R492">
        <v>37</v>
      </c>
      <c r="S492">
        <v>36</v>
      </c>
      <c r="T492">
        <v>36</v>
      </c>
      <c r="U492">
        <v>36</v>
      </c>
      <c r="V492">
        <v>35</v>
      </c>
      <c r="W492">
        <v>35</v>
      </c>
      <c r="X492">
        <v>35</v>
      </c>
      <c r="Y492">
        <v>34</v>
      </c>
      <c r="Z492">
        <v>34</v>
      </c>
      <c r="AA492">
        <v>34</v>
      </c>
      <c r="AB492">
        <v>34</v>
      </c>
      <c r="AC492">
        <v>33</v>
      </c>
      <c r="AD492">
        <v>33</v>
      </c>
      <c r="AE492">
        <v>33</v>
      </c>
      <c r="AF492">
        <v>32</v>
      </c>
      <c r="AG492">
        <v>32</v>
      </c>
      <c r="AH492">
        <v>32</v>
      </c>
      <c r="AI492">
        <v>31</v>
      </c>
      <c r="AJ492">
        <v>31</v>
      </c>
    </row>
    <row r="493" spans="1:36" hidden="1" x14ac:dyDescent="0.35">
      <c r="A493" t="s">
        <v>2090</v>
      </c>
      <c r="B493" s="188" t="s">
        <v>1342</v>
      </c>
      <c r="C493" t="s">
        <v>1348</v>
      </c>
      <c r="D493">
        <v>30</v>
      </c>
      <c r="E493" t="s">
        <v>2072</v>
      </c>
      <c r="F493" t="s">
        <v>2088</v>
      </c>
      <c r="G493" t="s">
        <v>2089</v>
      </c>
      <c r="H493">
        <v>40</v>
      </c>
      <c r="I493">
        <v>40</v>
      </c>
      <c r="J493">
        <v>39</v>
      </c>
      <c r="K493">
        <v>39</v>
      </c>
      <c r="L493">
        <v>39</v>
      </c>
      <c r="M493">
        <v>38</v>
      </c>
      <c r="N493">
        <v>38</v>
      </c>
      <c r="O493">
        <v>38</v>
      </c>
      <c r="P493">
        <v>38</v>
      </c>
      <c r="Q493">
        <v>37</v>
      </c>
      <c r="R493">
        <v>37</v>
      </c>
      <c r="S493">
        <v>37</v>
      </c>
      <c r="T493">
        <v>36</v>
      </c>
      <c r="U493">
        <v>36</v>
      </c>
      <c r="V493">
        <v>36</v>
      </c>
      <c r="W493">
        <v>36</v>
      </c>
      <c r="X493">
        <v>35</v>
      </c>
      <c r="Y493">
        <v>35</v>
      </c>
      <c r="Z493">
        <v>35</v>
      </c>
      <c r="AA493">
        <v>35</v>
      </c>
      <c r="AB493">
        <v>34</v>
      </c>
      <c r="AC493">
        <v>34</v>
      </c>
      <c r="AD493">
        <v>34</v>
      </c>
      <c r="AE493">
        <v>33</v>
      </c>
      <c r="AF493">
        <v>33</v>
      </c>
      <c r="AG493">
        <v>33</v>
      </c>
      <c r="AH493">
        <v>33</v>
      </c>
      <c r="AI493">
        <v>32</v>
      </c>
      <c r="AJ493">
        <v>32</v>
      </c>
    </row>
    <row r="494" spans="1:36" hidden="1" x14ac:dyDescent="0.35">
      <c r="A494" t="s">
        <v>2091</v>
      </c>
      <c r="B494" s="188" t="s">
        <v>1342</v>
      </c>
      <c r="C494" t="s">
        <v>1350</v>
      </c>
      <c r="D494">
        <v>30</v>
      </c>
      <c r="E494" t="s">
        <v>2072</v>
      </c>
      <c r="F494" t="s">
        <v>2088</v>
      </c>
      <c r="G494" t="s">
        <v>2089</v>
      </c>
      <c r="H494">
        <v>40</v>
      </c>
      <c r="I494">
        <v>40</v>
      </c>
      <c r="J494">
        <v>39</v>
      </c>
      <c r="K494">
        <v>39</v>
      </c>
      <c r="L494">
        <v>39</v>
      </c>
      <c r="M494">
        <v>39</v>
      </c>
      <c r="N494">
        <v>38</v>
      </c>
      <c r="O494">
        <v>38</v>
      </c>
      <c r="P494">
        <v>38</v>
      </c>
      <c r="Q494">
        <v>38</v>
      </c>
      <c r="R494">
        <v>37</v>
      </c>
      <c r="S494">
        <v>37</v>
      </c>
      <c r="T494">
        <v>37</v>
      </c>
      <c r="U494">
        <v>37</v>
      </c>
      <c r="V494">
        <v>36</v>
      </c>
      <c r="W494">
        <v>36</v>
      </c>
      <c r="X494">
        <v>36</v>
      </c>
      <c r="Y494">
        <v>36</v>
      </c>
      <c r="Z494">
        <v>36</v>
      </c>
      <c r="AA494">
        <v>35</v>
      </c>
      <c r="AB494">
        <v>35</v>
      </c>
      <c r="AC494">
        <v>35</v>
      </c>
      <c r="AD494">
        <v>35</v>
      </c>
      <c r="AE494">
        <v>34</v>
      </c>
      <c r="AF494">
        <v>34</v>
      </c>
      <c r="AG494">
        <v>34</v>
      </c>
      <c r="AH494">
        <v>34</v>
      </c>
      <c r="AI494">
        <v>33</v>
      </c>
      <c r="AJ494">
        <v>33</v>
      </c>
    </row>
    <row r="495" spans="1:36" hidden="1" x14ac:dyDescent="0.35">
      <c r="A495" t="s">
        <v>2092</v>
      </c>
      <c r="B495" s="188" t="s">
        <v>1342</v>
      </c>
      <c r="C495" t="s">
        <v>1343</v>
      </c>
      <c r="D495">
        <v>30</v>
      </c>
      <c r="E495" t="s">
        <v>2072</v>
      </c>
      <c r="F495" t="s">
        <v>2093</v>
      </c>
      <c r="G495" t="s">
        <v>2094</v>
      </c>
      <c r="U495">
        <v>40.700000000000003</v>
      </c>
      <c r="V495">
        <v>40.299999999999997</v>
      </c>
      <c r="W495">
        <v>40</v>
      </c>
      <c r="X495">
        <v>39.700000000000003</v>
      </c>
      <c r="Y495">
        <v>39.4</v>
      </c>
      <c r="Z495">
        <v>39</v>
      </c>
      <c r="AA495">
        <v>38.700000000000003</v>
      </c>
      <c r="AB495">
        <v>38.4</v>
      </c>
      <c r="AC495">
        <v>38.1</v>
      </c>
      <c r="AD495">
        <v>37.700000000000003</v>
      </c>
      <c r="AE495">
        <v>37.4</v>
      </c>
      <c r="AF495">
        <v>37.1</v>
      </c>
      <c r="AG495">
        <v>36.700000000000003</v>
      </c>
      <c r="AH495">
        <v>36.4</v>
      </c>
      <c r="AI495">
        <v>36.1</v>
      </c>
      <c r="AJ495">
        <v>35.799999999999997</v>
      </c>
    </row>
    <row r="496" spans="1:36" hidden="1" x14ac:dyDescent="0.35">
      <c r="A496" t="s">
        <v>2095</v>
      </c>
      <c r="B496" s="188" t="s">
        <v>1342</v>
      </c>
      <c r="C496" t="s">
        <v>1348</v>
      </c>
      <c r="D496">
        <v>30</v>
      </c>
      <c r="E496" t="s">
        <v>2072</v>
      </c>
      <c r="F496" t="s">
        <v>2093</v>
      </c>
      <c r="G496" t="s">
        <v>2094</v>
      </c>
      <c r="U496">
        <v>40.700000000000003</v>
      </c>
      <c r="V496">
        <v>40.6</v>
      </c>
      <c r="W496">
        <v>40.6</v>
      </c>
      <c r="X496">
        <v>40.6</v>
      </c>
      <c r="Y496">
        <v>40.6</v>
      </c>
      <c r="Z496">
        <v>40.5</v>
      </c>
      <c r="AA496">
        <v>40.5</v>
      </c>
      <c r="AB496">
        <v>40.5</v>
      </c>
      <c r="AC496">
        <v>40.4</v>
      </c>
      <c r="AD496">
        <v>40.4</v>
      </c>
      <c r="AE496">
        <v>40.4</v>
      </c>
      <c r="AF496">
        <v>40.4</v>
      </c>
      <c r="AG496">
        <v>40.299999999999997</v>
      </c>
      <c r="AH496">
        <v>40.299999999999997</v>
      </c>
      <c r="AI496">
        <v>40.299999999999997</v>
      </c>
      <c r="AJ496">
        <v>40.200000000000003</v>
      </c>
    </row>
    <row r="497" spans="1:36" hidden="1" x14ac:dyDescent="0.35">
      <c r="A497" t="s">
        <v>2096</v>
      </c>
      <c r="B497" s="188" t="s">
        <v>1342</v>
      </c>
      <c r="C497" t="s">
        <v>1343</v>
      </c>
      <c r="D497">
        <v>30</v>
      </c>
      <c r="E497" t="s">
        <v>2072</v>
      </c>
      <c r="F497" t="s">
        <v>2097</v>
      </c>
      <c r="G497" t="s">
        <v>2098</v>
      </c>
      <c r="H497">
        <v>70.7</v>
      </c>
      <c r="I497">
        <v>68.599999999999994</v>
      </c>
      <c r="J497">
        <v>66.400000000000006</v>
      </c>
      <c r="K497">
        <v>64.3</v>
      </c>
      <c r="L497">
        <v>62.2</v>
      </c>
      <c r="M497">
        <v>60</v>
      </c>
      <c r="N497">
        <v>57.9</v>
      </c>
      <c r="O497">
        <v>55.8</v>
      </c>
      <c r="P497">
        <v>53.6</v>
      </c>
      <c r="Q497">
        <v>51.5</v>
      </c>
      <c r="R497">
        <v>49.3</v>
      </c>
      <c r="S497">
        <v>47.2</v>
      </c>
      <c r="T497">
        <v>45.1</v>
      </c>
      <c r="U497">
        <v>42.9</v>
      </c>
      <c r="V497">
        <v>42.4</v>
      </c>
      <c r="W497">
        <v>41.9</v>
      </c>
      <c r="X497">
        <v>41.5</v>
      </c>
      <c r="Y497">
        <v>41</v>
      </c>
      <c r="Z497">
        <v>40.5</v>
      </c>
      <c r="AA497">
        <v>40</v>
      </c>
      <c r="AB497">
        <v>39.5</v>
      </c>
      <c r="AC497">
        <v>39</v>
      </c>
      <c r="AD497">
        <v>38.5</v>
      </c>
      <c r="AE497">
        <v>38</v>
      </c>
      <c r="AF497">
        <v>37.5</v>
      </c>
      <c r="AG497">
        <v>37</v>
      </c>
      <c r="AH497">
        <v>36.5</v>
      </c>
      <c r="AI497">
        <v>36</v>
      </c>
      <c r="AJ497">
        <v>35.5</v>
      </c>
    </row>
    <row r="498" spans="1:36" hidden="1" x14ac:dyDescent="0.35">
      <c r="A498" t="s">
        <v>2099</v>
      </c>
      <c r="B498" s="188" t="s">
        <v>1342</v>
      </c>
      <c r="C498" t="s">
        <v>1348</v>
      </c>
      <c r="D498">
        <v>30</v>
      </c>
      <c r="E498" t="s">
        <v>2072</v>
      </c>
      <c r="F498" t="s">
        <v>2097</v>
      </c>
      <c r="G498" t="s">
        <v>2098</v>
      </c>
      <c r="H498">
        <v>70.7</v>
      </c>
      <c r="I498">
        <v>69.3</v>
      </c>
      <c r="J498">
        <v>67.900000000000006</v>
      </c>
      <c r="K498">
        <v>66.599999999999994</v>
      </c>
      <c r="L498">
        <v>65.2</v>
      </c>
      <c r="M498">
        <v>63.8</v>
      </c>
      <c r="N498">
        <v>62.4</v>
      </c>
      <c r="O498">
        <v>61.1</v>
      </c>
      <c r="P498">
        <v>59.7</v>
      </c>
      <c r="Q498">
        <v>58.3</v>
      </c>
      <c r="R498">
        <v>56.9</v>
      </c>
      <c r="S498">
        <v>55.5</v>
      </c>
      <c r="T498">
        <v>54.2</v>
      </c>
      <c r="U498">
        <v>52.8</v>
      </c>
      <c r="V498">
        <v>52.2</v>
      </c>
      <c r="W498">
        <v>51.7</v>
      </c>
      <c r="X498">
        <v>51.1</v>
      </c>
      <c r="Y498">
        <v>50.5</v>
      </c>
      <c r="Z498">
        <v>50</v>
      </c>
      <c r="AA498">
        <v>49.4</v>
      </c>
      <c r="AB498">
        <v>48.9</v>
      </c>
      <c r="AC498">
        <v>48.3</v>
      </c>
      <c r="AD498">
        <v>47.8</v>
      </c>
      <c r="AE498">
        <v>47.2</v>
      </c>
      <c r="AF498">
        <v>46.6</v>
      </c>
      <c r="AG498">
        <v>46.1</v>
      </c>
      <c r="AH498">
        <v>45.5</v>
      </c>
      <c r="AI498">
        <v>45</v>
      </c>
      <c r="AJ498">
        <v>44.4</v>
      </c>
    </row>
    <row r="499" spans="1:36" hidden="1" x14ac:dyDescent="0.35">
      <c r="A499" t="s">
        <v>2100</v>
      </c>
      <c r="B499" s="188" t="s">
        <v>1342</v>
      </c>
      <c r="C499" t="s">
        <v>1350</v>
      </c>
      <c r="D499">
        <v>30</v>
      </c>
      <c r="E499" t="s">
        <v>2072</v>
      </c>
      <c r="F499" t="s">
        <v>2097</v>
      </c>
      <c r="G499" t="s">
        <v>2098</v>
      </c>
      <c r="H499">
        <v>70.7</v>
      </c>
      <c r="I499">
        <v>70.099999999999994</v>
      </c>
      <c r="J499">
        <v>69.5</v>
      </c>
      <c r="K499">
        <v>68.8</v>
      </c>
      <c r="L499">
        <v>68.2</v>
      </c>
      <c r="M499">
        <v>67.599999999999994</v>
      </c>
      <c r="N499">
        <v>67</v>
      </c>
      <c r="O499">
        <v>66.400000000000006</v>
      </c>
      <c r="P499">
        <v>65.7</v>
      </c>
      <c r="Q499">
        <v>65.099999999999994</v>
      </c>
      <c r="R499">
        <v>64.5</v>
      </c>
      <c r="S499">
        <v>63.9</v>
      </c>
      <c r="T499">
        <v>63.2</v>
      </c>
      <c r="U499">
        <v>62.6</v>
      </c>
      <c r="V499">
        <v>62</v>
      </c>
      <c r="W499">
        <v>61.4</v>
      </c>
      <c r="X499">
        <v>60.8</v>
      </c>
      <c r="Y499">
        <v>60.1</v>
      </c>
      <c r="Z499">
        <v>59.5</v>
      </c>
      <c r="AA499">
        <v>58.9</v>
      </c>
      <c r="AB499">
        <v>58.3</v>
      </c>
      <c r="AC499">
        <v>57.6</v>
      </c>
      <c r="AD499">
        <v>57</v>
      </c>
      <c r="AE499">
        <v>56.4</v>
      </c>
      <c r="AF499">
        <v>55.8</v>
      </c>
      <c r="AG499">
        <v>55.2</v>
      </c>
      <c r="AH499">
        <v>54.5</v>
      </c>
      <c r="AI499">
        <v>53.9</v>
      </c>
      <c r="AJ499">
        <v>53.3</v>
      </c>
    </row>
    <row r="500" spans="1:36" hidden="1" x14ac:dyDescent="0.35">
      <c r="A500" t="s">
        <v>2101</v>
      </c>
      <c r="B500" s="188" t="s">
        <v>1342</v>
      </c>
      <c r="C500" t="s">
        <v>1343</v>
      </c>
      <c r="D500">
        <v>30</v>
      </c>
      <c r="E500" t="s">
        <v>2072</v>
      </c>
      <c r="F500" t="s">
        <v>2102</v>
      </c>
      <c r="G500" t="s">
        <v>2103</v>
      </c>
      <c r="H500">
        <v>65.8</v>
      </c>
      <c r="I500">
        <v>64.099999999999994</v>
      </c>
      <c r="J500">
        <v>62.3</v>
      </c>
      <c r="K500">
        <v>60.6</v>
      </c>
      <c r="L500">
        <v>58.8</v>
      </c>
      <c r="M500">
        <v>57</v>
      </c>
      <c r="N500">
        <v>55.3</v>
      </c>
      <c r="O500">
        <v>53.5</v>
      </c>
      <c r="P500">
        <v>51.7</v>
      </c>
      <c r="Q500">
        <v>50</v>
      </c>
      <c r="R500">
        <v>48.2</v>
      </c>
      <c r="S500">
        <v>46.5</v>
      </c>
      <c r="T500">
        <v>44.7</v>
      </c>
      <c r="U500">
        <v>42.9</v>
      </c>
      <c r="V500">
        <v>42.4</v>
      </c>
      <c r="W500">
        <v>41.9</v>
      </c>
      <c r="X500">
        <v>41.5</v>
      </c>
      <c r="Y500">
        <v>41</v>
      </c>
      <c r="Z500">
        <v>40.5</v>
      </c>
      <c r="AA500">
        <v>40</v>
      </c>
      <c r="AB500">
        <v>39.5</v>
      </c>
      <c r="AC500">
        <v>39</v>
      </c>
      <c r="AD500">
        <v>38.5</v>
      </c>
      <c r="AE500">
        <v>38</v>
      </c>
      <c r="AF500">
        <v>37.5</v>
      </c>
      <c r="AG500">
        <v>37</v>
      </c>
      <c r="AH500">
        <v>36.5</v>
      </c>
      <c r="AI500">
        <v>36</v>
      </c>
      <c r="AJ500">
        <v>35.5</v>
      </c>
    </row>
    <row r="501" spans="1:36" hidden="1" x14ac:dyDescent="0.35">
      <c r="A501" t="s">
        <v>2104</v>
      </c>
      <c r="B501" s="188" t="s">
        <v>1342</v>
      </c>
      <c r="C501" t="s">
        <v>1348</v>
      </c>
      <c r="D501">
        <v>30</v>
      </c>
      <c r="E501" t="s">
        <v>2072</v>
      </c>
      <c r="F501" t="s">
        <v>2102</v>
      </c>
      <c r="G501" t="s">
        <v>2103</v>
      </c>
      <c r="H501">
        <v>65.8</v>
      </c>
      <c r="I501">
        <v>64.7</v>
      </c>
      <c r="J501">
        <v>63.5</v>
      </c>
      <c r="K501">
        <v>62.3</v>
      </c>
      <c r="L501">
        <v>61.1</v>
      </c>
      <c r="M501">
        <v>60</v>
      </c>
      <c r="N501">
        <v>58.8</v>
      </c>
      <c r="O501">
        <v>57.6</v>
      </c>
      <c r="P501">
        <v>56.4</v>
      </c>
      <c r="Q501">
        <v>55.3</v>
      </c>
      <c r="R501">
        <v>54.1</v>
      </c>
      <c r="S501">
        <v>52.9</v>
      </c>
      <c r="T501">
        <v>51.7</v>
      </c>
      <c r="U501">
        <v>50.5</v>
      </c>
      <c r="V501">
        <v>50</v>
      </c>
      <c r="W501">
        <v>49.5</v>
      </c>
      <c r="X501">
        <v>48.9</v>
      </c>
      <c r="Y501">
        <v>48.4</v>
      </c>
      <c r="Z501">
        <v>47.8</v>
      </c>
      <c r="AA501">
        <v>47.3</v>
      </c>
      <c r="AB501">
        <v>46.8</v>
      </c>
      <c r="AC501">
        <v>46.2</v>
      </c>
      <c r="AD501">
        <v>45.7</v>
      </c>
      <c r="AE501">
        <v>45.1</v>
      </c>
      <c r="AF501">
        <v>44.6</v>
      </c>
      <c r="AG501">
        <v>44</v>
      </c>
      <c r="AH501">
        <v>43.5</v>
      </c>
      <c r="AI501">
        <v>43</v>
      </c>
      <c r="AJ501">
        <v>42.4</v>
      </c>
    </row>
    <row r="502" spans="1:36" hidden="1" x14ac:dyDescent="0.35">
      <c r="A502" t="s">
        <v>2105</v>
      </c>
      <c r="B502" s="188" t="s">
        <v>1342</v>
      </c>
      <c r="C502" t="s">
        <v>1350</v>
      </c>
      <c r="D502">
        <v>30</v>
      </c>
      <c r="E502" t="s">
        <v>2072</v>
      </c>
      <c r="F502" t="s">
        <v>2102</v>
      </c>
      <c r="G502" t="s">
        <v>2103</v>
      </c>
      <c r="H502">
        <v>65.8</v>
      </c>
      <c r="I502">
        <v>65.2</v>
      </c>
      <c r="J502">
        <v>64.7</v>
      </c>
      <c r="K502">
        <v>64.099999999999994</v>
      </c>
      <c r="L502">
        <v>63.5</v>
      </c>
      <c r="M502">
        <v>62.9</v>
      </c>
      <c r="N502">
        <v>62.3</v>
      </c>
      <c r="O502">
        <v>61.7</v>
      </c>
      <c r="P502">
        <v>61.1</v>
      </c>
      <c r="Q502">
        <v>60.5</v>
      </c>
      <c r="R502">
        <v>59.9</v>
      </c>
      <c r="S502">
        <v>59.3</v>
      </c>
      <c r="T502">
        <v>58.7</v>
      </c>
      <c r="U502">
        <v>58.2</v>
      </c>
      <c r="V502">
        <v>57.6</v>
      </c>
      <c r="W502">
        <v>57</v>
      </c>
      <c r="X502">
        <v>56.4</v>
      </c>
      <c r="Y502">
        <v>55.8</v>
      </c>
      <c r="Z502">
        <v>55.2</v>
      </c>
      <c r="AA502">
        <v>54.6</v>
      </c>
      <c r="AB502">
        <v>54</v>
      </c>
      <c r="AC502">
        <v>53.4</v>
      </c>
      <c r="AD502">
        <v>52.8</v>
      </c>
      <c r="AE502">
        <v>52.2</v>
      </c>
      <c r="AF502">
        <v>51.7</v>
      </c>
      <c r="AG502">
        <v>51.1</v>
      </c>
      <c r="AH502">
        <v>50.5</v>
      </c>
      <c r="AI502">
        <v>49.9</v>
      </c>
      <c r="AJ502">
        <v>49.3</v>
      </c>
    </row>
    <row r="503" spans="1:36" hidden="1" x14ac:dyDescent="0.35">
      <c r="A503" t="s">
        <v>2106</v>
      </c>
      <c r="B503" s="188" t="s">
        <v>1342</v>
      </c>
      <c r="C503" t="s">
        <v>1343</v>
      </c>
      <c r="D503">
        <v>30</v>
      </c>
      <c r="E503" t="s">
        <v>2072</v>
      </c>
      <c r="F503" t="s">
        <v>2107</v>
      </c>
      <c r="G503" t="s">
        <v>2108</v>
      </c>
      <c r="H503">
        <v>78</v>
      </c>
      <c r="I503">
        <v>76</v>
      </c>
      <c r="J503">
        <v>75</v>
      </c>
      <c r="K503">
        <v>73</v>
      </c>
      <c r="L503">
        <v>71</v>
      </c>
      <c r="M503">
        <v>70</v>
      </c>
      <c r="N503">
        <v>68</v>
      </c>
      <c r="O503">
        <v>66</v>
      </c>
      <c r="P503">
        <v>65</v>
      </c>
      <c r="Q503">
        <v>63</v>
      </c>
      <c r="R503">
        <v>61</v>
      </c>
      <c r="S503">
        <v>60</v>
      </c>
      <c r="T503">
        <v>58</v>
      </c>
      <c r="U503">
        <v>56</v>
      </c>
      <c r="V503">
        <v>56</v>
      </c>
      <c r="W503">
        <v>55</v>
      </c>
      <c r="X503">
        <v>54</v>
      </c>
      <c r="Y503">
        <v>54</v>
      </c>
      <c r="Z503">
        <v>53</v>
      </c>
      <c r="AA503">
        <v>52</v>
      </c>
      <c r="AB503">
        <v>52</v>
      </c>
      <c r="AC503">
        <v>51</v>
      </c>
      <c r="AD503">
        <v>50</v>
      </c>
      <c r="AE503">
        <v>50</v>
      </c>
      <c r="AF503">
        <v>49</v>
      </c>
      <c r="AG503">
        <v>49</v>
      </c>
      <c r="AH503">
        <v>48</v>
      </c>
      <c r="AI503">
        <v>47</v>
      </c>
      <c r="AJ503">
        <v>47</v>
      </c>
    </row>
    <row r="504" spans="1:36" hidden="1" x14ac:dyDescent="0.35">
      <c r="A504" t="s">
        <v>2109</v>
      </c>
      <c r="B504" s="188" t="s">
        <v>1342</v>
      </c>
      <c r="C504" t="s">
        <v>1348</v>
      </c>
      <c r="D504">
        <v>30</v>
      </c>
      <c r="E504" t="s">
        <v>2072</v>
      </c>
      <c r="F504" t="s">
        <v>2107</v>
      </c>
      <c r="G504" t="s">
        <v>2108</v>
      </c>
      <c r="H504">
        <v>78</v>
      </c>
      <c r="I504">
        <v>77</v>
      </c>
      <c r="J504">
        <v>76</v>
      </c>
      <c r="K504">
        <v>74</v>
      </c>
      <c r="L504">
        <v>73</v>
      </c>
      <c r="M504">
        <v>72</v>
      </c>
      <c r="N504">
        <v>71</v>
      </c>
      <c r="O504">
        <v>70</v>
      </c>
      <c r="P504">
        <v>69</v>
      </c>
      <c r="Q504">
        <v>67</v>
      </c>
      <c r="R504">
        <v>66</v>
      </c>
      <c r="S504">
        <v>65</v>
      </c>
      <c r="T504">
        <v>64</v>
      </c>
      <c r="U504">
        <v>63</v>
      </c>
      <c r="V504">
        <v>62</v>
      </c>
      <c r="W504">
        <v>61</v>
      </c>
      <c r="X504">
        <v>61</v>
      </c>
      <c r="Y504">
        <v>60</v>
      </c>
      <c r="Z504">
        <v>59</v>
      </c>
      <c r="AA504">
        <v>59</v>
      </c>
      <c r="AB504">
        <v>58</v>
      </c>
      <c r="AC504">
        <v>57</v>
      </c>
      <c r="AD504">
        <v>57</v>
      </c>
      <c r="AE504">
        <v>56</v>
      </c>
      <c r="AF504">
        <v>55</v>
      </c>
      <c r="AG504">
        <v>55</v>
      </c>
      <c r="AH504">
        <v>54</v>
      </c>
      <c r="AI504">
        <v>53</v>
      </c>
      <c r="AJ504">
        <v>53</v>
      </c>
    </row>
    <row r="505" spans="1:36" hidden="1" x14ac:dyDescent="0.35">
      <c r="A505" t="s">
        <v>2110</v>
      </c>
      <c r="B505" s="188" t="s">
        <v>1342</v>
      </c>
      <c r="C505" t="s">
        <v>1350</v>
      </c>
      <c r="D505">
        <v>30</v>
      </c>
      <c r="E505" t="s">
        <v>2072</v>
      </c>
      <c r="F505" t="s">
        <v>2107</v>
      </c>
      <c r="G505" t="s">
        <v>2108</v>
      </c>
      <c r="H505">
        <v>78</v>
      </c>
      <c r="I505">
        <v>77</v>
      </c>
      <c r="J505">
        <v>77</v>
      </c>
      <c r="K505">
        <v>76</v>
      </c>
      <c r="L505">
        <v>75</v>
      </c>
      <c r="M505">
        <v>75</v>
      </c>
      <c r="N505">
        <v>74</v>
      </c>
      <c r="O505">
        <v>73</v>
      </c>
      <c r="P505">
        <v>72</v>
      </c>
      <c r="Q505">
        <v>72</v>
      </c>
      <c r="R505">
        <v>71</v>
      </c>
      <c r="S505">
        <v>70</v>
      </c>
      <c r="T505">
        <v>70</v>
      </c>
      <c r="U505">
        <v>69</v>
      </c>
      <c r="V505">
        <v>68</v>
      </c>
      <c r="W505">
        <v>68</v>
      </c>
      <c r="X505">
        <v>67</v>
      </c>
      <c r="Y505">
        <v>66</v>
      </c>
      <c r="Z505">
        <v>66</v>
      </c>
      <c r="AA505">
        <v>65</v>
      </c>
      <c r="AB505">
        <v>64</v>
      </c>
      <c r="AC505">
        <v>63</v>
      </c>
      <c r="AD505">
        <v>63</v>
      </c>
      <c r="AE505">
        <v>62</v>
      </c>
      <c r="AF505">
        <v>61</v>
      </c>
      <c r="AG505">
        <v>61</v>
      </c>
      <c r="AH505">
        <v>60</v>
      </c>
      <c r="AI505">
        <v>59</v>
      </c>
      <c r="AJ505">
        <v>59</v>
      </c>
    </row>
    <row r="506" spans="1:36" hidden="1" x14ac:dyDescent="0.35">
      <c r="A506" t="s">
        <v>2111</v>
      </c>
      <c r="B506" s="188" t="s">
        <v>1342</v>
      </c>
      <c r="C506" t="s">
        <v>1343</v>
      </c>
      <c r="D506">
        <v>30</v>
      </c>
      <c r="E506" t="s">
        <v>2072</v>
      </c>
      <c r="F506" t="s">
        <v>2112</v>
      </c>
      <c r="G506" t="s">
        <v>2113</v>
      </c>
      <c r="H506">
        <v>71.7</v>
      </c>
      <c r="I506">
        <v>69.5</v>
      </c>
      <c r="J506">
        <v>67.400000000000006</v>
      </c>
      <c r="K506">
        <v>65.2</v>
      </c>
      <c r="L506">
        <v>63</v>
      </c>
      <c r="M506">
        <v>60.8</v>
      </c>
      <c r="N506">
        <v>58.6</v>
      </c>
      <c r="O506">
        <v>56.4</v>
      </c>
      <c r="P506">
        <v>54.2</v>
      </c>
      <c r="Q506">
        <v>52.1</v>
      </c>
      <c r="R506">
        <v>49.9</v>
      </c>
      <c r="S506">
        <v>47.7</v>
      </c>
      <c r="T506">
        <v>45.5</v>
      </c>
      <c r="U506">
        <v>43.3</v>
      </c>
      <c r="V506">
        <v>42.8</v>
      </c>
      <c r="W506">
        <v>42.3</v>
      </c>
      <c r="X506">
        <v>41.8</v>
      </c>
      <c r="Y506">
        <v>41.3</v>
      </c>
      <c r="Z506">
        <v>40.799999999999997</v>
      </c>
      <c r="AA506">
        <v>40.299999999999997</v>
      </c>
      <c r="AB506">
        <v>39.799999999999997</v>
      </c>
      <c r="AC506">
        <v>39.299999999999997</v>
      </c>
      <c r="AD506">
        <v>38.799999999999997</v>
      </c>
      <c r="AE506">
        <v>38.299999999999997</v>
      </c>
      <c r="AF506">
        <v>37.799999999999997</v>
      </c>
      <c r="AG506">
        <v>37.299999999999997</v>
      </c>
      <c r="AH506">
        <v>36.799999999999997</v>
      </c>
      <c r="AI506">
        <v>36.299999999999997</v>
      </c>
      <c r="AJ506">
        <v>35.799999999999997</v>
      </c>
    </row>
    <row r="507" spans="1:36" hidden="1" x14ac:dyDescent="0.35">
      <c r="A507" t="s">
        <v>2114</v>
      </c>
      <c r="B507" s="188" t="s">
        <v>1342</v>
      </c>
      <c r="C507" t="s">
        <v>1348</v>
      </c>
      <c r="D507">
        <v>30</v>
      </c>
      <c r="E507" t="s">
        <v>2072</v>
      </c>
      <c r="F507" t="s">
        <v>2112</v>
      </c>
      <c r="G507" t="s">
        <v>2113</v>
      </c>
      <c r="H507">
        <v>71.7</v>
      </c>
      <c r="I507">
        <v>70.3</v>
      </c>
      <c r="J507">
        <v>68.900000000000006</v>
      </c>
      <c r="K507">
        <v>67.5</v>
      </c>
      <c r="L507">
        <v>66.099999999999994</v>
      </c>
      <c r="M507">
        <v>64.7</v>
      </c>
      <c r="N507">
        <v>63.3</v>
      </c>
      <c r="O507">
        <v>61.9</v>
      </c>
      <c r="P507">
        <v>60.5</v>
      </c>
      <c r="Q507">
        <v>59</v>
      </c>
      <c r="R507">
        <v>57.6</v>
      </c>
      <c r="S507">
        <v>56.2</v>
      </c>
      <c r="T507">
        <v>54.8</v>
      </c>
      <c r="U507">
        <v>53.4</v>
      </c>
      <c r="V507">
        <v>52.8</v>
      </c>
      <c r="W507">
        <v>52.3</v>
      </c>
      <c r="X507">
        <v>51.7</v>
      </c>
      <c r="Y507">
        <v>51.2</v>
      </c>
      <c r="Z507">
        <v>50.6</v>
      </c>
      <c r="AA507">
        <v>50</v>
      </c>
      <c r="AB507">
        <v>49.5</v>
      </c>
      <c r="AC507">
        <v>48.9</v>
      </c>
      <c r="AD507">
        <v>48.3</v>
      </c>
      <c r="AE507">
        <v>47.8</v>
      </c>
      <c r="AF507">
        <v>47.2</v>
      </c>
      <c r="AG507">
        <v>46.6</v>
      </c>
      <c r="AH507">
        <v>46.1</v>
      </c>
      <c r="AI507">
        <v>45.5</v>
      </c>
      <c r="AJ507">
        <v>44.9</v>
      </c>
    </row>
    <row r="508" spans="1:36" hidden="1" x14ac:dyDescent="0.35">
      <c r="A508" t="s">
        <v>2115</v>
      </c>
      <c r="B508" s="188" t="s">
        <v>1342</v>
      </c>
      <c r="C508" t="s">
        <v>1350</v>
      </c>
      <c r="D508">
        <v>30</v>
      </c>
      <c r="E508" t="s">
        <v>2072</v>
      </c>
      <c r="F508" t="s">
        <v>2112</v>
      </c>
      <c r="G508" t="s">
        <v>2113</v>
      </c>
      <c r="H508">
        <v>71.7</v>
      </c>
      <c r="I508">
        <v>71.099999999999994</v>
      </c>
      <c r="J508">
        <v>70.5</v>
      </c>
      <c r="K508">
        <v>69.8</v>
      </c>
      <c r="L508">
        <v>69.2</v>
      </c>
      <c r="M508">
        <v>68.599999999999994</v>
      </c>
      <c r="N508">
        <v>67.900000000000006</v>
      </c>
      <c r="O508">
        <v>67.3</v>
      </c>
      <c r="P508">
        <v>66.7</v>
      </c>
      <c r="Q508">
        <v>66</v>
      </c>
      <c r="R508">
        <v>65.400000000000006</v>
      </c>
      <c r="S508">
        <v>64.8</v>
      </c>
      <c r="T508">
        <v>64.2</v>
      </c>
      <c r="U508">
        <v>63.5</v>
      </c>
      <c r="V508">
        <v>62.9</v>
      </c>
      <c r="W508">
        <v>62.3</v>
      </c>
      <c r="X508">
        <v>61.6</v>
      </c>
      <c r="Y508">
        <v>61</v>
      </c>
      <c r="Z508">
        <v>60.4</v>
      </c>
      <c r="AA508">
        <v>59.7</v>
      </c>
      <c r="AB508">
        <v>59.1</v>
      </c>
      <c r="AC508">
        <v>58.5</v>
      </c>
      <c r="AD508">
        <v>57.8</v>
      </c>
      <c r="AE508">
        <v>57.2</v>
      </c>
      <c r="AF508">
        <v>56.6</v>
      </c>
      <c r="AG508">
        <v>55.9</v>
      </c>
      <c r="AH508">
        <v>55.3</v>
      </c>
      <c r="AI508">
        <v>54.7</v>
      </c>
      <c r="AJ508">
        <v>54</v>
      </c>
    </row>
    <row r="509" spans="1:36" hidden="1" x14ac:dyDescent="0.35">
      <c r="A509" t="s">
        <v>2116</v>
      </c>
      <c r="B509" s="188" t="s">
        <v>1342</v>
      </c>
      <c r="C509" t="s">
        <v>1343</v>
      </c>
      <c r="D509">
        <v>30</v>
      </c>
      <c r="E509" t="s">
        <v>2072</v>
      </c>
      <c r="F509" t="s">
        <v>2117</v>
      </c>
      <c r="G509" t="s">
        <v>2118</v>
      </c>
      <c r="H509">
        <v>67</v>
      </c>
      <c r="I509">
        <v>65</v>
      </c>
      <c r="J509">
        <v>63</v>
      </c>
      <c r="K509">
        <v>61</v>
      </c>
      <c r="L509">
        <v>60</v>
      </c>
      <c r="M509">
        <v>58</v>
      </c>
      <c r="N509">
        <v>56</v>
      </c>
      <c r="O509">
        <v>54</v>
      </c>
      <c r="P509">
        <v>52</v>
      </c>
      <c r="Q509">
        <v>51</v>
      </c>
      <c r="R509">
        <v>49</v>
      </c>
      <c r="S509">
        <v>47</v>
      </c>
      <c r="T509">
        <v>45</v>
      </c>
      <c r="U509">
        <v>43</v>
      </c>
      <c r="V509">
        <v>43</v>
      </c>
      <c r="W509">
        <v>42</v>
      </c>
      <c r="X509">
        <v>42</v>
      </c>
      <c r="Y509">
        <v>41</v>
      </c>
      <c r="Z509">
        <v>41</v>
      </c>
      <c r="AA509">
        <v>40</v>
      </c>
      <c r="AB509">
        <v>40</v>
      </c>
      <c r="AC509">
        <v>39</v>
      </c>
      <c r="AD509">
        <v>39</v>
      </c>
      <c r="AE509">
        <v>38</v>
      </c>
      <c r="AF509">
        <v>38</v>
      </c>
      <c r="AG509">
        <v>37</v>
      </c>
      <c r="AH509">
        <v>37</v>
      </c>
      <c r="AI509">
        <v>36</v>
      </c>
      <c r="AJ509">
        <v>36</v>
      </c>
    </row>
    <row r="510" spans="1:36" hidden="1" x14ac:dyDescent="0.35">
      <c r="A510" t="s">
        <v>2119</v>
      </c>
      <c r="B510" s="188" t="s">
        <v>1342</v>
      </c>
      <c r="C510" t="s">
        <v>1348</v>
      </c>
      <c r="D510">
        <v>30</v>
      </c>
      <c r="E510" t="s">
        <v>2072</v>
      </c>
      <c r="F510" t="s">
        <v>2117</v>
      </c>
      <c r="G510" t="s">
        <v>2118</v>
      </c>
      <c r="H510">
        <v>67</v>
      </c>
      <c r="I510">
        <v>66</v>
      </c>
      <c r="J510">
        <v>64</v>
      </c>
      <c r="K510">
        <v>63</v>
      </c>
      <c r="L510">
        <v>62</v>
      </c>
      <c r="M510">
        <v>61</v>
      </c>
      <c r="N510">
        <v>60</v>
      </c>
      <c r="O510">
        <v>58</v>
      </c>
      <c r="P510">
        <v>57</v>
      </c>
      <c r="Q510">
        <v>56</v>
      </c>
      <c r="R510">
        <v>55</v>
      </c>
      <c r="S510">
        <v>54</v>
      </c>
      <c r="T510">
        <v>52</v>
      </c>
      <c r="U510">
        <v>51</v>
      </c>
      <c r="V510">
        <v>51</v>
      </c>
      <c r="W510">
        <v>50</v>
      </c>
      <c r="X510">
        <v>50</v>
      </c>
      <c r="Y510">
        <v>49</v>
      </c>
      <c r="Z510">
        <v>48</v>
      </c>
      <c r="AA510">
        <v>48</v>
      </c>
      <c r="AB510">
        <v>47</v>
      </c>
      <c r="AC510">
        <v>47</v>
      </c>
      <c r="AD510">
        <v>46</v>
      </c>
      <c r="AE510">
        <v>46</v>
      </c>
      <c r="AF510">
        <v>45</v>
      </c>
      <c r="AG510">
        <v>45</v>
      </c>
      <c r="AH510">
        <v>44</v>
      </c>
      <c r="AI510">
        <v>44</v>
      </c>
      <c r="AJ510">
        <v>43</v>
      </c>
    </row>
    <row r="511" spans="1:36" hidden="1" x14ac:dyDescent="0.35">
      <c r="A511" t="s">
        <v>2120</v>
      </c>
      <c r="B511" s="188" t="s">
        <v>1342</v>
      </c>
      <c r="C511" t="s">
        <v>1350</v>
      </c>
      <c r="D511">
        <v>30</v>
      </c>
      <c r="E511" t="s">
        <v>2072</v>
      </c>
      <c r="F511" t="s">
        <v>2117</v>
      </c>
      <c r="G511" t="s">
        <v>2118</v>
      </c>
      <c r="H511">
        <v>67</v>
      </c>
      <c r="I511">
        <v>66</v>
      </c>
      <c r="J511">
        <v>66</v>
      </c>
      <c r="K511">
        <v>65</v>
      </c>
      <c r="L511">
        <v>64</v>
      </c>
      <c r="M511">
        <v>64</v>
      </c>
      <c r="N511">
        <v>63</v>
      </c>
      <c r="O511">
        <v>63</v>
      </c>
      <c r="P511">
        <v>62</v>
      </c>
      <c r="Q511">
        <v>61</v>
      </c>
      <c r="R511">
        <v>61</v>
      </c>
      <c r="S511">
        <v>60</v>
      </c>
      <c r="T511">
        <v>60</v>
      </c>
      <c r="U511">
        <v>59</v>
      </c>
      <c r="V511">
        <v>58</v>
      </c>
      <c r="W511">
        <v>58</v>
      </c>
      <c r="X511">
        <v>57</v>
      </c>
      <c r="Y511">
        <v>57</v>
      </c>
      <c r="Z511">
        <v>56</v>
      </c>
      <c r="AA511">
        <v>55</v>
      </c>
      <c r="AB511">
        <v>55</v>
      </c>
      <c r="AC511">
        <v>54</v>
      </c>
      <c r="AD511">
        <v>54</v>
      </c>
      <c r="AE511">
        <v>53</v>
      </c>
      <c r="AF511">
        <v>52</v>
      </c>
      <c r="AG511">
        <v>52</v>
      </c>
      <c r="AH511">
        <v>51</v>
      </c>
      <c r="AI511">
        <v>51</v>
      </c>
      <c r="AJ511">
        <v>50</v>
      </c>
    </row>
    <row r="512" spans="1:36" hidden="1" x14ac:dyDescent="0.35">
      <c r="A512" t="s">
        <v>2121</v>
      </c>
      <c r="B512" s="188" t="s">
        <v>1342</v>
      </c>
      <c r="C512" t="s">
        <v>1343</v>
      </c>
      <c r="D512">
        <v>30</v>
      </c>
      <c r="E512" t="s">
        <v>2072</v>
      </c>
      <c r="F512" t="s">
        <v>2122</v>
      </c>
      <c r="G512" t="s">
        <v>2123</v>
      </c>
      <c r="H512">
        <v>79</v>
      </c>
      <c r="I512">
        <v>77</v>
      </c>
      <c r="J512">
        <v>76</v>
      </c>
      <c r="K512">
        <v>74</v>
      </c>
      <c r="L512">
        <v>72</v>
      </c>
      <c r="M512">
        <v>70</v>
      </c>
      <c r="N512">
        <v>69</v>
      </c>
      <c r="O512">
        <v>67</v>
      </c>
      <c r="P512">
        <v>65</v>
      </c>
      <c r="Q512">
        <v>64</v>
      </c>
      <c r="R512">
        <v>62</v>
      </c>
      <c r="S512">
        <v>60</v>
      </c>
      <c r="T512">
        <v>58</v>
      </c>
      <c r="U512">
        <v>57</v>
      </c>
      <c r="V512">
        <v>56</v>
      </c>
      <c r="W512">
        <v>55</v>
      </c>
      <c r="X512">
        <v>55</v>
      </c>
      <c r="Y512">
        <v>54</v>
      </c>
      <c r="Z512">
        <v>53</v>
      </c>
      <c r="AA512">
        <v>53</v>
      </c>
      <c r="AB512">
        <v>52</v>
      </c>
      <c r="AC512">
        <v>52</v>
      </c>
      <c r="AD512">
        <v>51</v>
      </c>
      <c r="AE512">
        <v>50</v>
      </c>
      <c r="AF512">
        <v>50</v>
      </c>
      <c r="AG512">
        <v>49</v>
      </c>
      <c r="AH512">
        <v>48</v>
      </c>
      <c r="AI512">
        <v>48</v>
      </c>
      <c r="AJ512">
        <v>47</v>
      </c>
    </row>
    <row r="513" spans="1:36" hidden="1" x14ac:dyDescent="0.35">
      <c r="A513" t="s">
        <v>2124</v>
      </c>
      <c r="B513" s="188" t="s">
        <v>1342</v>
      </c>
      <c r="C513" t="s">
        <v>1348</v>
      </c>
      <c r="D513">
        <v>30</v>
      </c>
      <c r="E513" t="s">
        <v>2072</v>
      </c>
      <c r="F513" t="s">
        <v>2122</v>
      </c>
      <c r="G513" t="s">
        <v>2123</v>
      </c>
      <c r="H513">
        <v>79</v>
      </c>
      <c r="I513">
        <v>78</v>
      </c>
      <c r="J513">
        <v>77</v>
      </c>
      <c r="K513">
        <v>75</v>
      </c>
      <c r="L513">
        <v>74</v>
      </c>
      <c r="M513">
        <v>73</v>
      </c>
      <c r="N513">
        <v>72</v>
      </c>
      <c r="O513">
        <v>71</v>
      </c>
      <c r="P513">
        <v>69</v>
      </c>
      <c r="Q513">
        <v>68</v>
      </c>
      <c r="R513">
        <v>67</v>
      </c>
      <c r="S513">
        <v>66</v>
      </c>
      <c r="T513">
        <v>65</v>
      </c>
      <c r="U513">
        <v>63</v>
      </c>
      <c r="V513">
        <v>63</v>
      </c>
      <c r="W513">
        <v>62</v>
      </c>
      <c r="X513">
        <v>61</v>
      </c>
      <c r="Y513">
        <v>61</v>
      </c>
      <c r="Z513">
        <v>60</v>
      </c>
      <c r="AA513">
        <v>59</v>
      </c>
      <c r="AB513">
        <v>59</v>
      </c>
      <c r="AC513">
        <v>58</v>
      </c>
      <c r="AD513">
        <v>57</v>
      </c>
      <c r="AE513">
        <v>57</v>
      </c>
      <c r="AF513">
        <v>56</v>
      </c>
      <c r="AG513">
        <v>55</v>
      </c>
      <c r="AH513">
        <v>55</v>
      </c>
      <c r="AI513">
        <v>54</v>
      </c>
      <c r="AJ513">
        <v>53</v>
      </c>
    </row>
    <row r="514" spans="1:36" hidden="1" x14ac:dyDescent="0.35">
      <c r="A514" t="s">
        <v>2125</v>
      </c>
      <c r="B514" s="188" t="s">
        <v>1342</v>
      </c>
      <c r="C514" t="s">
        <v>1350</v>
      </c>
      <c r="D514">
        <v>30</v>
      </c>
      <c r="E514" t="s">
        <v>2072</v>
      </c>
      <c r="F514" t="s">
        <v>2122</v>
      </c>
      <c r="G514" t="s">
        <v>2123</v>
      </c>
      <c r="H514">
        <v>79</v>
      </c>
      <c r="I514">
        <v>78</v>
      </c>
      <c r="J514">
        <v>78</v>
      </c>
      <c r="K514">
        <v>77</v>
      </c>
      <c r="L514">
        <v>76</v>
      </c>
      <c r="M514">
        <v>76</v>
      </c>
      <c r="N514">
        <v>75</v>
      </c>
      <c r="O514">
        <v>74</v>
      </c>
      <c r="P514">
        <v>73</v>
      </c>
      <c r="Q514">
        <v>73</v>
      </c>
      <c r="R514">
        <v>72</v>
      </c>
      <c r="S514">
        <v>71</v>
      </c>
      <c r="T514">
        <v>71</v>
      </c>
      <c r="U514">
        <v>70</v>
      </c>
      <c r="V514">
        <v>69</v>
      </c>
      <c r="W514">
        <v>68</v>
      </c>
      <c r="X514">
        <v>68</v>
      </c>
      <c r="Y514">
        <v>67</v>
      </c>
      <c r="Z514">
        <v>66</v>
      </c>
      <c r="AA514">
        <v>66</v>
      </c>
      <c r="AB514">
        <v>65</v>
      </c>
      <c r="AC514">
        <v>64</v>
      </c>
      <c r="AD514">
        <v>64</v>
      </c>
      <c r="AE514">
        <v>63</v>
      </c>
      <c r="AF514">
        <v>62</v>
      </c>
      <c r="AG514">
        <v>61</v>
      </c>
      <c r="AH514">
        <v>61</v>
      </c>
      <c r="AI514">
        <v>60</v>
      </c>
      <c r="AJ514">
        <v>59</v>
      </c>
    </row>
    <row r="515" spans="1:36" hidden="1" x14ac:dyDescent="0.35">
      <c r="A515" t="s">
        <v>2126</v>
      </c>
      <c r="B515" s="188" t="s">
        <v>1342</v>
      </c>
      <c r="C515" t="s">
        <v>1343</v>
      </c>
      <c r="D515">
        <v>30</v>
      </c>
      <c r="E515" t="s">
        <v>2072</v>
      </c>
      <c r="F515" t="s">
        <v>2127</v>
      </c>
      <c r="G515" t="s">
        <v>2128</v>
      </c>
      <c r="U515">
        <v>58.5</v>
      </c>
      <c r="V515">
        <v>57.9</v>
      </c>
      <c r="W515">
        <v>57.3</v>
      </c>
      <c r="X515">
        <v>56.8</v>
      </c>
      <c r="Y515">
        <v>56.2</v>
      </c>
      <c r="Z515">
        <v>55.6</v>
      </c>
      <c r="AA515">
        <v>55</v>
      </c>
      <c r="AB515">
        <v>54.4</v>
      </c>
      <c r="AC515">
        <v>53.9</v>
      </c>
      <c r="AD515">
        <v>53.3</v>
      </c>
      <c r="AE515">
        <v>52.7</v>
      </c>
      <c r="AF515">
        <v>52.1</v>
      </c>
      <c r="AG515">
        <v>51.5</v>
      </c>
      <c r="AH515">
        <v>50.9</v>
      </c>
      <c r="AI515">
        <v>50.4</v>
      </c>
      <c r="AJ515">
        <v>49.8</v>
      </c>
    </row>
    <row r="516" spans="1:36" hidden="1" x14ac:dyDescent="0.35">
      <c r="A516" t="s">
        <v>2129</v>
      </c>
      <c r="B516" s="188" t="s">
        <v>1342</v>
      </c>
      <c r="C516" t="s">
        <v>1348</v>
      </c>
      <c r="D516">
        <v>30</v>
      </c>
      <c r="E516" t="s">
        <v>2072</v>
      </c>
      <c r="F516" t="s">
        <v>2127</v>
      </c>
      <c r="G516" t="s">
        <v>2128</v>
      </c>
      <c r="U516">
        <v>58.5</v>
      </c>
      <c r="V516">
        <v>58.4</v>
      </c>
      <c r="W516">
        <v>58.3</v>
      </c>
      <c r="X516">
        <v>58.2</v>
      </c>
      <c r="Y516">
        <v>58.1</v>
      </c>
      <c r="Z516">
        <v>57.9</v>
      </c>
      <c r="AA516">
        <v>57.8</v>
      </c>
      <c r="AB516">
        <v>57.7</v>
      </c>
      <c r="AC516">
        <v>57.6</v>
      </c>
      <c r="AD516">
        <v>57.5</v>
      </c>
      <c r="AE516">
        <v>57.4</v>
      </c>
      <c r="AF516">
        <v>57.3</v>
      </c>
      <c r="AG516">
        <v>57.1</v>
      </c>
      <c r="AH516">
        <v>57</v>
      </c>
      <c r="AI516">
        <v>56.9</v>
      </c>
      <c r="AJ516">
        <v>56.8</v>
      </c>
    </row>
    <row r="517" spans="1:36" hidden="1" x14ac:dyDescent="0.35">
      <c r="A517" t="s">
        <v>2130</v>
      </c>
      <c r="B517" s="188" t="s">
        <v>1342</v>
      </c>
      <c r="C517" t="s">
        <v>1343</v>
      </c>
      <c r="D517">
        <v>30</v>
      </c>
      <c r="E517" t="s">
        <v>2131</v>
      </c>
      <c r="F517" t="s">
        <v>2132</v>
      </c>
      <c r="G517" t="s">
        <v>2133</v>
      </c>
      <c r="H517">
        <v>86.5</v>
      </c>
      <c r="I517">
        <v>86.3</v>
      </c>
      <c r="J517">
        <v>86.1</v>
      </c>
      <c r="K517">
        <v>85.9</v>
      </c>
      <c r="L517">
        <v>85.7</v>
      </c>
      <c r="M517">
        <v>85.4</v>
      </c>
      <c r="N517">
        <v>85.2</v>
      </c>
      <c r="O517">
        <v>85</v>
      </c>
      <c r="P517">
        <v>84.8</v>
      </c>
      <c r="Q517">
        <v>84.6</v>
      </c>
      <c r="R517">
        <v>84.4</v>
      </c>
      <c r="S517">
        <v>84</v>
      </c>
      <c r="T517">
        <v>83.8</v>
      </c>
      <c r="U517">
        <v>83.8</v>
      </c>
      <c r="V517">
        <v>83.1</v>
      </c>
      <c r="W517">
        <v>82.3</v>
      </c>
      <c r="X517">
        <v>81.599999999999994</v>
      </c>
      <c r="Y517">
        <v>80.900000000000006</v>
      </c>
      <c r="Z517">
        <v>80.2</v>
      </c>
      <c r="AA517">
        <v>79.400000000000006</v>
      </c>
      <c r="AB517">
        <v>78.7</v>
      </c>
      <c r="AC517">
        <v>78</v>
      </c>
      <c r="AD517">
        <v>77.2</v>
      </c>
      <c r="AE517">
        <v>76.5</v>
      </c>
      <c r="AF517">
        <v>75.8</v>
      </c>
      <c r="AG517">
        <v>75.099999999999994</v>
      </c>
      <c r="AH517">
        <v>74.3</v>
      </c>
      <c r="AI517">
        <v>73.599999999999994</v>
      </c>
      <c r="AJ517">
        <v>72.900000000000006</v>
      </c>
    </row>
    <row r="518" spans="1:36" hidden="1" x14ac:dyDescent="0.35">
      <c r="A518" t="s">
        <v>2134</v>
      </c>
      <c r="B518" s="188" t="s">
        <v>1342</v>
      </c>
      <c r="C518" t="s">
        <v>1348</v>
      </c>
      <c r="D518">
        <v>30</v>
      </c>
      <c r="E518" t="s">
        <v>2131</v>
      </c>
      <c r="F518" t="s">
        <v>2132</v>
      </c>
      <c r="G518" t="s">
        <v>2133</v>
      </c>
      <c r="H518">
        <v>86.5</v>
      </c>
      <c r="I518">
        <v>86.1</v>
      </c>
      <c r="J518">
        <v>85.7</v>
      </c>
      <c r="K518">
        <v>85.3</v>
      </c>
      <c r="L518">
        <v>84.9</v>
      </c>
      <c r="M518">
        <v>84.5</v>
      </c>
      <c r="N518">
        <v>84.1</v>
      </c>
      <c r="O518">
        <v>83.7</v>
      </c>
      <c r="P518">
        <v>83.3</v>
      </c>
      <c r="Q518">
        <v>82.9</v>
      </c>
      <c r="R518">
        <v>82.5</v>
      </c>
      <c r="S518">
        <v>81.7</v>
      </c>
      <c r="T518">
        <v>81.2</v>
      </c>
      <c r="U518">
        <v>81.2</v>
      </c>
      <c r="V518">
        <v>80.599999999999994</v>
      </c>
      <c r="W518">
        <v>79.900000000000006</v>
      </c>
      <c r="X518">
        <v>79.3</v>
      </c>
      <c r="Y518">
        <v>78.599999999999994</v>
      </c>
      <c r="Z518">
        <v>77.900000000000006</v>
      </c>
      <c r="AA518">
        <v>77.3</v>
      </c>
      <c r="AB518">
        <v>76.599999999999994</v>
      </c>
      <c r="AC518">
        <v>75.900000000000006</v>
      </c>
      <c r="AD518">
        <v>75.3</v>
      </c>
      <c r="AE518">
        <v>74.599999999999994</v>
      </c>
      <c r="AF518">
        <v>74</v>
      </c>
      <c r="AG518">
        <v>73.3</v>
      </c>
      <c r="AH518">
        <v>72.599999999999994</v>
      </c>
      <c r="AI518">
        <v>72</v>
      </c>
      <c r="AJ518">
        <v>71.3</v>
      </c>
    </row>
    <row r="519" spans="1:36" hidden="1" x14ac:dyDescent="0.35">
      <c r="A519" t="s">
        <v>2135</v>
      </c>
      <c r="B519" s="188" t="s">
        <v>1342</v>
      </c>
      <c r="C519" t="s">
        <v>1350</v>
      </c>
      <c r="D519">
        <v>30</v>
      </c>
      <c r="E519" t="s">
        <v>2131</v>
      </c>
      <c r="F519" t="s">
        <v>2132</v>
      </c>
      <c r="G519" t="s">
        <v>2133</v>
      </c>
      <c r="H519">
        <v>86.5</v>
      </c>
      <c r="I519">
        <v>85.9</v>
      </c>
      <c r="J519">
        <v>85.3</v>
      </c>
      <c r="K519">
        <v>84.7</v>
      </c>
      <c r="L519">
        <v>84.1</v>
      </c>
      <c r="M519">
        <v>83.5</v>
      </c>
      <c r="N519">
        <v>82.9</v>
      </c>
      <c r="O519">
        <v>82.3</v>
      </c>
      <c r="P519">
        <v>81.7</v>
      </c>
      <c r="Q519">
        <v>81.099999999999994</v>
      </c>
      <c r="R519">
        <v>80.5</v>
      </c>
      <c r="S519">
        <v>79.3</v>
      </c>
      <c r="T519">
        <v>78.7</v>
      </c>
      <c r="U519">
        <v>78.7</v>
      </c>
      <c r="V519">
        <v>78.099999999999994</v>
      </c>
      <c r="W519">
        <v>77.5</v>
      </c>
      <c r="X519">
        <v>76.900000000000006</v>
      </c>
      <c r="Y519">
        <v>76.3</v>
      </c>
      <c r="Z519">
        <v>75.7</v>
      </c>
      <c r="AA519">
        <v>75.099999999999994</v>
      </c>
      <c r="AB519">
        <v>74.5</v>
      </c>
      <c r="AC519">
        <v>73.900000000000006</v>
      </c>
      <c r="AD519">
        <v>73.3</v>
      </c>
      <c r="AE519">
        <v>72.7</v>
      </c>
      <c r="AF519">
        <v>72.099999999999994</v>
      </c>
      <c r="AG519">
        <v>71.5</v>
      </c>
      <c r="AH519">
        <v>70.900000000000006</v>
      </c>
      <c r="AI519">
        <v>70.3</v>
      </c>
      <c r="AJ519">
        <v>69.7</v>
      </c>
    </row>
    <row r="520" spans="1:36" hidden="1" x14ac:dyDescent="0.35">
      <c r="A520" t="s">
        <v>2136</v>
      </c>
      <c r="B520" s="188" t="s">
        <v>1342</v>
      </c>
      <c r="C520" t="s">
        <v>1343</v>
      </c>
      <c r="D520">
        <v>30</v>
      </c>
      <c r="E520" t="s">
        <v>2131</v>
      </c>
      <c r="F520" t="s">
        <v>2137</v>
      </c>
      <c r="G520" t="s">
        <v>2138</v>
      </c>
      <c r="H520">
        <v>137.19999999999999</v>
      </c>
      <c r="I520">
        <v>135.5</v>
      </c>
      <c r="J520">
        <v>133.69999999999999</v>
      </c>
      <c r="K520">
        <v>132</v>
      </c>
      <c r="L520">
        <v>130.30000000000001</v>
      </c>
      <c r="M520">
        <v>128.5</v>
      </c>
      <c r="N520">
        <v>126.8</v>
      </c>
      <c r="O520">
        <v>125</v>
      </c>
      <c r="P520">
        <v>123.3</v>
      </c>
      <c r="Q520">
        <v>121.5</v>
      </c>
      <c r="R520">
        <v>119.8</v>
      </c>
      <c r="S520">
        <v>116.3</v>
      </c>
      <c r="T520">
        <v>114.5</v>
      </c>
      <c r="U520">
        <v>114.5</v>
      </c>
      <c r="V520">
        <v>113.4</v>
      </c>
      <c r="W520">
        <v>112.2</v>
      </c>
      <c r="X520">
        <v>111.1</v>
      </c>
      <c r="Y520">
        <v>110</v>
      </c>
      <c r="Z520">
        <v>108.8</v>
      </c>
      <c r="AA520">
        <v>107.7</v>
      </c>
      <c r="AB520">
        <v>106.5</v>
      </c>
      <c r="AC520">
        <v>105.4</v>
      </c>
      <c r="AD520">
        <v>104.3</v>
      </c>
      <c r="AE520">
        <v>103.1</v>
      </c>
      <c r="AF520">
        <v>102</v>
      </c>
      <c r="AG520">
        <v>100.8</v>
      </c>
      <c r="AH520">
        <v>99.7</v>
      </c>
      <c r="AI520">
        <v>98.6</v>
      </c>
      <c r="AJ520">
        <v>97.4</v>
      </c>
    </row>
    <row r="521" spans="1:36" hidden="1" x14ac:dyDescent="0.35">
      <c r="A521" t="s">
        <v>2139</v>
      </c>
      <c r="B521" s="188" t="s">
        <v>1342</v>
      </c>
      <c r="C521" t="s">
        <v>1348</v>
      </c>
      <c r="D521">
        <v>30</v>
      </c>
      <c r="E521" t="s">
        <v>2131</v>
      </c>
      <c r="F521" t="s">
        <v>2137</v>
      </c>
      <c r="G521" t="s">
        <v>2138</v>
      </c>
      <c r="H521">
        <v>137.19999999999999</v>
      </c>
      <c r="I521">
        <v>135.80000000000001</v>
      </c>
      <c r="J521">
        <v>134.4</v>
      </c>
      <c r="K521">
        <v>132.9</v>
      </c>
      <c r="L521">
        <v>131.5</v>
      </c>
      <c r="M521">
        <v>130</v>
      </c>
      <c r="N521">
        <v>128.6</v>
      </c>
      <c r="O521">
        <v>127.1</v>
      </c>
      <c r="P521">
        <v>125.7</v>
      </c>
      <c r="Q521">
        <v>124.3</v>
      </c>
      <c r="R521">
        <v>122.8</v>
      </c>
      <c r="S521">
        <v>119.9</v>
      </c>
      <c r="T521">
        <v>118.5</v>
      </c>
      <c r="U521">
        <v>118.5</v>
      </c>
      <c r="V521">
        <v>117.3</v>
      </c>
      <c r="W521">
        <v>116.2</v>
      </c>
      <c r="X521">
        <v>115.1</v>
      </c>
      <c r="Y521">
        <v>113.9</v>
      </c>
      <c r="Z521">
        <v>112.8</v>
      </c>
      <c r="AA521">
        <v>111.6</v>
      </c>
      <c r="AB521">
        <v>110.5</v>
      </c>
      <c r="AC521">
        <v>109.4</v>
      </c>
      <c r="AD521">
        <v>108.2</v>
      </c>
      <c r="AE521">
        <v>107.1</v>
      </c>
      <c r="AF521">
        <v>105.9</v>
      </c>
      <c r="AG521">
        <v>104.8</v>
      </c>
      <c r="AH521">
        <v>103.7</v>
      </c>
      <c r="AI521">
        <v>102.5</v>
      </c>
      <c r="AJ521">
        <v>101.4</v>
      </c>
    </row>
    <row r="522" spans="1:36" hidden="1" x14ac:dyDescent="0.35">
      <c r="A522" t="s">
        <v>2140</v>
      </c>
      <c r="B522" s="188" t="s">
        <v>1342</v>
      </c>
      <c r="C522" t="s">
        <v>1350</v>
      </c>
      <c r="D522">
        <v>30</v>
      </c>
      <c r="E522" t="s">
        <v>2131</v>
      </c>
      <c r="F522" t="s">
        <v>2137</v>
      </c>
      <c r="G522" t="s">
        <v>2138</v>
      </c>
      <c r="H522">
        <v>137.19999999999999</v>
      </c>
      <c r="I522">
        <v>136.1</v>
      </c>
      <c r="J522">
        <v>135</v>
      </c>
      <c r="K522">
        <v>133.80000000000001</v>
      </c>
      <c r="L522">
        <v>132.69999999999999</v>
      </c>
      <c r="M522">
        <v>131.5</v>
      </c>
      <c r="N522">
        <v>130.4</v>
      </c>
      <c r="O522">
        <v>129.30000000000001</v>
      </c>
      <c r="P522">
        <v>128.1</v>
      </c>
      <c r="Q522">
        <v>127</v>
      </c>
      <c r="R522">
        <v>125.9</v>
      </c>
      <c r="S522">
        <v>123.6</v>
      </c>
      <c r="T522">
        <v>122.4</v>
      </c>
      <c r="U522">
        <v>122.4</v>
      </c>
      <c r="V522">
        <v>121.3</v>
      </c>
      <c r="W522">
        <v>120.2</v>
      </c>
      <c r="X522">
        <v>119</v>
      </c>
      <c r="Y522">
        <v>117.9</v>
      </c>
      <c r="Z522">
        <v>116.8</v>
      </c>
      <c r="AA522">
        <v>115.6</v>
      </c>
      <c r="AB522">
        <v>114.5</v>
      </c>
      <c r="AC522">
        <v>113.3</v>
      </c>
      <c r="AD522">
        <v>112.2</v>
      </c>
      <c r="AE522">
        <v>111.1</v>
      </c>
      <c r="AF522">
        <v>109.9</v>
      </c>
      <c r="AG522">
        <v>108.8</v>
      </c>
      <c r="AH522">
        <v>107.6</v>
      </c>
      <c r="AI522">
        <v>106.5</v>
      </c>
      <c r="AJ522">
        <v>105.4</v>
      </c>
    </row>
    <row r="523" spans="1:36" hidden="1" x14ac:dyDescent="0.35">
      <c r="A523" t="s">
        <v>2141</v>
      </c>
      <c r="B523" s="188" t="s">
        <v>1342</v>
      </c>
      <c r="C523" t="s">
        <v>1343</v>
      </c>
      <c r="D523">
        <v>30</v>
      </c>
      <c r="E523" t="s">
        <v>2131</v>
      </c>
      <c r="F523" t="s">
        <v>2142</v>
      </c>
      <c r="G523" t="s">
        <v>2143</v>
      </c>
      <c r="H523">
        <v>140.1</v>
      </c>
      <c r="I523">
        <v>138.19999999999999</v>
      </c>
      <c r="J523">
        <v>136.4</v>
      </c>
      <c r="K523">
        <v>134.5</v>
      </c>
      <c r="L523">
        <v>132.69999999999999</v>
      </c>
      <c r="M523">
        <v>130.80000000000001</v>
      </c>
      <c r="N523">
        <v>129</v>
      </c>
      <c r="O523">
        <v>127.1</v>
      </c>
      <c r="P523">
        <v>125.3</v>
      </c>
      <c r="Q523">
        <v>123.4</v>
      </c>
      <c r="R523">
        <v>121.6</v>
      </c>
      <c r="S523">
        <v>117.9</v>
      </c>
      <c r="T523">
        <v>116</v>
      </c>
      <c r="U523">
        <v>116</v>
      </c>
      <c r="V523">
        <v>114.8</v>
      </c>
      <c r="W523">
        <v>113.7</v>
      </c>
      <c r="X523">
        <v>112.5</v>
      </c>
      <c r="Y523">
        <v>111.4</v>
      </c>
      <c r="Z523">
        <v>110.2</v>
      </c>
      <c r="AA523">
        <v>109.1</v>
      </c>
      <c r="AB523">
        <v>107.9</v>
      </c>
      <c r="AC523">
        <v>106.7</v>
      </c>
      <c r="AD523">
        <v>105.6</v>
      </c>
      <c r="AE523">
        <v>104.4</v>
      </c>
      <c r="AF523">
        <v>103.3</v>
      </c>
      <c r="AG523">
        <v>102.1</v>
      </c>
      <c r="AH523">
        <v>100.9</v>
      </c>
      <c r="AI523">
        <v>99.8</v>
      </c>
      <c r="AJ523">
        <v>98.6</v>
      </c>
    </row>
    <row r="524" spans="1:36" hidden="1" x14ac:dyDescent="0.35">
      <c r="A524" t="s">
        <v>2144</v>
      </c>
      <c r="B524" s="188" t="s">
        <v>1342</v>
      </c>
      <c r="C524" t="s">
        <v>1348</v>
      </c>
      <c r="D524">
        <v>30</v>
      </c>
      <c r="E524" t="s">
        <v>2131</v>
      </c>
      <c r="F524" t="s">
        <v>2142</v>
      </c>
      <c r="G524" t="s">
        <v>2143</v>
      </c>
      <c r="H524">
        <v>140.1</v>
      </c>
      <c r="I524">
        <v>138.6</v>
      </c>
      <c r="J524">
        <v>137</v>
      </c>
      <c r="K524">
        <v>135.5</v>
      </c>
      <c r="L524">
        <v>134</v>
      </c>
      <c r="M524">
        <v>132.5</v>
      </c>
      <c r="N524">
        <v>131</v>
      </c>
      <c r="O524">
        <v>129.5</v>
      </c>
      <c r="P524">
        <v>128</v>
      </c>
      <c r="Q524">
        <v>126.5</v>
      </c>
      <c r="R524">
        <v>125</v>
      </c>
      <c r="S524">
        <v>122</v>
      </c>
      <c r="T524">
        <v>120.5</v>
      </c>
      <c r="U524">
        <v>120.5</v>
      </c>
      <c r="V524">
        <v>119.3</v>
      </c>
      <c r="W524">
        <v>118.1</v>
      </c>
      <c r="X524">
        <v>117</v>
      </c>
      <c r="Y524">
        <v>115.8</v>
      </c>
      <c r="Z524">
        <v>114.7</v>
      </c>
      <c r="AA524">
        <v>113.5</v>
      </c>
      <c r="AB524">
        <v>112.3</v>
      </c>
      <c r="AC524">
        <v>111.2</v>
      </c>
      <c r="AD524">
        <v>110</v>
      </c>
      <c r="AE524">
        <v>108.8</v>
      </c>
      <c r="AF524">
        <v>107.7</v>
      </c>
      <c r="AG524">
        <v>106.5</v>
      </c>
      <c r="AH524">
        <v>105.4</v>
      </c>
      <c r="AI524">
        <v>104.2</v>
      </c>
      <c r="AJ524">
        <v>103</v>
      </c>
    </row>
    <row r="525" spans="1:36" hidden="1" x14ac:dyDescent="0.35">
      <c r="A525" t="s">
        <v>2145</v>
      </c>
      <c r="B525" s="188" t="s">
        <v>1342</v>
      </c>
      <c r="C525" t="s">
        <v>1350</v>
      </c>
      <c r="D525">
        <v>30</v>
      </c>
      <c r="E525" t="s">
        <v>2131</v>
      </c>
      <c r="F525" t="s">
        <v>2142</v>
      </c>
      <c r="G525" t="s">
        <v>2143</v>
      </c>
      <c r="H525">
        <v>140.1</v>
      </c>
      <c r="I525">
        <v>138.9</v>
      </c>
      <c r="J525">
        <v>137.69999999999999</v>
      </c>
      <c r="K525">
        <v>136.6</v>
      </c>
      <c r="L525">
        <v>135.4</v>
      </c>
      <c r="M525">
        <v>134.19999999999999</v>
      </c>
      <c r="N525">
        <v>133.1</v>
      </c>
      <c r="O525">
        <v>131.9</v>
      </c>
      <c r="P525">
        <v>130.69999999999999</v>
      </c>
      <c r="Q525">
        <v>129.6</v>
      </c>
      <c r="R525">
        <v>128.4</v>
      </c>
      <c r="S525">
        <v>126.1</v>
      </c>
      <c r="T525">
        <v>124.9</v>
      </c>
      <c r="U525">
        <v>124.9</v>
      </c>
      <c r="V525">
        <v>123.8</v>
      </c>
      <c r="W525">
        <v>122.6</v>
      </c>
      <c r="X525">
        <v>121.4</v>
      </c>
      <c r="Y525">
        <v>120.3</v>
      </c>
      <c r="Z525">
        <v>119.1</v>
      </c>
      <c r="AA525">
        <v>117.9</v>
      </c>
      <c r="AB525">
        <v>116.8</v>
      </c>
      <c r="AC525">
        <v>115.6</v>
      </c>
      <c r="AD525">
        <v>114.4</v>
      </c>
      <c r="AE525">
        <v>113.3</v>
      </c>
      <c r="AF525">
        <v>112.1</v>
      </c>
      <c r="AG525">
        <v>110.9</v>
      </c>
      <c r="AH525">
        <v>109.8</v>
      </c>
      <c r="AI525">
        <v>108.6</v>
      </c>
      <c r="AJ525">
        <v>107.4</v>
      </c>
    </row>
    <row r="526" spans="1:36" hidden="1" x14ac:dyDescent="0.35">
      <c r="A526" t="s">
        <v>2146</v>
      </c>
      <c r="B526" s="188" t="s">
        <v>1342</v>
      </c>
      <c r="C526" t="s">
        <v>1343</v>
      </c>
      <c r="D526">
        <v>30</v>
      </c>
      <c r="E526" t="s">
        <v>2131</v>
      </c>
      <c r="F526" t="s">
        <v>2147</v>
      </c>
      <c r="G526" t="s">
        <v>2148</v>
      </c>
      <c r="H526">
        <v>167.5</v>
      </c>
      <c r="I526">
        <v>166.6</v>
      </c>
      <c r="J526">
        <v>165.8</v>
      </c>
      <c r="K526">
        <v>164.9</v>
      </c>
      <c r="L526">
        <v>164</v>
      </c>
      <c r="M526">
        <v>163.1</v>
      </c>
      <c r="N526">
        <v>162.19999999999999</v>
      </c>
      <c r="O526">
        <v>161.4</v>
      </c>
      <c r="P526">
        <v>160.5</v>
      </c>
      <c r="Q526">
        <v>159.6</v>
      </c>
      <c r="R526">
        <v>158.69999999999999</v>
      </c>
      <c r="S526">
        <v>157</v>
      </c>
      <c r="T526">
        <v>156.1</v>
      </c>
      <c r="U526">
        <v>156.1</v>
      </c>
      <c r="V526">
        <v>155.19999999999999</v>
      </c>
      <c r="W526">
        <v>154.30000000000001</v>
      </c>
      <c r="X526">
        <v>153.4</v>
      </c>
      <c r="Y526">
        <v>152.5</v>
      </c>
      <c r="Z526">
        <v>151.69999999999999</v>
      </c>
      <c r="AA526">
        <v>150.80000000000001</v>
      </c>
      <c r="AB526">
        <v>149.9</v>
      </c>
      <c r="AC526">
        <v>149</v>
      </c>
      <c r="AD526">
        <v>148.1</v>
      </c>
      <c r="AE526">
        <v>147.30000000000001</v>
      </c>
      <c r="AF526">
        <v>146.4</v>
      </c>
      <c r="AG526">
        <v>145.5</v>
      </c>
      <c r="AH526">
        <v>144.6</v>
      </c>
      <c r="AI526">
        <v>143.69999999999999</v>
      </c>
      <c r="AJ526">
        <v>142.9</v>
      </c>
    </row>
    <row r="527" spans="1:36" hidden="1" x14ac:dyDescent="0.35">
      <c r="A527" t="s">
        <v>2149</v>
      </c>
      <c r="B527" s="188" t="s">
        <v>1342</v>
      </c>
      <c r="C527" t="s">
        <v>1348</v>
      </c>
      <c r="D527">
        <v>30</v>
      </c>
      <c r="E527" t="s">
        <v>2131</v>
      </c>
      <c r="F527" t="s">
        <v>2147</v>
      </c>
      <c r="G527" t="s">
        <v>2148</v>
      </c>
      <c r="H527">
        <v>167.5</v>
      </c>
      <c r="I527">
        <v>166.9</v>
      </c>
      <c r="J527">
        <v>166.3</v>
      </c>
      <c r="K527">
        <v>165.7</v>
      </c>
      <c r="L527">
        <v>165.2</v>
      </c>
      <c r="M527">
        <v>164.6</v>
      </c>
      <c r="N527">
        <v>164</v>
      </c>
      <c r="O527">
        <v>163.4</v>
      </c>
      <c r="P527">
        <v>162.80000000000001</v>
      </c>
      <c r="Q527">
        <v>162.19999999999999</v>
      </c>
      <c r="R527">
        <v>161.6</v>
      </c>
      <c r="S527">
        <v>160.4</v>
      </c>
      <c r="T527">
        <v>159.80000000000001</v>
      </c>
      <c r="U527">
        <v>159.80000000000001</v>
      </c>
      <c r="V527">
        <v>159.19999999999999</v>
      </c>
      <c r="W527">
        <v>158.69999999999999</v>
      </c>
      <c r="X527">
        <v>158.1</v>
      </c>
      <c r="Y527">
        <v>157.5</v>
      </c>
      <c r="Z527">
        <v>156.9</v>
      </c>
      <c r="AA527">
        <v>156.30000000000001</v>
      </c>
      <c r="AB527">
        <v>155.69999999999999</v>
      </c>
      <c r="AC527">
        <v>155.1</v>
      </c>
      <c r="AD527">
        <v>154.5</v>
      </c>
      <c r="AE527">
        <v>153.9</v>
      </c>
      <c r="AF527">
        <v>153.30000000000001</v>
      </c>
      <c r="AG527">
        <v>152.69999999999999</v>
      </c>
      <c r="AH527">
        <v>152.19999999999999</v>
      </c>
      <c r="AI527">
        <v>151.6</v>
      </c>
      <c r="AJ527">
        <v>151</v>
      </c>
    </row>
    <row r="528" spans="1:36" hidden="1" x14ac:dyDescent="0.35">
      <c r="A528" t="s">
        <v>2150</v>
      </c>
      <c r="B528" s="188" t="s">
        <v>1342</v>
      </c>
      <c r="C528" t="s">
        <v>1350</v>
      </c>
      <c r="D528">
        <v>30</v>
      </c>
      <c r="E528" t="s">
        <v>2131</v>
      </c>
      <c r="F528" t="s">
        <v>2147</v>
      </c>
      <c r="G528" t="s">
        <v>2148</v>
      </c>
      <c r="H528">
        <v>167.5</v>
      </c>
      <c r="I528">
        <v>167.2</v>
      </c>
      <c r="J528">
        <v>166.9</v>
      </c>
      <c r="K528">
        <v>166.6</v>
      </c>
      <c r="L528">
        <v>166.3</v>
      </c>
      <c r="M528">
        <v>166</v>
      </c>
      <c r="N528">
        <v>165.7</v>
      </c>
      <c r="O528">
        <v>165.4</v>
      </c>
      <c r="P528">
        <v>165.1</v>
      </c>
      <c r="Q528">
        <v>164.8</v>
      </c>
      <c r="R528">
        <v>164.5</v>
      </c>
      <c r="S528">
        <v>163.9</v>
      </c>
      <c r="T528">
        <v>163.6</v>
      </c>
      <c r="U528">
        <v>163.6</v>
      </c>
      <c r="V528">
        <v>163.30000000000001</v>
      </c>
      <c r="W528">
        <v>163</v>
      </c>
      <c r="X528">
        <v>162.69999999999999</v>
      </c>
      <c r="Y528">
        <v>162.4</v>
      </c>
      <c r="Z528">
        <v>162.1</v>
      </c>
      <c r="AA528">
        <v>161.80000000000001</v>
      </c>
      <c r="AB528">
        <v>161.5</v>
      </c>
      <c r="AC528">
        <v>161.19999999999999</v>
      </c>
      <c r="AD528">
        <v>160.9</v>
      </c>
      <c r="AE528">
        <v>160.6</v>
      </c>
      <c r="AF528">
        <v>160.30000000000001</v>
      </c>
      <c r="AG528">
        <v>160</v>
      </c>
      <c r="AH528">
        <v>159.69999999999999</v>
      </c>
      <c r="AI528">
        <v>159.4</v>
      </c>
      <c r="AJ528">
        <v>159.1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78375-5134-41F3-897B-0CC1904445C1}">
  <dimension ref="A1:AJ528"/>
  <sheetViews>
    <sheetView workbookViewId="0"/>
  </sheetViews>
  <sheetFormatPr defaultRowHeight="14.5" x14ac:dyDescent="0.35"/>
  <cols>
    <col min="2" max="2" width="14.1796875" customWidth="1"/>
    <col min="3" max="3" width="10.453125" customWidth="1"/>
    <col min="4" max="4" width="10.7265625" customWidth="1"/>
    <col min="5" max="5" width="12.7265625" customWidth="1"/>
    <col min="6" max="6" width="11.7265625" customWidth="1"/>
    <col min="7" max="7" width="13.81640625" customWidth="1"/>
  </cols>
  <sheetData>
    <row r="1" spans="1:36" x14ac:dyDescent="0.35">
      <c r="A1" t="s">
        <v>2153</v>
      </c>
      <c r="G1" t="s">
        <v>57</v>
      </c>
    </row>
    <row r="2" spans="1:36" x14ac:dyDescent="0.35">
      <c r="A2" t="s">
        <v>1306</v>
      </c>
      <c r="B2" t="s">
        <v>1307</v>
      </c>
      <c r="C2" t="s">
        <v>1308</v>
      </c>
      <c r="D2" t="s">
        <v>1309</v>
      </c>
      <c r="E2" t="s">
        <v>916</v>
      </c>
      <c r="F2" t="s">
        <v>1310</v>
      </c>
      <c r="G2" t="s">
        <v>1311</v>
      </c>
      <c r="H2" t="s">
        <v>1312</v>
      </c>
      <c r="I2" t="s">
        <v>1313</v>
      </c>
      <c r="J2" t="s">
        <v>1314</v>
      </c>
      <c r="K2" t="s">
        <v>1315</v>
      </c>
      <c r="L2" t="s">
        <v>1316</v>
      </c>
      <c r="M2" t="s">
        <v>1317</v>
      </c>
      <c r="N2" t="s">
        <v>1318</v>
      </c>
      <c r="O2" t="s">
        <v>1319</v>
      </c>
      <c r="P2" t="s">
        <v>1320</v>
      </c>
      <c r="Q2" t="s">
        <v>1321</v>
      </c>
      <c r="R2" t="s">
        <v>1322</v>
      </c>
      <c r="S2" t="s">
        <v>1323</v>
      </c>
      <c r="T2" t="s">
        <v>1324</v>
      </c>
      <c r="U2" t="s">
        <v>1325</v>
      </c>
      <c r="V2" t="s">
        <v>1326</v>
      </c>
      <c r="W2" t="s">
        <v>1327</v>
      </c>
      <c r="X2" t="s">
        <v>1328</v>
      </c>
      <c r="Y2" t="s">
        <v>1329</v>
      </c>
      <c r="Z2" t="s">
        <v>1330</v>
      </c>
      <c r="AA2" t="s">
        <v>1331</v>
      </c>
      <c r="AB2" t="s">
        <v>1332</v>
      </c>
      <c r="AC2" t="s">
        <v>1333</v>
      </c>
      <c r="AD2" t="s">
        <v>1334</v>
      </c>
      <c r="AE2" t="s">
        <v>1335</v>
      </c>
      <c r="AF2" t="s">
        <v>1336</v>
      </c>
      <c r="AG2" t="s">
        <v>1337</v>
      </c>
      <c r="AH2" t="s">
        <v>1338</v>
      </c>
      <c r="AI2" t="s">
        <v>1339</v>
      </c>
      <c r="AJ2" t="s">
        <v>1340</v>
      </c>
    </row>
    <row r="3" spans="1:36" x14ac:dyDescent="0.35">
      <c r="A3" t="s">
        <v>1341</v>
      </c>
      <c r="B3" s="188" t="s">
        <v>1342</v>
      </c>
      <c r="C3" t="s">
        <v>1343</v>
      </c>
      <c r="D3" s="188">
        <v>30</v>
      </c>
      <c r="E3" t="s">
        <v>1344</v>
      </c>
      <c r="F3" t="s">
        <v>1345</v>
      </c>
      <c r="G3" s="190" t="s">
        <v>1346</v>
      </c>
      <c r="H3" s="190">
        <v>3.9576600000000002</v>
      </c>
      <c r="I3" s="190">
        <v>3.8267025000000001</v>
      </c>
      <c r="J3" s="190">
        <v>3.6957450000000001</v>
      </c>
      <c r="K3" s="190">
        <v>3.5647875</v>
      </c>
      <c r="L3" s="190">
        <v>3.4338299999999999</v>
      </c>
      <c r="M3" s="190">
        <v>3.3028724999999999</v>
      </c>
      <c r="N3" s="190">
        <v>3.1719149999999998</v>
      </c>
      <c r="O3" s="190">
        <v>3.0409574999999998</v>
      </c>
      <c r="P3" s="190">
        <v>2.91</v>
      </c>
      <c r="Q3" s="190">
        <v>2.91</v>
      </c>
      <c r="R3" s="190">
        <v>2.91</v>
      </c>
      <c r="S3" s="190">
        <v>2.91</v>
      </c>
      <c r="T3" s="190">
        <v>2.91</v>
      </c>
      <c r="U3" s="190">
        <v>2.91</v>
      </c>
      <c r="V3" s="190">
        <v>2.91</v>
      </c>
      <c r="W3" s="190">
        <v>2.91</v>
      </c>
      <c r="X3" s="190">
        <v>2.91</v>
      </c>
      <c r="Y3" s="190">
        <v>2.91</v>
      </c>
      <c r="Z3" s="190">
        <v>2.91</v>
      </c>
      <c r="AA3" s="190">
        <v>2.91</v>
      </c>
      <c r="AB3" s="190">
        <v>2.91</v>
      </c>
      <c r="AC3" s="190">
        <v>2.91</v>
      </c>
      <c r="AD3" s="190">
        <v>2.91</v>
      </c>
      <c r="AE3" s="190">
        <v>2.91</v>
      </c>
      <c r="AF3" s="190">
        <v>2.91</v>
      </c>
      <c r="AG3" s="190">
        <v>2.91</v>
      </c>
      <c r="AH3" s="190">
        <v>2.91</v>
      </c>
      <c r="AI3" s="190">
        <v>2.91</v>
      </c>
      <c r="AJ3" s="190">
        <v>2.91</v>
      </c>
    </row>
    <row r="4" spans="1:36" x14ac:dyDescent="0.35">
      <c r="A4" t="s">
        <v>1347</v>
      </c>
      <c r="B4" s="188" t="s">
        <v>1342</v>
      </c>
      <c r="C4" t="s">
        <v>1348</v>
      </c>
      <c r="D4" s="188">
        <v>30</v>
      </c>
      <c r="E4" t="s">
        <v>1344</v>
      </c>
      <c r="F4" t="s">
        <v>1345</v>
      </c>
      <c r="G4" s="190" t="s">
        <v>1346</v>
      </c>
      <c r="H4" s="190">
        <v>3.9576600000000002</v>
      </c>
      <c r="I4" s="190">
        <v>3.8379525000000001</v>
      </c>
      <c r="J4" s="190">
        <v>3.718245</v>
      </c>
      <c r="K4" s="190">
        <v>3.5985374999999999</v>
      </c>
      <c r="L4" s="190">
        <v>3.4788299999999999</v>
      </c>
      <c r="M4" s="190">
        <v>3.3591224999999998</v>
      </c>
      <c r="N4" s="190">
        <v>3.2394149999999997</v>
      </c>
      <c r="O4" s="190">
        <v>3.1197074999999996</v>
      </c>
      <c r="P4" s="190">
        <v>3</v>
      </c>
      <c r="Q4" s="190">
        <v>3</v>
      </c>
      <c r="R4" s="190">
        <v>3</v>
      </c>
      <c r="S4" s="190">
        <v>3</v>
      </c>
      <c r="T4" s="190">
        <v>3</v>
      </c>
      <c r="U4" s="190">
        <v>3</v>
      </c>
      <c r="V4" s="190">
        <v>3</v>
      </c>
      <c r="W4" s="190">
        <v>3</v>
      </c>
      <c r="X4" s="190">
        <v>3</v>
      </c>
      <c r="Y4" s="190">
        <v>3</v>
      </c>
      <c r="Z4" s="190">
        <v>3</v>
      </c>
      <c r="AA4" s="190">
        <v>3</v>
      </c>
      <c r="AB4" s="190">
        <v>3</v>
      </c>
      <c r="AC4" s="190">
        <v>3</v>
      </c>
      <c r="AD4" s="190">
        <v>3</v>
      </c>
      <c r="AE4" s="190">
        <v>3</v>
      </c>
      <c r="AF4" s="190">
        <v>3</v>
      </c>
      <c r="AG4" s="190">
        <v>3</v>
      </c>
      <c r="AH4" s="190">
        <v>3</v>
      </c>
      <c r="AI4" s="190">
        <v>3</v>
      </c>
      <c r="AJ4" s="190">
        <v>3</v>
      </c>
    </row>
    <row r="5" spans="1:36" x14ac:dyDescent="0.35">
      <c r="A5" t="s">
        <v>1349</v>
      </c>
      <c r="B5" s="188" t="s">
        <v>1342</v>
      </c>
      <c r="C5" t="s">
        <v>1350</v>
      </c>
      <c r="D5" s="188">
        <v>30</v>
      </c>
      <c r="E5" t="s">
        <v>1344</v>
      </c>
      <c r="F5" t="s">
        <v>1345</v>
      </c>
      <c r="G5" s="190" t="s">
        <v>1346</v>
      </c>
      <c r="H5" s="190">
        <v>3.9576600000000002</v>
      </c>
      <c r="I5" s="190">
        <v>3.9576600000000002</v>
      </c>
      <c r="J5" s="190">
        <v>3.9576600000000002</v>
      </c>
      <c r="K5" s="190">
        <v>3.9576600000000002</v>
      </c>
      <c r="L5" s="190">
        <v>3.9576600000000002</v>
      </c>
      <c r="M5" s="190">
        <v>3.9576600000000002</v>
      </c>
      <c r="N5" s="190">
        <v>3.9576600000000002</v>
      </c>
      <c r="O5" s="190">
        <v>3.9576600000000002</v>
      </c>
      <c r="P5" s="190">
        <v>3.9576600000000002</v>
      </c>
      <c r="Q5" s="190">
        <v>3.9576600000000002</v>
      </c>
      <c r="R5" s="190">
        <v>3.9576600000000002</v>
      </c>
      <c r="S5" s="190">
        <v>3.9576600000000002</v>
      </c>
      <c r="T5" s="190">
        <v>3.9576600000000002</v>
      </c>
      <c r="U5" s="190">
        <v>3.9576600000000002</v>
      </c>
      <c r="V5" s="190">
        <v>3.9576600000000002</v>
      </c>
      <c r="W5" s="190">
        <v>3.9576600000000002</v>
      </c>
      <c r="X5" s="190">
        <v>3.9576600000000002</v>
      </c>
      <c r="Y5" s="190">
        <v>3.9576600000000002</v>
      </c>
      <c r="Z5" s="190">
        <v>3.9576600000000002</v>
      </c>
      <c r="AA5" s="190">
        <v>3.9576600000000002</v>
      </c>
      <c r="AB5" s="190">
        <v>3.9576600000000002</v>
      </c>
      <c r="AC5" s="190">
        <v>3.9576600000000002</v>
      </c>
      <c r="AD5" s="190">
        <v>3.9576600000000002</v>
      </c>
      <c r="AE5" s="190">
        <v>3.9576600000000002</v>
      </c>
      <c r="AF5" s="190">
        <v>3.9576600000000002</v>
      </c>
      <c r="AG5" s="190">
        <v>3.9576600000000002</v>
      </c>
      <c r="AH5" s="190">
        <v>3.9576600000000002</v>
      </c>
      <c r="AI5" s="190">
        <v>3.9576600000000002</v>
      </c>
      <c r="AJ5" s="190">
        <v>3.9576600000000002</v>
      </c>
    </row>
    <row r="6" spans="1:36" x14ac:dyDescent="0.35">
      <c r="A6" t="s">
        <v>1351</v>
      </c>
      <c r="B6" s="188" t="s">
        <v>1342</v>
      </c>
      <c r="C6" t="s">
        <v>1343</v>
      </c>
      <c r="D6" s="188">
        <v>30</v>
      </c>
      <c r="E6" t="s">
        <v>1344</v>
      </c>
      <c r="F6" t="s">
        <v>1352</v>
      </c>
      <c r="G6" s="190" t="s">
        <v>1353</v>
      </c>
      <c r="H6" s="190">
        <v>3.9576600000000002</v>
      </c>
      <c r="I6" s="190">
        <v>3.8267025000000001</v>
      </c>
      <c r="J6" s="190">
        <v>3.6957450000000001</v>
      </c>
      <c r="K6" s="190">
        <v>3.5647875</v>
      </c>
      <c r="L6" s="190">
        <v>3.4338299999999999</v>
      </c>
      <c r="M6" s="190">
        <v>3.3028724999999999</v>
      </c>
      <c r="N6" s="190">
        <v>3.1719149999999998</v>
      </c>
      <c r="O6" s="190">
        <v>3.0409574999999998</v>
      </c>
      <c r="P6" s="190">
        <v>2.91</v>
      </c>
      <c r="Q6" s="190">
        <v>2.91</v>
      </c>
      <c r="R6" s="190">
        <v>2.91</v>
      </c>
      <c r="S6" s="190">
        <v>2.91</v>
      </c>
      <c r="T6" s="190">
        <v>2.91</v>
      </c>
      <c r="U6" s="190">
        <v>2.91</v>
      </c>
      <c r="V6" s="190">
        <v>2.91</v>
      </c>
      <c r="W6" s="190">
        <v>2.91</v>
      </c>
      <c r="X6" s="190">
        <v>2.91</v>
      </c>
      <c r="Y6" s="190">
        <v>2.91</v>
      </c>
      <c r="Z6" s="190">
        <v>2.91</v>
      </c>
      <c r="AA6" s="190">
        <v>2.91</v>
      </c>
      <c r="AB6" s="190">
        <v>2.91</v>
      </c>
      <c r="AC6" s="190">
        <v>2.91</v>
      </c>
      <c r="AD6" s="190">
        <v>2.91</v>
      </c>
      <c r="AE6" s="190">
        <v>2.91</v>
      </c>
      <c r="AF6" s="190">
        <v>2.91</v>
      </c>
      <c r="AG6" s="190">
        <v>2.91</v>
      </c>
      <c r="AH6" s="190">
        <v>2.91</v>
      </c>
      <c r="AI6" s="190">
        <v>2.91</v>
      </c>
      <c r="AJ6" s="190">
        <v>2.91</v>
      </c>
    </row>
    <row r="7" spans="1:36" x14ac:dyDescent="0.35">
      <c r="A7" t="s">
        <v>1354</v>
      </c>
      <c r="B7" s="188" t="s">
        <v>1342</v>
      </c>
      <c r="C7" t="s">
        <v>1348</v>
      </c>
      <c r="D7" s="188">
        <v>30</v>
      </c>
      <c r="E7" t="s">
        <v>1344</v>
      </c>
      <c r="F7" t="s">
        <v>1352</v>
      </c>
      <c r="G7" s="190" t="s">
        <v>1353</v>
      </c>
      <c r="H7" s="190">
        <v>3.9576600000000002</v>
      </c>
      <c r="I7" s="190">
        <v>3.8379525000000001</v>
      </c>
      <c r="J7" s="190">
        <v>3.718245</v>
      </c>
      <c r="K7" s="190">
        <v>3.5985374999999999</v>
      </c>
      <c r="L7" s="190">
        <v>3.4788299999999999</v>
      </c>
      <c r="M7" s="190">
        <v>3.3591224999999998</v>
      </c>
      <c r="N7" s="190">
        <v>3.2394149999999997</v>
      </c>
      <c r="O7" s="190">
        <v>3.1197074999999996</v>
      </c>
      <c r="P7" s="190">
        <v>3</v>
      </c>
      <c r="Q7" s="190">
        <v>3</v>
      </c>
      <c r="R7" s="190">
        <v>3</v>
      </c>
      <c r="S7" s="190">
        <v>3</v>
      </c>
      <c r="T7" s="190">
        <v>3</v>
      </c>
      <c r="U7" s="190">
        <v>3</v>
      </c>
      <c r="V7" s="190">
        <v>3</v>
      </c>
      <c r="W7" s="190">
        <v>3</v>
      </c>
      <c r="X7" s="190">
        <v>3</v>
      </c>
      <c r="Y7" s="190">
        <v>3</v>
      </c>
      <c r="Z7" s="190">
        <v>3</v>
      </c>
      <c r="AA7" s="190">
        <v>3</v>
      </c>
      <c r="AB7" s="190">
        <v>3</v>
      </c>
      <c r="AC7" s="190">
        <v>3</v>
      </c>
      <c r="AD7" s="190">
        <v>3</v>
      </c>
      <c r="AE7" s="190">
        <v>3</v>
      </c>
      <c r="AF7" s="190">
        <v>3</v>
      </c>
      <c r="AG7" s="190">
        <v>3</v>
      </c>
      <c r="AH7" s="190">
        <v>3</v>
      </c>
      <c r="AI7" s="190">
        <v>3</v>
      </c>
      <c r="AJ7" s="190">
        <v>3</v>
      </c>
    </row>
    <row r="8" spans="1:36" x14ac:dyDescent="0.35">
      <c r="A8" t="s">
        <v>1355</v>
      </c>
      <c r="B8" s="188" t="s">
        <v>1342</v>
      </c>
      <c r="C8" t="s">
        <v>1350</v>
      </c>
      <c r="D8" s="188">
        <v>30</v>
      </c>
      <c r="E8" t="s">
        <v>1344</v>
      </c>
      <c r="F8" t="s">
        <v>1352</v>
      </c>
      <c r="G8" s="190" t="s">
        <v>1353</v>
      </c>
      <c r="H8" s="190">
        <v>3.9576600000000002</v>
      </c>
      <c r="I8" s="190">
        <v>3.9576600000000002</v>
      </c>
      <c r="J8" s="190">
        <v>3.9576600000000002</v>
      </c>
      <c r="K8" s="190">
        <v>3.9576600000000002</v>
      </c>
      <c r="L8" s="190">
        <v>3.9576600000000002</v>
      </c>
      <c r="M8" s="190">
        <v>3.9576600000000002</v>
      </c>
      <c r="N8" s="190">
        <v>3.9576600000000002</v>
      </c>
      <c r="O8" s="190">
        <v>3.9576600000000002</v>
      </c>
      <c r="P8" s="190">
        <v>3.9576600000000002</v>
      </c>
      <c r="Q8" s="190">
        <v>3.9576600000000002</v>
      </c>
      <c r="R8" s="190">
        <v>3.9576600000000002</v>
      </c>
      <c r="S8" s="190">
        <v>3.9576600000000002</v>
      </c>
      <c r="T8" s="190">
        <v>3.9576600000000002</v>
      </c>
      <c r="U8" s="190">
        <v>3.9576600000000002</v>
      </c>
      <c r="V8" s="190">
        <v>3.9576600000000002</v>
      </c>
      <c r="W8" s="190">
        <v>3.9576600000000002</v>
      </c>
      <c r="X8" s="190">
        <v>3.9576600000000002</v>
      </c>
      <c r="Y8" s="190">
        <v>3.9576600000000002</v>
      </c>
      <c r="Z8" s="190">
        <v>3.9576600000000002</v>
      </c>
      <c r="AA8" s="190">
        <v>3.9576600000000002</v>
      </c>
      <c r="AB8" s="190">
        <v>3.9576600000000002</v>
      </c>
      <c r="AC8" s="190">
        <v>3.9576600000000002</v>
      </c>
      <c r="AD8" s="190">
        <v>3.9576600000000002</v>
      </c>
      <c r="AE8" s="190">
        <v>3.9576600000000002</v>
      </c>
      <c r="AF8" s="190">
        <v>3.9576600000000002</v>
      </c>
      <c r="AG8" s="190">
        <v>3.9576600000000002</v>
      </c>
      <c r="AH8" s="190">
        <v>3.9576600000000002</v>
      </c>
      <c r="AI8" s="190">
        <v>3.9576600000000002</v>
      </c>
      <c r="AJ8" s="190">
        <v>3.9576600000000002</v>
      </c>
    </row>
    <row r="9" spans="1:36" x14ac:dyDescent="0.35">
      <c r="A9" t="s">
        <v>1356</v>
      </c>
      <c r="B9" s="188" t="s">
        <v>1342</v>
      </c>
      <c r="C9" t="s">
        <v>1343</v>
      </c>
      <c r="D9" s="188">
        <v>30</v>
      </c>
      <c r="E9" t="s">
        <v>1344</v>
      </c>
      <c r="F9" t="s">
        <v>1357</v>
      </c>
      <c r="G9" s="190" t="s">
        <v>1358</v>
      </c>
      <c r="H9" s="190">
        <v>3.9576600000000002</v>
      </c>
      <c r="I9" s="190">
        <v>3.8267025000000001</v>
      </c>
      <c r="J9" s="190">
        <v>3.6957450000000001</v>
      </c>
      <c r="K9" s="190">
        <v>3.5647875</v>
      </c>
      <c r="L9" s="190">
        <v>3.4338299999999999</v>
      </c>
      <c r="M9" s="190">
        <v>3.3028724999999999</v>
      </c>
      <c r="N9" s="190">
        <v>3.1719149999999998</v>
      </c>
      <c r="O9" s="190">
        <v>3.0409574999999998</v>
      </c>
      <c r="P9" s="190">
        <v>2.91</v>
      </c>
      <c r="Q9" s="190">
        <v>2.91</v>
      </c>
      <c r="R9" s="190">
        <v>2.91</v>
      </c>
      <c r="S9" s="190">
        <v>2.91</v>
      </c>
      <c r="T9" s="190">
        <v>2.91</v>
      </c>
      <c r="U9" s="190">
        <v>2.91</v>
      </c>
      <c r="V9" s="190">
        <v>2.91</v>
      </c>
      <c r="W9" s="190">
        <v>2.91</v>
      </c>
      <c r="X9" s="190">
        <v>2.91</v>
      </c>
      <c r="Y9" s="190">
        <v>2.91</v>
      </c>
      <c r="Z9" s="190">
        <v>2.91</v>
      </c>
      <c r="AA9" s="190">
        <v>2.91</v>
      </c>
      <c r="AB9" s="190">
        <v>2.91</v>
      </c>
      <c r="AC9" s="190">
        <v>2.91</v>
      </c>
      <c r="AD9" s="190">
        <v>2.91</v>
      </c>
      <c r="AE9" s="190">
        <v>2.91</v>
      </c>
      <c r="AF9" s="190">
        <v>2.91</v>
      </c>
      <c r="AG9" s="190">
        <v>2.91</v>
      </c>
      <c r="AH9" s="190">
        <v>2.91</v>
      </c>
      <c r="AI9" s="190">
        <v>2.91</v>
      </c>
      <c r="AJ9" s="190">
        <v>2.91</v>
      </c>
    </row>
    <row r="10" spans="1:36" x14ac:dyDescent="0.35">
      <c r="A10" t="s">
        <v>1359</v>
      </c>
      <c r="B10" s="188" t="s">
        <v>1342</v>
      </c>
      <c r="C10" t="s">
        <v>1348</v>
      </c>
      <c r="D10" s="188">
        <v>30</v>
      </c>
      <c r="E10" t="s">
        <v>1344</v>
      </c>
      <c r="F10" t="s">
        <v>1357</v>
      </c>
      <c r="G10" s="190" t="s">
        <v>1358</v>
      </c>
      <c r="H10" s="190">
        <v>3.9576600000000002</v>
      </c>
      <c r="I10" s="190">
        <v>3.8379525000000001</v>
      </c>
      <c r="J10" s="190">
        <v>3.718245</v>
      </c>
      <c r="K10" s="190">
        <v>3.5985374999999999</v>
      </c>
      <c r="L10" s="190">
        <v>3.4788299999999999</v>
      </c>
      <c r="M10" s="190">
        <v>3.3591224999999998</v>
      </c>
      <c r="N10" s="190">
        <v>3.2394149999999997</v>
      </c>
      <c r="O10" s="190">
        <v>3.1197074999999996</v>
      </c>
      <c r="P10" s="190">
        <v>3</v>
      </c>
      <c r="Q10" s="190">
        <v>3</v>
      </c>
      <c r="R10" s="190">
        <v>3</v>
      </c>
      <c r="S10" s="190">
        <v>3</v>
      </c>
      <c r="T10" s="190">
        <v>3</v>
      </c>
      <c r="U10" s="190">
        <v>3</v>
      </c>
      <c r="V10" s="190">
        <v>3</v>
      </c>
      <c r="W10" s="190">
        <v>3</v>
      </c>
      <c r="X10" s="190">
        <v>3</v>
      </c>
      <c r="Y10" s="190">
        <v>3</v>
      </c>
      <c r="Z10" s="190">
        <v>3</v>
      </c>
      <c r="AA10" s="190">
        <v>3</v>
      </c>
      <c r="AB10" s="190">
        <v>3</v>
      </c>
      <c r="AC10" s="190">
        <v>3</v>
      </c>
      <c r="AD10" s="190">
        <v>3</v>
      </c>
      <c r="AE10" s="190">
        <v>3</v>
      </c>
      <c r="AF10" s="190">
        <v>3</v>
      </c>
      <c r="AG10" s="190">
        <v>3</v>
      </c>
      <c r="AH10" s="190">
        <v>3</v>
      </c>
      <c r="AI10" s="190">
        <v>3</v>
      </c>
      <c r="AJ10" s="190">
        <v>3</v>
      </c>
    </row>
    <row r="11" spans="1:36" x14ac:dyDescent="0.35">
      <c r="A11" t="s">
        <v>1360</v>
      </c>
      <c r="B11" s="188" t="s">
        <v>1342</v>
      </c>
      <c r="C11" t="s">
        <v>1350</v>
      </c>
      <c r="D11" s="188">
        <v>30</v>
      </c>
      <c r="E11" t="s">
        <v>1344</v>
      </c>
      <c r="F11" t="s">
        <v>1357</v>
      </c>
      <c r="G11" s="190" t="s">
        <v>1358</v>
      </c>
      <c r="H11" s="190">
        <v>3.9576600000000002</v>
      </c>
      <c r="I11" s="190">
        <v>3.9576600000000002</v>
      </c>
      <c r="J11" s="190">
        <v>3.9576600000000002</v>
      </c>
      <c r="K11" s="190">
        <v>3.9576600000000002</v>
      </c>
      <c r="L11" s="190">
        <v>3.9576600000000002</v>
      </c>
      <c r="M11" s="190">
        <v>3.9576600000000002</v>
      </c>
      <c r="N11" s="190">
        <v>3.9576600000000002</v>
      </c>
      <c r="O11" s="190">
        <v>3.9576600000000002</v>
      </c>
      <c r="P11" s="190">
        <v>3.9576600000000002</v>
      </c>
      <c r="Q11" s="190">
        <v>3.9576600000000002</v>
      </c>
      <c r="R11" s="190">
        <v>3.9576600000000002</v>
      </c>
      <c r="S11" s="190">
        <v>3.9576600000000002</v>
      </c>
      <c r="T11" s="190">
        <v>3.9576600000000002</v>
      </c>
      <c r="U11" s="190">
        <v>3.9576600000000002</v>
      </c>
      <c r="V11" s="190">
        <v>3.9576600000000002</v>
      </c>
      <c r="W11" s="190">
        <v>3.9576600000000002</v>
      </c>
      <c r="X11" s="190">
        <v>3.9576600000000002</v>
      </c>
      <c r="Y11" s="190">
        <v>3.9576600000000002</v>
      </c>
      <c r="Z11" s="190">
        <v>3.9576600000000002</v>
      </c>
      <c r="AA11" s="190">
        <v>3.9576600000000002</v>
      </c>
      <c r="AB11" s="190">
        <v>3.9576600000000002</v>
      </c>
      <c r="AC11" s="190">
        <v>3.9576600000000002</v>
      </c>
      <c r="AD11" s="190">
        <v>3.9576600000000002</v>
      </c>
      <c r="AE11" s="190">
        <v>3.9576600000000002</v>
      </c>
      <c r="AF11" s="190">
        <v>3.9576600000000002</v>
      </c>
      <c r="AG11" s="190">
        <v>3.9576600000000002</v>
      </c>
      <c r="AH11" s="190">
        <v>3.9576600000000002</v>
      </c>
      <c r="AI11" s="190">
        <v>3.9576600000000002</v>
      </c>
      <c r="AJ11" s="190">
        <v>3.9576600000000002</v>
      </c>
    </row>
    <row r="12" spans="1:36" x14ac:dyDescent="0.35">
      <c r="A12" t="s">
        <v>1361</v>
      </c>
      <c r="B12" s="188" t="s">
        <v>1342</v>
      </c>
      <c r="C12" t="s">
        <v>1343</v>
      </c>
      <c r="D12" s="188">
        <v>30</v>
      </c>
      <c r="E12" t="s">
        <v>1362</v>
      </c>
      <c r="F12" t="s">
        <v>1363</v>
      </c>
      <c r="G12" s="190" t="s">
        <v>1364</v>
      </c>
      <c r="H12" s="190">
        <v>0</v>
      </c>
      <c r="I12" s="190">
        <v>0</v>
      </c>
      <c r="J12" s="190">
        <v>0</v>
      </c>
      <c r="K12" s="190">
        <v>0</v>
      </c>
      <c r="L12" s="190">
        <v>0</v>
      </c>
      <c r="M12" s="190">
        <v>0</v>
      </c>
      <c r="N12" s="190">
        <v>0</v>
      </c>
      <c r="O12" s="190">
        <v>0</v>
      </c>
      <c r="P12" s="190">
        <v>0</v>
      </c>
      <c r="Q12" s="190">
        <v>0</v>
      </c>
      <c r="R12" s="190">
        <v>0</v>
      </c>
      <c r="S12" s="190">
        <v>0</v>
      </c>
      <c r="T12" s="190">
        <v>0</v>
      </c>
      <c r="U12" s="190">
        <v>0</v>
      </c>
      <c r="V12" s="190">
        <v>0</v>
      </c>
      <c r="W12" s="190">
        <v>0</v>
      </c>
      <c r="X12" s="190">
        <v>0</v>
      </c>
      <c r="Y12" s="190">
        <v>0</v>
      </c>
      <c r="Z12" s="190">
        <v>0</v>
      </c>
      <c r="AA12" s="190">
        <v>0</v>
      </c>
      <c r="AB12" s="190">
        <v>0</v>
      </c>
      <c r="AC12" s="190">
        <v>0</v>
      </c>
      <c r="AD12" s="190">
        <v>0</v>
      </c>
      <c r="AE12" s="190">
        <v>0</v>
      </c>
      <c r="AF12" s="190">
        <v>0</v>
      </c>
      <c r="AG12" s="190">
        <v>0</v>
      </c>
      <c r="AH12" s="190">
        <v>0</v>
      </c>
      <c r="AI12" s="190">
        <v>0</v>
      </c>
      <c r="AJ12" s="190">
        <v>0</v>
      </c>
    </row>
    <row r="13" spans="1:36" x14ac:dyDescent="0.35">
      <c r="A13" t="s">
        <v>1365</v>
      </c>
      <c r="B13" s="188" t="s">
        <v>1342</v>
      </c>
      <c r="C13" t="s">
        <v>1348</v>
      </c>
      <c r="D13" s="188">
        <v>30</v>
      </c>
      <c r="E13" t="s">
        <v>1362</v>
      </c>
      <c r="F13" t="s">
        <v>1363</v>
      </c>
      <c r="G13" s="190" t="s">
        <v>1364</v>
      </c>
      <c r="H13" s="190">
        <v>0</v>
      </c>
      <c r="I13" s="190">
        <v>0</v>
      </c>
      <c r="J13" s="190">
        <v>0</v>
      </c>
      <c r="K13" s="190">
        <v>0</v>
      </c>
      <c r="L13" s="190">
        <v>0</v>
      </c>
      <c r="M13" s="190">
        <v>0</v>
      </c>
      <c r="N13" s="190">
        <v>0</v>
      </c>
      <c r="O13" s="190">
        <v>0</v>
      </c>
      <c r="P13" s="190">
        <v>0</v>
      </c>
      <c r="Q13" s="190">
        <v>0</v>
      </c>
      <c r="R13" s="190">
        <v>0</v>
      </c>
      <c r="S13" s="190">
        <v>0</v>
      </c>
      <c r="T13" s="190">
        <v>0</v>
      </c>
      <c r="U13" s="190">
        <v>0</v>
      </c>
      <c r="V13" s="190">
        <v>0</v>
      </c>
      <c r="W13" s="190">
        <v>0</v>
      </c>
      <c r="X13" s="190">
        <v>0</v>
      </c>
      <c r="Y13" s="190">
        <v>0</v>
      </c>
      <c r="Z13" s="190">
        <v>0</v>
      </c>
      <c r="AA13" s="190">
        <v>0</v>
      </c>
      <c r="AB13" s="190">
        <v>0</v>
      </c>
      <c r="AC13" s="190">
        <v>0</v>
      </c>
      <c r="AD13" s="190">
        <v>0</v>
      </c>
      <c r="AE13" s="190">
        <v>0</v>
      </c>
      <c r="AF13" s="190">
        <v>0</v>
      </c>
      <c r="AG13" s="190">
        <v>0</v>
      </c>
      <c r="AH13" s="190">
        <v>0</v>
      </c>
      <c r="AI13" s="190">
        <v>0</v>
      </c>
      <c r="AJ13" s="190">
        <v>0</v>
      </c>
    </row>
    <row r="14" spans="1:36" x14ac:dyDescent="0.35">
      <c r="A14" t="s">
        <v>1366</v>
      </c>
      <c r="B14" s="188" t="s">
        <v>1342</v>
      </c>
      <c r="C14" t="s">
        <v>1350</v>
      </c>
      <c r="D14" s="188">
        <v>30</v>
      </c>
      <c r="E14" t="s">
        <v>1362</v>
      </c>
      <c r="F14" t="s">
        <v>1363</v>
      </c>
      <c r="G14" s="190" t="s">
        <v>1364</v>
      </c>
      <c r="H14" s="190">
        <v>0</v>
      </c>
      <c r="I14" s="190">
        <v>0</v>
      </c>
      <c r="J14" s="190">
        <v>0</v>
      </c>
      <c r="K14" s="190">
        <v>0</v>
      </c>
      <c r="L14" s="190">
        <v>0</v>
      </c>
      <c r="M14" s="190">
        <v>0</v>
      </c>
      <c r="N14" s="190">
        <v>0</v>
      </c>
      <c r="O14" s="190">
        <v>0</v>
      </c>
      <c r="P14" s="190">
        <v>0</v>
      </c>
      <c r="Q14" s="190">
        <v>0</v>
      </c>
      <c r="R14" s="190">
        <v>0</v>
      </c>
      <c r="S14" s="190">
        <v>0</v>
      </c>
      <c r="T14" s="190">
        <v>0</v>
      </c>
      <c r="U14" s="190">
        <v>0</v>
      </c>
      <c r="V14" s="190">
        <v>0</v>
      </c>
      <c r="W14" s="190">
        <v>0</v>
      </c>
      <c r="X14" s="190">
        <v>0</v>
      </c>
      <c r="Y14" s="190">
        <v>0</v>
      </c>
      <c r="Z14" s="190">
        <v>0</v>
      </c>
      <c r="AA14" s="190">
        <v>0</v>
      </c>
      <c r="AB14" s="190">
        <v>0</v>
      </c>
      <c r="AC14" s="190">
        <v>0</v>
      </c>
      <c r="AD14" s="190">
        <v>0</v>
      </c>
      <c r="AE14" s="190">
        <v>0</v>
      </c>
      <c r="AF14" s="190">
        <v>0</v>
      </c>
      <c r="AG14" s="190">
        <v>0</v>
      </c>
      <c r="AH14" s="190">
        <v>0</v>
      </c>
      <c r="AI14" s="190">
        <v>0</v>
      </c>
      <c r="AJ14" s="190">
        <v>0</v>
      </c>
    </row>
    <row r="15" spans="1:36" x14ac:dyDescent="0.35">
      <c r="A15" t="s">
        <v>1367</v>
      </c>
      <c r="B15" s="188" t="s">
        <v>1342</v>
      </c>
      <c r="C15" t="s">
        <v>1343</v>
      </c>
      <c r="D15" s="188">
        <v>30</v>
      </c>
      <c r="E15" t="s">
        <v>1362</v>
      </c>
      <c r="F15" t="s">
        <v>1345</v>
      </c>
      <c r="G15" s="190" t="s">
        <v>1368</v>
      </c>
      <c r="H15" s="190">
        <v>0</v>
      </c>
      <c r="I15" s="190">
        <v>0</v>
      </c>
      <c r="J15" s="190">
        <v>0</v>
      </c>
      <c r="K15" s="190">
        <v>0</v>
      </c>
      <c r="L15" s="190">
        <v>0</v>
      </c>
      <c r="M15" s="190">
        <v>0</v>
      </c>
      <c r="N15" s="190">
        <v>0</v>
      </c>
      <c r="O15" s="190">
        <v>0</v>
      </c>
      <c r="P15" s="190">
        <v>0</v>
      </c>
      <c r="Q15" s="190">
        <v>0</v>
      </c>
      <c r="R15" s="190">
        <v>0</v>
      </c>
      <c r="S15" s="190">
        <v>0</v>
      </c>
      <c r="T15" s="190">
        <v>0</v>
      </c>
      <c r="U15" s="190">
        <v>0</v>
      </c>
      <c r="V15" s="190">
        <v>0</v>
      </c>
      <c r="W15" s="190">
        <v>0</v>
      </c>
      <c r="X15" s="190">
        <v>0</v>
      </c>
      <c r="Y15" s="190">
        <v>0</v>
      </c>
      <c r="Z15" s="190">
        <v>0</v>
      </c>
      <c r="AA15" s="190">
        <v>0</v>
      </c>
      <c r="AB15" s="190">
        <v>0</v>
      </c>
      <c r="AC15" s="190">
        <v>0</v>
      </c>
      <c r="AD15" s="190">
        <v>0</v>
      </c>
      <c r="AE15" s="190">
        <v>0</v>
      </c>
      <c r="AF15" s="190">
        <v>0</v>
      </c>
      <c r="AG15" s="190">
        <v>0</v>
      </c>
      <c r="AH15" s="190">
        <v>0</v>
      </c>
      <c r="AI15" s="190">
        <v>0</v>
      </c>
      <c r="AJ15" s="190">
        <v>0</v>
      </c>
    </row>
    <row r="16" spans="1:36" x14ac:dyDescent="0.35">
      <c r="A16" t="s">
        <v>1369</v>
      </c>
      <c r="B16" s="188" t="s">
        <v>1342</v>
      </c>
      <c r="C16" t="s">
        <v>1348</v>
      </c>
      <c r="D16" s="188">
        <v>30</v>
      </c>
      <c r="E16" t="s">
        <v>1362</v>
      </c>
      <c r="F16" t="s">
        <v>1345</v>
      </c>
      <c r="G16" s="190" t="s">
        <v>1368</v>
      </c>
      <c r="H16" s="190">
        <v>0</v>
      </c>
      <c r="I16" s="190">
        <v>0</v>
      </c>
      <c r="J16" s="190">
        <v>0</v>
      </c>
      <c r="K16" s="190">
        <v>0</v>
      </c>
      <c r="L16" s="190">
        <v>0</v>
      </c>
      <c r="M16" s="190">
        <v>0</v>
      </c>
      <c r="N16" s="190">
        <v>0</v>
      </c>
      <c r="O16" s="190">
        <v>0</v>
      </c>
      <c r="P16" s="190">
        <v>0</v>
      </c>
      <c r="Q16" s="190">
        <v>0</v>
      </c>
      <c r="R16" s="190">
        <v>0</v>
      </c>
      <c r="S16" s="190">
        <v>0</v>
      </c>
      <c r="T16" s="190">
        <v>0</v>
      </c>
      <c r="U16" s="190">
        <v>0</v>
      </c>
      <c r="V16" s="190">
        <v>0</v>
      </c>
      <c r="W16" s="190">
        <v>0</v>
      </c>
      <c r="X16" s="190">
        <v>0</v>
      </c>
      <c r="Y16" s="190">
        <v>0</v>
      </c>
      <c r="Z16" s="190">
        <v>0</v>
      </c>
      <c r="AA16" s="190">
        <v>0</v>
      </c>
      <c r="AB16" s="190">
        <v>0</v>
      </c>
      <c r="AC16" s="190">
        <v>0</v>
      </c>
      <c r="AD16" s="190">
        <v>0</v>
      </c>
      <c r="AE16" s="190">
        <v>0</v>
      </c>
      <c r="AF16" s="190">
        <v>0</v>
      </c>
      <c r="AG16" s="190">
        <v>0</v>
      </c>
      <c r="AH16" s="190">
        <v>0</v>
      </c>
      <c r="AI16" s="190">
        <v>0</v>
      </c>
      <c r="AJ16" s="190">
        <v>0</v>
      </c>
    </row>
    <row r="17" spans="1:36" x14ac:dyDescent="0.35">
      <c r="A17" t="s">
        <v>1370</v>
      </c>
      <c r="B17" s="188" t="s">
        <v>1342</v>
      </c>
      <c r="C17" t="s">
        <v>1350</v>
      </c>
      <c r="D17" s="188">
        <v>30</v>
      </c>
      <c r="E17" t="s">
        <v>1362</v>
      </c>
      <c r="F17" t="s">
        <v>1345</v>
      </c>
      <c r="G17" s="190" t="s">
        <v>1368</v>
      </c>
      <c r="H17" s="190">
        <v>0</v>
      </c>
      <c r="I17" s="190">
        <v>0</v>
      </c>
      <c r="J17" s="190">
        <v>0</v>
      </c>
      <c r="K17" s="190">
        <v>0</v>
      </c>
      <c r="L17" s="190">
        <v>0</v>
      </c>
      <c r="M17" s="190">
        <v>0</v>
      </c>
      <c r="N17" s="190">
        <v>0</v>
      </c>
      <c r="O17" s="190">
        <v>0</v>
      </c>
      <c r="P17" s="190">
        <v>0</v>
      </c>
      <c r="Q17" s="190">
        <v>0</v>
      </c>
      <c r="R17" s="190">
        <v>0</v>
      </c>
      <c r="S17" s="190">
        <v>0</v>
      </c>
      <c r="T17" s="190">
        <v>0</v>
      </c>
      <c r="U17" s="190">
        <v>0</v>
      </c>
      <c r="V17" s="190">
        <v>0</v>
      </c>
      <c r="W17" s="190">
        <v>0</v>
      </c>
      <c r="X17" s="190">
        <v>0</v>
      </c>
      <c r="Y17" s="190">
        <v>0</v>
      </c>
      <c r="Z17" s="190">
        <v>0</v>
      </c>
      <c r="AA17" s="190">
        <v>0</v>
      </c>
      <c r="AB17" s="190">
        <v>0</v>
      </c>
      <c r="AC17" s="190">
        <v>0</v>
      </c>
      <c r="AD17" s="190">
        <v>0</v>
      </c>
      <c r="AE17" s="190">
        <v>0</v>
      </c>
      <c r="AF17" s="190">
        <v>0</v>
      </c>
      <c r="AG17" s="190">
        <v>0</v>
      </c>
      <c r="AH17" s="190">
        <v>0</v>
      </c>
      <c r="AI17" s="190">
        <v>0</v>
      </c>
      <c r="AJ17" s="190">
        <v>0</v>
      </c>
    </row>
    <row r="18" spans="1:36" x14ac:dyDescent="0.35">
      <c r="A18" t="s">
        <v>1371</v>
      </c>
      <c r="B18" s="188" t="s">
        <v>1342</v>
      </c>
      <c r="C18" t="s">
        <v>1343</v>
      </c>
      <c r="D18" s="188">
        <v>30</v>
      </c>
      <c r="E18" t="s">
        <v>1362</v>
      </c>
      <c r="F18" t="s">
        <v>1352</v>
      </c>
      <c r="G18" s="190" t="s">
        <v>1372</v>
      </c>
      <c r="H18" s="190">
        <v>0</v>
      </c>
      <c r="I18" s="190">
        <v>0</v>
      </c>
      <c r="J18" s="190">
        <v>0</v>
      </c>
      <c r="K18" s="190">
        <v>0</v>
      </c>
      <c r="L18" s="190">
        <v>0</v>
      </c>
      <c r="M18" s="190">
        <v>0</v>
      </c>
      <c r="N18" s="190">
        <v>0</v>
      </c>
      <c r="O18" s="190">
        <v>0</v>
      </c>
      <c r="P18" s="190">
        <v>0</v>
      </c>
      <c r="Q18" s="190">
        <v>0</v>
      </c>
      <c r="R18" s="190">
        <v>0</v>
      </c>
      <c r="S18" s="190">
        <v>0</v>
      </c>
      <c r="T18" s="190">
        <v>0</v>
      </c>
      <c r="U18" s="190">
        <v>0</v>
      </c>
      <c r="V18" s="190">
        <v>0</v>
      </c>
      <c r="W18" s="190">
        <v>0</v>
      </c>
      <c r="X18" s="190">
        <v>0</v>
      </c>
      <c r="Y18" s="190">
        <v>0</v>
      </c>
      <c r="Z18" s="190">
        <v>0</v>
      </c>
      <c r="AA18" s="190">
        <v>0</v>
      </c>
      <c r="AB18" s="190">
        <v>0</v>
      </c>
      <c r="AC18" s="190">
        <v>0</v>
      </c>
      <c r="AD18" s="190">
        <v>0</v>
      </c>
      <c r="AE18" s="190">
        <v>0</v>
      </c>
      <c r="AF18" s="190">
        <v>0</v>
      </c>
      <c r="AG18" s="190">
        <v>0</v>
      </c>
      <c r="AH18" s="190">
        <v>0</v>
      </c>
      <c r="AI18" s="190">
        <v>0</v>
      </c>
      <c r="AJ18" s="190">
        <v>0</v>
      </c>
    </row>
    <row r="19" spans="1:36" x14ac:dyDescent="0.35">
      <c r="A19" t="s">
        <v>1373</v>
      </c>
      <c r="B19" s="188" t="s">
        <v>1342</v>
      </c>
      <c r="C19" t="s">
        <v>1348</v>
      </c>
      <c r="D19" s="188">
        <v>30</v>
      </c>
      <c r="E19" t="s">
        <v>1362</v>
      </c>
      <c r="F19" t="s">
        <v>1352</v>
      </c>
      <c r="G19" s="190" t="s">
        <v>1372</v>
      </c>
      <c r="H19" s="190">
        <v>0</v>
      </c>
      <c r="I19" s="190">
        <v>0</v>
      </c>
      <c r="J19" s="190">
        <v>0</v>
      </c>
      <c r="K19" s="190">
        <v>0</v>
      </c>
      <c r="L19" s="190">
        <v>0</v>
      </c>
      <c r="M19" s="190">
        <v>0</v>
      </c>
      <c r="N19" s="190">
        <v>0</v>
      </c>
      <c r="O19" s="190">
        <v>0</v>
      </c>
      <c r="P19" s="190">
        <v>0</v>
      </c>
      <c r="Q19" s="190">
        <v>0</v>
      </c>
      <c r="R19" s="190">
        <v>0</v>
      </c>
      <c r="S19" s="190">
        <v>0</v>
      </c>
      <c r="T19" s="190">
        <v>0</v>
      </c>
      <c r="U19" s="190">
        <v>0</v>
      </c>
      <c r="V19" s="190">
        <v>0</v>
      </c>
      <c r="W19" s="190">
        <v>0</v>
      </c>
      <c r="X19" s="190">
        <v>0</v>
      </c>
      <c r="Y19" s="190">
        <v>0</v>
      </c>
      <c r="Z19" s="190">
        <v>0</v>
      </c>
      <c r="AA19" s="190">
        <v>0</v>
      </c>
      <c r="AB19" s="190">
        <v>0</v>
      </c>
      <c r="AC19" s="190">
        <v>0</v>
      </c>
      <c r="AD19" s="190">
        <v>0</v>
      </c>
      <c r="AE19" s="190">
        <v>0</v>
      </c>
      <c r="AF19" s="190">
        <v>0</v>
      </c>
      <c r="AG19" s="190">
        <v>0</v>
      </c>
      <c r="AH19" s="190">
        <v>0</v>
      </c>
      <c r="AI19" s="190">
        <v>0</v>
      </c>
      <c r="AJ19" s="190">
        <v>0</v>
      </c>
    </row>
    <row r="20" spans="1:36" x14ac:dyDescent="0.35">
      <c r="A20" t="s">
        <v>1374</v>
      </c>
      <c r="B20" s="188" t="s">
        <v>1342</v>
      </c>
      <c r="C20" t="s">
        <v>1350</v>
      </c>
      <c r="D20" s="188">
        <v>30</v>
      </c>
      <c r="E20" t="s">
        <v>1362</v>
      </c>
      <c r="F20" t="s">
        <v>1352</v>
      </c>
      <c r="G20" s="190" t="s">
        <v>1372</v>
      </c>
      <c r="H20" s="190">
        <v>0</v>
      </c>
      <c r="I20" s="190">
        <v>0</v>
      </c>
      <c r="J20" s="190">
        <v>0</v>
      </c>
      <c r="K20" s="190">
        <v>0</v>
      </c>
      <c r="L20" s="190">
        <v>0</v>
      </c>
      <c r="M20" s="190">
        <v>0</v>
      </c>
      <c r="N20" s="190">
        <v>0</v>
      </c>
      <c r="O20" s="190">
        <v>0</v>
      </c>
      <c r="P20" s="190">
        <v>0</v>
      </c>
      <c r="Q20" s="190">
        <v>0</v>
      </c>
      <c r="R20" s="190">
        <v>0</v>
      </c>
      <c r="S20" s="190">
        <v>0</v>
      </c>
      <c r="T20" s="190">
        <v>0</v>
      </c>
      <c r="U20" s="190">
        <v>0</v>
      </c>
      <c r="V20" s="190">
        <v>0</v>
      </c>
      <c r="W20" s="190">
        <v>0</v>
      </c>
      <c r="X20" s="190">
        <v>0</v>
      </c>
      <c r="Y20" s="190">
        <v>0</v>
      </c>
      <c r="Z20" s="190">
        <v>0</v>
      </c>
      <c r="AA20" s="190">
        <v>0</v>
      </c>
      <c r="AB20" s="190">
        <v>0</v>
      </c>
      <c r="AC20" s="190">
        <v>0</v>
      </c>
      <c r="AD20" s="190">
        <v>0</v>
      </c>
      <c r="AE20" s="190">
        <v>0</v>
      </c>
      <c r="AF20" s="190">
        <v>0</v>
      </c>
      <c r="AG20" s="190">
        <v>0</v>
      </c>
      <c r="AH20" s="190">
        <v>0</v>
      </c>
      <c r="AI20" s="190">
        <v>0</v>
      </c>
      <c r="AJ20" s="190">
        <v>0</v>
      </c>
    </row>
    <row r="21" spans="1:36" x14ac:dyDescent="0.35">
      <c r="A21" t="s">
        <v>1375</v>
      </c>
      <c r="B21" s="188" t="s">
        <v>1342</v>
      </c>
      <c r="C21" t="s">
        <v>1343</v>
      </c>
      <c r="D21" s="188">
        <v>30</v>
      </c>
      <c r="E21" t="s">
        <v>1362</v>
      </c>
      <c r="F21" t="s">
        <v>1376</v>
      </c>
      <c r="G21" s="190" t="s">
        <v>1377</v>
      </c>
      <c r="H21" s="190">
        <v>0</v>
      </c>
      <c r="I21" s="190">
        <v>0</v>
      </c>
      <c r="J21" s="190">
        <v>0</v>
      </c>
      <c r="K21" s="190">
        <v>0</v>
      </c>
      <c r="L21" s="190">
        <v>0</v>
      </c>
      <c r="M21" s="190">
        <v>0</v>
      </c>
      <c r="N21" s="190">
        <v>0</v>
      </c>
      <c r="O21" s="190">
        <v>0</v>
      </c>
      <c r="P21" s="190">
        <v>0</v>
      </c>
      <c r="Q21" s="190">
        <v>0</v>
      </c>
      <c r="R21" s="190">
        <v>0</v>
      </c>
      <c r="S21" s="190">
        <v>0</v>
      </c>
      <c r="T21" s="190">
        <v>0</v>
      </c>
      <c r="U21" s="190">
        <v>0</v>
      </c>
      <c r="V21" s="190">
        <v>0</v>
      </c>
      <c r="W21" s="190">
        <v>0</v>
      </c>
      <c r="X21" s="190">
        <v>0</v>
      </c>
      <c r="Y21" s="190">
        <v>0</v>
      </c>
      <c r="Z21" s="190">
        <v>0</v>
      </c>
      <c r="AA21" s="190">
        <v>0</v>
      </c>
      <c r="AB21" s="190">
        <v>0</v>
      </c>
      <c r="AC21" s="190">
        <v>0</v>
      </c>
      <c r="AD21" s="190">
        <v>0</v>
      </c>
      <c r="AE21" s="190">
        <v>0</v>
      </c>
      <c r="AF21" s="190">
        <v>0</v>
      </c>
      <c r="AG21" s="190">
        <v>0</v>
      </c>
      <c r="AH21" s="190">
        <v>0</v>
      </c>
      <c r="AI21" s="190">
        <v>0</v>
      </c>
      <c r="AJ21" s="190">
        <v>0</v>
      </c>
    </row>
    <row r="22" spans="1:36" x14ac:dyDescent="0.35">
      <c r="A22" t="s">
        <v>1378</v>
      </c>
      <c r="B22" s="188" t="s">
        <v>1342</v>
      </c>
      <c r="C22" t="s">
        <v>1348</v>
      </c>
      <c r="D22" s="188">
        <v>30</v>
      </c>
      <c r="E22" t="s">
        <v>1362</v>
      </c>
      <c r="F22" t="s">
        <v>1376</v>
      </c>
      <c r="G22" s="190" t="s">
        <v>1377</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90">
        <v>0</v>
      </c>
      <c r="AD22" s="190">
        <v>0</v>
      </c>
      <c r="AE22" s="190">
        <v>0</v>
      </c>
      <c r="AF22" s="190">
        <v>0</v>
      </c>
      <c r="AG22" s="190">
        <v>0</v>
      </c>
      <c r="AH22" s="190">
        <v>0</v>
      </c>
      <c r="AI22" s="190">
        <v>0</v>
      </c>
      <c r="AJ22" s="190">
        <v>0</v>
      </c>
    </row>
    <row r="23" spans="1:36" x14ac:dyDescent="0.35">
      <c r="A23" t="s">
        <v>1379</v>
      </c>
      <c r="B23" s="188" t="s">
        <v>1342</v>
      </c>
      <c r="C23" t="s">
        <v>1350</v>
      </c>
      <c r="D23" s="188">
        <v>30</v>
      </c>
      <c r="E23" t="s">
        <v>1362</v>
      </c>
      <c r="F23" t="s">
        <v>1376</v>
      </c>
      <c r="G23" s="190" t="s">
        <v>1377</v>
      </c>
      <c r="H23" s="190">
        <v>0</v>
      </c>
      <c r="I23" s="190">
        <v>0</v>
      </c>
      <c r="J23" s="190">
        <v>0</v>
      </c>
      <c r="K23" s="190">
        <v>0</v>
      </c>
      <c r="L23" s="190">
        <v>0</v>
      </c>
      <c r="M23" s="190">
        <v>0</v>
      </c>
      <c r="N23" s="190">
        <v>0</v>
      </c>
      <c r="O23" s="190">
        <v>0</v>
      </c>
      <c r="P23" s="190">
        <v>0</v>
      </c>
      <c r="Q23" s="190">
        <v>0</v>
      </c>
      <c r="R23" s="190">
        <v>0</v>
      </c>
      <c r="S23" s="190">
        <v>0</v>
      </c>
      <c r="T23" s="190">
        <v>0</v>
      </c>
      <c r="U23" s="190">
        <v>0</v>
      </c>
      <c r="V23" s="190">
        <v>0</v>
      </c>
      <c r="W23" s="190">
        <v>0</v>
      </c>
      <c r="X23" s="190">
        <v>0</v>
      </c>
      <c r="Y23" s="190">
        <v>0</v>
      </c>
      <c r="Z23" s="190">
        <v>0</v>
      </c>
      <c r="AA23" s="190">
        <v>0</v>
      </c>
      <c r="AB23" s="190">
        <v>0</v>
      </c>
      <c r="AC23" s="190">
        <v>0</v>
      </c>
      <c r="AD23" s="190">
        <v>0</v>
      </c>
      <c r="AE23" s="190">
        <v>0</v>
      </c>
      <c r="AF23" s="190">
        <v>0</v>
      </c>
      <c r="AG23" s="190">
        <v>0</v>
      </c>
      <c r="AH23" s="190">
        <v>0</v>
      </c>
      <c r="AI23" s="190">
        <v>0</v>
      </c>
      <c r="AJ23" s="190">
        <v>0</v>
      </c>
    </row>
    <row r="24" spans="1:36" x14ac:dyDescent="0.35">
      <c r="A24" t="s">
        <v>1380</v>
      </c>
      <c r="B24" s="188" t="s">
        <v>1342</v>
      </c>
      <c r="C24" t="s">
        <v>1343</v>
      </c>
      <c r="D24" s="188">
        <v>30</v>
      </c>
      <c r="E24" t="s">
        <v>1362</v>
      </c>
      <c r="F24" t="s">
        <v>1381</v>
      </c>
      <c r="G24" s="190" t="s">
        <v>1382</v>
      </c>
      <c r="H24" s="190">
        <v>0</v>
      </c>
      <c r="I24" s="190">
        <v>0</v>
      </c>
      <c r="J24" s="190">
        <v>0</v>
      </c>
      <c r="K24" s="190">
        <v>0</v>
      </c>
      <c r="L24" s="190">
        <v>0</v>
      </c>
      <c r="M24" s="190">
        <v>0</v>
      </c>
      <c r="N24" s="190">
        <v>0</v>
      </c>
      <c r="O24" s="190">
        <v>0</v>
      </c>
      <c r="P24" s="190">
        <v>0</v>
      </c>
      <c r="Q24" s="190">
        <v>0</v>
      </c>
      <c r="R24" s="190">
        <v>0</v>
      </c>
      <c r="S24" s="190">
        <v>0</v>
      </c>
      <c r="T24" s="190">
        <v>0</v>
      </c>
      <c r="U24" s="190">
        <v>0</v>
      </c>
      <c r="V24" s="190">
        <v>0</v>
      </c>
      <c r="W24" s="190">
        <v>0</v>
      </c>
      <c r="X24" s="190">
        <v>0</v>
      </c>
      <c r="Y24" s="190">
        <v>0</v>
      </c>
      <c r="Z24" s="190">
        <v>0</v>
      </c>
      <c r="AA24" s="190">
        <v>0</v>
      </c>
      <c r="AB24" s="190">
        <v>0</v>
      </c>
      <c r="AC24" s="190">
        <v>0</v>
      </c>
      <c r="AD24" s="190">
        <v>0</v>
      </c>
      <c r="AE24" s="190">
        <v>0</v>
      </c>
      <c r="AF24" s="190">
        <v>0</v>
      </c>
      <c r="AG24" s="190">
        <v>0</v>
      </c>
      <c r="AH24" s="190">
        <v>0</v>
      </c>
      <c r="AI24" s="190">
        <v>0</v>
      </c>
      <c r="AJ24" s="190">
        <v>0</v>
      </c>
    </row>
    <row r="25" spans="1:36" x14ac:dyDescent="0.35">
      <c r="A25" t="s">
        <v>1383</v>
      </c>
      <c r="B25" s="188" t="s">
        <v>1342</v>
      </c>
      <c r="C25" t="s">
        <v>1348</v>
      </c>
      <c r="D25" s="188">
        <v>30</v>
      </c>
      <c r="E25" t="s">
        <v>1362</v>
      </c>
      <c r="F25" t="s">
        <v>1381</v>
      </c>
      <c r="G25" s="190" t="s">
        <v>1382</v>
      </c>
      <c r="H25" s="190">
        <v>0</v>
      </c>
      <c r="I25" s="190">
        <v>0</v>
      </c>
      <c r="J25" s="190">
        <v>0</v>
      </c>
      <c r="K25" s="190">
        <v>0</v>
      </c>
      <c r="L25" s="190">
        <v>0</v>
      </c>
      <c r="M25" s="190">
        <v>0</v>
      </c>
      <c r="N25" s="190">
        <v>0</v>
      </c>
      <c r="O25" s="190">
        <v>0</v>
      </c>
      <c r="P25" s="190">
        <v>0</v>
      </c>
      <c r="Q25" s="190">
        <v>0</v>
      </c>
      <c r="R25" s="190">
        <v>0</v>
      </c>
      <c r="S25" s="190">
        <v>0</v>
      </c>
      <c r="T25" s="190">
        <v>0</v>
      </c>
      <c r="U25" s="190">
        <v>0</v>
      </c>
      <c r="V25" s="190">
        <v>0</v>
      </c>
      <c r="W25" s="190">
        <v>0</v>
      </c>
      <c r="X25" s="190">
        <v>0</v>
      </c>
      <c r="Y25" s="190">
        <v>0</v>
      </c>
      <c r="Z25" s="190">
        <v>0</v>
      </c>
      <c r="AA25" s="190">
        <v>0</v>
      </c>
      <c r="AB25" s="190">
        <v>0</v>
      </c>
      <c r="AC25" s="190">
        <v>0</v>
      </c>
      <c r="AD25" s="190">
        <v>0</v>
      </c>
      <c r="AE25" s="190">
        <v>0</v>
      </c>
      <c r="AF25" s="190">
        <v>0</v>
      </c>
      <c r="AG25" s="190">
        <v>0</v>
      </c>
      <c r="AH25" s="190">
        <v>0</v>
      </c>
      <c r="AI25" s="190">
        <v>0</v>
      </c>
      <c r="AJ25" s="190">
        <v>0</v>
      </c>
    </row>
    <row r="26" spans="1:36" x14ac:dyDescent="0.35">
      <c r="A26" t="s">
        <v>1384</v>
      </c>
      <c r="B26" s="188" t="s">
        <v>1342</v>
      </c>
      <c r="C26" t="s">
        <v>1350</v>
      </c>
      <c r="D26" s="188">
        <v>30</v>
      </c>
      <c r="E26" t="s">
        <v>1362</v>
      </c>
      <c r="F26" t="s">
        <v>1381</v>
      </c>
      <c r="G26" s="190" t="s">
        <v>1382</v>
      </c>
      <c r="H26" s="190">
        <v>0</v>
      </c>
      <c r="I26" s="190">
        <v>0</v>
      </c>
      <c r="J26" s="190">
        <v>0</v>
      </c>
      <c r="K26" s="190">
        <v>0</v>
      </c>
      <c r="L26" s="190">
        <v>0</v>
      </c>
      <c r="M26" s="190">
        <v>0</v>
      </c>
      <c r="N26" s="190">
        <v>0</v>
      </c>
      <c r="O26" s="190">
        <v>0</v>
      </c>
      <c r="P26" s="190">
        <v>0</v>
      </c>
      <c r="Q26" s="190">
        <v>0</v>
      </c>
      <c r="R26" s="190">
        <v>0</v>
      </c>
      <c r="S26" s="190">
        <v>0</v>
      </c>
      <c r="T26" s="190">
        <v>0</v>
      </c>
      <c r="U26" s="190">
        <v>0</v>
      </c>
      <c r="V26" s="190">
        <v>0</v>
      </c>
      <c r="W26" s="190">
        <v>0</v>
      </c>
      <c r="X26" s="190">
        <v>0</v>
      </c>
      <c r="Y26" s="190">
        <v>0</v>
      </c>
      <c r="Z26" s="190">
        <v>0</v>
      </c>
      <c r="AA26" s="190">
        <v>0</v>
      </c>
      <c r="AB26" s="190">
        <v>0</v>
      </c>
      <c r="AC26" s="190">
        <v>0</v>
      </c>
      <c r="AD26" s="190">
        <v>0</v>
      </c>
      <c r="AE26" s="190">
        <v>0</v>
      </c>
      <c r="AF26" s="190">
        <v>0</v>
      </c>
      <c r="AG26" s="190">
        <v>0</v>
      </c>
      <c r="AH26" s="190">
        <v>0</v>
      </c>
      <c r="AI26" s="190">
        <v>0</v>
      </c>
      <c r="AJ26" s="190">
        <v>0</v>
      </c>
    </row>
    <row r="27" spans="1:36" x14ac:dyDescent="0.35">
      <c r="A27" t="s">
        <v>1385</v>
      </c>
      <c r="B27" s="188" t="s">
        <v>1342</v>
      </c>
      <c r="C27" t="s">
        <v>1343</v>
      </c>
      <c r="D27" s="188">
        <v>30</v>
      </c>
      <c r="E27" t="s">
        <v>1362</v>
      </c>
      <c r="F27" t="s">
        <v>1386</v>
      </c>
      <c r="G27" s="190" t="s">
        <v>1387</v>
      </c>
      <c r="H27" s="190">
        <v>0</v>
      </c>
      <c r="I27" s="190">
        <v>0</v>
      </c>
      <c r="J27" s="190">
        <v>0</v>
      </c>
      <c r="K27" s="190">
        <v>0</v>
      </c>
      <c r="L27" s="190">
        <v>0</v>
      </c>
      <c r="M27" s="190">
        <v>0</v>
      </c>
      <c r="N27" s="190">
        <v>0</v>
      </c>
      <c r="O27" s="190">
        <v>0</v>
      </c>
      <c r="P27" s="190">
        <v>0</v>
      </c>
      <c r="Q27" s="190">
        <v>0</v>
      </c>
      <c r="R27" s="190">
        <v>0</v>
      </c>
      <c r="S27" s="190">
        <v>0</v>
      </c>
      <c r="T27" s="190">
        <v>0</v>
      </c>
      <c r="U27" s="190">
        <v>0</v>
      </c>
      <c r="V27" s="190">
        <v>0</v>
      </c>
      <c r="W27" s="190">
        <v>0</v>
      </c>
      <c r="X27" s="190">
        <v>0</v>
      </c>
      <c r="Y27" s="190">
        <v>0</v>
      </c>
      <c r="Z27" s="190">
        <v>0</v>
      </c>
      <c r="AA27" s="190">
        <v>0</v>
      </c>
      <c r="AB27" s="190">
        <v>0</v>
      </c>
      <c r="AC27" s="190">
        <v>0</v>
      </c>
      <c r="AD27" s="190">
        <v>0</v>
      </c>
      <c r="AE27" s="190">
        <v>0</v>
      </c>
      <c r="AF27" s="190">
        <v>0</v>
      </c>
      <c r="AG27" s="190">
        <v>0</v>
      </c>
      <c r="AH27" s="190">
        <v>0</v>
      </c>
      <c r="AI27" s="190">
        <v>0</v>
      </c>
      <c r="AJ27" s="190">
        <v>0</v>
      </c>
    </row>
    <row r="28" spans="1:36" x14ac:dyDescent="0.35">
      <c r="A28" t="s">
        <v>1388</v>
      </c>
      <c r="B28" s="188" t="s">
        <v>1342</v>
      </c>
      <c r="C28" t="s">
        <v>1348</v>
      </c>
      <c r="D28" s="188">
        <v>30</v>
      </c>
      <c r="E28" t="s">
        <v>1362</v>
      </c>
      <c r="F28" t="s">
        <v>1386</v>
      </c>
      <c r="G28" s="190" t="s">
        <v>1387</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90">
        <v>0</v>
      </c>
      <c r="AD28" s="190">
        <v>0</v>
      </c>
      <c r="AE28" s="190">
        <v>0</v>
      </c>
      <c r="AF28" s="190">
        <v>0</v>
      </c>
      <c r="AG28" s="190">
        <v>0</v>
      </c>
      <c r="AH28" s="190">
        <v>0</v>
      </c>
      <c r="AI28" s="190">
        <v>0</v>
      </c>
      <c r="AJ28" s="190">
        <v>0</v>
      </c>
    </row>
    <row r="29" spans="1:36" x14ac:dyDescent="0.35">
      <c r="A29" t="s">
        <v>1389</v>
      </c>
      <c r="B29" s="188" t="s">
        <v>1342</v>
      </c>
      <c r="C29" t="s">
        <v>1350</v>
      </c>
      <c r="D29" s="188">
        <v>30</v>
      </c>
      <c r="E29" t="s">
        <v>1362</v>
      </c>
      <c r="F29" t="s">
        <v>1386</v>
      </c>
      <c r="G29" s="190" t="s">
        <v>1387</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90">
        <v>0</v>
      </c>
      <c r="AD29" s="190">
        <v>0</v>
      </c>
      <c r="AE29" s="190">
        <v>0</v>
      </c>
      <c r="AF29" s="190">
        <v>0</v>
      </c>
      <c r="AG29" s="190">
        <v>0</v>
      </c>
      <c r="AH29" s="190">
        <v>0</v>
      </c>
      <c r="AI29" s="190">
        <v>0</v>
      </c>
      <c r="AJ29" s="190">
        <v>0</v>
      </c>
    </row>
    <row r="30" spans="1:36" x14ac:dyDescent="0.35">
      <c r="A30" t="s">
        <v>1390</v>
      </c>
      <c r="B30" s="188" t="s">
        <v>1342</v>
      </c>
      <c r="C30" t="s">
        <v>1343</v>
      </c>
      <c r="D30" s="188">
        <v>30</v>
      </c>
      <c r="E30" t="s">
        <v>1362</v>
      </c>
      <c r="F30" t="s">
        <v>1391</v>
      </c>
      <c r="G30" s="190" t="s">
        <v>1392</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90">
        <v>0</v>
      </c>
      <c r="AD30" s="190">
        <v>0</v>
      </c>
      <c r="AE30" s="190">
        <v>0</v>
      </c>
      <c r="AF30" s="190">
        <v>0</v>
      </c>
      <c r="AG30" s="190">
        <v>0</v>
      </c>
      <c r="AH30" s="190">
        <v>0</v>
      </c>
      <c r="AI30" s="190">
        <v>0</v>
      </c>
      <c r="AJ30" s="190">
        <v>0</v>
      </c>
    </row>
    <row r="31" spans="1:36" x14ac:dyDescent="0.35">
      <c r="A31" t="s">
        <v>1393</v>
      </c>
      <c r="B31" s="188" t="s">
        <v>1342</v>
      </c>
      <c r="C31" t="s">
        <v>1348</v>
      </c>
      <c r="D31" s="188">
        <v>30</v>
      </c>
      <c r="E31" t="s">
        <v>1362</v>
      </c>
      <c r="F31" t="s">
        <v>1391</v>
      </c>
      <c r="G31" s="190" t="s">
        <v>1392</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90">
        <v>0</v>
      </c>
      <c r="AD31" s="190">
        <v>0</v>
      </c>
      <c r="AE31" s="190">
        <v>0</v>
      </c>
      <c r="AF31" s="190">
        <v>0</v>
      </c>
      <c r="AG31" s="190">
        <v>0</v>
      </c>
      <c r="AH31" s="190">
        <v>0</v>
      </c>
      <c r="AI31" s="190">
        <v>0</v>
      </c>
      <c r="AJ31" s="190">
        <v>0</v>
      </c>
    </row>
    <row r="32" spans="1:36" x14ac:dyDescent="0.35">
      <c r="A32" t="s">
        <v>1394</v>
      </c>
      <c r="B32" s="188" t="s">
        <v>1342</v>
      </c>
      <c r="C32" t="s">
        <v>1350</v>
      </c>
      <c r="D32" s="188">
        <v>30</v>
      </c>
      <c r="E32" t="s">
        <v>1362</v>
      </c>
      <c r="F32" t="s">
        <v>1391</v>
      </c>
      <c r="G32" s="190" t="s">
        <v>1392</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90">
        <v>0</v>
      </c>
      <c r="AD32" s="190">
        <v>0</v>
      </c>
      <c r="AE32" s="190">
        <v>0</v>
      </c>
      <c r="AF32" s="190">
        <v>0</v>
      </c>
      <c r="AG32" s="190">
        <v>0</v>
      </c>
      <c r="AH32" s="190">
        <v>0</v>
      </c>
      <c r="AI32" s="190">
        <v>0</v>
      </c>
      <c r="AJ32" s="190">
        <v>0</v>
      </c>
    </row>
    <row r="33" spans="1:36" x14ac:dyDescent="0.35">
      <c r="A33" t="s">
        <v>1395</v>
      </c>
      <c r="B33" s="188" t="s">
        <v>1342</v>
      </c>
      <c r="C33" t="s">
        <v>1343</v>
      </c>
      <c r="D33" s="188">
        <v>30</v>
      </c>
      <c r="E33" t="s">
        <v>1362</v>
      </c>
      <c r="F33" t="s">
        <v>1357</v>
      </c>
      <c r="G33" s="190" t="s">
        <v>1396</v>
      </c>
      <c r="H33" s="190"/>
      <c r="I33" s="190"/>
      <c r="J33" s="190"/>
      <c r="K33" s="190"/>
      <c r="L33" s="190"/>
      <c r="M33" s="190"/>
      <c r="N33" s="190"/>
      <c r="O33" s="190"/>
      <c r="P33" s="190">
        <v>0</v>
      </c>
      <c r="Q33" s="190">
        <v>0</v>
      </c>
      <c r="R33" s="190">
        <v>0</v>
      </c>
      <c r="S33" s="190">
        <v>0</v>
      </c>
      <c r="T33" s="190">
        <v>0</v>
      </c>
      <c r="U33" s="190">
        <v>0</v>
      </c>
      <c r="V33" s="190">
        <v>0</v>
      </c>
      <c r="W33" s="190">
        <v>0</v>
      </c>
      <c r="X33" s="190">
        <v>0</v>
      </c>
      <c r="Y33" s="190">
        <v>0</v>
      </c>
      <c r="Z33" s="190">
        <v>0</v>
      </c>
      <c r="AA33" s="190">
        <v>0</v>
      </c>
      <c r="AB33" s="190">
        <v>0</v>
      </c>
      <c r="AC33" s="190">
        <v>0</v>
      </c>
      <c r="AD33" s="190">
        <v>0</v>
      </c>
      <c r="AE33" s="190">
        <v>0</v>
      </c>
      <c r="AF33" s="190">
        <v>0</v>
      </c>
      <c r="AG33" s="190">
        <v>0</v>
      </c>
      <c r="AH33" s="190">
        <v>0</v>
      </c>
      <c r="AI33" s="190">
        <v>0</v>
      </c>
      <c r="AJ33" s="190">
        <v>0</v>
      </c>
    </row>
    <row r="34" spans="1:36" x14ac:dyDescent="0.35">
      <c r="A34" t="s">
        <v>1397</v>
      </c>
      <c r="B34" s="188" t="s">
        <v>1342</v>
      </c>
      <c r="C34" t="s">
        <v>1348</v>
      </c>
      <c r="D34" s="188">
        <v>30</v>
      </c>
      <c r="E34" t="s">
        <v>1362</v>
      </c>
      <c r="F34" t="s">
        <v>1357</v>
      </c>
      <c r="G34" s="190" t="s">
        <v>1396</v>
      </c>
      <c r="H34" s="190"/>
      <c r="I34" s="190"/>
      <c r="J34" s="190"/>
      <c r="K34" s="190"/>
      <c r="L34" s="190"/>
      <c r="M34" s="190"/>
      <c r="N34" s="190"/>
      <c r="O34" s="190"/>
      <c r="P34" s="190">
        <v>0</v>
      </c>
      <c r="Q34" s="190">
        <v>0</v>
      </c>
      <c r="R34" s="190">
        <v>0</v>
      </c>
      <c r="S34" s="190">
        <v>0</v>
      </c>
      <c r="T34" s="190">
        <v>0</v>
      </c>
      <c r="U34" s="190">
        <v>0</v>
      </c>
      <c r="V34" s="190">
        <v>0</v>
      </c>
      <c r="W34" s="190">
        <v>0</v>
      </c>
      <c r="X34" s="190">
        <v>0</v>
      </c>
      <c r="Y34" s="190">
        <v>0</v>
      </c>
      <c r="Z34" s="190">
        <v>0</v>
      </c>
      <c r="AA34" s="190">
        <v>0</v>
      </c>
      <c r="AB34" s="190">
        <v>0</v>
      </c>
      <c r="AC34" s="190">
        <v>0</v>
      </c>
      <c r="AD34" s="190">
        <v>0</v>
      </c>
      <c r="AE34" s="190">
        <v>0</v>
      </c>
      <c r="AF34" s="190">
        <v>0</v>
      </c>
      <c r="AG34" s="190">
        <v>0</v>
      </c>
      <c r="AH34" s="190">
        <v>0</v>
      </c>
      <c r="AI34" s="190">
        <v>0</v>
      </c>
      <c r="AJ34" s="190">
        <v>0</v>
      </c>
    </row>
    <row r="35" spans="1:36" x14ac:dyDescent="0.35">
      <c r="A35" t="s">
        <v>1398</v>
      </c>
      <c r="B35" s="188" t="s">
        <v>1342</v>
      </c>
      <c r="C35" t="s">
        <v>1350</v>
      </c>
      <c r="D35" s="188">
        <v>30</v>
      </c>
      <c r="E35" t="s">
        <v>1362</v>
      </c>
      <c r="F35" t="s">
        <v>1357</v>
      </c>
      <c r="G35" s="190" t="s">
        <v>1396</v>
      </c>
      <c r="H35" s="190"/>
      <c r="I35" s="190"/>
      <c r="J35" s="190"/>
      <c r="K35" s="190"/>
      <c r="L35" s="190"/>
      <c r="M35" s="190"/>
      <c r="N35" s="190"/>
      <c r="O35" s="190"/>
      <c r="P35" s="190">
        <v>0</v>
      </c>
      <c r="Q35" s="190">
        <v>0</v>
      </c>
      <c r="R35" s="190">
        <v>0</v>
      </c>
      <c r="S35" s="190">
        <v>0</v>
      </c>
      <c r="T35" s="190">
        <v>0</v>
      </c>
      <c r="U35" s="190">
        <v>0</v>
      </c>
      <c r="V35" s="190">
        <v>0</v>
      </c>
      <c r="W35" s="190">
        <v>0</v>
      </c>
      <c r="X35" s="190">
        <v>0</v>
      </c>
      <c r="Y35" s="190">
        <v>0</v>
      </c>
      <c r="Z35" s="190">
        <v>0</v>
      </c>
      <c r="AA35" s="190">
        <v>0</v>
      </c>
      <c r="AB35" s="190">
        <v>0</v>
      </c>
      <c r="AC35" s="190">
        <v>0</v>
      </c>
      <c r="AD35" s="190">
        <v>0</v>
      </c>
      <c r="AE35" s="190">
        <v>0</v>
      </c>
      <c r="AF35" s="190">
        <v>0</v>
      </c>
      <c r="AG35" s="190">
        <v>0</v>
      </c>
      <c r="AH35" s="190">
        <v>0</v>
      </c>
      <c r="AI35" s="190">
        <v>0</v>
      </c>
      <c r="AJ35" s="190">
        <v>0</v>
      </c>
    </row>
    <row r="36" spans="1:36" x14ac:dyDescent="0.35">
      <c r="A36" t="s">
        <v>1399</v>
      </c>
      <c r="B36" s="188" t="s">
        <v>1342</v>
      </c>
      <c r="C36" t="s">
        <v>1343</v>
      </c>
      <c r="D36" s="188">
        <v>30</v>
      </c>
      <c r="E36" t="s">
        <v>1362</v>
      </c>
      <c r="F36" t="s">
        <v>1400</v>
      </c>
      <c r="G36" s="190" t="s">
        <v>1401</v>
      </c>
      <c r="H36" s="190"/>
      <c r="I36" s="190"/>
      <c r="J36" s="190"/>
      <c r="K36" s="190"/>
      <c r="L36" s="190"/>
      <c r="M36" s="190"/>
      <c r="N36" s="190"/>
      <c r="O36" s="190"/>
      <c r="P36" s="190">
        <v>0</v>
      </c>
      <c r="Q36" s="190">
        <v>0</v>
      </c>
      <c r="R36" s="190">
        <v>0</v>
      </c>
      <c r="S36" s="190">
        <v>0</v>
      </c>
      <c r="T36" s="190">
        <v>0</v>
      </c>
      <c r="U36" s="190">
        <v>0</v>
      </c>
      <c r="V36" s="190">
        <v>0</v>
      </c>
      <c r="W36" s="190">
        <v>0</v>
      </c>
      <c r="X36" s="190">
        <v>0</v>
      </c>
      <c r="Y36" s="190">
        <v>0</v>
      </c>
      <c r="Z36" s="190">
        <v>0</v>
      </c>
      <c r="AA36" s="190">
        <v>0</v>
      </c>
      <c r="AB36" s="190">
        <v>0</v>
      </c>
      <c r="AC36" s="190">
        <v>0</v>
      </c>
      <c r="AD36" s="190">
        <v>0</v>
      </c>
      <c r="AE36" s="190">
        <v>0</v>
      </c>
      <c r="AF36" s="190">
        <v>0</v>
      </c>
      <c r="AG36" s="190">
        <v>0</v>
      </c>
      <c r="AH36" s="190">
        <v>0</v>
      </c>
      <c r="AI36" s="190">
        <v>0</v>
      </c>
      <c r="AJ36" s="190">
        <v>0</v>
      </c>
    </row>
    <row r="37" spans="1:36" x14ac:dyDescent="0.35">
      <c r="A37" t="s">
        <v>1402</v>
      </c>
      <c r="B37" s="188" t="s">
        <v>1342</v>
      </c>
      <c r="C37" t="s">
        <v>1348</v>
      </c>
      <c r="D37" s="188">
        <v>30</v>
      </c>
      <c r="E37" t="s">
        <v>1362</v>
      </c>
      <c r="F37" t="s">
        <v>1400</v>
      </c>
      <c r="G37" s="190" t="s">
        <v>1401</v>
      </c>
      <c r="H37" s="190"/>
      <c r="I37" s="190"/>
      <c r="J37" s="190"/>
      <c r="K37" s="190"/>
      <c r="L37" s="190"/>
      <c r="M37" s="190"/>
      <c r="N37" s="190"/>
      <c r="O37" s="190"/>
      <c r="P37" s="190">
        <v>0</v>
      </c>
      <c r="Q37" s="190">
        <v>0</v>
      </c>
      <c r="R37" s="190">
        <v>0</v>
      </c>
      <c r="S37" s="190">
        <v>0</v>
      </c>
      <c r="T37" s="190">
        <v>0</v>
      </c>
      <c r="U37" s="190">
        <v>0</v>
      </c>
      <c r="V37" s="190">
        <v>0</v>
      </c>
      <c r="W37" s="190">
        <v>0</v>
      </c>
      <c r="X37" s="190">
        <v>0</v>
      </c>
      <c r="Y37" s="190">
        <v>0</v>
      </c>
      <c r="Z37" s="190">
        <v>0</v>
      </c>
      <c r="AA37" s="190">
        <v>0</v>
      </c>
      <c r="AB37" s="190">
        <v>0</v>
      </c>
      <c r="AC37" s="190">
        <v>0</v>
      </c>
      <c r="AD37" s="190">
        <v>0</v>
      </c>
      <c r="AE37" s="190">
        <v>0</v>
      </c>
      <c r="AF37" s="190">
        <v>0</v>
      </c>
      <c r="AG37" s="190">
        <v>0</v>
      </c>
      <c r="AH37" s="190">
        <v>0</v>
      </c>
      <c r="AI37" s="190">
        <v>0</v>
      </c>
      <c r="AJ37" s="190">
        <v>0</v>
      </c>
    </row>
    <row r="38" spans="1:36" x14ac:dyDescent="0.35">
      <c r="A38" t="s">
        <v>1403</v>
      </c>
      <c r="B38" s="188" t="s">
        <v>1342</v>
      </c>
      <c r="C38" t="s">
        <v>1350</v>
      </c>
      <c r="D38" s="188">
        <v>30</v>
      </c>
      <c r="E38" t="s">
        <v>1362</v>
      </c>
      <c r="F38" t="s">
        <v>1400</v>
      </c>
      <c r="G38" s="190" t="s">
        <v>1401</v>
      </c>
      <c r="H38" s="190"/>
      <c r="I38" s="190"/>
      <c r="J38" s="190"/>
      <c r="K38" s="190"/>
      <c r="L38" s="190"/>
      <c r="M38" s="190"/>
      <c r="N38" s="190"/>
      <c r="O38" s="190"/>
      <c r="P38" s="190">
        <v>0</v>
      </c>
      <c r="Q38" s="190">
        <v>0</v>
      </c>
      <c r="R38" s="190">
        <v>0</v>
      </c>
      <c r="S38" s="190">
        <v>0</v>
      </c>
      <c r="T38" s="190">
        <v>0</v>
      </c>
      <c r="U38" s="190">
        <v>0</v>
      </c>
      <c r="V38" s="190">
        <v>0</v>
      </c>
      <c r="W38" s="190">
        <v>0</v>
      </c>
      <c r="X38" s="190">
        <v>0</v>
      </c>
      <c r="Y38" s="190">
        <v>0</v>
      </c>
      <c r="Z38" s="190">
        <v>0</v>
      </c>
      <c r="AA38" s="190">
        <v>0</v>
      </c>
      <c r="AB38" s="190">
        <v>0</v>
      </c>
      <c r="AC38" s="190">
        <v>0</v>
      </c>
      <c r="AD38" s="190">
        <v>0</v>
      </c>
      <c r="AE38" s="190">
        <v>0</v>
      </c>
      <c r="AF38" s="190">
        <v>0</v>
      </c>
      <c r="AG38" s="190">
        <v>0</v>
      </c>
      <c r="AH38" s="190">
        <v>0</v>
      </c>
      <c r="AI38" s="190">
        <v>0</v>
      </c>
      <c r="AJ38" s="190">
        <v>0</v>
      </c>
    </row>
    <row r="39" spans="1:36" x14ac:dyDescent="0.35">
      <c r="A39" t="s">
        <v>1404</v>
      </c>
      <c r="B39" s="188" t="s">
        <v>1342</v>
      </c>
      <c r="C39" t="s">
        <v>1343</v>
      </c>
      <c r="D39" s="188">
        <v>30</v>
      </c>
      <c r="E39" t="s">
        <v>1362</v>
      </c>
      <c r="F39" t="s">
        <v>1405</v>
      </c>
      <c r="G39" s="190" t="s">
        <v>1406</v>
      </c>
      <c r="H39" s="190"/>
      <c r="I39" s="190"/>
      <c r="J39" s="190"/>
      <c r="K39" s="190"/>
      <c r="L39" s="190"/>
      <c r="M39" s="190"/>
      <c r="N39" s="190"/>
      <c r="O39" s="190"/>
      <c r="P39" s="190">
        <v>0</v>
      </c>
      <c r="Q39" s="190">
        <v>0</v>
      </c>
      <c r="R39" s="190">
        <v>0</v>
      </c>
      <c r="S39" s="190">
        <v>0</v>
      </c>
      <c r="T39" s="190">
        <v>0</v>
      </c>
      <c r="U39" s="190">
        <v>0</v>
      </c>
      <c r="V39" s="190">
        <v>0</v>
      </c>
      <c r="W39" s="190">
        <v>0</v>
      </c>
      <c r="X39" s="190">
        <v>0</v>
      </c>
      <c r="Y39" s="190">
        <v>0</v>
      </c>
      <c r="Z39" s="190">
        <v>0</v>
      </c>
      <c r="AA39" s="190">
        <v>0</v>
      </c>
      <c r="AB39" s="190">
        <v>0</v>
      </c>
      <c r="AC39" s="190">
        <v>0</v>
      </c>
      <c r="AD39" s="190">
        <v>0</v>
      </c>
      <c r="AE39" s="190">
        <v>0</v>
      </c>
      <c r="AF39" s="190">
        <v>0</v>
      </c>
      <c r="AG39" s="190">
        <v>0</v>
      </c>
      <c r="AH39" s="190">
        <v>0</v>
      </c>
      <c r="AI39" s="190">
        <v>0</v>
      </c>
      <c r="AJ39" s="190">
        <v>0</v>
      </c>
    </row>
    <row r="40" spans="1:36" x14ac:dyDescent="0.35">
      <c r="A40" t="s">
        <v>1407</v>
      </c>
      <c r="B40" s="188" t="s">
        <v>1342</v>
      </c>
      <c r="C40" t="s">
        <v>1348</v>
      </c>
      <c r="D40" s="188">
        <v>30</v>
      </c>
      <c r="E40" t="s">
        <v>1362</v>
      </c>
      <c r="F40" t="s">
        <v>1405</v>
      </c>
      <c r="G40" s="190" t="s">
        <v>1406</v>
      </c>
      <c r="H40" s="190"/>
      <c r="I40" s="190"/>
      <c r="J40" s="190"/>
      <c r="K40" s="190"/>
      <c r="L40" s="190"/>
      <c r="M40" s="190"/>
      <c r="N40" s="190"/>
      <c r="O40" s="190"/>
      <c r="P40" s="190">
        <v>0</v>
      </c>
      <c r="Q40" s="190">
        <v>0</v>
      </c>
      <c r="R40" s="190">
        <v>0</v>
      </c>
      <c r="S40" s="190">
        <v>0</v>
      </c>
      <c r="T40" s="190">
        <v>0</v>
      </c>
      <c r="U40" s="190">
        <v>0</v>
      </c>
      <c r="V40" s="190">
        <v>0</v>
      </c>
      <c r="W40" s="190">
        <v>0</v>
      </c>
      <c r="X40" s="190">
        <v>0</v>
      </c>
      <c r="Y40" s="190">
        <v>0</v>
      </c>
      <c r="Z40" s="190">
        <v>0</v>
      </c>
      <c r="AA40" s="190">
        <v>0</v>
      </c>
      <c r="AB40" s="190">
        <v>0</v>
      </c>
      <c r="AC40" s="190">
        <v>0</v>
      </c>
      <c r="AD40" s="190">
        <v>0</v>
      </c>
      <c r="AE40" s="190">
        <v>0</v>
      </c>
      <c r="AF40" s="190">
        <v>0</v>
      </c>
      <c r="AG40" s="190">
        <v>0</v>
      </c>
      <c r="AH40" s="190">
        <v>0</v>
      </c>
      <c r="AI40" s="190">
        <v>0</v>
      </c>
      <c r="AJ40" s="190">
        <v>0</v>
      </c>
    </row>
    <row r="41" spans="1:36" x14ac:dyDescent="0.35">
      <c r="A41" t="s">
        <v>1408</v>
      </c>
      <c r="B41" s="188" t="s">
        <v>1342</v>
      </c>
      <c r="C41" t="s">
        <v>1350</v>
      </c>
      <c r="D41" s="188">
        <v>30</v>
      </c>
      <c r="E41" t="s">
        <v>1362</v>
      </c>
      <c r="F41" t="s">
        <v>1405</v>
      </c>
      <c r="G41" s="190" t="s">
        <v>1406</v>
      </c>
      <c r="H41" s="190"/>
      <c r="I41" s="190"/>
      <c r="J41" s="190"/>
      <c r="K41" s="190"/>
      <c r="L41" s="190"/>
      <c r="M41" s="190"/>
      <c r="N41" s="190"/>
      <c r="O41" s="190"/>
      <c r="P41" s="190">
        <v>0</v>
      </c>
      <c r="Q41" s="190">
        <v>0</v>
      </c>
      <c r="R41" s="190">
        <v>0</v>
      </c>
      <c r="S41" s="190">
        <v>0</v>
      </c>
      <c r="T41" s="190">
        <v>0</v>
      </c>
      <c r="U41" s="190">
        <v>0</v>
      </c>
      <c r="V41" s="190">
        <v>0</v>
      </c>
      <c r="W41" s="190">
        <v>0</v>
      </c>
      <c r="X41" s="190">
        <v>0</v>
      </c>
      <c r="Y41" s="190">
        <v>0</v>
      </c>
      <c r="Z41" s="190">
        <v>0</v>
      </c>
      <c r="AA41" s="190">
        <v>0</v>
      </c>
      <c r="AB41" s="190">
        <v>0</v>
      </c>
      <c r="AC41" s="190">
        <v>0</v>
      </c>
      <c r="AD41" s="190">
        <v>0</v>
      </c>
      <c r="AE41" s="190">
        <v>0</v>
      </c>
      <c r="AF41" s="190">
        <v>0</v>
      </c>
      <c r="AG41" s="190">
        <v>0</v>
      </c>
      <c r="AH41" s="190">
        <v>0</v>
      </c>
      <c r="AI41" s="190">
        <v>0</v>
      </c>
      <c r="AJ41" s="190">
        <v>0</v>
      </c>
    </row>
    <row r="42" spans="1:36" x14ac:dyDescent="0.35">
      <c r="A42" t="s">
        <v>1361</v>
      </c>
      <c r="B42" s="188" t="s">
        <v>1342</v>
      </c>
      <c r="C42" t="s">
        <v>1343</v>
      </c>
      <c r="D42" s="188">
        <v>30</v>
      </c>
      <c r="E42" t="s">
        <v>1362</v>
      </c>
      <c r="F42" t="s">
        <v>1409</v>
      </c>
      <c r="G42" s="190" t="s">
        <v>1410</v>
      </c>
      <c r="H42" s="190"/>
      <c r="I42" s="190"/>
      <c r="J42" s="190"/>
      <c r="K42" s="190"/>
      <c r="L42" s="190"/>
      <c r="M42" s="190"/>
      <c r="N42" s="190"/>
      <c r="O42" s="190"/>
      <c r="P42" s="190">
        <v>0</v>
      </c>
      <c r="Q42" s="190">
        <v>0</v>
      </c>
      <c r="R42" s="190">
        <v>0</v>
      </c>
      <c r="S42" s="190">
        <v>0</v>
      </c>
      <c r="T42" s="190">
        <v>0</v>
      </c>
      <c r="U42" s="190">
        <v>0</v>
      </c>
      <c r="V42" s="190">
        <v>0</v>
      </c>
      <c r="W42" s="190">
        <v>0</v>
      </c>
      <c r="X42" s="190">
        <v>0</v>
      </c>
      <c r="Y42" s="190">
        <v>0</v>
      </c>
      <c r="Z42" s="190">
        <v>0</v>
      </c>
      <c r="AA42" s="190">
        <v>0</v>
      </c>
      <c r="AB42" s="190">
        <v>0</v>
      </c>
      <c r="AC42" s="190">
        <v>0</v>
      </c>
      <c r="AD42" s="190">
        <v>0</v>
      </c>
      <c r="AE42" s="190">
        <v>0</v>
      </c>
      <c r="AF42" s="190">
        <v>0</v>
      </c>
      <c r="AG42" s="190">
        <v>0</v>
      </c>
      <c r="AH42" s="190">
        <v>0</v>
      </c>
      <c r="AI42" s="190">
        <v>0</v>
      </c>
      <c r="AJ42" s="190">
        <v>0</v>
      </c>
    </row>
    <row r="43" spans="1:36" x14ac:dyDescent="0.35">
      <c r="A43" t="s">
        <v>1365</v>
      </c>
      <c r="B43" s="188" t="s">
        <v>1342</v>
      </c>
      <c r="C43" t="s">
        <v>1348</v>
      </c>
      <c r="D43" s="188">
        <v>30</v>
      </c>
      <c r="E43" t="s">
        <v>1362</v>
      </c>
      <c r="F43" t="s">
        <v>1409</v>
      </c>
      <c r="G43" s="190" t="s">
        <v>1410</v>
      </c>
      <c r="H43" s="190"/>
      <c r="I43" s="190"/>
      <c r="J43" s="190"/>
      <c r="K43" s="190"/>
      <c r="L43" s="190"/>
      <c r="M43" s="190"/>
      <c r="N43" s="190"/>
      <c r="O43" s="190"/>
      <c r="P43" s="190">
        <v>0</v>
      </c>
      <c r="Q43" s="190">
        <v>0</v>
      </c>
      <c r="R43" s="190">
        <v>0</v>
      </c>
      <c r="S43" s="190">
        <v>0</v>
      </c>
      <c r="T43" s="190">
        <v>0</v>
      </c>
      <c r="U43" s="190">
        <v>0</v>
      </c>
      <c r="V43" s="190">
        <v>0</v>
      </c>
      <c r="W43" s="190">
        <v>0</v>
      </c>
      <c r="X43" s="190">
        <v>0</v>
      </c>
      <c r="Y43" s="190">
        <v>0</v>
      </c>
      <c r="Z43" s="190">
        <v>0</v>
      </c>
      <c r="AA43" s="190">
        <v>0</v>
      </c>
      <c r="AB43" s="190">
        <v>0</v>
      </c>
      <c r="AC43" s="190">
        <v>0</v>
      </c>
      <c r="AD43" s="190">
        <v>0</v>
      </c>
      <c r="AE43" s="190">
        <v>0</v>
      </c>
      <c r="AF43" s="190">
        <v>0</v>
      </c>
      <c r="AG43" s="190">
        <v>0</v>
      </c>
      <c r="AH43" s="190">
        <v>0</v>
      </c>
      <c r="AI43" s="190">
        <v>0</v>
      </c>
      <c r="AJ43" s="190">
        <v>0</v>
      </c>
    </row>
    <row r="44" spans="1:36" x14ac:dyDescent="0.35">
      <c r="A44" t="s">
        <v>1366</v>
      </c>
      <c r="B44" s="188" t="s">
        <v>1342</v>
      </c>
      <c r="C44" t="s">
        <v>1350</v>
      </c>
      <c r="D44" s="188">
        <v>30</v>
      </c>
      <c r="E44" t="s">
        <v>1362</v>
      </c>
      <c r="F44" t="s">
        <v>1409</v>
      </c>
      <c r="G44" s="190" t="s">
        <v>1410</v>
      </c>
      <c r="H44" s="190"/>
      <c r="I44" s="190"/>
      <c r="J44" s="190"/>
      <c r="K44" s="190"/>
      <c r="L44" s="190"/>
      <c r="M44" s="190"/>
      <c r="N44" s="190"/>
      <c r="O44" s="190"/>
      <c r="P44" s="190">
        <v>0</v>
      </c>
      <c r="Q44" s="190">
        <v>0</v>
      </c>
      <c r="R44" s="190">
        <v>0</v>
      </c>
      <c r="S44" s="190">
        <v>0</v>
      </c>
      <c r="T44" s="190">
        <v>0</v>
      </c>
      <c r="U44" s="190">
        <v>0</v>
      </c>
      <c r="V44" s="190">
        <v>0</v>
      </c>
      <c r="W44" s="190">
        <v>0</v>
      </c>
      <c r="X44" s="190">
        <v>0</v>
      </c>
      <c r="Y44" s="190">
        <v>0</v>
      </c>
      <c r="Z44" s="190">
        <v>0</v>
      </c>
      <c r="AA44" s="190">
        <v>0</v>
      </c>
      <c r="AB44" s="190">
        <v>0</v>
      </c>
      <c r="AC44" s="190">
        <v>0</v>
      </c>
      <c r="AD44" s="190">
        <v>0</v>
      </c>
      <c r="AE44" s="190">
        <v>0</v>
      </c>
      <c r="AF44" s="190">
        <v>0</v>
      </c>
      <c r="AG44" s="190">
        <v>0</v>
      </c>
      <c r="AH44" s="190">
        <v>0</v>
      </c>
      <c r="AI44" s="190">
        <v>0</v>
      </c>
      <c r="AJ44" s="190">
        <v>0</v>
      </c>
    </row>
    <row r="45" spans="1:36" x14ac:dyDescent="0.35">
      <c r="A45" t="s">
        <v>1367</v>
      </c>
      <c r="B45" s="188" t="s">
        <v>1342</v>
      </c>
      <c r="C45" t="s">
        <v>1343</v>
      </c>
      <c r="D45" s="188">
        <v>30</v>
      </c>
      <c r="E45" t="s">
        <v>1362</v>
      </c>
      <c r="F45" t="s">
        <v>1411</v>
      </c>
      <c r="G45" s="190" t="s">
        <v>1412</v>
      </c>
      <c r="H45" s="190"/>
      <c r="I45" s="190"/>
      <c r="J45" s="190"/>
      <c r="K45" s="190"/>
      <c r="L45" s="190"/>
      <c r="M45" s="190"/>
      <c r="N45" s="190"/>
      <c r="O45" s="190"/>
      <c r="P45" s="190">
        <v>0</v>
      </c>
      <c r="Q45" s="190">
        <v>0</v>
      </c>
      <c r="R45" s="190">
        <v>0</v>
      </c>
      <c r="S45" s="190">
        <v>0</v>
      </c>
      <c r="T45" s="190">
        <v>0</v>
      </c>
      <c r="U45" s="190">
        <v>0</v>
      </c>
      <c r="V45" s="190">
        <v>0</v>
      </c>
      <c r="W45" s="190">
        <v>0</v>
      </c>
      <c r="X45" s="190">
        <v>0</v>
      </c>
      <c r="Y45" s="190">
        <v>0</v>
      </c>
      <c r="Z45" s="190">
        <v>0</v>
      </c>
      <c r="AA45" s="190">
        <v>0</v>
      </c>
      <c r="AB45" s="190">
        <v>0</v>
      </c>
      <c r="AC45" s="190">
        <v>0</v>
      </c>
      <c r="AD45" s="190">
        <v>0</v>
      </c>
      <c r="AE45" s="190">
        <v>0</v>
      </c>
      <c r="AF45" s="190">
        <v>0</v>
      </c>
      <c r="AG45" s="190">
        <v>0</v>
      </c>
      <c r="AH45" s="190">
        <v>0</v>
      </c>
      <c r="AI45" s="190">
        <v>0</v>
      </c>
      <c r="AJ45" s="190">
        <v>0</v>
      </c>
    </row>
    <row r="46" spans="1:36" x14ac:dyDescent="0.35">
      <c r="A46" t="s">
        <v>1369</v>
      </c>
      <c r="B46" s="188" t="s">
        <v>1342</v>
      </c>
      <c r="C46" t="s">
        <v>1348</v>
      </c>
      <c r="D46" s="188">
        <v>30</v>
      </c>
      <c r="E46" t="s">
        <v>1362</v>
      </c>
      <c r="F46" t="s">
        <v>1411</v>
      </c>
      <c r="G46" s="190" t="s">
        <v>1412</v>
      </c>
      <c r="H46" s="190"/>
      <c r="I46" s="190"/>
      <c r="J46" s="190"/>
      <c r="K46" s="190"/>
      <c r="L46" s="190"/>
      <c r="M46" s="190"/>
      <c r="N46" s="190"/>
      <c r="O46" s="190"/>
      <c r="P46" s="190">
        <v>0</v>
      </c>
      <c r="Q46" s="190">
        <v>0</v>
      </c>
      <c r="R46" s="190">
        <v>0</v>
      </c>
      <c r="S46" s="190">
        <v>0</v>
      </c>
      <c r="T46" s="190">
        <v>0</v>
      </c>
      <c r="U46" s="190">
        <v>0</v>
      </c>
      <c r="V46" s="190">
        <v>0</v>
      </c>
      <c r="W46" s="190">
        <v>0</v>
      </c>
      <c r="X46" s="190">
        <v>0</v>
      </c>
      <c r="Y46" s="190">
        <v>0</v>
      </c>
      <c r="Z46" s="190">
        <v>0</v>
      </c>
      <c r="AA46" s="190">
        <v>0</v>
      </c>
      <c r="AB46" s="190">
        <v>0</v>
      </c>
      <c r="AC46" s="190">
        <v>0</v>
      </c>
      <c r="AD46" s="190">
        <v>0</v>
      </c>
      <c r="AE46" s="190">
        <v>0</v>
      </c>
      <c r="AF46" s="190">
        <v>0</v>
      </c>
      <c r="AG46" s="190">
        <v>0</v>
      </c>
      <c r="AH46" s="190">
        <v>0</v>
      </c>
      <c r="AI46" s="190">
        <v>0</v>
      </c>
      <c r="AJ46" s="190">
        <v>0</v>
      </c>
    </row>
    <row r="47" spans="1:36" x14ac:dyDescent="0.35">
      <c r="A47" t="s">
        <v>1370</v>
      </c>
      <c r="B47" s="188" t="s">
        <v>1342</v>
      </c>
      <c r="C47" t="s">
        <v>1350</v>
      </c>
      <c r="D47" s="188">
        <v>30</v>
      </c>
      <c r="E47" t="s">
        <v>1362</v>
      </c>
      <c r="F47" t="s">
        <v>1411</v>
      </c>
      <c r="G47" s="190" t="s">
        <v>1412</v>
      </c>
      <c r="H47" s="190"/>
      <c r="I47" s="190"/>
      <c r="J47" s="190"/>
      <c r="K47" s="190"/>
      <c r="L47" s="190"/>
      <c r="M47" s="190"/>
      <c r="N47" s="190"/>
      <c r="O47" s="190"/>
      <c r="P47" s="190">
        <v>0</v>
      </c>
      <c r="Q47" s="190">
        <v>0</v>
      </c>
      <c r="R47" s="190">
        <v>0</v>
      </c>
      <c r="S47" s="190">
        <v>0</v>
      </c>
      <c r="T47" s="190">
        <v>0</v>
      </c>
      <c r="U47" s="190">
        <v>0</v>
      </c>
      <c r="V47" s="190">
        <v>0</v>
      </c>
      <c r="W47" s="190">
        <v>0</v>
      </c>
      <c r="X47" s="190">
        <v>0</v>
      </c>
      <c r="Y47" s="190">
        <v>0</v>
      </c>
      <c r="Z47" s="190">
        <v>0</v>
      </c>
      <c r="AA47" s="190">
        <v>0</v>
      </c>
      <c r="AB47" s="190">
        <v>0</v>
      </c>
      <c r="AC47" s="190">
        <v>0</v>
      </c>
      <c r="AD47" s="190">
        <v>0</v>
      </c>
      <c r="AE47" s="190">
        <v>0</v>
      </c>
      <c r="AF47" s="190">
        <v>0</v>
      </c>
      <c r="AG47" s="190">
        <v>0</v>
      </c>
      <c r="AH47" s="190">
        <v>0</v>
      </c>
      <c r="AI47" s="190">
        <v>0</v>
      </c>
      <c r="AJ47" s="190">
        <v>0</v>
      </c>
    </row>
    <row r="48" spans="1:36" x14ac:dyDescent="0.35">
      <c r="A48" t="s">
        <v>1371</v>
      </c>
      <c r="B48" s="188" t="s">
        <v>1342</v>
      </c>
      <c r="C48" t="s">
        <v>1343</v>
      </c>
      <c r="D48" s="188">
        <v>30</v>
      </c>
      <c r="E48" t="s">
        <v>1362</v>
      </c>
      <c r="F48" t="s">
        <v>1413</v>
      </c>
      <c r="G48" s="190" t="s">
        <v>1414</v>
      </c>
      <c r="H48" s="190"/>
      <c r="I48" s="190"/>
      <c r="J48" s="190"/>
      <c r="K48" s="190"/>
      <c r="L48" s="190"/>
      <c r="M48" s="190"/>
      <c r="N48" s="190"/>
      <c r="O48" s="190"/>
      <c r="P48" s="190">
        <v>0</v>
      </c>
      <c r="Q48" s="190">
        <v>0</v>
      </c>
      <c r="R48" s="190">
        <v>0</v>
      </c>
      <c r="S48" s="190">
        <v>0</v>
      </c>
      <c r="T48" s="190">
        <v>0</v>
      </c>
      <c r="U48" s="190">
        <v>0</v>
      </c>
      <c r="V48" s="190">
        <v>0</v>
      </c>
      <c r="W48" s="190">
        <v>0</v>
      </c>
      <c r="X48" s="190">
        <v>0</v>
      </c>
      <c r="Y48" s="190">
        <v>0</v>
      </c>
      <c r="Z48" s="190">
        <v>0</v>
      </c>
      <c r="AA48" s="190">
        <v>0</v>
      </c>
      <c r="AB48" s="190">
        <v>0</v>
      </c>
      <c r="AC48" s="190">
        <v>0</v>
      </c>
      <c r="AD48" s="190">
        <v>0</v>
      </c>
      <c r="AE48" s="190">
        <v>0</v>
      </c>
      <c r="AF48" s="190">
        <v>0</v>
      </c>
      <c r="AG48" s="190">
        <v>0</v>
      </c>
      <c r="AH48" s="190">
        <v>0</v>
      </c>
      <c r="AI48" s="190">
        <v>0</v>
      </c>
      <c r="AJ48" s="190">
        <v>0</v>
      </c>
    </row>
    <row r="49" spans="1:36" x14ac:dyDescent="0.35">
      <c r="A49" t="s">
        <v>1373</v>
      </c>
      <c r="B49" s="188" t="s">
        <v>1342</v>
      </c>
      <c r="C49" t="s">
        <v>1348</v>
      </c>
      <c r="D49" s="188">
        <v>30</v>
      </c>
      <c r="E49" t="s">
        <v>1362</v>
      </c>
      <c r="F49" t="s">
        <v>1413</v>
      </c>
      <c r="G49" s="190" t="s">
        <v>1414</v>
      </c>
      <c r="H49" s="190"/>
      <c r="I49" s="190"/>
      <c r="J49" s="190"/>
      <c r="K49" s="190"/>
      <c r="L49" s="190"/>
      <c r="M49" s="190"/>
      <c r="N49" s="190"/>
      <c r="O49" s="190"/>
      <c r="P49" s="190">
        <v>0</v>
      </c>
      <c r="Q49" s="190">
        <v>0</v>
      </c>
      <c r="R49" s="190">
        <v>0</v>
      </c>
      <c r="S49" s="190">
        <v>0</v>
      </c>
      <c r="T49" s="190">
        <v>0</v>
      </c>
      <c r="U49" s="190">
        <v>0</v>
      </c>
      <c r="V49" s="190">
        <v>0</v>
      </c>
      <c r="W49" s="190">
        <v>0</v>
      </c>
      <c r="X49" s="190">
        <v>0</v>
      </c>
      <c r="Y49" s="190">
        <v>0</v>
      </c>
      <c r="Z49" s="190">
        <v>0</v>
      </c>
      <c r="AA49" s="190">
        <v>0</v>
      </c>
      <c r="AB49" s="190">
        <v>0</v>
      </c>
      <c r="AC49" s="190">
        <v>0</v>
      </c>
      <c r="AD49" s="190">
        <v>0</v>
      </c>
      <c r="AE49" s="190">
        <v>0</v>
      </c>
      <c r="AF49" s="190">
        <v>0</v>
      </c>
      <c r="AG49" s="190">
        <v>0</v>
      </c>
      <c r="AH49" s="190">
        <v>0</v>
      </c>
      <c r="AI49" s="190">
        <v>0</v>
      </c>
      <c r="AJ49" s="190">
        <v>0</v>
      </c>
    </row>
    <row r="50" spans="1:36" x14ac:dyDescent="0.35">
      <c r="A50" t="s">
        <v>1374</v>
      </c>
      <c r="B50" s="188" t="s">
        <v>1342</v>
      </c>
      <c r="C50" t="s">
        <v>1350</v>
      </c>
      <c r="D50" s="188">
        <v>30</v>
      </c>
      <c r="E50" t="s">
        <v>1362</v>
      </c>
      <c r="F50" t="s">
        <v>1413</v>
      </c>
      <c r="G50" s="190" t="s">
        <v>1414</v>
      </c>
      <c r="H50" s="190"/>
      <c r="I50" s="190"/>
      <c r="J50" s="190"/>
      <c r="K50" s="190"/>
      <c r="L50" s="190"/>
      <c r="M50" s="190"/>
      <c r="N50" s="190"/>
      <c r="O50" s="190"/>
      <c r="P50" s="190">
        <v>0</v>
      </c>
      <c r="Q50" s="190">
        <v>0</v>
      </c>
      <c r="R50" s="190">
        <v>0</v>
      </c>
      <c r="S50" s="190">
        <v>0</v>
      </c>
      <c r="T50" s="190">
        <v>0</v>
      </c>
      <c r="U50" s="190">
        <v>0</v>
      </c>
      <c r="V50" s="190">
        <v>0</v>
      </c>
      <c r="W50" s="190">
        <v>0</v>
      </c>
      <c r="X50" s="190">
        <v>0</v>
      </c>
      <c r="Y50" s="190">
        <v>0</v>
      </c>
      <c r="Z50" s="190">
        <v>0</v>
      </c>
      <c r="AA50" s="190">
        <v>0</v>
      </c>
      <c r="AB50" s="190">
        <v>0</v>
      </c>
      <c r="AC50" s="190">
        <v>0</v>
      </c>
      <c r="AD50" s="190">
        <v>0</v>
      </c>
      <c r="AE50" s="190">
        <v>0</v>
      </c>
      <c r="AF50" s="190">
        <v>0</v>
      </c>
      <c r="AG50" s="190">
        <v>0</v>
      </c>
      <c r="AH50" s="190">
        <v>0</v>
      </c>
      <c r="AI50" s="190">
        <v>0</v>
      </c>
      <c r="AJ50" s="190">
        <v>0</v>
      </c>
    </row>
    <row r="51" spans="1:36" x14ac:dyDescent="0.35">
      <c r="A51" t="s">
        <v>1375</v>
      </c>
      <c r="B51" s="188" t="s">
        <v>1342</v>
      </c>
      <c r="C51" t="s">
        <v>1343</v>
      </c>
      <c r="D51" s="188">
        <v>30</v>
      </c>
      <c r="E51" t="s">
        <v>1362</v>
      </c>
      <c r="F51" t="s">
        <v>1415</v>
      </c>
      <c r="G51" s="190" t="s">
        <v>1416</v>
      </c>
      <c r="H51" s="190"/>
      <c r="I51" s="190"/>
      <c r="J51" s="190"/>
      <c r="K51" s="190"/>
      <c r="L51" s="190"/>
      <c r="M51" s="190"/>
      <c r="N51" s="190"/>
      <c r="O51" s="190"/>
      <c r="P51" s="190">
        <v>0</v>
      </c>
      <c r="Q51" s="190">
        <v>0</v>
      </c>
      <c r="R51" s="190">
        <v>0</v>
      </c>
      <c r="S51" s="190">
        <v>0</v>
      </c>
      <c r="T51" s="190">
        <v>0</v>
      </c>
      <c r="U51" s="190">
        <v>0</v>
      </c>
      <c r="V51" s="190">
        <v>0</v>
      </c>
      <c r="W51" s="190">
        <v>0</v>
      </c>
      <c r="X51" s="190">
        <v>0</v>
      </c>
      <c r="Y51" s="190">
        <v>0</v>
      </c>
      <c r="Z51" s="190">
        <v>0</v>
      </c>
      <c r="AA51" s="190">
        <v>0</v>
      </c>
      <c r="AB51" s="190">
        <v>0</v>
      </c>
      <c r="AC51" s="190">
        <v>0</v>
      </c>
      <c r="AD51" s="190">
        <v>0</v>
      </c>
      <c r="AE51" s="190">
        <v>0</v>
      </c>
      <c r="AF51" s="190">
        <v>0</v>
      </c>
      <c r="AG51" s="190">
        <v>0</v>
      </c>
      <c r="AH51" s="190">
        <v>0</v>
      </c>
      <c r="AI51" s="190">
        <v>0</v>
      </c>
      <c r="AJ51" s="190">
        <v>0</v>
      </c>
    </row>
    <row r="52" spans="1:36" x14ac:dyDescent="0.35">
      <c r="A52" t="s">
        <v>1378</v>
      </c>
      <c r="B52" s="188" t="s">
        <v>1342</v>
      </c>
      <c r="C52" t="s">
        <v>1348</v>
      </c>
      <c r="D52" s="188">
        <v>30</v>
      </c>
      <c r="E52" t="s">
        <v>1362</v>
      </c>
      <c r="F52" t="s">
        <v>1415</v>
      </c>
      <c r="G52" s="190" t="s">
        <v>1416</v>
      </c>
      <c r="H52" s="190"/>
      <c r="I52" s="190"/>
      <c r="J52" s="190"/>
      <c r="K52" s="190"/>
      <c r="L52" s="190"/>
      <c r="M52" s="190"/>
      <c r="N52" s="190"/>
      <c r="O52" s="190"/>
      <c r="P52" s="190">
        <v>0</v>
      </c>
      <c r="Q52" s="190">
        <v>0</v>
      </c>
      <c r="R52" s="190">
        <v>0</v>
      </c>
      <c r="S52" s="190">
        <v>0</v>
      </c>
      <c r="T52" s="190">
        <v>0</v>
      </c>
      <c r="U52" s="190">
        <v>0</v>
      </c>
      <c r="V52" s="190">
        <v>0</v>
      </c>
      <c r="W52" s="190">
        <v>0</v>
      </c>
      <c r="X52" s="190">
        <v>0</v>
      </c>
      <c r="Y52" s="190">
        <v>0</v>
      </c>
      <c r="Z52" s="190">
        <v>0</v>
      </c>
      <c r="AA52" s="190">
        <v>0</v>
      </c>
      <c r="AB52" s="190">
        <v>0</v>
      </c>
      <c r="AC52" s="190">
        <v>0</v>
      </c>
      <c r="AD52" s="190">
        <v>0</v>
      </c>
      <c r="AE52" s="190">
        <v>0</v>
      </c>
      <c r="AF52" s="190">
        <v>0</v>
      </c>
      <c r="AG52" s="190">
        <v>0</v>
      </c>
      <c r="AH52" s="190">
        <v>0</v>
      </c>
      <c r="AI52" s="190">
        <v>0</v>
      </c>
      <c r="AJ52" s="190">
        <v>0</v>
      </c>
    </row>
    <row r="53" spans="1:36" x14ac:dyDescent="0.35">
      <c r="A53" t="s">
        <v>1379</v>
      </c>
      <c r="B53" s="188" t="s">
        <v>1342</v>
      </c>
      <c r="C53" t="s">
        <v>1350</v>
      </c>
      <c r="D53" s="188">
        <v>30</v>
      </c>
      <c r="E53" t="s">
        <v>1362</v>
      </c>
      <c r="F53" t="s">
        <v>1415</v>
      </c>
      <c r="G53" s="190" t="s">
        <v>1416</v>
      </c>
      <c r="H53" s="190"/>
      <c r="I53" s="190"/>
      <c r="J53" s="190"/>
      <c r="K53" s="190"/>
      <c r="L53" s="190"/>
      <c r="M53" s="190"/>
      <c r="N53" s="190"/>
      <c r="O53" s="190"/>
      <c r="P53" s="190">
        <v>0</v>
      </c>
      <c r="Q53" s="190">
        <v>0</v>
      </c>
      <c r="R53" s="190">
        <v>0</v>
      </c>
      <c r="S53" s="190">
        <v>0</v>
      </c>
      <c r="T53" s="190">
        <v>0</v>
      </c>
      <c r="U53" s="190">
        <v>0</v>
      </c>
      <c r="V53" s="190">
        <v>0</v>
      </c>
      <c r="W53" s="190">
        <v>0</v>
      </c>
      <c r="X53" s="190">
        <v>0</v>
      </c>
      <c r="Y53" s="190">
        <v>0</v>
      </c>
      <c r="Z53" s="190">
        <v>0</v>
      </c>
      <c r="AA53" s="190">
        <v>0</v>
      </c>
      <c r="AB53" s="190">
        <v>0</v>
      </c>
      <c r="AC53" s="190">
        <v>0</v>
      </c>
      <c r="AD53" s="190">
        <v>0</v>
      </c>
      <c r="AE53" s="190">
        <v>0</v>
      </c>
      <c r="AF53" s="190">
        <v>0</v>
      </c>
      <c r="AG53" s="190">
        <v>0</v>
      </c>
      <c r="AH53" s="190">
        <v>0</v>
      </c>
      <c r="AI53" s="190">
        <v>0</v>
      </c>
      <c r="AJ53" s="190">
        <v>0</v>
      </c>
    </row>
    <row r="54" spans="1:36" x14ac:dyDescent="0.35">
      <c r="A54" t="s">
        <v>1417</v>
      </c>
      <c r="B54" s="188" t="s">
        <v>1342</v>
      </c>
      <c r="C54" t="s">
        <v>1343</v>
      </c>
      <c r="D54">
        <v>30</v>
      </c>
      <c r="E54" t="s">
        <v>1418</v>
      </c>
      <c r="F54" t="s">
        <v>1363</v>
      </c>
      <c r="G54" s="190" t="s">
        <v>1419</v>
      </c>
      <c r="H54" s="190">
        <v>0</v>
      </c>
      <c r="I54" s="190">
        <v>0</v>
      </c>
      <c r="J54" s="190">
        <v>0</v>
      </c>
      <c r="K54" s="190">
        <v>0</v>
      </c>
      <c r="L54" s="190">
        <v>0</v>
      </c>
      <c r="M54" s="190">
        <v>0</v>
      </c>
      <c r="N54" s="190">
        <v>0</v>
      </c>
      <c r="O54" s="190">
        <v>0</v>
      </c>
      <c r="P54" s="190">
        <v>0</v>
      </c>
      <c r="Q54" s="190">
        <v>0</v>
      </c>
      <c r="R54" s="190">
        <v>0</v>
      </c>
      <c r="S54" s="190">
        <v>0</v>
      </c>
      <c r="T54" s="190">
        <v>0</v>
      </c>
      <c r="U54" s="190">
        <v>0</v>
      </c>
      <c r="V54" s="190">
        <v>0</v>
      </c>
      <c r="W54" s="190">
        <v>0</v>
      </c>
      <c r="X54" s="190">
        <v>0</v>
      </c>
      <c r="Y54" s="190">
        <v>0</v>
      </c>
      <c r="Z54" s="190">
        <v>0</v>
      </c>
      <c r="AA54" s="190">
        <v>0</v>
      </c>
      <c r="AB54" s="190">
        <v>0</v>
      </c>
      <c r="AC54" s="190">
        <v>0</v>
      </c>
      <c r="AD54" s="190">
        <v>0</v>
      </c>
      <c r="AE54" s="190">
        <v>0</v>
      </c>
      <c r="AF54" s="190">
        <v>0</v>
      </c>
      <c r="AG54" s="190">
        <v>0</v>
      </c>
      <c r="AH54" s="190">
        <v>0</v>
      </c>
      <c r="AI54" s="190">
        <v>0</v>
      </c>
      <c r="AJ54" s="190">
        <v>0</v>
      </c>
    </row>
    <row r="55" spans="1:36" x14ac:dyDescent="0.35">
      <c r="A55" t="s">
        <v>1420</v>
      </c>
      <c r="B55" s="188" t="s">
        <v>1342</v>
      </c>
      <c r="C55" t="s">
        <v>1348</v>
      </c>
      <c r="D55" s="188">
        <v>30</v>
      </c>
      <c r="E55" t="s">
        <v>1418</v>
      </c>
      <c r="F55" t="s">
        <v>1363</v>
      </c>
      <c r="G55" s="190" t="s">
        <v>1419</v>
      </c>
      <c r="H55" s="190">
        <v>0</v>
      </c>
      <c r="I55" s="190">
        <v>0</v>
      </c>
      <c r="J55" s="190">
        <v>0</v>
      </c>
      <c r="K55" s="190">
        <v>0</v>
      </c>
      <c r="L55" s="190">
        <v>0</v>
      </c>
      <c r="M55" s="190">
        <v>0</v>
      </c>
      <c r="N55" s="190">
        <v>0</v>
      </c>
      <c r="O55" s="190">
        <v>0</v>
      </c>
      <c r="P55" s="190">
        <v>0</v>
      </c>
      <c r="Q55" s="190">
        <v>0</v>
      </c>
      <c r="R55" s="190">
        <v>0</v>
      </c>
      <c r="S55" s="190">
        <v>0</v>
      </c>
      <c r="T55" s="190">
        <v>0</v>
      </c>
      <c r="U55" s="190">
        <v>0</v>
      </c>
      <c r="V55" s="190">
        <v>0</v>
      </c>
      <c r="W55" s="190">
        <v>0</v>
      </c>
      <c r="X55" s="190">
        <v>0</v>
      </c>
      <c r="Y55" s="190">
        <v>0</v>
      </c>
      <c r="Z55" s="190">
        <v>0</v>
      </c>
      <c r="AA55" s="190">
        <v>0</v>
      </c>
      <c r="AB55" s="190">
        <v>0</v>
      </c>
      <c r="AC55" s="190">
        <v>0</v>
      </c>
      <c r="AD55" s="190">
        <v>0</v>
      </c>
      <c r="AE55" s="190">
        <v>0</v>
      </c>
      <c r="AF55" s="190">
        <v>0</v>
      </c>
      <c r="AG55" s="190">
        <v>0</v>
      </c>
      <c r="AH55" s="190">
        <v>0</v>
      </c>
      <c r="AI55" s="190">
        <v>0</v>
      </c>
      <c r="AJ55" s="190">
        <v>0</v>
      </c>
    </row>
    <row r="56" spans="1:36" x14ac:dyDescent="0.35">
      <c r="A56" t="s">
        <v>1421</v>
      </c>
      <c r="B56" s="188" t="s">
        <v>1342</v>
      </c>
      <c r="C56" t="s">
        <v>1350</v>
      </c>
      <c r="D56" s="188">
        <v>30</v>
      </c>
      <c r="E56" t="s">
        <v>1418</v>
      </c>
      <c r="F56" t="s">
        <v>1363</v>
      </c>
      <c r="G56" s="190" t="s">
        <v>1419</v>
      </c>
      <c r="H56" s="190">
        <v>0</v>
      </c>
      <c r="I56" s="190">
        <v>0</v>
      </c>
      <c r="J56" s="190">
        <v>0</v>
      </c>
      <c r="K56" s="190">
        <v>0</v>
      </c>
      <c r="L56" s="190">
        <v>0</v>
      </c>
      <c r="M56" s="190">
        <v>0</v>
      </c>
      <c r="N56" s="190">
        <v>0</v>
      </c>
      <c r="O56" s="190">
        <v>0</v>
      </c>
      <c r="P56" s="190">
        <v>0</v>
      </c>
      <c r="Q56" s="190">
        <v>0</v>
      </c>
      <c r="R56" s="190">
        <v>0</v>
      </c>
      <c r="S56" s="190">
        <v>0</v>
      </c>
      <c r="T56" s="190">
        <v>0</v>
      </c>
      <c r="U56" s="190">
        <v>0</v>
      </c>
      <c r="V56" s="190">
        <v>0</v>
      </c>
      <c r="W56" s="190">
        <v>0</v>
      </c>
      <c r="X56" s="190">
        <v>0</v>
      </c>
      <c r="Y56" s="190">
        <v>0</v>
      </c>
      <c r="Z56" s="190">
        <v>0</v>
      </c>
      <c r="AA56" s="190">
        <v>0</v>
      </c>
      <c r="AB56" s="190">
        <v>0</v>
      </c>
      <c r="AC56" s="190">
        <v>0</v>
      </c>
      <c r="AD56" s="190">
        <v>0</v>
      </c>
      <c r="AE56" s="190">
        <v>0</v>
      </c>
      <c r="AF56" s="190">
        <v>0</v>
      </c>
      <c r="AG56" s="190">
        <v>0</v>
      </c>
      <c r="AH56" s="190">
        <v>0</v>
      </c>
      <c r="AI56" s="190">
        <v>0</v>
      </c>
      <c r="AJ56" s="190">
        <v>0</v>
      </c>
    </row>
    <row r="57" spans="1:36" x14ac:dyDescent="0.35">
      <c r="A57" t="s">
        <v>1422</v>
      </c>
      <c r="B57" s="188" t="s">
        <v>1342</v>
      </c>
      <c r="C57" t="s">
        <v>1343</v>
      </c>
      <c r="D57" s="188">
        <v>30</v>
      </c>
      <c r="E57" t="s">
        <v>1418</v>
      </c>
      <c r="F57" t="s">
        <v>1345</v>
      </c>
      <c r="G57" s="190" t="s">
        <v>1423</v>
      </c>
      <c r="H57" s="190">
        <v>0</v>
      </c>
      <c r="I57" s="190">
        <v>0</v>
      </c>
      <c r="J57" s="190">
        <v>0</v>
      </c>
      <c r="K57" s="190">
        <v>0</v>
      </c>
      <c r="L57" s="190">
        <v>0</v>
      </c>
      <c r="M57" s="190">
        <v>0</v>
      </c>
      <c r="N57" s="190">
        <v>0</v>
      </c>
      <c r="O57" s="190">
        <v>0</v>
      </c>
      <c r="P57" s="190">
        <v>0</v>
      </c>
      <c r="Q57" s="190">
        <v>0</v>
      </c>
      <c r="R57" s="190">
        <v>0</v>
      </c>
      <c r="S57" s="190">
        <v>0</v>
      </c>
      <c r="T57" s="190">
        <v>0</v>
      </c>
      <c r="U57" s="190">
        <v>0</v>
      </c>
      <c r="V57" s="190">
        <v>0</v>
      </c>
      <c r="W57" s="190">
        <v>0</v>
      </c>
      <c r="X57" s="190">
        <v>0</v>
      </c>
      <c r="Y57" s="190">
        <v>0</v>
      </c>
      <c r="Z57" s="190">
        <v>0</v>
      </c>
      <c r="AA57" s="190">
        <v>0</v>
      </c>
      <c r="AB57" s="190">
        <v>0</v>
      </c>
      <c r="AC57" s="190">
        <v>0</v>
      </c>
      <c r="AD57" s="190">
        <v>0</v>
      </c>
      <c r="AE57" s="190">
        <v>0</v>
      </c>
      <c r="AF57" s="190">
        <v>0</v>
      </c>
      <c r="AG57" s="190">
        <v>0</v>
      </c>
      <c r="AH57" s="190">
        <v>0</v>
      </c>
      <c r="AI57" s="190">
        <v>0</v>
      </c>
      <c r="AJ57" s="190">
        <v>0</v>
      </c>
    </row>
    <row r="58" spans="1:36" x14ac:dyDescent="0.35">
      <c r="A58" t="s">
        <v>1424</v>
      </c>
      <c r="B58" s="188" t="s">
        <v>1342</v>
      </c>
      <c r="C58" t="s">
        <v>1348</v>
      </c>
      <c r="D58" s="188">
        <v>30</v>
      </c>
      <c r="E58" t="s">
        <v>1418</v>
      </c>
      <c r="F58" t="s">
        <v>1345</v>
      </c>
      <c r="G58" s="190" t="s">
        <v>1423</v>
      </c>
      <c r="H58" s="190">
        <v>0</v>
      </c>
      <c r="I58" s="190">
        <v>0</v>
      </c>
      <c r="J58" s="190">
        <v>0</v>
      </c>
      <c r="K58" s="190">
        <v>0</v>
      </c>
      <c r="L58" s="190">
        <v>0</v>
      </c>
      <c r="M58" s="190">
        <v>0</v>
      </c>
      <c r="N58" s="190">
        <v>0</v>
      </c>
      <c r="O58" s="190">
        <v>0</v>
      </c>
      <c r="P58" s="190">
        <v>0</v>
      </c>
      <c r="Q58" s="190">
        <v>0</v>
      </c>
      <c r="R58" s="190">
        <v>0</v>
      </c>
      <c r="S58" s="190">
        <v>0</v>
      </c>
      <c r="T58" s="190">
        <v>0</v>
      </c>
      <c r="U58" s="190">
        <v>0</v>
      </c>
      <c r="V58" s="190">
        <v>0</v>
      </c>
      <c r="W58" s="190">
        <v>0</v>
      </c>
      <c r="X58" s="190">
        <v>0</v>
      </c>
      <c r="Y58" s="190">
        <v>0</v>
      </c>
      <c r="Z58" s="190">
        <v>0</v>
      </c>
      <c r="AA58" s="190">
        <v>0</v>
      </c>
      <c r="AB58" s="190">
        <v>0</v>
      </c>
      <c r="AC58" s="190">
        <v>0</v>
      </c>
      <c r="AD58" s="190">
        <v>0</v>
      </c>
      <c r="AE58" s="190">
        <v>0</v>
      </c>
      <c r="AF58" s="190">
        <v>0</v>
      </c>
      <c r="AG58" s="190">
        <v>0</v>
      </c>
      <c r="AH58" s="190">
        <v>0</v>
      </c>
      <c r="AI58" s="190">
        <v>0</v>
      </c>
      <c r="AJ58" s="190">
        <v>0</v>
      </c>
    </row>
    <row r="59" spans="1:36" x14ac:dyDescent="0.35">
      <c r="A59" t="s">
        <v>1425</v>
      </c>
      <c r="B59" s="188" t="s">
        <v>1342</v>
      </c>
      <c r="C59" t="s">
        <v>1350</v>
      </c>
      <c r="D59" s="188">
        <v>30</v>
      </c>
      <c r="E59" t="s">
        <v>1418</v>
      </c>
      <c r="F59" t="s">
        <v>1345</v>
      </c>
      <c r="G59" s="190" t="s">
        <v>1423</v>
      </c>
      <c r="H59" s="190">
        <v>0</v>
      </c>
      <c r="I59" s="190">
        <v>0</v>
      </c>
      <c r="J59" s="190">
        <v>0</v>
      </c>
      <c r="K59" s="190">
        <v>0</v>
      </c>
      <c r="L59" s="190">
        <v>0</v>
      </c>
      <c r="M59" s="190">
        <v>0</v>
      </c>
      <c r="N59" s="190">
        <v>0</v>
      </c>
      <c r="O59" s="190">
        <v>0</v>
      </c>
      <c r="P59" s="190">
        <v>0</v>
      </c>
      <c r="Q59" s="190">
        <v>0</v>
      </c>
      <c r="R59" s="190">
        <v>0</v>
      </c>
      <c r="S59" s="190">
        <v>0</v>
      </c>
      <c r="T59" s="190">
        <v>0</v>
      </c>
      <c r="U59" s="190">
        <v>0</v>
      </c>
      <c r="V59" s="190">
        <v>0</v>
      </c>
      <c r="W59" s="190">
        <v>0</v>
      </c>
      <c r="X59" s="190">
        <v>0</v>
      </c>
      <c r="Y59" s="190">
        <v>0</v>
      </c>
      <c r="Z59" s="190">
        <v>0</v>
      </c>
      <c r="AA59" s="190">
        <v>0</v>
      </c>
      <c r="AB59" s="190">
        <v>0</v>
      </c>
      <c r="AC59" s="190">
        <v>0</v>
      </c>
      <c r="AD59" s="190">
        <v>0</v>
      </c>
      <c r="AE59" s="190">
        <v>0</v>
      </c>
      <c r="AF59" s="190">
        <v>0</v>
      </c>
      <c r="AG59" s="190">
        <v>0</v>
      </c>
      <c r="AH59" s="190">
        <v>0</v>
      </c>
      <c r="AI59" s="190">
        <v>0</v>
      </c>
      <c r="AJ59" s="190">
        <v>0</v>
      </c>
    </row>
    <row r="60" spans="1:36" x14ac:dyDescent="0.35">
      <c r="A60" t="s">
        <v>1426</v>
      </c>
      <c r="B60" s="188" t="s">
        <v>1342</v>
      </c>
      <c r="C60" t="s">
        <v>1343</v>
      </c>
      <c r="D60" s="188">
        <v>30</v>
      </c>
      <c r="E60" t="s">
        <v>1418</v>
      </c>
      <c r="F60" t="s">
        <v>1352</v>
      </c>
      <c r="G60" s="190" t="s">
        <v>1427</v>
      </c>
      <c r="H60" s="190">
        <v>0</v>
      </c>
      <c r="I60" s="190">
        <v>0</v>
      </c>
      <c r="J60" s="190">
        <v>0</v>
      </c>
      <c r="K60" s="190">
        <v>0</v>
      </c>
      <c r="L60" s="190">
        <v>0</v>
      </c>
      <c r="M60" s="190">
        <v>0</v>
      </c>
      <c r="N60" s="190">
        <v>0</v>
      </c>
      <c r="O60" s="190">
        <v>0</v>
      </c>
      <c r="P60" s="190">
        <v>0</v>
      </c>
      <c r="Q60" s="190">
        <v>0</v>
      </c>
      <c r="R60" s="190">
        <v>0</v>
      </c>
      <c r="S60" s="190">
        <v>0</v>
      </c>
      <c r="T60" s="190">
        <v>0</v>
      </c>
      <c r="U60" s="190">
        <v>0</v>
      </c>
      <c r="V60" s="190">
        <v>0</v>
      </c>
      <c r="W60" s="190">
        <v>0</v>
      </c>
      <c r="X60" s="190">
        <v>0</v>
      </c>
      <c r="Y60" s="190">
        <v>0</v>
      </c>
      <c r="Z60" s="190">
        <v>0</v>
      </c>
      <c r="AA60" s="190">
        <v>0</v>
      </c>
      <c r="AB60" s="190">
        <v>0</v>
      </c>
      <c r="AC60" s="190">
        <v>0</v>
      </c>
      <c r="AD60" s="190">
        <v>0</v>
      </c>
      <c r="AE60" s="190">
        <v>0</v>
      </c>
      <c r="AF60" s="190">
        <v>0</v>
      </c>
      <c r="AG60" s="190">
        <v>0</v>
      </c>
      <c r="AH60" s="190">
        <v>0</v>
      </c>
      <c r="AI60" s="190">
        <v>0</v>
      </c>
      <c r="AJ60" s="190">
        <v>0</v>
      </c>
    </row>
    <row r="61" spans="1:36" x14ac:dyDescent="0.35">
      <c r="A61" t="s">
        <v>1428</v>
      </c>
      <c r="B61" s="188" t="s">
        <v>1342</v>
      </c>
      <c r="C61" t="s">
        <v>1348</v>
      </c>
      <c r="D61" s="188">
        <v>30</v>
      </c>
      <c r="E61" t="s">
        <v>1418</v>
      </c>
      <c r="F61" t="s">
        <v>1352</v>
      </c>
      <c r="G61" s="190" t="s">
        <v>1427</v>
      </c>
      <c r="H61" s="190">
        <v>0</v>
      </c>
      <c r="I61" s="190">
        <v>0</v>
      </c>
      <c r="J61" s="190">
        <v>0</v>
      </c>
      <c r="K61" s="190">
        <v>0</v>
      </c>
      <c r="L61" s="190">
        <v>0</v>
      </c>
      <c r="M61" s="190">
        <v>0</v>
      </c>
      <c r="N61" s="190">
        <v>0</v>
      </c>
      <c r="O61" s="190">
        <v>0</v>
      </c>
      <c r="P61" s="190">
        <v>0</v>
      </c>
      <c r="Q61" s="190">
        <v>0</v>
      </c>
      <c r="R61" s="190">
        <v>0</v>
      </c>
      <c r="S61" s="190">
        <v>0</v>
      </c>
      <c r="T61" s="190">
        <v>0</v>
      </c>
      <c r="U61" s="190">
        <v>0</v>
      </c>
      <c r="V61" s="190">
        <v>0</v>
      </c>
      <c r="W61" s="190">
        <v>0</v>
      </c>
      <c r="X61" s="190">
        <v>0</v>
      </c>
      <c r="Y61" s="190">
        <v>0</v>
      </c>
      <c r="Z61" s="190">
        <v>0</v>
      </c>
      <c r="AA61" s="190">
        <v>0</v>
      </c>
      <c r="AB61" s="190">
        <v>0</v>
      </c>
      <c r="AC61" s="190">
        <v>0</v>
      </c>
      <c r="AD61" s="190">
        <v>0</v>
      </c>
      <c r="AE61" s="190">
        <v>0</v>
      </c>
      <c r="AF61" s="190">
        <v>0</v>
      </c>
      <c r="AG61" s="190">
        <v>0</v>
      </c>
      <c r="AH61" s="190">
        <v>0</v>
      </c>
      <c r="AI61" s="190">
        <v>0</v>
      </c>
      <c r="AJ61" s="190">
        <v>0</v>
      </c>
    </row>
    <row r="62" spans="1:36" x14ac:dyDescent="0.35">
      <c r="A62" t="s">
        <v>1429</v>
      </c>
      <c r="B62" s="188" t="s">
        <v>1342</v>
      </c>
      <c r="C62" t="s">
        <v>1350</v>
      </c>
      <c r="D62" s="188">
        <v>30</v>
      </c>
      <c r="E62" t="s">
        <v>1418</v>
      </c>
      <c r="F62" t="s">
        <v>1352</v>
      </c>
      <c r="G62" s="190" t="s">
        <v>1427</v>
      </c>
      <c r="H62" s="190">
        <v>0</v>
      </c>
      <c r="I62" s="190">
        <v>0</v>
      </c>
      <c r="J62" s="190">
        <v>0</v>
      </c>
      <c r="K62" s="190">
        <v>0</v>
      </c>
      <c r="L62" s="190">
        <v>0</v>
      </c>
      <c r="M62" s="190">
        <v>0</v>
      </c>
      <c r="N62" s="190">
        <v>0</v>
      </c>
      <c r="O62" s="190">
        <v>0</v>
      </c>
      <c r="P62" s="190">
        <v>0</v>
      </c>
      <c r="Q62" s="190">
        <v>0</v>
      </c>
      <c r="R62" s="190">
        <v>0</v>
      </c>
      <c r="S62" s="190">
        <v>0</v>
      </c>
      <c r="T62" s="190">
        <v>0</v>
      </c>
      <c r="U62" s="190">
        <v>0</v>
      </c>
      <c r="V62" s="190">
        <v>0</v>
      </c>
      <c r="W62" s="190">
        <v>0</v>
      </c>
      <c r="X62" s="190">
        <v>0</v>
      </c>
      <c r="Y62" s="190">
        <v>0</v>
      </c>
      <c r="Z62" s="190">
        <v>0</v>
      </c>
      <c r="AA62" s="190">
        <v>0</v>
      </c>
      <c r="AB62" s="190">
        <v>0</v>
      </c>
      <c r="AC62" s="190">
        <v>0</v>
      </c>
      <c r="AD62" s="190">
        <v>0</v>
      </c>
      <c r="AE62" s="190">
        <v>0</v>
      </c>
      <c r="AF62" s="190">
        <v>0</v>
      </c>
      <c r="AG62" s="190">
        <v>0</v>
      </c>
      <c r="AH62" s="190">
        <v>0</v>
      </c>
      <c r="AI62" s="190">
        <v>0</v>
      </c>
      <c r="AJ62" s="190">
        <v>0</v>
      </c>
    </row>
    <row r="63" spans="1:36" x14ac:dyDescent="0.35">
      <c r="A63" t="s">
        <v>1430</v>
      </c>
      <c r="B63" s="188" t="s">
        <v>1342</v>
      </c>
      <c r="C63" t="s">
        <v>1343</v>
      </c>
      <c r="D63" s="188">
        <v>30</v>
      </c>
      <c r="E63" t="s">
        <v>1418</v>
      </c>
      <c r="F63" t="s">
        <v>1376</v>
      </c>
      <c r="G63" s="190" t="s">
        <v>1431</v>
      </c>
      <c r="H63" s="190">
        <v>0</v>
      </c>
      <c r="I63" s="190">
        <v>0</v>
      </c>
      <c r="J63" s="190">
        <v>0</v>
      </c>
      <c r="K63" s="190">
        <v>0</v>
      </c>
      <c r="L63" s="190">
        <v>0</v>
      </c>
      <c r="M63" s="190">
        <v>0</v>
      </c>
      <c r="N63" s="190">
        <v>0</v>
      </c>
      <c r="O63" s="190">
        <v>0</v>
      </c>
      <c r="P63" s="190">
        <v>0</v>
      </c>
      <c r="Q63" s="190">
        <v>0</v>
      </c>
      <c r="R63" s="190">
        <v>0</v>
      </c>
      <c r="S63" s="190">
        <v>0</v>
      </c>
      <c r="T63" s="190">
        <v>0</v>
      </c>
      <c r="U63" s="190">
        <v>0</v>
      </c>
      <c r="V63" s="190">
        <v>0</v>
      </c>
      <c r="W63" s="190">
        <v>0</v>
      </c>
      <c r="X63" s="190">
        <v>0</v>
      </c>
      <c r="Y63" s="190">
        <v>0</v>
      </c>
      <c r="Z63" s="190">
        <v>0</v>
      </c>
      <c r="AA63" s="190">
        <v>0</v>
      </c>
      <c r="AB63" s="190">
        <v>0</v>
      </c>
      <c r="AC63" s="190">
        <v>0</v>
      </c>
      <c r="AD63" s="190">
        <v>0</v>
      </c>
      <c r="AE63" s="190">
        <v>0</v>
      </c>
      <c r="AF63" s="190">
        <v>0</v>
      </c>
      <c r="AG63" s="190">
        <v>0</v>
      </c>
      <c r="AH63" s="190">
        <v>0</v>
      </c>
      <c r="AI63" s="190">
        <v>0</v>
      </c>
      <c r="AJ63" s="190">
        <v>0</v>
      </c>
    </row>
    <row r="64" spans="1:36" x14ac:dyDescent="0.35">
      <c r="A64" t="s">
        <v>1432</v>
      </c>
      <c r="B64" s="188" t="s">
        <v>1342</v>
      </c>
      <c r="C64" t="s">
        <v>1348</v>
      </c>
      <c r="D64" s="188">
        <v>30</v>
      </c>
      <c r="E64" t="s">
        <v>1418</v>
      </c>
      <c r="F64" t="s">
        <v>1376</v>
      </c>
      <c r="G64" s="190" t="s">
        <v>1431</v>
      </c>
      <c r="H64" s="190">
        <v>0</v>
      </c>
      <c r="I64" s="190">
        <v>0</v>
      </c>
      <c r="J64" s="190">
        <v>0</v>
      </c>
      <c r="K64" s="190">
        <v>0</v>
      </c>
      <c r="L64" s="190">
        <v>0</v>
      </c>
      <c r="M64" s="190">
        <v>0</v>
      </c>
      <c r="N64" s="190">
        <v>0</v>
      </c>
      <c r="O64" s="190">
        <v>0</v>
      </c>
      <c r="P64" s="190">
        <v>0</v>
      </c>
      <c r="Q64" s="190">
        <v>0</v>
      </c>
      <c r="R64" s="190">
        <v>0</v>
      </c>
      <c r="S64" s="190">
        <v>0</v>
      </c>
      <c r="T64" s="190">
        <v>0</v>
      </c>
      <c r="U64" s="190">
        <v>0</v>
      </c>
      <c r="V64" s="190">
        <v>0</v>
      </c>
      <c r="W64" s="190">
        <v>0</v>
      </c>
      <c r="X64" s="190">
        <v>0</v>
      </c>
      <c r="Y64" s="190">
        <v>0</v>
      </c>
      <c r="Z64" s="190">
        <v>0</v>
      </c>
      <c r="AA64" s="190">
        <v>0</v>
      </c>
      <c r="AB64" s="190">
        <v>0</v>
      </c>
      <c r="AC64" s="190">
        <v>0</v>
      </c>
      <c r="AD64" s="190">
        <v>0</v>
      </c>
      <c r="AE64" s="190">
        <v>0</v>
      </c>
      <c r="AF64" s="190">
        <v>0</v>
      </c>
      <c r="AG64" s="190">
        <v>0</v>
      </c>
      <c r="AH64" s="190">
        <v>0</v>
      </c>
      <c r="AI64" s="190">
        <v>0</v>
      </c>
      <c r="AJ64" s="190">
        <v>0</v>
      </c>
    </row>
    <row r="65" spans="1:36" x14ac:dyDescent="0.35">
      <c r="A65" t="s">
        <v>1433</v>
      </c>
      <c r="B65" s="188" t="s">
        <v>1342</v>
      </c>
      <c r="C65" t="s">
        <v>1350</v>
      </c>
      <c r="D65" s="188">
        <v>30</v>
      </c>
      <c r="E65" t="s">
        <v>1418</v>
      </c>
      <c r="F65" t="s">
        <v>1376</v>
      </c>
      <c r="G65" s="190" t="s">
        <v>1431</v>
      </c>
      <c r="H65" s="190">
        <v>0</v>
      </c>
      <c r="I65" s="190">
        <v>0</v>
      </c>
      <c r="J65" s="190">
        <v>0</v>
      </c>
      <c r="K65" s="190">
        <v>0</v>
      </c>
      <c r="L65" s="190">
        <v>0</v>
      </c>
      <c r="M65" s="190">
        <v>0</v>
      </c>
      <c r="N65" s="190">
        <v>0</v>
      </c>
      <c r="O65" s="190">
        <v>0</v>
      </c>
      <c r="P65" s="190">
        <v>0</v>
      </c>
      <c r="Q65" s="190">
        <v>0</v>
      </c>
      <c r="R65" s="190">
        <v>0</v>
      </c>
      <c r="S65" s="190">
        <v>0</v>
      </c>
      <c r="T65" s="190">
        <v>0</v>
      </c>
      <c r="U65" s="190">
        <v>0</v>
      </c>
      <c r="V65" s="190">
        <v>0</v>
      </c>
      <c r="W65" s="190">
        <v>0</v>
      </c>
      <c r="X65" s="190">
        <v>0</v>
      </c>
      <c r="Y65" s="190">
        <v>0</v>
      </c>
      <c r="Z65" s="190">
        <v>0</v>
      </c>
      <c r="AA65" s="190">
        <v>0</v>
      </c>
      <c r="AB65" s="190">
        <v>0</v>
      </c>
      <c r="AC65" s="190">
        <v>0</v>
      </c>
      <c r="AD65" s="190">
        <v>0</v>
      </c>
      <c r="AE65" s="190">
        <v>0</v>
      </c>
      <c r="AF65" s="190">
        <v>0</v>
      </c>
      <c r="AG65" s="190">
        <v>0</v>
      </c>
      <c r="AH65" s="190">
        <v>0</v>
      </c>
      <c r="AI65" s="190">
        <v>0</v>
      </c>
      <c r="AJ65" s="190">
        <v>0</v>
      </c>
    </row>
    <row r="66" spans="1:36" x14ac:dyDescent="0.35">
      <c r="A66" t="s">
        <v>1434</v>
      </c>
      <c r="B66" s="188" t="s">
        <v>1342</v>
      </c>
      <c r="C66" t="s">
        <v>1343</v>
      </c>
      <c r="D66" s="188">
        <v>30</v>
      </c>
      <c r="E66" t="s">
        <v>1418</v>
      </c>
      <c r="F66" t="s">
        <v>1381</v>
      </c>
      <c r="G66" s="190" t="s">
        <v>1435</v>
      </c>
      <c r="H66" s="190">
        <v>0</v>
      </c>
      <c r="I66" s="190">
        <v>0</v>
      </c>
      <c r="J66" s="190">
        <v>0</v>
      </c>
      <c r="K66" s="190">
        <v>0</v>
      </c>
      <c r="L66" s="190">
        <v>0</v>
      </c>
      <c r="M66" s="190">
        <v>0</v>
      </c>
      <c r="N66" s="190">
        <v>0</v>
      </c>
      <c r="O66" s="190">
        <v>0</v>
      </c>
      <c r="P66" s="190">
        <v>0</v>
      </c>
      <c r="Q66" s="190">
        <v>0</v>
      </c>
      <c r="R66" s="190">
        <v>0</v>
      </c>
      <c r="S66" s="190">
        <v>0</v>
      </c>
      <c r="T66" s="190">
        <v>0</v>
      </c>
      <c r="U66" s="190">
        <v>0</v>
      </c>
      <c r="V66" s="190">
        <v>0</v>
      </c>
      <c r="W66" s="190">
        <v>0</v>
      </c>
      <c r="X66" s="190">
        <v>0</v>
      </c>
      <c r="Y66" s="190">
        <v>0</v>
      </c>
      <c r="Z66" s="190">
        <v>0</v>
      </c>
      <c r="AA66" s="190">
        <v>0</v>
      </c>
      <c r="AB66" s="190">
        <v>0</v>
      </c>
      <c r="AC66" s="190">
        <v>0</v>
      </c>
      <c r="AD66" s="190">
        <v>0</v>
      </c>
      <c r="AE66" s="190">
        <v>0</v>
      </c>
      <c r="AF66" s="190">
        <v>0</v>
      </c>
      <c r="AG66" s="190">
        <v>0</v>
      </c>
      <c r="AH66" s="190">
        <v>0</v>
      </c>
      <c r="AI66" s="190">
        <v>0</v>
      </c>
      <c r="AJ66" s="190">
        <v>0</v>
      </c>
    </row>
    <row r="67" spans="1:36" x14ac:dyDescent="0.35">
      <c r="A67" t="s">
        <v>1436</v>
      </c>
      <c r="B67" s="188" t="s">
        <v>1342</v>
      </c>
      <c r="C67" t="s">
        <v>1348</v>
      </c>
      <c r="D67" s="188">
        <v>30</v>
      </c>
      <c r="E67" t="s">
        <v>1418</v>
      </c>
      <c r="F67" t="s">
        <v>1381</v>
      </c>
      <c r="G67" s="190" t="s">
        <v>1435</v>
      </c>
      <c r="H67" s="190">
        <v>0</v>
      </c>
      <c r="I67" s="190">
        <v>0</v>
      </c>
      <c r="J67" s="190">
        <v>0</v>
      </c>
      <c r="K67" s="190">
        <v>0</v>
      </c>
      <c r="L67" s="190">
        <v>0</v>
      </c>
      <c r="M67" s="190">
        <v>0</v>
      </c>
      <c r="N67" s="190">
        <v>0</v>
      </c>
      <c r="O67" s="190">
        <v>0</v>
      </c>
      <c r="P67" s="190">
        <v>0</v>
      </c>
      <c r="Q67" s="190">
        <v>0</v>
      </c>
      <c r="R67" s="190">
        <v>0</v>
      </c>
      <c r="S67" s="190">
        <v>0</v>
      </c>
      <c r="T67" s="190">
        <v>0</v>
      </c>
      <c r="U67" s="190">
        <v>0</v>
      </c>
      <c r="V67" s="190">
        <v>0</v>
      </c>
      <c r="W67" s="190">
        <v>0</v>
      </c>
      <c r="X67" s="190">
        <v>0</v>
      </c>
      <c r="Y67" s="190">
        <v>0</v>
      </c>
      <c r="Z67" s="190">
        <v>0</v>
      </c>
      <c r="AA67" s="190">
        <v>0</v>
      </c>
      <c r="AB67" s="190">
        <v>0</v>
      </c>
      <c r="AC67" s="190">
        <v>0</v>
      </c>
      <c r="AD67" s="190">
        <v>0</v>
      </c>
      <c r="AE67" s="190">
        <v>0</v>
      </c>
      <c r="AF67" s="190">
        <v>0</v>
      </c>
      <c r="AG67" s="190">
        <v>0</v>
      </c>
      <c r="AH67" s="190">
        <v>0</v>
      </c>
      <c r="AI67" s="190">
        <v>0</v>
      </c>
      <c r="AJ67" s="190">
        <v>0</v>
      </c>
    </row>
    <row r="68" spans="1:36" x14ac:dyDescent="0.35">
      <c r="A68" t="s">
        <v>1437</v>
      </c>
      <c r="B68" s="188" t="s">
        <v>1342</v>
      </c>
      <c r="C68" t="s">
        <v>1350</v>
      </c>
      <c r="D68" s="188">
        <v>30</v>
      </c>
      <c r="E68" t="s">
        <v>1418</v>
      </c>
      <c r="F68" t="s">
        <v>1381</v>
      </c>
      <c r="G68" s="190" t="s">
        <v>1435</v>
      </c>
      <c r="H68" s="190">
        <v>0</v>
      </c>
      <c r="I68" s="190">
        <v>0</v>
      </c>
      <c r="J68" s="190">
        <v>0</v>
      </c>
      <c r="K68" s="190">
        <v>0</v>
      </c>
      <c r="L68" s="190">
        <v>0</v>
      </c>
      <c r="M68" s="190">
        <v>0</v>
      </c>
      <c r="N68" s="190">
        <v>0</v>
      </c>
      <c r="O68" s="190">
        <v>0</v>
      </c>
      <c r="P68" s="190">
        <v>0</v>
      </c>
      <c r="Q68" s="190">
        <v>0</v>
      </c>
      <c r="R68" s="190">
        <v>0</v>
      </c>
      <c r="S68" s="190">
        <v>0</v>
      </c>
      <c r="T68" s="190">
        <v>0</v>
      </c>
      <c r="U68" s="190">
        <v>0</v>
      </c>
      <c r="V68" s="190">
        <v>0</v>
      </c>
      <c r="W68" s="190">
        <v>0</v>
      </c>
      <c r="X68" s="190">
        <v>0</v>
      </c>
      <c r="Y68" s="190">
        <v>0</v>
      </c>
      <c r="Z68" s="190">
        <v>0</v>
      </c>
      <c r="AA68" s="190">
        <v>0</v>
      </c>
      <c r="AB68" s="190">
        <v>0</v>
      </c>
      <c r="AC68" s="190">
        <v>0</v>
      </c>
      <c r="AD68" s="190">
        <v>0</v>
      </c>
      <c r="AE68" s="190">
        <v>0</v>
      </c>
      <c r="AF68" s="190">
        <v>0</v>
      </c>
      <c r="AG68" s="190">
        <v>0</v>
      </c>
      <c r="AH68" s="190">
        <v>0</v>
      </c>
      <c r="AI68" s="190">
        <v>0</v>
      </c>
      <c r="AJ68" s="190">
        <v>0</v>
      </c>
    </row>
    <row r="69" spans="1:36" x14ac:dyDescent="0.35">
      <c r="A69" t="s">
        <v>1438</v>
      </c>
      <c r="B69" s="188" t="s">
        <v>1342</v>
      </c>
      <c r="C69" t="s">
        <v>1343</v>
      </c>
      <c r="D69" s="188">
        <v>30</v>
      </c>
      <c r="E69" t="s">
        <v>1418</v>
      </c>
      <c r="F69" t="s">
        <v>1386</v>
      </c>
      <c r="G69" s="190" t="s">
        <v>1439</v>
      </c>
      <c r="H69" s="190">
        <v>0</v>
      </c>
      <c r="I69" s="190">
        <v>0</v>
      </c>
      <c r="J69" s="190">
        <v>0</v>
      </c>
      <c r="K69" s="190">
        <v>0</v>
      </c>
      <c r="L69" s="190">
        <v>0</v>
      </c>
      <c r="M69" s="190">
        <v>0</v>
      </c>
      <c r="N69" s="190">
        <v>0</v>
      </c>
      <c r="O69" s="190">
        <v>0</v>
      </c>
      <c r="P69" s="190">
        <v>0</v>
      </c>
      <c r="Q69" s="190">
        <v>0</v>
      </c>
      <c r="R69" s="190">
        <v>0</v>
      </c>
      <c r="S69" s="190">
        <v>0</v>
      </c>
      <c r="T69" s="190">
        <v>0</v>
      </c>
      <c r="U69" s="190">
        <v>0</v>
      </c>
      <c r="V69" s="190">
        <v>0</v>
      </c>
      <c r="W69" s="190">
        <v>0</v>
      </c>
      <c r="X69" s="190">
        <v>0</v>
      </c>
      <c r="Y69" s="190">
        <v>0</v>
      </c>
      <c r="Z69" s="190">
        <v>0</v>
      </c>
      <c r="AA69" s="190">
        <v>0</v>
      </c>
      <c r="AB69" s="190">
        <v>0</v>
      </c>
      <c r="AC69" s="190">
        <v>0</v>
      </c>
      <c r="AD69" s="190">
        <v>0</v>
      </c>
      <c r="AE69" s="190">
        <v>0</v>
      </c>
      <c r="AF69" s="190">
        <v>0</v>
      </c>
      <c r="AG69" s="190">
        <v>0</v>
      </c>
      <c r="AH69" s="190">
        <v>0</v>
      </c>
      <c r="AI69" s="190">
        <v>0</v>
      </c>
      <c r="AJ69" s="190">
        <v>0</v>
      </c>
    </row>
    <row r="70" spans="1:36" x14ac:dyDescent="0.35">
      <c r="A70" t="s">
        <v>1440</v>
      </c>
      <c r="B70" s="188" t="s">
        <v>1342</v>
      </c>
      <c r="C70" t="s">
        <v>1348</v>
      </c>
      <c r="D70" s="188">
        <v>30</v>
      </c>
      <c r="E70" t="s">
        <v>1418</v>
      </c>
      <c r="F70" t="s">
        <v>1386</v>
      </c>
      <c r="G70" s="190" t="s">
        <v>1439</v>
      </c>
      <c r="H70" s="190">
        <v>0</v>
      </c>
      <c r="I70" s="190">
        <v>0</v>
      </c>
      <c r="J70" s="190">
        <v>0</v>
      </c>
      <c r="K70" s="190">
        <v>0</v>
      </c>
      <c r="L70" s="190">
        <v>0</v>
      </c>
      <c r="M70" s="190">
        <v>0</v>
      </c>
      <c r="N70" s="190">
        <v>0</v>
      </c>
      <c r="O70" s="190">
        <v>0</v>
      </c>
      <c r="P70" s="190">
        <v>0</v>
      </c>
      <c r="Q70" s="190">
        <v>0</v>
      </c>
      <c r="R70" s="190">
        <v>0</v>
      </c>
      <c r="S70" s="190">
        <v>0</v>
      </c>
      <c r="T70" s="190">
        <v>0</v>
      </c>
      <c r="U70" s="190">
        <v>0</v>
      </c>
      <c r="V70" s="190">
        <v>0</v>
      </c>
      <c r="W70" s="190">
        <v>0</v>
      </c>
      <c r="X70" s="190">
        <v>0</v>
      </c>
      <c r="Y70" s="190">
        <v>0</v>
      </c>
      <c r="Z70" s="190">
        <v>0</v>
      </c>
      <c r="AA70" s="190">
        <v>0</v>
      </c>
      <c r="AB70" s="190">
        <v>0</v>
      </c>
      <c r="AC70" s="190">
        <v>0</v>
      </c>
      <c r="AD70" s="190">
        <v>0</v>
      </c>
      <c r="AE70" s="190">
        <v>0</v>
      </c>
      <c r="AF70" s="190">
        <v>0</v>
      </c>
      <c r="AG70" s="190">
        <v>0</v>
      </c>
      <c r="AH70" s="190">
        <v>0</v>
      </c>
      <c r="AI70" s="190">
        <v>0</v>
      </c>
      <c r="AJ70" s="190">
        <v>0</v>
      </c>
    </row>
    <row r="71" spans="1:36" x14ac:dyDescent="0.35">
      <c r="A71" t="s">
        <v>1441</v>
      </c>
      <c r="B71" s="188" t="s">
        <v>1342</v>
      </c>
      <c r="C71" t="s">
        <v>1350</v>
      </c>
      <c r="D71" s="188">
        <v>30</v>
      </c>
      <c r="E71" t="s">
        <v>1418</v>
      </c>
      <c r="F71" t="s">
        <v>1386</v>
      </c>
      <c r="G71" s="190" t="s">
        <v>1439</v>
      </c>
      <c r="H71" s="190">
        <v>0</v>
      </c>
      <c r="I71" s="190">
        <v>0</v>
      </c>
      <c r="J71" s="190">
        <v>0</v>
      </c>
      <c r="K71" s="190">
        <v>0</v>
      </c>
      <c r="L71" s="190">
        <v>0</v>
      </c>
      <c r="M71" s="190">
        <v>0</v>
      </c>
      <c r="N71" s="190">
        <v>0</v>
      </c>
      <c r="O71" s="190">
        <v>0</v>
      </c>
      <c r="P71" s="190">
        <v>0</v>
      </c>
      <c r="Q71" s="190">
        <v>0</v>
      </c>
      <c r="R71" s="190">
        <v>0</v>
      </c>
      <c r="S71" s="190">
        <v>0</v>
      </c>
      <c r="T71" s="190">
        <v>0</v>
      </c>
      <c r="U71" s="190">
        <v>0</v>
      </c>
      <c r="V71" s="190">
        <v>0</v>
      </c>
      <c r="W71" s="190">
        <v>0</v>
      </c>
      <c r="X71" s="190">
        <v>0</v>
      </c>
      <c r="Y71" s="190">
        <v>0</v>
      </c>
      <c r="Z71" s="190">
        <v>0</v>
      </c>
      <c r="AA71" s="190">
        <v>0</v>
      </c>
      <c r="AB71" s="190">
        <v>0</v>
      </c>
      <c r="AC71" s="190">
        <v>0</v>
      </c>
      <c r="AD71" s="190">
        <v>0</v>
      </c>
      <c r="AE71" s="190">
        <v>0</v>
      </c>
      <c r="AF71" s="190">
        <v>0</v>
      </c>
      <c r="AG71" s="190">
        <v>0</v>
      </c>
      <c r="AH71" s="190">
        <v>0</v>
      </c>
      <c r="AI71" s="190">
        <v>0</v>
      </c>
      <c r="AJ71" s="190">
        <v>0</v>
      </c>
    </row>
    <row r="72" spans="1:36" x14ac:dyDescent="0.35">
      <c r="A72" t="s">
        <v>1442</v>
      </c>
      <c r="B72" s="188" t="s">
        <v>1342</v>
      </c>
      <c r="C72" t="s">
        <v>1343</v>
      </c>
      <c r="D72" s="188">
        <v>30</v>
      </c>
      <c r="E72" t="s">
        <v>1418</v>
      </c>
      <c r="F72" t="s">
        <v>1391</v>
      </c>
      <c r="G72" s="190" t="s">
        <v>1443</v>
      </c>
      <c r="H72" s="190">
        <v>0</v>
      </c>
      <c r="I72" s="190">
        <v>0</v>
      </c>
      <c r="J72" s="190">
        <v>0</v>
      </c>
      <c r="K72" s="190">
        <v>0</v>
      </c>
      <c r="L72" s="190">
        <v>0</v>
      </c>
      <c r="M72" s="190">
        <v>0</v>
      </c>
      <c r="N72" s="190">
        <v>0</v>
      </c>
      <c r="O72" s="190">
        <v>0</v>
      </c>
      <c r="P72" s="190">
        <v>0</v>
      </c>
      <c r="Q72" s="190">
        <v>0</v>
      </c>
      <c r="R72" s="190">
        <v>0</v>
      </c>
      <c r="S72" s="190">
        <v>0</v>
      </c>
      <c r="T72" s="190">
        <v>0</v>
      </c>
      <c r="U72" s="190">
        <v>0</v>
      </c>
      <c r="V72" s="190">
        <v>0</v>
      </c>
      <c r="W72" s="190">
        <v>0</v>
      </c>
      <c r="X72" s="190">
        <v>0</v>
      </c>
      <c r="Y72" s="190">
        <v>0</v>
      </c>
      <c r="Z72" s="190">
        <v>0</v>
      </c>
      <c r="AA72" s="190">
        <v>0</v>
      </c>
      <c r="AB72" s="190">
        <v>0</v>
      </c>
      <c r="AC72" s="190">
        <v>0</v>
      </c>
      <c r="AD72" s="190">
        <v>0</v>
      </c>
      <c r="AE72" s="190">
        <v>0</v>
      </c>
      <c r="AF72" s="190">
        <v>0</v>
      </c>
      <c r="AG72" s="190">
        <v>0</v>
      </c>
      <c r="AH72" s="190">
        <v>0</v>
      </c>
      <c r="AI72" s="190">
        <v>0</v>
      </c>
      <c r="AJ72" s="190">
        <v>0</v>
      </c>
    </row>
    <row r="73" spans="1:36" x14ac:dyDescent="0.35">
      <c r="A73" t="s">
        <v>1444</v>
      </c>
      <c r="B73" s="188" t="s">
        <v>1342</v>
      </c>
      <c r="C73" t="s">
        <v>1348</v>
      </c>
      <c r="D73" s="188">
        <v>30</v>
      </c>
      <c r="E73" t="s">
        <v>1418</v>
      </c>
      <c r="F73" t="s">
        <v>1391</v>
      </c>
      <c r="G73" s="190" t="s">
        <v>1443</v>
      </c>
      <c r="H73" s="190">
        <v>0</v>
      </c>
      <c r="I73" s="190">
        <v>0</v>
      </c>
      <c r="J73" s="190">
        <v>0</v>
      </c>
      <c r="K73" s="190">
        <v>0</v>
      </c>
      <c r="L73" s="190">
        <v>0</v>
      </c>
      <c r="M73" s="190">
        <v>0</v>
      </c>
      <c r="N73" s="190">
        <v>0</v>
      </c>
      <c r="O73" s="190">
        <v>0</v>
      </c>
      <c r="P73" s="190">
        <v>0</v>
      </c>
      <c r="Q73" s="190">
        <v>0</v>
      </c>
      <c r="R73" s="190">
        <v>0</v>
      </c>
      <c r="S73" s="190">
        <v>0</v>
      </c>
      <c r="T73" s="190">
        <v>0</v>
      </c>
      <c r="U73" s="190">
        <v>0</v>
      </c>
      <c r="V73" s="190">
        <v>0</v>
      </c>
      <c r="W73" s="190">
        <v>0</v>
      </c>
      <c r="X73" s="190">
        <v>0</v>
      </c>
      <c r="Y73" s="190">
        <v>0</v>
      </c>
      <c r="Z73" s="190">
        <v>0</v>
      </c>
      <c r="AA73" s="190">
        <v>0</v>
      </c>
      <c r="AB73" s="190">
        <v>0</v>
      </c>
      <c r="AC73" s="190">
        <v>0</v>
      </c>
      <c r="AD73" s="190">
        <v>0</v>
      </c>
      <c r="AE73" s="190">
        <v>0</v>
      </c>
      <c r="AF73" s="190">
        <v>0</v>
      </c>
      <c r="AG73" s="190">
        <v>0</v>
      </c>
      <c r="AH73" s="190">
        <v>0</v>
      </c>
      <c r="AI73" s="190">
        <v>0</v>
      </c>
      <c r="AJ73" s="190">
        <v>0</v>
      </c>
    </row>
    <row r="74" spans="1:36" x14ac:dyDescent="0.35">
      <c r="A74" t="s">
        <v>1445</v>
      </c>
      <c r="B74" s="188" t="s">
        <v>1342</v>
      </c>
      <c r="C74" t="s">
        <v>1350</v>
      </c>
      <c r="D74" s="188">
        <v>30</v>
      </c>
      <c r="E74" t="s">
        <v>1418</v>
      </c>
      <c r="F74" t="s">
        <v>1391</v>
      </c>
      <c r="G74" s="190" t="s">
        <v>1443</v>
      </c>
      <c r="H74" s="190">
        <v>0</v>
      </c>
      <c r="I74" s="190">
        <v>0</v>
      </c>
      <c r="J74" s="190">
        <v>0</v>
      </c>
      <c r="K74" s="190">
        <v>0</v>
      </c>
      <c r="L74" s="190">
        <v>0</v>
      </c>
      <c r="M74" s="190">
        <v>0</v>
      </c>
      <c r="N74" s="190">
        <v>0</v>
      </c>
      <c r="O74" s="190">
        <v>0</v>
      </c>
      <c r="P74" s="190">
        <v>0</v>
      </c>
      <c r="Q74" s="190">
        <v>0</v>
      </c>
      <c r="R74" s="190">
        <v>0</v>
      </c>
      <c r="S74" s="190">
        <v>0</v>
      </c>
      <c r="T74" s="190">
        <v>0</v>
      </c>
      <c r="U74" s="190">
        <v>0</v>
      </c>
      <c r="V74" s="190">
        <v>0</v>
      </c>
      <c r="W74" s="190">
        <v>0</v>
      </c>
      <c r="X74" s="190">
        <v>0</v>
      </c>
      <c r="Y74" s="190">
        <v>0</v>
      </c>
      <c r="Z74" s="190">
        <v>0</v>
      </c>
      <c r="AA74" s="190">
        <v>0</v>
      </c>
      <c r="AB74" s="190">
        <v>0</v>
      </c>
      <c r="AC74" s="190">
        <v>0</v>
      </c>
      <c r="AD74" s="190">
        <v>0</v>
      </c>
      <c r="AE74" s="190">
        <v>0</v>
      </c>
      <c r="AF74" s="190">
        <v>0</v>
      </c>
      <c r="AG74" s="190">
        <v>0</v>
      </c>
      <c r="AH74" s="190">
        <v>0</v>
      </c>
      <c r="AI74" s="190">
        <v>0</v>
      </c>
      <c r="AJ74" s="190">
        <v>0</v>
      </c>
    </row>
    <row r="75" spans="1:36" x14ac:dyDescent="0.35">
      <c r="A75" t="s">
        <v>1446</v>
      </c>
      <c r="B75" s="188" t="s">
        <v>1342</v>
      </c>
      <c r="C75" t="s">
        <v>1343</v>
      </c>
      <c r="D75" s="188">
        <v>30</v>
      </c>
      <c r="E75" t="s">
        <v>1418</v>
      </c>
      <c r="F75" t="s">
        <v>1357</v>
      </c>
      <c r="G75" s="190" t="s">
        <v>1447</v>
      </c>
      <c r="H75" s="190">
        <v>0</v>
      </c>
      <c r="I75" s="190">
        <v>0</v>
      </c>
      <c r="J75" s="190">
        <v>0</v>
      </c>
      <c r="K75" s="190">
        <v>0</v>
      </c>
      <c r="L75" s="190">
        <v>0</v>
      </c>
      <c r="M75" s="190">
        <v>0</v>
      </c>
      <c r="N75" s="190">
        <v>0</v>
      </c>
      <c r="O75" s="190">
        <v>0</v>
      </c>
      <c r="P75" s="190">
        <v>0</v>
      </c>
      <c r="Q75" s="190">
        <v>0</v>
      </c>
      <c r="R75" s="190">
        <v>0</v>
      </c>
      <c r="S75" s="190">
        <v>0</v>
      </c>
      <c r="T75" s="190">
        <v>0</v>
      </c>
      <c r="U75" s="190">
        <v>0</v>
      </c>
      <c r="V75" s="190">
        <v>0</v>
      </c>
      <c r="W75" s="190">
        <v>0</v>
      </c>
      <c r="X75" s="190">
        <v>0</v>
      </c>
      <c r="Y75" s="190">
        <v>0</v>
      </c>
      <c r="Z75" s="190">
        <v>0</v>
      </c>
      <c r="AA75" s="190">
        <v>0</v>
      </c>
      <c r="AB75" s="190">
        <v>0</v>
      </c>
      <c r="AC75" s="190">
        <v>0</v>
      </c>
      <c r="AD75" s="190">
        <v>0</v>
      </c>
      <c r="AE75" s="190">
        <v>0</v>
      </c>
      <c r="AF75" s="190">
        <v>0</v>
      </c>
      <c r="AG75" s="190">
        <v>0</v>
      </c>
      <c r="AH75" s="190">
        <v>0</v>
      </c>
      <c r="AI75" s="190">
        <v>0</v>
      </c>
      <c r="AJ75" s="190">
        <v>0</v>
      </c>
    </row>
    <row r="76" spans="1:36" x14ac:dyDescent="0.35">
      <c r="A76" t="s">
        <v>1448</v>
      </c>
      <c r="B76" s="188" t="s">
        <v>1342</v>
      </c>
      <c r="C76" t="s">
        <v>1348</v>
      </c>
      <c r="D76" s="188">
        <v>30</v>
      </c>
      <c r="E76" t="s">
        <v>1418</v>
      </c>
      <c r="F76" t="s">
        <v>1357</v>
      </c>
      <c r="G76" s="190" t="s">
        <v>1447</v>
      </c>
      <c r="H76" s="190">
        <v>0</v>
      </c>
      <c r="I76" s="190">
        <v>0</v>
      </c>
      <c r="J76" s="190">
        <v>0</v>
      </c>
      <c r="K76" s="190">
        <v>0</v>
      </c>
      <c r="L76" s="190">
        <v>0</v>
      </c>
      <c r="M76" s="190">
        <v>0</v>
      </c>
      <c r="N76" s="190">
        <v>0</v>
      </c>
      <c r="O76" s="190">
        <v>0</v>
      </c>
      <c r="P76" s="190">
        <v>0</v>
      </c>
      <c r="Q76" s="190">
        <v>0</v>
      </c>
      <c r="R76" s="190">
        <v>0</v>
      </c>
      <c r="S76" s="190">
        <v>0</v>
      </c>
      <c r="T76" s="190">
        <v>0</v>
      </c>
      <c r="U76" s="190">
        <v>0</v>
      </c>
      <c r="V76" s="190">
        <v>0</v>
      </c>
      <c r="W76" s="190">
        <v>0</v>
      </c>
      <c r="X76" s="190">
        <v>0</v>
      </c>
      <c r="Y76" s="190">
        <v>0</v>
      </c>
      <c r="Z76" s="190">
        <v>0</v>
      </c>
      <c r="AA76" s="190">
        <v>0</v>
      </c>
      <c r="AB76" s="190">
        <v>0</v>
      </c>
      <c r="AC76" s="190">
        <v>0</v>
      </c>
      <c r="AD76" s="190">
        <v>0</v>
      </c>
      <c r="AE76" s="190">
        <v>0</v>
      </c>
      <c r="AF76" s="190">
        <v>0</v>
      </c>
      <c r="AG76" s="190">
        <v>0</v>
      </c>
      <c r="AH76" s="190">
        <v>0</v>
      </c>
      <c r="AI76" s="190">
        <v>0</v>
      </c>
      <c r="AJ76" s="190">
        <v>0</v>
      </c>
    </row>
    <row r="77" spans="1:36" x14ac:dyDescent="0.35">
      <c r="A77" t="s">
        <v>1449</v>
      </c>
      <c r="B77" s="188" t="s">
        <v>1342</v>
      </c>
      <c r="C77" t="s">
        <v>1350</v>
      </c>
      <c r="D77" s="188">
        <v>30</v>
      </c>
      <c r="E77" t="s">
        <v>1418</v>
      </c>
      <c r="F77" t="s">
        <v>1357</v>
      </c>
      <c r="G77" s="190" t="s">
        <v>1447</v>
      </c>
      <c r="H77" s="190">
        <v>0</v>
      </c>
      <c r="I77" s="190">
        <v>0</v>
      </c>
      <c r="J77" s="190">
        <v>0</v>
      </c>
      <c r="K77" s="190">
        <v>0</v>
      </c>
      <c r="L77" s="190">
        <v>0</v>
      </c>
      <c r="M77" s="190">
        <v>0</v>
      </c>
      <c r="N77" s="190">
        <v>0</v>
      </c>
      <c r="O77" s="190">
        <v>0</v>
      </c>
      <c r="P77" s="190">
        <v>0</v>
      </c>
      <c r="Q77" s="190">
        <v>0</v>
      </c>
      <c r="R77" s="190">
        <v>0</v>
      </c>
      <c r="S77" s="190">
        <v>0</v>
      </c>
      <c r="T77" s="190">
        <v>0</v>
      </c>
      <c r="U77" s="190">
        <v>0</v>
      </c>
      <c r="V77" s="190">
        <v>0</v>
      </c>
      <c r="W77" s="190">
        <v>0</v>
      </c>
      <c r="X77" s="190">
        <v>0</v>
      </c>
      <c r="Y77" s="190">
        <v>0</v>
      </c>
      <c r="Z77" s="190">
        <v>0</v>
      </c>
      <c r="AA77" s="190">
        <v>0</v>
      </c>
      <c r="AB77" s="190">
        <v>0</v>
      </c>
      <c r="AC77" s="190">
        <v>0</v>
      </c>
      <c r="AD77" s="190">
        <v>0</v>
      </c>
      <c r="AE77" s="190">
        <v>0</v>
      </c>
      <c r="AF77" s="190">
        <v>0</v>
      </c>
      <c r="AG77" s="190">
        <v>0</v>
      </c>
      <c r="AH77" s="190">
        <v>0</v>
      </c>
      <c r="AI77" s="190">
        <v>0</v>
      </c>
      <c r="AJ77" s="190">
        <v>0</v>
      </c>
    </row>
    <row r="78" spans="1:36" x14ac:dyDescent="0.35">
      <c r="A78" t="s">
        <v>1450</v>
      </c>
      <c r="B78" s="188" t="s">
        <v>1342</v>
      </c>
      <c r="C78" t="s">
        <v>1343</v>
      </c>
      <c r="D78" s="188">
        <v>30</v>
      </c>
      <c r="E78" t="s">
        <v>1418</v>
      </c>
      <c r="F78" t="s">
        <v>1400</v>
      </c>
      <c r="G78" s="190" t="s">
        <v>1451</v>
      </c>
      <c r="H78" s="190">
        <v>0</v>
      </c>
      <c r="I78" s="190">
        <v>0</v>
      </c>
      <c r="J78" s="190">
        <v>0</v>
      </c>
      <c r="K78" s="190">
        <v>0</v>
      </c>
      <c r="L78" s="190">
        <v>0</v>
      </c>
      <c r="M78" s="190">
        <v>0</v>
      </c>
      <c r="N78" s="190">
        <v>0</v>
      </c>
      <c r="O78" s="190">
        <v>0</v>
      </c>
      <c r="P78" s="190">
        <v>0</v>
      </c>
      <c r="Q78" s="190">
        <v>0</v>
      </c>
      <c r="R78" s="190">
        <v>0</v>
      </c>
      <c r="S78" s="190">
        <v>0</v>
      </c>
      <c r="T78" s="190">
        <v>0</v>
      </c>
      <c r="U78" s="190">
        <v>0</v>
      </c>
      <c r="V78" s="190">
        <v>0</v>
      </c>
      <c r="W78" s="190">
        <v>0</v>
      </c>
      <c r="X78" s="190">
        <v>0</v>
      </c>
      <c r="Y78" s="190">
        <v>0</v>
      </c>
      <c r="Z78" s="190">
        <v>0</v>
      </c>
      <c r="AA78" s="190">
        <v>0</v>
      </c>
      <c r="AB78" s="190">
        <v>0</v>
      </c>
      <c r="AC78" s="190">
        <v>0</v>
      </c>
      <c r="AD78" s="190">
        <v>0</v>
      </c>
      <c r="AE78" s="190">
        <v>0</v>
      </c>
      <c r="AF78" s="190">
        <v>0</v>
      </c>
      <c r="AG78" s="190">
        <v>0</v>
      </c>
      <c r="AH78" s="190">
        <v>0</v>
      </c>
      <c r="AI78" s="190">
        <v>0</v>
      </c>
      <c r="AJ78" s="190">
        <v>0</v>
      </c>
    </row>
    <row r="79" spans="1:36" x14ac:dyDescent="0.35">
      <c r="A79" t="s">
        <v>1452</v>
      </c>
      <c r="B79" s="188" t="s">
        <v>1342</v>
      </c>
      <c r="C79" t="s">
        <v>1348</v>
      </c>
      <c r="D79" s="188">
        <v>30</v>
      </c>
      <c r="E79" t="s">
        <v>1418</v>
      </c>
      <c r="F79" t="s">
        <v>1400</v>
      </c>
      <c r="G79" s="190" t="s">
        <v>1451</v>
      </c>
      <c r="H79" s="190">
        <v>0</v>
      </c>
      <c r="I79" s="190">
        <v>0</v>
      </c>
      <c r="J79" s="190">
        <v>0</v>
      </c>
      <c r="K79" s="190">
        <v>0</v>
      </c>
      <c r="L79" s="190">
        <v>0</v>
      </c>
      <c r="M79" s="190">
        <v>0</v>
      </c>
      <c r="N79" s="190">
        <v>0</v>
      </c>
      <c r="O79" s="190">
        <v>0</v>
      </c>
      <c r="P79" s="190">
        <v>0</v>
      </c>
      <c r="Q79" s="190">
        <v>0</v>
      </c>
      <c r="R79" s="190">
        <v>0</v>
      </c>
      <c r="S79" s="190">
        <v>0</v>
      </c>
      <c r="T79" s="190">
        <v>0</v>
      </c>
      <c r="U79" s="190">
        <v>0</v>
      </c>
      <c r="V79" s="190">
        <v>0</v>
      </c>
      <c r="W79" s="190">
        <v>0</v>
      </c>
      <c r="X79" s="190">
        <v>0</v>
      </c>
      <c r="Y79" s="190">
        <v>0</v>
      </c>
      <c r="Z79" s="190">
        <v>0</v>
      </c>
      <c r="AA79" s="190">
        <v>0</v>
      </c>
      <c r="AB79" s="190">
        <v>0</v>
      </c>
      <c r="AC79" s="190">
        <v>0</v>
      </c>
      <c r="AD79" s="190">
        <v>0</v>
      </c>
      <c r="AE79" s="190">
        <v>0</v>
      </c>
      <c r="AF79" s="190">
        <v>0</v>
      </c>
      <c r="AG79" s="190">
        <v>0</v>
      </c>
      <c r="AH79" s="190">
        <v>0</v>
      </c>
      <c r="AI79" s="190">
        <v>0</v>
      </c>
      <c r="AJ79" s="190">
        <v>0</v>
      </c>
    </row>
    <row r="80" spans="1:36" x14ac:dyDescent="0.35">
      <c r="A80" t="s">
        <v>1453</v>
      </c>
      <c r="B80" s="188" t="s">
        <v>1342</v>
      </c>
      <c r="C80" t="s">
        <v>1350</v>
      </c>
      <c r="D80" s="188">
        <v>30</v>
      </c>
      <c r="E80" t="s">
        <v>1418</v>
      </c>
      <c r="F80" t="s">
        <v>1400</v>
      </c>
      <c r="G80" s="190" t="s">
        <v>1451</v>
      </c>
      <c r="H80" s="190">
        <v>0</v>
      </c>
      <c r="I80" s="190">
        <v>0</v>
      </c>
      <c r="J80" s="190">
        <v>0</v>
      </c>
      <c r="K80" s="190">
        <v>0</v>
      </c>
      <c r="L80" s="190">
        <v>0</v>
      </c>
      <c r="M80" s="190">
        <v>0</v>
      </c>
      <c r="N80" s="190">
        <v>0</v>
      </c>
      <c r="O80" s="190">
        <v>0</v>
      </c>
      <c r="P80" s="190">
        <v>0</v>
      </c>
      <c r="Q80" s="190">
        <v>0</v>
      </c>
      <c r="R80" s="190">
        <v>0</v>
      </c>
      <c r="S80" s="190">
        <v>0</v>
      </c>
      <c r="T80" s="190">
        <v>0</v>
      </c>
      <c r="U80" s="190">
        <v>0</v>
      </c>
      <c r="V80" s="190">
        <v>0</v>
      </c>
      <c r="W80" s="190">
        <v>0</v>
      </c>
      <c r="X80" s="190">
        <v>0</v>
      </c>
      <c r="Y80" s="190">
        <v>0</v>
      </c>
      <c r="Z80" s="190">
        <v>0</v>
      </c>
      <c r="AA80" s="190">
        <v>0</v>
      </c>
      <c r="AB80" s="190">
        <v>0</v>
      </c>
      <c r="AC80" s="190">
        <v>0</v>
      </c>
      <c r="AD80" s="190">
        <v>0</v>
      </c>
      <c r="AE80" s="190">
        <v>0</v>
      </c>
      <c r="AF80" s="190">
        <v>0</v>
      </c>
      <c r="AG80" s="190">
        <v>0</v>
      </c>
      <c r="AH80" s="190">
        <v>0</v>
      </c>
      <c r="AI80" s="190">
        <v>0</v>
      </c>
      <c r="AJ80" s="190">
        <v>0</v>
      </c>
    </row>
    <row r="81" spans="1:36" x14ac:dyDescent="0.35">
      <c r="A81" t="s">
        <v>1454</v>
      </c>
      <c r="B81" s="188" t="s">
        <v>1342</v>
      </c>
      <c r="C81" t="s">
        <v>1343</v>
      </c>
      <c r="D81" s="188">
        <v>30</v>
      </c>
      <c r="E81" t="s">
        <v>1418</v>
      </c>
      <c r="F81" t="s">
        <v>1405</v>
      </c>
      <c r="G81" s="190" t="s">
        <v>1455</v>
      </c>
      <c r="H81" s="190">
        <v>0</v>
      </c>
      <c r="I81" s="190">
        <v>0</v>
      </c>
      <c r="J81" s="190">
        <v>0</v>
      </c>
      <c r="K81" s="190">
        <v>0</v>
      </c>
      <c r="L81" s="190">
        <v>0</v>
      </c>
      <c r="M81" s="190">
        <v>0</v>
      </c>
      <c r="N81" s="190">
        <v>0</v>
      </c>
      <c r="O81" s="190">
        <v>0</v>
      </c>
      <c r="P81" s="190">
        <v>0</v>
      </c>
      <c r="Q81" s="190">
        <v>0</v>
      </c>
      <c r="R81" s="190">
        <v>0</v>
      </c>
      <c r="S81" s="190">
        <v>0</v>
      </c>
      <c r="T81" s="190">
        <v>0</v>
      </c>
      <c r="U81" s="190">
        <v>0</v>
      </c>
      <c r="V81" s="190">
        <v>0</v>
      </c>
      <c r="W81" s="190">
        <v>0</v>
      </c>
      <c r="X81" s="190">
        <v>0</v>
      </c>
      <c r="Y81" s="190">
        <v>0</v>
      </c>
      <c r="Z81" s="190">
        <v>0</v>
      </c>
      <c r="AA81" s="190">
        <v>0</v>
      </c>
      <c r="AB81" s="190">
        <v>0</v>
      </c>
      <c r="AC81" s="190">
        <v>0</v>
      </c>
      <c r="AD81" s="190">
        <v>0</v>
      </c>
      <c r="AE81" s="190">
        <v>0</v>
      </c>
      <c r="AF81" s="190">
        <v>0</v>
      </c>
      <c r="AG81" s="190">
        <v>0</v>
      </c>
      <c r="AH81" s="190">
        <v>0</v>
      </c>
      <c r="AI81" s="190">
        <v>0</v>
      </c>
      <c r="AJ81" s="190">
        <v>0</v>
      </c>
    </row>
    <row r="82" spans="1:36" x14ac:dyDescent="0.35">
      <c r="A82" t="s">
        <v>1456</v>
      </c>
      <c r="B82" s="188" t="s">
        <v>1342</v>
      </c>
      <c r="C82" t="s">
        <v>1348</v>
      </c>
      <c r="D82" s="188">
        <v>30</v>
      </c>
      <c r="E82" t="s">
        <v>1418</v>
      </c>
      <c r="F82" t="s">
        <v>1405</v>
      </c>
      <c r="G82" s="190" t="s">
        <v>1455</v>
      </c>
      <c r="H82" s="190">
        <v>0</v>
      </c>
      <c r="I82" s="190">
        <v>0</v>
      </c>
      <c r="J82" s="190">
        <v>0</v>
      </c>
      <c r="K82" s="190">
        <v>0</v>
      </c>
      <c r="L82" s="190">
        <v>0</v>
      </c>
      <c r="M82" s="190">
        <v>0</v>
      </c>
      <c r="N82" s="190">
        <v>0</v>
      </c>
      <c r="O82" s="190">
        <v>0</v>
      </c>
      <c r="P82" s="190">
        <v>0</v>
      </c>
      <c r="Q82" s="190">
        <v>0</v>
      </c>
      <c r="R82" s="190">
        <v>0</v>
      </c>
      <c r="S82" s="190">
        <v>0</v>
      </c>
      <c r="T82" s="190">
        <v>0</v>
      </c>
      <c r="U82" s="190">
        <v>0</v>
      </c>
      <c r="V82" s="190">
        <v>0</v>
      </c>
      <c r="W82" s="190">
        <v>0</v>
      </c>
      <c r="X82" s="190">
        <v>0</v>
      </c>
      <c r="Y82" s="190">
        <v>0</v>
      </c>
      <c r="Z82" s="190">
        <v>0</v>
      </c>
      <c r="AA82" s="190">
        <v>0</v>
      </c>
      <c r="AB82" s="190">
        <v>0</v>
      </c>
      <c r="AC82" s="190">
        <v>0</v>
      </c>
      <c r="AD82" s="190">
        <v>0</v>
      </c>
      <c r="AE82" s="190">
        <v>0</v>
      </c>
      <c r="AF82" s="190">
        <v>0</v>
      </c>
      <c r="AG82" s="190">
        <v>0</v>
      </c>
      <c r="AH82" s="190">
        <v>0</v>
      </c>
      <c r="AI82" s="190">
        <v>0</v>
      </c>
      <c r="AJ82" s="190">
        <v>0</v>
      </c>
    </row>
    <row r="83" spans="1:36" x14ac:dyDescent="0.35">
      <c r="A83" t="s">
        <v>1457</v>
      </c>
      <c r="B83" s="188" t="s">
        <v>1342</v>
      </c>
      <c r="C83" t="s">
        <v>1350</v>
      </c>
      <c r="D83" s="188">
        <v>30</v>
      </c>
      <c r="E83" t="s">
        <v>1418</v>
      </c>
      <c r="F83" t="s">
        <v>1405</v>
      </c>
      <c r="G83" s="190" t="s">
        <v>1455</v>
      </c>
      <c r="H83" s="190">
        <v>0</v>
      </c>
      <c r="I83" s="190">
        <v>0</v>
      </c>
      <c r="J83" s="190">
        <v>0</v>
      </c>
      <c r="K83" s="190">
        <v>0</v>
      </c>
      <c r="L83" s="190">
        <v>0</v>
      </c>
      <c r="M83" s="190">
        <v>0</v>
      </c>
      <c r="N83" s="190">
        <v>0</v>
      </c>
      <c r="O83" s="190">
        <v>0</v>
      </c>
      <c r="P83" s="190">
        <v>0</v>
      </c>
      <c r="Q83" s="190">
        <v>0</v>
      </c>
      <c r="R83" s="190">
        <v>0</v>
      </c>
      <c r="S83" s="190">
        <v>0</v>
      </c>
      <c r="T83" s="190">
        <v>0</v>
      </c>
      <c r="U83" s="190">
        <v>0</v>
      </c>
      <c r="V83" s="190">
        <v>0</v>
      </c>
      <c r="W83" s="190">
        <v>0</v>
      </c>
      <c r="X83" s="190">
        <v>0</v>
      </c>
      <c r="Y83" s="190">
        <v>0</v>
      </c>
      <c r="Z83" s="190">
        <v>0</v>
      </c>
      <c r="AA83" s="190">
        <v>0</v>
      </c>
      <c r="AB83" s="190">
        <v>0</v>
      </c>
      <c r="AC83" s="190">
        <v>0</v>
      </c>
      <c r="AD83" s="190">
        <v>0</v>
      </c>
      <c r="AE83" s="190">
        <v>0</v>
      </c>
      <c r="AF83" s="190">
        <v>0</v>
      </c>
      <c r="AG83" s="190">
        <v>0</v>
      </c>
      <c r="AH83" s="190">
        <v>0</v>
      </c>
      <c r="AI83" s="190">
        <v>0</v>
      </c>
      <c r="AJ83" s="190">
        <v>0</v>
      </c>
    </row>
    <row r="84" spans="1:36" x14ac:dyDescent="0.35">
      <c r="A84" t="s">
        <v>1458</v>
      </c>
      <c r="B84" s="188" t="s">
        <v>1342</v>
      </c>
      <c r="C84" t="s">
        <v>1343</v>
      </c>
      <c r="D84" s="188">
        <v>30</v>
      </c>
      <c r="E84" t="s">
        <v>1459</v>
      </c>
      <c r="F84" t="s">
        <v>1363</v>
      </c>
      <c r="G84" s="190" t="s">
        <v>1460</v>
      </c>
      <c r="H84" s="190">
        <v>0</v>
      </c>
      <c r="I84" s="190">
        <v>0</v>
      </c>
      <c r="J84" s="190">
        <v>0</v>
      </c>
      <c r="K84" s="190">
        <v>0</v>
      </c>
      <c r="L84" s="190">
        <v>0</v>
      </c>
      <c r="M84" s="190">
        <v>0</v>
      </c>
      <c r="N84" s="190">
        <v>0</v>
      </c>
      <c r="O84" s="190">
        <v>0</v>
      </c>
      <c r="P84" s="190">
        <v>0</v>
      </c>
      <c r="Q84" s="190">
        <v>0</v>
      </c>
      <c r="R84" s="190">
        <v>0</v>
      </c>
      <c r="S84" s="190">
        <v>0</v>
      </c>
      <c r="T84" s="190">
        <v>0</v>
      </c>
      <c r="U84" s="190">
        <v>0</v>
      </c>
      <c r="V84" s="190">
        <v>0</v>
      </c>
      <c r="W84" s="190">
        <v>0</v>
      </c>
      <c r="X84" s="190">
        <v>0</v>
      </c>
      <c r="Y84" s="190">
        <v>0</v>
      </c>
      <c r="Z84" s="190">
        <v>0</v>
      </c>
      <c r="AA84" s="190">
        <v>0</v>
      </c>
      <c r="AB84" s="190">
        <v>0</v>
      </c>
      <c r="AC84" s="190">
        <v>0</v>
      </c>
      <c r="AD84" s="190">
        <v>0</v>
      </c>
      <c r="AE84" s="190">
        <v>0</v>
      </c>
      <c r="AF84" s="190">
        <v>0</v>
      </c>
      <c r="AG84" s="190">
        <v>0</v>
      </c>
      <c r="AH84" s="190">
        <v>0</v>
      </c>
      <c r="AI84" s="190">
        <v>0</v>
      </c>
      <c r="AJ84" s="190">
        <v>0</v>
      </c>
    </row>
    <row r="85" spans="1:36" x14ac:dyDescent="0.35">
      <c r="A85" t="s">
        <v>1461</v>
      </c>
      <c r="B85" s="188" t="s">
        <v>1342</v>
      </c>
      <c r="C85" t="s">
        <v>1348</v>
      </c>
      <c r="D85" s="188">
        <v>30</v>
      </c>
      <c r="E85" t="s">
        <v>1459</v>
      </c>
      <c r="F85" t="s">
        <v>1363</v>
      </c>
      <c r="G85" s="190" t="s">
        <v>1460</v>
      </c>
      <c r="H85" s="190">
        <v>0</v>
      </c>
      <c r="I85" s="190">
        <v>0</v>
      </c>
      <c r="J85" s="190">
        <v>0</v>
      </c>
      <c r="K85" s="190">
        <v>0</v>
      </c>
      <c r="L85" s="190">
        <v>0</v>
      </c>
      <c r="M85" s="190">
        <v>0</v>
      </c>
      <c r="N85" s="190">
        <v>0</v>
      </c>
      <c r="O85" s="190">
        <v>0</v>
      </c>
      <c r="P85" s="190">
        <v>0</v>
      </c>
      <c r="Q85" s="190">
        <v>0</v>
      </c>
      <c r="R85" s="190">
        <v>0</v>
      </c>
      <c r="S85" s="190">
        <v>0</v>
      </c>
      <c r="T85" s="190">
        <v>0</v>
      </c>
      <c r="U85" s="190">
        <v>0</v>
      </c>
      <c r="V85" s="190">
        <v>0</v>
      </c>
      <c r="W85" s="190">
        <v>0</v>
      </c>
      <c r="X85" s="190">
        <v>0</v>
      </c>
      <c r="Y85" s="190">
        <v>0</v>
      </c>
      <c r="Z85" s="190">
        <v>0</v>
      </c>
      <c r="AA85" s="190">
        <v>0</v>
      </c>
      <c r="AB85" s="190">
        <v>0</v>
      </c>
      <c r="AC85" s="190">
        <v>0</v>
      </c>
      <c r="AD85" s="190">
        <v>0</v>
      </c>
      <c r="AE85" s="190">
        <v>0</v>
      </c>
      <c r="AF85" s="190">
        <v>0</v>
      </c>
      <c r="AG85" s="190">
        <v>0</v>
      </c>
      <c r="AH85" s="190">
        <v>0</v>
      </c>
      <c r="AI85" s="190">
        <v>0</v>
      </c>
      <c r="AJ85" s="190">
        <v>0</v>
      </c>
    </row>
    <row r="86" spans="1:36" x14ac:dyDescent="0.35">
      <c r="A86" t="s">
        <v>1462</v>
      </c>
      <c r="B86" s="188" t="s">
        <v>1342</v>
      </c>
      <c r="C86" t="s">
        <v>1350</v>
      </c>
      <c r="D86" s="188">
        <v>30</v>
      </c>
      <c r="E86" t="s">
        <v>1459</v>
      </c>
      <c r="F86" t="s">
        <v>1363</v>
      </c>
      <c r="G86" s="190" t="s">
        <v>1460</v>
      </c>
      <c r="H86" s="190">
        <v>0</v>
      </c>
      <c r="I86" s="190">
        <v>0</v>
      </c>
      <c r="J86" s="190">
        <v>0</v>
      </c>
      <c r="K86" s="190">
        <v>0</v>
      </c>
      <c r="L86" s="190">
        <v>0</v>
      </c>
      <c r="M86" s="190">
        <v>0</v>
      </c>
      <c r="N86" s="190">
        <v>0</v>
      </c>
      <c r="O86" s="190">
        <v>0</v>
      </c>
      <c r="P86" s="190">
        <v>0</v>
      </c>
      <c r="Q86" s="190">
        <v>0</v>
      </c>
      <c r="R86" s="190">
        <v>0</v>
      </c>
      <c r="S86" s="190">
        <v>0</v>
      </c>
      <c r="T86" s="190">
        <v>0</v>
      </c>
      <c r="U86" s="190">
        <v>0</v>
      </c>
      <c r="V86" s="190">
        <v>0</v>
      </c>
      <c r="W86" s="190">
        <v>0</v>
      </c>
      <c r="X86" s="190">
        <v>0</v>
      </c>
      <c r="Y86" s="190">
        <v>0</v>
      </c>
      <c r="Z86" s="190">
        <v>0</v>
      </c>
      <c r="AA86" s="190">
        <v>0</v>
      </c>
      <c r="AB86" s="190">
        <v>0</v>
      </c>
      <c r="AC86" s="190">
        <v>0</v>
      </c>
      <c r="AD86" s="190">
        <v>0</v>
      </c>
      <c r="AE86" s="190">
        <v>0</v>
      </c>
      <c r="AF86" s="190">
        <v>0</v>
      </c>
      <c r="AG86" s="190">
        <v>0</v>
      </c>
      <c r="AH86" s="190">
        <v>0</v>
      </c>
      <c r="AI86" s="190">
        <v>0</v>
      </c>
      <c r="AJ86" s="190">
        <v>0</v>
      </c>
    </row>
    <row r="87" spans="1:36" x14ac:dyDescent="0.35">
      <c r="A87" t="s">
        <v>1463</v>
      </c>
      <c r="B87" s="188" t="s">
        <v>1342</v>
      </c>
      <c r="C87" t="s">
        <v>1343</v>
      </c>
      <c r="D87" s="188">
        <v>30</v>
      </c>
      <c r="E87" t="s">
        <v>1459</v>
      </c>
      <c r="F87" t="s">
        <v>1345</v>
      </c>
      <c r="G87" s="190" t="s">
        <v>1464</v>
      </c>
      <c r="H87" s="190">
        <v>0</v>
      </c>
      <c r="I87" s="190">
        <v>0</v>
      </c>
      <c r="J87" s="190">
        <v>0</v>
      </c>
      <c r="K87" s="190">
        <v>0</v>
      </c>
      <c r="L87" s="190">
        <v>0</v>
      </c>
      <c r="M87" s="190">
        <v>0</v>
      </c>
      <c r="N87" s="190">
        <v>0</v>
      </c>
      <c r="O87" s="190">
        <v>0</v>
      </c>
      <c r="P87" s="190">
        <v>0</v>
      </c>
      <c r="Q87" s="190">
        <v>0</v>
      </c>
      <c r="R87" s="190">
        <v>0</v>
      </c>
      <c r="S87" s="190">
        <v>0</v>
      </c>
      <c r="T87" s="190">
        <v>0</v>
      </c>
      <c r="U87" s="190">
        <v>0</v>
      </c>
      <c r="V87" s="190">
        <v>0</v>
      </c>
      <c r="W87" s="190">
        <v>0</v>
      </c>
      <c r="X87" s="190">
        <v>0</v>
      </c>
      <c r="Y87" s="190">
        <v>0</v>
      </c>
      <c r="Z87" s="190">
        <v>0</v>
      </c>
      <c r="AA87" s="190">
        <v>0</v>
      </c>
      <c r="AB87" s="190">
        <v>0</v>
      </c>
      <c r="AC87" s="190">
        <v>0</v>
      </c>
      <c r="AD87" s="190">
        <v>0</v>
      </c>
      <c r="AE87" s="190">
        <v>0</v>
      </c>
      <c r="AF87" s="190">
        <v>0</v>
      </c>
      <c r="AG87" s="190">
        <v>0</v>
      </c>
      <c r="AH87" s="190">
        <v>0</v>
      </c>
      <c r="AI87" s="190">
        <v>0</v>
      </c>
      <c r="AJ87" s="190">
        <v>0</v>
      </c>
    </row>
    <row r="88" spans="1:36" x14ac:dyDescent="0.35">
      <c r="A88" t="s">
        <v>1465</v>
      </c>
      <c r="B88" s="188" t="s">
        <v>1342</v>
      </c>
      <c r="C88" t="s">
        <v>1348</v>
      </c>
      <c r="D88" s="188">
        <v>30</v>
      </c>
      <c r="E88" t="s">
        <v>1459</v>
      </c>
      <c r="F88" t="s">
        <v>1345</v>
      </c>
      <c r="G88" s="190" t="s">
        <v>1464</v>
      </c>
      <c r="H88" s="190">
        <v>0</v>
      </c>
      <c r="I88" s="190">
        <v>0</v>
      </c>
      <c r="J88" s="190">
        <v>0</v>
      </c>
      <c r="K88" s="190">
        <v>0</v>
      </c>
      <c r="L88" s="190">
        <v>0</v>
      </c>
      <c r="M88" s="190">
        <v>0</v>
      </c>
      <c r="N88" s="190">
        <v>0</v>
      </c>
      <c r="O88" s="190">
        <v>0</v>
      </c>
      <c r="P88" s="190">
        <v>0</v>
      </c>
      <c r="Q88" s="190">
        <v>0</v>
      </c>
      <c r="R88" s="190">
        <v>0</v>
      </c>
      <c r="S88" s="190">
        <v>0</v>
      </c>
      <c r="T88" s="190">
        <v>0</v>
      </c>
      <c r="U88" s="190">
        <v>0</v>
      </c>
      <c r="V88" s="190">
        <v>0</v>
      </c>
      <c r="W88" s="190">
        <v>0</v>
      </c>
      <c r="X88" s="190">
        <v>0</v>
      </c>
      <c r="Y88" s="190">
        <v>0</v>
      </c>
      <c r="Z88" s="190">
        <v>0</v>
      </c>
      <c r="AA88" s="190">
        <v>0</v>
      </c>
      <c r="AB88" s="190">
        <v>0</v>
      </c>
      <c r="AC88" s="190">
        <v>0</v>
      </c>
      <c r="AD88" s="190">
        <v>0</v>
      </c>
      <c r="AE88" s="190">
        <v>0</v>
      </c>
      <c r="AF88" s="190">
        <v>0</v>
      </c>
      <c r="AG88" s="190">
        <v>0</v>
      </c>
      <c r="AH88" s="190">
        <v>0</v>
      </c>
      <c r="AI88" s="190">
        <v>0</v>
      </c>
      <c r="AJ88" s="190">
        <v>0</v>
      </c>
    </row>
    <row r="89" spans="1:36" x14ac:dyDescent="0.35">
      <c r="A89" t="s">
        <v>1466</v>
      </c>
      <c r="B89" s="188" t="s">
        <v>1342</v>
      </c>
      <c r="C89" t="s">
        <v>1350</v>
      </c>
      <c r="D89" s="188">
        <v>30</v>
      </c>
      <c r="E89" t="s">
        <v>1459</v>
      </c>
      <c r="F89" t="s">
        <v>1345</v>
      </c>
      <c r="G89" s="190" t="s">
        <v>1464</v>
      </c>
      <c r="H89" s="190">
        <v>0</v>
      </c>
      <c r="I89" s="190">
        <v>0</v>
      </c>
      <c r="J89" s="190">
        <v>0</v>
      </c>
      <c r="K89" s="190">
        <v>0</v>
      </c>
      <c r="L89" s="190">
        <v>0</v>
      </c>
      <c r="M89" s="190">
        <v>0</v>
      </c>
      <c r="N89" s="190">
        <v>0</v>
      </c>
      <c r="O89" s="190">
        <v>0</v>
      </c>
      <c r="P89" s="190">
        <v>0</v>
      </c>
      <c r="Q89" s="190">
        <v>0</v>
      </c>
      <c r="R89" s="190">
        <v>0</v>
      </c>
      <c r="S89" s="190">
        <v>0</v>
      </c>
      <c r="T89" s="190">
        <v>0</v>
      </c>
      <c r="U89" s="190">
        <v>0</v>
      </c>
      <c r="V89" s="190">
        <v>0</v>
      </c>
      <c r="W89" s="190">
        <v>0</v>
      </c>
      <c r="X89" s="190">
        <v>0</v>
      </c>
      <c r="Y89" s="190">
        <v>0</v>
      </c>
      <c r="Z89" s="190">
        <v>0</v>
      </c>
      <c r="AA89" s="190">
        <v>0</v>
      </c>
      <c r="AB89" s="190">
        <v>0</v>
      </c>
      <c r="AC89" s="190">
        <v>0</v>
      </c>
      <c r="AD89" s="190">
        <v>0</v>
      </c>
      <c r="AE89" s="190">
        <v>0</v>
      </c>
      <c r="AF89" s="190">
        <v>0</v>
      </c>
      <c r="AG89" s="190">
        <v>0</v>
      </c>
      <c r="AH89" s="190">
        <v>0</v>
      </c>
      <c r="AI89" s="190">
        <v>0</v>
      </c>
      <c r="AJ89" s="190">
        <v>0</v>
      </c>
    </row>
    <row r="90" spans="1:36" x14ac:dyDescent="0.35">
      <c r="A90" t="s">
        <v>1467</v>
      </c>
      <c r="B90" s="188" t="s">
        <v>1342</v>
      </c>
      <c r="C90" t="s">
        <v>1343</v>
      </c>
      <c r="D90" s="188">
        <v>30</v>
      </c>
      <c r="E90" t="s">
        <v>1459</v>
      </c>
      <c r="F90" t="s">
        <v>1352</v>
      </c>
      <c r="G90" s="190" t="s">
        <v>1468</v>
      </c>
      <c r="H90" s="190">
        <v>0</v>
      </c>
      <c r="I90" s="190">
        <v>0</v>
      </c>
      <c r="J90" s="190">
        <v>0</v>
      </c>
      <c r="K90" s="190">
        <v>0</v>
      </c>
      <c r="L90" s="190">
        <v>0</v>
      </c>
      <c r="M90" s="190">
        <v>0</v>
      </c>
      <c r="N90" s="190">
        <v>0</v>
      </c>
      <c r="O90" s="190">
        <v>0</v>
      </c>
      <c r="P90" s="190">
        <v>0</v>
      </c>
      <c r="Q90" s="190">
        <v>0</v>
      </c>
      <c r="R90" s="190">
        <v>0</v>
      </c>
      <c r="S90" s="190">
        <v>0</v>
      </c>
      <c r="T90" s="190">
        <v>0</v>
      </c>
      <c r="U90" s="190">
        <v>0</v>
      </c>
      <c r="V90" s="190">
        <v>0</v>
      </c>
      <c r="W90" s="190">
        <v>0</v>
      </c>
      <c r="X90" s="190">
        <v>0</v>
      </c>
      <c r="Y90" s="190">
        <v>0</v>
      </c>
      <c r="Z90" s="190">
        <v>0</v>
      </c>
      <c r="AA90" s="190">
        <v>0</v>
      </c>
      <c r="AB90" s="190">
        <v>0</v>
      </c>
      <c r="AC90" s="190">
        <v>0</v>
      </c>
      <c r="AD90" s="190">
        <v>0</v>
      </c>
      <c r="AE90" s="190">
        <v>0</v>
      </c>
      <c r="AF90" s="190">
        <v>0</v>
      </c>
      <c r="AG90" s="190">
        <v>0</v>
      </c>
      <c r="AH90" s="190">
        <v>0</v>
      </c>
      <c r="AI90" s="190">
        <v>0</v>
      </c>
      <c r="AJ90" s="190">
        <v>0</v>
      </c>
    </row>
    <row r="91" spans="1:36" x14ac:dyDescent="0.35">
      <c r="A91" t="s">
        <v>1469</v>
      </c>
      <c r="B91" s="188" t="s">
        <v>1342</v>
      </c>
      <c r="C91" t="s">
        <v>1348</v>
      </c>
      <c r="D91" s="188">
        <v>30</v>
      </c>
      <c r="E91" t="s">
        <v>1459</v>
      </c>
      <c r="F91" t="s">
        <v>1352</v>
      </c>
      <c r="G91" s="190" t="s">
        <v>1468</v>
      </c>
      <c r="H91" s="190">
        <v>0</v>
      </c>
      <c r="I91" s="190">
        <v>0</v>
      </c>
      <c r="J91" s="190">
        <v>0</v>
      </c>
      <c r="K91" s="190">
        <v>0</v>
      </c>
      <c r="L91" s="190">
        <v>0</v>
      </c>
      <c r="M91" s="190">
        <v>0</v>
      </c>
      <c r="N91" s="190">
        <v>0</v>
      </c>
      <c r="O91" s="190">
        <v>0</v>
      </c>
      <c r="P91" s="190">
        <v>0</v>
      </c>
      <c r="Q91" s="190">
        <v>0</v>
      </c>
      <c r="R91" s="190">
        <v>0</v>
      </c>
      <c r="S91" s="190">
        <v>0</v>
      </c>
      <c r="T91" s="190">
        <v>0</v>
      </c>
      <c r="U91" s="190">
        <v>0</v>
      </c>
      <c r="V91" s="190">
        <v>0</v>
      </c>
      <c r="W91" s="190">
        <v>0</v>
      </c>
      <c r="X91" s="190">
        <v>0</v>
      </c>
      <c r="Y91" s="190">
        <v>0</v>
      </c>
      <c r="Z91" s="190">
        <v>0</v>
      </c>
      <c r="AA91" s="190">
        <v>0</v>
      </c>
      <c r="AB91" s="190">
        <v>0</v>
      </c>
      <c r="AC91" s="190">
        <v>0</v>
      </c>
      <c r="AD91" s="190">
        <v>0</v>
      </c>
      <c r="AE91" s="190">
        <v>0</v>
      </c>
      <c r="AF91" s="190">
        <v>0</v>
      </c>
      <c r="AG91" s="190">
        <v>0</v>
      </c>
      <c r="AH91" s="190">
        <v>0</v>
      </c>
      <c r="AI91" s="190">
        <v>0</v>
      </c>
      <c r="AJ91" s="190">
        <v>0</v>
      </c>
    </row>
    <row r="92" spans="1:36" x14ac:dyDescent="0.35">
      <c r="A92" t="s">
        <v>1470</v>
      </c>
      <c r="B92" s="188" t="s">
        <v>1342</v>
      </c>
      <c r="C92" t="s">
        <v>1350</v>
      </c>
      <c r="D92" s="188">
        <v>30</v>
      </c>
      <c r="E92" t="s">
        <v>1459</v>
      </c>
      <c r="F92" t="s">
        <v>1352</v>
      </c>
      <c r="G92" s="190" t="s">
        <v>1468</v>
      </c>
      <c r="H92" s="190">
        <v>0</v>
      </c>
      <c r="I92" s="190">
        <v>0</v>
      </c>
      <c r="J92" s="190">
        <v>0</v>
      </c>
      <c r="K92" s="190">
        <v>0</v>
      </c>
      <c r="L92" s="190">
        <v>0</v>
      </c>
      <c r="M92" s="190">
        <v>0</v>
      </c>
      <c r="N92" s="190">
        <v>0</v>
      </c>
      <c r="O92" s="190">
        <v>0</v>
      </c>
      <c r="P92" s="190">
        <v>0</v>
      </c>
      <c r="Q92" s="190">
        <v>0</v>
      </c>
      <c r="R92" s="190">
        <v>0</v>
      </c>
      <c r="S92" s="190">
        <v>0</v>
      </c>
      <c r="T92" s="190">
        <v>0</v>
      </c>
      <c r="U92" s="190">
        <v>0</v>
      </c>
      <c r="V92" s="190">
        <v>0</v>
      </c>
      <c r="W92" s="190">
        <v>0</v>
      </c>
      <c r="X92" s="190">
        <v>0</v>
      </c>
      <c r="Y92" s="190">
        <v>0</v>
      </c>
      <c r="Z92" s="190">
        <v>0</v>
      </c>
      <c r="AA92" s="190">
        <v>0</v>
      </c>
      <c r="AB92" s="190">
        <v>0</v>
      </c>
      <c r="AC92" s="190">
        <v>0</v>
      </c>
      <c r="AD92" s="190">
        <v>0</v>
      </c>
      <c r="AE92" s="190">
        <v>0</v>
      </c>
      <c r="AF92" s="190">
        <v>0</v>
      </c>
      <c r="AG92" s="190">
        <v>0</v>
      </c>
      <c r="AH92" s="190">
        <v>0</v>
      </c>
      <c r="AI92" s="190">
        <v>0</v>
      </c>
      <c r="AJ92" s="190">
        <v>0</v>
      </c>
    </row>
    <row r="93" spans="1:36" x14ac:dyDescent="0.35">
      <c r="A93" t="s">
        <v>1471</v>
      </c>
      <c r="B93" s="188" t="s">
        <v>1342</v>
      </c>
      <c r="C93" t="s">
        <v>1343</v>
      </c>
      <c r="D93" s="188">
        <v>30</v>
      </c>
      <c r="E93" t="s">
        <v>1459</v>
      </c>
      <c r="F93" t="s">
        <v>1376</v>
      </c>
      <c r="G93" s="190" t="s">
        <v>1472</v>
      </c>
      <c r="H93" s="190">
        <v>0</v>
      </c>
      <c r="I93" s="190">
        <v>0</v>
      </c>
      <c r="J93" s="190">
        <v>0</v>
      </c>
      <c r="K93" s="190">
        <v>0</v>
      </c>
      <c r="L93" s="190">
        <v>0</v>
      </c>
      <c r="M93" s="190">
        <v>0</v>
      </c>
      <c r="N93" s="190">
        <v>0</v>
      </c>
      <c r="O93" s="190">
        <v>0</v>
      </c>
      <c r="P93" s="190">
        <v>0</v>
      </c>
      <c r="Q93" s="190">
        <v>0</v>
      </c>
      <c r="R93" s="190">
        <v>0</v>
      </c>
      <c r="S93" s="190">
        <v>0</v>
      </c>
      <c r="T93" s="190">
        <v>0</v>
      </c>
      <c r="U93" s="190">
        <v>0</v>
      </c>
      <c r="V93" s="190">
        <v>0</v>
      </c>
      <c r="W93" s="190">
        <v>0</v>
      </c>
      <c r="X93" s="190">
        <v>0</v>
      </c>
      <c r="Y93" s="190">
        <v>0</v>
      </c>
      <c r="Z93" s="190">
        <v>0</v>
      </c>
      <c r="AA93" s="190">
        <v>0</v>
      </c>
      <c r="AB93" s="190">
        <v>0</v>
      </c>
      <c r="AC93" s="190">
        <v>0</v>
      </c>
      <c r="AD93" s="190">
        <v>0</v>
      </c>
      <c r="AE93" s="190">
        <v>0</v>
      </c>
      <c r="AF93" s="190">
        <v>0</v>
      </c>
      <c r="AG93" s="190">
        <v>0</v>
      </c>
      <c r="AH93" s="190">
        <v>0</v>
      </c>
      <c r="AI93" s="190">
        <v>0</v>
      </c>
      <c r="AJ93" s="190">
        <v>0</v>
      </c>
    </row>
    <row r="94" spans="1:36" x14ac:dyDescent="0.35">
      <c r="A94" t="s">
        <v>1473</v>
      </c>
      <c r="B94" s="188" t="s">
        <v>1342</v>
      </c>
      <c r="C94" t="s">
        <v>1348</v>
      </c>
      <c r="D94" s="188">
        <v>30</v>
      </c>
      <c r="E94" t="s">
        <v>1459</v>
      </c>
      <c r="F94" t="s">
        <v>1376</v>
      </c>
      <c r="G94" s="190" t="s">
        <v>1472</v>
      </c>
      <c r="H94" s="190">
        <v>0</v>
      </c>
      <c r="I94" s="190">
        <v>0</v>
      </c>
      <c r="J94" s="190">
        <v>0</v>
      </c>
      <c r="K94" s="190">
        <v>0</v>
      </c>
      <c r="L94" s="190">
        <v>0</v>
      </c>
      <c r="M94" s="190">
        <v>0</v>
      </c>
      <c r="N94" s="190">
        <v>0</v>
      </c>
      <c r="O94" s="190">
        <v>0</v>
      </c>
      <c r="P94" s="190">
        <v>0</v>
      </c>
      <c r="Q94" s="190">
        <v>0</v>
      </c>
      <c r="R94" s="190">
        <v>0</v>
      </c>
      <c r="S94" s="190">
        <v>0</v>
      </c>
      <c r="T94" s="190">
        <v>0</v>
      </c>
      <c r="U94" s="190">
        <v>0</v>
      </c>
      <c r="V94" s="190">
        <v>0</v>
      </c>
      <c r="W94" s="190">
        <v>0</v>
      </c>
      <c r="X94" s="190">
        <v>0</v>
      </c>
      <c r="Y94" s="190">
        <v>0</v>
      </c>
      <c r="Z94" s="190">
        <v>0</v>
      </c>
      <c r="AA94" s="190">
        <v>0</v>
      </c>
      <c r="AB94" s="190">
        <v>0</v>
      </c>
      <c r="AC94" s="190">
        <v>0</v>
      </c>
      <c r="AD94" s="190">
        <v>0</v>
      </c>
      <c r="AE94" s="190">
        <v>0</v>
      </c>
      <c r="AF94" s="190">
        <v>0</v>
      </c>
      <c r="AG94" s="190">
        <v>0</v>
      </c>
      <c r="AH94" s="190">
        <v>0</v>
      </c>
      <c r="AI94" s="190">
        <v>0</v>
      </c>
      <c r="AJ94" s="190">
        <v>0</v>
      </c>
    </row>
    <row r="95" spans="1:36" x14ac:dyDescent="0.35">
      <c r="A95" t="s">
        <v>1474</v>
      </c>
      <c r="B95" s="188" t="s">
        <v>1342</v>
      </c>
      <c r="C95" t="s">
        <v>1350</v>
      </c>
      <c r="D95" s="188">
        <v>30</v>
      </c>
      <c r="E95" t="s">
        <v>1459</v>
      </c>
      <c r="F95" t="s">
        <v>1376</v>
      </c>
      <c r="G95" s="190" t="s">
        <v>1472</v>
      </c>
      <c r="H95" s="190">
        <v>0</v>
      </c>
      <c r="I95" s="190">
        <v>0</v>
      </c>
      <c r="J95" s="190">
        <v>0</v>
      </c>
      <c r="K95" s="190">
        <v>0</v>
      </c>
      <c r="L95" s="190">
        <v>0</v>
      </c>
      <c r="M95" s="190">
        <v>0</v>
      </c>
      <c r="N95" s="190">
        <v>0</v>
      </c>
      <c r="O95" s="190">
        <v>0</v>
      </c>
      <c r="P95" s="190">
        <v>0</v>
      </c>
      <c r="Q95" s="190">
        <v>0</v>
      </c>
      <c r="R95" s="190">
        <v>0</v>
      </c>
      <c r="S95" s="190">
        <v>0</v>
      </c>
      <c r="T95" s="190">
        <v>0</v>
      </c>
      <c r="U95" s="190">
        <v>0</v>
      </c>
      <c r="V95" s="190">
        <v>0</v>
      </c>
      <c r="W95" s="190">
        <v>0</v>
      </c>
      <c r="X95" s="190">
        <v>0</v>
      </c>
      <c r="Y95" s="190">
        <v>0</v>
      </c>
      <c r="Z95" s="190">
        <v>0</v>
      </c>
      <c r="AA95" s="190">
        <v>0</v>
      </c>
      <c r="AB95" s="190">
        <v>0</v>
      </c>
      <c r="AC95" s="190">
        <v>0</v>
      </c>
      <c r="AD95" s="190">
        <v>0</v>
      </c>
      <c r="AE95" s="190">
        <v>0</v>
      </c>
      <c r="AF95" s="190">
        <v>0</v>
      </c>
      <c r="AG95" s="190">
        <v>0</v>
      </c>
      <c r="AH95" s="190">
        <v>0</v>
      </c>
      <c r="AI95" s="190">
        <v>0</v>
      </c>
      <c r="AJ95" s="190">
        <v>0</v>
      </c>
    </row>
    <row r="96" spans="1:36" x14ac:dyDescent="0.35">
      <c r="A96" t="s">
        <v>1475</v>
      </c>
      <c r="B96" s="188" t="s">
        <v>1342</v>
      </c>
      <c r="C96" t="s">
        <v>1343</v>
      </c>
      <c r="D96" s="188">
        <v>30</v>
      </c>
      <c r="E96" t="s">
        <v>1459</v>
      </c>
      <c r="F96" t="s">
        <v>1381</v>
      </c>
      <c r="G96" s="190" t="s">
        <v>1476</v>
      </c>
      <c r="H96" s="190">
        <v>0</v>
      </c>
      <c r="I96" s="190">
        <v>0</v>
      </c>
      <c r="J96" s="190">
        <v>0</v>
      </c>
      <c r="K96" s="190">
        <v>0</v>
      </c>
      <c r="L96" s="190">
        <v>0</v>
      </c>
      <c r="M96" s="190">
        <v>0</v>
      </c>
      <c r="N96" s="190">
        <v>0</v>
      </c>
      <c r="O96" s="190">
        <v>0</v>
      </c>
      <c r="P96" s="190">
        <v>0</v>
      </c>
      <c r="Q96" s="190">
        <v>0</v>
      </c>
      <c r="R96" s="190">
        <v>0</v>
      </c>
      <c r="S96" s="190">
        <v>0</v>
      </c>
      <c r="T96" s="190">
        <v>0</v>
      </c>
      <c r="U96" s="190">
        <v>0</v>
      </c>
      <c r="V96" s="190">
        <v>0</v>
      </c>
      <c r="W96" s="190">
        <v>0</v>
      </c>
      <c r="X96" s="190">
        <v>0</v>
      </c>
      <c r="Y96" s="190">
        <v>0</v>
      </c>
      <c r="Z96" s="190">
        <v>0</v>
      </c>
      <c r="AA96" s="190">
        <v>0</v>
      </c>
      <c r="AB96" s="190">
        <v>0</v>
      </c>
      <c r="AC96" s="190">
        <v>0</v>
      </c>
      <c r="AD96" s="190">
        <v>0</v>
      </c>
      <c r="AE96" s="190">
        <v>0</v>
      </c>
      <c r="AF96" s="190">
        <v>0</v>
      </c>
      <c r="AG96" s="190">
        <v>0</v>
      </c>
      <c r="AH96" s="190">
        <v>0</v>
      </c>
      <c r="AI96" s="190">
        <v>0</v>
      </c>
      <c r="AJ96" s="190">
        <v>0</v>
      </c>
    </row>
    <row r="97" spans="1:36" x14ac:dyDescent="0.35">
      <c r="A97" t="s">
        <v>1477</v>
      </c>
      <c r="B97" s="188" t="s">
        <v>1342</v>
      </c>
      <c r="C97" t="s">
        <v>1348</v>
      </c>
      <c r="D97" s="188">
        <v>30</v>
      </c>
      <c r="E97" t="s">
        <v>1459</v>
      </c>
      <c r="F97" t="s">
        <v>1381</v>
      </c>
      <c r="G97" s="190" t="s">
        <v>1476</v>
      </c>
      <c r="H97" s="190">
        <v>0</v>
      </c>
      <c r="I97" s="190">
        <v>0</v>
      </c>
      <c r="J97" s="190">
        <v>0</v>
      </c>
      <c r="K97" s="190">
        <v>0</v>
      </c>
      <c r="L97" s="190">
        <v>0</v>
      </c>
      <c r="M97" s="190">
        <v>0</v>
      </c>
      <c r="N97" s="190">
        <v>0</v>
      </c>
      <c r="O97" s="190">
        <v>0</v>
      </c>
      <c r="P97" s="190">
        <v>0</v>
      </c>
      <c r="Q97" s="190">
        <v>0</v>
      </c>
      <c r="R97" s="190">
        <v>0</v>
      </c>
      <c r="S97" s="190">
        <v>0</v>
      </c>
      <c r="T97" s="190">
        <v>0</v>
      </c>
      <c r="U97" s="190">
        <v>0</v>
      </c>
      <c r="V97" s="190">
        <v>0</v>
      </c>
      <c r="W97" s="190">
        <v>0</v>
      </c>
      <c r="X97" s="190">
        <v>0</v>
      </c>
      <c r="Y97" s="190">
        <v>0</v>
      </c>
      <c r="Z97" s="190">
        <v>0</v>
      </c>
      <c r="AA97" s="190">
        <v>0</v>
      </c>
      <c r="AB97" s="190">
        <v>0</v>
      </c>
      <c r="AC97" s="190">
        <v>0</v>
      </c>
      <c r="AD97" s="190">
        <v>0</v>
      </c>
      <c r="AE97" s="190">
        <v>0</v>
      </c>
      <c r="AF97" s="190">
        <v>0</v>
      </c>
      <c r="AG97" s="190">
        <v>0</v>
      </c>
      <c r="AH97" s="190">
        <v>0</v>
      </c>
      <c r="AI97" s="190">
        <v>0</v>
      </c>
      <c r="AJ97" s="190">
        <v>0</v>
      </c>
    </row>
    <row r="98" spans="1:36" x14ac:dyDescent="0.35">
      <c r="A98" t="s">
        <v>1478</v>
      </c>
      <c r="B98" s="188" t="s">
        <v>1342</v>
      </c>
      <c r="C98" t="s">
        <v>1350</v>
      </c>
      <c r="D98" s="188">
        <v>30</v>
      </c>
      <c r="E98" t="s">
        <v>1459</v>
      </c>
      <c r="F98" t="s">
        <v>1381</v>
      </c>
      <c r="G98" s="190" t="s">
        <v>1476</v>
      </c>
      <c r="H98" s="190">
        <v>0</v>
      </c>
      <c r="I98" s="190">
        <v>0</v>
      </c>
      <c r="J98" s="190">
        <v>0</v>
      </c>
      <c r="K98" s="190">
        <v>0</v>
      </c>
      <c r="L98" s="190">
        <v>0</v>
      </c>
      <c r="M98" s="190">
        <v>0</v>
      </c>
      <c r="N98" s="190">
        <v>0</v>
      </c>
      <c r="O98" s="190">
        <v>0</v>
      </c>
      <c r="P98" s="190">
        <v>0</v>
      </c>
      <c r="Q98" s="190">
        <v>0</v>
      </c>
      <c r="R98" s="190">
        <v>0</v>
      </c>
      <c r="S98" s="190">
        <v>0</v>
      </c>
      <c r="T98" s="190">
        <v>0</v>
      </c>
      <c r="U98" s="190">
        <v>0</v>
      </c>
      <c r="V98" s="190">
        <v>0</v>
      </c>
      <c r="W98" s="190">
        <v>0</v>
      </c>
      <c r="X98" s="190">
        <v>0</v>
      </c>
      <c r="Y98" s="190">
        <v>0</v>
      </c>
      <c r="Z98" s="190">
        <v>0</v>
      </c>
      <c r="AA98" s="190">
        <v>0</v>
      </c>
      <c r="AB98" s="190">
        <v>0</v>
      </c>
      <c r="AC98" s="190">
        <v>0</v>
      </c>
      <c r="AD98" s="190">
        <v>0</v>
      </c>
      <c r="AE98" s="190">
        <v>0</v>
      </c>
      <c r="AF98" s="190">
        <v>0</v>
      </c>
      <c r="AG98" s="190">
        <v>0</v>
      </c>
      <c r="AH98" s="190">
        <v>0</v>
      </c>
      <c r="AI98" s="190">
        <v>0</v>
      </c>
      <c r="AJ98" s="190">
        <v>0</v>
      </c>
    </row>
    <row r="99" spans="1:36" x14ac:dyDescent="0.35">
      <c r="A99" t="s">
        <v>1479</v>
      </c>
      <c r="B99" s="188" t="s">
        <v>1342</v>
      </c>
      <c r="C99" t="s">
        <v>1343</v>
      </c>
      <c r="D99" s="188">
        <v>30</v>
      </c>
      <c r="E99" t="s">
        <v>1459</v>
      </c>
      <c r="F99" t="s">
        <v>1386</v>
      </c>
      <c r="G99" s="190" t="s">
        <v>1480</v>
      </c>
      <c r="H99" s="190">
        <v>0</v>
      </c>
      <c r="I99" s="190">
        <v>0</v>
      </c>
      <c r="J99" s="190">
        <v>0</v>
      </c>
      <c r="K99" s="190">
        <v>0</v>
      </c>
      <c r="L99" s="190">
        <v>0</v>
      </c>
      <c r="M99" s="190">
        <v>0</v>
      </c>
      <c r="N99" s="190">
        <v>0</v>
      </c>
      <c r="O99" s="190">
        <v>0</v>
      </c>
      <c r="P99" s="190">
        <v>0</v>
      </c>
      <c r="Q99" s="190">
        <v>0</v>
      </c>
      <c r="R99" s="190">
        <v>0</v>
      </c>
      <c r="S99" s="190">
        <v>0</v>
      </c>
      <c r="T99" s="190">
        <v>0</v>
      </c>
      <c r="U99" s="190">
        <v>0</v>
      </c>
      <c r="V99" s="190">
        <v>0</v>
      </c>
      <c r="W99" s="190">
        <v>0</v>
      </c>
      <c r="X99" s="190">
        <v>0</v>
      </c>
      <c r="Y99" s="190">
        <v>0</v>
      </c>
      <c r="Z99" s="190">
        <v>0</v>
      </c>
      <c r="AA99" s="190">
        <v>0</v>
      </c>
      <c r="AB99" s="190">
        <v>0</v>
      </c>
      <c r="AC99" s="190">
        <v>0</v>
      </c>
      <c r="AD99" s="190">
        <v>0</v>
      </c>
      <c r="AE99" s="190">
        <v>0</v>
      </c>
      <c r="AF99" s="190">
        <v>0</v>
      </c>
      <c r="AG99" s="190">
        <v>0</v>
      </c>
      <c r="AH99" s="190">
        <v>0</v>
      </c>
      <c r="AI99" s="190">
        <v>0</v>
      </c>
      <c r="AJ99" s="190">
        <v>0</v>
      </c>
    </row>
    <row r="100" spans="1:36" x14ac:dyDescent="0.35">
      <c r="A100" t="s">
        <v>1481</v>
      </c>
      <c r="B100" s="188" t="s">
        <v>1342</v>
      </c>
      <c r="C100" t="s">
        <v>1348</v>
      </c>
      <c r="D100" s="188">
        <v>30</v>
      </c>
      <c r="E100" t="s">
        <v>1459</v>
      </c>
      <c r="F100" t="s">
        <v>1386</v>
      </c>
      <c r="G100" s="190" t="s">
        <v>1480</v>
      </c>
      <c r="H100" s="190">
        <v>0</v>
      </c>
      <c r="I100" s="190">
        <v>0</v>
      </c>
      <c r="J100" s="190">
        <v>0</v>
      </c>
      <c r="K100" s="190">
        <v>0</v>
      </c>
      <c r="L100" s="190">
        <v>0</v>
      </c>
      <c r="M100" s="190">
        <v>0</v>
      </c>
      <c r="N100" s="190">
        <v>0</v>
      </c>
      <c r="O100" s="190">
        <v>0</v>
      </c>
      <c r="P100" s="190">
        <v>0</v>
      </c>
      <c r="Q100" s="190">
        <v>0</v>
      </c>
      <c r="R100" s="190">
        <v>0</v>
      </c>
      <c r="S100" s="190">
        <v>0</v>
      </c>
      <c r="T100" s="190">
        <v>0</v>
      </c>
      <c r="U100" s="190">
        <v>0</v>
      </c>
      <c r="V100" s="190">
        <v>0</v>
      </c>
      <c r="W100" s="190">
        <v>0</v>
      </c>
      <c r="X100" s="190">
        <v>0</v>
      </c>
      <c r="Y100" s="190">
        <v>0</v>
      </c>
      <c r="Z100" s="190">
        <v>0</v>
      </c>
      <c r="AA100" s="190">
        <v>0</v>
      </c>
      <c r="AB100" s="190">
        <v>0</v>
      </c>
      <c r="AC100" s="190">
        <v>0</v>
      </c>
      <c r="AD100" s="190">
        <v>0</v>
      </c>
      <c r="AE100" s="190">
        <v>0</v>
      </c>
      <c r="AF100" s="190">
        <v>0</v>
      </c>
      <c r="AG100" s="190">
        <v>0</v>
      </c>
      <c r="AH100" s="190">
        <v>0</v>
      </c>
      <c r="AI100" s="190">
        <v>0</v>
      </c>
      <c r="AJ100" s="190">
        <v>0</v>
      </c>
    </row>
    <row r="101" spans="1:36" x14ac:dyDescent="0.35">
      <c r="A101" t="s">
        <v>1482</v>
      </c>
      <c r="B101" s="188" t="s">
        <v>1342</v>
      </c>
      <c r="C101" t="s">
        <v>1350</v>
      </c>
      <c r="D101" s="188">
        <v>30</v>
      </c>
      <c r="E101" t="s">
        <v>1459</v>
      </c>
      <c r="F101" t="s">
        <v>1386</v>
      </c>
      <c r="G101" s="190" t="s">
        <v>1480</v>
      </c>
      <c r="H101" s="190">
        <v>0</v>
      </c>
      <c r="I101" s="190">
        <v>0</v>
      </c>
      <c r="J101" s="190">
        <v>0</v>
      </c>
      <c r="K101" s="190">
        <v>0</v>
      </c>
      <c r="L101" s="190">
        <v>0</v>
      </c>
      <c r="M101" s="190">
        <v>0</v>
      </c>
      <c r="N101" s="190">
        <v>0</v>
      </c>
      <c r="O101" s="190">
        <v>0</v>
      </c>
      <c r="P101" s="190">
        <v>0</v>
      </c>
      <c r="Q101" s="190">
        <v>0</v>
      </c>
      <c r="R101" s="190">
        <v>0</v>
      </c>
      <c r="S101" s="190">
        <v>0</v>
      </c>
      <c r="T101" s="190">
        <v>0</v>
      </c>
      <c r="U101" s="190">
        <v>0</v>
      </c>
      <c r="V101" s="190">
        <v>0</v>
      </c>
      <c r="W101" s="190">
        <v>0</v>
      </c>
      <c r="X101" s="190">
        <v>0</v>
      </c>
      <c r="Y101" s="190">
        <v>0</v>
      </c>
      <c r="Z101" s="190">
        <v>0</v>
      </c>
      <c r="AA101" s="190">
        <v>0</v>
      </c>
      <c r="AB101" s="190">
        <v>0</v>
      </c>
      <c r="AC101" s="190">
        <v>0</v>
      </c>
      <c r="AD101" s="190">
        <v>0</v>
      </c>
      <c r="AE101" s="190">
        <v>0</v>
      </c>
      <c r="AF101" s="190">
        <v>0</v>
      </c>
      <c r="AG101" s="190">
        <v>0</v>
      </c>
      <c r="AH101" s="190">
        <v>0</v>
      </c>
      <c r="AI101" s="190">
        <v>0</v>
      </c>
      <c r="AJ101" s="190">
        <v>0</v>
      </c>
    </row>
    <row r="102" spans="1:36" x14ac:dyDescent="0.35">
      <c r="A102" t="s">
        <v>1483</v>
      </c>
      <c r="B102" s="188" t="s">
        <v>1342</v>
      </c>
      <c r="C102" t="s">
        <v>1343</v>
      </c>
      <c r="D102" s="188">
        <v>30</v>
      </c>
      <c r="E102" t="s">
        <v>1459</v>
      </c>
      <c r="F102" t="s">
        <v>1391</v>
      </c>
      <c r="G102" s="190" t="s">
        <v>1484</v>
      </c>
      <c r="H102" s="190">
        <v>0</v>
      </c>
      <c r="I102" s="190">
        <v>0</v>
      </c>
      <c r="J102" s="190">
        <v>0</v>
      </c>
      <c r="K102" s="190">
        <v>0</v>
      </c>
      <c r="L102" s="190">
        <v>0</v>
      </c>
      <c r="M102" s="190">
        <v>0</v>
      </c>
      <c r="N102" s="190">
        <v>0</v>
      </c>
      <c r="O102" s="190">
        <v>0</v>
      </c>
      <c r="P102" s="190">
        <v>0</v>
      </c>
      <c r="Q102" s="190">
        <v>0</v>
      </c>
      <c r="R102" s="190">
        <v>0</v>
      </c>
      <c r="S102" s="190">
        <v>0</v>
      </c>
      <c r="T102" s="190">
        <v>0</v>
      </c>
      <c r="U102" s="190">
        <v>0</v>
      </c>
      <c r="V102" s="190">
        <v>0</v>
      </c>
      <c r="W102" s="190">
        <v>0</v>
      </c>
      <c r="X102" s="190">
        <v>0</v>
      </c>
      <c r="Y102" s="190">
        <v>0</v>
      </c>
      <c r="Z102" s="190">
        <v>0</v>
      </c>
      <c r="AA102" s="190">
        <v>0</v>
      </c>
      <c r="AB102" s="190">
        <v>0</v>
      </c>
      <c r="AC102" s="190">
        <v>0</v>
      </c>
      <c r="AD102" s="190">
        <v>0</v>
      </c>
      <c r="AE102" s="190">
        <v>0</v>
      </c>
      <c r="AF102" s="190">
        <v>0</v>
      </c>
      <c r="AG102" s="190">
        <v>0</v>
      </c>
      <c r="AH102" s="190">
        <v>0</v>
      </c>
      <c r="AI102" s="190">
        <v>0</v>
      </c>
      <c r="AJ102" s="190">
        <v>0</v>
      </c>
    </row>
    <row r="103" spans="1:36" x14ac:dyDescent="0.35">
      <c r="A103" t="s">
        <v>1485</v>
      </c>
      <c r="B103" s="188" t="s">
        <v>1342</v>
      </c>
      <c r="C103" t="s">
        <v>1348</v>
      </c>
      <c r="D103" s="188">
        <v>30</v>
      </c>
      <c r="E103" t="s">
        <v>1459</v>
      </c>
      <c r="F103" t="s">
        <v>1391</v>
      </c>
      <c r="G103" s="190" t="s">
        <v>1484</v>
      </c>
      <c r="H103" s="190">
        <v>0</v>
      </c>
      <c r="I103" s="190">
        <v>0</v>
      </c>
      <c r="J103" s="190">
        <v>0</v>
      </c>
      <c r="K103" s="190">
        <v>0</v>
      </c>
      <c r="L103" s="190">
        <v>0</v>
      </c>
      <c r="M103" s="190">
        <v>0</v>
      </c>
      <c r="N103" s="190">
        <v>0</v>
      </c>
      <c r="O103" s="190">
        <v>0</v>
      </c>
      <c r="P103" s="190">
        <v>0</v>
      </c>
      <c r="Q103" s="190">
        <v>0</v>
      </c>
      <c r="R103" s="190">
        <v>0</v>
      </c>
      <c r="S103" s="190">
        <v>0</v>
      </c>
      <c r="T103" s="190">
        <v>0</v>
      </c>
      <c r="U103" s="190">
        <v>0</v>
      </c>
      <c r="V103" s="190">
        <v>0</v>
      </c>
      <c r="W103" s="190">
        <v>0</v>
      </c>
      <c r="X103" s="190">
        <v>0</v>
      </c>
      <c r="Y103" s="190">
        <v>0</v>
      </c>
      <c r="Z103" s="190">
        <v>0</v>
      </c>
      <c r="AA103" s="190">
        <v>0</v>
      </c>
      <c r="AB103" s="190">
        <v>0</v>
      </c>
      <c r="AC103" s="190">
        <v>0</v>
      </c>
      <c r="AD103" s="190">
        <v>0</v>
      </c>
      <c r="AE103" s="190">
        <v>0</v>
      </c>
      <c r="AF103" s="190">
        <v>0</v>
      </c>
      <c r="AG103" s="190">
        <v>0</v>
      </c>
      <c r="AH103" s="190">
        <v>0</v>
      </c>
      <c r="AI103" s="190">
        <v>0</v>
      </c>
      <c r="AJ103" s="190">
        <v>0</v>
      </c>
    </row>
    <row r="104" spans="1:36" x14ac:dyDescent="0.35">
      <c r="A104" t="s">
        <v>1486</v>
      </c>
      <c r="B104" s="188" t="s">
        <v>1342</v>
      </c>
      <c r="C104" t="s">
        <v>1350</v>
      </c>
      <c r="D104" s="188">
        <v>30</v>
      </c>
      <c r="E104" t="s">
        <v>1459</v>
      </c>
      <c r="F104" t="s">
        <v>1391</v>
      </c>
      <c r="G104" s="190" t="s">
        <v>1484</v>
      </c>
      <c r="H104" s="190">
        <v>0</v>
      </c>
      <c r="I104" s="190">
        <v>0</v>
      </c>
      <c r="J104" s="190">
        <v>0</v>
      </c>
      <c r="K104" s="190">
        <v>0</v>
      </c>
      <c r="L104" s="190">
        <v>0</v>
      </c>
      <c r="M104" s="190">
        <v>0</v>
      </c>
      <c r="N104" s="190">
        <v>0</v>
      </c>
      <c r="O104" s="190">
        <v>0</v>
      </c>
      <c r="P104" s="190">
        <v>0</v>
      </c>
      <c r="Q104" s="190">
        <v>0</v>
      </c>
      <c r="R104" s="190">
        <v>0</v>
      </c>
      <c r="S104" s="190">
        <v>0</v>
      </c>
      <c r="T104" s="190">
        <v>0</v>
      </c>
      <c r="U104" s="190">
        <v>0</v>
      </c>
      <c r="V104" s="190">
        <v>0</v>
      </c>
      <c r="W104" s="190">
        <v>0</v>
      </c>
      <c r="X104" s="190">
        <v>0</v>
      </c>
      <c r="Y104" s="190">
        <v>0</v>
      </c>
      <c r="Z104" s="190">
        <v>0</v>
      </c>
      <c r="AA104" s="190">
        <v>0</v>
      </c>
      <c r="AB104" s="190">
        <v>0</v>
      </c>
      <c r="AC104" s="190">
        <v>0</v>
      </c>
      <c r="AD104" s="190">
        <v>0</v>
      </c>
      <c r="AE104" s="190">
        <v>0</v>
      </c>
      <c r="AF104" s="190">
        <v>0</v>
      </c>
      <c r="AG104" s="190">
        <v>0</v>
      </c>
      <c r="AH104" s="190">
        <v>0</v>
      </c>
      <c r="AI104" s="190">
        <v>0</v>
      </c>
      <c r="AJ104" s="190">
        <v>0</v>
      </c>
    </row>
    <row r="105" spans="1:36" x14ac:dyDescent="0.35">
      <c r="A105" t="s">
        <v>1487</v>
      </c>
      <c r="B105" s="188" t="s">
        <v>1342</v>
      </c>
      <c r="C105" t="s">
        <v>1343</v>
      </c>
      <c r="D105" s="188">
        <v>30</v>
      </c>
      <c r="E105" t="s">
        <v>1459</v>
      </c>
      <c r="F105" t="s">
        <v>1357</v>
      </c>
      <c r="G105" s="190" t="s">
        <v>1488</v>
      </c>
      <c r="H105" s="190">
        <v>0</v>
      </c>
      <c r="I105" s="190">
        <v>0</v>
      </c>
      <c r="J105" s="190">
        <v>0</v>
      </c>
      <c r="K105" s="190">
        <v>0</v>
      </c>
      <c r="L105" s="190">
        <v>0</v>
      </c>
      <c r="M105" s="190">
        <v>0</v>
      </c>
      <c r="N105" s="190">
        <v>0</v>
      </c>
      <c r="O105" s="190">
        <v>0</v>
      </c>
      <c r="P105" s="190">
        <v>0</v>
      </c>
      <c r="Q105" s="190">
        <v>0</v>
      </c>
      <c r="R105" s="190">
        <v>0</v>
      </c>
      <c r="S105" s="190">
        <v>0</v>
      </c>
      <c r="T105" s="190">
        <v>0</v>
      </c>
      <c r="U105" s="190">
        <v>0</v>
      </c>
      <c r="V105" s="190">
        <v>0</v>
      </c>
      <c r="W105" s="190">
        <v>0</v>
      </c>
      <c r="X105" s="190">
        <v>0</v>
      </c>
      <c r="Y105" s="190">
        <v>0</v>
      </c>
      <c r="Z105" s="190">
        <v>0</v>
      </c>
      <c r="AA105" s="190">
        <v>0</v>
      </c>
      <c r="AB105" s="190">
        <v>0</v>
      </c>
      <c r="AC105" s="190">
        <v>0</v>
      </c>
      <c r="AD105" s="190">
        <v>0</v>
      </c>
      <c r="AE105" s="190">
        <v>0</v>
      </c>
      <c r="AF105" s="190">
        <v>0</v>
      </c>
      <c r="AG105" s="190">
        <v>0</v>
      </c>
      <c r="AH105" s="190">
        <v>0</v>
      </c>
      <c r="AI105" s="190">
        <v>0</v>
      </c>
      <c r="AJ105" s="190">
        <v>0</v>
      </c>
    </row>
    <row r="106" spans="1:36" x14ac:dyDescent="0.35">
      <c r="A106" t="s">
        <v>1489</v>
      </c>
      <c r="B106" s="188" t="s">
        <v>1342</v>
      </c>
      <c r="C106" t="s">
        <v>1348</v>
      </c>
      <c r="D106" s="188">
        <v>30</v>
      </c>
      <c r="E106" t="s">
        <v>1459</v>
      </c>
      <c r="F106" t="s">
        <v>1357</v>
      </c>
      <c r="G106" s="190" t="s">
        <v>1488</v>
      </c>
      <c r="H106" s="190">
        <v>0</v>
      </c>
      <c r="I106" s="190">
        <v>0</v>
      </c>
      <c r="J106" s="190">
        <v>0</v>
      </c>
      <c r="K106" s="190">
        <v>0</v>
      </c>
      <c r="L106" s="190">
        <v>0</v>
      </c>
      <c r="M106" s="190">
        <v>0</v>
      </c>
      <c r="N106" s="190">
        <v>0</v>
      </c>
      <c r="O106" s="190">
        <v>0</v>
      </c>
      <c r="P106" s="190">
        <v>0</v>
      </c>
      <c r="Q106" s="190">
        <v>0</v>
      </c>
      <c r="R106" s="190">
        <v>0</v>
      </c>
      <c r="S106" s="190">
        <v>0</v>
      </c>
      <c r="T106" s="190">
        <v>0</v>
      </c>
      <c r="U106" s="190">
        <v>0</v>
      </c>
      <c r="V106" s="190">
        <v>0</v>
      </c>
      <c r="W106" s="190">
        <v>0</v>
      </c>
      <c r="X106" s="190">
        <v>0</v>
      </c>
      <c r="Y106" s="190">
        <v>0</v>
      </c>
      <c r="Z106" s="190">
        <v>0</v>
      </c>
      <c r="AA106" s="190">
        <v>0</v>
      </c>
      <c r="AB106" s="190">
        <v>0</v>
      </c>
      <c r="AC106" s="190">
        <v>0</v>
      </c>
      <c r="AD106" s="190">
        <v>0</v>
      </c>
      <c r="AE106" s="190">
        <v>0</v>
      </c>
      <c r="AF106" s="190">
        <v>0</v>
      </c>
      <c r="AG106" s="190">
        <v>0</v>
      </c>
      <c r="AH106" s="190">
        <v>0</v>
      </c>
      <c r="AI106" s="190">
        <v>0</v>
      </c>
      <c r="AJ106" s="190">
        <v>0</v>
      </c>
    </row>
    <row r="107" spans="1:36" x14ac:dyDescent="0.35">
      <c r="A107" t="s">
        <v>1490</v>
      </c>
      <c r="B107" s="188" t="s">
        <v>1342</v>
      </c>
      <c r="C107" t="s">
        <v>1350</v>
      </c>
      <c r="D107" s="188">
        <v>30</v>
      </c>
      <c r="E107" t="s">
        <v>1459</v>
      </c>
      <c r="F107" t="s">
        <v>1357</v>
      </c>
      <c r="G107" s="190" t="s">
        <v>1488</v>
      </c>
      <c r="H107" s="190">
        <v>0</v>
      </c>
      <c r="I107" s="190">
        <v>0</v>
      </c>
      <c r="J107" s="190">
        <v>0</v>
      </c>
      <c r="K107" s="190">
        <v>0</v>
      </c>
      <c r="L107" s="190">
        <v>0</v>
      </c>
      <c r="M107" s="190">
        <v>0</v>
      </c>
      <c r="N107" s="190">
        <v>0</v>
      </c>
      <c r="O107" s="190">
        <v>0</v>
      </c>
      <c r="P107" s="190">
        <v>0</v>
      </c>
      <c r="Q107" s="190">
        <v>0</v>
      </c>
      <c r="R107" s="190">
        <v>0</v>
      </c>
      <c r="S107" s="190">
        <v>0</v>
      </c>
      <c r="T107" s="190">
        <v>0</v>
      </c>
      <c r="U107" s="190">
        <v>0</v>
      </c>
      <c r="V107" s="190">
        <v>0</v>
      </c>
      <c r="W107" s="190">
        <v>0</v>
      </c>
      <c r="X107" s="190">
        <v>0</v>
      </c>
      <c r="Y107" s="190">
        <v>0</v>
      </c>
      <c r="Z107" s="190">
        <v>0</v>
      </c>
      <c r="AA107" s="190">
        <v>0</v>
      </c>
      <c r="AB107" s="190">
        <v>0</v>
      </c>
      <c r="AC107" s="190">
        <v>0</v>
      </c>
      <c r="AD107" s="190">
        <v>0</v>
      </c>
      <c r="AE107" s="190">
        <v>0</v>
      </c>
      <c r="AF107" s="190">
        <v>0</v>
      </c>
      <c r="AG107" s="190">
        <v>0</v>
      </c>
      <c r="AH107" s="190">
        <v>0</v>
      </c>
      <c r="AI107" s="190">
        <v>0</v>
      </c>
      <c r="AJ107" s="190">
        <v>0</v>
      </c>
    </row>
    <row r="108" spans="1:36" x14ac:dyDescent="0.35">
      <c r="A108" t="s">
        <v>1491</v>
      </c>
      <c r="B108" s="188" t="s">
        <v>1342</v>
      </c>
      <c r="C108" t="s">
        <v>1343</v>
      </c>
      <c r="D108" s="188">
        <v>30</v>
      </c>
      <c r="E108" t="s">
        <v>1459</v>
      </c>
      <c r="F108" t="s">
        <v>1400</v>
      </c>
      <c r="G108" s="190" t="s">
        <v>1492</v>
      </c>
      <c r="H108" s="190">
        <v>0</v>
      </c>
      <c r="I108" s="190">
        <v>0</v>
      </c>
      <c r="J108" s="190">
        <v>0</v>
      </c>
      <c r="K108" s="190">
        <v>0</v>
      </c>
      <c r="L108" s="190">
        <v>0</v>
      </c>
      <c r="M108" s="190">
        <v>0</v>
      </c>
      <c r="N108" s="190">
        <v>0</v>
      </c>
      <c r="O108" s="190">
        <v>0</v>
      </c>
      <c r="P108" s="190">
        <v>0</v>
      </c>
      <c r="Q108" s="190">
        <v>0</v>
      </c>
      <c r="R108" s="190">
        <v>0</v>
      </c>
      <c r="S108" s="190">
        <v>0</v>
      </c>
      <c r="T108" s="190">
        <v>0</v>
      </c>
      <c r="U108" s="190">
        <v>0</v>
      </c>
      <c r="V108" s="190">
        <v>0</v>
      </c>
      <c r="W108" s="190">
        <v>0</v>
      </c>
      <c r="X108" s="190">
        <v>0</v>
      </c>
      <c r="Y108" s="190">
        <v>0</v>
      </c>
      <c r="Z108" s="190">
        <v>0</v>
      </c>
      <c r="AA108" s="190">
        <v>0</v>
      </c>
      <c r="AB108" s="190">
        <v>0</v>
      </c>
      <c r="AC108" s="190">
        <v>0</v>
      </c>
      <c r="AD108" s="190">
        <v>0</v>
      </c>
      <c r="AE108" s="190">
        <v>0</v>
      </c>
      <c r="AF108" s="190">
        <v>0</v>
      </c>
      <c r="AG108" s="190">
        <v>0</v>
      </c>
      <c r="AH108" s="190">
        <v>0</v>
      </c>
      <c r="AI108" s="190">
        <v>0</v>
      </c>
      <c r="AJ108" s="190">
        <v>0</v>
      </c>
    </row>
    <row r="109" spans="1:36" x14ac:dyDescent="0.35">
      <c r="A109" t="s">
        <v>1493</v>
      </c>
      <c r="B109" s="188" t="s">
        <v>1342</v>
      </c>
      <c r="C109" t="s">
        <v>1348</v>
      </c>
      <c r="D109" s="188">
        <v>30</v>
      </c>
      <c r="E109" t="s">
        <v>1459</v>
      </c>
      <c r="F109" t="s">
        <v>1400</v>
      </c>
      <c r="G109" s="190" t="s">
        <v>1492</v>
      </c>
      <c r="H109" s="190">
        <v>0</v>
      </c>
      <c r="I109" s="190">
        <v>0</v>
      </c>
      <c r="J109" s="190">
        <v>0</v>
      </c>
      <c r="K109" s="190">
        <v>0</v>
      </c>
      <c r="L109" s="190">
        <v>0</v>
      </c>
      <c r="M109" s="190">
        <v>0</v>
      </c>
      <c r="N109" s="190">
        <v>0</v>
      </c>
      <c r="O109" s="190">
        <v>0</v>
      </c>
      <c r="P109" s="190">
        <v>0</v>
      </c>
      <c r="Q109" s="190">
        <v>0</v>
      </c>
      <c r="R109" s="190">
        <v>0</v>
      </c>
      <c r="S109" s="190">
        <v>0</v>
      </c>
      <c r="T109" s="190">
        <v>0</v>
      </c>
      <c r="U109" s="190">
        <v>0</v>
      </c>
      <c r="V109" s="190">
        <v>0</v>
      </c>
      <c r="W109" s="190">
        <v>0</v>
      </c>
      <c r="X109" s="190">
        <v>0</v>
      </c>
      <c r="Y109" s="190">
        <v>0</v>
      </c>
      <c r="Z109" s="190">
        <v>0</v>
      </c>
      <c r="AA109" s="190">
        <v>0</v>
      </c>
      <c r="AB109" s="190">
        <v>0</v>
      </c>
      <c r="AC109" s="190">
        <v>0</v>
      </c>
      <c r="AD109" s="190">
        <v>0</v>
      </c>
      <c r="AE109" s="190">
        <v>0</v>
      </c>
      <c r="AF109" s="190">
        <v>0</v>
      </c>
      <c r="AG109" s="190">
        <v>0</v>
      </c>
      <c r="AH109" s="190">
        <v>0</v>
      </c>
      <c r="AI109" s="190">
        <v>0</v>
      </c>
      <c r="AJ109" s="190">
        <v>0</v>
      </c>
    </row>
    <row r="110" spans="1:36" x14ac:dyDescent="0.35">
      <c r="A110" t="s">
        <v>1494</v>
      </c>
      <c r="B110" s="188" t="s">
        <v>1342</v>
      </c>
      <c r="C110" t="s">
        <v>1350</v>
      </c>
      <c r="D110" s="188">
        <v>30</v>
      </c>
      <c r="E110" t="s">
        <v>1459</v>
      </c>
      <c r="F110" t="s">
        <v>1400</v>
      </c>
      <c r="G110" s="190" t="s">
        <v>1492</v>
      </c>
      <c r="H110" s="190">
        <v>0</v>
      </c>
      <c r="I110" s="190">
        <v>0</v>
      </c>
      <c r="J110" s="190">
        <v>0</v>
      </c>
      <c r="K110" s="190">
        <v>0</v>
      </c>
      <c r="L110" s="190">
        <v>0</v>
      </c>
      <c r="M110" s="190">
        <v>0</v>
      </c>
      <c r="N110" s="190">
        <v>0</v>
      </c>
      <c r="O110" s="190">
        <v>0</v>
      </c>
      <c r="P110" s="190">
        <v>0</v>
      </c>
      <c r="Q110" s="190">
        <v>0</v>
      </c>
      <c r="R110" s="190">
        <v>0</v>
      </c>
      <c r="S110" s="190">
        <v>0</v>
      </c>
      <c r="T110" s="190">
        <v>0</v>
      </c>
      <c r="U110" s="190">
        <v>0</v>
      </c>
      <c r="V110" s="190">
        <v>0</v>
      </c>
      <c r="W110" s="190">
        <v>0</v>
      </c>
      <c r="X110" s="190">
        <v>0</v>
      </c>
      <c r="Y110" s="190">
        <v>0</v>
      </c>
      <c r="Z110" s="190">
        <v>0</v>
      </c>
      <c r="AA110" s="190">
        <v>0</v>
      </c>
      <c r="AB110" s="190">
        <v>0</v>
      </c>
      <c r="AC110" s="190">
        <v>0</v>
      </c>
      <c r="AD110" s="190">
        <v>0</v>
      </c>
      <c r="AE110" s="190">
        <v>0</v>
      </c>
      <c r="AF110" s="190">
        <v>0</v>
      </c>
      <c r="AG110" s="190">
        <v>0</v>
      </c>
      <c r="AH110" s="190">
        <v>0</v>
      </c>
      <c r="AI110" s="190">
        <v>0</v>
      </c>
      <c r="AJ110" s="190">
        <v>0</v>
      </c>
    </row>
    <row r="111" spans="1:36" x14ac:dyDescent="0.35">
      <c r="A111" t="s">
        <v>1495</v>
      </c>
      <c r="B111" s="188" t="s">
        <v>1342</v>
      </c>
      <c r="C111" t="s">
        <v>1343</v>
      </c>
      <c r="D111" s="188">
        <v>30</v>
      </c>
      <c r="E111" t="s">
        <v>1459</v>
      </c>
      <c r="F111" t="s">
        <v>1405</v>
      </c>
      <c r="G111" s="190" t="s">
        <v>1496</v>
      </c>
      <c r="H111" s="190">
        <v>0</v>
      </c>
      <c r="I111" s="190">
        <v>0</v>
      </c>
      <c r="J111" s="190">
        <v>0</v>
      </c>
      <c r="K111" s="190">
        <v>0</v>
      </c>
      <c r="L111" s="190">
        <v>0</v>
      </c>
      <c r="M111" s="190">
        <v>0</v>
      </c>
      <c r="N111" s="190">
        <v>0</v>
      </c>
      <c r="O111" s="190">
        <v>0</v>
      </c>
      <c r="P111" s="190">
        <v>0</v>
      </c>
      <c r="Q111" s="190">
        <v>0</v>
      </c>
      <c r="R111" s="190">
        <v>0</v>
      </c>
      <c r="S111" s="190">
        <v>0</v>
      </c>
      <c r="T111" s="190">
        <v>0</v>
      </c>
      <c r="U111" s="190">
        <v>0</v>
      </c>
      <c r="V111" s="190">
        <v>0</v>
      </c>
      <c r="W111" s="190">
        <v>0</v>
      </c>
      <c r="X111" s="190">
        <v>0</v>
      </c>
      <c r="Y111" s="190">
        <v>0</v>
      </c>
      <c r="Z111" s="190">
        <v>0</v>
      </c>
      <c r="AA111" s="190">
        <v>0</v>
      </c>
      <c r="AB111" s="190">
        <v>0</v>
      </c>
      <c r="AC111" s="190">
        <v>0</v>
      </c>
      <c r="AD111" s="190">
        <v>0</v>
      </c>
      <c r="AE111" s="190">
        <v>0</v>
      </c>
      <c r="AF111" s="190">
        <v>0</v>
      </c>
      <c r="AG111" s="190">
        <v>0</v>
      </c>
      <c r="AH111" s="190">
        <v>0</v>
      </c>
      <c r="AI111" s="190">
        <v>0</v>
      </c>
      <c r="AJ111" s="190">
        <v>0</v>
      </c>
    </row>
    <row r="112" spans="1:36" x14ac:dyDescent="0.35">
      <c r="A112" t="s">
        <v>1497</v>
      </c>
      <c r="B112" s="188" t="s">
        <v>1342</v>
      </c>
      <c r="C112" t="s">
        <v>1348</v>
      </c>
      <c r="D112" s="188">
        <v>30</v>
      </c>
      <c r="E112" t="s">
        <v>1459</v>
      </c>
      <c r="F112" t="s">
        <v>1405</v>
      </c>
      <c r="G112" s="190" t="s">
        <v>1496</v>
      </c>
      <c r="H112" s="190">
        <v>0</v>
      </c>
      <c r="I112" s="190">
        <v>0</v>
      </c>
      <c r="J112" s="190">
        <v>0</v>
      </c>
      <c r="K112" s="190">
        <v>0</v>
      </c>
      <c r="L112" s="190">
        <v>0</v>
      </c>
      <c r="M112" s="190">
        <v>0</v>
      </c>
      <c r="N112" s="190">
        <v>0</v>
      </c>
      <c r="O112" s="190">
        <v>0</v>
      </c>
      <c r="P112" s="190">
        <v>0</v>
      </c>
      <c r="Q112" s="190">
        <v>0</v>
      </c>
      <c r="R112" s="190">
        <v>0</v>
      </c>
      <c r="S112" s="190">
        <v>0</v>
      </c>
      <c r="T112" s="190">
        <v>0</v>
      </c>
      <c r="U112" s="190">
        <v>0</v>
      </c>
      <c r="V112" s="190">
        <v>0</v>
      </c>
      <c r="W112" s="190">
        <v>0</v>
      </c>
      <c r="X112" s="190">
        <v>0</v>
      </c>
      <c r="Y112" s="190">
        <v>0</v>
      </c>
      <c r="Z112" s="190">
        <v>0</v>
      </c>
      <c r="AA112" s="190">
        <v>0</v>
      </c>
      <c r="AB112" s="190">
        <v>0</v>
      </c>
      <c r="AC112" s="190">
        <v>0</v>
      </c>
      <c r="AD112" s="190">
        <v>0</v>
      </c>
      <c r="AE112" s="190">
        <v>0</v>
      </c>
      <c r="AF112" s="190">
        <v>0</v>
      </c>
      <c r="AG112" s="190">
        <v>0</v>
      </c>
      <c r="AH112" s="190">
        <v>0</v>
      </c>
      <c r="AI112" s="190">
        <v>0</v>
      </c>
      <c r="AJ112" s="190">
        <v>0</v>
      </c>
    </row>
    <row r="113" spans="1:36" x14ac:dyDescent="0.35">
      <c r="A113" t="s">
        <v>1498</v>
      </c>
      <c r="B113" s="188" t="s">
        <v>1342</v>
      </c>
      <c r="C113" t="s">
        <v>1350</v>
      </c>
      <c r="D113" s="188">
        <v>30</v>
      </c>
      <c r="E113" t="s">
        <v>1459</v>
      </c>
      <c r="F113" t="s">
        <v>1405</v>
      </c>
      <c r="G113" s="190" t="s">
        <v>1496</v>
      </c>
      <c r="H113" s="190">
        <v>0</v>
      </c>
      <c r="I113" s="190">
        <v>0</v>
      </c>
      <c r="J113" s="190">
        <v>0</v>
      </c>
      <c r="K113" s="190">
        <v>0</v>
      </c>
      <c r="L113" s="190">
        <v>0</v>
      </c>
      <c r="M113" s="190">
        <v>0</v>
      </c>
      <c r="N113" s="190">
        <v>0</v>
      </c>
      <c r="O113" s="190">
        <v>0</v>
      </c>
      <c r="P113" s="190">
        <v>0</v>
      </c>
      <c r="Q113" s="190">
        <v>0</v>
      </c>
      <c r="R113" s="190">
        <v>0</v>
      </c>
      <c r="S113" s="190">
        <v>0</v>
      </c>
      <c r="T113" s="190">
        <v>0</v>
      </c>
      <c r="U113" s="190">
        <v>0</v>
      </c>
      <c r="V113" s="190">
        <v>0</v>
      </c>
      <c r="W113" s="190">
        <v>0</v>
      </c>
      <c r="X113" s="190">
        <v>0</v>
      </c>
      <c r="Y113" s="190">
        <v>0</v>
      </c>
      <c r="Z113" s="190">
        <v>0</v>
      </c>
      <c r="AA113" s="190">
        <v>0</v>
      </c>
      <c r="AB113" s="190">
        <v>0</v>
      </c>
      <c r="AC113" s="190">
        <v>0</v>
      </c>
      <c r="AD113" s="190">
        <v>0</v>
      </c>
      <c r="AE113" s="190">
        <v>0</v>
      </c>
      <c r="AF113" s="190">
        <v>0</v>
      </c>
      <c r="AG113" s="190">
        <v>0</v>
      </c>
      <c r="AH113" s="190">
        <v>0</v>
      </c>
      <c r="AI113" s="190">
        <v>0</v>
      </c>
      <c r="AJ113" s="190">
        <v>0</v>
      </c>
    </row>
    <row r="114" spans="1:36" x14ac:dyDescent="0.35">
      <c r="A114" t="s">
        <v>1499</v>
      </c>
      <c r="B114" s="188" t="s">
        <v>1342</v>
      </c>
      <c r="C114" t="s">
        <v>1343</v>
      </c>
      <c r="D114" s="188">
        <v>30</v>
      </c>
      <c r="E114" t="s">
        <v>1500</v>
      </c>
      <c r="F114" t="s">
        <v>1501</v>
      </c>
      <c r="G114" s="189" t="s">
        <v>1502</v>
      </c>
      <c r="H114" s="190">
        <v>0</v>
      </c>
      <c r="I114" s="190">
        <v>0</v>
      </c>
      <c r="J114" s="190">
        <v>0</v>
      </c>
      <c r="K114" s="190">
        <v>0</v>
      </c>
      <c r="L114" s="190">
        <v>0</v>
      </c>
      <c r="M114" s="190">
        <v>0</v>
      </c>
      <c r="N114" s="190">
        <v>0</v>
      </c>
      <c r="O114" s="190">
        <v>0</v>
      </c>
      <c r="P114" s="190">
        <v>0</v>
      </c>
      <c r="Q114" s="190">
        <v>0</v>
      </c>
      <c r="R114" s="190">
        <v>0</v>
      </c>
      <c r="S114" s="190">
        <v>0</v>
      </c>
      <c r="T114" s="190">
        <v>0</v>
      </c>
      <c r="U114" s="190">
        <v>0</v>
      </c>
      <c r="V114" s="190">
        <v>0</v>
      </c>
      <c r="W114" s="190">
        <v>0</v>
      </c>
      <c r="X114" s="190">
        <v>0</v>
      </c>
      <c r="Y114" s="190">
        <v>0</v>
      </c>
      <c r="Z114" s="190">
        <v>0</v>
      </c>
      <c r="AA114" s="190">
        <v>0</v>
      </c>
      <c r="AB114" s="190">
        <v>0</v>
      </c>
      <c r="AC114" s="190">
        <v>0</v>
      </c>
      <c r="AD114" s="190">
        <v>0</v>
      </c>
      <c r="AE114" s="190">
        <v>0</v>
      </c>
      <c r="AF114" s="190">
        <v>0</v>
      </c>
      <c r="AG114" s="190">
        <v>0</v>
      </c>
      <c r="AH114" s="190">
        <v>0</v>
      </c>
      <c r="AI114" s="190">
        <v>0</v>
      </c>
      <c r="AJ114" s="190">
        <v>0</v>
      </c>
    </row>
    <row r="115" spans="1:36" x14ac:dyDescent="0.35">
      <c r="A115" t="s">
        <v>1503</v>
      </c>
      <c r="B115" s="188" t="s">
        <v>1342</v>
      </c>
      <c r="C115" t="s">
        <v>1348</v>
      </c>
      <c r="D115" s="188">
        <v>30</v>
      </c>
      <c r="E115" t="s">
        <v>1500</v>
      </c>
      <c r="F115" t="s">
        <v>1501</v>
      </c>
      <c r="G115" s="189" t="s">
        <v>1502</v>
      </c>
      <c r="H115" s="190">
        <v>0</v>
      </c>
      <c r="I115" s="190">
        <v>0</v>
      </c>
      <c r="J115" s="190">
        <v>0</v>
      </c>
      <c r="K115" s="190">
        <v>0</v>
      </c>
      <c r="L115" s="190">
        <v>0</v>
      </c>
      <c r="M115" s="190">
        <v>0</v>
      </c>
      <c r="N115" s="190">
        <v>0</v>
      </c>
      <c r="O115" s="190">
        <v>0</v>
      </c>
      <c r="P115" s="190">
        <v>0</v>
      </c>
      <c r="Q115" s="190">
        <v>0</v>
      </c>
      <c r="R115" s="190">
        <v>0</v>
      </c>
      <c r="S115" s="190">
        <v>0</v>
      </c>
      <c r="T115" s="190">
        <v>0</v>
      </c>
      <c r="U115" s="190">
        <v>0</v>
      </c>
      <c r="V115" s="190">
        <v>0</v>
      </c>
      <c r="W115" s="190">
        <v>0</v>
      </c>
      <c r="X115" s="190">
        <v>0</v>
      </c>
      <c r="Y115" s="190">
        <v>0</v>
      </c>
      <c r="Z115" s="190">
        <v>0</v>
      </c>
      <c r="AA115" s="190">
        <v>0</v>
      </c>
      <c r="AB115" s="190">
        <v>0</v>
      </c>
      <c r="AC115" s="190">
        <v>0</v>
      </c>
      <c r="AD115" s="190">
        <v>0</v>
      </c>
      <c r="AE115" s="190">
        <v>0</v>
      </c>
      <c r="AF115" s="190">
        <v>0</v>
      </c>
      <c r="AG115" s="190">
        <v>0</v>
      </c>
      <c r="AH115" s="190">
        <v>0</v>
      </c>
      <c r="AI115" s="190">
        <v>0</v>
      </c>
      <c r="AJ115" s="190">
        <v>0</v>
      </c>
    </row>
    <row r="116" spans="1:36" x14ac:dyDescent="0.35">
      <c r="A116" t="s">
        <v>1504</v>
      </c>
      <c r="B116" s="188" t="s">
        <v>1342</v>
      </c>
      <c r="C116" t="s">
        <v>1350</v>
      </c>
      <c r="D116" s="188">
        <v>30</v>
      </c>
      <c r="E116" t="s">
        <v>1500</v>
      </c>
      <c r="F116" t="s">
        <v>1501</v>
      </c>
      <c r="G116" s="189" t="s">
        <v>1502</v>
      </c>
      <c r="H116" s="190">
        <v>0</v>
      </c>
      <c r="I116" s="190">
        <v>0</v>
      </c>
      <c r="J116" s="190">
        <v>0</v>
      </c>
      <c r="K116" s="190">
        <v>0</v>
      </c>
      <c r="L116" s="190">
        <v>0</v>
      </c>
      <c r="M116" s="190">
        <v>0</v>
      </c>
      <c r="N116" s="190">
        <v>0</v>
      </c>
      <c r="O116" s="190">
        <v>0</v>
      </c>
      <c r="P116" s="190">
        <v>0</v>
      </c>
      <c r="Q116" s="190">
        <v>0</v>
      </c>
      <c r="R116" s="190">
        <v>0</v>
      </c>
      <c r="S116" s="190">
        <v>0</v>
      </c>
      <c r="T116" s="190">
        <v>0</v>
      </c>
      <c r="U116" s="190">
        <v>0</v>
      </c>
      <c r="V116" s="190">
        <v>0</v>
      </c>
      <c r="W116" s="190">
        <v>0</v>
      </c>
      <c r="X116" s="190">
        <v>0</v>
      </c>
      <c r="Y116" s="190">
        <v>0</v>
      </c>
      <c r="Z116" s="190">
        <v>0</v>
      </c>
      <c r="AA116" s="190">
        <v>0</v>
      </c>
      <c r="AB116" s="190">
        <v>0</v>
      </c>
      <c r="AC116" s="190">
        <v>0</v>
      </c>
      <c r="AD116" s="190">
        <v>0</v>
      </c>
      <c r="AE116" s="190">
        <v>0</v>
      </c>
      <c r="AF116" s="190">
        <v>0</v>
      </c>
      <c r="AG116" s="190">
        <v>0</v>
      </c>
      <c r="AH116" s="190">
        <v>0</v>
      </c>
      <c r="AI116" s="190">
        <v>0</v>
      </c>
      <c r="AJ116" s="190">
        <v>0</v>
      </c>
    </row>
    <row r="117" spans="1:36" x14ac:dyDescent="0.35">
      <c r="A117" t="s">
        <v>1505</v>
      </c>
      <c r="B117" s="188" t="s">
        <v>1342</v>
      </c>
      <c r="C117" t="s">
        <v>1343</v>
      </c>
      <c r="D117" s="188">
        <v>30</v>
      </c>
      <c r="E117" t="s">
        <v>1500</v>
      </c>
      <c r="F117" t="s">
        <v>1506</v>
      </c>
      <c r="G117" s="189" t="s">
        <v>1507</v>
      </c>
      <c r="H117" s="190">
        <v>0</v>
      </c>
      <c r="I117" s="190">
        <v>0</v>
      </c>
      <c r="J117" s="190">
        <v>0</v>
      </c>
      <c r="K117" s="190">
        <v>0</v>
      </c>
      <c r="L117" s="190">
        <v>0</v>
      </c>
      <c r="M117" s="190">
        <v>0</v>
      </c>
      <c r="N117" s="190">
        <v>0</v>
      </c>
      <c r="O117" s="190">
        <v>0</v>
      </c>
      <c r="P117" s="190">
        <v>0</v>
      </c>
      <c r="Q117" s="190">
        <v>0</v>
      </c>
      <c r="R117" s="190">
        <v>0</v>
      </c>
      <c r="S117" s="190">
        <v>0</v>
      </c>
      <c r="T117" s="190">
        <v>0</v>
      </c>
      <c r="U117" s="190">
        <v>0</v>
      </c>
      <c r="V117" s="190">
        <v>0</v>
      </c>
      <c r="W117" s="190">
        <v>0</v>
      </c>
      <c r="X117" s="190">
        <v>0</v>
      </c>
      <c r="Y117" s="190">
        <v>0</v>
      </c>
      <c r="Z117" s="190">
        <v>0</v>
      </c>
      <c r="AA117" s="190">
        <v>0</v>
      </c>
      <c r="AB117" s="190">
        <v>0</v>
      </c>
      <c r="AC117" s="190">
        <v>0</v>
      </c>
      <c r="AD117" s="190">
        <v>0</v>
      </c>
      <c r="AE117" s="190">
        <v>0</v>
      </c>
      <c r="AF117" s="190">
        <v>0</v>
      </c>
      <c r="AG117" s="190">
        <v>0</v>
      </c>
      <c r="AH117" s="190">
        <v>0</v>
      </c>
      <c r="AI117" s="190">
        <v>0</v>
      </c>
      <c r="AJ117" s="190">
        <v>0</v>
      </c>
    </row>
    <row r="118" spans="1:36" x14ac:dyDescent="0.35">
      <c r="A118" t="s">
        <v>1508</v>
      </c>
      <c r="B118" s="188" t="s">
        <v>1342</v>
      </c>
      <c r="C118" t="s">
        <v>1348</v>
      </c>
      <c r="D118" s="188">
        <v>30</v>
      </c>
      <c r="E118" t="s">
        <v>1500</v>
      </c>
      <c r="F118" t="s">
        <v>1506</v>
      </c>
      <c r="G118" s="189" t="s">
        <v>1507</v>
      </c>
      <c r="H118" s="190">
        <v>0</v>
      </c>
      <c r="I118" s="190">
        <v>0</v>
      </c>
      <c r="J118" s="190">
        <v>0</v>
      </c>
      <c r="K118" s="190">
        <v>0</v>
      </c>
      <c r="L118" s="190">
        <v>0</v>
      </c>
      <c r="M118" s="190">
        <v>0</v>
      </c>
      <c r="N118" s="190">
        <v>0</v>
      </c>
      <c r="O118" s="190">
        <v>0</v>
      </c>
      <c r="P118" s="190">
        <v>0</v>
      </c>
      <c r="Q118" s="190">
        <v>0</v>
      </c>
      <c r="R118" s="190">
        <v>0</v>
      </c>
      <c r="S118" s="190">
        <v>0</v>
      </c>
      <c r="T118" s="190">
        <v>0</v>
      </c>
      <c r="U118" s="190">
        <v>0</v>
      </c>
      <c r="V118" s="190">
        <v>0</v>
      </c>
      <c r="W118" s="190">
        <v>0</v>
      </c>
      <c r="X118" s="190">
        <v>0</v>
      </c>
      <c r="Y118" s="190">
        <v>0</v>
      </c>
      <c r="Z118" s="190">
        <v>0</v>
      </c>
      <c r="AA118" s="190">
        <v>0</v>
      </c>
      <c r="AB118" s="190">
        <v>0</v>
      </c>
      <c r="AC118" s="190">
        <v>0</v>
      </c>
      <c r="AD118" s="190">
        <v>0</v>
      </c>
      <c r="AE118" s="190">
        <v>0</v>
      </c>
      <c r="AF118" s="190">
        <v>0</v>
      </c>
      <c r="AG118" s="190">
        <v>0</v>
      </c>
      <c r="AH118" s="190">
        <v>0</v>
      </c>
      <c r="AI118" s="190">
        <v>0</v>
      </c>
      <c r="AJ118" s="190">
        <v>0</v>
      </c>
    </row>
    <row r="119" spans="1:36" x14ac:dyDescent="0.35">
      <c r="A119" t="s">
        <v>1509</v>
      </c>
      <c r="B119" s="188" t="s">
        <v>1342</v>
      </c>
      <c r="C119" t="s">
        <v>1350</v>
      </c>
      <c r="D119" s="188">
        <v>30</v>
      </c>
      <c r="E119" t="s">
        <v>1500</v>
      </c>
      <c r="F119" t="s">
        <v>1506</v>
      </c>
      <c r="G119" s="189" t="s">
        <v>1507</v>
      </c>
      <c r="H119" s="190">
        <v>0</v>
      </c>
      <c r="I119" s="190">
        <v>0</v>
      </c>
      <c r="J119" s="190">
        <v>0</v>
      </c>
      <c r="K119" s="190">
        <v>0</v>
      </c>
      <c r="L119" s="190">
        <v>0</v>
      </c>
      <c r="M119" s="190">
        <v>0</v>
      </c>
      <c r="N119" s="190">
        <v>0</v>
      </c>
      <c r="O119" s="190">
        <v>0</v>
      </c>
      <c r="P119" s="190">
        <v>0</v>
      </c>
      <c r="Q119" s="190">
        <v>0</v>
      </c>
      <c r="R119" s="190">
        <v>0</v>
      </c>
      <c r="S119" s="190">
        <v>0</v>
      </c>
      <c r="T119" s="190">
        <v>0</v>
      </c>
      <c r="U119" s="190">
        <v>0</v>
      </c>
      <c r="V119" s="190">
        <v>0</v>
      </c>
      <c r="W119" s="190">
        <v>0</v>
      </c>
      <c r="X119" s="190">
        <v>0</v>
      </c>
      <c r="Y119" s="190">
        <v>0</v>
      </c>
      <c r="Z119" s="190">
        <v>0</v>
      </c>
      <c r="AA119" s="190">
        <v>0</v>
      </c>
      <c r="AB119" s="190">
        <v>0</v>
      </c>
      <c r="AC119" s="190">
        <v>0</v>
      </c>
      <c r="AD119" s="190">
        <v>0</v>
      </c>
      <c r="AE119" s="190">
        <v>0</v>
      </c>
      <c r="AF119" s="190">
        <v>0</v>
      </c>
      <c r="AG119" s="190">
        <v>0</v>
      </c>
      <c r="AH119" s="190">
        <v>0</v>
      </c>
      <c r="AI119" s="190">
        <v>0</v>
      </c>
      <c r="AJ119" s="190">
        <v>0</v>
      </c>
    </row>
    <row r="120" spans="1:36" x14ac:dyDescent="0.35">
      <c r="A120" t="s">
        <v>1510</v>
      </c>
      <c r="B120" s="188" t="s">
        <v>1342</v>
      </c>
      <c r="C120" t="s">
        <v>1343</v>
      </c>
      <c r="D120" s="188">
        <v>30</v>
      </c>
      <c r="E120" t="s">
        <v>1500</v>
      </c>
      <c r="F120" t="s">
        <v>1511</v>
      </c>
      <c r="G120" s="189" t="s">
        <v>1512</v>
      </c>
      <c r="H120" s="190">
        <v>0</v>
      </c>
      <c r="I120" s="190">
        <v>0</v>
      </c>
      <c r="J120" s="190">
        <v>0</v>
      </c>
      <c r="K120" s="190">
        <v>0</v>
      </c>
      <c r="L120" s="190">
        <v>0</v>
      </c>
      <c r="M120" s="190">
        <v>0</v>
      </c>
      <c r="N120" s="190">
        <v>0</v>
      </c>
      <c r="O120" s="190">
        <v>0</v>
      </c>
      <c r="P120" s="190">
        <v>0</v>
      </c>
      <c r="Q120" s="190">
        <v>0</v>
      </c>
      <c r="R120" s="190">
        <v>0</v>
      </c>
      <c r="S120" s="190">
        <v>0</v>
      </c>
      <c r="T120" s="190">
        <v>0</v>
      </c>
      <c r="U120" s="190">
        <v>0</v>
      </c>
      <c r="V120" s="190">
        <v>0</v>
      </c>
      <c r="W120" s="190">
        <v>0</v>
      </c>
      <c r="X120" s="190">
        <v>0</v>
      </c>
      <c r="Y120" s="190">
        <v>0</v>
      </c>
      <c r="Z120" s="190">
        <v>0</v>
      </c>
      <c r="AA120" s="190">
        <v>0</v>
      </c>
      <c r="AB120" s="190">
        <v>0</v>
      </c>
      <c r="AC120" s="190">
        <v>0</v>
      </c>
      <c r="AD120" s="190">
        <v>0</v>
      </c>
      <c r="AE120" s="190">
        <v>0</v>
      </c>
      <c r="AF120" s="190">
        <v>0</v>
      </c>
      <c r="AG120" s="190">
        <v>0</v>
      </c>
      <c r="AH120" s="190">
        <v>0</v>
      </c>
      <c r="AI120" s="190">
        <v>0</v>
      </c>
      <c r="AJ120" s="190">
        <v>0</v>
      </c>
    </row>
    <row r="121" spans="1:36" x14ac:dyDescent="0.35">
      <c r="A121" t="s">
        <v>1513</v>
      </c>
      <c r="B121" s="188" t="s">
        <v>1342</v>
      </c>
      <c r="C121" t="s">
        <v>1348</v>
      </c>
      <c r="D121" s="188">
        <v>30</v>
      </c>
      <c r="E121" t="s">
        <v>1500</v>
      </c>
      <c r="F121" t="s">
        <v>1511</v>
      </c>
      <c r="G121" s="189" t="s">
        <v>1512</v>
      </c>
      <c r="H121" s="190">
        <v>0</v>
      </c>
      <c r="I121" s="190">
        <v>0</v>
      </c>
      <c r="J121" s="190">
        <v>0</v>
      </c>
      <c r="K121" s="190">
        <v>0</v>
      </c>
      <c r="L121" s="190">
        <v>0</v>
      </c>
      <c r="M121" s="190">
        <v>0</v>
      </c>
      <c r="N121" s="190">
        <v>0</v>
      </c>
      <c r="O121" s="190">
        <v>0</v>
      </c>
      <c r="P121" s="190">
        <v>0</v>
      </c>
      <c r="Q121" s="190">
        <v>0</v>
      </c>
      <c r="R121" s="190">
        <v>0</v>
      </c>
      <c r="S121" s="190">
        <v>0</v>
      </c>
      <c r="T121" s="190">
        <v>0</v>
      </c>
      <c r="U121" s="190">
        <v>0</v>
      </c>
      <c r="V121" s="190">
        <v>0</v>
      </c>
      <c r="W121" s="190">
        <v>0</v>
      </c>
      <c r="X121" s="190">
        <v>0</v>
      </c>
      <c r="Y121" s="190">
        <v>0</v>
      </c>
      <c r="Z121" s="190">
        <v>0</v>
      </c>
      <c r="AA121" s="190">
        <v>0</v>
      </c>
      <c r="AB121" s="190">
        <v>0</v>
      </c>
      <c r="AC121" s="190">
        <v>0</v>
      </c>
      <c r="AD121" s="190">
        <v>0</v>
      </c>
      <c r="AE121" s="190">
        <v>0</v>
      </c>
      <c r="AF121" s="190">
        <v>0</v>
      </c>
      <c r="AG121" s="190">
        <v>0</v>
      </c>
      <c r="AH121" s="190">
        <v>0</v>
      </c>
      <c r="AI121" s="190">
        <v>0</v>
      </c>
      <c r="AJ121" s="190">
        <v>0</v>
      </c>
    </row>
    <row r="122" spans="1:36" x14ac:dyDescent="0.35">
      <c r="A122" t="s">
        <v>1514</v>
      </c>
      <c r="B122" s="188" t="s">
        <v>1342</v>
      </c>
      <c r="C122" t="s">
        <v>1350</v>
      </c>
      <c r="D122" s="188">
        <v>30</v>
      </c>
      <c r="E122" t="s">
        <v>1500</v>
      </c>
      <c r="F122" t="s">
        <v>1511</v>
      </c>
      <c r="G122" s="189" t="s">
        <v>1512</v>
      </c>
      <c r="H122" s="190">
        <v>0</v>
      </c>
      <c r="I122" s="190">
        <v>0</v>
      </c>
      <c r="J122" s="190">
        <v>0</v>
      </c>
      <c r="K122" s="190">
        <v>0</v>
      </c>
      <c r="L122" s="190">
        <v>0</v>
      </c>
      <c r="M122" s="190">
        <v>0</v>
      </c>
      <c r="N122" s="190">
        <v>0</v>
      </c>
      <c r="O122" s="190">
        <v>0</v>
      </c>
      <c r="P122" s="190">
        <v>0</v>
      </c>
      <c r="Q122" s="190">
        <v>0</v>
      </c>
      <c r="R122" s="190">
        <v>0</v>
      </c>
      <c r="S122" s="190">
        <v>0</v>
      </c>
      <c r="T122" s="190">
        <v>0</v>
      </c>
      <c r="U122" s="190">
        <v>0</v>
      </c>
      <c r="V122" s="190">
        <v>0</v>
      </c>
      <c r="W122" s="190">
        <v>0</v>
      </c>
      <c r="X122" s="190">
        <v>0</v>
      </c>
      <c r="Y122" s="190">
        <v>0</v>
      </c>
      <c r="Z122" s="190">
        <v>0</v>
      </c>
      <c r="AA122" s="190">
        <v>0</v>
      </c>
      <c r="AB122" s="190">
        <v>0</v>
      </c>
      <c r="AC122" s="190">
        <v>0</v>
      </c>
      <c r="AD122" s="190">
        <v>0</v>
      </c>
      <c r="AE122" s="190">
        <v>0</v>
      </c>
      <c r="AF122" s="190">
        <v>0</v>
      </c>
      <c r="AG122" s="190">
        <v>0</v>
      </c>
      <c r="AH122" s="190">
        <v>0</v>
      </c>
      <c r="AI122" s="190">
        <v>0</v>
      </c>
      <c r="AJ122" s="190">
        <v>0</v>
      </c>
    </row>
    <row r="123" spans="1:36" x14ac:dyDescent="0.35">
      <c r="A123" t="s">
        <v>1515</v>
      </c>
      <c r="B123" s="188" t="s">
        <v>1342</v>
      </c>
      <c r="C123" t="s">
        <v>1343</v>
      </c>
      <c r="D123" s="188">
        <v>30</v>
      </c>
      <c r="E123" t="s">
        <v>1500</v>
      </c>
      <c r="F123" t="s">
        <v>1516</v>
      </c>
      <c r="G123" s="189" t="s">
        <v>1517</v>
      </c>
      <c r="H123" s="190">
        <v>0</v>
      </c>
      <c r="I123" s="190">
        <v>0</v>
      </c>
      <c r="J123" s="190">
        <v>0</v>
      </c>
      <c r="K123" s="190">
        <v>0</v>
      </c>
      <c r="L123" s="190">
        <v>0</v>
      </c>
      <c r="M123" s="190">
        <v>0</v>
      </c>
      <c r="N123" s="190">
        <v>0</v>
      </c>
      <c r="O123" s="190">
        <v>0</v>
      </c>
      <c r="P123" s="190">
        <v>0</v>
      </c>
      <c r="Q123" s="190">
        <v>0</v>
      </c>
      <c r="R123" s="190">
        <v>0</v>
      </c>
      <c r="S123" s="190">
        <v>0</v>
      </c>
      <c r="T123" s="190">
        <v>0</v>
      </c>
      <c r="U123" s="190">
        <v>0</v>
      </c>
      <c r="V123" s="190">
        <v>0</v>
      </c>
      <c r="W123" s="190">
        <v>0</v>
      </c>
      <c r="X123" s="190">
        <v>0</v>
      </c>
      <c r="Y123" s="190">
        <v>0</v>
      </c>
      <c r="Z123" s="190">
        <v>0</v>
      </c>
      <c r="AA123" s="190">
        <v>0</v>
      </c>
      <c r="AB123" s="190">
        <v>0</v>
      </c>
      <c r="AC123" s="190">
        <v>0</v>
      </c>
      <c r="AD123" s="190">
        <v>0</v>
      </c>
      <c r="AE123" s="190">
        <v>0</v>
      </c>
      <c r="AF123" s="190">
        <v>0</v>
      </c>
      <c r="AG123" s="190">
        <v>0</v>
      </c>
      <c r="AH123" s="190">
        <v>0</v>
      </c>
      <c r="AI123" s="190">
        <v>0</v>
      </c>
      <c r="AJ123" s="190">
        <v>0</v>
      </c>
    </row>
    <row r="124" spans="1:36" x14ac:dyDescent="0.35">
      <c r="A124" t="s">
        <v>1518</v>
      </c>
      <c r="B124" s="188" t="s">
        <v>1342</v>
      </c>
      <c r="C124" t="s">
        <v>1348</v>
      </c>
      <c r="D124" s="188">
        <v>30</v>
      </c>
      <c r="E124" t="s">
        <v>1500</v>
      </c>
      <c r="F124" t="s">
        <v>1516</v>
      </c>
      <c r="G124" s="189" t="s">
        <v>1517</v>
      </c>
      <c r="H124" s="190">
        <v>0</v>
      </c>
      <c r="I124" s="190">
        <v>0</v>
      </c>
      <c r="J124" s="190">
        <v>0</v>
      </c>
      <c r="K124" s="190">
        <v>0</v>
      </c>
      <c r="L124" s="190">
        <v>0</v>
      </c>
      <c r="M124" s="190">
        <v>0</v>
      </c>
      <c r="N124" s="190">
        <v>0</v>
      </c>
      <c r="O124" s="190">
        <v>0</v>
      </c>
      <c r="P124" s="190">
        <v>0</v>
      </c>
      <c r="Q124" s="190">
        <v>0</v>
      </c>
      <c r="R124" s="190">
        <v>0</v>
      </c>
      <c r="S124" s="190">
        <v>0</v>
      </c>
      <c r="T124" s="190">
        <v>0</v>
      </c>
      <c r="U124" s="190">
        <v>0</v>
      </c>
      <c r="V124" s="190">
        <v>0</v>
      </c>
      <c r="W124" s="190">
        <v>0</v>
      </c>
      <c r="X124" s="190">
        <v>0</v>
      </c>
      <c r="Y124" s="190">
        <v>0</v>
      </c>
      <c r="Z124" s="190">
        <v>0</v>
      </c>
      <c r="AA124" s="190">
        <v>0</v>
      </c>
      <c r="AB124" s="190">
        <v>0</v>
      </c>
      <c r="AC124" s="190">
        <v>0</v>
      </c>
      <c r="AD124" s="190">
        <v>0</v>
      </c>
      <c r="AE124" s="190">
        <v>0</v>
      </c>
      <c r="AF124" s="190">
        <v>0</v>
      </c>
      <c r="AG124" s="190">
        <v>0</v>
      </c>
      <c r="AH124" s="190">
        <v>0</v>
      </c>
      <c r="AI124" s="190">
        <v>0</v>
      </c>
      <c r="AJ124" s="190">
        <v>0</v>
      </c>
    </row>
    <row r="125" spans="1:36" x14ac:dyDescent="0.35">
      <c r="A125" t="s">
        <v>1519</v>
      </c>
      <c r="B125" s="188" t="s">
        <v>1342</v>
      </c>
      <c r="C125" t="s">
        <v>1350</v>
      </c>
      <c r="D125" s="188">
        <v>30</v>
      </c>
      <c r="E125" t="s">
        <v>1500</v>
      </c>
      <c r="F125" t="s">
        <v>1516</v>
      </c>
      <c r="G125" s="189" t="s">
        <v>1517</v>
      </c>
      <c r="H125" s="190">
        <v>0</v>
      </c>
      <c r="I125" s="190">
        <v>0</v>
      </c>
      <c r="J125" s="190">
        <v>0</v>
      </c>
      <c r="K125" s="190">
        <v>0</v>
      </c>
      <c r="L125" s="190">
        <v>0</v>
      </c>
      <c r="M125" s="190">
        <v>0</v>
      </c>
      <c r="N125" s="190">
        <v>0</v>
      </c>
      <c r="O125" s="190">
        <v>0</v>
      </c>
      <c r="P125" s="190">
        <v>0</v>
      </c>
      <c r="Q125" s="190">
        <v>0</v>
      </c>
      <c r="R125" s="190">
        <v>0</v>
      </c>
      <c r="S125" s="190">
        <v>0</v>
      </c>
      <c r="T125" s="190">
        <v>0</v>
      </c>
      <c r="U125" s="190">
        <v>0</v>
      </c>
      <c r="V125" s="190">
        <v>0</v>
      </c>
      <c r="W125" s="190">
        <v>0</v>
      </c>
      <c r="X125" s="190">
        <v>0</v>
      </c>
      <c r="Y125" s="190">
        <v>0</v>
      </c>
      <c r="Z125" s="190">
        <v>0</v>
      </c>
      <c r="AA125" s="190">
        <v>0</v>
      </c>
      <c r="AB125" s="190">
        <v>0</v>
      </c>
      <c r="AC125" s="190">
        <v>0</v>
      </c>
      <c r="AD125" s="190">
        <v>0</v>
      </c>
      <c r="AE125" s="190">
        <v>0</v>
      </c>
      <c r="AF125" s="190">
        <v>0</v>
      </c>
      <c r="AG125" s="190">
        <v>0</v>
      </c>
      <c r="AH125" s="190">
        <v>0</v>
      </c>
      <c r="AI125" s="190">
        <v>0</v>
      </c>
      <c r="AJ125" s="190">
        <v>0</v>
      </c>
    </row>
    <row r="126" spans="1:36" x14ac:dyDescent="0.35">
      <c r="A126" t="s">
        <v>1520</v>
      </c>
      <c r="B126" s="188" t="s">
        <v>1342</v>
      </c>
      <c r="C126" t="s">
        <v>1343</v>
      </c>
      <c r="D126" s="188">
        <v>30</v>
      </c>
      <c r="E126" t="s">
        <v>1500</v>
      </c>
      <c r="F126" t="s">
        <v>1521</v>
      </c>
      <c r="G126" s="189" t="s">
        <v>1522</v>
      </c>
      <c r="H126" s="190">
        <v>0</v>
      </c>
      <c r="I126" s="190">
        <v>0</v>
      </c>
      <c r="J126" s="190">
        <v>0</v>
      </c>
      <c r="K126" s="190">
        <v>0</v>
      </c>
      <c r="L126" s="190">
        <v>0</v>
      </c>
      <c r="M126" s="190">
        <v>0</v>
      </c>
      <c r="N126" s="190">
        <v>0</v>
      </c>
      <c r="O126" s="190">
        <v>0</v>
      </c>
      <c r="P126" s="190">
        <v>0</v>
      </c>
      <c r="Q126" s="190">
        <v>0</v>
      </c>
      <c r="R126" s="190">
        <v>0</v>
      </c>
      <c r="S126" s="190">
        <v>0</v>
      </c>
      <c r="T126" s="190">
        <v>0</v>
      </c>
      <c r="U126" s="190">
        <v>0</v>
      </c>
      <c r="V126" s="190">
        <v>0</v>
      </c>
      <c r="W126" s="190">
        <v>0</v>
      </c>
      <c r="X126" s="190">
        <v>0</v>
      </c>
      <c r="Y126" s="190">
        <v>0</v>
      </c>
      <c r="Z126" s="190">
        <v>0</v>
      </c>
      <c r="AA126" s="190">
        <v>0</v>
      </c>
      <c r="AB126" s="190">
        <v>0</v>
      </c>
      <c r="AC126" s="190">
        <v>0</v>
      </c>
      <c r="AD126" s="190">
        <v>0</v>
      </c>
      <c r="AE126" s="190">
        <v>0</v>
      </c>
      <c r="AF126" s="190">
        <v>0</v>
      </c>
      <c r="AG126" s="190">
        <v>0</v>
      </c>
      <c r="AH126" s="190">
        <v>0</v>
      </c>
      <c r="AI126" s="190">
        <v>0</v>
      </c>
      <c r="AJ126" s="190">
        <v>0</v>
      </c>
    </row>
    <row r="127" spans="1:36" x14ac:dyDescent="0.35">
      <c r="A127" t="s">
        <v>1523</v>
      </c>
      <c r="B127" s="188" t="s">
        <v>1342</v>
      </c>
      <c r="C127" t="s">
        <v>1348</v>
      </c>
      <c r="D127" s="188">
        <v>30</v>
      </c>
      <c r="E127" t="s">
        <v>1500</v>
      </c>
      <c r="F127" t="s">
        <v>1521</v>
      </c>
      <c r="G127" s="189" t="s">
        <v>1522</v>
      </c>
      <c r="H127" s="190">
        <v>0</v>
      </c>
      <c r="I127" s="190">
        <v>0</v>
      </c>
      <c r="J127" s="190">
        <v>0</v>
      </c>
      <c r="K127" s="190">
        <v>0</v>
      </c>
      <c r="L127" s="190">
        <v>0</v>
      </c>
      <c r="M127" s="190">
        <v>0</v>
      </c>
      <c r="N127" s="190">
        <v>0</v>
      </c>
      <c r="O127" s="190">
        <v>0</v>
      </c>
      <c r="P127" s="190">
        <v>0</v>
      </c>
      <c r="Q127" s="190">
        <v>0</v>
      </c>
      <c r="R127" s="190">
        <v>0</v>
      </c>
      <c r="S127" s="190">
        <v>0</v>
      </c>
      <c r="T127" s="190">
        <v>0</v>
      </c>
      <c r="U127" s="190">
        <v>0</v>
      </c>
      <c r="V127" s="190">
        <v>0</v>
      </c>
      <c r="W127" s="190">
        <v>0</v>
      </c>
      <c r="X127" s="190">
        <v>0</v>
      </c>
      <c r="Y127" s="190">
        <v>0</v>
      </c>
      <c r="Z127" s="190">
        <v>0</v>
      </c>
      <c r="AA127" s="190">
        <v>0</v>
      </c>
      <c r="AB127" s="190">
        <v>0</v>
      </c>
      <c r="AC127" s="190">
        <v>0</v>
      </c>
      <c r="AD127" s="190">
        <v>0</v>
      </c>
      <c r="AE127" s="190">
        <v>0</v>
      </c>
      <c r="AF127" s="190">
        <v>0</v>
      </c>
      <c r="AG127" s="190">
        <v>0</v>
      </c>
      <c r="AH127" s="190">
        <v>0</v>
      </c>
      <c r="AI127" s="190">
        <v>0</v>
      </c>
      <c r="AJ127" s="190">
        <v>0</v>
      </c>
    </row>
    <row r="128" spans="1:36" x14ac:dyDescent="0.35">
      <c r="A128" t="s">
        <v>1524</v>
      </c>
      <c r="B128" s="188" t="s">
        <v>1342</v>
      </c>
      <c r="C128" t="s">
        <v>1350</v>
      </c>
      <c r="D128" s="188">
        <v>30</v>
      </c>
      <c r="E128" t="s">
        <v>1500</v>
      </c>
      <c r="F128" t="s">
        <v>1521</v>
      </c>
      <c r="G128" s="189" t="s">
        <v>1522</v>
      </c>
      <c r="H128" s="190">
        <v>0</v>
      </c>
      <c r="I128" s="190">
        <v>0</v>
      </c>
      <c r="J128" s="190">
        <v>0</v>
      </c>
      <c r="K128" s="190">
        <v>0</v>
      </c>
      <c r="L128" s="190">
        <v>0</v>
      </c>
      <c r="M128" s="190">
        <v>0</v>
      </c>
      <c r="N128" s="190">
        <v>0</v>
      </c>
      <c r="O128" s="190">
        <v>0</v>
      </c>
      <c r="P128" s="190">
        <v>0</v>
      </c>
      <c r="Q128" s="190">
        <v>0</v>
      </c>
      <c r="R128" s="190">
        <v>0</v>
      </c>
      <c r="S128" s="190">
        <v>0</v>
      </c>
      <c r="T128" s="190">
        <v>0</v>
      </c>
      <c r="U128" s="190">
        <v>0</v>
      </c>
      <c r="V128" s="190">
        <v>0</v>
      </c>
      <c r="W128" s="190">
        <v>0</v>
      </c>
      <c r="X128" s="190">
        <v>0</v>
      </c>
      <c r="Y128" s="190">
        <v>0</v>
      </c>
      <c r="Z128" s="190">
        <v>0</v>
      </c>
      <c r="AA128" s="190">
        <v>0</v>
      </c>
      <c r="AB128" s="190">
        <v>0</v>
      </c>
      <c r="AC128" s="190">
        <v>0</v>
      </c>
      <c r="AD128" s="190">
        <v>0</v>
      </c>
      <c r="AE128" s="190">
        <v>0</v>
      </c>
      <c r="AF128" s="190">
        <v>0</v>
      </c>
      <c r="AG128" s="190">
        <v>0</v>
      </c>
      <c r="AH128" s="190">
        <v>0</v>
      </c>
      <c r="AI128" s="190">
        <v>0</v>
      </c>
      <c r="AJ128" s="190">
        <v>0</v>
      </c>
    </row>
    <row r="129" spans="1:36" x14ac:dyDescent="0.35">
      <c r="A129" t="s">
        <v>1525</v>
      </c>
      <c r="B129" s="188" t="s">
        <v>1342</v>
      </c>
      <c r="C129" t="s">
        <v>1343</v>
      </c>
      <c r="D129" s="188">
        <v>30</v>
      </c>
      <c r="E129" t="s">
        <v>1500</v>
      </c>
      <c r="F129" t="s">
        <v>1526</v>
      </c>
      <c r="G129" s="189" t="s">
        <v>1527</v>
      </c>
      <c r="H129" s="190">
        <v>0</v>
      </c>
      <c r="I129" s="190">
        <v>0</v>
      </c>
      <c r="J129" s="190">
        <v>0</v>
      </c>
      <c r="K129" s="190">
        <v>0</v>
      </c>
      <c r="L129" s="190">
        <v>0</v>
      </c>
      <c r="M129" s="190">
        <v>0</v>
      </c>
      <c r="N129" s="190">
        <v>0</v>
      </c>
      <c r="O129" s="190">
        <v>0</v>
      </c>
      <c r="P129" s="190">
        <v>0</v>
      </c>
      <c r="Q129" s="190">
        <v>0</v>
      </c>
      <c r="R129" s="190">
        <v>0</v>
      </c>
      <c r="S129" s="190">
        <v>0</v>
      </c>
      <c r="T129" s="190">
        <v>0</v>
      </c>
      <c r="U129" s="190">
        <v>0</v>
      </c>
      <c r="V129" s="190">
        <v>0</v>
      </c>
      <c r="W129" s="190">
        <v>0</v>
      </c>
      <c r="X129" s="190">
        <v>0</v>
      </c>
      <c r="Y129" s="190">
        <v>0</v>
      </c>
      <c r="Z129" s="190">
        <v>0</v>
      </c>
      <c r="AA129" s="190">
        <v>0</v>
      </c>
      <c r="AB129" s="190">
        <v>0</v>
      </c>
      <c r="AC129" s="190">
        <v>0</v>
      </c>
      <c r="AD129" s="190">
        <v>0</v>
      </c>
      <c r="AE129" s="190">
        <v>0</v>
      </c>
      <c r="AF129" s="190">
        <v>0</v>
      </c>
      <c r="AG129" s="190">
        <v>0</v>
      </c>
      <c r="AH129" s="190">
        <v>0</v>
      </c>
      <c r="AI129" s="190">
        <v>0</v>
      </c>
      <c r="AJ129" s="190">
        <v>0</v>
      </c>
    </row>
    <row r="130" spans="1:36" x14ac:dyDescent="0.35">
      <c r="A130" t="s">
        <v>1528</v>
      </c>
      <c r="B130" s="188" t="s">
        <v>1342</v>
      </c>
      <c r="C130" t="s">
        <v>1348</v>
      </c>
      <c r="D130" s="188">
        <v>30</v>
      </c>
      <c r="E130" t="s">
        <v>1500</v>
      </c>
      <c r="F130" t="s">
        <v>1526</v>
      </c>
      <c r="G130" s="189" t="s">
        <v>1527</v>
      </c>
      <c r="H130" s="190">
        <v>0</v>
      </c>
      <c r="I130" s="190">
        <v>0</v>
      </c>
      <c r="J130" s="190">
        <v>0</v>
      </c>
      <c r="K130" s="190">
        <v>0</v>
      </c>
      <c r="L130" s="190">
        <v>0</v>
      </c>
      <c r="M130" s="190">
        <v>0</v>
      </c>
      <c r="N130" s="190">
        <v>0</v>
      </c>
      <c r="O130" s="190">
        <v>0</v>
      </c>
      <c r="P130" s="190">
        <v>0</v>
      </c>
      <c r="Q130" s="190">
        <v>0</v>
      </c>
      <c r="R130" s="190">
        <v>0</v>
      </c>
      <c r="S130" s="190">
        <v>0</v>
      </c>
      <c r="T130" s="190">
        <v>0</v>
      </c>
      <c r="U130" s="190">
        <v>0</v>
      </c>
      <c r="V130" s="190">
        <v>0</v>
      </c>
      <c r="W130" s="190">
        <v>0</v>
      </c>
      <c r="X130" s="190">
        <v>0</v>
      </c>
      <c r="Y130" s="190">
        <v>0</v>
      </c>
      <c r="Z130" s="190">
        <v>0</v>
      </c>
      <c r="AA130" s="190">
        <v>0</v>
      </c>
      <c r="AB130" s="190">
        <v>0</v>
      </c>
      <c r="AC130" s="190">
        <v>0</v>
      </c>
      <c r="AD130" s="190">
        <v>0</v>
      </c>
      <c r="AE130" s="190">
        <v>0</v>
      </c>
      <c r="AF130" s="190">
        <v>0</v>
      </c>
      <c r="AG130" s="190">
        <v>0</v>
      </c>
      <c r="AH130" s="190">
        <v>0</v>
      </c>
      <c r="AI130" s="190">
        <v>0</v>
      </c>
      <c r="AJ130" s="190">
        <v>0</v>
      </c>
    </row>
    <row r="131" spans="1:36" x14ac:dyDescent="0.35">
      <c r="A131" t="s">
        <v>1529</v>
      </c>
      <c r="B131" s="188" t="s">
        <v>1342</v>
      </c>
      <c r="C131" t="s">
        <v>1350</v>
      </c>
      <c r="D131" s="188">
        <v>30</v>
      </c>
      <c r="E131" t="s">
        <v>1500</v>
      </c>
      <c r="F131" t="s">
        <v>1526</v>
      </c>
      <c r="G131" s="189" t="s">
        <v>1527</v>
      </c>
      <c r="H131" s="190">
        <v>0</v>
      </c>
      <c r="I131" s="190">
        <v>0</v>
      </c>
      <c r="J131" s="190">
        <v>0</v>
      </c>
      <c r="K131" s="190">
        <v>0</v>
      </c>
      <c r="L131" s="190">
        <v>0</v>
      </c>
      <c r="M131" s="190">
        <v>0</v>
      </c>
      <c r="N131" s="190">
        <v>0</v>
      </c>
      <c r="O131" s="190">
        <v>0</v>
      </c>
      <c r="P131" s="190">
        <v>0</v>
      </c>
      <c r="Q131" s="190">
        <v>0</v>
      </c>
      <c r="R131" s="190">
        <v>0</v>
      </c>
      <c r="S131" s="190">
        <v>0</v>
      </c>
      <c r="T131" s="190">
        <v>0</v>
      </c>
      <c r="U131" s="190">
        <v>0</v>
      </c>
      <c r="V131" s="190">
        <v>0</v>
      </c>
      <c r="W131" s="190">
        <v>0</v>
      </c>
      <c r="X131" s="190">
        <v>0</v>
      </c>
      <c r="Y131" s="190">
        <v>0</v>
      </c>
      <c r="Z131" s="190">
        <v>0</v>
      </c>
      <c r="AA131" s="190">
        <v>0</v>
      </c>
      <c r="AB131" s="190">
        <v>0</v>
      </c>
      <c r="AC131" s="190">
        <v>0</v>
      </c>
      <c r="AD131" s="190">
        <v>0</v>
      </c>
      <c r="AE131" s="190">
        <v>0</v>
      </c>
      <c r="AF131" s="190">
        <v>0</v>
      </c>
      <c r="AG131" s="190">
        <v>0</v>
      </c>
      <c r="AH131" s="190">
        <v>0</v>
      </c>
      <c r="AI131" s="190">
        <v>0</v>
      </c>
      <c r="AJ131" s="190">
        <v>0</v>
      </c>
    </row>
    <row r="132" spans="1:36" x14ac:dyDescent="0.35">
      <c r="A132" t="s">
        <v>1530</v>
      </c>
      <c r="B132" s="188" t="s">
        <v>1342</v>
      </c>
      <c r="C132" t="s">
        <v>1343</v>
      </c>
      <c r="D132" s="188">
        <v>30</v>
      </c>
      <c r="E132" t="s">
        <v>1500</v>
      </c>
      <c r="F132" t="s">
        <v>1531</v>
      </c>
      <c r="G132" s="189" t="s">
        <v>1532</v>
      </c>
      <c r="H132" s="190">
        <v>0</v>
      </c>
      <c r="I132" s="190">
        <v>0</v>
      </c>
      <c r="J132" s="190">
        <v>0</v>
      </c>
      <c r="K132" s="190">
        <v>0</v>
      </c>
      <c r="L132" s="190">
        <v>0</v>
      </c>
      <c r="M132" s="190">
        <v>0</v>
      </c>
      <c r="N132" s="190">
        <v>0</v>
      </c>
      <c r="O132" s="190">
        <v>0</v>
      </c>
      <c r="P132" s="190">
        <v>0</v>
      </c>
      <c r="Q132" s="190">
        <v>0</v>
      </c>
      <c r="R132" s="190">
        <v>0</v>
      </c>
      <c r="S132" s="190">
        <v>0</v>
      </c>
      <c r="T132" s="190">
        <v>0</v>
      </c>
      <c r="U132" s="190">
        <v>0</v>
      </c>
      <c r="V132" s="190">
        <v>0</v>
      </c>
      <c r="W132" s="190">
        <v>0</v>
      </c>
      <c r="X132" s="190">
        <v>0</v>
      </c>
      <c r="Y132" s="190">
        <v>0</v>
      </c>
      <c r="Z132" s="190">
        <v>0</v>
      </c>
      <c r="AA132" s="190">
        <v>0</v>
      </c>
      <c r="AB132" s="190">
        <v>0</v>
      </c>
      <c r="AC132" s="190">
        <v>0</v>
      </c>
      <c r="AD132" s="190">
        <v>0</v>
      </c>
      <c r="AE132" s="190">
        <v>0</v>
      </c>
      <c r="AF132" s="190">
        <v>0</v>
      </c>
      <c r="AG132" s="190">
        <v>0</v>
      </c>
      <c r="AH132" s="190">
        <v>0</v>
      </c>
      <c r="AI132" s="190">
        <v>0</v>
      </c>
      <c r="AJ132" s="190">
        <v>0</v>
      </c>
    </row>
    <row r="133" spans="1:36" x14ac:dyDescent="0.35">
      <c r="A133" t="s">
        <v>1533</v>
      </c>
      <c r="B133" s="188" t="s">
        <v>1342</v>
      </c>
      <c r="C133" t="s">
        <v>1348</v>
      </c>
      <c r="D133" s="188">
        <v>30</v>
      </c>
      <c r="E133" t="s">
        <v>1500</v>
      </c>
      <c r="F133" t="s">
        <v>1531</v>
      </c>
      <c r="G133" s="189" t="s">
        <v>1532</v>
      </c>
      <c r="H133" s="190">
        <v>0</v>
      </c>
      <c r="I133" s="190">
        <v>0</v>
      </c>
      <c r="J133" s="190">
        <v>0</v>
      </c>
      <c r="K133" s="190">
        <v>0</v>
      </c>
      <c r="L133" s="190">
        <v>0</v>
      </c>
      <c r="M133" s="190">
        <v>0</v>
      </c>
      <c r="N133" s="190">
        <v>0</v>
      </c>
      <c r="O133" s="190">
        <v>0</v>
      </c>
      <c r="P133" s="190">
        <v>0</v>
      </c>
      <c r="Q133" s="190">
        <v>0</v>
      </c>
      <c r="R133" s="190">
        <v>0</v>
      </c>
      <c r="S133" s="190">
        <v>0</v>
      </c>
      <c r="T133" s="190">
        <v>0</v>
      </c>
      <c r="U133" s="190">
        <v>0</v>
      </c>
      <c r="V133" s="190">
        <v>0</v>
      </c>
      <c r="W133" s="190">
        <v>0</v>
      </c>
      <c r="X133" s="190">
        <v>0</v>
      </c>
      <c r="Y133" s="190">
        <v>0</v>
      </c>
      <c r="Z133" s="190">
        <v>0</v>
      </c>
      <c r="AA133" s="190">
        <v>0</v>
      </c>
      <c r="AB133" s="190">
        <v>0</v>
      </c>
      <c r="AC133" s="190">
        <v>0</v>
      </c>
      <c r="AD133" s="190">
        <v>0</v>
      </c>
      <c r="AE133" s="190">
        <v>0</v>
      </c>
      <c r="AF133" s="190">
        <v>0</v>
      </c>
      <c r="AG133" s="190">
        <v>0</v>
      </c>
      <c r="AH133" s="190">
        <v>0</v>
      </c>
      <c r="AI133" s="190">
        <v>0</v>
      </c>
      <c r="AJ133" s="190">
        <v>0</v>
      </c>
    </row>
    <row r="134" spans="1:36" x14ac:dyDescent="0.35">
      <c r="A134" t="s">
        <v>1534</v>
      </c>
      <c r="B134" s="188" t="s">
        <v>1342</v>
      </c>
      <c r="C134" t="s">
        <v>1350</v>
      </c>
      <c r="D134" s="188">
        <v>30</v>
      </c>
      <c r="E134" t="s">
        <v>1500</v>
      </c>
      <c r="F134" t="s">
        <v>1531</v>
      </c>
      <c r="G134" s="189" t="s">
        <v>1532</v>
      </c>
      <c r="H134" s="190">
        <v>0</v>
      </c>
      <c r="I134" s="190">
        <v>0</v>
      </c>
      <c r="J134" s="190">
        <v>0</v>
      </c>
      <c r="K134" s="190">
        <v>0</v>
      </c>
      <c r="L134" s="190">
        <v>0</v>
      </c>
      <c r="M134" s="190">
        <v>0</v>
      </c>
      <c r="N134" s="190">
        <v>0</v>
      </c>
      <c r="O134" s="190">
        <v>0</v>
      </c>
      <c r="P134" s="190">
        <v>0</v>
      </c>
      <c r="Q134" s="190">
        <v>0</v>
      </c>
      <c r="R134" s="190">
        <v>0</v>
      </c>
      <c r="S134" s="190">
        <v>0</v>
      </c>
      <c r="T134" s="190">
        <v>0</v>
      </c>
      <c r="U134" s="190">
        <v>0</v>
      </c>
      <c r="V134" s="190">
        <v>0</v>
      </c>
      <c r="W134" s="190">
        <v>0</v>
      </c>
      <c r="X134" s="190">
        <v>0</v>
      </c>
      <c r="Y134" s="190">
        <v>0</v>
      </c>
      <c r="Z134" s="190">
        <v>0</v>
      </c>
      <c r="AA134" s="190">
        <v>0</v>
      </c>
      <c r="AB134" s="190">
        <v>0</v>
      </c>
      <c r="AC134" s="190">
        <v>0</v>
      </c>
      <c r="AD134" s="190">
        <v>0</v>
      </c>
      <c r="AE134" s="190">
        <v>0</v>
      </c>
      <c r="AF134" s="190">
        <v>0</v>
      </c>
      <c r="AG134" s="190">
        <v>0</v>
      </c>
      <c r="AH134" s="190">
        <v>0</v>
      </c>
      <c r="AI134" s="190">
        <v>0</v>
      </c>
      <c r="AJ134" s="190">
        <v>0</v>
      </c>
    </row>
    <row r="135" spans="1:36" x14ac:dyDescent="0.35">
      <c r="A135" t="s">
        <v>1535</v>
      </c>
      <c r="B135" s="188" t="s">
        <v>1342</v>
      </c>
      <c r="C135" t="s">
        <v>1343</v>
      </c>
      <c r="D135" s="188">
        <v>30</v>
      </c>
      <c r="E135" t="s">
        <v>1500</v>
      </c>
      <c r="F135" t="s">
        <v>1536</v>
      </c>
      <c r="G135" s="189" t="s">
        <v>1537</v>
      </c>
      <c r="H135" s="190">
        <v>0</v>
      </c>
      <c r="I135" s="190">
        <v>0</v>
      </c>
      <c r="J135" s="190">
        <v>0</v>
      </c>
      <c r="K135" s="190">
        <v>0</v>
      </c>
      <c r="L135" s="190">
        <v>0</v>
      </c>
      <c r="M135" s="190">
        <v>0</v>
      </c>
      <c r="N135" s="190">
        <v>0</v>
      </c>
      <c r="O135" s="190">
        <v>0</v>
      </c>
      <c r="P135" s="190">
        <v>0</v>
      </c>
      <c r="Q135" s="190">
        <v>0</v>
      </c>
      <c r="R135" s="190">
        <v>0</v>
      </c>
      <c r="S135" s="190">
        <v>0</v>
      </c>
      <c r="T135" s="190">
        <v>0</v>
      </c>
      <c r="U135" s="190">
        <v>0</v>
      </c>
      <c r="V135" s="190">
        <v>0</v>
      </c>
      <c r="W135" s="190">
        <v>0</v>
      </c>
      <c r="X135" s="190">
        <v>0</v>
      </c>
      <c r="Y135" s="190">
        <v>0</v>
      </c>
      <c r="Z135" s="190">
        <v>0</v>
      </c>
      <c r="AA135" s="190">
        <v>0</v>
      </c>
      <c r="AB135" s="190">
        <v>0</v>
      </c>
      <c r="AC135" s="190">
        <v>0</v>
      </c>
      <c r="AD135" s="190">
        <v>0</v>
      </c>
      <c r="AE135" s="190">
        <v>0</v>
      </c>
      <c r="AF135" s="190">
        <v>0</v>
      </c>
      <c r="AG135" s="190">
        <v>0</v>
      </c>
      <c r="AH135" s="190">
        <v>0</v>
      </c>
      <c r="AI135" s="190">
        <v>0</v>
      </c>
      <c r="AJ135" s="190">
        <v>0</v>
      </c>
    </row>
    <row r="136" spans="1:36" x14ac:dyDescent="0.35">
      <c r="A136" t="s">
        <v>1538</v>
      </c>
      <c r="B136" s="188" t="s">
        <v>1342</v>
      </c>
      <c r="C136" t="s">
        <v>1348</v>
      </c>
      <c r="D136" s="188">
        <v>30</v>
      </c>
      <c r="E136" t="s">
        <v>1500</v>
      </c>
      <c r="F136" t="s">
        <v>1536</v>
      </c>
      <c r="G136" s="189" t="s">
        <v>1537</v>
      </c>
      <c r="H136" s="190">
        <v>0</v>
      </c>
      <c r="I136" s="190">
        <v>0</v>
      </c>
      <c r="J136" s="190">
        <v>0</v>
      </c>
      <c r="K136" s="190">
        <v>0</v>
      </c>
      <c r="L136" s="190">
        <v>0</v>
      </c>
      <c r="M136" s="190">
        <v>0</v>
      </c>
      <c r="N136" s="190">
        <v>0</v>
      </c>
      <c r="O136" s="190">
        <v>0</v>
      </c>
      <c r="P136" s="190">
        <v>0</v>
      </c>
      <c r="Q136" s="190">
        <v>0</v>
      </c>
      <c r="R136" s="190">
        <v>0</v>
      </c>
      <c r="S136" s="190">
        <v>0</v>
      </c>
      <c r="T136" s="190">
        <v>0</v>
      </c>
      <c r="U136" s="190">
        <v>0</v>
      </c>
      <c r="V136" s="190">
        <v>0</v>
      </c>
      <c r="W136" s="190">
        <v>0</v>
      </c>
      <c r="X136" s="190">
        <v>0</v>
      </c>
      <c r="Y136" s="190">
        <v>0</v>
      </c>
      <c r="Z136" s="190">
        <v>0</v>
      </c>
      <c r="AA136" s="190">
        <v>0</v>
      </c>
      <c r="AB136" s="190">
        <v>0</v>
      </c>
      <c r="AC136" s="190">
        <v>0</v>
      </c>
      <c r="AD136" s="190">
        <v>0</v>
      </c>
      <c r="AE136" s="190">
        <v>0</v>
      </c>
      <c r="AF136" s="190">
        <v>0</v>
      </c>
      <c r="AG136" s="190">
        <v>0</v>
      </c>
      <c r="AH136" s="190">
        <v>0</v>
      </c>
      <c r="AI136" s="190">
        <v>0</v>
      </c>
      <c r="AJ136" s="190">
        <v>0</v>
      </c>
    </row>
    <row r="137" spans="1:36" x14ac:dyDescent="0.35">
      <c r="A137" t="s">
        <v>1539</v>
      </c>
      <c r="B137" s="188" t="s">
        <v>1342</v>
      </c>
      <c r="C137" t="s">
        <v>1350</v>
      </c>
      <c r="D137" s="188">
        <v>30</v>
      </c>
      <c r="E137" t="s">
        <v>1500</v>
      </c>
      <c r="F137" t="s">
        <v>1536</v>
      </c>
      <c r="G137" s="189" t="s">
        <v>1537</v>
      </c>
      <c r="H137" s="190">
        <v>0</v>
      </c>
      <c r="I137" s="190">
        <v>0</v>
      </c>
      <c r="J137" s="190">
        <v>0</v>
      </c>
      <c r="K137" s="190">
        <v>0</v>
      </c>
      <c r="L137" s="190">
        <v>0</v>
      </c>
      <c r="M137" s="190">
        <v>0</v>
      </c>
      <c r="N137" s="190">
        <v>0</v>
      </c>
      <c r="O137" s="190">
        <v>0</v>
      </c>
      <c r="P137" s="190">
        <v>0</v>
      </c>
      <c r="Q137" s="190">
        <v>0</v>
      </c>
      <c r="R137" s="190">
        <v>0</v>
      </c>
      <c r="S137" s="190">
        <v>0</v>
      </c>
      <c r="T137" s="190">
        <v>0</v>
      </c>
      <c r="U137" s="190">
        <v>0</v>
      </c>
      <c r="V137" s="190">
        <v>0</v>
      </c>
      <c r="W137" s="190">
        <v>0</v>
      </c>
      <c r="X137" s="190">
        <v>0</v>
      </c>
      <c r="Y137" s="190">
        <v>0</v>
      </c>
      <c r="Z137" s="190">
        <v>0</v>
      </c>
      <c r="AA137" s="190">
        <v>0</v>
      </c>
      <c r="AB137" s="190">
        <v>0</v>
      </c>
      <c r="AC137" s="190">
        <v>0</v>
      </c>
      <c r="AD137" s="190">
        <v>0</v>
      </c>
      <c r="AE137" s="190">
        <v>0</v>
      </c>
      <c r="AF137" s="190">
        <v>0</v>
      </c>
      <c r="AG137" s="190">
        <v>0</v>
      </c>
      <c r="AH137" s="190">
        <v>0</v>
      </c>
      <c r="AI137" s="190">
        <v>0</v>
      </c>
      <c r="AJ137" s="190">
        <v>0</v>
      </c>
    </row>
    <row r="138" spans="1:36" x14ac:dyDescent="0.35">
      <c r="A138" t="s">
        <v>1540</v>
      </c>
      <c r="B138" s="188" t="s">
        <v>1342</v>
      </c>
      <c r="C138" t="s">
        <v>1343</v>
      </c>
      <c r="D138" s="188">
        <v>30</v>
      </c>
      <c r="E138" t="s">
        <v>1500</v>
      </c>
      <c r="F138" t="s">
        <v>1541</v>
      </c>
      <c r="G138" s="189" t="s">
        <v>1542</v>
      </c>
      <c r="H138" s="190">
        <v>0</v>
      </c>
      <c r="I138" s="190">
        <v>0</v>
      </c>
      <c r="J138" s="190">
        <v>0</v>
      </c>
      <c r="K138" s="190">
        <v>0</v>
      </c>
      <c r="L138" s="190">
        <v>0</v>
      </c>
      <c r="M138" s="190">
        <v>0</v>
      </c>
      <c r="N138" s="190">
        <v>0</v>
      </c>
      <c r="O138" s="190">
        <v>0</v>
      </c>
      <c r="P138" s="190">
        <v>0</v>
      </c>
      <c r="Q138" s="190">
        <v>0</v>
      </c>
      <c r="R138" s="190">
        <v>0</v>
      </c>
      <c r="S138" s="190">
        <v>0</v>
      </c>
      <c r="T138" s="190">
        <v>0</v>
      </c>
      <c r="U138" s="190">
        <v>0</v>
      </c>
      <c r="V138" s="190">
        <v>0</v>
      </c>
      <c r="W138" s="190">
        <v>0</v>
      </c>
      <c r="X138" s="190">
        <v>0</v>
      </c>
      <c r="Y138" s="190">
        <v>0</v>
      </c>
      <c r="Z138" s="190">
        <v>0</v>
      </c>
      <c r="AA138" s="190">
        <v>0</v>
      </c>
      <c r="AB138" s="190">
        <v>0</v>
      </c>
      <c r="AC138" s="190">
        <v>0</v>
      </c>
      <c r="AD138" s="190">
        <v>0</v>
      </c>
      <c r="AE138" s="190">
        <v>0</v>
      </c>
      <c r="AF138" s="190">
        <v>0</v>
      </c>
      <c r="AG138" s="190">
        <v>0</v>
      </c>
      <c r="AH138" s="190">
        <v>0</v>
      </c>
      <c r="AI138" s="190">
        <v>0</v>
      </c>
      <c r="AJ138" s="190">
        <v>0</v>
      </c>
    </row>
    <row r="139" spans="1:36" x14ac:dyDescent="0.35">
      <c r="A139" t="s">
        <v>1543</v>
      </c>
      <c r="B139" s="188" t="s">
        <v>1342</v>
      </c>
      <c r="C139" t="s">
        <v>1348</v>
      </c>
      <c r="D139" s="188">
        <v>30</v>
      </c>
      <c r="E139" t="s">
        <v>1500</v>
      </c>
      <c r="F139" t="s">
        <v>1541</v>
      </c>
      <c r="G139" s="189" t="s">
        <v>1542</v>
      </c>
      <c r="H139" s="190">
        <v>0</v>
      </c>
      <c r="I139" s="190">
        <v>0</v>
      </c>
      <c r="J139" s="190">
        <v>0</v>
      </c>
      <c r="K139" s="190">
        <v>0</v>
      </c>
      <c r="L139" s="190">
        <v>0</v>
      </c>
      <c r="M139" s="190">
        <v>0</v>
      </c>
      <c r="N139" s="190">
        <v>0</v>
      </c>
      <c r="O139" s="190">
        <v>0</v>
      </c>
      <c r="P139" s="190">
        <v>0</v>
      </c>
      <c r="Q139" s="190">
        <v>0</v>
      </c>
      <c r="R139" s="190">
        <v>0</v>
      </c>
      <c r="S139" s="190">
        <v>0</v>
      </c>
      <c r="T139" s="190">
        <v>0</v>
      </c>
      <c r="U139" s="190">
        <v>0</v>
      </c>
      <c r="V139" s="190">
        <v>0</v>
      </c>
      <c r="W139" s="190">
        <v>0</v>
      </c>
      <c r="X139" s="190">
        <v>0</v>
      </c>
      <c r="Y139" s="190">
        <v>0</v>
      </c>
      <c r="Z139" s="190">
        <v>0</v>
      </c>
      <c r="AA139" s="190">
        <v>0</v>
      </c>
      <c r="AB139" s="190">
        <v>0</v>
      </c>
      <c r="AC139" s="190">
        <v>0</v>
      </c>
      <c r="AD139" s="190">
        <v>0</v>
      </c>
      <c r="AE139" s="190">
        <v>0</v>
      </c>
      <c r="AF139" s="190">
        <v>0</v>
      </c>
      <c r="AG139" s="190">
        <v>0</v>
      </c>
      <c r="AH139" s="190">
        <v>0</v>
      </c>
      <c r="AI139" s="190">
        <v>0</v>
      </c>
      <c r="AJ139" s="190">
        <v>0</v>
      </c>
    </row>
    <row r="140" spans="1:36" x14ac:dyDescent="0.35">
      <c r="A140" t="s">
        <v>1544</v>
      </c>
      <c r="B140" s="188" t="s">
        <v>1342</v>
      </c>
      <c r="C140" t="s">
        <v>1350</v>
      </c>
      <c r="D140" s="188">
        <v>30</v>
      </c>
      <c r="E140" t="s">
        <v>1500</v>
      </c>
      <c r="F140" t="s">
        <v>1541</v>
      </c>
      <c r="G140" s="189" t="s">
        <v>1542</v>
      </c>
      <c r="H140" s="190">
        <v>0</v>
      </c>
      <c r="I140" s="190">
        <v>0</v>
      </c>
      <c r="J140" s="190">
        <v>0</v>
      </c>
      <c r="K140" s="190">
        <v>0</v>
      </c>
      <c r="L140" s="190">
        <v>0</v>
      </c>
      <c r="M140" s="190">
        <v>0</v>
      </c>
      <c r="N140" s="190">
        <v>0</v>
      </c>
      <c r="O140" s="190">
        <v>0</v>
      </c>
      <c r="P140" s="190">
        <v>0</v>
      </c>
      <c r="Q140" s="190">
        <v>0</v>
      </c>
      <c r="R140" s="190">
        <v>0</v>
      </c>
      <c r="S140" s="190">
        <v>0</v>
      </c>
      <c r="T140" s="190">
        <v>0</v>
      </c>
      <c r="U140" s="190">
        <v>0</v>
      </c>
      <c r="V140" s="190">
        <v>0</v>
      </c>
      <c r="W140" s="190">
        <v>0</v>
      </c>
      <c r="X140" s="190">
        <v>0</v>
      </c>
      <c r="Y140" s="190">
        <v>0</v>
      </c>
      <c r="Z140" s="190">
        <v>0</v>
      </c>
      <c r="AA140" s="190">
        <v>0</v>
      </c>
      <c r="AB140" s="190">
        <v>0</v>
      </c>
      <c r="AC140" s="190">
        <v>0</v>
      </c>
      <c r="AD140" s="190">
        <v>0</v>
      </c>
      <c r="AE140" s="190">
        <v>0</v>
      </c>
      <c r="AF140" s="190">
        <v>0</v>
      </c>
      <c r="AG140" s="190">
        <v>0</v>
      </c>
      <c r="AH140" s="190">
        <v>0</v>
      </c>
      <c r="AI140" s="190">
        <v>0</v>
      </c>
      <c r="AJ140" s="190">
        <v>0</v>
      </c>
    </row>
    <row r="141" spans="1:36" x14ac:dyDescent="0.35">
      <c r="A141" t="s">
        <v>1545</v>
      </c>
      <c r="B141" s="188" t="s">
        <v>1342</v>
      </c>
      <c r="C141" t="s">
        <v>1343</v>
      </c>
      <c r="D141" s="188">
        <v>30</v>
      </c>
      <c r="E141" t="s">
        <v>1500</v>
      </c>
      <c r="F141" t="s">
        <v>1546</v>
      </c>
      <c r="G141" s="189" t="s">
        <v>1547</v>
      </c>
      <c r="H141" s="190">
        <v>0</v>
      </c>
      <c r="I141" s="190">
        <v>0</v>
      </c>
      <c r="J141" s="190">
        <v>0</v>
      </c>
      <c r="K141" s="190">
        <v>0</v>
      </c>
      <c r="L141" s="190">
        <v>0</v>
      </c>
      <c r="M141" s="190">
        <v>0</v>
      </c>
      <c r="N141" s="190">
        <v>0</v>
      </c>
      <c r="O141" s="190">
        <v>0</v>
      </c>
      <c r="P141" s="190">
        <v>0</v>
      </c>
      <c r="Q141" s="190">
        <v>0</v>
      </c>
      <c r="R141" s="190">
        <v>0</v>
      </c>
      <c r="S141" s="190">
        <v>0</v>
      </c>
      <c r="T141" s="190">
        <v>0</v>
      </c>
      <c r="U141" s="190">
        <v>0</v>
      </c>
      <c r="V141" s="190">
        <v>0</v>
      </c>
      <c r="W141" s="190">
        <v>0</v>
      </c>
      <c r="X141" s="190">
        <v>0</v>
      </c>
      <c r="Y141" s="190">
        <v>0</v>
      </c>
      <c r="Z141" s="190">
        <v>0</v>
      </c>
      <c r="AA141" s="190">
        <v>0</v>
      </c>
      <c r="AB141" s="190">
        <v>0</v>
      </c>
      <c r="AC141" s="190">
        <v>0</v>
      </c>
      <c r="AD141" s="190">
        <v>0</v>
      </c>
      <c r="AE141" s="190">
        <v>0</v>
      </c>
      <c r="AF141" s="190">
        <v>0</v>
      </c>
      <c r="AG141" s="190">
        <v>0</v>
      </c>
      <c r="AH141" s="190">
        <v>0</v>
      </c>
      <c r="AI141" s="190">
        <v>0</v>
      </c>
      <c r="AJ141" s="190">
        <v>0</v>
      </c>
    </row>
    <row r="142" spans="1:36" x14ac:dyDescent="0.35">
      <c r="A142" t="s">
        <v>1548</v>
      </c>
      <c r="B142" s="188" t="s">
        <v>1342</v>
      </c>
      <c r="C142" t="s">
        <v>1348</v>
      </c>
      <c r="D142" s="188">
        <v>30</v>
      </c>
      <c r="E142" t="s">
        <v>1500</v>
      </c>
      <c r="F142" t="s">
        <v>1546</v>
      </c>
      <c r="G142" s="189" t="s">
        <v>1547</v>
      </c>
      <c r="H142" s="190">
        <v>0</v>
      </c>
      <c r="I142" s="190">
        <v>0</v>
      </c>
      <c r="J142" s="190">
        <v>0</v>
      </c>
      <c r="K142" s="190">
        <v>0</v>
      </c>
      <c r="L142" s="190">
        <v>0</v>
      </c>
      <c r="M142" s="190">
        <v>0</v>
      </c>
      <c r="N142" s="190">
        <v>0</v>
      </c>
      <c r="O142" s="190">
        <v>0</v>
      </c>
      <c r="P142" s="190">
        <v>0</v>
      </c>
      <c r="Q142" s="190">
        <v>0</v>
      </c>
      <c r="R142" s="190">
        <v>0</v>
      </c>
      <c r="S142" s="190">
        <v>0</v>
      </c>
      <c r="T142" s="190">
        <v>0</v>
      </c>
      <c r="U142" s="190">
        <v>0</v>
      </c>
      <c r="V142" s="190">
        <v>0</v>
      </c>
      <c r="W142" s="190">
        <v>0</v>
      </c>
      <c r="X142" s="190">
        <v>0</v>
      </c>
      <c r="Y142" s="190">
        <v>0</v>
      </c>
      <c r="Z142" s="190">
        <v>0</v>
      </c>
      <c r="AA142" s="190">
        <v>0</v>
      </c>
      <c r="AB142" s="190">
        <v>0</v>
      </c>
      <c r="AC142" s="190">
        <v>0</v>
      </c>
      <c r="AD142" s="190">
        <v>0</v>
      </c>
      <c r="AE142" s="190">
        <v>0</v>
      </c>
      <c r="AF142" s="190">
        <v>0</v>
      </c>
      <c r="AG142" s="190">
        <v>0</v>
      </c>
      <c r="AH142" s="190">
        <v>0</v>
      </c>
      <c r="AI142" s="190">
        <v>0</v>
      </c>
      <c r="AJ142" s="190">
        <v>0</v>
      </c>
    </row>
    <row r="143" spans="1:36" x14ac:dyDescent="0.35">
      <c r="A143" t="s">
        <v>1549</v>
      </c>
      <c r="B143" s="188" t="s">
        <v>1342</v>
      </c>
      <c r="C143" t="s">
        <v>1350</v>
      </c>
      <c r="D143" s="188">
        <v>30</v>
      </c>
      <c r="E143" t="s">
        <v>1500</v>
      </c>
      <c r="F143" t="s">
        <v>1546</v>
      </c>
      <c r="G143" s="189" t="s">
        <v>1547</v>
      </c>
      <c r="H143" s="190">
        <v>0</v>
      </c>
      <c r="I143" s="190">
        <v>0</v>
      </c>
      <c r="J143" s="190">
        <v>0</v>
      </c>
      <c r="K143" s="190">
        <v>0</v>
      </c>
      <c r="L143" s="190">
        <v>0</v>
      </c>
      <c r="M143" s="190">
        <v>0</v>
      </c>
      <c r="N143" s="190">
        <v>0</v>
      </c>
      <c r="O143" s="190">
        <v>0</v>
      </c>
      <c r="P143" s="190">
        <v>0</v>
      </c>
      <c r="Q143" s="190">
        <v>0</v>
      </c>
      <c r="R143" s="190">
        <v>0</v>
      </c>
      <c r="S143" s="190">
        <v>0</v>
      </c>
      <c r="T143" s="190">
        <v>0</v>
      </c>
      <c r="U143" s="190">
        <v>0</v>
      </c>
      <c r="V143" s="190">
        <v>0</v>
      </c>
      <c r="W143" s="190">
        <v>0</v>
      </c>
      <c r="X143" s="190">
        <v>0</v>
      </c>
      <c r="Y143" s="190">
        <v>0</v>
      </c>
      <c r="Z143" s="190">
        <v>0</v>
      </c>
      <c r="AA143" s="190">
        <v>0</v>
      </c>
      <c r="AB143" s="190">
        <v>0</v>
      </c>
      <c r="AC143" s="190">
        <v>0</v>
      </c>
      <c r="AD143" s="190">
        <v>0</v>
      </c>
      <c r="AE143" s="190">
        <v>0</v>
      </c>
      <c r="AF143" s="190">
        <v>0</v>
      </c>
      <c r="AG143" s="190">
        <v>0</v>
      </c>
      <c r="AH143" s="190">
        <v>0</v>
      </c>
      <c r="AI143" s="190">
        <v>0</v>
      </c>
      <c r="AJ143" s="190">
        <v>0</v>
      </c>
    </row>
    <row r="144" spans="1:36" x14ac:dyDescent="0.35">
      <c r="A144" t="s">
        <v>1550</v>
      </c>
      <c r="B144" s="188" t="s">
        <v>1342</v>
      </c>
      <c r="C144" t="s">
        <v>1343</v>
      </c>
      <c r="D144" s="188">
        <v>30</v>
      </c>
      <c r="E144" t="s">
        <v>1500</v>
      </c>
      <c r="F144" t="s">
        <v>1551</v>
      </c>
      <c r="G144" s="189" t="s">
        <v>1552</v>
      </c>
      <c r="H144" s="190">
        <v>0</v>
      </c>
      <c r="I144" s="190">
        <v>0</v>
      </c>
      <c r="J144" s="190">
        <v>0</v>
      </c>
      <c r="K144" s="190">
        <v>0</v>
      </c>
      <c r="L144" s="190">
        <v>0</v>
      </c>
      <c r="M144" s="190">
        <v>0</v>
      </c>
      <c r="N144" s="190">
        <v>0</v>
      </c>
      <c r="O144" s="190">
        <v>0</v>
      </c>
      <c r="P144" s="190">
        <v>0</v>
      </c>
      <c r="Q144" s="190">
        <v>0</v>
      </c>
      <c r="R144" s="190">
        <v>0</v>
      </c>
      <c r="S144" s="190">
        <v>0</v>
      </c>
      <c r="T144" s="190">
        <v>0</v>
      </c>
      <c r="U144" s="190">
        <v>0</v>
      </c>
      <c r="V144" s="190">
        <v>0</v>
      </c>
      <c r="W144" s="190">
        <v>0</v>
      </c>
      <c r="X144" s="190">
        <v>0</v>
      </c>
      <c r="Y144" s="190">
        <v>0</v>
      </c>
      <c r="Z144" s="190">
        <v>0</v>
      </c>
      <c r="AA144" s="190">
        <v>0</v>
      </c>
      <c r="AB144" s="190">
        <v>0</v>
      </c>
      <c r="AC144" s="190">
        <v>0</v>
      </c>
      <c r="AD144" s="190">
        <v>0</v>
      </c>
      <c r="AE144" s="190">
        <v>0</v>
      </c>
      <c r="AF144" s="190">
        <v>0</v>
      </c>
      <c r="AG144" s="190">
        <v>0</v>
      </c>
      <c r="AH144" s="190">
        <v>0</v>
      </c>
      <c r="AI144" s="190">
        <v>0</v>
      </c>
      <c r="AJ144" s="190">
        <v>0</v>
      </c>
    </row>
    <row r="145" spans="1:36" x14ac:dyDescent="0.35">
      <c r="A145" t="s">
        <v>1553</v>
      </c>
      <c r="B145" s="188" t="s">
        <v>1342</v>
      </c>
      <c r="C145" t="s">
        <v>1348</v>
      </c>
      <c r="D145" s="188">
        <v>30</v>
      </c>
      <c r="E145" t="s">
        <v>1500</v>
      </c>
      <c r="F145" t="s">
        <v>1551</v>
      </c>
      <c r="G145" s="189" t="s">
        <v>1552</v>
      </c>
      <c r="H145" s="190">
        <v>0</v>
      </c>
      <c r="I145" s="190">
        <v>0</v>
      </c>
      <c r="J145" s="190">
        <v>0</v>
      </c>
      <c r="K145" s="190">
        <v>0</v>
      </c>
      <c r="L145" s="190">
        <v>0</v>
      </c>
      <c r="M145" s="190">
        <v>0</v>
      </c>
      <c r="N145" s="190">
        <v>0</v>
      </c>
      <c r="O145" s="190">
        <v>0</v>
      </c>
      <c r="P145" s="190">
        <v>0</v>
      </c>
      <c r="Q145" s="190">
        <v>0</v>
      </c>
      <c r="R145" s="190">
        <v>0</v>
      </c>
      <c r="S145" s="190">
        <v>0</v>
      </c>
      <c r="T145" s="190">
        <v>0</v>
      </c>
      <c r="U145" s="190">
        <v>0</v>
      </c>
      <c r="V145" s="190">
        <v>0</v>
      </c>
      <c r="W145" s="190">
        <v>0</v>
      </c>
      <c r="X145" s="190">
        <v>0</v>
      </c>
      <c r="Y145" s="190">
        <v>0</v>
      </c>
      <c r="Z145" s="190">
        <v>0</v>
      </c>
      <c r="AA145" s="190">
        <v>0</v>
      </c>
      <c r="AB145" s="190">
        <v>0</v>
      </c>
      <c r="AC145" s="190">
        <v>0</v>
      </c>
      <c r="AD145" s="190">
        <v>0</v>
      </c>
      <c r="AE145" s="190">
        <v>0</v>
      </c>
      <c r="AF145" s="190">
        <v>0</v>
      </c>
      <c r="AG145" s="190">
        <v>0</v>
      </c>
      <c r="AH145" s="190">
        <v>0</v>
      </c>
      <c r="AI145" s="190">
        <v>0</v>
      </c>
      <c r="AJ145" s="190">
        <v>0</v>
      </c>
    </row>
    <row r="146" spans="1:36" x14ac:dyDescent="0.35">
      <c r="A146" t="s">
        <v>1554</v>
      </c>
      <c r="B146" s="188" t="s">
        <v>1342</v>
      </c>
      <c r="C146" t="s">
        <v>1350</v>
      </c>
      <c r="D146" s="188">
        <v>30</v>
      </c>
      <c r="E146" t="s">
        <v>1500</v>
      </c>
      <c r="F146" t="s">
        <v>1551</v>
      </c>
      <c r="G146" s="189" t="s">
        <v>1552</v>
      </c>
      <c r="H146" s="190">
        <v>0</v>
      </c>
      <c r="I146" s="190">
        <v>0</v>
      </c>
      <c r="J146" s="190">
        <v>0</v>
      </c>
      <c r="K146" s="190">
        <v>0</v>
      </c>
      <c r="L146" s="190">
        <v>0</v>
      </c>
      <c r="M146" s="190">
        <v>0</v>
      </c>
      <c r="N146" s="190">
        <v>0</v>
      </c>
      <c r="O146" s="190">
        <v>0</v>
      </c>
      <c r="P146" s="190">
        <v>0</v>
      </c>
      <c r="Q146" s="190">
        <v>0</v>
      </c>
      <c r="R146" s="190">
        <v>0</v>
      </c>
      <c r="S146" s="190">
        <v>0</v>
      </c>
      <c r="T146" s="190">
        <v>0</v>
      </c>
      <c r="U146" s="190">
        <v>0</v>
      </c>
      <c r="V146" s="190">
        <v>0</v>
      </c>
      <c r="W146" s="190">
        <v>0</v>
      </c>
      <c r="X146" s="190">
        <v>0</v>
      </c>
      <c r="Y146" s="190">
        <v>0</v>
      </c>
      <c r="Z146" s="190">
        <v>0</v>
      </c>
      <c r="AA146" s="190">
        <v>0</v>
      </c>
      <c r="AB146" s="190">
        <v>0</v>
      </c>
      <c r="AC146" s="190">
        <v>0</v>
      </c>
      <c r="AD146" s="190">
        <v>0</v>
      </c>
      <c r="AE146" s="190">
        <v>0</v>
      </c>
      <c r="AF146" s="190">
        <v>0</v>
      </c>
      <c r="AG146" s="190">
        <v>0</v>
      </c>
      <c r="AH146" s="190">
        <v>0</v>
      </c>
      <c r="AI146" s="190">
        <v>0</v>
      </c>
      <c r="AJ146" s="190">
        <v>0</v>
      </c>
    </row>
    <row r="147" spans="1:36" x14ac:dyDescent="0.35">
      <c r="A147" t="s">
        <v>1555</v>
      </c>
      <c r="B147" s="188" t="s">
        <v>1342</v>
      </c>
      <c r="C147" t="s">
        <v>1343</v>
      </c>
      <c r="D147" s="188">
        <v>30</v>
      </c>
      <c r="E147" t="s">
        <v>1500</v>
      </c>
      <c r="F147" t="s">
        <v>1556</v>
      </c>
      <c r="G147" s="189" t="s">
        <v>1557</v>
      </c>
      <c r="H147" s="190">
        <v>0</v>
      </c>
      <c r="I147" s="190">
        <v>0</v>
      </c>
      <c r="J147" s="190">
        <v>0</v>
      </c>
      <c r="K147" s="190">
        <v>0</v>
      </c>
      <c r="L147" s="190">
        <v>0</v>
      </c>
      <c r="M147" s="190">
        <v>0</v>
      </c>
      <c r="N147" s="190">
        <v>0</v>
      </c>
      <c r="O147" s="190">
        <v>0</v>
      </c>
      <c r="P147" s="190">
        <v>0</v>
      </c>
      <c r="Q147" s="190">
        <v>0</v>
      </c>
      <c r="R147" s="190">
        <v>0</v>
      </c>
      <c r="S147" s="190">
        <v>0</v>
      </c>
      <c r="T147" s="190">
        <v>0</v>
      </c>
      <c r="U147" s="190">
        <v>0</v>
      </c>
      <c r="V147" s="190">
        <v>0</v>
      </c>
      <c r="W147" s="190">
        <v>0</v>
      </c>
      <c r="X147" s="190">
        <v>0</v>
      </c>
      <c r="Y147" s="190">
        <v>0</v>
      </c>
      <c r="Z147" s="190">
        <v>0</v>
      </c>
      <c r="AA147" s="190">
        <v>0</v>
      </c>
      <c r="AB147" s="190">
        <v>0</v>
      </c>
      <c r="AC147" s="190">
        <v>0</v>
      </c>
      <c r="AD147" s="190">
        <v>0</v>
      </c>
      <c r="AE147" s="190">
        <v>0</v>
      </c>
      <c r="AF147" s="190">
        <v>0</v>
      </c>
      <c r="AG147" s="190">
        <v>0</v>
      </c>
      <c r="AH147" s="190">
        <v>0</v>
      </c>
      <c r="AI147" s="190">
        <v>0</v>
      </c>
      <c r="AJ147" s="190">
        <v>0</v>
      </c>
    </row>
    <row r="148" spans="1:36" x14ac:dyDescent="0.35">
      <c r="A148" t="s">
        <v>1558</v>
      </c>
      <c r="B148" s="188" t="s">
        <v>1342</v>
      </c>
      <c r="C148" t="s">
        <v>1348</v>
      </c>
      <c r="D148" s="188">
        <v>30</v>
      </c>
      <c r="E148" t="s">
        <v>1500</v>
      </c>
      <c r="F148" t="s">
        <v>1556</v>
      </c>
      <c r="G148" s="189" t="s">
        <v>1557</v>
      </c>
      <c r="H148" s="190">
        <v>0</v>
      </c>
      <c r="I148" s="190">
        <v>0</v>
      </c>
      <c r="J148" s="190">
        <v>0</v>
      </c>
      <c r="K148" s="190">
        <v>0</v>
      </c>
      <c r="L148" s="190">
        <v>0</v>
      </c>
      <c r="M148" s="190">
        <v>0</v>
      </c>
      <c r="N148" s="190">
        <v>0</v>
      </c>
      <c r="O148" s="190">
        <v>0</v>
      </c>
      <c r="P148" s="190">
        <v>0</v>
      </c>
      <c r="Q148" s="190">
        <v>0</v>
      </c>
      <c r="R148" s="190">
        <v>0</v>
      </c>
      <c r="S148" s="190">
        <v>0</v>
      </c>
      <c r="T148" s="190">
        <v>0</v>
      </c>
      <c r="U148" s="190">
        <v>0</v>
      </c>
      <c r="V148" s="190">
        <v>0</v>
      </c>
      <c r="W148" s="190">
        <v>0</v>
      </c>
      <c r="X148" s="190">
        <v>0</v>
      </c>
      <c r="Y148" s="190">
        <v>0</v>
      </c>
      <c r="Z148" s="190">
        <v>0</v>
      </c>
      <c r="AA148" s="190">
        <v>0</v>
      </c>
      <c r="AB148" s="190">
        <v>0</v>
      </c>
      <c r="AC148" s="190">
        <v>0</v>
      </c>
      <c r="AD148" s="190">
        <v>0</v>
      </c>
      <c r="AE148" s="190">
        <v>0</v>
      </c>
      <c r="AF148" s="190">
        <v>0</v>
      </c>
      <c r="AG148" s="190">
        <v>0</v>
      </c>
      <c r="AH148" s="190">
        <v>0</v>
      </c>
      <c r="AI148" s="190">
        <v>0</v>
      </c>
      <c r="AJ148" s="190">
        <v>0</v>
      </c>
    </row>
    <row r="149" spans="1:36" x14ac:dyDescent="0.35">
      <c r="A149" t="s">
        <v>1559</v>
      </c>
      <c r="B149" s="188" t="s">
        <v>1342</v>
      </c>
      <c r="C149" t="s">
        <v>1350</v>
      </c>
      <c r="D149" s="188">
        <v>30</v>
      </c>
      <c r="E149" t="s">
        <v>1500</v>
      </c>
      <c r="F149" t="s">
        <v>1556</v>
      </c>
      <c r="G149" s="189" t="s">
        <v>1557</v>
      </c>
      <c r="H149" s="190">
        <v>0</v>
      </c>
      <c r="I149" s="190">
        <v>0</v>
      </c>
      <c r="J149" s="190">
        <v>0</v>
      </c>
      <c r="K149" s="190">
        <v>0</v>
      </c>
      <c r="L149" s="190">
        <v>0</v>
      </c>
      <c r="M149" s="190">
        <v>0</v>
      </c>
      <c r="N149" s="190">
        <v>0</v>
      </c>
      <c r="O149" s="190">
        <v>0</v>
      </c>
      <c r="P149" s="190">
        <v>0</v>
      </c>
      <c r="Q149" s="190">
        <v>0</v>
      </c>
      <c r="R149" s="190">
        <v>0</v>
      </c>
      <c r="S149" s="190">
        <v>0</v>
      </c>
      <c r="T149" s="190">
        <v>0</v>
      </c>
      <c r="U149" s="190">
        <v>0</v>
      </c>
      <c r="V149" s="190">
        <v>0</v>
      </c>
      <c r="W149" s="190">
        <v>0</v>
      </c>
      <c r="X149" s="190">
        <v>0</v>
      </c>
      <c r="Y149" s="190">
        <v>0</v>
      </c>
      <c r="Z149" s="190">
        <v>0</v>
      </c>
      <c r="AA149" s="190">
        <v>0</v>
      </c>
      <c r="AB149" s="190">
        <v>0</v>
      </c>
      <c r="AC149" s="190">
        <v>0</v>
      </c>
      <c r="AD149" s="190">
        <v>0</v>
      </c>
      <c r="AE149" s="190">
        <v>0</v>
      </c>
      <c r="AF149" s="190">
        <v>0</v>
      </c>
      <c r="AG149" s="190">
        <v>0</v>
      </c>
      <c r="AH149" s="190">
        <v>0</v>
      </c>
      <c r="AI149" s="190">
        <v>0</v>
      </c>
      <c r="AJ149" s="190">
        <v>0</v>
      </c>
    </row>
    <row r="150" spans="1:36" x14ac:dyDescent="0.35">
      <c r="A150" t="s">
        <v>1560</v>
      </c>
      <c r="B150" s="188" t="s">
        <v>1342</v>
      </c>
      <c r="C150" t="s">
        <v>1343</v>
      </c>
      <c r="D150" s="188">
        <v>30</v>
      </c>
      <c r="E150" t="s">
        <v>1500</v>
      </c>
      <c r="F150" t="s">
        <v>1561</v>
      </c>
      <c r="G150" s="189" t="s">
        <v>1562</v>
      </c>
      <c r="H150" s="190">
        <v>0</v>
      </c>
      <c r="I150" s="190">
        <v>0</v>
      </c>
      <c r="J150" s="190">
        <v>0</v>
      </c>
      <c r="K150" s="190">
        <v>0</v>
      </c>
      <c r="L150" s="190">
        <v>0</v>
      </c>
      <c r="M150" s="190">
        <v>0</v>
      </c>
      <c r="N150" s="190">
        <v>0</v>
      </c>
      <c r="O150" s="190">
        <v>0</v>
      </c>
      <c r="P150" s="190">
        <v>0</v>
      </c>
      <c r="Q150" s="190">
        <v>0</v>
      </c>
      <c r="R150" s="190">
        <v>0</v>
      </c>
      <c r="S150" s="190">
        <v>0</v>
      </c>
      <c r="T150" s="190">
        <v>0</v>
      </c>
      <c r="U150" s="190">
        <v>0</v>
      </c>
      <c r="V150" s="190">
        <v>0</v>
      </c>
      <c r="W150" s="190">
        <v>0</v>
      </c>
      <c r="X150" s="190">
        <v>0</v>
      </c>
      <c r="Y150" s="190">
        <v>0</v>
      </c>
      <c r="Z150" s="190">
        <v>0</v>
      </c>
      <c r="AA150" s="190">
        <v>0</v>
      </c>
      <c r="AB150" s="190">
        <v>0</v>
      </c>
      <c r="AC150" s="190">
        <v>0</v>
      </c>
      <c r="AD150" s="190">
        <v>0</v>
      </c>
      <c r="AE150" s="190">
        <v>0</v>
      </c>
      <c r="AF150" s="190">
        <v>0</v>
      </c>
      <c r="AG150" s="190">
        <v>0</v>
      </c>
      <c r="AH150" s="190">
        <v>0</v>
      </c>
      <c r="AI150" s="190">
        <v>0</v>
      </c>
      <c r="AJ150" s="190">
        <v>0</v>
      </c>
    </row>
    <row r="151" spans="1:36" x14ac:dyDescent="0.35">
      <c r="A151" t="s">
        <v>1563</v>
      </c>
      <c r="B151" s="188" t="s">
        <v>1342</v>
      </c>
      <c r="C151" t="s">
        <v>1348</v>
      </c>
      <c r="D151" s="188">
        <v>30</v>
      </c>
      <c r="E151" t="s">
        <v>1500</v>
      </c>
      <c r="F151" t="s">
        <v>1561</v>
      </c>
      <c r="G151" s="189" t="s">
        <v>1562</v>
      </c>
      <c r="H151" s="190">
        <v>0</v>
      </c>
      <c r="I151" s="190">
        <v>0</v>
      </c>
      <c r="J151" s="190">
        <v>0</v>
      </c>
      <c r="K151" s="190">
        <v>0</v>
      </c>
      <c r="L151" s="190">
        <v>0</v>
      </c>
      <c r="M151" s="190">
        <v>0</v>
      </c>
      <c r="N151" s="190">
        <v>0</v>
      </c>
      <c r="O151" s="190">
        <v>0</v>
      </c>
      <c r="P151" s="190">
        <v>0</v>
      </c>
      <c r="Q151" s="190">
        <v>0</v>
      </c>
      <c r="R151" s="190">
        <v>0</v>
      </c>
      <c r="S151" s="190">
        <v>0</v>
      </c>
      <c r="T151" s="190">
        <v>0</v>
      </c>
      <c r="U151" s="190">
        <v>0</v>
      </c>
      <c r="V151" s="190">
        <v>0</v>
      </c>
      <c r="W151" s="190">
        <v>0</v>
      </c>
      <c r="X151" s="190">
        <v>0</v>
      </c>
      <c r="Y151" s="190">
        <v>0</v>
      </c>
      <c r="Z151" s="190">
        <v>0</v>
      </c>
      <c r="AA151" s="190">
        <v>0</v>
      </c>
      <c r="AB151" s="190">
        <v>0</v>
      </c>
      <c r="AC151" s="190">
        <v>0</v>
      </c>
      <c r="AD151" s="190">
        <v>0</v>
      </c>
      <c r="AE151" s="190">
        <v>0</v>
      </c>
      <c r="AF151" s="190">
        <v>0</v>
      </c>
      <c r="AG151" s="190">
        <v>0</v>
      </c>
      <c r="AH151" s="190">
        <v>0</v>
      </c>
      <c r="AI151" s="190">
        <v>0</v>
      </c>
      <c r="AJ151" s="190">
        <v>0</v>
      </c>
    </row>
    <row r="152" spans="1:36" x14ac:dyDescent="0.35">
      <c r="A152" t="s">
        <v>1564</v>
      </c>
      <c r="B152" s="188" t="s">
        <v>1342</v>
      </c>
      <c r="C152" t="s">
        <v>1350</v>
      </c>
      <c r="D152" s="188">
        <v>30</v>
      </c>
      <c r="E152" t="s">
        <v>1500</v>
      </c>
      <c r="F152" t="s">
        <v>1561</v>
      </c>
      <c r="G152" s="189" t="s">
        <v>1562</v>
      </c>
      <c r="H152" s="190">
        <v>0</v>
      </c>
      <c r="I152" s="190">
        <v>0</v>
      </c>
      <c r="J152" s="190">
        <v>0</v>
      </c>
      <c r="K152" s="190">
        <v>0</v>
      </c>
      <c r="L152" s="190">
        <v>0</v>
      </c>
      <c r="M152" s="190">
        <v>0</v>
      </c>
      <c r="N152" s="190">
        <v>0</v>
      </c>
      <c r="O152" s="190">
        <v>0</v>
      </c>
      <c r="P152" s="190">
        <v>0</v>
      </c>
      <c r="Q152" s="190">
        <v>0</v>
      </c>
      <c r="R152" s="190">
        <v>0</v>
      </c>
      <c r="S152" s="190">
        <v>0</v>
      </c>
      <c r="T152" s="190">
        <v>0</v>
      </c>
      <c r="U152" s="190">
        <v>0</v>
      </c>
      <c r="V152" s="190">
        <v>0</v>
      </c>
      <c r="W152" s="190">
        <v>0</v>
      </c>
      <c r="X152" s="190">
        <v>0</v>
      </c>
      <c r="Y152" s="190">
        <v>0</v>
      </c>
      <c r="Z152" s="190">
        <v>0</v>
      </c>
      <c r="AA152" s="190">
        <v>0</v>
      </c>
      <c r="AB152" s="190">
        <v>0</v>
      </c>
      <c r="AC152" s="190">
        <v>0</v>
      </c>
      <c r="AD152" s="190">
        <v>0</v>
      </c>
      <c r="AE152" s="190">
        <v>0</v>
      </c>
      <c r="AF152" s="190">
        <v>0</v>
      </c>
      <c r="AG152" s="190">
        <v>0</v>
      </c>
      <c r="AH152" s="190">
        <v>0</v>
      </c>
      <c r="AI152" s="190">
        <v>0</v>
      </c>
      <c r="AJ152" s="190">
        <v>0</v>
      </c>
    </row>
    <row r="153" spans="1:36" x14ac:dyDescent="0.35">
      <c r="A153" t="s">
        <v>1565</v>
      </c>
      <c r="B153" s="188" t="s">
        <v>1342</v>
      </c>
      <c r="C153" t="s">
        <v>1343</v>
      </c>
      <c r="D153" s="188">
        <v>30</v>
      </c>
      <c r="E153" t="s">
        <v>1500</v>
      </c>
      <c r="F153" t="s">
        <v>1566</v>
      </c>
      <c r="G153" s="189" t="s">
        <v>1567</v>
      </c>
      <c r="H153" s="190">
        <v>0</v>
      </c>
      <c r="I153" s="190">
        <v>0</v>
      </c>
      <c r="J153" s="190">
        <v>0</v>
      </c>
      <c r="K153" s="190">
        <v>0</v>
      </c>
      <c r="L153" s="190">
        <v>0</v>
      </c>
      <c r="M153" s="190">
        <v>0</v>
      </c>
      <c r="N153" s="190">
        <v>0</v>
      </c>
      <c r="O153" s="190">
        <v>0</v>
      </c>
      <c r="P153" s="190">
        <v>0</v>
      </c>
      <c r="Q153" s="190">
        <v>0</v>
      </c>
      <c r="R153" s="190">
        <v>0</v>
      </c>
      <c r="S153" s="190">
        <v>0</v>
      </c>
      <c r="T153" s="190">
        <v>0</v>
      </c>
      <c r="U153" s="190">
        <v>0</v>
      </c>
      <c r="V153" s="190">
        <v>0</v>
      </c>
      <c r="W153" s="190">
        <v>0</v>
      </c>
      <c r="X153" s="190">
        <v>0</v>
      </c>
      <c r="Y153" s="190">
        <v>0</v>
      </c>
      <c r="Z153" s="190">
        <v>0</v>
      </c>
      <c r="AA153" s="190">
        <v>0</v>
      </c>
      <c r="AB153" s="190">
        <v>0</v>
      </c>
      <c r="AC153" s="190">
        <v>0</v>
      </c>
      <c r="AD153" s="190">
        <v>0</v>
      </c>
      <c r="AE153" s="190">
        <v>0</v>
      </c>
      <c r="AF153" s="190">
        <v>0</v>
      </c>
      <c r="AG153" s="190">
        <v>0</v>
      </c>
      <c r="AH153" s="190">
        <v>0</v>
      </c>
      <c r="AI153" s="190">
        <v>0</v>
      </c>
      <c r="AJ153" s="190">
        <v>0</v>
      </c>
    </row>
    <row r="154" spans="1:36" x14ac:dyDescent="0.35">
      <c r="A154" t="s">
        <v>1568</v>
      </c>
      <c r="B154" s="188" t="s">
        <v>1342</v>
      </c>
      <c r="C154" t="s">
        <v>1348</v>
      </c>
      <c r="D154" s="188">
        <v>30</v>
      </c>
      <c r="E154" t="s">
        <v>1500</v>
      </c>
      <c r="F154" t="s">
        <v>1566</v>
      </c>
      <c r="G154" s="189" t="s">
        <v>1567</v>
      </c>
      <c r="H154" s="190">
        <v>0</v>
      </c>
      <c r="I154" s="190">
        <v>0</v>
      </c>
      <c r="J154" s="190">
        <v>0</v>
      </c>
      <c r="K154" s="190">
        <v>0</v>
      </c>
      <c r="L154" s="190">
        <v>0</v>
      </c>
      <c r="M154" s="190">
        <v>0</v>
      </c>
      <c r="N154" s="190">
        <v>0</v>
      </c>
      <c r="O154" s="190">
        <v>0</v>
      </c>
      <c r="P154" s="190">
        <v>0</v>
      </c>
      <c r="Q154" s="190">
        <v>0</v>
      </c>
      <c r="R154" s="190">
        <v>0</v>
      </c>
      <c r="S154" s="190">
        <v>0</v>
      </c>
      <c r="T154" s="190">
        <v>0</v>
      </c>
      <c r="U154" s="190">
        <v>0</v>
      </c>
      <c r="V154" s="190">
        <v>0</v>
      </c>
      <c r="W154" s="190">
        <v>0</v>
      </c>
      <c r="X154" s="190">
        <v>0</v>
      </c>
      <c r="Y154" s="190">
        <v>0</v>
      </c>
      <c r="Z154" s="190">
        <v>0</v>
      </c>
      <c r="AA154" s="190">
        <v>0</v>
      </c>
      <c r="AB154" s="190">
        <v>0</v>
      </c>
      <c r="AC154" s="190">
        <v>0</v>
      </c>
      <c r="AD154" s="190">
        <v>0</v>
      </c>
      <c r="AE154" s="190">
        <v>0</v>
      </c>
      <c r="AF154" s="190">
        <v>0</v>
      </c>
      <c r="AG154" s="190">
        <v>0</v>
      </c>
      <c r="AH154" s="190">
        <v>0</v>
      </c>
      <c r="AI154" s="190">
        <v>0</v>
      </c>
      <c r="AJ154" s="190">
        <v>0</v>
      </c>
    </row>
    <row r="155" spans="1:36" x14ac:dyDescent="0.35">
      <c r="A155" t="s">
        <v>1569</v>
      </c>
      <c r="B155" s="188" t="s">
        <v>1342</v>
      </c>
      <c r="C155" t="s">
        <v>1350</v>
      </c>
      <c r="D155" s="188">
        <v>30</v>
      </c>
      <c r="E155" t="s">
        <v>1500</v>
      </c>
      <c r="F155" t="s">
        <v>1566</v>
      </c>
      <c r="G155" s="189" t="s">
        <v>1567</v>
      </c>
      <c r="H155" s="190">
        <v>0</v>
      </c>
      <c r="I155" s="190">
        <v>0</v>
      </c>
      <c r="J155" s="190">
        <v>0</v>
      </c>
      <c r="K155" s="190">
        <v>0</v>
      </c>
      <c r="L155" s="190">
        <v>0</v>
      </c>
      <c r="M155" s="190">
        <v>0</v>
      </c>
      <c r="N155" s="190">
        <v>0</v>
      </c>
      <c r="O155" s="190">
        <v>0</v>
      </c>
      <c r="P155" s="190">
        <v>0</v>
      </c>
      <c r="Q155" s="190">
        <v>0</v>
      </c>
      <c r="R155" s="190">
        <v>0</v>
      </c>
      <c r="S155" s="190">
        <v>0</v>
      </c>
      <c r="T155" s="190">
        <v>0</v>
      </c>
      <c r="U155" s="190">
        <v>0</v>
      </c>
      <c r="V155" s="190">
        <v>0</v>
      </c>
      <c r="W155" s="190">
        <v>0</v>
      </c>
      <c r="X155" s="190">
        <v>0</v>
      </c>
      <c r="Y155" s="190">
        <v>0</v>
      </c>
      <c r="Z155" s="190">
        <v>0</v>
      </c>
      <c r="AA155" s="190">
        <v>0</v>
      </c>
      <c r="AB155" s="190">
        <v>0</v>
      </c>
      <c r="AC155" s="190">
        <v>0</v>
      </c>
      <c r="AD155" s="190">
        <v>0</v>
      </c>
      <c r="AE155" s="190">
        <v>0</v>
      </c>
      <c r="AF155" s="190">
        <v>0</v>
      </c>
      <c r="AG155" s="190">
        <v>0</v>
      </c>
      <c r="AH155" s="190">
        <v>0</v>
      </c>
      <c r="AI155" s="190">
        <v>0</v>
      </c>
      <c r="AJ155" s="190">
        <v>0</v>
      </c>
    </row>
    <row r="156" spans="1:36" x14ac:dyDescent="0.35">
      <c r="A156" t="s">
        <v>1570</v>
      </c>
      <c r="B156" s="188" t="s">
        <v>1342</v>
      </c>
      <c r="C156" t="s">
        <v>1343</v>
      </c>
      <c r="D156" s="188">
        <v>30</v>
      </c>
      <c r="E156" t="s">
        <v>1500</v>
      </c>
      <c r="F156" t="s">
        <v>1571</v>
      </c>
      <c r="G156" s="189" t="s">
        <v>1572</v>
      </c>
      <c r="H156" s="190">
        <v>0</v>
      </c>
      <c r="I156" s="190">
        <v>0</v>
      </c>
      <c r="J156" s="190">
        <v>0</v>
      </c>
      <c r="K156" s="190">
        <v>0</v>
      </c>
      <c r="L156" s="190">
        <v>0</v>
      </c>
      <c r="M156" s="190">
        <v>0</v>
      </c>
      <c r="N156" s="190">
        <v>0</v>
      </c>
      <c r="O156" s="190">
        <v>0</v>
      </c>
      <c r="P156" s="190">
        <v>0</v>
      </c>
      <c r="Q156" s="190">
        <v>0</v>
      </c>
      <c r="R156" s="190">
        <v>0</v>
      </c>
      <c r="S156" s="190">
        <v>0</v>
      </c>
      <c r="T156" s="190">
        <v>0</v>
      </c>
      <c r="U156" s="190">
        <v>0</v>
      </c>
      <c r="V156" s="190">
        <v>0</v>
      </c>
      <c r="W156" s="190">
        <v>0</v>
      </c>
      <c r="X156" s="190">
        <v>0</v>
      </c>
      <c r="Y156" s="190">
        <v>0</v>
      </c>
      <c r="Z156" s="190">
        <v>0</v>
      </c>
      <c r="AA156" s="190">
        <v>0</v>
      </c>
      <c r="AB156" s="190">
        <v>0</v>
      </c>
      <c r="AC156" s="190">
        <v>0</v>
      </c>
      <c r="AD156" s="190">
        <v>0</v>
      </c>
      <c r="AE156" s="190">
        <v>0</v>
      </c>
      <c r="AF156" s="190">
        <v>0</v>
      </c>
      <c r="AG156" s="190">
        <v>0</v>
      </c>
      <c r="AH156" s="190">
        <v>0</v>
      </c>
      <c r="AI156" s="190">
        <v>0</v>
      </c>
      <c r="AJ156" s="190">
        <v>0</v>
      </c>
    </row>
    <row r="157" spans="1:36" x14ac:dyDescent="0.35">
      <c r="A157" t="s">
        <v>1573</v>
      </c>
      <c r="B157" s="188" t="s">
        <v>1342</v>
      </c>
      <c r="C157" t="s">
        <v>1348</v>
      </c>
      <c r="D157" s="188">
        <v>30</v>
      </c>
      <c r="E157" t="s">
        <v>1500</v>
      </c>
      <c r="F157" t="s">
        <v>1571</v>
      </c>
      <c r="G157" s="189" t="s">
        <v>1572</v>
      </c>
      <c r="H157" s="190">
        <v>0</v>
      </c>
      <c r="I157" s="190">
        <v>0</v>
      </c>
      <c r="J157" s="190">
        <v>0</v>
      </c>
      <c r="K157" s="190">
        <v>0</v>
      </c>
      <c r="L157" s="190">
        <v>0</v>
      </c>
      <c r="M157" s="190">
        <v>0</v>
      </c>
      <c r="N157" s="190">
        <v>0</v>
      </c>
      <c r="O157" s="190">
        <v>0</v>
      </c>
      <c r="P157" s="190">
        <v>0</v>
      </c>
      <c r="Q157" s="190">
        <v>0</v>
      </c>
      <c r="R157" s="190">
        <v>0</v>
      </c>
      <c r="S157" s="190">
        <v>0</v>
      </c>
      <c r="T157" s="190">
        <v>0</v>
      </c>
      <c r="U157" s="190">
        <v>0</v>
      </c>
      <c r="V157" s="190">
        <v>0</v>
      </c>
      <c r="W157" s="190">
        <v>0</v>
      </c>
      <c r="X157" s="190">
        <v>0</v>
      </c>
      <c r="Y157" s="190">
        <v>0</v>
      </c>
      <c r="Z157" s="190">
        <v>0</v>
      </c>
      <c r="AA157" s="190">
        <v>0</v>
      </c>
      <c r="AB157" s="190">
        <v>0</v>
      </c>
      <c r="AC157" s="190">
        <v>0</v>
      </c>
      <c r="AD157" s="190">
        <v>0</v>
      </c>
      <c r="AE157" s="190">
        <v>0</v>
      </c>
      <c r="AF157" s="190">
        <v>0</v>
      </c>
      <c r="AG157" s="190">
        <v>0</v>
      </c>
      <c r="AH157" s="190">
        <v>0</v>
      </c>
      <c r="AI157" s="190">
        <v>0</v>
      </c>
      <c r="AJ157" s="190">
        <v>0</v>
      </c>
    </row>
    <row r="158" spans="1:36" x14ac:dyDescent="0.35">
      <c r="A158" t="s">
        <v>1574</v>
      </c>
      <c r="B158" s="188" t="s">
        <v>1342</v>
      </c>
      <c r="C158" t="s">
        <v>1350</v>
      </c>
      <c r="D158" s="188">
        <v>30</v>
      </c>
      <c r="E158" t="s">
        <v>1500</v>
      </c>
      <c r="F158" t="s">
        <v>1571</v>
      </c>
      <c r="G158" s="189" t="s">
        <v>1572</v>
      </c>
      <c r="H158" s="190">
        <v>0</v>
      </c>
      <c r="I158" s="190">
        <v>0</v>
      </c>
      <c r="J158" s="190">
        <v>0</v>
      </c>
      <c r="K158" s="190">
        <v>0</v>
      </c>
      <c r="L158" s="190">
        <v>0</v>
      </c>
      <c r="M158" s="190">
        <v>0</v>
      </c>
      <c r="N158" s="190">
        <v>0</v>
      </c>
      <c r="O158" s="190">
        <v>0</v>
      </c>
      <c r="P158" s="190">
        <v>0</v>
      </c>
      <c r="Q158" s="190">
        <v>0</v>
      </c>
      <c r="R158" s="190">
        <v>0</v>
      </c>
      <c r="S158" s="190">
        <v>0</v>
      </c>
      <c r="T158" s="190">
        <v>0</v>
      </c>
      <c r="U158" s="190">
        <v>0</v>
      </c>
      <c r="V158" s="190">
        <v>0</v>
      </c>
      <c r="W158" s="190">
        <v>0</v>
      </c>
      <c r="X158" s="190">
        <v>0</v>
      </c>
      <c r="Y158" s="190">
        <v>0</v>
      </c>
      <c r="Z158" s="190">
        <v>0</v>
      </c>
      <c r="AA158" s="190">
        <v>0</v>
      </c>
      <c r="AB158" s="190">
        <v>0</v>
      </c>
      <c r="AC158" s="190">
        <v>0</v>
      </c>
      <c r="AD158" s="190">
        <v>0</v>
      </c>
      <c r="AE158" s="190">
        <v>0</v>
      </c>
      <c r="AF158" s="190">
        <v>0</v>
      </c>
      <c r="AG158" s="190">
        <v>0</v>
      </c>
      <c r="AH158" s="190">
        <v>0</v>
      </c>
      <c r="AI158" s="190">
        <v>0</v>
      </c>
      <c r="AJ158" s="190">
        <v>0</v>
      </c>
    </row>
    <row r="159" spans="1:36" x14ac:dyDescent="0.35">
      <c r="A159" t="s">
        <v>1575</v>
      </c>
      <c r="B159" s="188" t="s">
        <v>1342</v>
      </c>
      <c r="C159" t="s">
        <v>1343</v>
      </c>
      <c r="D159" s="188">
        <v>30</v>
      </c>
      <c r="E159" t="s">
        <v>1500</v>
      </c>
      <c r="F159" t="s">
        <v>1576</v>
      </c>
      <c r="G159" s="189" t="s">
        <v>1577</v>
      </c>
      <c r="H159" s="190">
        <v>0</v>
      </c>
      <c r="I159" s="190">
        <v>0</v>
      </c>
      <c r="J159" s="190">
        <v>0</v>
      </c>
      <c r="K159" s="190">
        <v>0</v>
      </c>
      <c r="L159" s="190">
        <v>0</v>
      </c>
      <c r="M159" s="190">
        <v>0</v>
      </c>
      <c r="N159" s="190">
        <v>0</v>
      </c>
      <c r="O159" s="190">
        <v>0</v>
      </c>
      <c r="P159" s="190">
        <v>0</v>
      </c>
      <c r="Q159" s="190">
        <v>0</v>
      </c>
      <c r="R159" s="190">
        <v>0</v>
      </c>
      <c r="S159" s="190">
        <v>0</v>
      </c>
      <c r="T159" s="190">
        <v>0</v>
      </c>
      <c r="U159" s="190">
        <v>0</v>
      </c>
      <c r="V159" s="190">
        <v>0</v>
      </c>
      <c r="W159" s="190">
        <v>0</v>
      </c>
      <c r="X159" s="190">
        <v>0</v>
      </c>
      <c r="Y159" s="190">
        <v>0</v>
      </c>
      <c r="Z159" s="190">
        <v>0</v>
      </c>
      <c r="AA159" s="190">
        <v>0</v>
      </c>
      <c r="AB159" s="190">
        <v>0</v>
      </c>
      <c r="AC159" s="190">
        <v>0</v>
      </c>
      <c r="AD159" s="190">
        <v>0</v>
      </c>
      <c r="AE159" s="190">
        <v>0</v>
      </c>
      <c r="AF159" s="190">
        <v>0</v>
      </c>
      <c r="AG159" s="190">
        <v>0</v>
      </c>
      <c r="AH159" s="190">
        <v>0</v>
      </c>
      <c r="AI159" s="190">
        <v>0</v>
      </c>
      <c r="AJ159" s="190">
        <v>0</v>
      </c>
    </row>
    <row r="160" spans="1:36" x14ac:dyDescent="0.35">
      <c r="A160" t="s">
        <v>1578</v>
      </c>
      <c r="B160" s="188" t="s">
        <v>1342</v>
      </c>
      <c r="C160" t="s">
        <v>1348</v>
      </c>
      <c r="D160" s="188">
        <v>30</v>
      </c>
      <c r="E160" t="s">
        <v>1500</v>
      </c>
      <c r="F160" t="s">
        <v>1576</v>
      </c>
      <c r="G160" s="189" t="s">
        <v>1577</v>
      </c>
      <c r="H160" s="190">
        <v>0</v>
      </c>
      <c r="I160" s="190">
        <v>0</v>
      </c>
      <c r="J160" s="190">
        <v>0</v>
      </c>
      <c r="K160" s="190">
        <v>0</v>
      </c>
      <c r="L160" s="190">
        <v>0</v>
      </c>
      <c r="M160" s="190">
        <v>0</v>
      </c>
      <c r="N160" s="190">
        <v>0</v>
      </c>
      <c r="O160" s="190">
        <v>0</v>
      </c>
      <c r="P160" s="190">
        <v>0</v>
      </c>
      <c r="Q160" s="190">
        <v>0</v>
      </c>
      <c r="R160" s="190">
        <v>0</v>
      </c>
      <c r="S160" s="190">
        <v>0</v>
      </c>
      <c r="T160" s="190">
        <v>0</v>
      </c>
      <c r="U160" s="190">
        <v>0</v>
      </c>
      <c r="V160" s="190">
        <v>0</v>
      </c>
      <c r="W160" s="190">
        <v>0</v>
      </c>
      <c r="X160" s="190">
        <v>0</v>
      </c>
      <c r="Y160" s="190">
        <v>0</v>
      </c>
      <c r="Z160" s="190">
        <v>0</v>
      </c>
      <c r="AA160" s="190">
        <v>0</v>
      </c>
      <c r="AB160" s="190">
        <v>0</v>
      </c>
      <c r="AC160" s="190">
        <v>0</v>
      </c>
      <c r="AD160" s="190">
        <v>0</v>
      </c>
      <c r="AE160" s="190">
        <v>0</v>
      </c>
      <c r="AF160" s="190">
        <v>0</v>
      </c>
      <c r="AG160" s="190">
        <v>0</v>
      </c>
      <c r="AH160" s="190">
        <v>0</v>
      </c>
      <c r="AI160" s="190">
        <v>0</v>
      </c>
      <c r="AJ160" s="190">
        <v>0</v>
      </c>
    </row>
    <row r="161" spans="1:36" x14ac:dyDescent="0.35">
      <c r="A161" t="s">
        <v>1579</v>
      </c>
      <c r="B161" s="188" t="s">
        <v>1342</v>
      </c>
      <c r="C161" t="s">
        <v>1350</v>
      </c>
      <c r="D161" s="188">
        <v>30</v>
      </c>
      <c r="E161" t="s">
        <v>1500</v>
      </c>
      <c r="F161" t="s">
        <v>1576</v>
      </c>
      <c r="G161" s="189" t="s">
        <v>1577</v>
      </c>
      <c r="H161" s="190">
        <v>0</v>
      </c>
      <c r="I161" s="190">
        <v>0</v>
      </c>
      <c r="J161" s="190">
        <v>0</v>
      </c>
      <c r="K161" s="190">
        <v>0</v>
      </c>
      <c r="L161" s="190">
        <v>0</v>
      </c>
      <c r="M161" s="190">
        <v>0</v>
      </c>
      <c r="N161" s="190">
        <v>0</v>
      </c>
      <c r="O161" s="190">
        <v>0</v>
      </c>
      <c r="P161" s="190">
        <v>0</v>
      </c>
      <c r="Q161" s="190">
        <v>0</v>
      </c>
      <c r="R161" s="190">
        <v>0</v>
      </c>
      <c r="S161" s="190">
        <v>0</v>
      </c>
      <c r="T161" s="190">
        <v>0</v>
      </c>
      <c r="U161" s="190">
        <v>0</v>
      </c>
      <c r="V161" s="190">
        <v>0</v>
      </c>
      <c r="W161" s="190">
        <v>0</v>
      </c>
      <c r="X161" s="190">
        <v>0</v>
      </c>
      <c r="Y161" s="190">
        <v>0</v>
      </c>
      <c r="Z161" s="190">
        <v>0</v>
      </c>
      <c r="AA161" s="190">
        <v>0</v>
      </c>
      <c r="AB161" s="190">
        <v>0</v>
      </c>
      <c r="AC161" s="190">
        <v>0</v>
      </c>
      <c r="AD161" s="190">
        <v>0</v>
      </c>
      <c r="AE161" s="190">
        <v>0</v>
      </c>
      <c r="AF161" s="190">
        <v>0</v>
      </c>
      <c r="AG161" s="190">
        <v>0</v>
      </c>
      <c r="AH161" s="190">
        <v>0</v>
      </c>
      <c r="AI161" s="190">
        <v>0</v>
      </c>
      <c r="AJ161" s="190">
        <v>0</v>
      </c>
    </row>
    <row r="162" spans="1:36" x14ac:dyDescent="0.35">
      <c r="A162" t="s">
        <v>1580</v>
      </c>
      <c r="B162" s="188" t="s">
        <v>1342</v>
      </c>
      <c r="C162" t="s">
        <v>1343</v>
      </c>
      <c r="D162" s="188">
        <v>30</v>
      </c>
      <c r="E162" t="s">
        <v>1500</v>
      </c>
      <c r="F162" t="s">
        <v>1581</v>
      </c>
      <c r="G162" s="189" t="s">
        <v>1582</v>
      </c>
      <c r="H162" s="190">
        <v>0</v>
      </c>
      <c r="I162" s="190">
        <v>0</v>
      </c>
      <c r="J162" s="190">
        <v>0</v>
      </c>
      <c r="K162" s="190">
        <v>0</v>
      </c>
      <c r="L162" s="190">
        <v>0</v>
      </c>
      <c r="M162" s="190">
        <v>0</v>
      </c>
      <c r="N162" s="190">
        <v>0</v>
      </c>
      <c r="O162" s="190">
        <v>0</v>
      </c>
      <c r="P162" s="190">
        <v>0</v>
      </c>
      <c r="Q162" s="190">
        <v>0</v>
      </c>
      <c r="R162" s="190">
        <v>0</v>
      </c>
      <c r="S162" s="190">
        <v>0</v>
      </c>
      <c r="T162" s="190">
        <v>0</v>
      </c>
      <c r="U162" s="190">
        <v>0</v>
      </c>
      <c r="V162" s="190">
        <v>0</v>
      </c>
      <c r="W162" s="190">
        <v>0</v>
      </c>
      <c r="X162" s="190">
        <v>0</v>
      </c>
      <c r="Y162" s="190">
        <v>0</v>
      </c>
      <c r="Z162" s="190">
        <v>0</v>
      </c>
      <c r="AA162" s="190">
        <v>0</v>
      </c>
      <c r="AB162" s="190">
        <v>0</v>
      </c>
      <c r="AC162" s="190">
        <v>0</v>
      </c>
      <c r="AD162" s="190">
        <v>0</v>
      </c>
      <c r="AE162" s="190">
        <v>0</v>
      </c>
      <c r="AF162" s="190">
        <v>0</v>
      </c>
      <c r="AG162" s="190">
        <v>0</v>
      </c>
      <c r="AH162" s="190">
        <v>0</v>
      </c>
      <c r="AI162" s="190">
        <v>0</v>
      </c>
      <c r="AJ162" s="190">
        <v>0</v>
      </c>
    </row>
    <row r="163" spans="1:36" x14ac:dyDescent="0.35">
      <c r="A163" t="s">
        <v>1583</v>
      </c>
      <c r="B163" s="188" t="s">
        <v>1342</v>
      </c>
      <c r="C163" t="s">
        <v>1348</v>
      </c>
      <c r="D163" s="188">
        <v>30</v>
      </c>
      <c r="E163" t="s">
        <v>1500</v>
      </c>
      <c r="F163" t="s">
        <v>1581</v>
      </c>
      <c r="G163" s="189" t="s">
        <v>1582</v>
      </c>
      <c r="H163" s="190">
        <v>0</v>
      </c>
      <c r="I163" s="190">
        <v>0</v>
      </c>
      <c r="J163" s="190">
        <v>0</v>
      </c>
      <c r="K163" s="190">
        <v>0</v>
      </c>
      <c r="L163" s="190">
        <v>0</v>
      </c>
      <c r="M163" s="190">
        <v>0</v>
      </c>
      <c r="N163" s="190">
        <v>0</v>
      </c>
      <c r="O163" s="190">
        <v>0</v>
      </c>
      <c r="P163" s="190">
        <v>0</v>
      </c>
      <c r="Q163" s="190">
        <v>0</v>
      </c>
      <c r="R163" s="190">
        <v>0</v>
      </c>
      <c r="S163" s="190">
        <v>0</v>
      </c>
      <c r="T163" s="190">
        <v>0</v>
      </c>
      <c r="U163" s="190">
        <v>0</v>
      </c>
      <c r="V163" s="190">
        <v>0</v>
      </c>
      <c r="W163" s="190">
        <v>0</v>
      </c>
      <c r="X163" s="190">
        <v>0</v>
      </c>
      <c r="Y163" s="190">
        <v>0</v>
      </c>
      <c r="Z163" s="190">
        <v>0</v>
      </c>
      <c r="AA163" s="190">
        <v>0</v>
      </c>
      <c r="AB163" s="190">
        <v>0</v>
      </c>
      <c r="AC163" s="190">
        <v>0</v>
      </c>
      <c r="AD163" s="190">
        <v>0</v>
      </c>
      <c r="AE163" s="190">
        <v>0</v>
      </c>
      <c r="AF163" s="190">
        <v>0</v>
      </c>
      <c r="AG163" s="190">
        <v>0</v>
      </c>
      <c r="AH163" s="190">
        <v>0</v>
      </c>
      <c r="AI163" s="190">
        <v>0</v>
      </c>
      <c r="AJ163" s="190">
        <v>0</v>
      </c>
    </row>
    <row r="164" spans="1:36" x14ac:dyDescent="0.35">
      <c r="A164" t="s">
        <v>1584</v>
      </c>
      <c r="B164" s="188" t="s">
        <v>1342</v>
      </c>
      <c r="C164" t="s">
        <v>1350</v>
      </c>
      <c r="D164" s="188">
        <v>30</v>
      </c>
      <c r="E164" t="s">
        <v>1500</v>
      </c>
      <c r="F164" t="s">
        <v>1581</v>
      </c>
      <c r="G164" s="189" t="s">
        <v>1582</v>
      </c>
      <c r="H164" s="190">
        <v>0</v>
      </c>
      <c r="I164" s="190">
        <v>0</v>
      </c>
      <c r="J164" s="190">
        <v>0</v>
      </c>
      <c r="K164" s="190">
        <v>0</v>
      </c>
      <c r="L164" s="190">
        <v>0</v>
      </c>
      <c r="M164" s="190">
        <v>0</v>
      </c>
      <c r="N164" s="190">
        <v>0</v>
      </c>
      <c r="O164" s="190">
        <v>0</v>
      </c>
      <c r="P164" s="190">
        <v>0</v>
      </c>
      <c r="Q164" s="190">
        <v>0</v>
      </c>
      <c r="R164" s="190">
        <v>0</v>
      </c>
      <c r="S164" s="190">
        <v>0</v>
      </c>
      <c r="T164" s="190">
        <v>0</v>
      </c>
      <c r="U164" s="190">
        <v>0</v>
      </c>
      <c r="V164" s="190">
        <v>0</v>
      </c>
      <c r="W164" s="190">
        <v>0</v>
      </c>
      <c r="X164" s="190">
        <v>0</v>
      </c>
      <c r="Y164" s="190">
        <v>0</v>
      </c>
      <c r="Z164" s="190">
        <v>0</v>
      </c>
      <c r="AA164" s="190">
        <v>0</v>
      </c>
      <c r="AB164" s="190">
        <v>0</v>
      </c>
      <c r="AC164" s="190">
        <v>0</v>
      </c>
      <c r="AD164" s="190">
        <v>0</v>
      </c>
      <c r="AE164" s="190">
        <v>0</v>
      </c>
      <c r="AF164" s="190">
        <v>0</v>
      </c>
      <c r="AG164" s="190">
        <v>0</v>
      </c>
      <c r="AH164" s="190">
        <v>0</v>
      </c>
      <c r="AI164" s="190">
        <v>0</v>
      </c>
      <c r="AJ164" s="190">
        <v>0</v>
      </c>
    </row>
    <row r="165" spans="1:36" x14ac:dyDescent="0.35">
      <c r="A165" t="s">
        <v>1585</v>
      </c>
      <c r="B165" s="188" t="s">
        <v>1342</v>
      </c>
      <c r="C165" t="s">
        <v>1343</v>
      </c>
      <c r="D165" s="188">
        <v>30</v>
      </c>
      <c r="E165" t="s">
        <v>1500</v>
      </c>
      <c r="F165" t="s">
        <v>1586</v>
      </c>
      <c r="G165" s="189" t="s">
        <v>1587</v>
      </c>
      <c r="H165" s="190">
        <v>0</v>
      </c>
      <c r="I165" s="190">
        <v>0</v>
      </c>
      <c r="J165" s="190">
        <v>0</v>
      </c>
      <c r="K165" s="190">
        <v>0</v>
      </c>
      <c r="L165" s="190">
        <v>0</v>
      </c>
      <c r="M165" s="190">
        <v>0</v>
      </c>
      <c r="N165" s="190">
        <v>0</v>
      </c>
      <c r="O165" s="190">
        <v>0</v>
      </c>
      <c r="P165" s="190">
        <v>0</v>
      </c>
      <c r="Q165" s="190">
        <v>0</v>
      </c>
      <c r="R165" s="190">
        <v>0</v>
      </c>
      <c r="S165" s="190">
        <v>0</v>
      </c>
      <c r="T165" s="190">
        <v>0</v>
      </c>
      <c r="U165" s="190">
        <v>0</v>
      </c>
      <c r="V165" s="190">
        <v>0</v>
      </c>
      <c r="W165" s="190">
        <v>0</v>
      </c>
      <c r="X165" s="190">
        <v>0</v>
      </c>
      <c r="Y165" s="190">
        <v>0</v>
      </c>
      <c r="Z165" s="190">
        <v>0</v>
      </c>
      <c r="AA165" s="190">
        <v>0</v>
      </c>
      <c r="AB165" s="190">
        <v>0</v>
      </c>
      <c r="AC165" s="190">
        <v>0</v>
      </c>
      <c r="AD165" s="190">
        <v>0</v>
      </c>
      <c r="AE165" s="190">
        <v>0</v>
      </c>
      <c r="AF165" s="190">
        <v>0</v>
      </c>
      <c r="AG165" s="190">
        <v>0</v>
      </c>
      <c r="AH165" s="190">
        <v>0</v>
      </c>
      <c r="AI165" s="190">
        <v>0</v>
      </c>
      <c r="AJ165" s="190">
        <v>0</v>
      </c>
    </row>
    <row r="166" spans="1:36" x14ac:dyDescent="0.35">
      <c r="A166" t="s">
        <v>1588</v>
      </c>
      <c r="B166" s="188" t="s">
        <v>1342</v>
      </c>
      <c r="C166" t="s">
        <v>1348</v>
      </c>
      <c r="D166" s="188">
        <v>30</v>
      </c>
      <c r="E166" t="s">
        <v>1500</v>
      </c>
      <c r="F166" t="s">
        <v>1586</v>
      </c>
      <c r="G166" s="189" t="s">
        <v>1587</v>
      </c>
      <c r="H166" s="190">
        <v>0</v>
      </c>
      <c r="I166" s="190">
        <v>0</v>
      </c>
      <c r="J166" s="190">
        <v>0</v>
      </c>
      <c r="K166" s="190">
        <v>0</v>
      </c>
      <c r="L166" s="190">
        <v>0</v>
      </c>
      <c r="M166" s="190">
        <v>0</v>
      </c>
      <c r="N166" s="190">
        <v>0</v>
      </c>
      <c r="O166" s="190">
        <v>0</v>
      </c>
      <c r="P166" s="190">
        <v>0</v>
      </c>
      <c r="Q166" s="190">
        <v>0</v>
      </c>
      <c r="R166" s="190">
        <v>0</v>
      </c>
      <c r="S166" s="190">
        <v>0</v>
      </c>
      <c r="T166" s="190">
        <v>0</v>
      </c>
      <c r="U166" s="190">
        <v>0</v>
      </c>
      <c r="V166" s="190">
        <v>0</v>
      </c>
      <c r="W166" s="190">
        <v>0</v>
      </c>
      <c r="X166" s="190">
        <v>0</v>
      </c>
      <c r="Y166" s="190">
        <v>0</v>
      </c>
      <c r="Z166" s="190">
        <v>0</v>
      </c>
      <c r="AA166" s="190">
        <v>0</v>
      </c>
      <c r="AB166" s="190">
        <v>0</v>
      </c>
      <c r="AC166" s="190">
        <v>0</v>
      </c>
      <c r="AD166" s="190">
        <v>0</v>
      </c>
      <c r="AE166" s="190">
        <v>0</v>
      </c>
      <c r="AF166" s="190">
        <v>0</v>
      </c>
      <c r="AG166" s="190">
        <v>0</v>
      </c>
      <c r="AH166" s="190">
        <v>0</v>
      </c>
      <c r="AI166" s="190">
        <v>0</v>
      </c>
      <c r="AJ166" s="190">
        <v>0</v>
      </c>
    </row>
    <row r="167" spans="1:36" x14ac:dyDescent="0.35">
      <c r="A167" t="s">
        <v>1589</v>
      </c>
      <c r="B167" s="188" t="s">
        <v>1342</v>
      </c>
      <c r="C167" t="s">
        <v>1350</v>
      </c>
      <c r="D167" s="188">
        <v>30</v>
      </c>
      <c r="E167" t="s">
        <v>1500</v>
      </c>
      <c r="F167" t="s">
        <v>1586</v>
      </c>
      <c r="G167" s="189" t="s">
        <v>1587</v>
      </c>
      <c r="H167" s="190">
        <v>0</v>
      </c>
      <c r="I167" s="190">
        <v>0</v>
      </c>
      <c r="J167" s="190">
        <v>0</v>
      </c>
      <c r="K167" s="190">
        <v>0</v>
      </c>
      <c r="L167" s="190">
        <v>0</v>
      </c>
      <c r="M167" s="190">
        <v>0</v>
      </c>
      <c r="N167" s="190">
        <v>0</v>
      </c>
      <c r="O167" s="190">
        <v>0</v>
      </c>
      <c r="P167" s="190">
        <v>0</v>
      </c>
      <c r="Q167" s="190">
        <v>0</v>
      </c>
      <c r="R167" s="190">
        <v>0</v>
      </c>
      <c r="S167" s="190">
        <v>0</v>
      </c>
      <c r="T167" s="190">
        <v>0</v>
      </c>
      <c r="U167" s="190">
        <v>0</v>
      </c>
      <c r="V167" s="190">
        <v>0</v>
      </c>
      <c r="W167" s="190">
        <v>0</v>
      </c>
      <c r="X167" s="190">
        <v>0</v>
      </c>
      <c r="Y167" s="190">
        <v>0</v>
      </c>
      <c r="Z167" s="190">
        <v>0</v>
      </c>
      <c r="AA167" s="190">
        <v>0</v>
      </c>
      <c r="AB167" s="190">
        <v>0</v>
      </c>
      <c r="AC167" s="190">
        <v>0</v>
      </c>
      <c r="AD167" s="190">
        <v>0</v>
      </c>
      <c r="AE167" s="190">
        <v>0</v>
      </c>
      <c r="AF167" s="190">
        <v>0</v>
      </c>
      <c r="AG167" s="190">
        <v>0</v>
      </c>
      <c r="AH167" s="190">
        <v>0</v>
      </c>
      <c r="AI167" s="190">
        <v>0</v>
      </c>
      <c r="AJ167" s="190">
        <v>0</v>
      </c>
    </row>
    <row r="168" spans="1:36" x14ac:dyDescent="0.35">
      <c r="A168" t="s">
        <v>1590</v>
      </c>
      <c r="B168" s="188" t="s">
        <v>1342</v>
      </c>
      <c r="C168" t="s">
        <v>1343</v>
      </c>
      <c r="D168" s="188">
        <v>30</v>
      </c>
      <c r="E168" t="s">
        <v>1500</v>
      </c>
      <c r="F168" t="s">
        <v>1591</v>
      </c>
      <c r="G168" s="189" t="s">
        <v>1592</v>
      </c>
      <c r="H168" s="190">
        <v>0</v>
      </c>
      <c r="I168" s="190">
        <v>0</v>
      </c>
      <c r="J168" s="190">
        <v>0</v>
      </c>
      <c r="K168" s="190">
        <v>0</v>
      </c>
      <c r="L168" s="190">
        <v>0</v>
      </c>
      <c r="M168" s="190">
        <v>0</v>
      </c>
      <c r="N168" s="190">
        <v>0</v>
      </c>
      <c r="O168" s="190">
        <v>0</v>
      </c>
      <c r="P168" s="190">
        <v>0</v>
      </c>
      <c r="Q168" s="190">
        <v>0</v>
      </c>
      <c r="R168" s="190">
        <v>0</v>
      </c>
      <c r="S168" s="190">
        <v>0</v>
      </c>
      <c r="T168" s="190">
        <v>0</v>
      </c>
      <c r="U168" s="190">
        <v>0</v>
      </c>
      <c r="V168" s="190">
        <v>0</v>
      </c>
      <c r="W168" s="190">
        <v>0</v>
      </c>
      <c r="X168" s="190">
        <v>0</v>
      </c>
      <c r="Y168" s="190">
        <v>0</v>
      </c>
      <c r="Z168" s="190">
        <v>0</v>
      </c>
      <c r="AA168" s="190">
        <v>0</v>
      </c>
      <c r="AB168" s="190">
        <v>0</v>
      </c>
      <c r="AC168" s="190">
        <v>0</v>
      </c>
      <c r="AD168" s="190">
        <v>0</v>
      </c>
      <c r="AE168" s="190">
        <v>0</v>
      </c>
      <c r="AF168" s="190">
        <v>0</v>
      </c>
      <c r="AG168" s="190">
        <v>0</v>
      </c>
      <c r="AH168" s="190">
        <v>0</v>
      </c>
      <c r="AI168" s="190">
        <v>0</v>
      </c>
      <c r="AJ168" s="190">
        <v>0</v>
      </c>
    </row>
    <row r="169" spans="1:36" x14ac:dyDescent="0.35">
      <c r="A169" t="s">
        <v>1593</v>
      </c>
      <c r="B169" s="188" t="s">
        <v>1342</v>
      </c>
      <c r="C169" t="s">
        <v>1348</v>
      </c>
      <c r="D169" s="188">
        <v>30</v>
      </c>
      <c r="E169" t="s">
        <v>1500</v>
      </c>
      <c r="F169" t="s">
        <v>1591</v>
      </c>
      <c r="G169" s="189" t="s">
        <v>1592</v>
      </c>
      <c r="H169" s="190">
        <v>0</v>
      </c>
      <c r="I169" s="190">
        <v>0</v>
      </c>
      <c r="J169" s="190">
        <v>0</v>
      </c>
      <c r="K169" s="190">
        <v>0</v>
      </c>
      <c r="L169" s="190">
        <v>0</v>
      </c>
      <c r="M169" s="190">
        <v>0</v>
      </c>
      <c r="N169" s="190">
        <v>0</v>
      </c>
      <c r="O169" s="190">
        <v>0</v>
      </c>
      <c r="P169" s="190">
        <v>0</v>
      </c>
      <c r="Q169" s="190">
        <v>0</v>
      </c>
      <c r="R169" s="190">
        <v>0</v>
      </c>
      <c r="S169" s="190">
        <v>0</v>
      </c>
      <c r="T169" s="190">
        <v>0</v>
      </c>
      <c r="U169" s="190">
        <v>0</v>
      </c>
      <c r="V169" s="190">
        <v>0</v>
      </c>
      <c r="W169" s="190">
        <v>0</v>
      </c>
      <c r="X169" s="190">
        <v>0</v>
      </c>
      <c r="Y169" s="190">
        <v>0</v>
      </c>
      <c r="Z169" s="190">
        <v>0</v>
      </c>
      <c r="AA169" s="190">
        <v>0</v>
      </c>
      <c r="AB169" s="190">
        <v>0</v>
      </c>
      <c r="AC169" s="190">
        <v>0</v>
      </c>
      <c r="AD169" s="190">
        <v>0</v>
      </c>
      <c r="AE169" s="190">
        <v>0</v>
      </c>
      <c r="AF169" s="190">
        <v>0</v>
      </c>
      <c r="AG169" s="190">
        <v>0</v>
      </c>
      <c r="AH169" s="190">
        <v>0</v>
      </c>
      <c r="AI169" s="190">
        <v>0</v>
      </c>
      <c r="AJ169" s="190">
        <v>0</v>
      </c>
    </row>
    <row r="170" spans="1:36" x14ac:dyDescent="0.35">
      <c r="A170" t="s">
        <v>1594</v>
      </c>
      <c r="B170" s="188" t="s">
        <v>1342</v>
      </c>
      <c r="C170" t="s">
        <v>1350</v>
      </c>
      <c r="D170" s="188">
        <v>30</v>
      </c>
      <c r="E170" t="s">
        <v>1500</v>
      </c>
      <c r="F170" t="s">
        <v>1591</v>
      </c>
      <c r="G170" s="189" t="s">
        <v>1592</v>
      </c>
      <c r="H170" s="190">
        <v>0</v>
      </c>
      <c r="I170" s="190">
        <v>0</v>
      </c>
      <c r="J170" s="190">
        <v>0</v>
      </c>
      <c r="K170" s="190">
        <v>0</v>
      </c>
      <c r="L170" s="190">
        <v>0</v>
      </c>
      <c r="M170" s="190">
        <v>0</v>
      </c>
      <c r="N170" s="190">
        <v>0</v>
      </c>
      <c r="O170" s="190">
        <v>0</v>
      </c>
      <c r="P170" s="190">
        <v>0</v>
      </c>
      <c r="Q170" s="190">
        <v>0</v>
      </c>
      <c r="R170" s="190">
        <v>0</v>
      </c>
      <c r="S170" s="190">
        <v>0</v>
      </c>
      <c r="T170" s="190">
        <v>0</v>
      </c>
      <c r="U170" s="190">
        <v>0</v>
      </c>
      <c r="V170" s="190">
        <v>0</v>
      </c>
      <c r="W170" s="190">
        <v>0</v>
      </c>
      <c r="X170" s="190">
        <v>0</v>
      </c>
      <c r="Y170" s="190">
        <v>0</v>
      </c>
      <c r="Z170" s="190">
        <v>0</v>
      </c>
      <c r="AA170" s="190">
        <v>0</v>
      </c>
      <c r="AB170" s="190">
        <v>0</v>
      </c>
      <c r="AC170" s="190">
        <v>0</v>
      </c>
      <c r="AD170" s="190">
        <v>0</v>
      </c>
      <c r="AE170" s="190">
        <v>0</v>
      </c>
      <c r="AF170" s="190">
        <v>0</v>
      </c>
      <c r="AG170" s="190">
        <v>0</v>
      </c>
      <c r="AH170" s="190">
        <v>0</v>
      </c>
      <c r="AI170" s="190">
        <v>0</v>
      </c>
      <c r="AJ170" s="190">
        <v>0</v>
      </c>
    </row>
    <row r="171" spans="1:36" x14ac:dyDescent="0.35">
      <c r="A171" t="s">
        <v>1595</v>
      </c>
      <c r="B171" s="188" t="s">
        <v>1342</v>
      </c>
      <c r="C171" t="s">
        <v>1343</v>
      </c>
      <c r="D171" s="188">
        <v>30</v>
      </c>
      <c r="E171" t="s">
        <v>1500</v>
      </c>
      <c r="F171" t="s">
        <v>1596</v>
      </c>
      <c r="G171" s="189" t="s">
        <v>1597</v>
      </c>
      <c r="H171" s="190">
        <v>0</v>
      </c>
      <c r="I171" s="190">
        <v>0</v>
      </c>
      <c r="J171" s="190">
        <v>0</v>
      </c>
      <c r="K171" s="190">
        <v>0</v>
      </c>
      <c r="L171" s="190">
        <v>0</v>
      </c>
      <c r="M171" s="190">
        <v>0</v>
      </c>
      <c r="N171" s="190">
        <v>0</v>
      </c>
      <c r="O171" s="190">
        <v>0</v>
      </c>
      <c r="P171" s="190">
        <v>0</v>
      </c>
      <c r="Q171" s="190">
        <v>0</v>
      </c>
      <c r="R171" s="190">
        <v>0</v>
      </c>
      <c r="S171" s="190">
        <v>0</v>
      </c>
      <c r="T171" s="190">
        <v>0</v>
      </c>
      <c r="U171" s="190">
        <v>0</v>
      </c>
      <c r="V171" s="190">
        <v>0</v>
      </c>
      <c r="W171" s="190">
        <v>0</v>
      </c>
      <c r="X171" s="190">
        <v>0</v>
      </c>
      <c r="Y171" s="190">
        <v>0</v>
      </c>
      <c r="Z171" s="190">
        <v>0</v>
      </c>
      <c r="AA171" s="190">
        <v>0</v>
      </c>
      <c r="AB171" s="190">
        <v>0</v>
      </c>
      <c r="AC171" s="190">
        <v>0</v>
      </c>
      <c r="AD171" s="190">
        <v>0</v>
      </c>
      <c r="AE171" s="190">
        <v>0</v>
      </c>
      <c r="AF171" s="190">
        <v>0</v>
      </c>
      <c r="AG171" s="190">
        <v>0</v>
      </c>
      <c r="AH171" s="190">
        <v>0</v>
      </c>
      <c r="AI171" s="190">
        <v>0</v>
      </c>
      <c r="AJ171" s="190">
        <v>0</v>
      </c>
    </row>
    <row r="172" spans="1:36" x14ac:dyDescent="0.35">
      <c r="A172" t="s">
        <v>1598</v>
      </c>
      <c r="B172" s="188" t="s">
        <v>1342</v>
      </c>
      <c r="C172" t="s">
        <v>1348</v>
      </c>
      <c r="D172" s="188">
        <v>30</v>
      </c>
      <c r="E172" t="s">
        <v>1500</v>
      </c>
      <c r="F172" t="s">
        <v>1596</v>
      </c>
      <c r="G172" s="189" t="s">
        <v>1597</v>
      </c>
      <c r="H172" s="190">
        <v>0</v>
      </c>
      <c r="I172" s="190">
        <v>0</v>
      </c>
      <c r="J172" s="190">
        <v>0</v>
      </c>
      <c r="K172" s="190">
        <v>0</v>
      </c>
      <c r="L172" s="190">
        <v>0</v>
      </c>
      <c r="M172" s="190">
        <v>0</v>
      </c>
      <c r="N172" s="190">
        <v>0</v>
      </c>
      <c r="O172" s="190">
        <v>0</v>
      </c>
      <c r="P172" s="190">
        <v>0</v>
      </c>
      <c r="Q172" s="190">
        <v>0</v>
      </c>
      <c r="R172" s="190">
        <v>0</v>
      </c>
      <c r="S172" s="190">
        <v>0</v>
      </c>
      <c r="T172" s="190">
        <v>0</v>
      </c>
      <c r="U172" s="190">
        <v>0</v>
      </c>
      <c r="V172" s="190">
        <v>0</v>
      </c>
      <c r="W172" s="190">
        <v>0</v>
      </c>
      <c r="X172" s="190">
        <v>0</v>
      </c>
      <c r="Y172" s="190">
        <v>0</v>
      </c>
      <c r="Z172" s="190">
        <v>0</v>
      </c>
      <c r="AA172" s="190">
        <v>0</v>
      </c>
      <c r="AB172" s="190">
        <v>0</v>
      </c>
      <c r="AC172" s="190">
        <v>0</v>
      </c>
      <c r="AD172" s="190">
        <v>0</v>
      </c>
      <c r="AE172" s="190">
        <v>0</v>
      </c>
      <c r="AF172" s="190">
        <v>0</v>
      </c>
      <c r="AG172" s="190">
        <v>0</v>
      </c>
      <c r="AH172" s="190">
        <v>0</v>
      </c>
      <c r="AI172" s="190">
        <v>0</v>
      </c>
      <c r="AJ172" s="190">
        <v>0</v>
      </c>
    </row>
    <row r="173" spans="1:36" x14ac:dyDescent="0.35">
      <c r="A173" t="s">
        <v>1599</v>
      </c>
      <c r="B173" s="188" t="s">
        <v>1342</v>
      </c>
      <c r="C173" t="s">
        <v>1350</v>
      </c>
      <c r="D173" s="188">
        <v>30</v>
      </c>
      <c r="E173" t="s">
        <v>1500</v>
      </c>
      <c r="F173" t="s">
        <v>1596</v>
      </c>
      <c r="G173" s="189" t="s">
        <v>1597</v>
      </c>
      <c r="H173" s="190">
        <v>0</v>
      </c>
      <c r="I173" s="190">
        <v>0</v>
      </c>
      <c r="J173" s="190">
        <v>0</v>
      </c>
      <c r="K173" s="190">
        <v>0</v>
      </c>
      <c r="L173" s="190">
        <v>0</v>
      </c>
      <c r="M173" s="190">
        <v>0</v>
      </c>
      <c r="N173" s="190">
        <v>0</v>
      </c>
      <c r="O173" s="190">
        <v>0</v>
      </c>
      <c r="P173" s="190">
        <v>0</v>
      </c>
      <c r="Q173" s="190">
        <v>0</v>
      </c>
      <c r="R173" s="190">
        <v>0</v>
      </c>
      <c r="S173" s="190">
        <v>0</v>
      </c>
      <c r="T173" s="190">
        <v>0</v>
      </c>
      <c r="U173" s="190">
        <v>0</v>
      </c>
      <c r="V173" s="190">
        <v>0</v>
      </c>
      <c r="W173" s="190">
        <v>0</v>
      </c>
      <c r="X173" s="190">
        <v>0</v>
      </c>
      <c r="Y173" s="190">
        <v>0</v>
      </c>
      <c r="Z173" s="190">
        <v>0</v>
      </c>
      <c r="AA173" s="190">
        <v>0</v>
      </c>
      <c r="AB173" s="190">
        <v>0</v>
      </c>
      <c r="AC173" s="190">
        <v>0</v>
      </c>
      <c r="AD173" s="190">
        <v>0</v>
      </c>
      <c r="AE173" s="190">
        <v>0</v>
      </c>
      <c r="AF173" s="190">
        <v>0</v>
      </c>
      <c r="AG173" s="190">
        <v>0</v>
      </c>
      <c r="AH173" s="190">
        <v>0</v>
      </c>
      <c r="AI173" s="190">
        <v>0</v>
      </c>
      <c r="AJ173" s="190">
        <v>0</v>
      </c>
    </row>
    <row r="174" spans="1:36" x14ac:dyDescent="0.35">
      <c r="A174" t="s">
        <v>1600</v>
      </c>
      <c r="B174" s="188" t="s">
        <v>1342</v>
      </c>
      <c r="C174" t="s">
        <v>1343</v>
      </c>
      <c r="D174" s="188">
        <v>30</v>
      </c>
      <c r="E174" t="s">
        <v>1500</v>
      </c>
      <c r="F174" t="s">
        <v>1601</v>
      </c>
      <c r="G174" s="189" t="s">
        <v>1602</v>
      </c>
      <c r="H174" s="190">
        <v>0</v>
      </c>
      <c r="I174" s="190">
        <v>0</v>
      </c>
      <c r="J174" s="190">
        <v>0</v>
      </c>
      <c r="K174" s="190">
        <v>0</v>
      </c>
      <c r="L174" s="190">
        <v>0</v>
      </c>
      <c r="M174" s="190">
        <v>0</v>
      </c>
      <c r="N174" s="190">
        <v>0</v>
      </c>
      <c r="O174" s="190">
        <v>0</v>
      </c>
      <c r="P174" s="190">
        <v>0</v>
      </c>
      <c r="Q174" s="190">
        <v>0</v>
      </c>
      <c r="R174" s="190">
        <v>0</v>
      </c>
      <c r="S174" s="190">
        <v>0</v>
      </c>
      <c r="T174" s="190">
        <v>0</v>
      </c>
      <c r="U174" s="190">
        <v>0</v>
      </c>
      <c r="V174" s="190">
        <v>0</v>
      </c>
      <c r="W174" s="190">
        <v>0</v>
      </c>
      <c r="X174" s="190">
        <v>0</v>
      </c>
      <c r="Y174" s="190">
        <v>0</v>
      </c>
      <c r="Z174" s="190">
        <v>0</v>
      </c>
      <c r="AA174" s="190">
        <v>0</v>
      </c>
      <c r="AB174" s="190">
        <v>0</v>
      </c>
      <c r="AC174" s="190">
        <v>0</v>
      </c>
      <c r="AD174" s="190">
        <v>0</v>
      </c>
      <c r="AE174" s="190">
        <v>0</v>
      </c>
      <c r="AF174" s="190">
        <v>0</v>
      </c>
      <c r="AG174" s="190">
        <v>0</v>
      </c>
      <c r="AH174" s="190">
        <v>0</v>
      </c>
      <c r="AI174" s="190">
        <v>0</v>
      </c>
      <c r="AJ174" s="190">
        <v>0</v>
      </c>
    </row>
    <row r="175" spans="1:36" x14ac:dyDescent="0.35">
      <c r="A175" t="s">
        <v>1603</v>
      </c>
      <c r="B175" s="188" t="s">
        <v>1342</v>
      </c>
      <c r="C175" t="s">
        <v>1348</v>
      </c>
      <c r="D175" s="188">
        <v>30</v>
      </c>
      <c r="E175" t="s">
        <v>1500</v>
      </c>
      <c r="F175" t="s">
        <v>1601</v>
      </c>
      <c r="G175" s="189" t="s">
        <v>1602</v>
      </c>
      <c r="H175" s="190">
        <v>0</v>
      </c>
      <c r="I175" s="190">
        <v>0</v>
      </c>
      <c r="J175" s="190">
        <v>0</v>
      </c>
      <c r="K175" s="190">
        <v>0</v>
      </c>
      <c r="L175" s="190">
        <v>0</v>
      </c>
      <c r="M175" s="190">
        <v>0</v>
      </c>
      <c r="N175" s="190">
        <v>0</v>
      </c>
      <c r="O175" s="190">
        <v>0</v>
      </c>
      <c r="P175" s="190">
        <v>0</v>
      </c>
      <c r="Q175" s="190">
        <v>0</v>
      </c>
      <c r="R175" s="190">
        <v>0</v>
      </c>
      <c r="S175" s="190">
        <v>0</v>
      </c>
      <c r="T175" s="190">
        <v>0</v>
      </c>
      <c r="U175" s="190">
        <v>0</v>
      </c>
      <c r="V175" s="190">
        <v>0</v>
      </c>
      <c r="W175" s="190">
        <v>0</v>
      </c>
      <c r="X175" s="190">
        <v>0</v>
      </c>
      <c r="Y175" s="190">
        <v>0</v>
      </c>
      <c r="Z175" s="190">
        <v>0</v>
      </c>
      <c r="AA175" s="190">
        <v>0</v>
      </c>
      <c r="AB175" s="190">
        <v>0</v>
      </c>
      <c r="AC175" s="190">
        <v>0</v>
      </c>
      <c r="AD175" s="190">
        <v>0</v>
      </c>
      <c r="AE175" s="190">
        <v>0</v>
      </c>
      <c r="AF175" s="190">
        <v>0</v>
      </c>
      <c r="AG175" s="190">
        <v>0</v>
      </c>
      <c r="AH175" s="190">
        <v>0</v>
      </c>
      <c r="AI175" s="190">
        <v>0</v>
      </c>
      <c r="AJ175" s="190">
        <v>0</v>
      </c>
    </row>
    <row r="176" spans="1:36" x14ac:dyDescent="0.35">
      <c r="A176" t="s">
        <v>1604</v>
      </c>
      <c r="B176" s="188" t="s">
        <v>1342</v>
      </c>
      <c r="C176" t="s">
        <v>1350</v>
      </c>
      <c r="D176" s="188">
        <v>30</v>
      </c>
      <c r="E176" t="s">
        <v>1500</v>
      </c>
      <c r="F176" t="s">
        <v>1601</v>
      </c>
      <c r="G176" s="189" t="s">
        <v>1602</v>
      </c>
      <c r="H176" s="190">
        <v>0</v>
      </c>
      <c r="I176" s="190">
        <v>0</v>
      </c>
      <c r="J176" s="190">
        <v>0</v>
      </c>
      <c r="K176" s="190">
        <v>0</v>
      </c>
      <c r="L176" s="190">
        <v>0</v>
      </c>
      <c r="M176" s="190">
        <v>0</v>
      </c>
      <c r="N176" s="190">
        <v>0</v>
      </c>
      <c r="O176" s="190">
        <v>0</v>
      </c>
      <c r="P176" s="190">
        <v>0</v>
      </c>
      <c r="Q176" s="190">
        <v>0</v>
      </c>
      <c r="R176" s="190">
        <v>0</v>
      </c>
      <c r="S176" s="190">
        <v>0</v>
      </c>
      <c r="T176" s="190">
        <v>0</v>
      </c>
      <c r="U176" s="190">
        <v>0</v>
      </c>
      <c r="V176" s="190">
        <v>0</v>
      </c>
      <c r="W176" s="190">
        <v>0</v>
      </c>
      <c r="X176" s="190">
        <v>0</v>
      </c>
      <c r="Y176" s="190">
        <v>0</v>
      </c>
      <c r="Z176" s="190">
        <v>0</v>
      </c>
      <c r="AA176" s="190">
        <v>0</v>
      </c>
      <c r="AB176" s="190">
        <v>0</v>
      </c>
      <c r="AC176" s="190">
        <v>0</v>
      </c>
      <c r="AD176" s="190">
        <v>0</v>
      </c>
      <c r="AE176" s="190">
        <v>0</v>
      </c>
      <c r="AF176" s="190">
        <v>0</v>
      </c>
      <c r="AG176" s="190">
        <v>0</v>
      </c>
      <c r="AH176" s="190">
        <v>0</v>
      </c>
      <c r="AI176" s="190">
        <v>0</v>
      </c>
      <c r="AJ176" s="190">
        <v>0</v>
      </c>
    </row>
    <row r="177" spans="1:36" x14ac:dyDescent="0.35">
      <c r="A177" t="s">
        <v>1605</v>
      </c>
      <c r="B177" s="188" t="s">
        <v>1342</v>
      </c>
      <c r="C177" t="s">
        <v>1343</v>
      </c>
      <c r="D177" s="188">
        <v>30</v>
      </c>
      <c r="E177" t="s">
        <v>1500</v>
      </c>
      <c r="F177" t="s">
        <v>1606</v>
      </c>
      <c r="G177" s="189" t="s">
        <v>1607</v>
      </c>
      <c r="H177" s="190">
        <v>0</v>
      </c>
      <c r="I177" s="190">
        <v>0</v>
      </c>
      <c r="J177" s="190">
        <v>0</v>
      </c>
      <c r="K177" s="190">
        <v>0</v>
      </c>
      <c r="L177" s="190">
        <v>0</v>
      </c>
      <c r="M177" s="190">
        <v>0</v>
      </c>
      <c r="N177" s="190">
        <v>0</v>
      </c>
      <c r="O177" s="190">
        <v>0</v>
      </c>
      <c r="P177" s="190">
        <v>0</v>
      </c>
      <c r="Q177" s="190">
        <v>0</v>
      </c>
      <c r="R177" s="190">
        <v>0</v>
      </c>
      <c r="S177" s="190">
        <v>0</v>
      </c>
      <c r="T177" s="190">
        <v>0</v>
      </c>
      <c r="U177" s="190">
        <v>0</v>
      </c>
      <c r="V177" s="190">
        <v>0</v>
      </c>
      <c r="W177" s="190">
        <v>0</v>
      </c>
      <c r="X177" s="190">
        <v>0</v>
      </c>
      <c r="Y177" s="190">
        <v>0</v>
      </c>
      <c r="Z177" s="190">
        <v>0</v>
      </c>
      <c r="AA177" s="190">
        <v>0</v>
      </c>
      <c r="AB177" s="190">
        <v>0</v>
      </c>
      <c r="AC177" s="190">
        <v>0</v>
      </c>
      <c r="AD177" s="190">
        <v>0</v>
      </c>
      <c r="AE177" s="190">
        <v>0</v>
      </c>
      <c r="AF177" s="190">
        <v>0</v>
      </c>
      <c r="AG177" s="190">
        <v>0</v>
      </c>
      <c r="AH177" s="190">
        <v>0</v>
      </c>
      <c r="AI177" s="190">
        <v>0</v>
      </c>
      <c r="AJ177" s="190">
        <v>0</v>
      </c>
    </row>
    <row r="178" spans="1:36" x14ac:dyDescent="0.35">
      <c r="A178" t="s">
        <v>1608</v>
      </c>
      <c r="B178" s="188" t="s">
        <v>1342</v>
      </c>
      <c r="C178" t="s">
        <v>1348</v>
      </c>
      <c r="D178" s="188">
        <v>30</v>
      </c>
      <c r="E178" t="s">
        <v>1500</v>
      </c>
      <c r="F178" t="s">
        <v>1606</v>
      </c>
      <c r="G178" s="189" t="s">
        <v>1607</v>
      </c>
      <c r="H178" s="190">
        <v>0</v>
      </c>
      <c r="I178" s="190">
        <v>0</v>
      </c>
      <c r="J178" s="190">
        <v>0</v>
      </c>
      <c r="K178" s="190">
        <v>0</v>
      </c>
      <c r="L178" s="190">
        <v>0</v>
      </c>
      <c r="M178" s="190">
        <v>0</v>
      </c>
      <c r="N178" s="190">
        <v>0</v>
      </c>
      <c r="O178" s="190">
        <v>0</v>
      </c>
      <c r="P178" s="190">
        <v>0</v>
      </c>
      <c r="Q178" s="190">
        <v>0</v>
      </c>
      <c r="R178" s="190">
        <v>0</v>
      </c>
      <c r="S178" s="190">
        <v>0</v>
      </c>
      <c r="T178" s="190">
        <v>0</v>
      </c>
      <c r="U178" s="190">
        <v>0</v>
      </c>
      <c r="V178" s="190">
        <v>0</v>
      </c>
      <c r="W178" s="190">
        <v>0</v>
      </c>
      <c r="X178" s="190">
        <v>0</v>
      </c>
      <c r="Y178" s="190">
        <v>0</v>
      </c>
      <c r="Z178" s="190">
        <v>0</v>
      </c>
      <c r="AA178" s="190">
        <v>0</v>
      </c>
      <c r="AB178" s="190">
        <v>0</v>
      </c>
      <c r="AC178" s="190">
        <v>0</v>
      </c>
      <c r="AD178" s="190">
        <v>0</v>
      </c>
      <c r="AE178" s="190">
        <v>0</v>
      </c>
      <c r="AF178" s="190">
        <v>0</v>
      </c>
      <c r="AG178" s="190">
        <v>0</v>
      </c>
      <c r="AH178" s="190">
        <v>0</v>
      </c>
      <c r="AI178" s="190">
        <v>0</v>
      </c>
      <c r="AJ178" s="190">
        <v>0</v>
      </c>
    </row>
    <row r="179" spans="1:36" x14ac:dyDescent="0.35">
      <c r="A179" t="s">
        <v>1609</v>
      </c>
      <c r="B179" s="188" t="s">
        <v>1342</v>
      </c>
      <c r="C179" t="s">
        <v>1350</v>
      </c>
      <c r="D179" s="188">
        <v>30</v>
      </c>
      <c r="E179" t="s">
        <v>1500</v>
      </c>
      <c r="F179" t="s">
        <v>1606</v>
      </c>
      <c r="G179" s="189" t="s">
        <v>1607</v>
      </c>
      <c r="H179" s="190">
        <v>0</v>
      </c>
      <c r="I179" s="190">
        <v>0</v>
      </c>
      <c r="J179" s="190">
        <v>0</v>
      </c>
      <c r="K179" s="190">
        <v>0</v>
      </c>
      <c r="L179" s="190">
        <v>0</v>
      </c>
      <c r="M179" s="190">
        <v>0</v>
      </c>
      <c r="N179" s="190">
        <v>0</v>
      </c>
      <c r="O179" s="190">
        <v>0</v>
      </c>
      <c r="P179" s="190">
        <v>0</v>
      </c>
      <c r="Q179" s="190">
        <v>0</v>
      </c>
      <c r="R179" s="190">
        <v>0</v>
      </c>
      <c r="S179" s="190">
        <v>0</v>
      </c>
      <c r="T179" s="190">
        <v>0</v>
      </c>
      <c r="U179" s="190">
        <v>0</v>
      </c>
      <c r="V179" s="190">
        <v>0</v>
      </c>
      <c r="W179" s="190">
        <v>0</v>
      </c>
      <c r="X179" s="190">
        <v>0</v>
      </c>
      <c r="Y179" s="190">
        <v>0</v>
      </c>
      <c r="Z179" s="190">
        <v>0</v>
      </c>
      <c r="AA179" s="190">
        <v>0</v>
      </c>
      <c r="AB179" s="190">
        <v>0</v>
      </c>
      <c r="AC179" s="190">
        <v>0</v>
      </c>
      <c r="AD179" s="190">
        <v>0</v>
      </c>
      <c r="AE179" s="190">
        <v>0</v>
      </c>
      <c r="AF179" s="190">
        <v>0</v>
      </c>
      <c r="AG179" s="190">
        <v>0</v>
      </c>
      <c r="AH179" s="190">
        <v>0</v>
      </c>
      <c r="AI179" s="190">
        <v>0</v>
      </c>
      <c r="AJ179" s="190">
        <v>0</v>
      </c>
    </row>
    <row r="180" spans="1:36" x14ac:dyDescent="0.35">
      <c r="A180" t="s">
        <v>1610</v>
      </c>
      <c r="B180" s="188" t="s">
        <v>1342</v>
      </c>
      <c r="C180" t="s">
        <v>1343</v>
      </c>
      <c r="D180" s="188">
        <v>30</v>
      </c>
      <c r="E180" t="s">
        <v>1500</v>
      </c>
      <c r="F180" t="s">
        <v>1611</v>
      </c>
      <c r="G180" s="189" t="s">
        <v>1612</v>
      </c>
      <c r="H180" s="190">
        <v>0</v>
      </c>
      <c r="I180" s="190">
        <v>0</v>
      </c>
      <c r="J180" s="190">
        <v>0</v>
      </c>
      <c r="K180" s="190">
        <v>0</v>
      </c>
      <c r="L180" s="190">
        <v>0</v>
      </c>
      <c r="M180" s="190">
        <v>0</v>
      </c>
      <c r="N180" s="190">
        <v>0</v>
      </c>
      <c r="O180" s="190">
        <v>0</v>
      </c>
      <c r="P180" s="190">
        <v>0</v>
      </c>
      <c r="Q180" s="190">
        <v>0</v>
      </c>
      <c r="R180" s="190">
        <v>0</v>
      </c>
      <c r="S180" s="190">
        <v>0</v>
      </c>
      <c r="T180" s="190">
        <v>0</v>
      </c>
      <c r="U180" s="190">
        <v>0</v>
      </c>
      <c r="V180" s="190">
        <v>0</v>
      </c>
      <c r="W180" s="190">
        <v>0</v>
      </c>
      <c r="X180" s="190">
        <v>0</v>
      </c>
      <c r="Y180" s="190">
        <v>0</v>
      </c>
      <c r="Z180" s="190">
        <v>0</v>
      </c>
      <c r="AA180" s="190">
        <v>0</v>
      </c>
      <c r="AB180" s="190">
        <v>0</v>
      </c>
      <c r="AC180" s="190">
        <v>0</v>
      </c>
      <c r="AD180" s="190">
        <v>0</v>
      </c>
      <c r="AE180" s="190">
        <v>0</v>
      </c>
      <c r="AF180" s="190">
        <v>0</v>
      </c>
      <c r="AG180" s="190">
        <v>0</v>
      </c>
      <c r="AH180" s="190">
        <v>0</v>
      </c>
      <c r="AI180" s="190">
        <v>0</v>
      </c>
      <c r="AJ180" s="190">
        <v>0</v>
      </c>
    </row>
    <row r="181" spans="1:36" x14ac:dyDescent="0.35">
      <c r="A181" t="s">
        <v>1613</v>
      </c>
      <c r="B181" s="188" t="s">
        <v>1342</v>
      </c>
      <c r="C181" t="s">
        <v>1348</v>
      </c>
      <c r="D181" s="188">
        <v>30</v>
      </c>
      <c r="E181" t="s">
        <v>1500</v>
      </c>
      <c r="F181" t="s">
        <v>1611</v>
      </c>
      <c r="G181" s="189" t="s">
        <v>1612</v>
      </c>
      <c r="H181" s="190">
        <v>0</v>
      </c>
      <c r="I181" s="190">
        <v>0</v>
      </c>
      <c r="J181" s="190">
        <v>0</v>
      </c>
      <c r="K181" s="190">
        <v>0</v>
      </c>
      <c r="L181" s="190">
        <v>0</v>
      </c>
      <c r="M181" s="190">
        <v>0</v>
      </c>
      <c r="N181" s="190">
        <v>0</v>
      </c>
      <c r="O181" s="190">
        <v>0</v>
      </c>
      <c r="P181" s="190">
        <v>0</v>
      </c>
      <c r="Q181" s="190">
        <v>0</v>
      </c>
      <c r="R181" s="190">
        <v>0</v>
      </c>
      <c r="S181" s="190">
        <v>0</v>
      </c>
      <c r="T181" s="190">
        <v>0</v>
      </c>
      <c r="U181" s="190">
        <v>0</v>
      </c>
      <c r="V181" s="190">
        <v>0</v>
      </c>
      <c r="W181" s="190">
        <v>0</v>
      </c>
      <c r="X181" s="190">
        <v>0</v>
      </c>
      <c r="Y181" s="190">
        <v>0</v>
      </c>
      <c r="Z181" s="190">
        <v>0</v>
      </c>
      <c r="AA181" s="190">
        <v>0</v>
      </c>
      <c r="AB181" s="190">
        <v>0</v>
      </c>
      <c r="AC181" s="190">
        <v>0</v>
      </c>
      <c r="AD181" s="190">
        <v>0</v>
      </c>
      <c r="AE181" s="190">
        <v>0</v>
      </c>
      <c r="AF181" s="190">
        <v>0</v>
      </c>
      <c r="AG181" s="190">
        <v>0</v>
      </c>
      <c r="AH181" s="190">
        <v>0</v>
      </c>
      <c r="AI181" s="190">
        <v>0</v>
      </c>
      <c r="AJ181" s="190">
        <v>0</v>
      </c>
    </row>
    <row r="182" spans="1:36" x14ac:dyDescent="0.35">
      <c r="A182" t="s">
        <v>1614</v>
      </c>
      <c r="B182" s="188" t="s">
        <v>1342</v>
      </c>
      <c r="C182" t="s">
        <v>1350</v>
      </c>
      <c r="D182" s="188">
        <v>30</v>
      </c>
      <c r="E182" t="s">
        <v>1500</v>
      </c>
      <c r="F182" t="s">
        <v>1611</v>
      </c>
      <c r="G182" s="189" t="s">
        <v>1612</v>
      </c>
      <c r="H182" s="190">
        <v>0</v>
      </c>
      <c r="I182" s="190">
        <v>0</v>
      </c>
      <c r="J182" s="190">
        <v>0</v>
      </c>
      <c r="K182" s="190">
        <v>0</v>
      </c>
      <c r="L182" s="190">
        <v>0</v>
      </c>
      <c r="M182" s="190">
        <v>0</v>
      </c>
      <c r="N182" s="190">
        <v>0</v>
      </c>
      <c r="O182" s="190">
        <v>0</v>
      </c>
      <c r="P182" s="190">
        <v>0</v>
      </c>
      <c r="Q182" s="190">
        <v>0</v>
      </c>
      <c r="R182" s="190">
        <v>0</v>
      </c>
      <c r="S182" s="190">
        <v>0</v>
      </c>
      <c r="T182" s="190">
        <v>0</v>
      </c>
      <c r="U182" s="190">
        <v>0</v>
      </c>
      <c r="V182" s="190">
        <v>0</v>
      </c>
      <c r="W182" s="190">
        <v>0</v>
      </c>
      <c r="X182" s="190">
        <v>0</v>
      </c>
      <c r="Y182" s="190">
        <v>0</v>
      </c>
      <c r="Z182" s="190">
        <v>0</v>
      </c>
      <c r="AA182" s="190">
        <v>0</v>
      </c>
      <c r="AB182" s="190">
        <v>0</v>
      </c>
      <c r="AC182" s="190">
        <v>0</v>
      </c>
      <c r="AD182" s="190">
        <v>0</v>
      </c>
      <c r="AE182" s="190">
        <v>0</v>
      </c>
      <c r="AF182" s="190">
        <v>0</v>
      </c>
      <c r="AG182" s="190">
        <v>0</v>
      </c>
      <c r="AH182" s="190">
        <v>0</v>
      </c>
      <c r="AI182" s="190">
        <v>0</v>
      </c>
      <c r="AJ182" s="190">
        <v>0</v>
      </c>
    </row>
    <row r="183" spans="1:36" x14ac:dyDescent="0.35">
      <c r="A183" t="s">
        <v>1615</v>
      </c>
      <c r="B183" s="188" t="s">
        <v>1342</v>
      </c>
      <c r="C183" t="s">
        <v>1343</v>
      </c>
      <c r="D183" s="188">
        <v>30</v>
      </c>
      <c r="E183" t="s">
        <v>1500</v>
      </c>
      <c r="F183" t="s">
        <v>1616</v>
      </c>
      <c r="G183" s="189" t="s">
        <v>1617</v>
      </c>
      <c r="H183" s="190">
        <v>0</v>
      </c>
      <c r="I183" s="190">
        <v>0</v>
      </c>
      <c r="J183" s="190">
        <v>0</v>
      </c>
      <c r="K183" s="190">
        <v>0</v>
      </c>
      <c r="L183" s="190">
        <v>0</v>
      </c>
      <c r="M183" s="190">
        <v>0</v>
      </c>
      <c r="N183" s="190">
        <v>0</v>
      </c>
      <c r="O183" s="190">
        <v>0</v>
      </c>
      <c r="P183" s="190">
        <v>0</v>
      </c>
      <c r="Q183" s="190">
        <v>0</v>
      </c>
      <c r="R183" s="190">
        <v>0</v>
      </c>
      <c r="S183" s="190">
        <v>0</v>
      </c>
      <c r="T183" s="190">
        <v>0</v>
      </c>
      <c r="U183" s="190">
        <v>0</v>
      </c>
      <c r="V183" s="190">
        <v>0</v>
      </c>
      <c r="W183" s="190">
        <v>0</v>
      </c>
      <c r="X183" s="190">
        <v>0</v>
      </c>
      <c r="Y183" s="190">
        <v>0</v>
      </c>
      <c r="Z183" s="190">
        <v>0</v>
      </c>
      <c r="AA183" s="190">
        <v>0</v>
      </c>
      <c r="AB183" s="190">
        <v>0</v>
      </c>
      <c r="AC183" s="190">
        <v>0</v>
      </c>
      <c r="AD183" s="190">
        <v>0</v>
      </c>
      <c r="AE183" s="190">
        <v>0</v>
      </c>
      <c r="AF183" s="190">
        <v>0</v>
      </c>
      <c r="AG183" s="190">
        <v>0</v>
      </c>
      <c r="AH183" s="190">
        <v>0</v>
      </c>
      <c r="AI183" s="190">
        <v>0</v>
      </c>
      <c r="AJ183" s="190">
        <v>0</v>
      </c>
    </row>
    <row r="184" spans="1:36" x14ac:dyDescent="0.35">
      <c r="A184" t="s">
        <v>1618</v>
      </c>
      <c r="B184" s="188" t="s">
        <v>1342</v>
      </c>
      <c r="C184" t="s">
        <v>1348</v>
      </c>
      <c r="D184" s="188">
        <v>30</v>
      </c>
      <c r="E184" t="s">
        <v>1500</v>
      </c>
      <c r="F184" t="s">
        <v>1616</v>
      </c>
      <c r="G184" s="189" t="s">
        <v>1617</v>
      </c>
      <c r="H184" s="190">
        <v>0</v>
      </c>
      <c r="I184" s="190">
        <v>0</v>
      </c>
      <c r="J184" s="190">
        <v>0</v>
      </c>
      <c r="K184" s="190">
        <v>0</v>
      </c>
      <c r="L184" s="190">
        <v>0</v>
      </c>
      <c r="M184" s="190">
        <v>0</v>
      </c>
      <c r="N184" s="190">
        <v>0</v>
      </c>
      <c r="O184" s="190">
        <v>0</v>
      </c>
      <c r="P184" s="190">
        <v>0</v>
      </c>
      <c r="Q184" s="190">
        <v>0</v>
      </c>
      <c r="R184" s="190">
        <v>0</v>
      </c>
      <c r="S184" s="190">
        <v>0</v>
      </c>
      <c r="T184" s="190">
        <v>0</v>
      </c>
      <c r="U184" s="190">
        <v>0</v>
      </c>
      <c r="V184" s="190">
        <v>0</v>
      </c>
      <c r="W184" s="190">
        <v>0</v>
      </c>
      <c r="X184" s="190">
        <v>0</v>
      </c>
      <c r="Y184" s="190">
        <v>0</v>
      </c>
      <c r="Z184" s="190">
        <v>0</v>
      </c>
      <c r="AA184" s="190">
        <v>0</v>
      </c>
      <c r="AB184" s="190">
        <v>0</v>
      </c>
      <c r="AC184" s="190">
        <v>0</v>
      </c>
      <c r="AD184" s="190">
        <v>0</v>
      </c>
      <c r="AE184" s="190">
        <v>0</v>
      </c>
      <c r="AF184" s="190">
        <v>0</v>
      </c>
      <c r="AG184" s="190">
        <v>0</v>
      </c>
      <c r="AH184" s="190">
        <v>0</v>
      </c>
      <c r="AI184" s="190">
        <v>0</v>
      </c>
      <c r="AJ184" s="190">
        <v>0</v>
      </c>
    </row>
    <row r="185" spans="1:36" x14ac:dyDescent="0.35">
      <c r="A185" t="s">
        <v>1619</v>
      </c>
      <c r="B185" s="188" t="s">
        <v>1342</v>
      </c>
      <c r="C185" t="s">
        <v>1350</v>
      </c>
      <c r="D185" s="188">
        <v>30</v>
      </c>
      <c r="E185" t="s">
        <v>1500</v>
      </c>
      <c r="F185" t="s">
        <v>1616</v>
      </c>
      <c r="G185" s="189" t="s">
        <v>1617</v>
      </c>
      <c r="H185" s="190">
        <v>0</v>
      </c>
      <c r="I185" s="190">
        <v>0</v>
      </c>
      <c r="J185" s="190">
        <v>0</v>
      </c>
      <c r="K185" s="190">
        <v>0</v>
      </c>
      <c r="L185" s="190">
        <v>0</v>
      </c>
      <c r="M185" s="190">
        <v>0</v>
      </c>
      <c r="N185" s="190">
        <v>0</v>
      </c>
      <c r="O185" s="190">
        <v>0</v>
      </c>
      <c r="P185" s="190">
        <v>0</v>
      </c>
      <c r="Q185" s="190">
        <v>0</v>
      </c>
      <c r="R185" s="190">
        <v>0</v>
      </c>
      <c r="S185" s="190">
        <v>0</v>
      </c>
      <c r="T185" s="190">
        <v>0</v>
      </c>
      <c r="U185" s="190">
        <v>0</v>
      </c>
      <c r="V185" s="190">
        <v>0</v>
      </c>
      <c r="W185" s="190">
        <v>0</v>
      </c>
      <c r="X185" s="190">
        <v>0</v>
      </c>
      <c r="Y185" s="190">
        <v>0</v>
      </c>
      <c r="Z185" s="190">
        <v>0</v>
      </c>
      <c r="AA185" s="190">
        <v>0</v>
      </c>
      <c r="AB185" s="190">
        <v>0</v>
      </c>
      <c r="AC185" s="190">
        <v>0</v>
      </c>
      <c r="AD185" s="190">
        <v>0</v>
      </c>
      <c r="AE185" s="190">
        <v>0</v>
      </c>
      <c r="AF185" s="190">
        <v>0</v>
      </c>
      <c r="AG185" s="190">
        <v>0</v>
      </c>
      <c r="AH185" s="190">
        <v>0</v>
      </c>
      <c r="AI185" s="190">
        <v>0</v>
      </c>
      <c r="AJ185" s="190">
        <v>0</v>
      </c>
    </row>
    <row r="186" spans="1:36" x14ac:dyDescent="0.35">
      <c r="A186" t="s">
        <v>1620</v>
      </c>
      <c r="B186" s="188" t="s">
        <v>1342</v>
      </c>
      <c r="C186" t="s">
        <v>1343</v>
      </c>
      <c r="D186" s="188">
        <v>30</v>
      </c>
      <c r="E186" t="s">
        <v>1500</v>
      </c>
      <c r="F186" t="s">
        <v>1621</v>
      </c>
      <c r="G186" s="189" t="s">
        <v>1622</v>
      </c>
      <c r="H186" s="190">
        <v>0</v>
      </c>
      <c r="I186" s="190">
        <v>0</v>
      </c>
      <c r="J186" s="190">
        <v>0</v>
      </c>
      <c r="K186" s="190">
        <v>0</v>
      </c>
      <c r="L186" s="190">
        <v>0</v>
      </c>
      <c r="M186" s="190">
        <v>0</v>
      </c>
      <c r="N186" s="190">
        <v>0</v>
      </c>
      <c r="O186" s="190">
        <v>0</v>
      </c>
      <c r="P186" s="190">
        <v>0</v>
      </c>
      <c r="Q186" s="190">
        <v>0</v>
      </c>
      <c r="R186" s="190">
        <v>0</v>
      </c>
      <c r="S186" s="190">
        <v>0</v>
      </c>
      <c r="T186" s="190">
        <v>0</v>
      </c>
      <c r="U186" s="190">
        <v>0</v>
      </c>
      <c r="V186" s="190">
        <v>0</v>
      </c>
      <c r="W186" s="190">
        <v>0</v>
      </c>
      <c r="X186" s="190">
        <v>0</v>
      </c>
      <c r="Y186" s="190">
        <v>0</v>
      </c>
      <c r="Z186" s="190">
        <v>0</v>
      </c>
      <c r="AA186" s="190">
        <v>0</v>
      </c>
      <c r="AB186" s="190">
        <v>0</v>
      </c>
      <c r="AC186" s="190">
        <v>0</v>
      </c>
      <c r="AD186" s="190">
        <v>0</v>
      </c>
      <c r="AE186" s="190">
        <v>0</v>
      </c>
      <c r="AF186" s="190">
        <v>0</v>
      </c>
      <c r="AG186" s="190">
        <v>0</v>
      </c>
      <c r="AH186" s="190">
        <v>0</v>
      </c>
      <c r="AI186" s="190">
        <v>0</v>
      </c>
      <c r="AJ186" s="190">
        <v>0</v>
      </c>
    </row>
    <row r="187" spans="1:36" x14ac:dyDescent="0.35">
      <c r="A187" t="s">
        <v>1623</v>
      </c>
      <c r="B187" s="188" t="s">
        <v>1342</v>
      </c>
      <c r="C187" t="s">
        <v>1348</v>
      </c>
      <c r="D187" s="188">
        <v>30</v>
      </c>
      <c r="E187" t="s">
        <v>1500</v>
      </c>
      <c r="F187" t="s">
        <v>1621</v>
      </c>
      <c r="G187" s="189" t="s">
        <v>1622</v>
      </c>
      <c r="H187" s="190">
        <v>0</v>
      </c>
      <c r="I187" s="190">
        <v>0</v>
      </c>
      <c r="J187" s="190">
        <v>0</v>
      </c>
      <c r="K187" s="190">
        <v>0</v>
      </c>
      <c r="L187" s="190">
        <v>0</v>
      </c>
      <c r="M187" s="190">
        <v>0</v>
      </c>
      <c r="N187" s="190">
        <v>0</v>
      </c>
      <c r="O187" s="190">
        <v>0</v>
      </c>
      <c r="P187" s="190">
        <v>0</v>
      </c>
      <c r="Q187" s="190">
        <v>0</v>
      </c>
      <c r="R187" s="190">
        <v>0</v>
      </c>
      <c r="S187" s="190">
        <v>0</v>
      </c>
      <c r="T187" s="190">
        <v>0</v>
      </c>
      <c r="U187" s="190">
        <v>0</v>
      </c>
      <c r="V187" s="190">
        <v>0</v>
      </c>
      <c r="W187" s="190">
        <v>0</v>
      </c>
      <c r="X187" s="190">
        <v>0</v>
      </c>
      <c r="Y187" s="190">
        <v>0</v>
      </c>
      <c r="Z187" s="190">
        <v>0</v>
      </c>
      <c r="AA187" s="190">
        <v>0</v>
      </c>
      <c r="AB187" s="190">
        <v>0</v>
      </c>
      <c r="AC187" s="190">
        <v>0</v>
      </c>
      <c r="AD187" s="190">
        <v>0</v>
      </c>
      <c r="AE187" s="190">
        <v>0</v>
      </c>
      <c r="AF187" s="190">
        <v>0</v>
      </c>
      <c r="AG187" s="190">
        <v>0</v>
      </c>
      <c r="AH187" s="190">
        <v>0</v>
      </c>
      <c r="AI187" s="190">
        <v>0</v>
      </c>
      <c r="AJ187" s="190">
        <v>0</v>
      </c>
    </row>
    <row r="188" spans="1:36" x14ac:dyDescent="0.35">
      <c r="A188" t="s">
        <v>1624</v>
      </c>
      <c r="B188" s="188" t="s">
        <v>1342</v>
      </c>
      <c r="C188" t="s">
        <v>1350</v>
      </c>
      <c r="D188" s="188">
        <v>30</v>
      </c>
      <c r="E188" t="s">
        <v>1500</v>
      </c>
      <c r="F188" t="s">
        <v>1621</v>
      </c>
      <c r="G188" s="189" t="s">
        <v>1622</v>
      </c>
      <c r="H188" s="190">
        <v>0</v>
      </c>
      <c r="I188" s="190">
        <v>0</v>
      </c>
      <c r="J188" s="190">
        <v>0</v>
      </c>
      <c r="K188" s="190">
        <v>0</v>
      </c>
      <c r="L188" s="190">
        <v>0</v>
      </c>
      <c r="M188" s="190">
        <v>0</v>
      </c>
      <c r="N188" s="190">
        <v>0</v>
      </c>
      <c r="O188" s="190">
        <v>0</v>
      </c>
      <c r="P188" s="190">
        <v>0</v>
      </c>
      <c r="Q188" s="190">
        <v>0</v>
      </c>
      <c r="R188" s="190">
        <v>0</v>
      </c>
      <c r="S188" s="190">
        <v>0</v>
      </c>
      <c r="T188" s="190">
        <v>0</v>
      </c>
      <c r="U188" s="190">
        <v>0</v>
      </c>
      <c r="V188" s="190">
        <v>0</v>
      </c>
      <c r="W188" s="190">
        <v>0</v>
      </c>
      <c r="X188" s="190">
        <v>0</v>
      </c>
      <c r="Y188" s="190">
        <v>0</v>
      </c>
      <c r="Z188" s="190">
        <v>0</v>
      </c>
      <c r="AA188" s="190">
        <v>0</v>
      </c>
      <c r="AB188" s="190">
        <v>0</v>
      </c>
      <c r="AC188" s="190">
        <v>0</v>
      </c>
      <c r="AD188" s="190">
        <v>0</v>
      </c>
      <c r="AE188" s="190">
        <v>0</v>
      </c>
      <c r="AF188" s="190">
        <v>0</v>
      </c>
      <c r="AG188" s="190">
        <v>0</v>
      </c>
      <c r="AH188" s="190">
        <v>0</v>
      </c>
      <c r="AI188" s="190">
        <v>0</v>
      </c>
      <c r="AJ188" s="190">
        <v>0</v>
      </c>
    </row>
    <row r="189" spans="1:36" x14ac:dyDescent="0.35">
      <c r="A189" t="s">
        <v>1625</v>
      </c>
      <c r="B189" s="188" t="s">
        <v>1342</v>
      </c>
      <c r="C189" t="s">
        <v>1343</v>
      </c>
      <c r="D189" s="188">
        <v>30</v>
      </c>
      <c r="E189" t="s">
        <v>1500</v>
      </c>
      <c r="F189" t="s">
        <v>1626</v>
      </c>
      <c r="G189" s="189" t="s">
        <v>1627</v>
      </c>
      <c r="H189" s="190">
        <v>0</v>
      </c>
      <c r="I189" s="190">
        <v>0</v>
      </c>
      <c r="J189" s="190">
        <v>0</v>
      </c>
      <c r="K189" s="190">
        <v>0</v>
      </c>
      <c r="L189" s="190">
        <v>0</v>
      </c>
      <c r="M189" s="190">
        <v>0</v>
      </c>
      <c r="N189" s="190">
        <v>0</v>
      </c>
      <c r="O189" s="190">
        <v>0</v>
      </c>
      <c r="P189" s="190">
        <v>0</v>
      </c>
      <c r="Q189" s="190">
        <v>0</v>
      </c>
      <c r="R189" s="190">
        <v>0</v>
      </c>
      <c r="S189" s="190">
        <v>0</v>
      </c>
      <c r="T189" s="190">
        <v>0</v>
      </c>
      <c r="U189" s="190">
        <v>0</v>
      </c>
      <c r="V189" s="190">
        <v>0</v>
      </c>
      <c r="W189" s="190">
        <v>0</v>
      </c>
      <c r="X189" s="190">
        <v>0</v>
      </c>
      <c r="Y189" s="190">
        <v>0</v>
      </c>
      <c r="Z189" s="190">
        <v>0</v>
      </c>
      <c r="AA189" s="190">
        <v>0</v>
      </c>
      <c r="AB189" s="190">
        <v>0</v>
      </c>
      <c r="AC189" s="190">
        <v>0</v>
      </c>
      <c r="AD189" s="190">
        <v>0</v>
      </c>
      <c r="AE189" s="190">
        <v>0</v>
      </c>
      <c r="AF189" s="190">
        <v>0</v>
      </c>
      <c r="AG189" s="190">
        <v>0</v>
      </c>
      <c r="AH189" s="190">
        <v>0</v>
      </c>
      <c r="AI189" s="190">
        <v>0</v>
      </c>
      <c r="AJ189" s="190">
        <v>0</v>
      </c>
    </row>
    <row r="190" spans="1:36" x14ac:dyDescent="0.35">
      <c r="A190" t="s">
        <v>1628</v>
      </c>
      <c r="B190" s="188" t="s">
        <v>1342</v>
      </c>
      <c r="C190" t="s">
        <v>1348</v>
      </c>
      <c r="D190" s="188">
        <v>30</v>
      </c>
      <c r="E190" t="s">
        <v>1500</v>
      </c>
      <c r="F190" t="s">
        <v>1626</v>
      </c>
      <c r="G190" s="189" t="s">
        <v>1627</v>
      </c>
      <c r="H190" s="190">
        <v>0</v>
      </c>
      <c r="I190" s="190">
        <v>0</v>
      </c>
      <c r="J190" s="190">
        <v>0</v>
      </c>
      <c r="K190" s="190">
        <v>0</v>
      </c>
      <c r="L190" s="190">
        <v>0</v>
      </c>
      <c r="M190" s="190">
        <v>0</v>
      </c>
      <c r="N190" s="190">
        <v>0</v>
      </c>
      <c r="O190" s="190">
        <v>0</v>
      </c>
      <c r="P190" s="190">
        <v>0</v>
      </c>
      <c r="Q190" s="190">
        <v>0</v>
      </c>
      <c r="R190" s="190">
        <v>0</v>
      </c>
      <c r="S190" s="190">
        <v>0</v>
      </c>
      <c r="T190" s="190">
        <v>0</v>
      </c>
      <c r="U190" s="190">
        <v>0</v>
      </c>
      <c r="V190" s="190">
        <v>0</v>
      </c>
      <c r="W190" s="190">
        <v>0</v>
      </c>
      <c r="X190" s="190">
        <v>0</v>
      </c>
      <c r="Y190" s="190">
        <v>0</v>
      </c>
      <c r="Z190" s="190">
        <v>0</v>
      </c>
      <c r="AA190" s="190">
        <v>0</v>
      </c>
      <c r="AB190" s="190">
        <v>0</v>
      </c>
      <c r="AC190" s="190">
        <v>0</v>
      </c>
      <c r="AD190" s="190">
        <v>0</v>
      </c>
      <c r="AE190" s="190">
        <v>0</v>
      </c>
      <c r="AF190" s="190">
        <v>0</v>
      </c>
      <c r="AG190" s="190">
        <v>0</v>
      </c>
      <c r="AH190" s="190">
        <v>0</v>
      </c>
      <c r="AI190" s="190">
        <v>0</v>
      </c>
      <c r="AJ190" s="190">
        <v>0</v>
      </c>
    </row>
    <row r="191" spans="1:36" x14ac:dyDescent="0.35">
      <c r="A191" t="s">
        <v>1629</v>
      </c>
      <c r="B191" s="188" t="s">
        <v>1342</v>
      </c>
      <c r="C191" t="s">
        <v>1350</v>
      </c>
      <c r="D191" s="188">
        <v>30</v>
      </c>
      <c r="E191" t="s">
        <v>1500</v>
      </c>
      <c r="F191" t="s">
        <v>1626</v>
      </c>
      <c r="G191" s="189" t="s">
        <v>1627</v>
      </c>
      <c r="H191" s="190">
        <v>0</v>
      </c>
      <c r="I191" s="190">
        <v>0</v>
      </c>
      <c r="J191" s="190">
        <v>0</v>
      </c>
      <c r="K191" s="190">
        <v>0</v>
      </c>
      <c r="L191" s="190">
        <v>0</v>
      </c>
      <c r="M191" s="190">
        <v>0</v>
      </c>
      <c r="N191" s="190">
        <v>0</v>
      </c>
      <c r="O191" s="190">
        <v>0</v>
      </c>
      <c r="P191" s="190">
        <v>0</v>
      </c>
      <c r="Q191" s="190">
        <v>0</v>
      </c>
      <c r="R191" s="190">
        <v>0</v>
      </c>
      <c r="S191" s="190">
        <v>0</v>
      </c>
      <c r="T191" s="190">
        <v>0</v>
      </c>
      <c r="U191" s="190">
        <v>0</v>
      </c>
      <c r="V191" s="190">
        <v>0</v>
      </c>
      <c r="W191" s="190">
        <v>0</v>
      </c>
      <c r="X191" s="190">
        <v>0</v>
      </c>
      <c r="Y191" s="190">
        <v>0</v>
      </c>
      <c r="Z191" s="190">
        <v>0</v>
      </c>
      <c r="AA191" s="190">
        <v>0</v>
      </c>
      <c r="AB191" s="190">
        <v>0</v>
      </c>
      <c r="AC191" s="190">
        <v>0</v>
      </c>
      <c r="AD191" s="190">
        <v>0</v>
      </c>
      <c r="AE191" s="190">
        <v>0</v>
      </c>
      <c r="AF191" s="190">
        <v>0</v>
      </c>
      <c r="AG191" s="190">
        <v>0</v>
      </c>
      <c r="AH191" s="190">
        <v>0</v>
      </c>
      <c r="AI191" s="190">
        <v>0</v>
      </c>
      <c r="AJ191" s="190">
        <v>0</v>
      </c>
    </row>
    <row r="192" spans="1:36" x14ac:dyDescent="0.35">
      <c r="A192" t="s">
        <v>1630</v>
      </c>
      <c r="B192" s="188" t="s">
        <v>1342</v>
      </c>
      <c r="C192" t="s">
        <v>1343</v>
      </c>
      <c r="D192" s="188">
        <v>30</v>
      </c>
      <c r="E192" t="s">
        <v>1500</v>
      </c>
      <c r="F192" t="s">
        <v>1631</v>
      </c>
      <c r="G192" s="189" t="s">
        <v>1632</v>
      </c>
      <c r="H192" s="190">
        <v>0</v>
      </c>
      <c r="I192" s="190">
        <v>0</v>
      </c>
      <c r="J192" s="190">
        <v>0</v>
      </c>
      <c r="K192" s="190">
        <v>0</v>
      </c>
      <c r="L192" s="190">
        <v>0</v>
      </c>
      <c r="M192" s="190">
        <v>0</v>
      </c>
      <c r="N192" s="190">
        <v>0</v>
      </c>
      <c r="O192" s="190">
        <v>0</v>
      </c>
      <c r="P192" s="190">
        <v>0</v>
      </c>
      <c r="Q192" s="190">
        <v>0</v>
      </c>
      <c r="R192" s="190">
        <v>0</v>
      </c>
      <c r="S192" s="190">
        <v>0</v>
      </c>
      <c r="T192" s="190">
        <v>0</v>
      </c>
      <c r="U192" s="190">
        <v>0</v>
      </c>
      <c r="V192" s="190">
        <v>0</v>
      </c>
      <c r="W192" s="190">
        <v>0</v>
      </c>
      <c r="X192" s="190">
        <v>0</v>
      </c>
      <c r="Y192" s="190">
        <v>0</v>
      </c>
      <c r="Z192" s="190">
        <v>0</v>
      </c>
      <c r="AA192" s="190">
        <v>0</v>
      </c>
      <c r="AB192" s="190">
        <v>0</v>
      </c>
      <c r="AC192" s="190">
        <v>0</v>
      </c>
      <c r="AD192" s="190">
        <v>0</v>
      </c>
      <c r="AE192" s="190">
        <v>0</v>
      </c>
      <c r="AF192" s="190">
        <v>0</v>
      </c>
      <c r="AG192" s="190">
        <v>0</v>
      </c>
      <c r="AH192" s="190">
        <v>0</v>
      </c>
      <c r="AI192" s="190">
        <v>0</v>
      </c>
      <c r="AJ192" s="190">
        <v>0</v>
      </c>
    </row>
    <row r="193" spans="1:36" x14ac:dyDescent="0.35">
      <c r="A193" t="s">
        <v>1633</v>
      </c>
      <c r="B193" s="188" t="s">
        <v>1342</v>
      </c>
      <c r="C193" t="s">
        <v>1348</v>
      </c>
      <c r="D193" s="188">
        <v>30</v>
      </c>
      <c r="E193" t="s">
        <v>1500</v>
      </c>
      <c r="F193" t="s">
        <v>1631</v>
      </c>
      <c r="G193" s="189" t="s">
        <v>1632</v>
      </c>
      <c r="H193" s="190">
        <v>0</v>
      </c>
      <c r="I193" s="190">
        <v>0</v>
      </c>
      <c r="J193" s="190">
        <v>0</v>
      </c>
      <c r="K193" s="190">
        <v>0</v>
      </c>
      <c r="L193" s="190">
        <v>0</v>
      </c>
      <c r="M193" s="190">
        <v>0</v>
      </c>
      <c r="N193" s="190">
        <v>0</v>
      </c>
      <c r="O193" s="190">
        <v>0</v>
      </c>
      <c r="P193" s="190">
        <v>0</v>
      </c>
      <c r="Q193" s="190">
        <v>0</v>
      </c>
      <c r="R193" s="190">
        <v>0</v>
      </c>
      <c r="S193" s="190">
        <v>0</v>
      </c>
      <c r="T193" s="190">
        <v>0</v>
      </c>
      <c r="U193" s="190">
        <v>0</v>
      </c>
      <c r="V193" s="190">
        <v>0</v>
      </c>
      <c r="W193" s="190">
        <v>0</v>
      </c>
      <c r="X193" s="190">
        <v>0</v>
      </c>
      <c r="Y193" s="190">
        <v>0</v>
      </c>
      <c r="Z193" s="190">
        <v>0</v>
      </c>
      <c r="AA193" s="190">
        <v>0</v>
      </c>
      <c r="AB193" s="190">
        <v>0</v>
      </c>
      <c r="AC193" s="190">
        <v>0</v>
      </c>
      <c r="AD193" s="190">
        <v>0</v>
      </c>
      <c r="AE193" s="190">
        <v>0</v>
      </c>
      <c r="AF193" s="190">
        <v>0</v>
      </c>
      <c r="AG193" s="190">
        <v>0</v>
      </c>
      <c r="AH193" s="190">
        <v>0</v>
      </c>
      <c r="AI193" s="190">
        <v>0</v>
      </c>
      <c r="AJ193" s="190">
        <v>0</v>
      </c>
    </row>
    <row r="194" spans="1:36" x14ac:dyDescent="0.35">
      <c r="A194" t="s">
        <v>1634</v>
      </c>
      <c r="B194" s="188" t="s">
        <v>1342</v>
      </c>
      <c r="C194" t="s">
        <v>1350</v>
      </c>
      <c r="D194" s="188">
        <v>30</v>
      </c>
      <c r="E194" t="s">
        <v>1500</v>
      </c>
      <c r="F194" t="s">
        <v>1631</v>
      </c>
      <c r="G194" s="189" t="s">
        <v>1632</v>
      </c>
      <c r="H194" s="190">
        <v>0</v>
      </c>
      <c r="I194" s="190">
        <v>0</v>
      </c>
      <c r="J194" s="190">
        <v>0</v>
      </c>
      <c r="K194" s="190">
        <v>0</v>
      </c>
      <c r="L194" s="190">
        <v>0</v>
      </c>
      <c r="M194" s="190">
        <v>0</v>
      </c>
      <c r="N194" s="190">
        <v>0</v>
      </c>
      <c r="O194" s="190">
        <v>0</v>
      </c>
      <c r="P194" s="190">
        <v>0</v>
      </c>
      <c r="Q194" s="190">
        <v>0</v>
      </c>
      <c r="R194" s="190">
        <v>0</v>
      </c>
      <c r="S194" s="190">
        <v>0</v>
      </c>
      <c r="T194" s="190">
        <v>0</v>
      </c>
      <c r="U194" s="190">
        <v>0</v>
      </c>
      <c r="V194" s="190">
        <v>0</v>
      </c>
      <c r="W194" s="190">
        <v>0</v>
      </c>
      <c r="X194" s="190">
        <v>0</v>
      </c>
      <c r="Y194" s="190">
        <v>0</v>
      </c>
      <c r="Z194" s="190">
        <v>0</v>
      </c>
      <c r="AA194" s="190">
        <v>0</v>
      </c>
      <c r="AB194" s="190">
        <v>0</v>
      </c>
      <c r="AC194" s="190">
        <v>0</v>
      </c>
      <c r="AD194" s="190">
        <v>0</v>
      </c>
      <c r="AE194" s="190">
        <v>0</v>
      </c>
      <c r="AF194" s="190">
        <v>0</v>
      </c>
      <c r="AG194" s="190">
        <v>0</v>
      </c>
      <c r="AH194" s="190">
        <v>0</v>
      </c>
      <c r="AI194" s="190">
        <v>0</v>
      </c>
      <c r="AJ194" s="190">
        <v>0</v>
      </c>
    </row>
    <row r="195" spans="1:36" x14ac:dyDescent="0.35">
      <c r="A195" t="s">
        <v>1635</v>
      </c>
      <c r="B195" s="188" t="s">
        <v>1342</v>
      </c>
      <c r="C195" t="s">
        <v>1343</v>
      </c>
      <c r="D195" s="188">
        <v>30</v>
      </c>
      <c r="E195" t="s">
        <v>1500</v>
      </c>
      <c r="F195" t="s">
        <v>1636</v>
      </c>
      <c r="G195" s="189" t="s">
        <v>1637</v>
      </c>
      <c r="H195" s="190">
        <v>0</v>
      </c>
      <c r="I195" s="190">
        <v>0</v>
      </c>
      <c r="J195" s="190">
        <v>0</v>
      </c>
      <c r="K195" s="190">
        <v>0</v>
      </c>
      <c r="L195" s="190">
        <v>0</v>
      </c>
      <c r="M195" s="190">
        <v>0</v>
      </c>
      <c r="N195" s="190">
        <v>0</v>
      </c>
      <c r="O195" s="190">
        <v>0</v>
      </c>
      <c r="P195" s="190">
        <v>0</v>
      </c>
      <c r="Q195" s="190">
        <v>0</v>
      </c>
      <c r="R195" s="190">
        <v>0</v>
      </c>
      <c r="S195" s="190">
        <v>0</v>
      </c>
      <c r="T195" s="190">
        <v>0</v>
      </c>
      <c r="U195" s="190">
        <v>0</v>
      </c>
      <c r="V195" s="190">
        <v>0</v>
      </c>
      <c r="W195" s="190">
        <v>0</v>
      </c>
      <c r="X195" s="190">
        <v>0</v>
      </c>
      <c r="Y195" s="190">
        <v>0</v>
      </c>
      <c r="Z195" s="190">
        <v>0</v>
      </c>
      <c r="AA195" s="190">
        <v>0</v>
      </c>
      <c r="AB195" s="190">
        <v>0</v>
      </c>
      <c r="AC195" s="190">
        <v>0</v>
      </c>
      <c r="AD195" s="190">
        <v>0</v>
      </c>
      <c r="AE195" s="190">
        <v>0</v>
      </c>
      <c r="AF195" s="190">
        <v>0</v>
      </c>
      <c r="AG195" s="190">
        <v>0</v>
      </c>
      <c r="AH195" s="190">
        <v>0</v>
      </c>
      <c r="AI195" s="190">
        <v>0</v>
      </c>
      <c r="AJ195" s="190">
        <v>0</v>
      </c>
    </row>
    <row r="196" spans="1:36" x14ac:dyDescent="0.35">
      <c r="A196" t="s">
        <v>1638</v>
      </c>
      <c r="B196" s="188" t="s">
        <v>1342</v>
      </c>
      <c r="C196" t="s">
        <v>1348</v>
      </c>
      <c r="D196" s="188">
        <v>30</v>
      </c>
      <c r="E196" t="s">
        <v>1500</v>
      </c>
      <c r="F196" t="s">
        <v>1636</v>
      </c>
      <c r="G196" s="189" t="s">
        <v>1637</v>
      </c>
      <c r="H196" s="190">
        <v>0</v>
      </c>
      <c r="I196" s="190">
        <v>0</v>
      </c>
      <c r="J196" s="190">
        <v>0</v>
      </c>
      <c r="K196" s="190">
        <v>0</v>
      </c>
      <c r="L196" s="190">
        <v>0</v>
      </c>
      <c r="M196" s="190">
        <v>0</v>
      </c>
      <c r="N196" s="190">
        <v>0</v>
      </c>
      <c r="O196" s="190">
        <v>0</v>
      </c>
      <c r="P196" s="190">
        <v>0</v>
      </c>
      <c r="Q196" s="190">
        <v>0</v>
      </c>
      <c r="R196" s="190">
        <v>0</v>
      </c>
      <c r="S196" s="190">
        <v>0</v>
      </c>
      <c r="T196" s="190">
        <v>0</v>
      </c>
      <c r="U196" s="190">
        <v>0</v>
      </c>
      <c r="V196" s="190">
        <v>0</v>
      </c>
      <c r="W196" s="190">
        <v>0</v>
      </c>
      <c r="X196" s="190">
        <v>0</v>
      </c>
      <c r="Y196" s="190">
        <v>0</v>
      </c>
      <c r="Z196" s="190">
        <v>0</v>
      </c>
      <c r="AA196" s="190">
        <v>0</v>
      </c>
      <c r="AB196" s="190">
        <v>0</v>
      </c>
      <c r="AC196" s="190">
        <v>0</v>
      </c>
      <c r="AD196" s="190">
        <v>0</v>
      </c>
      <c r="AE196" s="190">
        <v>0</v>
      </c>
      <c r="AF196" s="190">
        <v>0</v>
      </c>
      <c r="AG196" s="190">
        <v>0</v>
      </c>
      <c r="AH196" s="190">
        <v>0</v>
      </c>
      <c r="AI196" s="190">
        <v>0</v>
      </c>
      <c r="AJ196" s="190">
        <v>0</v>
      </c>
    </row>
    <row r="197" spans="1:36" x14ac:dyDescent="0.35">
      <c r="A197" t="s">
        <v>1639</v>
      </c>
      <c r="B197" s="188" t="s">
        <v>1342</v>
      </c>
      <c r="C197" t="s">
        <v>1350</v>
      </c>
      <c r="D197" s="188">
        <v>30</v>
      </c>
      <c r="E197" t="s">
        <v>1500</v>
      </c>
      <c r="F197" t="s">
        <v>1636</v>
      </c>
      <c r="G197" s="189" t="s">
        <v>1637</v>
      </c>
      <c r="H197" s="190">
        <v>0</v>
      </c>
      <c r="I197" s="190">
        <v>0</v>
      </c>
      <c r="J197" s="190">
        <v>0</v>
      </c>
      <c r="K197" s="190">
        <v>0</v>
      </c>
      <c r="L197" s="190">
        <v>0</v>
      </c>
      <c r="M197" s="190">
        <v>0</v>
      </c>
      <c r="N197" s="190">
        <v>0</v>
      </c>
      <c r="O197" s="190">
        <v>0</v>
      </c>
      <c r="P197" s="190">
        <v>0</v>
      </c>
      <c r="Q197" s="190">
        <v>0</v>
      </c>
      <c r="R197" s="190">
        <v>0</v>
      </c>
      <c r="S197" s="190">
        <v>0</v>
      </c>
      <c r="T197" s="190">
        <v>0</v>
      </c>
      <c r="U197" s="190">
        <v>0</v>
      </c>
      <c r="V197" s="190">
        <v>0</v>
      </c>
      <c r="W197" s="190">
        <v>0</v>
      </c>
      <c r="X197" s="190">
        <v>0</v>
      </c>
      <c r="Y197" s="190">
        <v>0</v>
      </c>
      <c r="Z197" s="190">
        <v>0</v>
      </c>
      <c r="AA197" s="190">
        <v>0</v>
      </c>
      <c r="AB197" s="190">
        <v>0</v>
      </c>
      <c r="AC197" s="190">
        <v>0</v>
      </c>
      <c r="AD197" s="190">
        <v>0</v>
      </c>
      <c r="AE197" s="190">
        <v>0</v>
      </c>
      <c r="AF197" s="190">
        <v>0</v>
      </c>
      <c r="AG197" s="190">
        <v>0</v>
      </c>
      <c r="AH197" s="190">
        <v>0</v>
      </c>
      <c r="AI197" s="190">
        <v>0</v>
      </c>
      <c r="AJ197" s="190">
        <v>0</v>
      </c>
    </row>
    <row r="198" spans="1:36" x14ac:dyDescent="0.35">
      <c r="A198" t="s">
        <v>1640</v>
      </c>
      <c r="B198" s="188" t="s">
        <v>1342</v>
      </c>
      <c r="C198" t="s">
        <v>1343</v>
      </c>
      <c r="D198" s="188">
        <v>30</v>
      </c>
      <c r="E198" t="s">
        <v>1500</v>
      </c>
      <c r="F198" t="s">
        <v>1641</v>
      </c>
      <c r="G198" s="189" t="s">
        <v>1642</v>
      </c>
      <c r="H198" s="190">
        <v>0</v>
      </c>
      <c r="I198" s="190">
        <v>0</v>
      </c>
      <c r="J198" s="190">
        <v>0</v>
      </c>
      <c r="K198" s="190">
        <v>0</v>
      </c>
      <c r="L198" s="190">
        <v>0</v>
      </c>
      <c r="M198" s="190">
        <v>0</v>
      </c>
      <c r="N198" s="190">
        <v>0</v>
      </c>
      <c r="O198" s="190">
        <v>0</v>
      </c>
      <c r="P198" s="190">
        <v>0</v>
      </c>
      <c r="Q198" s="190">
        <v>0</v>
      </c>
      <c r="R198" s="190">
        <v>0</v>
      </c>
      <c r="S198" s="190">
        <v>0</v>
      </c>
      <c r="T198" s="190">
        <v>0</v>
      </c>
      <c r="U198" s="190">
        <v>0</v>
      </c>
      <c r="V198" s="190">
        <v>0</v>
      </c>
      <c r="W198" s="190">
        <v>0</v>
      </c>
      <c r="X198" s="190">
        <v>0</v>
      </c>
      <c r="Y198" s="190">
        <v>0</v>
      </c>
      <c r="Z198" s="190">
        <v>0</v>
      </c>
      <c r="AA198" s="190">
        <v>0</v>
      </c>
      <c r="AB198" s="190">
        <v>0</v>
      </c>
      <c r="AC198" s="190">
        <v>0</v>
      </c>
      <c r="AD198" s="190">
        <v>0</v>
      </c>
      <c r="AE198" s="190">
        <v>0</v>
      </c>
      <c r="AF198" s="190">
        <v>0</v>
      </c>
      <c r="AG198" s="190">
        <v>0</v>
      </c>
      <c r="AH198" s="190">
        <v>0</v>
      </c>
      <c r="AI198" s="190">
        <v>0</v>
      </c>
      <c r="AJ198" s="190">
        <v>0</v>
      </c>
    </row>
    <row r="199" spans="1:36" x14ac:dyDescent="0.35">
      <c r="A199" t="s">
        <v>1643</v>
      </c>
      <c r="B199" s="188" t="s">
        <v>1342</v>
      </c>
      <c r="C199" t="s">
        <v>1348</v>
      </c>
      <c r="D199" s="188">
        <v>30</v>
      </c>
      <c r="E199" t="s">
        <v>1500</v>
      </c>
      <c r="F199" t="s">
        <v>1641</v>
      </c>
      <c r="G199" s="189" t="s">
        <v>1642</v>
      </c>
      <c r="H199" s="190">
        <v>0</v>
      </c>
      <c r="I199" s="190">
        <v>0</v>
      </c>
      <c r="J199" s="190">
        <v>0</v>
      </c>
      <c r="K199" s="190">
        <v>0</v>
      </c>
      <c r="L199" s="190">
        <v>0</v>
      </c>
      <c r="M199" s="190">
        <v>0</v>
      </c>
      <c r="N199" s="190">
        <v>0</v>
      </c>
      <c r="O199" s="190">
        <v>0</v>
      </c>
      <c r="P199" s="190">
        <v>0</v>
      </c>
      <c r="Q199" s="190">
        <v>0</v>
      </c>
      <c r="R199" s="190">
        <v>0</v>
      </c>
      <c r="S199" s="190">
        <v>0</v>
      </c>
      <c r="T199" s="190">
        <v>0</v>
      </c>
      <c r="U199" s="190">
        <v>0</v>
      </c>
      <c r="V199" s="190">
        <v>0</v>
      </c>
      <c r="W199" s="190">
        <v>0</v>
      </c>
      <c r="X199" s="190">
        <v>0</v>
      </c>
      <c r="Y199" s="190">
        <v>0</v>
      </c>
      <c r="Z199" s="190">
        <v>0</v>
      </c>
      <c r="AA199" s="190">
        <v>0</v>
      </c>
      <c r="AB199" s="190">
        <v>0</v>
      </c>
      <c r="AC199" s="190">
        <v>0</v>
      </c>
      <c r="AD199" s="190">
        <v>0</v>
      </c>
      <c r="AE199" s="190">
        <v>0</v>
      </c>
      <c r="AF199" s="190">
        <v>0</v>
      </c>
      <c r="AG199" s="190">
        <v>0</v>
      </c>
      <c r="AH199" s="190">
        <v>0</v>
      </c>
      <c r="AI199" s="190">
        <v>0</v>
      </c>
      <c r="AJ199" s="190">
        <v>0</v>
      </c>
    </row>
    <row r="200" spans="1:36" x14ac:dyDescent="0.35">
      <c r="A200" t="s">
        <v>1644</v>
      </c>
      <c r="B200" s="188" t="s">
        <v>1342</v>
      </c>
      <c r="C200" t="s">
        <v>1350</v>
      </c>
      <c r="D200" s="188">
        <v>30</v>
      </c>
      <c r="E200" t="s">
        <v>1500</v>
      </c>
      <c r="F200" t="s">
        <v>1641</v>
      </c>
      <c r="G200" s="189" t="s">
        <v>1642</v>
      </c>
      <c r="H200" s="190">
        <v>0</v>
      </c>
      <c r="I200" s="190">
        <v>0</v>
      </c>
      <c r="J200" s="190">
        <v>0</v>
      </c>
      <c r="K200" s="190">
        <v>0</v>
      </c>
      <c r="L200" s="190">
        <v>0</v>
      </c>
      <c r="M200" s="190">
        <v>0</v>
      </c>
      <c r="N200" s="190">
        <v>0</v>
      </c>
      <c r="O200" s="190">
        <v>0</v>
      </c>
      <c r="P200" s="190">
        <v>0</v>
      </c>
      <c r="Q200" s="190">
        <v>0</v>
      </c>
      <c r="R200" s="190">
        <v>0</v>
      </c>
      <c r="S200" s="190">
        <v>0</v>
      </c>
      <c r="T200" s="190">
        <v>0</v>
      </c>
      <c r="U200" s="190">
        <v>0</v>
      </c>
      <c r="V200" s="190">
        <v>0</v>
      </c>
      <c r="W200" s="190">
        <v>0</v>
      </c>
      <c r="X200" s="190">
        <v>0</v>
      </c>
      <c r="Y200" s="190">
        <v>0</v>
      </c>
      <c r="Z200" s="190">
        <v>0</v>
      </c>
      <c r="AA200" s="190">
        <v>0</v>
      </c>
      <c r="AB200" s="190">
        <v>0</v>
      </c>
      <c r="AC200" s="190">
        <v>0</v>
      </c>
      <c r="AD200" s="190">
        <v>0</v>
      </c>
      <c r="AE200" s="190">
        <v>0</v>
      </c>
      <c r="AF200" s="190">
        <v>0</v>
      </c>
      <c r="AG200" s="190">
        <v>0</v>
      </c>
      <c r="AH200" s="190">
        <v>0</v>
      </c>
      <c r="AI200" s="190">
        <v>0</v>
      </c>
      <c r="AJ200" s="190">
        <v>0</v>
      </c>
    </row>
    <row r="201" spans="1:36" x14ac:dyDescent="0.35">
      <c r="A201" t="s">
        <v>1645</v>
      </c>
      <c r="B201" s="188" t="s">
        <v>1342</v>
      </c>
      <c r="C201" t="s">
        <v>1343</v>
      </c>
      <c r="D201" s="188">
        <v>30</v>
      </c>
      <c r="E201" t="s">
        <v>1500</v>
      </c>
      <c r="F201" t="s">
        <v>1646</v>
      </c>
      <c r="G201" s="189" t="s">
        <v>1647</v>
      </c>
      <c r="H201" s="190">
        <v>0</v>
      </c>
      <c r="I201" s="190">
        <v>0</v>
      </c>
      <c r="J201" s="190">
        <v>0</v>
      </c>
      <c r="K201" s="190">
        <v>0</v>
      </c>
      <c r="L201" s="190">
        <v>0</v>
      </c>
      <c r="M201" s="190">
        <v>0</v>
      </c>
      <c r="N201" s="190">
        <v>0</v>
      </c>
      <c r="O201" s="190">
        <v>0</v>
      </c>
      <c r="P201" s="190">
        <v>0</v>
      </c>
      <c r="Q201" s="190">
        <v>0</v>
      </c>
      <c r="R201" s="190">
        <v>0</v>
      </c>
      <c r="S201" s="190">
        <v>0</v>
      </c>
      <c r="T201" s="190">
        <v>0</v>
      </c>
      <c r="U201" s="190">
        <v>0</v>
      </c>
      <c r="V201" s="190">
        <v>0</v>
      </c>
      <c r="W201" s="190">
        <v>0</v>
      </c>
      <c r="X201" s="190">
        <v>0</v>
      </c>
      <c r="Y201" s="190">
        <v>0</v>
      </c>
      <c r="Z201" s="190">
        <v>0</v>
      </c>
      <c r="AA201" s="190">
        <v>0</v>
      </c>
      <c r="AB201" s="190">
        <v>0</v>
      </c>
      <c r="AC201" s="190">
        <v>0</v>
      </c>
      <c r="AD201" s="190">
        <v>0</v>
      </c>
      <c r="AE201" s="190">
        <v>0</v>
      </c>
      <c r="AF201" s="190">
        <v>0</v>
      </c>
      <c r="AG201" s="190">
        <v>0</v>
      </c>
      <c r="AH201" s="190">
        <v>0</v>
      </c>
      <c r="AI201" s="190">
        <v>0</v>
      </c>
      <c r="AJ201" s="190">
        <v>0</v>
      </c>
    </row>
    <row r="202" spans="1:36" x14ac:dyDescent="0.35">
      <c r="A202" t="s">
        <v>1648</v>
      </c>
      <c r="B202" s="188" t="s">
        <v>1342</v>
      </c>
      <c r="C202" t="s">
        <v>1348</v>
      </c>
      <c r="D202" s="188">
        <v>30</v>
      </c>
      <c r="E202" t="s">
        <v>1500</v>
      </c>
      <c r="F202" t="s">
        <v>1646</v>
      </c>
      <c r="G202" s="189" t="s">
        <v>1647</v>
      </c>
      <c r="H202" s="190">
        <v>0</v>
      </c>
      <c r="I202" s="190">
        <v>0</v>
      </c>
      <c r="J202" s="190">
        <v>0</v>
      </c>
      <c r="K202" s="190">
        <v>0</v>
      </c>
      <c r="L202" s="190">
        <v>0</v>
      </c>
      <c r="M202" s="190">
        <v>0</v>
      </c>
      <c r="N202" s="190">
        <v>0</v>
      </c>
      <c r="O202" s="190">
        <v>0</v>
      </c>
      <c r="P202" s="190">
        <v>0</v>
      </c>
      <c r="Q202" s="190">
        <v>0</v>
      </c>
      <c r="R202" s="190">
        <v>0</v>
      </c>
      <c r="S202" s="190">
        <v>0</v>
      </c>
      <c r="T202" s="190">
        <v>0</v>
      </c>
      <c r="U202" s="190">
        <v>0</v>
      </c>
      <c r="V202" s="190">
        <v>0</v>
      </c>
      <c r="W202" s="190">
        <v>0</v>
      </c>
      <c r="X202" s="190">
        <v>0</v>
      </c>
      <c r="Y202" s="190">
        <v>0</v>
      </c>
      <c r="Z202" s="190">
        <v>0</v>
      </c>
      <c r="AA202" s="190">
        <v>0</v>
      </c>
      <c r="AB202" s="190">
        <v>0</v>
      </c>
      <c r="AC202" s="190">
        <v>0</v>
      </c>
      <c r="AD202" s="190">
        <v>0</v>
      </c>
      <c r="AE202" s="190">
        <v>0</v>
      </c>
      <c r="AF202" s="190">
        <v>0</v>
      </c>
      <c r="AG202" s="190">
        <v>0</v>
      </c>
      <c r="AH202" s="190">
        <v>0</v>
      </c>
      <c r="AI202" s="190">
        <v>0</v>
      </c>
      <c r="AJ202" s="190">
        <v>0</v>
      </c>
    </row>
    <row r="203" spans="1:36" x14ac:dyDescent="0.35">
      <c r="A203" t="s">
        <v>1649</v>
      </c>
      <c r="B203" s="188" t="s">
        <v>1342</v>
      </c>
      <c r="C203" t="s">
        <v>1350</v>
      </c>
      <c r="D203" s="188">
        <v>30</v>
      </c>
      <c r="E203" t="s">
        <v>1500</v>
      </c>
      <c r="F203" t="s">
        <v>1646</v>
      </c>
      <c r="G203" s="189" t="s">
        <v>1647</v>
      </c>
      <c r="H203" s="190">
        <v>0</v>
      </c>
      <c r="I203" s="190">
        <v>0</v>
      </c>
      <c r="J203" s="190">
        <v>0</v>
      </c>
      <c r="K203" s="190">
        <v>0</v>
      </c>
      <c r="L203" s="190">
        <v>0</v>
      </c>
      <c r="M203" s="190">
        <v>0</v>
      </c>
      <c r="N203" s="190">
        <v>0</v>
      </c>
      <c r="O203" s="190">
        <v>0</v>
      </c>
      <c r="P203" s="190">
        <v>0</v>
      </c>
      <c r="Q203" s="190">
        <v>0</v>
      </c>
      <c r="R203" s="190">
        <v>0</v>
      </c>
      <c r="S203" s="190">
        <v>0</v>
      </c>
      <c r="T203" s="190">
        <v>0</v>
      </c>
      <c r="U203" s="190">
        <v>0</v>
      </c>
      <c r="V203" s="190">
        <v>0</v>
      </c>
      <c r="W203" s="190">
        <v>0</v>
      </c>
      <c r="X203" s="190">
        <v>0</v>
      </c>
      <c r="Y203" s="190">
        <v>0</v>
      </c>
      <c r="Z203" s="190">
        <v>0</v>
      </c>
      <c r="AA203" s="190">
        <v>0</v>
      </c>
      <c r="AB203" s="190">
        <v>0</v>
      </c>
      <c r="AC203" s="190">
        <v>0</v>
      </c>
      <c r="AD203" s="190">
        <v>0</v>
      </c>
      <c r="AE203" s="190">
        <v>0</v>
      </c>
      <c r="AF203" s="190">
        <v>0</v>
      </c>
      <c r="AG203" s="190">
        <v>0</v>
      </c>
      <c r="AH203" s="190">
        <v>0</v>
      </c>
      <c r="AI203" s="190">
        <v>0</v>
      </c>
      <c r="AJ203" s="190">
        <v>0</v>
      </c>
    </row>
    <row r="204" spans="1:36" x14ac:dyDescent="0.35">
      <c r="A204" t="s">
        <v>1650</v>
      </c>
      <c r="B204" s="188" t="s">
        <v>1342</v>
      </c>
      <c r="C204" t="s">
        <v>1343</v>
      </c>
      <c r="D204" s="188">
        <v>30</v>
      </c>
      <c r="E204" t="s">
        <v>1500</v>
      </c>
      <c r="F204" t="s">
        <v>1651</v>
      </c>
      <c r="G204" s="189" t="s">
        <v>1652</v>
      </c>
      <c r="H204" s="190">
        <v>0</v>
      </c>
      <c r="I204" s="190">
        <v>0</v>
      </c>
      <c r="J204" s="190">
        <v>0</v>
      </c>
      <c r="K204" s="190">
        <v>0</v>
      </c>
      <c r="L204" s="190">
        <v>0</v>
      </c>
      <c r="M204" s="190">
        <v>0</v>
      </c>
      <c r="N204" s="190">
        <v>0</v>
      </c>
      <c r="O204" s="190">
        <v>0</v>
      </c>
      <c r="P204" s="190">
        <v>0</v>
      </c>
      <c r="Q204" s="190">
        <v>0</v>
      </c>
      <c r="R204" s="190">
        <v>0</v>
      </c>
      <c r="S204" s="190">
        <v>0</v>
      </c>
      <c r="T204" s="190">
        <v>0</v>
      </c>
      <c r="U204" s="190">
        <v>0</v>
      </c>
      <c r="V204" s="190">
        <v>0</v>
      </c>
      <c r="W204" s="190">
        <v>0</v>
      </c>
      <c r="X204" s="190">
        <v>0</v>
      </c>
      <c r="Y204" s="190">
        <v>0</v>
      </c>
      <c r="Z204" s="190">
        <v>0</v>
      </c>
      <c r="AA204" s="190">
        <v>0</v>
      </c>
      <c r="AB204" s="190">
        <v>0</v>
      </c>
      <c r="AC204" s="190">
        <v>0</v>
      </c>
      <c r="AD204" s="190">
        <v>0</v>
      </c>
      <c r="AE204" s="190">
        <v>0</v>
      </c>
      <c r="AF204" s="190">
        <v>0</v>
      </c>
      <c r="AG204" s="190">
        <v>0</v>
      </c>
      <c r="AH204" s="190">
        <v>0</v>
      </c>
      <c r="AI204" s="190">
        <v>0</v>
      </c>
      <c r="AJ204" s="190">
        <v>0</v>
      </c>
    </row>
    <row r="205" spans="1:36" x14ac:dyDescent="0.35">
      <c r="A205" t="s">
        <v>1653</v>
      </c>
      <c r="B205" s="188" t="s">
        <v>1342</v>
      </c>
      <c r="C205" t="s">
        <v>1348</v>
      </c>
      <c r="D205" s="188">
        <v>30</v>
      </c>
      <c r="E205" t="s">
        <v>1500</v>
      </c>
      <c r="F205" t="s">
        <v>1651</v>
      </c>
      <c r="G205" s="189" t="s">
        <v>1652</v>
      </c>
      <c r="H205" s="190">
        <v>0</v>
      </c>
      <c r="I205" s="190">
        <v>0</v>
      </c>
      <c r="J205" s="190">
        <v>0</v>
      </c>
      <c r="K205" s="190">
        <v>0</v>
      </c>
      <c r="L205" s="190">
        <v>0</v>
      </c>
      <c r="M205" s="190">
        <v>0</v>
      </c>
      <c r="N205" s="190">
        <v>0</v>
      </c>
      <c r="O205" s="190">
        <v>0</v>
      </c>
      <c r="P205" s="190">
        <v>0</v>
      </c>
      <c r="Q205" s="190">
        <v>0</v>
      </c>
      <c r="R205" s="190">
        <v>0</v>
      </c>
      <c r="S205" s="190">
        <v>0</v>
      </c>
      <c r="T205" s="190">
        <v>0</v>
      </c>
      <c r="U205" s="190">
        <v>0</v>
      </c>
      <c r="V205" s="190">
        <v>0</v>
      </c>
      <c r="W205" s="190">
        <v>0</v>
      </c>
      <c r="X205" s="190">
        <v>0</v>
      </c>
      <c r="Y205" s="190">
        <v>0</v>
      </c>
      <c r="Z205" s="190">
        <v>0</v>
      </c>
      <c r="AA205" s="190">
        <v>0</v>
      </c>
      <c r="AB205" s="190">
        <v>0</v>
      </c>
      <c r="AC205" s="190">
        <v>0</v>
      </c>
      <c r="AD205" s="190">
        <v>0</v>
      </c>
      <c r="AE205" s="190">
        <v>0</v>
      </c>
      <c r="AF205" s="190">
        <v>0</v>
      </c>
      <c r="AG205" s="190">
        <v>0</v>
      </c>
      <c r="AH205" s="190">
        <v>0</v>
      </c>
      <c r="AI205" s="190">
        <v>0</v>
      </c>
      <c r="AJ205" s="190">
        <v>0</v>
      </c>
    </row>
    <row r="206" spans="1:36" x14ac:dyDescent="0.35">
      <c r="A206" t="s">
        <v>1654</v>
      </c>
      <c r="B206" s="188" t="s">
        <v>1342</v>
      </c>
      <c r="C206" t="s">
        <v>1350</v>
      </c>
      <c r="D206" s="188">
        <v>30</v>
      </c>
      <c r="E206" t="s">
        <v>1500</v>
      </c>
      <c r="F206" t="s">
        <v>1651</v>
      </c>
      <c r="G206" s="189" t="s">
        <v>1652</v>
      </c>
      <c r="H206" s="190">
        <v>0</v>
      </c>
      <c r="I206" s="190">
        <v>0</v>
      </c>
      <c r="J206" s="190">
        <v>0</v>
      </c>
      <c r="K206" s="190">
        <v>0</v>
      </c>
      <c r="L206" s="190">
        <v>0</v>
      </c>
      <c r="M206" s="190">
        <v>0</v>
      </c>
      <c r="N206" s="190">
        <v>0</v>
      </c>
      <c r="O206" s="190">
        <v>0</v>
      </c>
      <c r="P206" s="190">
        <v>0</v>
      </c>
      <c r="Q206" s="190">
        <v>0</v>
      </c>
      <c r="R206" s="190">
        <v>0</v>
      </c>
      <c r="S206" s="190">
        <v>0</v>
      </c>
      <c r="T206" s="190">
        <v>0</v>
      </c>
      <c r="U206" s="190">
        <v>0</v>
      </c>
      <c r="V206" s="190">
        <v>0</v>
      </c>
      <c r="W206" s="190">
        <v>0</v>
      </c>
      <c r="X206" s="190">
        <v>0</v>
      </c>
      <c r="Y206" s="190">
        <v>0</v>
      </c>
      <c r="Z206" s="190">
        <v>0</v>
      </c>
      <c r="AA206" s="190">
        <v>0</v>
      </c>
      <c r="AB206" s="190">
        <v>0</v>
      </c>
      <c r="AC206" s="190">
        <v>0</v>
      </c>
      <c r="AD206" s="190">
        <v>0</v>
      </c>
      <c r="AE206" s="190">
        <v>0</v>
      </c>
      <c r="AF206" s="190">
        <v>0</v>
      </c>
      <c r="AG206" s="190">
        <v>0</v>
      </c>
      <c r="AH206" s="190">
        <v>0</v>
      </c>
      <c r="AI206" s="190">
        <v>0</v>
      </c>
      <c r="AJ206" s="190">
        <v>0</v>
      </c>
    </row>
    <row r="207" spans="1:36" x14ac:dyDescent="0.35">
      <c r="A207" t="s">
        <v>1655</v>
      </c>
      <c r="B207" s="188" t="s">
        <v>1342</v>
      </c>
      <c r="C207" t="s">
        <v>1343</v>
      </c>
      <c r="D207" s="188">
        <v>30</v>
      </c>
      <c r="E207" t="s">
        <v>1500</v>
      </c>
      <c r="F207" t="s">
        <v>1656</v>
      </c>
      <c r="G207" s="189" t="s">
        <v>1657</v>
      </c>
      <c r="H207" s="190">
        <v>0</v>
      </c>
      <c r="I207" s="190">
        <v>0</v>
      </c>
      <c r="J207" s="190">
        <v>0</v>
      </c>
      <c r="K207" s="190">
        <v>0</v>
      </c>
      <c r="L207" s="190">
        <v>0</v>
      </c>
      <c r="M207" s="190">
        <v>0</v>
      </c>
      <c r="N207" s="190">
        <v>0</v>
      </c>
      <c r="O207" s="190">
        <v>0</v>
      </c>
      <c r="P207" s="190">
        <v>0</v>
      </c>
      <c r="Q207" s="190">
        <v>0</v>
      </c>
      <c r="R207" s="190">
        <v>0</v>
      </c>
      <c r="S207" s="190">
        <v>0</v>
      </c>
      <c r="T207" s="190">
        <v>0</v>
      </c>
      <c r="U207" s="190">
        <v>0</v>
      </c>
      <c r="V207" s="190">
        <v>0</v>
      </c>
      <c r="W207" s="190">
        <v>0</v>
      </c>
      <c r="X207" s="190">
        <v>0</v>
      </c>
      <c r="Y207" s="190">
        <v>0</v>
      </c>
      <c r="Z207" s="190">
        <v>0</v>
      </c>
      <c r="AA207" s="190">
        <v>0</v>
      </c>
      <c r="AB207" s="190">
        <v>0</v>
      </c>
      <c r="AC207" s="190">
        <v>0</v>
      </c>
      <c r="AD207" s="190">
        <v>0</v>
      </c>
      <c r="AE207" s="190">
        <v>0</v>
      </c>
      <c r="AF207" s="190">
        <v>0</v>
      </c>
      <c r="AG207" s="190">
        <v>0</v>
      </c>
      <c r="AH207" s="190">
        <v>0</v>
      </c>
      <c r="AI207" s="190">
        <v>0</v>
      </c>
      <c r="AJ207" s="190">
        <v>0</v>
      </c>
    </row>
    <row r="208" spans="1:36" x14ac:dyDescent="0.35">
      <c r="A208" t="s">
        <v>1658</v>
      </c>
      <c r="B208" s="188" t="s">
        <v>1342</v>
      </c>
      <c r="C208" t="s">
        <v>1348</v>
      </c>
      <c r="D208" s="188">
        <v>30</v>
      </c>
      <c r="E208" t="s">
        <v>1500</v>
      </c>
      <c r="F208" t="s">
        <v>1656</v>
      </c>
      <c r="G208" s="189" t="s">
        <v>1657</v>
      </c>
      <c r="H208" s="190">
        <v>0</v>
      </c>
      <c r="I208" s="190">
        <v>0</v>
      </c>
      <c r="J208" s="190">
        <v>0</v>
      </c>
      <c r="K208" s="190">
        <v>0</v>
      </c>
      <c r="L208" s="190">
        <v>0</v>
      </c>
      <c r="M208" s="190">
        <v>0</v>
      </c>
      <c r="N208" s="190">
        <v>0</v>
      </c>
      <c r="O208" s="190">
        <v>0</v>
      </c>
      <c r="P208" s="190">
        <v>0</v>
      </c>
      <c r="Q208" s="190">
        <v>0</v>
      </c>
      <c r="R208" s="190">
        <v>0</v>
      </c>
      <c r="S208" s="190">
        <v>0</v>
      </c>
      <c r="T208" s="190">
        <v>0</v>
      </c>
      <c r="U208" s="190">
        <v>0</v>
      </c>
      <c r="V208" s="190">
        <v>0</v>
      </c>
      <c r="W208" s="190">
        <v>0</v>
      </c>
      <c r="X208" s="190">
        <v>0</v>
      </c>
      <c r="Y208" s="190">
        <v>0</v>
      </c>
      <c r="Z208" s="190">
        <v>0</v>
      </c>
      <c r="AA208" s="190">
        <v>0</v>
      </c>
      <c r="AB208" s="190">
        <v>0</v>
      </c>
      <c r="AC208" s="190">
        <v>0</v>
      </c>
      <c r="AD208" s="190">
        <v>0</v>
      </c>
      <c r="AE208" s="190">
        <v>0</v>
      </c>
      <c r="AF208" s="190">
        <v>0</v>
      </c>
      <c r="AG208" s="190">
        <v>0</v>
      </c>
      <c r="AH208" s="190">
        <v>0</v>
      </c>
      <c r="AI208" s="190">
        <v>0</v>
      </c>
      <c r="AJ208" s="190">
        <v>0</v>
      </c>
    </row>
    <row r="209" spans="1:36" x14ac:dyDescent="0.35">
      <c r="A209" t="s">
        <v>1659</v>
      </c>
      <c r="B209" s="188" t="s">
        <v>1342</v>
      </c>
      <c r="C209" t="s">
        <v>1350</v>
      </c>
      <c r="D209" s="188">
        <v>30</v>
      </c>
      <c r="E209" t="s">
        <v>1500</v>
      </c>
      <c r="F209" t="s">
        <v>1656</v>
      </c>
      <c r="G209" s="189" t="s">
        <v>1657</v>
      </c>
      <c r="H209" s="190">
        <v>0</v>
      </c>
      <c r="I209" s="190">
        <v>0</v>
      </c>
      <c r="J209" s="190">
        <v>0</v>
      </c>
      <c r="K209" s="190">
        <v>0</v>
      </c>
      <c r="L209" s="190">
        <v>0</v>
      </c>
      <c r="M209" s="190">
        <v>0</v>
      </c>
      <c r="N209" s="190">
        <v>0</v>
      </c>
      <c r="O209" s="190">
        <v>0</v>
      </c>
      <c r="P209" s="190">
        <v>0</v>
      </c>
      <c r="Q209" s="190">
        <v>0</v>
      </c>
      <c r="R209" s="190">
        <v>0</v>
      </c>
      <c r="S209" s="190">
        <v>0</v>
      </c>
      <c r="T209" s="190">
        <v>0</v>
      </c>
      <c r="U209" s="190">
        <v>0</v>
      </c>
      <c r="V209" s="190">
        <v>0</v>
      </c>
      <c r="W209" s="190">
        <v>0</v>
      </c>
      <c r="X209" s="190">
        <v>0</v>
      </c>
      <c r="Y209" s="190">
        <v>0</v>
      </c>
      <c r="Z209" s="190">
        <v>0</v>
      </c>
      <c r="AA209" s="190">
        <v>0</v>
      </c>
      <c r="AB209" s="190">
        <v>0</v>
      </c>
      <c r="AC209" s="190">
        <v>0</v>
      </c>
      <c r="AD209" s="190">
        <v>0</v>
      </c>
      <c r="AE209" s="190">
        <v>0</v>
      </c>
      <c r="AF209" s="190">
        <v>0</v>
      </c>
      <c r="AG209" s="190">
        <v>0</v>
      </c>
      <c r="AH209" s="190">
        <v>0</v>
      </c>
      <c r="AI209" s="190">
        <v>0</v>
      </c>
      <c r="AJ209" s="190">
        <v>0</v>
      </c>
    </row>
    <row r="210" spans="1:36" x14ac:dyDescent="0.35">
      <c r="A210" t="s">
        <v>1660</v>
      </c>
      <c r="B210" s="188" t="s">
        <v>1342</v>
      </c>
      <c r="C210" t="s">
        <v>1343</v>
      </c>
      <c r="D210" s="188">
        <v>30</v>
      </c>
      <c r="E210" t="s">
        <v>1500</v>
      </c>
      <c r="F210" t="s">
        <v>1661</v>
      </c>
      <c r="G210" s="189" t="s">
        <v>1662</v>
      </c>
      <c r="H210" s="190">
        <v>0</v>
      </c>
      <c r="I210" s="190">
        <v>0</v>
      </c>
      <c r="J210" s="190">
        <v>0</v>
      </c>
      <c r="K210" s="190">
        <v>0</v>
      </c>
      <c r="L210" s="190">
        <v>0</v>
      </c>
      <c r="M210" s="190">
        <v>0</v>
      </c>
      <c r="N210" s="190">
        <v>0</v>
      </c>
      <c r="O210" s="190">
        <v>0</v>
      </c>
      <c r="P210" s="190">
        <v>0</v>
      </c>
      <c r="Q210" s="190">
        <v>0</v>
      </c>
      <c r="R210" s="190">
        <v>0</v>
      </c>
      <c r="S210" s="190">
        <v>0</v>
      </c>
      <c r="T210" s="190">
        <v>0</v>
      </c>
      <c r="U210" s="190">
        <v>0</v>
      </c>
      <c r="V210" s="190">
        <v>0</v>
      </c>
      <c r="W210" s="190">
        <v>0</v>
      </c>
      <c r="X210" s="190">
        <v>0</v>
      </c>
      <c r="Y210" s="190">
        <v>0</v>
      </c>
      <c r="Z210" s="190">
        <v>0</v>
      </c>
      <c r="AA210" s="190">
        <v>0</v>
      </c>
      <c r="AB210" s="190">
        <v>0</v>
      </c>
      <c r="AC210" s="190">
        <v>0</v>
      </c>
      <c r="AD210" s="190">
        <v>0</v>
      </c>
      <c r="AE210" s="190">
        <v>0</v>
      </c>
      <c r="AF210" s="190">
        <v>0</v>
      </c>
      <c r="AG210" s="190">
        <v>0</v>
      </c>
      <c r="AH210" s="190">
        <v>0</v>
      </c>
      <c r="AI210" s="190">
        <v>0</v>
      </c>
      <c r="AJ210" s="190">
        <v>0</v>
      </c>
    </row>
    <row r="211" spans="1:36" x14ac:dyDescent="0.35">
      <c r="A211" t="s">
        <v>1663</v>
      </c>
      <c r="B211" s="188" t="s">
        <v>1342</v>
      </c>
      <c r="C211" t="s">
        <v>1348</v>
      </c>
      <c r="D211" s="188">
        <v>30</v>
      </c>
      <c r="E211" t="s">
        <v>1500</v>
      </c>
      <c r="F211" t="s">
        <v>1661</v>
      </c>
      <c r="G211" s="189" t="s">
        <v>1662</v>
      </c>
      <c r="H211" s="190">
        <v>0</v>
      </c>
      <c r="I211" s="190">
        <v>0</v>
      </c>
      <c r="J211" s="190">
        <v>0</v>
      </c>
      <c r="K211" s="190">
        <v>0</v>
      </c>
      <c r="L211" s="190">
        <v>0</v>
      </c>
      <c r="M211" s="190">
        <v>0</v>
      </c>
      <c r="N211" s="190">
        <v>0</v>
      </c>
      <c r="O211" s="190">
        <v>0</v>
      </c>
      <c r="P211" s="190">
        <v>0</v>
      </c>
      <c r="Q211" s="190">
        <v>0</v>
      </c>
      <c r="R211" s="190">
        <v>0</v>
      </c>
      <c r="S211" s="190">
        <v>0</v>
      </c>
      <c r="T211" s="190">
        <v>0</v>
      </c>
      <c r="U211" s="190">
        <v>0</v>
      </c>
      <c r="V211" s="190">
        <v>0</v>
      </c>
      <c r="W211" s="190">
        <v>0</v>
      </c>
      <c r="X211" s="190">
        <v>0</v>
      </c>
      <c r="Y211" s="190">
        <v>0</v>
      </c>
      <c r="Z211" s="190">
        <v>0</v>
      </c>
      <c r="AA211" s="190">
        <v>0</v>
      </c>
      <c r="AB211" s="190">
        <v>0</v>
      </c>
      <c r="AC211" s="190">
        <v>0</v>
      </c>
      <c r="AD211" s="190">
        <v>0</v>
      </c>
      <c r="AE211" s="190">
        <v>0</v>
      </c>
      <c r="AF211" s="190">
        <v>0</v>
      </c>
      <c r="AG211" s="190">
        <v>0</v>
      </c>
      <c r="AH211" s="190">
        <v>0</v>
      </c>
      <c r="AI211" s="190">
        <v>0</v>
      </c>
      <c r="AJ211" s="190">
        <v>0</v>
      </c>
    </row>
    <row r="212" spans="1:36" x14ac:dyDescent="0.35">
      <c r="A212" t="s">
        <v>1664</v>
      </c>
      <c r="B212" s="188" t="s">
        <v>1342</v>
      </c>
      <c r="C212" t="s">
        <v>1350</v>
      </c>
      <c r="D212" s="188">
        <v>30</v>
      </c>
      <c r="E212" t="s">
        <v>1500</v>
      </c>
      <c r="F212" t="s">
        <v>1661</v>
      </c>
      <c r="G212" s="189" t="s">
        <v>1662</v>
      </c>
      <c r="H212" s="190">
        <v>0</v>
      </c>
      <c r="I212" s="190">
        <v>0</v>
      </c>
      <c r="J212" s="190">
        <v>0</v>
      </c>
      <c r="K212" s="190">
        <v>0</v>
      </c>
      <c r="L212" s="190">
        <v>0</v>
      </c>
      <c r="M212" s="190">
        <v>0</v>
      </c>
      <c r="N212" s="190">
        <v>0</v>
      </c>
      <c r="O212" s="190">
        <v>0</v>
      </c>
      <c r="P212" s="190">
        <v>0</v>
      </c>
      <c r="Q212" s="190">
        <v>0</v>
      </c>
      <c r="R212" s="190">
        <v>0</v>
      </c>
      <c r="S212" s="190">
        <v>0</v>
      </c>
      <c r="T212" s="190">
        <v>0</v>
      </c>
      <c r="U212" s="190">
        <v>0</v>
      </c>
      <c r="V212" s="190">
        <v>0</v>
      </c>
      <c r="W212" s="190">
        <v>0</v>
      </c>
      <c r="X212" s="190">
        <v>0</v>
      </c>
      <c r="Y212" s="190">
        <v>0</v>
      </c>
      <c r="Z212" s="190">
        <v>0</v>
      </c>
      <c r="AA212" s="190">
        <v>0</v>
      </c>
      <c r="AB212" s="190">
        <v>0</v>
      </c>
      <c r="AC212" s="190">
        <v>0</v>
      </c>
      <c r="AD212" s="190">
        <v>0</v>
      </c>
      <c r="AE212" s="190">
        <v>0</v>
      </c>
      <c r="AF212" s="190">
        <v>0</v>
      </c>
      <c r="AG212" s="190">
        <v>0</v>
      </c>
      <c r="AH212" s="190">
        <v>0</v>
      </c>
      <c r="AI212" s="190">
        <v>0</v>
      </c>
      <c r="AJ212" s="190">
        <v>0</v>
      </c>
    </row>
    <row r="213" spans="1:36" x14ac:dyDescent="0.35">
      <c r="A213" t="s">
        <v>1665</v>
      </c>
      <c r="B213" s="188" t="s">
        <v>1342</v>
      </c>
      <c r="C213" t="s">
        <v>1343</v>
      </c>
      <c r="D213" s="188">
        <v>30</v>
      </c>
      <c r="E213" t="s">
        <v>1500</v>
      </c>
      <c r="F213" t="s">
        <v>1666</v>
      </c>
      <c r="G213" s="189" t="s">
        <v>1667</v>
      </c>
      <c r="H213" s="190">
        <v>0</v>
      </c>
      <c r="I213" s="190">
        <v>0</v>
      </c>
      <c r="J213" s="190">
        <v>0</v>
      </c>
      <c r="K213" s="190">
        <v>0</v>
      </c>
      <c r="L213" s="190">
        <v>0</v>
      </c>
      <c r="M213" s="190">
        <v>0</v>
      </c>
      <c r="N213" s="190">
        <v>0</v>
      </c>
      <c r="O213" s="190">
        <v>0</v>
      </c>
      <c r="P213" s="190">
        <v>0</v>
      </c>
      <c r="Q213" s="190">
        <v>0</v>
      </c>
      <c r="R213" s="190">
        <v>0</v>
      </c>
      <c r="S213" s="190">
        <v>0</v>
      </c>
      <c r="T213" s="190">
        <v>0</v>
      </c>
      <c r="U213" s="190">
        <v>0</v>
      </c>
      <c r="V213" s="190">
        <v>0</v>
      </c>
      <c r="W213" s="190">
        <v>0</v>
      </c>
      <c r="X213" s="190">
        <v>0</v>
      </c>
      <c r="Y213" s="190">
        <v>0</v>
      </c>
      <c r="Z213" s="190">
        <v>0</v>
      </c>
      <c r="AA213" s="190">
        <v>0</v>
      </c>
      <c r="AB213" s="190">
        <v>0</v>
      </c>
      <c r="AC213" s="190">
        <v>0</v>
      </c>
      <c r="AD213" s="190">
        <v>0</v>
      </c>
      <c r="AE213" s="190">
        <v>0</v>
      </c>
      <c r="AF213" s="190">
        <v>0</v>
      </c>
      <c r="AG213" s="190">
        <v>0</v>
      </c>
      <c r="AH213" s="190">
        <v>0</v>
      </c>
      <c r="AI213" s="190">
        <v>0</v>
      </c>
      <c r="AJ213" s="190">
        <v>0</v>
      </c>
    </row>
    <row r="214" spans="1:36" x14ac:dyDescent="0.35">
      <c r="A214" t="s">
        <v>1668</v>
      </c>
      <c r="B214" s="188" t="s">
        <v>1342</v>
      </c>
      <c r="C214" t="s">
        <v>1348</v>
      </c>
      <c r="D214" s="188">
        <v>30</v>
      </c>
      <c r="E214" t="s">
        <v>1500</v>
      </c>
      <c r="F214" t="s">
        <v>1666</v>
      </c>
      <c r="G214" s="189" t="s">
        <v>1667</v>
      </c>
      <c r="H214" s="190">
        <v>0</v>
      </c>
      <c r="I214" s="190">
        <v>0</v>
      </c>
      <c r="J214" s="190">
        <v>0</v>
      </c>
      <c r="K214" s="190">
        <v>0</v>
      </c>
      <c r="L214" s="190">
        <v>0</v>
      </c>
      <c r="M214" s="190">
        <v>0</v>
      </c>
      <c r="N214" s="190">
        <v>0</v>
      </c>
      <c r="O214" s="190">
        <v>0</v>
      </c>
      <c r="P214" s="190">
        <v>0</v>
      </c>
      <c r="Q214" s="190">
        <v>0</v>
      </c>
      <c r="R214" s="190">
        <v>0</v>
      </c>
      <c r="S214" s="190">
        <v>0</v>
      </c>
      <c r="T214" s="190">
        <v>0</v>
      </c>
      <c r="U214" s="190">
        <v>0</v>
      </c>
      <c r="V214" s="190">
        <v>0</v>
      </c>
      <c r="W214" s="190">
        <v>0</v>
      </c>
      <c r="X214" s="190">
        <v>0</v>
      </c>
      <c r="Y214" s="190">
        <v>0</v>
      </c>
      <c r="Z214" s="190">
        <v>0</v>
      </c>
      <c r="AA214" s="190">
        <v>0</v>
      </c>
      <c r="AB214" s="190">
        <v>0</v>
      </c>
      <c r="AC214" s="190">
        <v>0</v>
      </c>
      <c r="AD214" s="190">
        <v>0</v>
      </c>
      <c r="AE214" s="190">
        <v>0</v>
      </c>
      <c r="AF214" s="190">
        <v>0</v>
      </c>
      <c r="AG214" s="190">
        <v>0</v>
      </c>
      <c r="AH214" s="190">
        <v>0</v>
      </c>
      <c r="AI214" s="190">
        <v>0</v>
      </c>
      <c r="AJ214" s="190">
        <v>0</v>
      </c>
    </row>
    <row r="215" spans="1:36" x14ac:dyDescent="0.35">
      <c r="A215" t="s">
        <v>1669</v>
      </c>
      <c r="B215" s="188" t="s">
        <v>1342</v>
      </c>
      <c r="C215" t="s">
        <v>1350</v>
      </c>
      <c r="D215" s="188">
        <v>30</v>
      </c>
      <c r="E215" t="s">
        <v>1500</v>
      </c>
      <c r="F215" t="s">
        <v>1666</v>
      </c>
      <c r="G215" s="189" t="s">
        <v>1667</v>
      </c>
      <c r="H215" s="190">
        <v>0</v>
      </c>
      <c r="I215" s="190">
        <v>0</v>
      </c>
      <c r="J215" s="190">
        <v>0</v>
      </c>
      <c r="K215" s="190">
        <v>0</v>
      </c>
      <c r="L215" s="190">
        <v>0</v>
      </c>
      <c r="M215" s="190">
        <v>0</v>
      </c>
      <c r="N215" s="190">
        <v>0</v>
      </c>
      <c r="O215" s="190">
        <v>0</v>
      </c>
      <c r="P215" s="190">
        <v>0</v>
      </c>
      <c r="Q215" s="190">
        <v>0</v>
      </c>
      <c r="R215" s="190">
        <v>0</v>
      </c>
      <c r="S215" s="190">
        <v>0</v>
      </c>
      <c r="T215" s="190">
        <v>0</v>
      </c>
      <c r="U215" s="190">
        <v>0</v>
      </c>
      <c r="V215" s="190">
        <v>0</v>
      </c>
      <c r="W215" s="190">
        <v>0</v>
      </c>
      <c r="X215" s="190">
        <v>0</v>
      </c>
      <c r="Y215" s="190">
        <v>0</v>
      </c>
      <c r="Z215" s="190">
        <v>0</v>
      </c>
      <c r="AA215" s="190">
        <v>0</v>
      </c>
      <c r="AB215" s="190">
        <v>0</v>
      </c>
      <c r="AC215" s="190">
        <v>0</v>
      </c>
      <c r="AD215" s="190">
        <v>0</v>
      </c>
      <c r="AE215" s="190">
        <v>0</v>
      </c>
      <c r="AF215" s="190">
        <v>0</v>
      </c>
      <c r="AG215" s="190">
        <v>0</v>
      </c>
      <c r="AH215" s="190">
        <v>0</v>
      </c>
      <c r="AI215" s="190">
        <v>0</v>
      </c>
      <c r="AJ215" s="190">
        <v>0</v>
      </c>
    </row>
    <row r="216" spans="1:36" x14ac:dyDescent="0.35">
      <c r="A216" t="s">
        <v>1670</v>
      </c>
      <c r="B216" s="188" t="s">
        <v>1342</v>
      </c>
      <c r="C216" t="s">
        <v>1343</v>
      </c>
      <c r="D216" s="188">
        <v>30</v>
      </c>
      <c r="E216" t="s">
        <v>1500</v>
      </c>
      <c r="F216" t="s">
        <v>1671</v>
      </c>
      <c r="G216" s="189" t="s">
        <v>1672</v>
      </c>
      <c r="H216" s="190">
        <v>0</v>
      </c>
      <c r="I216" s="190">
        <v>0</v>
      </c>
      <c r="J216" s="190">
        <v>0</v>
      </c>
      <c r="K216" s="190">
        <v>0</v>
      </c>
      <c r="L216" s="190">
        <v>0</v>
      </c>
      <c r="M216" s="190">
        <v>0</v>
      </c>
      <c r="N216" s="190">
        <v>0</v>
      </c>
      <c r="O216" s="190">
        <v>0</v>
      </c>
      <c r="P216" s="190">
        <v>0</v>
      </c>
      <c r="Q216" s="190">
        <v>0</v>
      </c>
      <c r="R216" s="190">
        <v>0</v>
      </c>
      <c r="S216" s="190">
        <v>0</v>
      </c>
      <c r="T216" s="190">
        <v>0</v>
      </c>
      <c r="U216" s="190">
        <v>0</v>
      </c>
      <c r="V216" s="190">
        <v>0</v>
      </c>
      <c r="W216" s="190">
        <v>0</v>
      </c>
      <c r="X216" s="190">
        <v>0</v>
      </c>
      <c r="Y216" s="190">
        <v>0</v>
      </c>
      <c r="Z216" s="190">
        <v>0</v>
      </c>
      <c r="AA216" s="190">
        <v>0</v>
      </c>
      <c r="AB216" s="190">
        <v>0</v>
      </c>
      <c r="AC216" s="190">
        <v>0</v>
      </c>
      <c r="AD216" s="190">
        <v>0</v>
      </c>
      <c r="AE216" s="190">
        <v>0</v>
      </c>
      <c r="AF216" s="190">
        <v>0</v>
      </c>
      <c r="AG216" s="190">
        <v>0</v>
      </c>
      <c r="AH216" s="190">
        <v>0</v>
      </c>
      <c r="AI216" s="190">
        <v>0</v>
      </c>
      <c r="AJ216" s="190">
        <v>0</v>
      </c>
    </row>
    <row r="217" spans="1:36" x14ac:dyDescent="0.35">
      <c r="A217" t="s">
        <v>1673</v>
      </c>
      <c r="B217" s="188" t="s">
        <v>1342</v>
      </c>
      <c r="C217" t="s">
        <v>1348</v>
      </c>
      <c r="D217" s="188">
        <v>30</v>
      </c>
      <c r="E217" t="s">
        <v>1500</v>
      </c>
      <c r="F217" t="s">
        <v>1671</v>
      </c>
      <c r="G217" s="189" t="s">
        <v>1672</v>
      </c>
      <c r="H217" s="190">
        <v>0</v>
      </c>
      <c r="I217" s="190">
        <v>0</v>
      </c>
      <c r="J217" s="190">
        <v>0</v>
      </c>
      <c r="K217" s="190">
        <v>0</v>
      </c>
      <c r="L217" s="190">
        <v>0</v>
      </c>
      <c r="M217" s="190">
        <v>0</v>
      </c>
      <c r="N217" s="190">
        <v>0</v>
      </c>
      <c r="O217" s="190">
        <v>0</v>
      </c>
      <c r="P217" s="190">
        <v>0</v>
      </c>
      <c r="Q217" s="190">
        <v>0</v>
      </c>
      <c r="R217" s="190">
        <v>0</v>
      </c>
      <c r="S217" s="190">
        <v>0</v>
      </c>
      <c r="T217" s="190">
        <v>0</v>
      </c>
      <c r="U217" s="190">
        <v>0</v>
      </c>
      <c r="V217" s="190">
        <v>0</v>
      </c>
      <c r="W217" s="190">
        <v>0</v>
      </c>
      <c r="X217" s="190">
        <v>0</v>
      </c>
      <c r="Y217" s="190">
        <v>0</v>
      </c>
      <c r="Z217" s="190">
        <v>0</v>
      </c>
      <c r="AA217" s="190">
        <v>0</v>
      </c>
      <c r="AB217" s="190">
        <v>0</v>
      </c>
      <c r="AC217" s="190">
        <v>0</v>
      </c>
      <c r="AD217" s="190">
        <v>0</v>
      </c>
      <c r="AE217" s="190">
        <v>0</v>
      </c>
      <c r="AF217" s="190">
        <v>0</v>
      </c>
      <c r="AG217" s="190">
        <v>0</v>
      </c>
      <c r="AH217" s="190">
        <v>0</v>
      </c>
      <c r="AI217" s="190">
        <v>0</v>
      </c>
      <c r="AJ217" s="190">
        <v>0</v>
      </c>
    </row>
    <row r="218" spans="1:36" x14ac:dyDescent="0.35">
      <c r="A218" t="s">
        <v>1674</v>
      </c>
      <c r="B218" s="188" t="s">
        <v>1342</v>
      </c>
      <c r="C218" t="s">
        <v>1350</v>
      </c>
      <c r="D218" s="188">
        <v>30</v>
      </c>
      <c r="E218" t="s">
        <v>1500</v>
      </c>
      <c r="F218" t="s">
        <v>1671</v>
      </c>
      <c r="G218" s="189" t="s">
        <v>1672</v>
      </c>
      <c r="H218" s="190">
        <v>0</v>
      </c>
      <c r="I218" s="190">
        <v>0</v>
      </c>
      <c r="J218" s="190">
        <v>0</v>
      </c>
      <c r="K218" s="190">
        <v>0</v>
      </c>
      <c r="L218" s="190">
        <v>0</v>
      </c>
      <c r="M218" s="190">
        <v>0</v>
      </c>
      <c r="N218" s="190">
        <v>0</v>
      </c>
      <c r="O218" s="190">
        <v>0</v>
      </c>
      <c r="P218" s="190">
        <v>0</v>
      </c>
      <c r="Q218" s="190">
        <v>0</v>
      </c>
      <c r="R218" s="190">
        <v>0</v>
      </c>
      <c r="S218" s="190">
        <v>0</v>
      </c>
      <c r="T218" s="190">
        <v>0</v>
      </c>
      <c r="U218" s="190">
        <v>0</v>
      </c>
      <c r="V218" s="190">
        <v>0</v>
      </c>
      <c r="W218" s="190">
        <v>0</v>
      </c>
      <c r="X218" s="190">
        <v>0</v>
      </c>
      <c r="Y218" s="190">
        <v>0</v>
      </c>
      <c r="Z218" s="190">
        <v>0</v>
      </c>
      <c r="AA218" s="190">
        <v>0</v>
      </c>
      <c r="AB218" s="190">
        <v>0</v>
      </c>
      <c r="AC218" s="190">
        <v>0</v>
      </c>
      <c r="AD218" s="190">
        <v>0</v>
      </c>
      <c r="AE218" s="190">
        <v>0</v>
      </c>
      <c r="AF218" s="190">
        <v>0</v>
      </c>
      <c r="AG218" s="190">
        <v>0</v>
      </c>
      <c r="AH218" s="190">
        <v>0</v>
      </c>
      <c r="AI218" s="190">
        <v>0</v>
      </c>
      <c r="AJ218" s="190">
        <v>0</v>
      </c>
    </row>
    <row r="219" spans="1:36" x14ac:dyDescent="0.35">
      <c r="A219" t="s">
        <v>1675</v>
      </c>
      <c r="B219" s="188" t="s">
        <v>1342</v>
      </c>
      <c r="C219" t="s">
        <v>1343</v>
      </c>
      <c r="D219" s="188">
        <v>30</v>
      </c>
      <c r="E219" t="s">
        <v>1500</v>
      </c>
      <c r="F219" t="s">
        <v>1676</v>
      </c>
      <c r="G219" s="189" t="s">
        <v>1677</v>
      </c>
      <c r="H219" s="190">
        <v>0</v>
      </c>
      <c r="I219" s="190">
        <v>0</v>
      </c>
      <c r="J219" s="190">
        <v>0</v>
      </c>
      <c r="K219" s="190">
        <v>0</v>
      </c>
      <c r="L219" s="190">
        <v>0</v>
      </c>
      <c r="M219" s="190">
        <v>0</v>
      </c>
      <c r="N219" s="190">
        <v>0</v>
      </c>
      <c r="O219" s="190">
        <v>0</v>
      </c>
      <c r="P219" s="190">
        <v>0</v>
      </c>
      <c r="Q219" s="190">
        <v>0</v>
      </c>
      <c r="R219" s="190">
        <v>0</v>
      </c>
      <c r="S219" s="190">
        <v>0</v>
      </c>
      <c r="T219" s="190">
        <v>0</v>
      </c>
      <c r="U219" s="190">
        <v>0</v>
      </c>
      <c r="V219" s="190">
        <v>0</v>
      </c>
      <c r="W219" s="190">
        <v>0</v>
      </c>
      <c r="X219" s="190">
        <v>0</v>
      </c>
      <c r="Y219" s="190">
        <v>0</v>
      </c>
      <c r="Z219" s="190">
        <v>0</v>
      </c>
      <c r="AA219" s="190">
        <v>0</v>
      </c>
      <c r="AB219" s="190">
        <v>0</v>
      </c>
      <c r="AC219" s="190">
        <v>0</v>
      </c>
      <c r="AD219" s="190">
        <v>0</v>
      </c>
      <c r="AE219" s="190">
        <v>0</v>
      </c>
      <c r="AF219" s="190">
        <v>0</v>
      </c>
      <c r="AG219" s="190">
        <v>0</v>
      </c>
      <c r="AH219" s="190">
        <v>0</v>
      </c>
      <c r="AI219" s="190">
        <v>0</v>
      </c>
      <c r="AJ219" s="190">
        <v>0</v>
      </c>
    </row>
    <row r="220" spans="1:36" x14ac:dyDescent="0.35">
      <c r="A220" t="s">
        <v>1678</v>
      </c>
      <c r="B220" s="188" t="s">
        <v>1342</v>
      </c>
      <c r="C220" t="s">
        <v>1348</v>
      </c>
      <c r="D220" s="188">
        <v>30</v>
      </c>
      <c r="E220" t="s">
        <v>1500</v>
      </c>
      <c r="F220" t="s">
        <v>1676</v>
      </c>
      <c r="G220" s="189" t="s">
        <v>1677</v>
      </c>
      <c r="H220" s="190">
        <v>0</v>
      </c>
      <c r="I220" s="190">
        <v>0</v>
      </c>
      <c r="J220" s="190">
        <v>0</v>
      </c>
      <c r="K220" s="190">
        <v>0</v>
      </c>
      <c r="L220" s="190">
        <v>0</v>
      </c>
      <c r="M220" s="190">
        <v>0</v>
      </c>
      <c r="N220" s="190">
        <v>0</v>
      </c>
      <c r="O220" s="190">
        <v>0</v>
      </c>
      <c r="P220" s="190">
        <v>0</v>
      </c>
      <c r="Q220" s="190">
        <v>0</v>
      </c>
      <c r="R220" s="190">
        <v>0</v>
      </c>
      <c r="S220" s="190">
        <v>0</v>
      </c>
      <c r="T220" s="190">
        <v>0</v>
      </c>
      <c r="U220" s="190">
        <v>0</v>
      </c>
      <c r="V220" s="190">
        <v>0</v>
      </c>
      <c r="W220" s="190">
        <v>0</v>
      </c>
      <c r="X220" s="190">
        <v>0</v>
      </c>
      <c r="Y220" s="190">
        <v>0</v>
      </c>
      <c r="Z220" s="190">
        <v>0</v>
      </c>
      <c r="AA220" s="190">
        <v>0</v>
      </c>
      <c r="AB220" s="190">
        <v>0</v>
      </c>
      <c r="AC220" s="190">
        <v>0</v>
      </c>
      <c r="AD220" s="190">
        <v>0</v>
      </c>
      <c r="AE220" s="190">
        <v>0</v>
      </c>
      <c r="AF220" s="190">
        <v>0</v>
      </c>
      <c r="AG220" s="190">
        <v>0</v>
      </c>
      <c r="AH220" s="190">
        <v>0</v>
      </c>
      <c r="AI220" s="190">
        <v>0</v>
      </c>
      <c r="AJ220" s="190">
        <v>0</v>
      </c>
    </row>
    <row r="221" spans="1:36" x14ac:dyDescent="0.35">
      <c r="A221" t="s">
        <v>1679</v>
      </c>
      <c r="B221" s="188" t="s">
        <v>1342</v>
      </c>
      <c r="C221" t="s">
        <v>1350</v>
      </c>
      <c r="D221" s="188">
        <v>30</v>
      </c>
      <c r="E221" t="s">
        <v>1500</v>
      </c>
      <c r="F221" t="s">
        <v>1676</v>
      </c>
      <c r="G221" s="189" t="s">
        <v>1677</v>
      </c>
      <c r="H221" s="190">
        <v>0</v>
      </c>
      <c r="I221" s="190">
        <v>0</v>
      </c>
      <c r="J221" s="190">
        <v>0</v>
      </c>
      <c r="K221" s="190">
        <v>0</v>
      </c>
      <c r="L221" s="190">
        <v>0</v>
      </c>
      <c r="M221" s="190">
        <v>0</v>
      </c>
      <c r="N221" s="190">
        <v>0</v>
      </c>
      <c r="O221" s="190">
        <v>0</v>
      </c>
      <c r="P221" s="190">
        <v>0</v>
      </c>
      <c r="Q221" s="190">
        <v>0</v>
      </c>
      <c r="R221" s="190">
        <v>0</v>
      </c>
      <c r="S221" s="190">
        <v>0</v>
      </c>
      <c r="T221" s="190">
        <v>0</v>
      </c>
      <c r="U221" s="190">
        <v>0</v>
      </c>
      <c r="V221" s="190">
        <v>0</v>
      </c>
      <c r="W221" s="190">
        <v>0</v>
      </c>
      <c r="X221" s="190">
        <v>0</v>
      </c>
      <c r="Y221" s="190">
        <v>0</v>
      </c>
      <c r="Z221" s="190">
        <v>0</v>
      </c>
      <c r="AA221" s="190">
        <v>0</v>
      </c>
      <c r="AB221" s="190">
        <v>0</v>
      </c>
      <c r="AC221" s="190">
        <v>0</v>
      </c>
      <c r="AD221" s="190">
        <v>0</v>
      </c>
      <c r="AE221" s="190">
        <v>0</v>
      </c>
      <c r="AF221" s="190">
        <v>0</v>
      </c>
      <c r="AG221" s="190">
        <v>0</v>
      </c>
      <c r="AH221" s="190">
        <v>0</v>
      </c>
      <c r="AI221" s="190">
        <v>0</v>
      </c>
      <c r="AJ221" s="190">
        <v>0</v>
      </c>
    </row>
    <row r="222" spans="1:36" x14ac:dyDescent="0.35">
      <c r="A222" t="s">
        <v>1680</v>
      </c>
      <c r="B222" s="188" t="s">
        <v>1342</v>
      </c>
      <c r="C222" t="s">
        <v>1343</v>
      </c>
      <c r="D222" s="188">
        <v>30</v>
      </c>
      <c r="E222" t="s">
        <v>1500</v>
      </c>
      <c r="F222" t="s">
        <v>1681</v>
      </c>
      <c r="G222" s="189" t="s">
        <v>1682</v>
      </c>
      <c r="H222" s="190">
        <v>0</v>
      </c>
      <c r="I222" s="190">
        <v>0</v>
      </c>
      <c r="J222" s="190">
        <v>0</v>
      </c>
      <c r="K222" s="190">
        <v>0</v>
      </c>
      <c r="L222" s="190">
        <v>0</v>
      </c>
      <c r="M222" s="190">
        <v>0</v>
      </c>
      <c r="N222" s="190">
        <v>0</v>
      </c>
      <c r="O222" s="190">
        <v>0</v>
      </c>
      <c r="P222" s="190">
        <v>0</v>
      </c>
      <c r="Q222" s="190">
        <v>0</v>
      </c>
      <c r="R222" s="190">
        <v>0</v>
      </c>
      <c r="S222" s="190">
        <v>0</v>
      </c>
      <c r="T222" s="190">
        <v>0</v>
      </c>
      <c r="U222" s="190">
        <v>0</v>
      </c>
      <c r="V222" s="190">
        <v>0</v>
      </c>
      <c r="W222" s="190">
        <v>0</v>
      </c>
      <c r="X222" s="190">
        <v>0</v>
      </c>
      <c r="Y222" s="190">
        <v>0</v>
      </c>
      <c r="Z222" s="190">
        <v>0</v>
      </c>
      <c r="AA222" s="190">
        <v>0</v>
      </c>
      <c r="AB222" s="190">
        <v>0</v>
      </c>
      <c r="AC222" s="190">
        <v>0</v>
      </c>
      <c r="AD222" s="190">
        <v>0</v>
      </c>
      <c r="AE222" s="190">
        <v>0</v>
      </c>
      <c r="AF222" s="190">
        <v>0</v>
      </c>
      <c r="AG222" s="190">
        <v>0</v>
      </c>
      <c r="AH222" s="190">
        <v>0</v>
      </c>
      <c r="AI222" s="190">
        <v>0</v>
      </c>
      <c r="AJ222" s="190">
        <v>0</v>
      </c>
    </row>
    <row r="223" spans="1:36" x14ac:dyDescent="0.35">
      <c r="A223" t="s">
        <v>1683</v>
      </c>
      <c r="B223" s="188" t="s">
        <v>1342</v>
      </c>
      <c r="C223" t="s">
        <v>1348</v>
      </c>
      <c r="D223" s="188">
        <v>30</v>
      </c>
      <c r="E223" t="s">
        <v>1500</v>
      </c>
      <c r="F223" t="s">
        <v>1681</v>
      </c>
      <c r="G223" s="189" t="s">
        <v>1682</v>
      </c>
      <c r="H223" s="190">
        <v>0</v>
      </c>
      <c r="I223" s="190">
        <v>0</v>
      </c>
      <c r="J223" s="190">
        <v>0</v>
      </c>
      <c r="K223" s="190">
        <v>0</v>
      </c>
      <c r="L223" s="190">
        <v>0</v>
      </c>
      <c r="M223" s="190">
        <v>0</v>
      </c>
      <c r="N223" s="190">
        <v>0</v>
      </c>
      <c r="O223" s="190">
        <v>0</v>
      </c>
      <c r="P223" s="190">
        <v>0</v>
      </c>
      <c r="Q223" s="190">
        <v>0</v>
      </c>
      <c r="R223" s="190">
        <v>0</v>
      </c>
      <c r="S223" s="190">
        <v>0</v>
      </c>
      <c r="T223" s="190">
        <v>0</v>
      </c>
      <c r="U223" s="190">
        <v>0</v>
      </c>
      <c r="V223" s="190">
        <v>0</v>
      </c>
      <c r="W223" s="190">
        <v>0</v>
      </c>
      <c r="X223" s="190">
        <v>0</v>
      </c>
      <c r="Y223" s="190">
        <v>0</v>
      </c>
      <c r="Z223" s="190">
        <v>0</v>
      </c>
      <c r="AA223" s="190">
        <v>0</v>
      </c>
      <c r="AB223" s="190">
        <v>0</v>
      </c>
      <c r="AC223" s="190">
        <v>0</v>
      </c>
      <c r="AD223" s="190">
        <v>0</v>
      </c>
      <c r="AE223" s="190">
        <v>0</v>
      </c>
      <c r="AF223" s="190">
        <v>0</v>
      </c>
      <c r="AG223" s="190">
        <v>0</v>
      </c>
      <c r="AH223" s="190">
        <v>0</v>
      </c>
      <c r="AI223" s="190">
        <v>0</v>
      </c>
      <c r="AJ223" s="190">
        <v>0</v>
      </c>
    </row>
    <row r="224" spans="1:36" x14ac:dyDescent="0.35">
      <c r="A224" t="s">
        <v>1684</v>
      </c>
      <c r="B224" s="188" t="s">
        <v>1342</v>
      </c>
      <c r="C224" t="s">
        <v>1350</v>
      </c>
      <c r="D224" s="188">
        <v>30</v>
      </c>
      <c r="E224" t="s">
        <v>1500</v>
      </c>
      <c r="F224" t="s">
        <v>1681</v>
      </c>
      <c r="G224" s="189" t="s">
        <v>1682</v>
      </c>
      <c r="H224" s="190">
        <v>0</v>
      </c>
      <c r="I224" s="190">
        <v>0</v>
      </c>
      <c r="J224" s="190">
        <v>0</v>
      </c>
      <c r="K224" s="190">
        <v>0</v>
      </c>
      <c r="L224" s="190">
        <v>0</v>
      </c>
      <c r="M224" s="190">
        <v>0</v>
      </c>
      <c r="N224" s="190">
        <v>0</v>
      </c>
      <c r="O224" s="190">
        <v>0</v>
      </c>
      <c r="P224" s="190">
        <v>0</v>
      </c>
      <c r="Q224" s="190">
        <v>0</v>
      </c>
      <c r="R224" s="190">
        <v>0</v>
      </c>
      <c r="S224" s="190">
        <v>0</v>
      </c>
      <c r="T224" s="190">
        <v>0</v>
      </c>
      <c r="U224" s="190">
        <v>0</v>
      </c>
      <c r="V224" s="190">
        <v>0</v>
      </c>
      <c r="W224" s="190">
        <v>0</v>
      </c>
      <c r="X224" s="190">
        <v>0</v>
      </c>
      <c r="Y224" s="190">
        <v>0</v>
      </c>
      <c r="Z224" s="190">
        <v>0</v>
      </c>
      <c r="AA224" s="190">
        <v>0</v>
      </c>
      <c r="AB224" s="190">
        <v>0</v>
      </c>
      <c r="AC224" s="190">
        <v>0</v>
      </c>
      <c r="AD224" s="190">
        <v>0</v>
      </c>
      <c r="AE224" s="190">
        <v>0</v>
      </c>
      <c r="AF224" s="190">
        <v>0</v>
      </c>
      <c r="AG224" s="190">
        <v>0</v>
      </c>
      <c r="AH224" s="190">
        <v>0</v>
      </c>
      <c r="AI224" s="190">
        <v>0</v>
      </c>
      <c r="AJ224" s="190">
        <v>0</v>
      </c>
    </row>
    <row r="225" spans="1:36" x14ac:dyDescent="0.35">
      <c r="A225" t="s">
        <v>1685</v>
      </c>
      <c r="B225" s="188" t="s">
        <v>1342</v>
      </c>
      <c r="C225" t="s">
        <v>1343</v>
      </c>
      <c r="D225" s="188">
        <v>30</v>
      </c>
      <c r="E225" t="s">
        <v>1500</v>
      </c>
      <c r="F225" t="s">
        <v>1686</v>
      </c>
      <c r="G225" s="189" t="s">
        <v>1687</v>
      </c>
      <c r="H225" s="190">
        <v>0</v>
      </c>
      <c r="I225" s="190">
        <v>0</v>
      </c>
      <c r="J225" s="190">
        <v>0</v>
      </c>
      <c r="K225" s="190">
        <v>0</v>
      </c>
      <c r="L225" s="190">
        <v>0</v>
      </c>
      <c r="M225" s="190">
        <v>0</v>
      </c>
      <c r="N225" s="190">
        <v>0</v>
      </c>
      <c r="O225" s="190">
        <v>0</v>
      </c>
      <c r="P225" s="190">
        <v>0</v>
      </c>
      <c r="Q225" s="190">
        <v>0</v>
      </c>
      <c r="R225" s="190">
        <v>0</v>
      </c>
      <c r="S225" s="190">
        <v>0</v>
      </c>
      <c r="T225" s="190">
        <v>0</v>
      </c>
      <c r="U225" s="190">
        <v>0</v>
      </c>
      <c r="V225" s="190">
        <v>0</v>
      </c>
      <c r="W225" s="190">
        <v>0</v>
      </c>
      <c r="X225" s="190">
        <v>0</v>
      </c>
      <c r="Y225" s="190">
        <v>0</v>
      </c>
      <c r="Z225" s="190">
        <v>0</v>
      </c>
      <c r="AA225" s="190">
        <v>0</v>
      </c>
      <c r="AB225" s="190">
        <v>0</v>
      </c>
      <c r="AC225" s="190">
        <v>0</v>
      </c>
      <c r="AD225" s="190">
        <v>0</v>
      </c>
      <c r="AE225" s="190">
        <v>0</v>
      </c>
      <c r="AF225" s="190">
        <v>0</v>
      </c>
      <c r="AG225" s="190">
        <v>0</v>
      </c>
      <c r="AH225" s="190">
        <v>0</v>
      </c>
      <c r="AI225" s="190">
        <v>0</v>
      </c>
      <c r="AJ225" s="190">
        <v>0</v>
      </c>
    </row>
    <row r="226" spans="1:36" x14ac:dyDescent="0.35">
      <c r="A226" t="s">
        <v>1688</v>
      </c>
      <c r="B226" s="188" t="s">
        <v>1342</v>
      </c>
      <c r="C226" t="s">
        <v>1348</v>
      </c>
      <c r="D226" s="188">
        <v>30</v>
      </c>
      <c r="E226" t="s">
        <v>1500</v>
      </c>
      <c r="F226" t="s">
        <v>1686</v>
      </c>
      <c r="G226" s="189" t="s">
        <v>1687</v>
      </c>
      <c r="H226" s="190">
        <v>0</v>
      </c>
      <c r="I226" s="190">
        <v>0</v>
      </c>
      <c r="J226" s="190">
        <v>0</v>
      </c>
      <c r="K226" s="190">
        <v>0</v>
      </c>
      <c r="L226" s="190">
        <v>0</v>
      </c>
      <c r="M226" s="190">
        <v>0</v>
      </c>
      <c r="N226" s="190">
        <v>0</v>
      </c>
      <c r="O226" s="190">
        <v>0</v>
      </c>
      <c r="P226" s="190">
        <v>0</v>
      </c>
      <c r="Q226" s="190">
        <v>0</v>
      </c>
      <c r="R226" s="190">
        <v>0</v>
      </c>
      <c r="S226" s="190">
        <v>0</v>
      </c>
      <c r="T226" s="190">
        <v>0</v>
      </c>
      <c r="U226" s="190">
        <v>0</v>
      </c>
      <c r="V226" s="190">
        <v>0</v>
      </c>
      <c r="W226" s="190">
        <v>0</v>
      </c>
      <c r="X226" s="190">
        <v>0</v>
      </c>
      <c r="Y226" s="190">
        <v>0</v>
      </c>
      <c r="Z226" s="190">
        <v>0</v>
      </c>
      <c r="AA226" s="190">
        <v>0</v>
      </c>
      <c r="AB226" s="190">
        <v>0</v>
      </c>
      <c r="AC226" s="190">
        <v>0</v>
      </c>
      <c r="AD226" s="190">
        <v>0</v>
      </c>
      <c r="AE226" s="190">
        <v>0</v>
      </c>
      <c r="AF226" s="190">
        <v>0</v>
      </c>
      <c r="AG226" s="190">
        <v>0</v>
      </c>
      <c r="AH226" s="190">
        <v>0</v>
      </c>
      <c r="AI226" s="190">
        <v>0</v>
      </c>
      <c r="AJ226" s="190">
        <v>0</v>
      </c>
    </row>
    <row r="227" spans="1:36" x14ac:dyDescent="0.35">
      <c r="A227" t="s">
        <v>1689</v>
      </c>
      <c r="B227" s="188" t="s">
        <v>1342</v>
      </c>
      <c r="C227" t="s">
        <v>1350</v>
      </c>
      <c r="D227" s="188">
        <v>30</v>
      </c>
      <c r="E227" t="s">
        <v>1500</v>
      </c>
      <c r="F227" t="s">
        <v>1686</v>
      </c>
      <c r="G227" s="189" t="s">
        <v>1687</v>
      </c>
      <c r="H227" s="190">
        <v>0</v>
      </c>
      <c r="I227" s="190">
        <v>0</v>
      </c>
      <c r="J227" s="190">
        <v>0</v>
      </c>
      <c r="K227" s="190">
        <v>0</v>
      </c>
      <c r="L227" s="190">
        <v>0</v>
      </c>
      <c r="M227" s="190">
        <v>0</v>
      </c>
      <c r="N227" s="190">
        <v>0</v>
      </c>
      <c r="O227" s="190">
        <v>0</v>
      </c>
      <c r="P227" s="190">
        <v>0</v>
      </c>
      <c r="Q227" s="190">
        <v>0</v>
      </c>
      <c r="R227" s="190">
        <v>0</v>
      </c>
      <c r="S227" s="190">
        <v>0</v>
      </c>
      <c r="T227" s="190">
        <v>0</v>
      </c>
      <c r="U227" s="190">
        <v>0</v>
      </c>
      <c r="V227" s="190">
        <v>0</v>
      </c>
      <c r="W227" s="190">
        <v>0</v>
      </c>
      <c r="X227" s="190">
        <v>0</v>
      </c>
      <c r="Y227" s="190">
        <v>0</v>
      </c>
      <c r="Z227" s="190">
        <v>0</v>
      </c>
      <c r="AA227" s="190">
        <v>0</v>
      </c>
      <c r="AB227" s="190">
        <v>0</v>
      </c>
      <c r="AC227" s="190">
        <v>0</v>
      </c>
      <c r="AD227" s="190">
        <v>0</v>
      </c>
      <c r="AE227" s="190">
        <v>0</v>
      </c>
      <c r="AF227" s="190">
        <v>0</v>
      </c>
      <c r="AG227" s="190">
        <v>0</v>
      </c>
      <c r="AH227" s="190">
        <v>0</v>
      </c>
      <c r="AI227" s="190">
        <v>0</v>
      </c>
      <c r="AJ227" s="190">
        <v>0</v>
      </c>
    </row>
    <row r="228" spans="1:36" x14ac:dyDescent="0.35">
      <c r="A228" t="s">
        <v>1690</v>
      </c>
      <c r="B228" s="188" t="s">
        <v>1342</v>
      </c>
      <c r="C228" t="s">
        <v>1343</v>
      </c>
      <c r="D228" s="188">
        <v>30</v>
      </c>
      <c r="E228" t="s">
        <v>1500</v>
      </c>
      <c r="F228" t="s">
        <v>1691</v>
      </c>
      <c r="G228" s="189" t="s">
        <v>1692</v>
      </c>
      <c r="H228" s="190">
        <v>0</v>
      </c>
      <c r="I228" s="190">
        <v>0</v>
      </c>
      <c r="J228" s="190">
        <v>0</v>
      </c>
      <c r="K228" s="190">
        <v>0</v>
      </c>
      <c r="L228" s="190">
        <v>0</v>
      </c>
      <c r="M228" s="190">
        <v>0</v>
      </c>
      <c r="N228" s="190">
        <v>0</v>
      </c>
      <c r="O228" s="190">
        <v>0</v>
      </c>
      <c r="P228" s="190">
        <v>0</v>
      </c>
      <c r="Q228" s="190">
        <v>0</v>
      </c>
      <c r="R228" s="190">
        <v>0</v>
      </c>
      <c r="S228" s="190">
        <v>0</v>
      </c>
      <c r="T228" s="190">
        <v>0</v>
      </c>
      <c r="U228" s="190">
        <v>0</v>
      </c>
      <c r="V228" s="190">
        <v>0</v>
      </c>
      <c r="W228" s="190">
        <v>0</v>
      </c>
      <c r="X228" s="190">
        <v>0</v>
      </c>
      <c r="Y228" s="190">
        <v>0</v>
      </c>
      <c r="Z228" s="190">
        <v>0</v>
      </c>
      <c r="AA228" s="190">
        <v>0</v>
      </c>
      <c r="AB228" s="190">
        <v>0</v>
      </c>
      <c r="AC228" s="190">
        <v>0</v>
      </c>
      <c r="AD228" s="190">
        <v>0</v>
      </c>
      <c r="AE228" s="190">
        <v>0</v>
      </c>
      <c r="AF228" s="190">
        <v>0</v>
      </c>
      <c r="AG228" s="190">
        <v>0</v>
      </c>
      <c r="AH228" s="190">
        <v>0</v>
      </c>
      <c r="AI228" s="190">
        <v>0</v>
      </c>
      <c r="AJ228" s="190">
        <v>0</v>
      </c>
    </row>
    <row r="229" spans="1:36" x14ac:dyDescent="0.35">
      <c r="A229" t="s">
        <v>1693</v>
      </c>
      <c r="B229" s="188" t="s">
        <v>1342</v>
      </c>
      <c r="C229" t="s">
        <v>1348</v>
      </c>
      <c r="D229" s="188">
        <v>30</v>
      </c>
      <c r="E229" t="s">
        <v>1500</v>
      </c>
      <c r="F229" t="s">
        <v>1691</v>
      </c>
      <c r="G229" s="189" t="s">
        <v>1692</v>
      </c>
      <c r="H229" s="190">
        <v>0</v>
      </c>
      <c r="I229" s="190">
        <v>0</v>
      </c>
      <c r="J229" s="190">
        <v>0</v>
      </c>
      <c r="K229" s="190">
        <v>0</v>
      </c>
      <c r="L229" s="190">
        <v>0</v>
      </c>
      <c r="M229" s="190">
        <v>0</v>
      </c>
      <c r="N229" s="190">
        <v>0</v>
      </c>
      <c r="O229" s="190">
        <v>0</v>
      </c>
      <c r="P229" s="190">
        <v>0</v>
      </c>
      <c r="Q229" s="190">
        <v>0</v>
      </c>
      <c r="R229" s="190">
        <v>0</v>
      </c>
      <c r="S229" s="190">
        <v>0</v>
      </c>
      <c r="T229" s="190">
        <v>0</v>
      </c>
      <c r="U229" s="190">
        <v>0</v>
      </c>
      <c r="V229" s="190">
        <v>0</v>
      </c>
      <c r="W229" s="190">
        <v>0</v>
      </c>
      <c r="X229" s="190">
        <v>0</v>
      </c>
      <c r="Y229" s="190">
        <v>0</v>
      </c>
      <c r="Z229" s="190">
        <v>0</v>
      </c>
      <c r="AA229" s="190">
        <v>0</v>
      </c>
      <c r="AB229" s="190">
        <v>0</v>
      </c>
      <c r="AC229" s="190">
        <v>0</v>
      </c>
      <c r="AD229" s="190">
        <v>0</v>
      </c>
      <c r="AE229" s="190">
        <v>0</v>
      </c>
      <c r="AF229" s="190">
        <v>0</v>
      </c>
      <c r="AG229" s="190">
        <v>0</v>
      </c>
      <c r="AH229" s="190">
        <v>0</v>
      </c>
      <c r="AI229" s="190">
        <v>0</v>
      </c>
      <c r="AJ229" s="190">
        <v>0</v>
      </c>
    </row>
    <row r="230" spans="1:36" x14ac:dyDescent="0.35">
      <c r="A230" t="s">
        <v>1694</v>
      </c>
      <c r="B230" s="188" t="s">
        <v>1342</v>
      </c>
      <c r="C230" t="s">
        <v>1350</v>
      </c>
      <c r="D230" s="188">
        <v>30</v>
      </c>
      <c r="E230" t="s">
        <v>1500</v>
      </c>
      <c r="F230" t="s">
        <v>1691</v>
      </c>
      <c r="G230" s="189" t="s">
        <v>1692</v>
      </c>
      <c r="H230" s="190">
        <v>0</v>
      </c>
      <c r="I230" s="190">
        <v>0</v>
      </c>
      <c r="J230" s="190">
        <v>0</v>
      </c>
      <c r="K230" s="190">
        <v>0</v>
      </c>
      <c r="L230" s="190">
        <v>0</v>
      </c>
      <c r="M230" s="190">
        <v>0</v>
      </c>
      <c r="N230" s="190">
        <v>0</v>
      </c>
      <c r="O230" s="190">
        <v>0</v>
      </c>
      <c r="P230" s="190">
        <v>0</v>
      </c>
      <c r="Q230" s="190">
        <v>0</v>
      </c>
      <c r="R230" s="190">
        <v>0</v>
      </c>
      <c r="S230" s="190">
        <v>0</v>
      </c>
      <c r="T230" s="190">
        <v>0</v>
      </c>
      <c r="U230" s="190">
        <v>0</v>
      </c>
      <c r="V230" s="190">
        <v>0</v>
      </c>
      <c r="W230" s="190">
        <v>0</v>
      </c>
      <c r="X230" s="190">
        <v>0</v>
      </c>
      <c r="Y230" s="190">
        <v>0</v>
      </c>
      <c r="Z230" s="190">
        <v>0</v>
      </c>
      <c r="AA230" s="190">
        <v>0</v>
      </c>
      <c r="AB230" s="190">
        <v>0</v>
      </c>
      <c r="AC230" s="190">
        <v>0</v>
      </c>
      <c r="AD230" s="190">
        <v>0</v>
      </c>
      <c r="AE230" s="190">
        <v>0</v>
      </c>
      <c r="AF230" s="190">
        <v>0</v>
      </c>
      <c r="AG230" s="190">
        <v>0</v>
      </c>
      <c r="AH230" s="190">
        <v>0</v>
      </c>
      <c r="AI230" s="190">
        <v>0</v>
      </c>
      <c r="AJ230" s="190">
        <v>0</v>
      </c>
    </row>
    <row r="231" spans="1:36" x14ac:dyDescent="0.35">
      <c r="A231" t="s">
        <v>1695</v>
      </c>
      <c r="B231" s="188" t="s">
        <v>1342</v>
      </c>
      <c r="C231" t="s">
        <v>1343</v>
      </c>
      <c r="D231" s="188">
        <v>30</v>
      </c>
      <c r="E231" t="s">
        <v>1500</v>
      </c>
      <c r="F231" t="s">
        <v>1696</v>
      </c>
      <c r="G231" s="189" t="s">
        <v>1697</v>
      </c>
      <c r="H231" s="190">
        <v>0</v>
      </c>
      <c r="I231" s="190">
        <v>0</v>
      </c>
      <c r="J231" s="190">
        <v>0</v>
      </c>
      <c r="K231" s="190">
        <v>0</v>
      </c>
      <c r="L231" s="190">
        <v>0</v>
      </c>
      <c r="M231" s="190">
        <v>0</v>
      </c>
      <c r="N231" s="190">
        <v>0</v>
      </c>
      <c r="O231" s="190">
        <v>0</v>
      </c>
      <c r="P231" s="190">
        <v>0</v>
      </c>
      <c r="Q231" s="190">
        <v>0</v>
      </c>
      <c r="R231" s="190">
        <v>0</v>
      </c>
      <c r="S231" s="190">
        <v>0</v>
      </c>
      <c r="T231" s="190">
        <v>0</v>
      </c>
      <c r="U231" s="190">
        <v>0</v>
      </c>
      <c r="V231" s="190">
        <v>0</v>
      </c>
      <c r="W231" s="190">
        <v>0</v>
      </c>
      <c r="X231" s="190">
        <v>0</v>
      </c>
      <c r="Y231" s="190">
        <v>0</v>
      </c>
      <c r="Z231" s="190">
        <v>0</v>
      </c>
      <c r="AA231" s="190">
        <v>0</v>
      </c>
      <c r="AB231" s="190">
        <v>0</v>
      </c>
      <c r="AC231" s="190">
        <v>0</v>
      </c>
      <c r="AD231" s="190">
        <v>0</v>
      </c>
      <c r="AE231" s="190">
        <v>0</v>
      </c>
      <c r="AF231" s="190">
        <v>0</v>
      </c>
      <c r="AG231" s="190">
        <v>0</v>
      </c>
      <c r="AH231" s="190">
        <v>0</v>
      </c>
      <c r="AI231" s="190">
        <v>0</v>
      </c>
      <c r="AJ231" s="190">
        <v>0</v>
      </c>
    </row>
    <row r="232" spans="1:36" x14ac:dyDescent="0.35">
      <c r="A232" t="s">
        <v>1698</v>
      </c>
      <c r="B232" s="188" t="s">
        <v>1342</v>
      </c>
      <c r="C232" t="s">
        <v>1348</v>
      </c>
      <c r="D232" s="188">
        <v>30</v>
      </c>
      <c r="E232" t="s">
        <v>1500</v>
      </c>
      <c r="F232" t="s">
        <v>1696</v>
      </c>
      <c r="G232" s="189" t="s">
        <v>1697</v>
      </c>
      <c r="H232" s="190">
        <v>0</v>
      </c>
      <c r="I232" s="190">
        <v>0</v>
      </c>
      <c r="J232" s="190">
        <v>0</v>
      </c>
      <c r="K232" s="190">
        <v>0</v>
      </c>
      <c r="L232" s="190">
        <v>0</v>
      </c>
      <c r="M232" s="190">
        <v>0</v>
      </c>
      <c r="N232" s="190">
        <v>0</v>
      </c>
      <c r="O232" s="190">
        <v>0</v>
      </c>
      <c r="P232" s="190">
        <v>0</v>
      </c>
      <c r="Q232" s="190">
        <v>0</v>
      </c>
      <c r="R232" s="190">
        <v>0</v>
      </c>
      <c r="S232" s="190">
        <v>0</v>
      </c>
      <c r="T232" s="190">
        <v>0</v>
      </c>
      <c r="U232" s="190">
        <v>0</v>
      </c>
      <c r="V232" s="190">
        <v>0</v>
      </c>
      <c r="W232" s="190">
        <v>0</v>
      </c>
      <c r="X232" s="190">
        <v>0</v>
      </c>
      <c r="Y232" s="190">
        <v>0</v>
      </c>
      <c r="Z232" s="190">
        <v>0</v>
      </c>
      <c r="AA232" s="190">
        <v>0</v>
      </c>
      <c r="AB232" s="190">
        <v>0</v>
      </c>
      <c r="AC232" s="190">
        <v>0</v>
      </c>
      <c r="AD232" s="190">
        <v>0</v>
      </c>
      <c r="AE232" s="190">
        <v>0</v>
      </c>
      <c r="AF232" s="190">
        <v>0</v>
      </c>
      <c r="AG232" s="190">
        <v>0</v>
      </c>
      <c r="AH232" s="190">
        <v>0</v>
      </c>
      <c r="AI232" s="190">
        <v>0</v>
      </c>
      <c r="AJ232" s="190">
        <v>0</v>
      </c>
    </row>
    <row r="233" spans="1:36" x14ac:dyDescent="0.35">
      <c r="A233" t="s">
        <v>1699</v>
      </c>
      <c r="B233" s="188" t="s">
        <v>1342</v>
      </c>
      <c r="C233" t="s">
        <v>1350</v>
      </c>
      <c r="D233" s="188">
        <v>30</v>
      </c>
      <c r="E233" t="s">
        <v>1500</v>
      </c>
      <c r="F233" t="s">
        <v>1696</v>
      </c>
      <c r="G233" s="189" t="s">
        <v>1697</v>
      </c>
      <c r="H233" s="190">
        <v>0</v>
      </c>
      <c r="I233" s="190">
        <v>0</v>
      </c>
      <c r="J233" s="190">
        <v>0</v>
      </c>
      <c r="K233" s="190">
        <v>0</v>
      </c>
      <c r="L233" s="190">
        <v>0</v>
      </c>
      <c r="M233" s="190">
        <v>0</v>
      </c>
      <c r="N233" s="190">
        <v>0</v>
      </c>
      <c r="O233" s="190">
        <v>0</v>
      </c>
      <c r="P233" s="190">
        <v>0</v>
      </c>
      <c r="Q233" s="190">
        <v>0</v>
      </c>
      <c r="R233" s="190">
        <v>0</v>
      </c>
      <c r="S233" s="190">
        <v>0</v>
      </c>
      <c r="T233" s="190">
        <v>0</v>
      </c>
      <c r="U233" s="190">
        <v>0</v>
      </c>
      <c r="V233" s="190">
        <v>0</v>
      </c>
      <c r="W233" s="190">
        <v>0</v>
      </c>
      <c r="X233" s="190">
        <v>0</v>
      </c>
      <c r="Y233" s="190">
        <v>0</v>
      </c>
      <c r="Z233" s="190">
        <v>0</v>
      </c>
      <c r="AA233" s="190">
        <v>0</v>
      </c>
      <c r="AB233" s="190">
        <v>0</v>
      </c>
      <c r="AC233" s="190">
        <v>0</v>
      </c>
      <c r="AD233" s="190">
        <v>0</v>
      </c>
      <c r="AE233" s="190">
        <v>0</v>
      </c>
      <c r="AF233" s="190">
        <v>0</v>
      </c>
      <c r="AG233" s="190">
        <v>0</v>
      </c>
      <c r="AH233" s="190">
        <v>0</v>
      </c>
      <c r="AI233" s="190">
        <v>0</v>
      </c>
      <c r="AJ233" s="190">
        <v>0</v>
      </c>
    </row>
    <row r="234" spans="1:36" x14ac:dyDescent="0.35">
      <c r="A234" t="s">
        <v>1700</v>
      </c>
      <c r="B234" s="188" t="s">
        <v>1342</v>
      </c>
      <c r="C234" t="s">
        <v>1343</v>
      </c>
      <c r="D234" s="188">
        <v>30</v>
      </c>
      <c r="E234" t="s">
        <v>1701</v>
      </c>
      <c r="F234" t="s">
        <v>1363</v>
      </c>
      <c r="G234" s="188" t="s">
        <v>1702</v>
      </c>
      <c r="H234" s="188">
        <v>0</v>
      </c>
      <c r="I234" s="188">
        <v>0</v>
      </c>
      <c r="J234" s="188">
        <v>0</v>
      </c>
      <c r="K234" s="188">
        <v>0</v>
      </c>
      <c r="L234" s="188">
        <v>0</v>
      </c>
      <c r="M234" s="188">
        <v>0</v>
      </c>
      <c r="N234" s="188">
        <v>0</v>
      </c>
      <c r="O234" s="188">
        <v>0</v>
      </c>
      <c r="P234" s="188">
        <v>0</v>
      </c>
      <c r="Q234" s="188">
        <v>0</v>
      </c>
      <c r="R234" s="188">
        <v>0</v>
      </c>
      <c r="S234" s="188">
        <v>0</v>
      </c>
      <c r="T234" s="188">
        <v>0</v>
      </c>
      <c r="U234" s="188">
        <v>0</v>
      </c>
      <c r="V234" s="188">
        <v>0</v>
      </c>
      <c r="W234" s="188">
        <v>0</v>
      </c>
      <c r="X234" s="188">
        <v>0</v>
      </c>
      <c r="Y234" s="188">
        <v>0</v>
      </c>
      <c r="Z234" s="188">
        <v>0</v>
      </c>
      <c r="AA234" s="188">
        <v>0</v>
      </c>
      <c r="AB234" s="188">
        <v>0</v>
      </c>
      <c r="AC234" s="188">
        <v>0</v>
      </c>
      <c r="AD234" s="188">
        <v>0</v>
      </c>
      <c r="AE234" s="188">
        <v>0</v>
      </c>
      <c r="AF234" s="188">
        <v>0</v>
      </c>
      <c r="AG234" s="188">
        <v>0</v>
      </c>
      <c r="AH234" s="188">
        <v>0</v>
      </c>
      <c r="AI234" s="188">
        <v>0</v>
      </c>
      <c r="AJ234" s="188">
        <v>0</v>
      </c>
    </row>
    <row r="235" spans="1:36" x14ac:dyDescent="0.35">
      <c r="A235" t="s">
        <v>1703</v>
      </c>
      <c r="B235" s="188" t="s">
        <v>1342</v>
      </c>
      <c r="C235" t="s">
        <v>1348</v>
      </c>
      <c r="D235" s="188">
        <v>30</v>
      </c>
      <c r="E235" t="s">
        <v>1701</v>
      </c>
      <c r="F235" t="s">
        <v>1363</v>
      </c>
      <c r="G235" s="188" t="s">
        <v>1702</v>
      </c>
      <c r="H235" s="188">
        <v>0</v>
      </c>
      <c r="I235" s="188">
        <v>0</v>
      </c>
      <c r="J235" s="188">
        <v>0</v>
      </c>
      <c r="K235" s="188">
        <v>0</v>
      </c>
      <c r="L235" s="188">
        <v>0</v>
      </c>
      <c r="M235" s="188">
        <v>0</v>
      </c>
      <c r="N235" s="188">
        <v>0</v>
      </c>
      <c r="O235" s="188">
        <v>0</v>
      </c>
      <c r="P235" s="188">
        <v>0</v>
      </c>
      <c r="Q235" s="188">
        <v>0</v>
      </c>
      <c r="R235" s="188">
        <v>0</v>
      </c>
      <c r="S235" s="188">
        <v>0</v>
      </c>
      <c r="T235" s="188">
        <v>0</v>
      </c>
      <c r="U235" s="188">
        <v>0</v>
      </c>
      <c r="V235" s="188">
        <v>0</v>
      </c>
      <c r="W235" s="188">
        <v>0</v>
      </c>
      <c r="X235" s="188">
        <v>0</v>
      </c>
      <c r="Y235" s="188">
        <v>0</v>
      </c>
      <c r="Z235" s="188">
        <v>0</v>
      </c>
      <c r="AA235" s="188">
        <v>0</v>
      </c>
      <c r="AB235" s="188">
        <v>0</v>
      </c>
      <c r="AC235" s="188">
        <v>0</v>
      </c>
      <c r="AD235" s="188">
        <v>0</v>
      </c>
      <c r="AE235" s="188">
        <v>0</v>
      </c>
      <c r="AF235" s="188">
        <v>0</v>
      </c>
      <c r="AG235" s="188">
        <v>0</v>
      </c>
      <c r="AH235" s="188">
        <v>0</v>
      </c>
      <c r="AI235" s="188">
        <v>0</v>
      </c>
      <c r="AJ235" s="188">
        <v>0</v>
      </c>
    </row>
    <row r="236" spans="1:36" x14ac:dyDescent="0.35">
      <c r="A236" t="s">
        <v>1704</v>
      </c>
      <c r="B236" s="188" t="s">
        <v>1342</v>
      </c>
      <c r="C236" t="s">
        <v>1350</v>
      </c>
      <c r="D236" s="188">
        <v>30</v>
      </c>
      <c r="E236" t="s">
        <v>1701</v>
      </c>
      <c r="F236" t="s">
        <v>1363</v>
      </c>
      <c r="G236" s="188" t="s">
        <v>1702</v>
      </c>
      <c r="H236" s="188">
        <v>0</v>
      </c>
      <c r="I236" s="188">
        <v>0</v>
      </c>
      <c r="J236" s="188">
        <v>0</v>
      </c>
      <c r="K236" s="188">
        <v>0</v>
      </c>
      <c r="L236" s="188">
        <v>0</v>
      </c>
      <c r="M236" s="188">
        <v>0</v>
      </c>
      <c r="N236" s="188">
        <v>0</v>
      </c>
      <c r="O236" s="188">
        <v>0</v>
      </c>
      <c r="P236" s="188">
        <v>0</v>
      </c>
      <c r="Q236" s="188">
        <v>0</v>
      </c>
      <c r="R236" s="188">
        <v>0</v>
      </c>
      <c r="S236" s="188">
        <v>0</v>
      </c>
      <c r="T236" s="188">
        <v>0</v>
      </c>
      <c r="U236" s="188">
        <v>0</v>
      </c>
      <c r="V236" s="188">
        <v>0</v>
      </c>
      <c r="W236" s="188">
        <v>0</v>
      </c>
      <c r="X236" s="188">
        <v>0</v>
      </c>
      <c r="Y236" s="188">
        <v>0</v>
      </c>
      <c r="Z236" s="188">
        <v>0</v>
      </c>
      <c r="AA236" s="188">
        <v>0</v>
      </c>
      <c r="AB236" s="188">
        <v>0</v>
      </c>
      <c r="AC236" s="188">
        <v>0</v>
      </c>
      <c r="AD236" s="188">
        <v>0</v>
      </c>
      <c r="AE236" s="188">
        <v>0</v>
      </c>
      <c r="AF236" s="188">
        <v>0</v>
      </c>
      <c r="AG236" s="188">
        <v>0</v>
      </c>
      <c r="AH236" s="188">
        <v>0</v>
      </c>
      <c r="AI236" s="188">
        <v>0</v>
      </c>
      <c r="AJ236" s="188">
        <v>0</v>
      </c>
    </row>
    <row r="237" spans="1:36" x14ac:dyDescent="0.35">
      <c r="A237" t="s">
        <v>1705</v>
      </c>
      <c r="B237" s="188" t="s">
        <v>1342</v>
      </c>
      <c r="C237" t="s">
        <v>1343</v>
      </c>
      <c r="D237" s="188">
        <v>30</v>
      </c>
      <c r="E237" t="s">
        <v>1701</v>
      </c>
      <c r="F237" t="s">
        <v>1345</v>
      </c>
      <c r="G237" s="188" t="s">
        <v>1706</v>
      </c>
      <c r="H237" s="188">
        <v>0</v>
      </c>
      <c r="I237" s="188">
        <v>0</v>
      </c>
      <c r="J237" s="188">
        <v>0</v>
      </c>
      <c r="K237" s="188">
        <v>0</v>
      </c>
      <c r="L237" s="188">
        <v>0</v>
      </c>
      <c r="M237" s="188">
        <v>0</v>
      </c>
      <c r="N237" s="188">
        <v>0</v>
      </c>
      <c r="O237" s="188">
        <v>0</v>
      </c>
      <c r="P237" s="188">
        <v>0</v>
      </c>
      <c r="Q237" s="188">
        <v>0</v>
      </c>
      <c r="R237" s="188">
        <v>0</v>
      </c>
      <c r="S237" s="188">
        <v>0</v>
      </c>
      <c r="T237" s="188">
        <v>0</v>
      </c>
      <c r="U237" s="188">
        <v>0</v>
      </c>
      <c r="V237" s="188">
        <v>0</v>
      </c>
      <c r="W237" s="188">
        <v>0</v>
      </c>
      <c r="X237" s="188">
        <v>0</v>
      </c>
      <c r="Y237" s="188">
        <v>0</v>
      </c>
      <c r="Z237" s="188">
        <v>0</v>
      </c>
      <c r="AA237" s="188">
        <v>0</v>
      </c>
      <c r="AB237" s="188">
        <v>0</v>
      </c>
      <c r="AC237" s="188">
        <v>0</v>
      </c>
      <c r="AD237" s="188">
        <v>0</v>
      </c>
      <c r="AE237" s="188">
        <v>0</v>
      </c>
      <c r="AF237" s="188">
        <v>0</v>
      </c>
      <c r="AG237" s="188">
        <v>0</v>
      </c>
      <c r="AH237" s="188">
        <v>0</v>
      </c>
      <c r="AI237" s="188">
        <v>0</v>
      </c>
      <c r="AJ237" s="188">
        <v>0</v>
      </c>
    </row>
    <row r="238" spans="1:36" x14ac:dyDescent="0.35">
      <c r="A238" t="s">
        <v>1707</v>
      </c>
      <c r="B238" s="188" t="s">
        <v>1342</v>
      </c>
      <c r="C238" t="s">
        <v>1348</v>
      </c>
      <c r="D238" s="188">
        <v>30</v>
      </c>
      <c r="E238" t="s">
        <v>1701</v>
      </c>
      <c r="F238" t="s">
        <v>1345</v>
      </c>
      <c r="G238" s="188" t="s">
        <v>1706</v>
      </c>
      <c r="H238" s="188">
        <v>0</v>
      </c>
      <c r="I238" s="188">
        <v>0</v>
      </c>
      <c r="J238" s="188">
        <v>0</v>
      </c>
      <c r="K238" s="188">
        <v>0</v>
      </c>
      <c r="L238" s="188">
        <v>0</v>
      </c>
      <c r="M238" s="188">
        <v>0</v>
      </c>
      <c r="N238" s="188">
        <v>0</v>
      </c>
      <c r="O238" s="188">
        <v>0</v>
      </c>
      <c r="P238" s="188">
        <v>0</v>
      </c>
      <c r="Q238" s="188">
        <v>0</v>
      </c>
      <c r="R238" s="188">
        <v>0</v>
      </c>
      <c r="S238" s="188">
        <v>0</v>
      </c>
      <c r="T238" s="188">
        <v>0</v>
      </c>
      <c r="U238" s="188">
        <v>0</v>
      </c>
      <c r="V238" s="188">
        <v>0</v>
      </c>
      <c r="W238" s="188">
        <v>0</v>
      </c>
      <c r="X238" s="188">
        <v>0</v>
      </c>
      <c r="Y238" s="188">
        <v>0</v>
      </c>
      <c r="Z238" s="188">
        <v>0</v>
      </c>
      <c r="AA238" s="188">
        <v>0</v>
      </c>
      <c r="AB238" s="188">
        <v>0</v>
      </c>
      <c r="AC238" s="188">
        <v>0</v>
      </c>
      <c r="AD238" s="188">
        <v>0</v>
      </c>
      <c r="AE238" s="188">
        <v>0</v>
      </c>
      <c r="AF238" s="188">
        <v>0</v>
      </c>
      <c r="AG238" s="188">
        <v>0</v>
      </c>
      <c r="AH238" s="188">
        <v>0</v>
      </c>
      <c r="AI238" s="188">
        <v>0</v>
      </c>
      <c r="AJ238" s="188">
        <v>0</v>
      </c>
    </row>
    <row r="239" spans="1:36" x14ac:dyDescent="0.35">
      <c r="A239" t="s">
        <v>1708</v>
      </c>
      <c r="B239" s="188" t="s">
        <v>1342</v>
      </c>
      <c r="C239" t="s">
        <v>1350</v>
      </c>
      <c r="D239" s="188">
        <v>30</v>
      </c>
      <c r="E239" t="s">
        <v>1701</v>
      </c>
      <c r="F239" t="s">
        <v>1345</v>
      </c>
      <c r="G239" s="188" t="s">
        <v>1706</v>
      </c>
      <c r="H239" s="188">
        <v>0</v>
      </c>
      <c r="I239" s="188">
        <v>0</v>
      </c>
      <c r="J239" s="188">
        <v>0</v>
      </c>
      <c r="K239" s="188">
        <v>0</v>
      </c>
      <c r="L239" s="188">
        <v>0</v>
      </c>
      <c r="M239" s="188">
        <v>0</v>
      </c>
      <c r="N239" s="188">
        <v>0</v>
      </c>
      <c r="O239" s="188">
        <v>0</v>
      </c>
      <c r="P239" s="188">
        <v>0</v>
      </c>
      <c r="Q239" s="188">
        <v>0</v>
      </c>
      <c r="R239" s="188">
        <v>0</v>
      </c>
      <c r="S239" s="188">
        <v>0</v>
      </c>
      <c r="T239" s="188">
        <v>0</v>
      </c>
      <c r="U239" s="188">
        <v>0</v>
      </c>
      <c r="V239" s="188">
        <v>0</v>
      </c>
      <c r="W239" s="188">
        <v>0</v>
      </c>
      <c r="X239" s="188">
        <v>0</v>
      </c>
      <c r="Y239" s="188">
        <v>0</v>
      </c>
      <c r="Z239" s="188">
        <v>0</v>
      </c>
      <c r="AA239" s="188">
        <v>0</v>
      </c>
      <c r="AB239" s="188">
        <v>0</v>
      </c>
      <c r="AC239" s="188">
        <v>0</v>
      </c>
      <c r="AD239" s="188">
        <v>0</v>
      </c>
      <c r="AE239" s="188">
        <v>0</v>
      </c>
      <c r="AF239" s="188">
        <v>0</v>
      </c>
      <c r="AG239" s="188">
        <v>0</v>
      </c>
      <c r="AH239" s="188">
        <v>0</v>
      </c>
      <c r="AI239" s="188">
        <v>0</v>
      </c>
      <c r="AJ239" s="188">
        <v>0</v>
      </c>
    </row>
    <row r="240" spans="1:36" x14ac:dyDescent="0.35">
      <c r="A240" t="s">
        <v>1709</v>
      </c>
      <c r="B240" s="188" t="s">
        <v>1342</v>
      </c>
      <c r="C240" t="s">
        <v>1343</v>
      </c>
      <c r="D240" s="188">
        <v>30</v>
      </c>
      <c r="E240" t="s">
        <v>1701</v>
      </c>
      <c r="F240" t="s">
        <v>1352</v>
      </c>
      <c r="G240" s="188" t="s">
        <v>1710</v>
      </c>
      <c r="H240" s="188">
        <v>0</v>
      </c>
      <c r="I240" s="188">
        <v>0</v>
      </c>
      <c r="J240" s="188">
        <v>0</v>
      </c>
      <c r="K240" s="188">
        <v>0</v>
      </c>
      <c r="L240" s="188">
        <v>0</v>
      </c>
      <c r="M240" s="188">
        <v>0</v>
      </c>
      <c r="N240" s="188">
        <v>0</v>
      </c>
      <c r="O240" s="188">
        <v>0</v>
      </c>
      <c r="P240" s="188">
        <v>0</v>
      </c>
      <c r="Q240" s="188">
        <v>0</v>
      </c>
      <c r="R240" s="188">
        <v>0</v>
      </c>
      <c r="S240" s="188">
        <v>0</v>
      </c>
      <c r="T240" s="188">
        <v>0</v>
      </c>
      <c r="U240" s="188">
        <v>0</v>
      </c>
      <c r="V240" s="188">
        <v>0</v>
      </c>
      <c r="W240" s="188">
        <v>0</v>
      </c>
      <c r="X240" s="188">
        <v>0</v>
      </c>
      <c r="Y240" s="188">
        <v>0</v>
      </c>
      <c r="Z240" s="188">
        <v>0</v>
      </c>
      <c r="AA240" s="188">
        <v>0</v>
      </c>
      <c r="AB240" s="188">
        <v>0</v>
      </c>
      <c r="AC240" s="188">
        <v>0</v>
      </c>
      <c r="AD240" s="188">
        <v>0</v>
      </c>
      <c r="AE240" s="188">
        <v>0</v>
      </c>
      <c r="AF240" s="188">
        <v>0</v>
      </c>
      <c r="AG240" s="188">
        <v>0</v>
      </c>
      <c r="AH240" s="188">
        <v>0</v>
      </c>
      <c r="AI240" s="188">
        <v>0</v>
      </c>
      <c r="AJ240" s="188">
        <v>0</v>
      </c>
    </row>
    <row r="241" spans="1:36" x14ac:dyDescent="0.35">
      <c r="A241" t="s">
        <v>1711</v>
      </c>
      <c r="B241" s="188" t="s">
        <v>1342</v>
      </c>
      <c r="C241" t="s">
        <v>1348</v>
      </c>
      <c r="D241" s="188">
        <v>30</v>
      </c>
      <c r="E241" t="s">
        <v>1701</v>
      </c>
      <c r="F241" t="s">
        <v>1352</v>
      </c>
      <c r="G241" s="188" t="s">
        <v>1710</v>
      </c>
      <c r="H241" s="188">
        <v>0</v>
      </c>
      <c r="I241" s="188">
        <v>0</v>
      </c>
      <c r="J241" s="188">
        <v>0</v>
      </c>
      <c r="K241" s="188">
        <v>0</v>
      </c>
      <c r="L241" s="188">
        <v>0</v>
      </c>
      <c r="M241" s="188">
        <v>0</v>
      </c>
      <c r="N241" s="188">
        <v>0</v>
      </c>
      <c r="O241" s="188">
        <v>0</v>
      </c>
      <c r="P241" s="188">
        <v>0</v>
      </c>
      <c r="Q241" s="188">
        <v>0</v>
      </c>
      <c r="R241" s="188">
        <v>0</v>
      </c>
      <c r="S241" s="188">
        <v>0</v>
      </c>
      <c r="T241" s="188">
        <v>0</v>
      </c>
      <c r="U241" s="188">
        <v>0</v>
      </c>
      <c r="V241" s="188">
        <v>0</v>
      </c>
      <c r="W241" s="188">
        <v>0</v>
      </c>
      <c r="X241" s="188">
        <v>0</v>
      </c>
      <c r="Y241" s="188">
        <v>0</v>
      </c>
      <c r="Z241" s="188">
        <v>0</v>
      </c>
      <c r="AA241" s="188">
        <v>0</v>
      </c>
      <c r="AB241" s="188">
        <v>0</v>
      </c>
      <c r="AC241" s="188">
        <v>0</v>
      </c>
      <c r="AD241" s="188">
        <v>0</v>
      </c>
      <c r="AE241" s="188">
        <v>0</v>
      </c>
      <c r="AF241" s="188">
        <v>0</v>
      </c>
      <c r="AG241" s="188">
        <v>0</v>
      </c>
      <c r="AH241" s="188">
        <v>0</v>
      </c>
      <c r="AI241" s="188">
        <v>0</v>
      </c>
      <c r="AJ241" s="188">
        <v>0</v>
      </c>
    </row>
    <row r="242" spans="1:36" x14ac:dyDescent="0.35">
      <c r="A242" t="s">
        <v>1712</v>
      </c>
      <c r="B242" s="188" t="s">
        <v>1342</v>
      </c>
      <c r="C242" t="s">
        <v>1350</v>
      </c>
      <c r="D242" s="188">
        <v>30</v>
      </c>
      <c r="E242" t="s">
        <v>1701</v>
      </c>
      <c r="F242" t="s">
        <v>1352</v>
      </c>
      <c r="G242" s="188" t="s">
        <v>1710</v>
      </c>
      <c r="H242" s="188">
        <v>0</v>
      </c>
      <c r="I242" s="188">
        <v>0</v>
      </c>
      <c r="J242" s="188">
        <v>0</v>
      </c>
      <c r="K242" s="188">
        <v>0</v>
      </c>
      <c r="L242" s="188">
        <v>0</v>
      </c>
      <c r="M242" s="188">
        <v>0</v>
      </c>
      <c r="N242" s="188">
        <v>0</v>
      </c>
      <c r="O242" s="188">
        <v>0</v>
      </c>
      <c r="P242" s="188">
        <v>0</v>
      </c>
      <c r="Q242" s="188">
        <v>0</v>
      </c>
      <c r="R242" s="188">
        <v>0</v>
      </c>
      <c r="S242" s="188">
        <v>0</v>
      </c>
      <c r="T242" s="188">
        <v>0</v>
      </c>
      <c r="U242" s="188">
        <v>0</v>
      </c>
      <c r="V242" s="188">
        <v>0</v>
      </c>
      <c r="W242" s="188">
        <v>0</v>
      </c>
      <c r="X242" s="188">
        <v>0</v>
      </c>
      <c r="Y242" s="188">
        <v>0</v>
      </c>
      <c r="Z242" s="188">
        <v>0</v>
      </c>
      <c r="AA242" s="188">
        <v>0</v>
      </c>
      <c r="AB242" s="188">
        <v>0</v>
      </c>
      <c r="AC242" s="188">
        <v>0</v>
      </c>
      <c r="AD242" s="188">
        <v>0</v>
      </c>
      <c r="AE242" s="188">
        <v>0</v>
      </c>
      <c r="AF242" s="188">
        <v>0</v>
      </c>
      <c r="AG242" s="188">
        <v>0</v>
      </c>
      <c r="AH242" s="188">
        <v>0</v>
      </c>
      <c r="AI242" s="188">
        <v>0</v>
      </c>
      <c r="AJ242" s="188">
        <v>0</v>
      </c>
    </row>
    <row r="243" spans="1:36" x14ac:dyDescent="0.35">
      <c r="A243" t="s">
        <v>1713</v>
      </c>
      <c r="B243" s="188" t="s">
        <v>1342</v>
      </c>
      <c r="C243" t="s">
        <v>1343</v>
      </c>
      <c r="D243" s="188">
        <v>30</v>
      </c>
      <c r="E243" t="s">
        <v>1701</v>
      </c>
      <c r="F243" t="s">
        <v>1376</v>
      </c>
      <c r="G243" s="188" t="s">
        <v>1714</v>
      </c>
      <c r="H243" s="188">
        <v>0</v>
      </c>
      <c r="I243" s="188">
        <v>0</v>
      </c>
      <c r="J243" s="188">
        <v>0</v>
      </c>
      <c r="K243" s="188">
        <v>0</v>
      </c>
      <c r="L243" s="188">
        <v>0</v>
      </c>
      <c r="M243" s="188">
        <v>0</v>
      </c>
      <c r="N243" s="188">
        <v>0</v>
      </c>
      <c r="O243" s="188">
        <v>0</v>
      </c>
      <c r="P243" s="188">
        <v>0</v>
      </c>
      <c r="Q243" s="188">
        <v>0</v>
      </c>
      <c r="R243" s="188">
        <v>0</v>
      </c>
      <c r="S243" s="188">
        <v>0</v>
      </c>
      <c r="T243" s="188">
        <v>0</v>
      </c>
      <c r="U243" s="188">
        <v>0</v>
      </c>
      <c r="V243" s="188">
        <v>0</v>
      </c>
      <c r="W243" s="188">
        <v>0</v>
      </c>
      <c r="X243" s="188">
        <v>0</v>
      </c>
      <c r="Y243" s="188">
        <v>0</v>
      </c>
      <c r="Z243" s="188">
        <v>0</v>
      </c>
      <c r="AA243" s="188">
        <v>0</v>
      </c>
      <c r="AB243" s="188">
        <v>0</v>
      </c>
      <c r="AC243" s="188">
        <v>0</v>
      </c>
      <c r="AD243" s="188">
        <v>0</v>
      </c>
      <c r="AE243" s="188">
        <v>0</v>
      </c>
      <c r="AF243" s="188">
        <v>0</v>
      </c>
      <c r="AG243" s="188">
        <v>0</v>
      </c>
      <c r="AH243" s="188">
        <v>0</v>
      </c>
      <c r="AI243" s="188">
        <v>0</v>
      </c>
      <c r="AJ243" s="188">
        <v>0</v>
      </c>
    </row>
    <row r="244" spans="1:36" x14ac:dyDescent="0.35">
      <c r="A244" t="s">
        <v>1715</v>
      </c>
      <c r="B244" s="188" t="s">
        <v>1342</v>
      </c>
      <c r="C244" t="s">
        <v>1348</v>
      </c>
      <c r="D244" s="188">
        <v>30</v>
      </c>
      <c r="E244" t="s">
        <v>1701</v>
      </c>
      <c r="F244" t="s">
        <v>1376</v>
      </c>
      <c r="G244" s="188" t="s">
        <v>1714</v>
      </c>
      <c r="H244" s="188">
        <v>0</v>
      </c>
      <c r="I244" s="188">
        <v>0</v>
      </c>
      <c r="J244" s="188">
        <v>0</v>
      </c>
      <c r="K244" s="188">
        <v>0</v>
      </c>
      <c r="L244" s="188">
        <v>0</v>
      </c>
      <c r="M244" s="188">
        <v>0</v>
      </c>
      <c r="N244" s="188">
        <v>0</v>
      </c>
      <c r="O244" s="188">
        <v>0</v>
      </c>
      <c r="P244" s="188">
        <v>0</v>
      </c>
      <c r="Q244" s="188">
        <v>0</v>
      </c>
      <c r="R244" s="188">
        <v>0</v>
      </c>
      <c r="S244" s="188">
        <v>0</v>
      </c>
      <c r="T244" s="188">
        <v>0</v>
      </c>
      <c r="U244" s="188">
        <v>0</v>
      </c>
      <c r="V244" s="188">
        <v>0</v>
      </c>
      <c r="W244" s="188">
        <v>0</v>
      </c>
      <c r="X244" s="188">
        <v>0</v>
      </c>
      <c r="Y244" s="188">
        <v>0</v>
      </c>
      <c r="Z244" s="188">
        <v>0</v>
      </c>
      <c r="AA244" s="188">
        <v>0</v>
      </c>
      <c r="AB244" s="188">
        <v>0</v>
      </c>
      <c r="AC244" s="188">
        <v>0</v>
      </c>
      <c r="AD244" s="188">
        <v>0</v>
      </c>
      <c r="AE244" s="188">
        <v>0</v>
      </c>
      <c r="AF244" s="188">
        <v>0</v>
      </c>
      <c r="AG244" s="188">
        <v>0</v>
      </c>
      <c r="AH244" s="188">
        <v>0</v>
      </c>
      <c r="AI244" s="188">
        <v>0</v>
      </c>
      <c r="AJ244" s="188">
        <v>0</v>
      </c>
    </row>
    <row r="245" spans="1:36" x14ac:dyDescent="0.35">
      <c r="A245" t="s">
        <v>1716</v>
      </c>
      <c r="B245" s="188" t="s">
        <v>1342</v>
      </c>
      <c r="C245" t="s">
        <v>1350</v>
      </c>
      <c r="D245" s="188">
        <v>30</v>
      </c>
      <c r="E245" t="s">
        <v>1701</v>
      </c>
      <c r="F245" t="s">
        <v>1376</v>
      </c>
      <c r="G245" s="188" t="s">
        <v>1714</v>
      </c>
      <c r="H245" s="188">
        <v>0</v>
      </c>
      <c r="I245" s="188">
        <v>0</v>
      </c>
      <c r="J245" s="188">
        <v>0</v>
      </c>
      <c r="K245" s="188">
        <v>0</v>
      </c>
      <c r="L245" s="188">
        <v>0</v>
      </c>
      <c r="M245" s="188">
        <v>0</v>
      </c>
      <c r="N245" s="188">
        <v>0</v>
      </c>
      <c r="O245" s="188">
        <v>0</v>
      </c>
      <c r="P245" s="188">
        <v>0</v>
      </c>
      <c r="Q245" s="188">
        <v>0</v>
      </c>
      <c r="R245" s="188">
        <v>0</v>
      </c>
      <c r="S245" s="188">
        <v>0</v>
      </c>
      <c r="T245" s="188">
        <v>0</v>
      </c>
      <c r="U245" s="188">
        <v>0</v>
      </c>
      <c r="V245" s="188">
        <v>0</v>
      </c>
      <c r="W245" s="188">
        <v>0</v>
      </c>
      <c r="X245" s="188">
        <v>0</v>
      </c>
      <c r="Y245" s="188">
        <v>0</v>
      </c>
      <c r="Z245" s="188">
        <v>0</v>
      </c>
      <c r="AA245" s="188">
        <v>0</v>
      </c>
      <c r="AB245" s="188">
        <v>0</v>
      </c>
      <c r="AC245" s="188">
        <v>0</v>
      </c>
      <c r="AD245" s="188">
        <v>0</v>
      </c>
      <c r="AE245" s="188">
        <v>0</v>
      </c>
      <c r="AF245" s="188">
        <v>0</v>
      </c>
      <c r="AG245" s="188">
        <v>0</v>
      </c>
      <c r="AH245" s="188">
        <v>0</v>
      </c>
      <c r="AI245" s="188">
        <v>0</v>
      </c>
      <c r="AJ245" s="188">
        <v>0</v>
      </c>
    </row>
    <row r="246" spans="1:36" x14ac:dyDescent="0.35">
      <c r="A246" t="s">
        <v>1717</v>
      </c>
      <c r="B246" s="188" t="s">
        <v>1342</v>
      </c>
      <c r="C246" t="s">
        <v>1343</v>
      </c>
      <c r="D246" s="188">
        <v>30</v>
      </c>
      <c r="E246" t="s">
        <v>1701</v>
      </c>
      <c r="F246" t="s">
        <v>1381</v>
      </c>
      <c r="G246" s="188" t="s">
        <v>1718</v>
      </c>
      <c r="H246" s="188">
        <v>0</v>
      </c>
      <c r="I246" s="188">
        <v>0</v>
      </c>
      <c r="J246" s="188">
        <v>0</v>
      </c>
      <c r="K246" s="188">
        <v>0</v>
      </c>
      <c r="L246" s="188">
        <v>0</v>
      </c>
      <c r="M246" s="188">
        <v>0</v>
      </c>
      <c r="N246" s="188">
        <v>0</v>
      </c>
      <c r="O246" s="188">
        <v>0</v>
      </c>
      <c r="P246" s="188">
        <v>0</v>
      </c>
      <c r="Q246" s="188">
        <v>0</v>
      </c>
      <c r="R246" s="188">
        <v>0</v>
      </c>
      <c r="S246" s="188">
        <v>0</v>
      </c>
      <c r="T246" s="188">
        <v>0</v>
      </c>
      <c r="U246" s="188">
        <v>0</v>
      </c>
      <c r="V246" s="188">
        <v>0</v>
      </c>
      <c r="W246" s="188">
        <v>0</v>
      </c>
      <c r="X246" s="188">
        <v>0</v>
      </c>
      <c r="Y246" s="188">
        <v>0</v>
      </c>
      <c r="Z246" s="188">
        <v>0</v>
      </c>
      <c r="AA246" s="188">
        <v>0</v>
      </c>
      <c r="AB246" s="188">
        <v>0</v>
      </c>
      <c r="AC246" s="188">
        <v>0</v>
      </c>
      <c r="AD246" s="188">
        <v>0</v>
      </c>
      <c r="AE246" s="188">
        <v>0</v>
      </c>
      <c r="AF246" s="188">
        <v>0</v>
      </c>
      <c r="AG246" s="188">
        <v>0</v>
      </c>
      <c r="AH246" s="188">
        <v>0</v>
      </c>
      <c r="AI246" s="188">
        <v>0</v>
      </c>
      <c r="AJ246" s="188">
        <v>0</v>
      </c>
    </row>
    <row r="247" spans="1:36" x14ac:dyDescent="0.35">
      <c r="A247" t="s">
        <v>1719</v>
      </c>
      <c r="B247" s="188" t="s">
        <v>1342</v>
      </c>
      <c r="C247" t="s">
        <v>1348</v>
      </c>
      <c r="D247" s="188">
        <v>30</v>
      </c>
      <c r="E247" t="s">
        <v>1701</v>
      </c>
      <c r="F247" t="s">
        <v>1381</v>
      </c>
      <c r="G247" s="188" t="s">
        <v>1718</v>
      </c>
      <c r="H247" s="188">
        <v>0</v>
      </c>
      <c r="I247" s="188">
        <v>0</v>
      </c>
      <c r="J247" s="188">
        <v>0</v>
      </c>
      <c r="K247" s="188">
        <v>0</v>
      </c>
      <c r="L247" s="188">
        <v>0</v>
      </c>
      <c r="M247" s="188">
        <v>0</v>
      </c>
      <c r="N247" s="188">
        <v>0</v>
      </c>
      <c r="O247" s="188">
        <v>0</v>
      </c>
      <c r="P247" s="188">
        <v>0</v>
      </c>
      <c r="Q247" s="188">
        <v>0</v>
      </c>
      <c r="R247" s="188">
        <v>0</v>
      </c>
      <c r="S247" s="188">
        <v>0</v>
      </c>
      <c r="T247" s="188">
        <v>0</v>
      </c>
      <c r="U247" s="188">
        <v>0</v>
      </c>
      <c r="V247" s="188">
        <v>0</v>
      </c>
      <c r="W247" s="188">
        <v>0</v>
      </c>
      <c r="X247" s="188">
        <v>0</v>
      </c>
      <c r="Y247" s="188">
        <v>0</v>
      </c>
      <c r="Z247" s="188">
        <v>0</v>
      </c>
      <c r="AA247" s="188">
        <v>0</v>
      </c>
      <c r="AB247" s="188">
        <v>0</v>
      </c>
      <c r="AC247" s="188">
        <v>0</v>
      </c>
      <c r="AD247" s="188">
        <v>0</v>
      </c>
      <c r="AE247" s="188">
        <v>0</v>
      </c>
      <c r="AF247" s="188">
        <v>0</v>
      </c>
      <c r="AG247" s="188">
        <v>0</v>
      </c>
      <c r="AH247" s="188">
        <v>0</v>
      </c>
      <c r="AI247" s="188">
        <v>0</v>
      </c>
      <c r="AJ247" s="188">
        <v>0</v>
      </c>
    </row>
    <row r="248" spans="1:36" x14ac:dyDescent="0.35">
      <c r="A248" t="s">
        <v>1720</v>
      </c>
      <c r="B248" s="188" t="s">
        <v>1342</v>
      </c>
      <c r="C248" t="s">
        <v>1350</v>
      </c>
      <c r="D248" s="188">
        <v>30</v>
      </c>
      <c r="E248" t="s">
        <v>1701</v>
      </c>
      <c r="F248" t="s">
        <v>1381</v>
      </c>
      <c r="G248" s="188" t="s">
        <v>1718</v>
      </c>
      <c r="H248" s="188">
        <v>0</v>
      </c>
      <c r="I248" s="188">
        <v>0</v>
      </c>
      <c r="J248" s="188">
        <v>0</v>
      </c>
      <c r="K248" s="188">
        <v>0</v>
      </c>
      <c r="L248" s="188">
        <v>0</v>
      </c>
      <c r="M248" s="188">
        <v>0</v>
      </c>
      <c r="N248" s="188">
        <v>0</v>
      </c>
      <c r="O248" s="188">
        <v>0</v>
      </c>
      <c r="P248" s="188">
        <v>0</v>
      </c>
      <c r="Q248" s="188">
        <v>0</v>
      </c>
      <c r="R248" s="188">
        <v>0</v>
      </c>
      <c r="S248" s="188">
        <v>0</v>
      </c>
      <c r="T248" s="188">
        <v>0</v>
      </c>
      <c r="U248" s="188">
        <v>0</v>
      </c>
      <c r="V248" s="188">
        <v>0</v>
      </c>
      <c r="W248" s="188">
        <v>0</v>
      </c>
      <c r="X248" s="188">
        <v>0</v>
      </c>
      <c r="Y248" s="188">
        <v>0</v>
      </c>
      <c r="Z248" s="188">
        <v>0</v>
      </c>
      <c r="AA248" s="188">
        <v>0</v>
      </c>
      <c r="AB248" s="188">
        <v>0</v>
      </c>
      <c r="AC248" s="188">
        <v>0</v>
      </c>
      <c r="AD248" s="188">
        <v>0</v>
      </c>
      <c r="AE248" s="188">
        <v>0</v>
      </c>
      <c r="AF248" s="188">
        <v>0</v>
      </c>
      <c r="AG248" s="188">
        <v>0</v>
      </c>
      <c r="AH248" s="188">
        <v>0</v>
      </c>
      <c r="AI248" s="188">
        <v>0</v>
      </c>
      <c r="AJ248" s="188">
        <v>0</v>
      </c>
    </row>
    <row r="249" spans="1:36" x14ac:dyDescent="0.35">
      <c r="A249" t="s">
        <v>1721</v>
      </c>
      <c r="B249" s="188" t="s">
        <v>1342</v>
      </c>
      <c r="C249" t="s">
        <v>1343</v>
      </c>
      <c r="D249" s="188">
        <v>30</v>
      </c>
      <c r="E249" t="s">
        <v>1701</v>
      </c>
      <c r="F249" t="s">
        <v>1386</v>
      </c>
      <c r="G249" s="188" t="s">
        <v>1722</v>
      </c>
      <c r="H249" s="188">
        <v>0</v>
      </c>
      <c r="I249" s="188">
        <v>0</v>
      </c>
      <c r="J249" s="188">
        <v>0</v>
      </c>
      <c r="K249" s="188">
        <v>0</v>
      </c>
      <c r="L249" s="188">
        <v>0</v>
      </c>
      <c r="M249" s="188">
        <v>0</v>
      </c>
      <c r="N249" s="188">
        <v>0</v>
      </c>
      <c r="O249" s="188">
        <v>0</v>
      </c>
      <c r="P249" s="188">
        <v>0</v>
      </c>
      <c r="Q249" s="188">
        <v>0</v>
      </c>
      <c r="R249" s="188">
        <v>0</v>
      </c>
      <c r="S249" s="188">
        <v>0</v>
      </c>
      <c r="T249" s="188">
        <v>0</v>
      </c>
      <c r="U249" s="188">
        <v>0</v>
      </c>
      <c r="V249" s="188">
        <v>0</v>
      </c>
      <c r="W249" s="188">
        <v>0</v>
      </c>
      <c r="X249" s="188">
        <v>0</v>
      </c>
      <c r="Y249" s="188">
        <v>0</v>
      </c>
      <c r="Z249" s="188">
        <v>0</v>
      </c>
      <c r="AA249" s="188">
        <v>0</v>
      </c>
      <c r="AB249" s="188">
        <v>0</v>
      </c>
      <c r="AC249" s="188">
        <v>0</v>
      </c>
      <c r="AD249" s="188">
        <v>0</v>
      </c>
      <c r="AE249" s="188">
        <v>0</v>
      </c>
      <c r="AF249" s="188">
        <v>0</v>
      </c>
      <c r="AG249" s="188">
        <v>0</v>
      </c>
      <c r="AH249" s="188">
        <v>0</v>
      </c>
      <c r="AI249" s="188">
        <v>0</v>
      </c>
      <c r="AJ249" s="188">
        <v>0</v>
      </c>
    </row>
    <row r="250" spans="1:36" x14ac:dyDescent="0.35">
      <c r="A250" t="s">
        <v>1723</v>
      </c>
      <c r="B250" s="188" t="s">
        <v>1342</v>
      </c>
      <c r="C250" t="s">
        <v>1348</v>
      </c>
      <c r="D250" s="188">
        <v>30</v>
      </c>
      <c r="E250" t="s">
        <v>1701</v>
      </c>
      <c r="F250" t="s">
        <v>1386</v>
      </c>
      <c r="G250" s="188" t="s">
        <v>1722</v>
      </c>
      <c r="H250" s="188">
        <v>0</v>
      </c>
      <c r="I250" s="188">
        <v>0</v>
      </c>
      <c r="J250" s="188">
        <v>0</v>
      </c>
      <c r="K250" s="188">
        <v>0</v>
      </c>
      <c r="L250" s="188">
        <v>0</v>
      </c>
      <c r="M250" s="188">
        <v>0</v>
      </c>
      <c r="N250" s="188">
        <v>0</v>
      </c>
      <c r="O250" s="188">
        <v>0</v>
      </c>
      <c r="P250" s="188">
        <v>0</v>
      </c>
      <c r="Q250" s="188">
        <v>0</v>
      </c>
      <c r="R250" s="188">
        <v>0</v>
      </c>
      <c r="S250" s="188">
        <v>0</v>
      </c>
      <c r="T250" s="188">
        <v>0</v>
      </c>
      <c r="U250" s="188">
        <v>0</v>
      </c>
      <c r="V250" s="188">
        <v>0</v>
      </c>
      <c r="W250" s="188">
        <v>0</v>
      </c>
      <c r="X250" s="188">
        <v>0</v>
      </c>
      <c r="Y250" s="188">
        <v>0</v>
      </c>
      <c r="Z250" s="188">
        <v>0</v>
      </c>
      <c r="AA250" s="188">
        <v>0</v>
      </c>
      <c r="AB250" s="188">
        <v>0</v>
      </c>
      <c r="AC250" s="188">
        <v>0</v>
      </c>
      <c r="AD250" s="188">
        <v>0</v>
      </c>
      <c r="AE250" s="188">
        <v>0</v>
      </c>
      <c r="AF250" s="188">
        <v>0</v>
      </c>
      <c r="AG250" s="188">
        <v>0</v>
      </c>
      <c r="AH250" s="188">
        <v>0</v>
      </c>
      <c r="AI250" s="188">
        <v>0</v>
      </c>
      <c r="AJ250" s="188">
        <v>0</v>
      </c>
    </row>
    <row r="251" spans="1:36" x14ac:dyDescent="0.35">
      <c r="A251" t="s">
        <v>1724</v>
      </c>
      <c r="B251" s="188" t="s">
        <v>1342</v>
      </c>
      <c r="C251" t="s">
        <v>1350</v>
      </c>
      <c r="D251" s="188">
        <v>30</v>
      </c>
      <c r="E251" t="s">
        <v>1701</v>
      </c>
      <c r="F251" t="s">
        <v>1386</v>
      </c>
      <c r="G251" s="188" t="s">
        <v>1722</v>
      </c>
      <c r="H251" s="188">
        <v>0</v>
      </c>
      <c r="I251" s="188">
        <v>0</v>
      </c>
      <c r="J251" s="188">
        <v>0</v>
      </c>
      <c r="K251" s="188">
        <v>0</v>
      </c>
      <c r="L251" s="188">
        <v>0</v>
      </c>
      <c r="M251" s="188">
        <v>0</v>
      </c>
      <c r="N251" s="188">
        <v>0</v>
      </c>
      <c r="O251" s="188">
        <v>0</v>
      </c>
      <c r="P251" s="188">
        <v>0</v>
      </c>
      <c r="Q251" s="188">
        <v>0</v>
      </c>
      <c r="R251" s="188">
        <v>0</v>
      </c>
      <c r="S251" s="188">
        <v>0</v>
      </c>
      <c r="T251" s="188">
        <v>0</v>
      </c>
      <c r="U251" s="188">
        <v>0</v>
      </c>
      <c r="V251" s="188">
        <v>0</v>
      </c>
      <c r="W251" s="188">
        <v>0</v>
      </c>
      <c r="X251" s="188">
        <v>0</v>
      </c>
      <c r="Y251" s="188">
        <v>0</v>
      </c>
      <c r="Z251" s="188">
        <v>0</v>
      </c>
      <c r="AA251" s="188">
        <v>0</v>
      </c>
      <c r="AB251" s="188">
        <v>0</v>
      </c>
      <c r="AC251" s="188">
        <v>0</v>
      </c>
      <c r="AD251" s="188">
        <v>0</v>
      </c>
      <c r="AE251" s="188">
        <v>0</v>
      </c>
      <c r="AF251" s="188">
        <v>0</v>
      </c>
      <c r="AG251" s="188">
        <v>0</v>
      </c>
      <c r="AH251" s="188">
        <v>0</v>
      </c>
      <c r="AI251" s="188">
        <v>0</v>
      </c>
      <c r="AJ251" s="188">
        <v>0</v>
      </c>
    </row>
    <row r="252" spans="1:36" x14ac:dyDescent="0.35">
      <c r="A252" t="s">
        <v>1725</v>
      </c>
      <c r="B252" s="188" t="s">
        <v>1342</v>
      </c>
      <c r="C252" t="s">
        <v>1343</v>
      </c>
      <c r="D252" s="188">
        <v>30</v>
      </c>
      <c r="E252" t="s">
        <v>1701</v>
      </c>
      <c r="F252" t="s">
        <v>1391</v>
      </c>
      <c r="G252" s="188" t="s">
        <v>1726</v>
      </c>
      <c r="H252" s="188">
        <v>0</v>
      </c>
      <c r="I252" s="188">
        <v>0</v>
      </c>
      <c r="J252" s="188">
        <v>0</v>
      </c>
      <c r="K252" s="188">
        <v>0</v>
      </c>
      <c r="L252" s="188">
        <v>0</v>
      </c>
      <c r="M252" s="188">
        <v>0</v>
      </c>
      <c r="N252" s="188">
        <v>0</v>
      </c>
      <c r="O252" s="188">
        <v>0</v>
      </c>
      <c r="P252" s="188">
        <v>0</v>
      </c>
      <c r="Q252" s="188">
        <v>0</v>
      </c>
      <c r="R252" s="188">
        <v>0</v>
      </c>
      <c r="S252" s="188">
        <v>0</v>
      </c>
      <c r="T252" s="188">
        <v>0</v>
      </c>
      <c r="U252" s="188">
        <v>0</v>
      </c>
      <c r="V252" s="188">
        <v>0</v>
      </c>
      <c r="W252" s="188">
        <v>0</v>
      </c>
      <c r="X252" s="188">
        <v>0</v>
      </c>
      <c r="Y252" s="188">
        <v>0</v>
      </c>
      <c r="Z252" s="188">
        <v>0</v>
      </c>
      <c r="AA252" s="188">
        <v>0</v>
      </c>
      <c r="AB252" s="188">
        <v>0</v>
      </c>
      <c r="AC252" s="188">
        <v>0</v>
      </c>
      <c r="AD252" s="188">
        <v>0</v>
      </c>
      <c r="AE252" s="188">
        <v>0</v>
      </c>
      <c r="AF252" s="188">
        <v>0</v>
      </c>
      <c r="AG252" s="188">
        <v>0</v>
      </c>
      <c r="AH252" s="188">
        <v>0</v>
      </c>
      <c r="AI252" s="188">
        <v>0</v>
      </c>
      <c r="AJ252" s="188">
        <v>0</v>
      </c>
    </row>
    <row r="253" spans="1:36" x14ac:dyDescent="0.35">
      <c r="A253" t="s">
        <v>1727</v>
      </c>
      <c r="B253" s="188" t="s">
        <v>1342</v>
      </c>
      <c r="C253" t="s">
        <v>1348</v>
      </c>
      <c r="D253" s="188">
        <v>30</v>
      </c>
      <c r="E253" t="s">
        <v>1701</v>
      </c>
      <c r="F253" t="s">
        <v>1391</v>
      </c>
      <c r="G253" s="188" t="s">
        <v>1726</v>
      </c>
      <c r="H253" s="188">
        <v>0</v>
      </c>
      <c r="I253" s="188">
        <v>0</v>
      </c>
      <c r="J253" s="188">
        <v>0</v>
      </c>
      <c r="K253" s="188">
        <v>0</v>
      </c>
      <c r="L253" s="188">
        <v>0</v>
      </c>
      <c r="M253" s="188">
        <v>0</v>
      </c>
      <c r="N253" s="188">
        <v>0</v>
      </c>
      <c r="O253" s="188">
        <v>0</v>
      </c>
      <c r="P253" s="188">
        <v>0</v>
      </c>
      <c r="Q253" s="188">
        <v>0</v>
      </c>
      <c r="R253" s="188">
        <v>0</v>
      </c>
      <c r="S253" s="188">
        <v>0</v>
      </c>
      <c r="T253" s="188">
        <v>0</v>
      </c>
      <c r="U253" s="188">
        <v>0</v>
      </c>
      <c r="V253" s="188">
        <v>0</v>
      </c>
      <c r="W253" s="188">
        <v>0</v>
      </c>
      <c r="X253" s="188">
        <v>0</v>
      </c>
      <c r="Y253" s="188">
        <v>0</v>
      </c>
      <c r="Z253" s="188">
        <v>0</v>
      </c>
      <c r="AA253" s="188">
        <v>0</v>
      </c>
      <c r="AB253" s="188">
        <v>0</v>
      </c>
      <c r="AC253" s="188">
        <v>0</v>
      </c>
      <c r="AD253" s="188">
        <v>0</v>
      </c>
      <c r="AE253" s="188">
        <v>0</v>
      </c>
      <c r="AF253" s="188">
        <v>0</v>
      </c>
      <c r="AG253" s="188">
        <v>0</v>
      </c>
      <c r="AH253" s="188">
        <v>0</v>
      </c>
      <c r="AI253" s="188">
        <v>0</v>
      </c>
      <c r="AJ253" s="188">
        <v>0</v>
      </c>
    </row>
    <row r="254" spans="1:36" x14ac:dyDescent="0.35">
      <c r="A254" t="s">
        <v>1728</v>
      </c>
      <c r="B254" s="188" t="s">
        <v>1342</v>
      </c>
      <c r="C254" t="s">
        <v>1350</v>
      </c>
      <c r="D254" s="188">
        <v>30</v>
      </c>
      <c r="E254" t="s">
        <v>1701</v>
      </c>
      <c r="F254" t="s">
        <v>1391</v>
      </c>
      <c r="G254" s="188" t="s">
        <v>1726</v>
      </c>
      <c r="H254" s="188">
        <v>0</v>
      </c>
      <c r="I254" s="188">
        <v>0</v>
      </c>
      <c r="J254" s="188">
        <v>0</v>
      </c>
      <c r="K254" s="188">
        <v>0</v>
      </c>
      <c r="L254" s="188">
        <v>0</v>
      </c>
      <c r="M254" s="188">
        <v>0</v>
      </c>
      <c r="N254" s="188">
        <v>0</v>
      </c>
      <c r="O254" s="188">
        <v>0</v>
      </c>
      <c r="P254" s="188">
        <v>0</v>
      </c>
      <c r="Q254" s="188">
        <v>0</v>
      </c>
      <c r="R254" s="188">
        <v>0</v>
      </c>
      <c r="S254" s="188">
        <v>0</v>
      </c>
      <c r="T254" s="188">
        <v>0</v>
      </c>
      <c r="U254" s="188">
        <v>0</v>
      </c>
      <c r="V254" s="188">
        <v>0</v>
      </c>
      <c r="W254" s="188">
        <v>0</v>
      </c>
      <c r="X254" s="188">
        <v>0</v>
      </c>
      <c r="Y254" s="188">
        <v>0</v>
      </c>
      <c r="Z254" s="188">
        <v>0</v>
      </c>
      <c r="AA254" s="188">
        <v>0</v>
      </c>
      <c r="AB254" s="188">
        <v>0</v>
      </c>
      <c r="AC254" s="188">
        <v>0</v>
      </c>
      <c r="AD254" s="188">
        <v>0</v>
      </c>
      <c r="AE254" s="188">
        <v>0</v>
      </c>
      <c r="AF254" s="188">
        <v>0</v>
      </c>
      <c r="AG254" s="188">
        <v>0</v>
      </c>
      <c r="AH254" s="188">
        <v>0</v>
      </c>
      <c r="AI254" s="188">
        <v>0</v>
      </c>
      <c r="AJ254" s="188">
        <v>0</v>
      </c>
    </row>
    <row r="255" spans="1:36" x14ac:dyDescent="0.35">
      <c r="A255" t="s">
        <v>1729</v>
      </c>
      <c r="B255" s="188" t="s">
        <v>1342</v>
      </c>
      <c r="C255" t="s">
        <v>1343</v>
      </c>
      <c r="D255" s="188">
        <v>30</v>
      </c>
      <c r="E255" t="s">
        <v>1701</v>
      </c>
      <c r="F255" t="s">
        <v>1357</v>
      </c>
      <c r="G255" s="188" t="s">
        <v>1730</v>
      </c>
      <c r="H255" s="188">
        <v>0</v>
      </c>
      <c r="I255" s="188">
        <v>0</v>
      </c>
      <c r="J255" s="188">
        <v>0</v>
      </c>
      <c r="K255" s="188">
        <v>0</v>
      </c>
      <c r="L255" s="188">
        <v>0</v>
      </c>
      <c r="M255" s="188">
        <v>0</v>
      </c>
      <c r="N255" s="188">
        <v>0</v>
      </c>
      <c r="O255" s="188">
        <v>0</v>
      </c>
      <c r="P255" s="188">
        <v>0</v>
      </c>
      <c r="Q255" s="188">
        <v>0</v>
      </c>
      <c r="R255" s="188">
        <v>0</v>
      </c>
      <c r="S255" s="188">
        <v>0</v>
      </c>
      <c r="T255" s="188">
        <v>0</v>
      </c>
      <c r="U255" s="188">
        <v>0</v>
      </c>
      <c r="V255" s="188">
        <v>0</v>
      </c>
      <c r="W255" s="188">
        <v>0</v>
      </c>
      <c r="X255" s="188">
        <v>0</v>
      </c>
      <c r="Y255" s="188">
        <v>0</v>
      </c>
      <c r="Z255" s="188">
        <v>0</v>
      </c>
      <c r="AA255" s="188">
        <v>0</v>
      </c>
      <c r="AB255" s="188">
        <v>0</v>
      </c>
      <c r="AC255" s="188">
        <v>0</v>
      </c>
      <c r="AD255" s="188">
        <v>0</v>
      </c>
      <c r="AE255" s="188">
        <v>0</v>
      </c>
      <c r="AF255" s="188">
        <v>0</v>
      </c>
      <c r="AG255" s="188">
        <v>0</v>
      </c>
      <c r="AH255" s="188">
        <v>0</v>
      </c>
      <c r="AI255" s="188">
        <v>0</v>
      </c>
      <c r="AJ255" s="188">
        <v>0</v>
      </c>
    </row>
    <row r="256" spans="1:36" x14ac:dyDescent="0.35">
      <c r="A256" t="s">
        <v>1731</v>
      </c>
      <c r="B256" s="188" t="s">
        <v>1342</v>
      </c>
      <c r="C256" t="s">
        <v>1348</v>
      </c>
      <c r="D256" s="188">
        <v>30</v>
      </c>
      <c r="E256" t="s">
        <v>1701</v>
      </c>
      <c r="F256" t="s">
        <v>1357</v>
      </c>
      <c r="G256" s="188" t="s">
        <v>1730</v>
      </c>
      <c r="H256" s="188">
        <v>0</v>
      </c>
      <c r="I256" s="188">
        <v>0</v>
      </c>
      <c r="J256" s="188">
        <v>0</v>
      </c>
      <c r="K256" s="188">
        <v>0</v>
      </c>
      <c r="L256" s="188">
        <v>0</v>
      </c>
      <c r="M256" s="188">
        <v>0</v>
      </c>
      <c r="N256" s="188">
        <v>0</v>
      </c>
      <c r="O256" s="188">
        <v>0</v>
      </c>
      <c r="P256" s="188">
        <v>0</v>
      </c>
      <c r="Q256" s="188">
        <v>0</v>
      </c>
      <c r="R256" s="188">
        <v>0</v>
      </c>
      <c r="S256" s="188">
        <v>0</v>
      </c>
      <c r="T256" s="188">
        <v>0</v>
      </c>
      <c r="U256" s="188">
        <v>0</v>
      </c>
      <c r="V256" s="188">
        <v>0</v>
      </c>
      <c r="W256" s="188">
        <v>0</v>
      </c>
      <c r="X256" s="188">
        <v>0</v>
      </c>
      <c r="Y256" s="188">
        <v>0</v>
      </c>
      <c r="Z256" s="188">
        <v>0</v>
      </c>
      <c r="AA256" s="188">
        <v>0</v>
      </c>
      <c r="AB256" s="188">
        <v>0</v>
      </c>
      <c r="AC256" s="188">
        <v>0</v>
      </c>
      <c r="AD256" s="188">
        <v>0</v>
      </c>
      <c r="AE256" s="188">
        <v>0</v>
      </c>
      <c r="AF256" s="188">
        <v>0</v>
      </c>
      <c r="AG256" s="188">
        <v>0</v>
      </c>
      <c r="AH256" s="188">
        <v>0</v>
      </c>
      <c r="AI256" s="188">
        <v>0</v>
      </c>
      <c r="AJ256" s="188">
        <v>0</v>
      </c>
    </row>
    <row r="257" spans="1:36" x14ac:dyDescent="0.35">
      <c r="A257" t="s">
        <v>1732</v>
      </c>
      <c r="B257" s="188" t="s">
        <v>1342</v>
      </c>
      <c r="C257" t="s">
        <v>1350</v>
      </c>
      <c r="D257" s="188">
        <v>30</v>
      </c>
      <c r="E257" t="s">
        <v>1701</v>
      </c>
      <c r="F257" t="s">
        <v>1357</v>
      </c>
      <c r="G257" s="188" t="s">
        <v>1730</v>
      </c>
      <c r="H257" s="188">
        <v>0</v>
      </c>
      <c r="I257" s="188">
        <v>0</v>
      </c>
      <c r="J257" s="188">
        <v>0</v>
      </c>
      <c r="K257" s="188">
        <v>0</v>
      </c>
      <c r="L257" s="188">
        <v>0</v>
      </c>
      <c r="M257" s="188">
        <v>0</v>
      </c>
      <c r="N257" s="188">
        <v>0</v>
      </c>
      <c r="O257" s="188">
        <v>0</v>
      </c>
      <c r="P257" s="188">
        <v>0</v>
      </c>
      <c r="Q257" s="188">
        <v>0</v>
      </c>
      <c r="R257" s="188">
        <v>0</v>
      </c>
      <c r="S257" s="188">
        <v>0</v>
      </c>
      <c r="T257" s="188">
        <v>0</v>
      </c>
      <c r="U257" s="188">
        <v>0</v>
      </c>
      <c r="V257" s="188">
        <v>0</v>
      </c>
      <c r="W257" s="188">
        <v>0</v>
      </c>
      <c r="X257" s="188">
        <v>0</v>
      </c>
      <c r="Y257" s="188">
        <v>0</v>
      </c>
      <c r="Z257" s="188">
        <v>0</v>
      </c>
      <c r="AA257" s="188">
        <v>0</v>
      </c>
      <c r="AB257" s="188">
        <v>0</v>
      </c>
      <c r="AC257" s="188">
        <v>0</v>
      </c>
      <c r="AD257" s="188">
        <v>0</v>
      </c>
      <c r="AE257" s="188">
        <v>0</v>
      </c>
      <c r="AF257" s="188">
        <v>0</v>
      </c>
      <c r="AG257" s="188">
        <v>0</v>
      </c>
      <c r="AH257" s="188">
        <v>0</v>
      </c>
      <c r="AI257" s="188">
        <v>0</v>
      </c>
      <c r="AJ257" s="188">
        <v>0</v>
      </c>
    </row>
    <row r="258" spans="1:36" x14ac:dyDescent="0.35">
      <c r="A258" t="s">
        <v>1733</v>
      </c>
      <c r="B258" s="188" t="s">
        <v>1342</v>
      </c>
      <c r="C258" t="s">
        <v>1343</v>
      </c>
      <c r="D258" s="188">
        <v>30</v>
      </c>
      <c r="E258" t="s">
        <v>1701</v>
      </c>
      <c r="F258" t="s">
        <v>1400</v>
      </c>
      <c r="G258" s="188" t="s">
        <v>1734</v>
      </c>
      <c r="H258" s="188">
        <v>0</v>
      </c>
      <c r="I258" s="188">
        <v>0</v>
      </c>
      <c r="J258" s="188">
        <v>0</v>
      </c>
      <c r="K258" s="188">
        <v>0</v>
      </c>
      <c r="L258" s="188">
        <v>0</v>
      </c>
      <c r="M258" s="188">
        <v>0</v>
      </c>
      <c r="N258" s="188">
        <v>0</v>
      </c>
      <c r="O258" s="188">
        <v>0</v>
      </c>
      <c r="P258" s="188">
        <v>0</v>
      </c>
      <c r="Q258" s="188">
        <v>0</v>
      </c>
      <c r="R258" s="188">
        <v>0</v>
      </c>
      <c r="S258" s="188">
        <v>0</v>
      </c>
      <c r="T258" s="188">
        <v>0</v>
      </c>
      <c r="U258" s="188">
        <v>0</v>
      </c>
      <c r="V258" s="188">
        <v>0</v>
      </c>
      <c r="W258" s="188">
        <v>0</v>
      </c>
      <c r="X258" s="188">
        <v>0</v>
      </c>
      <c r="Y258" s="188">
        <v>0</v>
      </c>
      <c r="Z258" s="188">
        <v>0</v>
      </c>
      <c r="AA258" s="188">
        <v>0</v>
      </c>
      <c r="AB258" s="188">
        <v>0</v>
      </c>
      <c r="AC258" s="188">
        <v>0</v>
      </c>
      <c r="AD258" s="188">
        <v>0</v>
      </c>
      <c r="AE258" s="188">
        <v>0</v>
      </c>
      <c r="AF258" s="188">
        <v>0</v>
      </c>
      <c r="AG258" s="188">
        <v>0</v>
      </c>
      <c r="AH258" s="188">
        <v>0</v>
      </c>
      <c r="AI258" s="188">
        <v>0</v>
      </c>
      <c r="AJ258" s="188">
        <v>0</v>
      </c>
    </row>
    <row r="259" spans="1:36" x14ac:dyDescent="0.35">
      <c r="A259" t="s">
        <v>1735</v>
      </c>
      <c r="B259" s="188" t="s">
        <v>1342</v>
      </c>
      <c r="C259" t="s">
        <v>1348</v>
      </c>
      <c r="D259" s="188">
        <v>30</v>
      </c>
      <c r="E259" t="s">
        <v>1701</v>
      </c>
      <c r="F259" t="s">
        <v>1400</v>
      </c>
      <c r="G259" s="188" t="s">
        <v>1734</v>
      </c>
      <c r="H259" s="188">
        <v>0</v>
      </c>
      <c r="I259" s="188">
        <v>0</v>
      </c>
      <c r="J259" s="188">
        <v>0</v>
      </c>
      <c r="K259" s="188">
        <v>0</v>
      </c>
      <c r="L259" s="188">
        <v>0</v>
      </c>
      <c r="M259" s="188">
        <v>0</v>
      </c>
      <c r="N259" s="188">
        <v>0</v>
      </c>
      <c r="O259" s="188">
        <v>0</v>
      </c>
      <c r="P259" s="188">
        <v>0</v>
      </c>
      <c r="Q259" s="188">
        <v>0</v>
      </c>
      <c r="R259" s="188">
        <v>0</v>
      </c>
      <c r="S259" s="188">
        <v>0</v>
      </c>
      <c r="T259" s="188">
        <v>0</v>
      </c>
      <c r="U259" s="188">
        <v>0</v>
      </c>
      <c r="V259" s="188">
        <v>0</v>
      </c>
      <c r="W259" s="188">
        <v>0</v>
      </c>
      <c r="X259" s="188">
        <v>0</v>
      </c>
      <c r="Y259" s="188">
        <v>0</v>
      </c>
      <c r="Z259" s="188">
        <v>0</v>
      </c>
      <c r="AA259" s="188">
        <v>0</v>
      </c>
      <c r="AB259" s="188">
        <v>0</v>
      </c>
      <c r="AC259" s="188">
        <v>0</v>
      </c>
      <c r="AD259" s="188">
        <v>0</v>
      </c>
      <c r="AE259" s="188">
        <v>0</v>
      </c>
      <c r="AF259" s="188">
        <v>0</v>
      </c>
      <c r="AG259" s="188">
        <v>0</v>
      </c>
      <c r="AH259" s="188">
        <v>0</v>
      </c>
      <c r="AI259" s="188">
        <v>0</v>
      </c>
      <c r="AJ259" s="188">
        <v>0</v>
      </c>
    </row>
    <row r="260" spans="1:36" x14ac:dyDescent="0.35">
      <c r="A260" t="s">
        <v>1736</v>
      </c>
      <c r="B260" s="188" t="s">
        <v>1342</v>
      </c>
      <c r="C260" t="s">
        <v>1350</v>
      </c>
      <c r="D260" s="188">
        <v>30</v>
      </c>
      <c r="E260" t="s">
        <v>1701</v>
      </c>
      <c r="F260" t="s">
        <v>1400</v>
      </c>
      <c r="G260" s="188" t="s">
        <v>1734</v>
      </c>
      <c r="H260" s="188">
        <v>0</v>
      </c>
      <c r="I260" s="188">
        <v>0</v>
      </c>
      <c r="J260" s="188">
        <v>0</v>
      </c>
      <c r="K260" s="188">
        <v>0</v>
      </c>
      <c r="L260" s="188">
        <v>0</v>
      </c>
      <c r="M260" s="188">
        <v>0</v>
      </c>
      <c r="N260" s="188">
        <v>0</v>
      </c>
      <c r="O260" s="188">
        <v>0</v>
      </c>
      <c r="P260" s="188">
        <v>0</v>
      </c>
      <c r="Q260" s="188">
        <v>0</v>
      </c>
      <c r="R260" s="188">
        <v>0</v>
      </c>
      <c r="S260" s="188">
        <v>0</v>
      </c>
      <c r="T260" s="188">
        <v>0</v>
      </c>
      <c r="U260" s="188">
        <v>0</v>
      </c>
      <c r="V260" s="188">
        <v>0</v>
      </c>
      <c r="W260" s="188">
        <v>0</v>
      </c>
      <c r="X260" s="188">
        <v>0</v>
      </c>
      <c r="Y260" s="188">
        <v>0</v>
      </c>
      <c r="Z260" s="188">
        <v>0</v>
      </c>
      <c r="AA260" s="188">
        <v>0</v>
      </c>
      <c r="AB260" s="188">
        <v>0</v>
      </c>
      <c r="AC260" s="188">
        <v>0</v>
      </c>
      <c r="AD260" s="188">
        <v>0</v>
      </c>
      <c r="AE260" s="188">
        <v>0</v>
      </c>
      <c r="AF260" s="188">
        <v>0</v>
      </c>
      <c r="AG260" s="188">
        <v>0</v>
      </c>
      <c r="AH260" s="188">
        <v>0</v>
      </c>
      <c r="AI260" s="188">
        <v>0</v>
      </c>
      <c r="AJ260" s="188">
        <v>0</v>
      </c>
    </row>
    <row r="261" spans="1:36" x14ac:dyDescent="0.35">
      <c r="A261" t="s">
        <v>1737</v>
      </c>
      <c r="B261" s="188" t="s">
        <v>1342</v>
      </c>
      <c r="C261" t="s">
        <v>1343</v>
      </c>
      <c r="D261" s="188">
        <v>30</v>
      </c>
      <c r="E261" t="s">
        <v>1701</v>
      </c>
      <c r="F261" t="s">
        <v>1405</v>
      </c>
      <c r="G261" s="188" t="s">
        <v>1738</v>
      </c>
      <c r="H261" s="188">
        <v>0</v>
      </c>
      <c r="I261" s="188">
        <v>0</v>
      </c>
      <c r="J261" s="188">
        <v>0</v>
      </c>
      <c r="K261" s="188">
        <v>0</v>
      </c>
      <c r="L261" s="188">
        <v>0</v>
      </c>
      <c r="M261" s="188">
        <v>0</v>
      </c>
      <c r="N261" s="188">
        <v>0</v>
      </c>
      <c r="O261" s="188">
        <v>0</v>
      </c>
      <c r="P261" s="188">
        <v>0</v>
      </c>
      <c r="Q261" s="188">
        <v>0</v>
      </c>
      <c r="R261" s="188">
        <v>0</v>
      </c>
      <c r="S261" s="188">
        <v>0</v>
      </c>
      <c r="T261" s="188">
        <v>0</v>
      </c>
      <c r="U261" s="188">
        <v>0</v>
      </c>
      <c r="V261" s="188">
        <v>0</v>
      </c>
      <c r="W261" s="188">
        <v>0</v>
      </c>
      <c r="X261" s="188">
        <v>0</v>
      </c>
      <c r="Y261" s="188">
        <v>0</v>
      </c>
      <c r="Z261" s="188">
        <v>0</v>
      </c>
      <c r="AA261" s="188">
        <v>0</v>
      </c>
      <c r="AB261" s="188">
        <v>0</v>
      </c>
      <c r="AC261" s="188">
        <v>0</v>
      </c>
      <c r="AD261" s="188">
        <v>0</v>
      </c>
      <c r="AE261" s="188">
        <v>0</v>
      </c>
      <c r="AF261" s="188">
        <v>0</v>
      </c>
      <c r="AG261" s="188">
        <v>0</v>
      </c>
      <c r="AH261" s="188">
        <v>0</v>
      </c>
      <c r="AI261" s="188">
        <v>0</v>
      </c>
      <c r="AJ261" s="188">
        <v>0</v>
      </c>
    </row>
    <row r="262" spans="1:36" x14ac:dyDescent="0.35">
      <c r="A262" t="s">
        <v>1739</v>
      </c>
      <c r="B262" s="188" t="s">
        <v>1342</v>
      </c>
      <c r="C262" t="s">
        <v>1348</v>
      </c>
      <c r="D262" s="188">
        <v>30</v>
      </c>
      <c r="E262" t="s">
        <v>1701</v>
      </c>
      <c r="F262" t="s">
        <v>1405</v>
      </c>
      <c r="G262" s="188" t="s">
        <v>1738</v>
      </c>
      <c r="H262" s="188">
        <v>0</v>
      </c>
      <c r="I262" s="188">
        <v>0</v>
      </c>
      <c r="J262" s="188">
        <v>0</v>
      </c>
      <c r="K262" s="188">
        <v>0</v>
      </c>
      <c r="L262" s="188">
        <v>0</v>
      </c>
      <c r="M262" s="188">
        <v>0</v>
      </c>
      <c r="N262" s="188">
        <v>0</v>
      </c>
      <c r="O262" s="188">
        <v>0</v>
      </c>
      <c r="P262" s="188">
        <v>0</v>
      </c>
      <c r="Q262" s="188">
        <v>0</v>
      </c>
      <c r="R262" s="188">
        <v>0</v>
      </c>
      <c r="S262" s="188">
        <v>0</v>
      </c>
      <c r="T262" s="188">
        <v>0</v>
      </c>
      <c r="U262" s="188">
        <v>0</v>
      </c>
      <c r="V262" s="188">
        <v>0</v>
      </c>
      <c r="W262" s="188">
        <v>0</v>
      </c>
      <c r="X262" s="188">
        <v>0</v>
      </c>
      <c r="Y262" s="188">
        <v>0</v>
      </c>
      <c r="Z262" s="188">
        <v>0</v>
      </c>
      <c r="AA262" s="188">
        <v>0</v>
      </c>
      <c r="AB262" s="188">
        <v>0</v>
      </c>
      <c r="AC262" s="188">
        <v>0</v>
      </c>
      <c r="AD262" s="188">
        <v>0</v>
      </c>
      <c r="AE262" s="188">
        <v>0</v>
      </c>
      <c r="AF262" s="188">
        <v>0</v>
      </c>
      <c r="AG262" s="188">
        <v>0</v>
      </c>
      <c r="AH262" s="188">
        <v>0</v>
      </c>
      <c r="AI262" s="188">
        <v>0</v>
      </c>
      <c r="AJ262" s="188">
        <v>0</v>
      </c>
    </row>
    <row r="263" spans="1:36" x14ac:dyDescent="0.35">
      <c r="A263" t="s">
        <v>1740</v>
      </c>
      <c r="B263" s="188" t="s">
        <v>1342</v>
      </c>
      <c r="C263" t="s">
        <v>1350</v>
      </c>
      <c r="D263" s="188">
        <v>30</v>
      </c>
      <c r="E263" t="s">
        <v>1701</v>
      </c>
      <c r="F263" t="s">
        <v>1405</v>
      </c>
      <c r="G263" s="188" t="s">
        <v>1738</v>
      </c>
      <c r="H263" s="188">
        <v>0</v>
      </c>
      <c r="I263" s="188">
        <v>0</v>
      </c>
      <c r="J263" s="188">
        <v>0</v>
      </c>
      <c r="K263" s="188">
        <v>0</v>
      </c>
      <c r="L263" s="188">
        <v>0</v>
      </c>
      <c r="M263" s="188">
        <v>0</v>
      </c>
      <c r="N263" s="188">
        <v>0</v>
      </c>
      <c r="O263" s="188">
        <v>0</v>
      </c>
      <c r="P263" s="188">
        <v>0</v>
      </c>
      <c r="Q263" s="188">
        <v>0</v>
      </c>
      <c r="R263" s="188">
        <v>0</v>
      </c>
      <c r="S263" s="188">
        <v>0</v>
      </c>
      <c r="T263" s="188">
        <v>0</v>
      </c>
      <c r="U263" s="188">
        <v>0</v>
      </c>
      <c r="V263" s="188">
        <v>0</v>
      </c>
      <c r="W263" s="188">
        <v>0</v>
      </c>
      <c r="X263" s="188">
        <v>0</v>
      </c>
      <c r="Y263" s="188">
        <v>0</v>
      </c>
      <c r="Z263" s="188">
        <v>0</v>
      </c>
      <c r="AA263" s="188">
        <v>0</v>
      </c>
      <c r="AB263" s="188">
        <v>0</v>
      </c>
      <c r="AC263" s="188">
        <v>0</v>
      </c>
      <c r="AD263" s="188">
        <v>0</v>
      </c>
      <c r="AE263" s="188">
        <v>0</v>
      </c>
      <c r="AF263" s="188">
        <v>0</v>
      </c>
      <c r="AG263" s="188">
        <v>0</v>
      </c>
      <c r="AH263" s="188">
        <v>0</v>
      </c>
      <c r="AI263" s="188">
        <v>0</v>
      </c>
      <c r="AJ263" s="188">
        <v>0</v>
      </c>
    </row>
    <row r="264" spans="1:36" x14ac:dyDescent="0.35">
      <c r="A264" t="s">
        <v>1741</v>
      </c>
      <c r="B264" s="188" t="s">
        <v>1342</v>
      </c>
      <c r="C264" t="s">
        <v>1343</v>
      </c>
      <c r="D264" s="188">
        <v>30</v>
      </c>
      <c r="E264" t="s">
        <v>1742</v>
      </c>
      <c r="F264" t="s">
        <v>1363</v>
      </c>
      <c r="G264" s="188" t="s">
        <v>1743</v>
      </c>
      <c r="H264" s="188">
        <v>0</v>
      </c>
      <c r="I264" s="188">
        <v>0</v>
      </c>
      <c r="J264" s="188">
        <v>0</v>
      </c>
      <c r="K264" s="188">
        <v>0</v>
      </c>
      <c r="L264" s="188">
        <v>0</v>
      </c>
      <c r="M264" s="188">
        <v>0</v>
      </c>
      <c r="N264" s="188">
        <v>0</v>
      </c>
      <c r="O264" s="188">
        <v>0</v>
      </c>
      <c r="P264" s="188">
        <v>0</v>
      </c>
      <c r="Q264" s="188">
        <v>0</v>
      </c>
      <c r="R264" s="188">
        <v>0</v>
      </c>
      <c r="S264" s="188">
        <v>0</v>
      </c>
      <c r="T264" s="188">
        <v>0</v>
      </c>
      <c r="U264" s="188">
        <v>0</v>
      </c>
      <c r="V264" s="188">
        <v>0</v>
      </c>
      <c r="W264" s="188">
        <v>0</v>
      </c>
      <c r="X264" s="188">
        <v>0</v>
      </c>
      <c r="Y264" s="188">
        <v>0</v>
      </c>
      <c r="Z264" s="188">
        <v>0</v>
      </c>
      <c r="AA264" s="188">
        <v>0</v>
      </c>
      <c r="AB264" s="188">
        <v>0</v>
      </c>
      <c r="AC264" s="188">
        <v>0</v>
      </c>
      <c r="AD264" s="188">
        <v>0</v>
      </c>
      <c r="AE264" s="188">
        <v>0</v>
      </c>
      <c r="AF264" s="188">
        <v>0</v>
      </c>
      <c r="AG264" s="188">
        <v>0</v>
      </c>
      <c r="AH264" s="188">
        <v>0</v>
      </c>
      <c r="AI264" s="188">
        <v>0</v>
      </c>
      <c r="AJ264" s="188">
        <v>0</v>
      </c>
    </row>
    <row r="265" spans="1:36" x14ac:dyDescent="0.35">
      <c r="A265" t="s">
        <v>1744</v>
      </c>
      <c r="B265" s="188" t="s">
        <v>1342</v>
      </c>
      <c r="C265" t="s">
        <v>1348</v>
      </c>
      <c r="D265" s="188">
        <v>30</v>
      </c>
      <c r="E265" t="s">
        <v>1742</v>
      </c>
      <c r="F265" t="s">
        <v>1363</v>
      </c>
      <c r="G265" s="188" t="s">
        <v>1743</v>
      </c>
      <c r="H265" s="188">
        <v>0</v>
      </c>
      <c r="I265" s="188">
        <v>0</v>
      </c>
      <c r="J265" s="188">
        <v>0</v>
      </c>
      <c r="K265" s="188">
        <v>0</v>
      </c>
      <c r="L265" s="188">
        <v>0</v>
      </c>
      <c r="M265" s="188">
        <v>0</v>
      </c>
      <c r="N265" s="188">
        <v>0</v>
      </c>
      <c r="O265" s="188">
        <v>0</v>
      </c>
      <c r="P265" s="188">
        <v>0</v>
      </c>
      <c r="Q265" s="188">
        <v>0</v>
      </c>
      <c r="R265" s="188">
        <v>0</v>
      </c>
      <c r="S265" s="188">
        <v>0</v>
      </c>
      <c r="T265" s="188">
        <v>0</v>
      </c>
      <c r="U265" s="188">
        <v>0</v>
      </c>
      <c r="V265" s="188">
        <v>0</v>
      </c>
      <c r="W265" s="188">
        <v>0</v>
      </c>
      <c r="X265" s="188">
        <v>0</v>
      </c>
      <c r="Y265" s="188">
        <v>0</v>
      </c>
      <c r="Z265" s="188">
        <v>0</v>
      </c>
      <c r="AA265" s="188">
        <v>0</v>
      </c>
      <c r="AB265" s="188">
        <v>0</v>
      </c>
      <c r="AC265" s="188">
        <v>0</v>
      </c>
      <c r="AD265" s="188">
        <v>0</v>
      </c>
      <c r="AE265" s="188">
        <v>0</v>
      </c>
      <c r="AF265" s="188">
        <v>0</v>
      </c>
      <c r="AG265" s="188">
        <v>0</v>
      </c>
      <c r="AH265" s="188">
        <v>0</v>
      </c>
      <c r="AI265" s="188">
        <v>0</v>
      </c>
      <c r="AJ265" s="188">
        <v>0</v>
      </c>
    </row>
    <row r="266" spans="1:36" x14ac:dyDescent="0.35">
      <c r="A266" t="s">
        <v>1745</v>
      </c>
      <c r="B266" s="188" t="s">
        <v>1342</v>
      </c>
      <c r="C266" t="s">
        <v>1350</v>
      </c>
      <c r="D266" s="188">
        <v>30</v>
      </c>
      <c r="E266" t="s">
        <v>1742</v>
      </c>
      <c r="F266" t="s">
        <v>1363</v>
      </c>
      <c r="G266" s="188" t="s">
        <v>1743</v>
      </c>
      <c r="H266" s="188">
        <v>0</v>
      </c>
      <c r="I266" s="188">
        <v>0</v>
      </c>
      <c r="J266" s="188">
        <v>0</v>
      </c>
      <c r="K266" s="188">
        <v>0</v>
      </c>
      <c r="L266" s="188">
        <v>0</v>
      </c>
      <c r="M266" s="188">
        <v>0</v>
      </c>
      <c r="N266" s="188">
        <v>0</v>
      </c>
      <c r="O266" s="188">
        <v>0</v>
      </c>
      <c r="P266" s="188">
        <v>0</v>
      </c>
      <c r="Q266" s="188">
        <v>0</v>
      </c>
      <c r="R266" s="188">
        <v>0</v>
      </c>
      <c r="S266" s="188">
        <v>0</v>
      </c>
      <c r="T266" s="188">
        <v>0</v>
      </c>
      <c r="U266" s="188">
        <v>0</v>
      </c>
      <c r="V266" s="188">
        <v>0</v>
      </c>
      <c r="W266" s="188">
        <v>0</v>
      </c>
      <c r="X266" s="188">
        <v>0</v>
      </c>
      <c r="Y266" s="188">
        <v>0</v>
      </c>
      <c r="Z266" s="188">
        <v>0</v>
      </c>
      <c r="AA266" s="188">
        <v>0</v>
      </c>
      <c r="AB266" s="188">
        <v>0</v>
      </c>
      <c r="AC266" s="188">
        <v>0</v>
      </c>
      <c r="AD266" s="188">
        <v>0</v>
      </c>
      <c r="AE266" s="188">
        <v>0</v>
      </c>
      <c r="AF266" s="188">
        <v>0</v>
      </c>
      <c r="AG266" s="188">
        <v>0</v>
      </c>
      <c r="AH266" s="188">
        <v>0</v>
      </c>
      <c r="AI266" s="188">
        <v>0</v>
      </c>
      <c r="AJ266" s="188">
        <v>0</v>
      </c>
    </row>
    <row r="267" spans="1:36" x14ac:dyDescent="0.35">
      <c r="A267" t="s">
        <v>1746</v>
      </c>
      <c r="B267" s="188" t="s">
        <v>1342</v>
      </c>
      <c r="C267" t="s">
        <v>1343</v>
      </c>
      <c r="D267" s="188">
        <v>30</v>
      </c>
      <c r="E267" t="s">
        <v>1742</v>
      </c>
      <c r="F267" t="s">
        <v>1345</v>
      </c>
      <c r="G267" s="188" t="s">
        <v>1747</v>
      </c>
      <c r="H267" s="188">
        <v>0</v>
      </c>
      <c r="I267" s="188">
        <v>0</v>
      </c>
      <c r="J267" s="188">
        <v>0</v>
      </c>
      <c r="K267" s="188">
        <v>0</v>
      </c>
      <c r="L267" s="188">
        <v>0</v>
      </c>
      <c r="M267" s="188">
        <v>0</v>
      </c>
      <c r="N267" s="188">
        <v>0</v>
      </c>
      <c r="O267" s="188">
        <v>0</v>
      </c>
      <c r="P267" s="188">
        <v>0</v>
      </c>
      <c r="Q267" s="188">
        <v>0</v>
      </c>
      <c r="R267" s="188">
        <v>0</v>
      </c>
      <c r="S267" s="188">
        <v>0</v>
      </c>
      <c r="T267" s="188">
        <v>0</v>
      </c>
      <c r="U267" s="188">
        <v>0</v>
      </c>
      <c r="V267" s="188">
        <v>0</v>
      </c>
      <c r="W267" s="188">
        <v>0</v>
      </c>
      <c r="X267" s="188">
        <v>0</v>
      </c>
      <c r="Y267" s="188">
        <v>0</v>
      </c>
      <c r="Z267" s="188">
        <v>0</v>
      </c>
      <c r="AA267" s="188">
        <v>0</v>
      </c>
      <c r="AB267" s="188">
        <v>0</v>
      </c>
      <c r="AC267" s="188">
        <v>0</v>
      </c>
      <c r="AD267" s="188">
        <v>0</v>
      </c>
      <c r="AE267" s="188">
        <v>0</v>
      </c>
      <c r="AF267" s="188">
        <v>0</v>
      </c>
      <c r="AG267" s="188">
        <v>0</v>
      </c>
      <c r="AH267" s="188">
        <v>0</v>
      </c>
      <c r="AI267" s="188">
        <v>0</v>
      </c>
      <c r="AJ267" s="188">
        <v>0</v>
      </c>
    </row>
    <row r="268" spans="1:36" x14ac:dyDescent="0.35">
      <c r="A268" t="s">
        <v>1748</v>
      </c>
      <c r="B268" s="188" t="s">
        <v>1342</v>
      </c>
      <c r="C268" t="s">
        <v>1348</v>
      </c>
      <c r="D268" s="188">
        <v>30</v>
      </c>
      <c r="E268" t="s">
        <v>1742</v>
      </c>
      <c r="F268" t="s">
        <v>1345</v>
      </c>
      <c r="G268" s="188" t="s">
        <v>1747</v>
      </c>
      <c r="H268" s="188">
        <v>0</v>
      </c>
      <c r="I268" s="188">
        <v>0</v>
      </c>
      <c r="J268" s="188">
        <v>0</v>
      </c>
      <c r="K268" s="188">
        <v>0</v>
      </c>
      <c r="L268" s="188">
        <v>0</v>
      </c>
      <c r="M268" s="188">
        <v>0</v>
      </c>
      <c r="N268" s="188">
        <v>0</v>
      </c>
      <c r="O268" s="188">
        <v>0</v>
      </c>
      <c r="P268" s="188">
        <v>0</v>
      </c>
      <c r="Q268" s="188">
        <v>0</v>
      </c>
      <c r="R268" s="188">
        <v>0</v>
      </c>
      <c r="S268" s="188">
        <v>0</v>
      </c>
      <c r="T268" s="188">
        <v>0</v>
      </c>
      <c r="U268" s="188">
        <v>0</v>
      </c>
      <c r="V268" s="188">
        <v>0</v>
      </c>
      <c r="W268" s="188">
        <v>0</v>
      </c>
      <c r="X268" s="188">
        <v>0</v>
      </c>
      <c r="Y268" s="188">
        <v>0</v>
      </c>
      <c r="Z268" s="188">
        <v>0</v>
      </c>
      <c r="AA268" s="188">
        <v>0</v>
      </c>
      <c r="AB268" s="188">
        <v>0</v>
      </c>
      <c r="AC268" s="188">
        <v>0</v>
      </c>
      <c r="AD268" s="188">
        <v>0</v>
      </c>
      <c r="AE268" s="188">
        <v>0</v>
      </c>
      <c r="AF268" s="188">
        <v>0</v>
      </c>
      <c r="AG268" s="188">
        <v>0</v>
      </c>
      <c r="AH268" s="188">
        <v>0</v>
      </c>
      <c r="AI268" s="188">
        <v>0</v>
      </c>
      <c r="AJ268" s="188">
        <v>0</v>
      </c>
    </row>
    <row r="269" spans="1:36" x14ac:dyDescent="0.35">
      <c r="A269" t="s">
        <v>1749</v>
      </c>
      <c r="B269" s="188" t="s">
        <v>1342</v>
      </c>
      <c r="C269" t="s">
        <v>1350</v>
      </c>
      <c r="D269" s="188">
        <v>30</v>
      </c>
      <c r="E269" t="s">
        <v>1742</v>
      </c>
      <c r="F269" t="s">
        <v>1345</v>
      </c>
      <c r="G269" s="188" t="s">
        <v>1747</v>
      </c>
      <c r="H269" s="188">
        <v>0</v>
      </c>
      <c r="I269" s="188">
        <v>0</v>
      </c>
      <c r="J269" s="188">
        <v>0</v>
      </c>
      <c r="K269" s="188">
        <v>0</v>
      </c>
      <c r="L269" s="188">
        <v>0</v>
      </c>
      <c r="M269" s="188">
        <v>0</v>
      </c>
      <c r="N269" s="188">
        <v>0</v>
      </c>
      <c r="O269" s="188">
        <v>0</v>
      </c>
      <c r="P269" s="188">
        <v>0</v>
      </c>
      <c r="Q269" s="188">
        <v>0</v>
      </c>
      <c r="R269" s="188">
        <v>0</v>
      </c>
      <c r="S269" s="188">
        <v>0</v>
      </c>
      <c r="T269" s="188">
        <v>0</v>
      </c>
      <c r="U269" s="188">
        <v>0</v>
      </c>
      <c r="V269" s="188">
        <v>0</v>
      </c>
      <c r="W269" s="188">
        <v>0</v>
      </c>
      <c r="X269" s="188">
        <v>0</v>
      </c>
      <c r="Y269" s="188">
        <v>0</v>
      </c>
      <c r="Z269" s="188">
        <v>0</v>
      </c>
      <c r="AA269" s="188">
        <v>0</v>
      </c>
      <c r="AB269" s="188">
        <v>0</v>
      </c>
      <c r="AC269" s="188">
        <v>0</v>
      </c>
      <c r="AD269" s="188">
        <v>0</v>
      </c>
      <c r="AE269" s="188">
        <v>0</v>
      </c>
      <c r="AF269" s="188">
        <v>0</v>
      </c>
      <c r="AG269" s="188">
        <v>0</v>
      </c>
      <c r="AH269" s="188">
        <v>0</v>
      </c>
      <c r="AI269" s="188">
        <v>0</v>
      </c>
      <c r="AJ269" s="188">
        <v>0</v>
      </c>
    </row>
    <row r="270" spans="1:36" x14ac:dyDescent="0.35">
      <c r="A270" t="s">
        <v>1750</v>
      </c>
      <c r="B270" s="188" t="s">
        <v>1342</v>
      </c>
      <c r="C270" t="s">
        <v>1343</v>
      </c>
      <c r="D270" s="188">
        <v>30</v>
      </c>
      <c r="E270" t="s">
        <v>1742</v>
      </c>
      <c r="F270" t="s">
        <v>1352</v>
      </c>
      <c r="G270" s="188" t="s">
        <v>1751</v>
      </c>
      <c r="H270" s="188">
        <v>0</v>
      </c>
      <c r="I270" s="188">
        <v>0</v>
      </c>
      <c r="J270" s="188">
        <v>0</v>
      </c>
      <c r="K270" s="188">
        <v>0</v>
      </c>
      <c r="L270" s="188">
        <v>0</v>
      </c>
      <c r="M270" s="188">
        <v>0</v>
      </c>
      <c r="N270" s="188">
        <v>0</v>
      </c>
      <c r="O270" s="188">
        <v>0</v>
      </c>
      <c r="P270" s="188">
        <v>0</v>
      </c>
      <c r="Q270" s="188">
        <v>0</v>
      </c>
      <c r="R270" s="188">
        <v>0</v>
      </c>
      <c r="S270" s="188">
        <v>0</v>
      </c>
      <c r="T270" s="188">
        <v>0</v>
      </c>
      <c r="U270" s="188">
        <v>0</v>
      </c>
      <c r="V270" s="188">
        <v>0</v>
      </c>
      <c r="W270" s="188">
        <v>0</v>
      </c>
      <c r="X270" s="188">
        <v>0</v>
      </c>
      <c r="Y270" s="188">
        <v>0</v>
      </c>
      <c r="Z270" s="188">
        <v>0</v>
      </c>
      <c r="AA270" s="188">
        <v>0</v>
      </c>
      <c r="AB270" s="188">
        <v>0</v>
      </c>
      <c r="AC270" s="188">
        <v>0</v>
      </c>
      <c r="AD270" s="188">
        <v>0</v>
      </c>
      <c r="AE270" s="188">
        <v>0</v>
      </c>
      <c r="AF270" s="188">
        <v>0</v>
      </c>
      <c r="AG270" s="188">
        <v>0</v>
      </c>
      <c r="AH270" s="188">
        <v>0</v>
      </c>
      <c r="AI270" s="188">
        <v>0</v>
      </c>
      <c r="AJ270" s="188">
        <v>0</v>
      </c>
    </row>
    <row r="271" spans="1:36" x14ac:dyDescent="0.35">
      <c r="A271" t="s">
        <v>1752</v>
      </c>
      <c r="B271" s="188" t="s">
        <v>1342</v>
      </c>
      <c r="C271" t="s">
        <v>1348</v>
      </c>
      <c r="D271" s="188">
        <v>30</v>
      </c>
      <c r="E271" t="s">
        <v>1742</v>
      </c>
      <c r="F271" t="s">
        <v>1352</v>
      </c>
      <c r="G271" s="188" t="s">
        <v>1751</v>
      </c>
      <c r="H271" s="188">
        <v>0</v>
      </c>
      <c r="I271" s="188">
        <v>0</v>
      </c>
      <c r="J271" s="188">
        <v>0</v>
      </c>
      <c r="K271" s="188">
        <v>0</v>
      </c>
      <c r="L271" s="188">
        <v>0</v>
      </c>
      <c r="M271" s="188">
        <v>0</v>
      </c>
      <c r="N271" s="188">
        <v>0</v>
      </c>
      <c r="O271" s="188">
        <v>0</v>
      </c>
      <c r="P271" s="188">
        <v>0</v>
      </c>
      <c r="Q271" s="188">
        <v>0</v>
      </c>
      <c r="R271" s="188">
        <v>0</v>
      </c>
      <c r="S271" s="188">
        <v>0</v>
      </c>
      <c r="T271" s="188">
        <v>0</v>
      </c>
      <c r="U271" s="188">
        <v>0</v>
      </c>
      <c r="V271" s="188">
        <v>0</v>
      </c>
      <c r="W271" s="188">
        <v>0</v>
      </c>
      <c r="X271" s="188">
        <v>0</v>
      </c>
      <c r="Y271" s="188">
        <v>0</v>
      </c>
      <c r="Z271" s="188">
        <v>0</v>
      </c>
      <c r="AA271" s="188">
        <v>0</v>
      </c>
      <c r="AB271" s="188">
        <v>0</v>
      </c>
      <c r="AC271" s="188">
        <v>0</v>
      </c>
      <c r="AD271" s="188">
        <v>0</v>
      </c>
      <c r="AE271" s="188">
        <v>0</v>
      </c>
      <c r="AF271" s="188">
        <v>0</v>
      </c>
      <c r="AG271" s="188">
        <v>0</v>
      </c>
      <c r="AH271" s="188">
        <v>0</v>
      </c>
      <c r="AI271" s="188">
        <v>0</v>
      </c>
      <c r="AJ271" s="188">
        <v>0</v>
      </c>
    </row>
    <row r="272" spans="1:36" x14ac:dyDescent="0.35">
      <c r="A272" t="s">
        <v>1753</v>
      </c>
      <c r="B272" s="188" t="s">
        <v>1342</v>
      </c>
      <c r="C272" t="s">
        <v>1350</v>
      </c>
      <c r="D272" s="188">
        <v>30</v>
      </c>
      <c r="E272" t="s">
        <v>1742</v>
      </c>
      <c r="F272" t="s">
        <v>1352</v>
      </c>
      <c r="G272" s="188" t="s">
        <v>1751</v>
      </c>
      <c r="H272" s="188">
        <v>0</v>
      </c>
      <c r="I272" s="188">
        <v>0</v>
      </c>
      <c r="J272" s="188">
        <v>0</v>
      </c>
      <c r="K272" s="188">
        <v>0</v>
      </c>
      <c r="L272" s="188">
        <v>0</v>
      </c>
      <c r="M272" s="188">
        <v>0</v>
      </c>
      <c r="N272" s="188">
        <v>0</v>
      </c>
      <c r="O272" s="188">
        <v>0</v>
      </c>
      <c r="P272" s="188">
        <v>0</v>
      </c>
      <c r="Q272" s="188">
        <v>0</v>
      </c>
      <c r="R272" s="188">
        <v>0</v>
      </c>
      <c r="S272" s="188">
        <v>0</v>
      </c>
      <c r="T272" s="188">
        <v>0</v>
      </c>
      <c r="U272" s="188">
        <v>0</v>
      </c>
      <c r="V272" s="188">
        <v>0</v>
      </c>
      <c r="W272" s="188">
        <v>0</v>
      </c>
      <c r="X272" s="188">
        <v>0</v>
      </c>
      <c r="Y272" s="188">
        <v>0</v>
      </c>
      <c r="Z272" s="188">
        <v>0</v>
      </c>
      <c r="AA272" s="188">
        <v>0</v>
      </c>
      <c r="AB272" s="188">
        <v>0</v>
      </c>
      <c r="AC272" s="188">
        <v>0</v>
      </c>
      <c r="AD272" s="188">
        <v>0</v>
      </c>
      <c r="AE272" s="188">
        <v>0</v>
      </c>
      <c r="AF272" s="188">
        <v>0</v>
      </c>
      <c r="AG272" s="188">
        <v>0</v>
      </c>
      <c r="AH272" s="188">
        <v>0</v>
      </c>
      <c r="AI272" s="188">
        <v>0</v>
      </c>
      <c r="AJ272" s="188">
        <v>0</v>
      </c>
    </row>
    <row r="273" spans="1:36" x14ac:dyDescent="0.35">
      <c r="A273" t="s">
        <v>1754</v>
      </c>
      <c r="B273" s="188" t="s">
        <v>1342</v>
      </c>
      <c r="C273" t="s">
        <v>1343</v>
      </c>
      <c r="D273" s="188">
        <v>30</v>
      </c>
      <c r="E273" t="s">
        <v>1742</v>
      </c>
      <c r="F273" t="s">
        <v>1376</v>
      </c>
      <c r="G273" s="188" t="s">
        <v>1755</v>
      </c>
      <c r="H273" s="188">
        <v>0</v>
      </c>
      <c r="I273" s="188">
        <v>0</v>
      </c>
      <c r="J273" s="188">
        <v>0</v>
      </c>
      <c r="K273" s="188">
        <v>0</v>
      </c>
      <c r="L273" s="188">
        <v>0</v>
      </c>
      <c r="M273" s="188">
        <v>0</v>
      </c>
      <c r="N273" s="188">
        <v>0</v>
      </c>
      <c r="O273" s="188">
        <v>0</v>
      </c>
      <c r="P273" s="188">
        <v>0</v>
      </c>
      <c r="Q273" s="188">
        <v>0</v>
      </c>
      <c r="R273" s="188">
        <v>0</v>
      </c>
      <c r="S273" s="188">
        <v>0</v>
      </c>
      <c r="T273" s="188">
        <v>0</v>
      </c>
      <c r="U273" s="188">
        <v>0</v>
      </c>
      <c r="V273" s="188">
        <v>0</v>
      </c>
      <c r="W273" s="188">
        <v>0</v>
      </c>
      <c r="X273" s="188">
        <v>0</v>
      </c>
      <c r="Y273" s="188">
        <v>0</v>
      </c>
      <c r="Z273" s="188">
        <v>0</v>
      </c>
      <c r="AA273" s="188">
        <v>0</v>
      </c>
      <c r="AB273" s="188">
        <v>0</v>
      </c>
      <c r="AC273" s="188">
        <v>0</v>
      </c>
      <c r="AD273" s="188">
        <v>0</v>
      </c>
      <c r="AE273" s="188">
        <v>0</v>
      </c>
      <c r="AF273" s="188">
        <v>0</v>
      </c>
      <c r="AG273" s="188">
        <v>0</v>
      </c>
      <c r="AH273" s="188">
        <v>0</v>
      </c>
      <c r="AI273" s="188">
        <v>0</v>
      </c>
      <c r="AJ273" s="188">
        <v>0</v>
      </c>
    </row>
    <row r="274" spans="1:36" x14ac:dyDescent="0.35">
      <c r="A274" t="s">
        <v>1756</v>
      </c>
      <c r="B274" s="188" t="s">
        <v>1342</v>
      </c>
      <c r="C274" t="s">
        <v>1348</v>
      </c>
      <c r="D274" s="188">
        <v>30</v>
      </c>
      <c r="E274" t="s">
        <v>1742</v>
      </c>
      <c r="F274" t="s">
        <v>1376</v>
      </c>
      <c r="G274" s="188" t="s">
        <v>1755</v>
      </c>
      <c r="H274" s="188">
        <v>0</v>
      </c>
      <c r="I274" s="188">
        <v>0</v>
      </c>
      <c r="J274" s="188">
        <v>0</v>
      </c>
      <c r="K274" s="188">
        <v>0</v>
      </c>
      <c r="L274" s="188">
        <v>0</v>
      </c>
      <c r="M274" s="188">
        <v>0</v>
      </c>
      <c r="N274" s="188">
        <v>0</v>
      </c>
      <c r="O274" s="188">
        <v>0</v>
      </c>
      <c r="P274" s="188">
        <v>0</v>
      </c>
      <c r="Q274" s="188">
        <v>0</v>
      </c>
      <c r="R274" s="188">
        <v>0</v>
      </c>
      <c r="S274" s="188">
        <v>0</v>
      </c>
      <c r="T274" s="188">
        <v>0</v>
      </c>
      <c r="U274" s="188">
        <v>0</v>
      </c>
      <c r="V274" s="188">
        <v>0</v>
      </c>
      <c r="W274" s="188">
        <v>0</v>
      </c>
      <c r="X274" s="188">
        <v>0</v>
      </c>
      <c r="Y274" s="188">
        <v>0</v>
      </c>
      <c r="Z274" s="188">
        <v>0</v>
      </c>
      <c r="AA274" s="188">
        <v>0</v>
      </c>
      <c r="AB274" s="188">
        <v>0</v>
      </c>
      <c r="AC274" s="188">
        <v>0</v>
      </c>
      <c r="AD274" s="188">
        <v>0</v>
      </c>
      <c r="AE274" s="188">
        <v>0</v>
      </c>
      <c r="AF274" s="188">
        <v>0</v>
      </c>
      <c r="AG274" s="188">
        <v>0</v>
      </c>
      <c r="AH274" s="188">
        <v>0</v>
      </c>
      <c r="AI274" s="188">
        <v>0</v>
      </c>
      <c r="AJ274" s="188">
        <v>0</v>
      </c>
    </row>
    <row r="275" spans="1:36" x14ac:dyDescent="0.35">
      <c r="A275" t="s">
        <v>1757</v>
      </c>
      <c r="B275" s="188" t="s">
        <v>1342</v>
      </c>
      <c r="C275" t="s">
        <v>1350</v>
      </c>
      <c r="D275" s="188">
        <v>30</v>
      </c>
      <c r="E275" t="s">
        <v>1742</v>
      </c>
      <c r="F275" t="s">
        <v>1376</v>
      </c>
      <c r="G275" s="188" t="s">
        <v>1755</v>
      </c>
      <c r="H275" s="188">
        <v>0</v>
      </c>
      <c r="I275" s="188">
        <v>0</v>
      </c>
      <c r="J275" s="188">
        <v>0</v>
      </c>
      <c r="K275" s="188">
        <v>0</v>
      </c>
      <c r="L275" s="188">
        <v>0</v>
      </c>
      <c r="M275" s="188">
        <v>0</v>
      </c>
      <c r="N275" s="188">
        <v>0</v>
      </c>
      <c r="O275" s="188">
        <v>0</v>
      </c>
      <c r="P275" s="188">
        <v>0</v>
      </c>
      <c r="Q275" s="188">
        <v>0</v>
      </c>
      <c r="R275" s="188">
        <v>0</v>
      </c>
      <c r="S275" s="188">
        <v>0</v>
      </c>
      <c r="T275" s="188">
        <v>0</v>
      </c>
      <c r="U275" s="188">
        <v>0</v>
      </c>
      <c r="V275" s="188">
        <v>0</v>
      </c>
      <c r="W275" s="188">
        <v>0</v>
      </c>
      <c r="X275" s="188">
        <v>0</v>
      </c>
      <c r="Y275" s="188">
        <v>0</v>
      </c>
      <c r="Z275" s="188">
        <v>0</v>
      </c>
      <c r="AA275" s="188">
        <v>0</v>
      </c>
      <c r="AB275" s="188">
        <v>0</v>
      </c>
      <c r="AC275" s="188">
        <v>0</v>
      </c>
      <c r="AD275" s="188">
        <v>0</v>
      </c>
      <c r="AE275" s="188">
        <v>0</v>
      </c>
      <c r="AF275" s="188">
        <v>0</v>
      </c>
      <c r="AG275" s="188">
        <v>0</v>
      </c>
      <c r="AH275" s="188">
        <v>0</v>
      </c>
      <c r="AI275" s="188">
        <v>0</v>
      </c>
      <c r="AJ275" s="188">
        <v>0</v>
      </c>
    </row>
    <row r="276" spans="1:36" x14ac:dyDescent="0.35">
      <c r="A276" t="s">
        <v>1758</v>
      </c>
      <c r="B276" s="188" t="s">
        <v>1342</v>
      </c>
      <c r="C276" t="s">
        <v>1343</v>
      </c>
      <c r="D276" s="188">
        <v>30</v>
      </c>
      <c r="E276" t="s">
        <v>1742</v>
      </c>
      <c r="F276" t="s">
        <v>1381</v>
      </c>
      <c r="G276" s="188" t="s">
        <v>1759</v>
      </c>
      <c r="H276" s="188">
        <v>0</v>
      </c>
      <c r="I276" s="188">
        <v>0</v>
      </c>
      <c r="J276" s="188">
        <v>0</v>
      </c>
      <c r="K276" s="188">
        <v>0</v>
      </c>
      <c r="L276" s="188">
        <v>0</v>
      </c>
      <c r="M276" s="188">
        <v>0</v>
      </c>
      <c r="N276" s="188">
        <v>0</v>
      </c>
      <c r="O276" s="188">
        <v>0</v>
      </c>
      <c r="P276" s="188">
        <v>0</v>
      </c>
      <c r="Q276" s="188">
        <v>0</v>
      </c>
      <c r="R276" s="188">
        <v>0</v>
      </c>
      <c r="S276" s="188">
        <v>0</v>
      </c>
      <c r="T276" s="188">
        <v>0</v>
      </c>
      <c r="U276" s="188">
        <v>0</v>
      </c>
      <c r="V276" s="188">
        <v>0</v>
      </c>
      <c r="W276" s="188">
        <v>0</v>
      </c>
      <c r="X276" s="188">
        <v>0</v>
      </c>
      <c r="Y276" s="188">
        <v>0</v>
      </c>
      <c r="Z276" s="188">
        <v>0</v>
      </c>
      <c r="AA276" s="188">
        <v>0</v>
      </c>
      <c r="AB276" s="188">
        <v>0</v>
      </c>
      <c r="AC276" s="188">
        <v>0</v>
      </c>
      <c r="AD276" s="188">
        <v>0</v>
      </c>
      <c r="AE276" s="188">
        <v>0</v>
      </c>
      <c r="AF276" s="188">
        <v>0</v>
      </c>
      <c r="AG276" s="188">
        <v>0</v>
      </c>
      <c r="AH276" s="188">
        <v>0</v>
      </c>
      <c r="AI276" s="188">
        <v>0</v>
      </c>
      <c r="AJ276" s="188">
        <v>0</v>
      </c>
    </row>
    <row r="277" spans="1:36" x14ac:dyDescent="0.35">
      <c r="A277" t="s">
        <v>1760</v>
      </c>
      <c r="B277" s="188" t="s">
        <v>1342</v>
      </c>
      <c r="C277" t="s">
        <v>1348</v>
      </c>
      <c r="D277" s="188">
        <v>30</v>
      </c>
      <c r="E277" t="s">
        <v>1742</v>
      </c>
      <c r="F277" t="s">
        <v>1381</v>
      </c>
      <c r="G277" s="188" t="s">
        <v>1759</v>
      </c>
      <c r="H277" s="188">
        <v>0</v>
      </c>
      <c r="I277" s="188">
        <v>0</v>
      </c>
      <c r="J277" s="188">
        <v>0</v>
      </c>
      <c r="K277" s="188">
        <v>0</v>
      </c>
      <c r="L277" s="188">
        <v>0</v>
      </c>
      <c r="M277" s="188">
        <v>0</v>
      </c>
      <c r="N277" s="188">
        <v>0</v>
      </c>
      <c r="O277" s="188">
        <v>0</v>
      </c>
      <c r="P277" s="188">
        <v>0</v>
      </c>
      <c r="Q277" s="188">
        <v>0</v>
      </c>
      <c r="R277" s="188">
        <v>0</v>
      </c>
      <c r="S277" s="188">
        <v>0</v>
      </c>
      <c r="T277" s="188">
        <v>0</v>
      </c>
      <c r="U277" s="188">
        <v>0</v>
      </c>
      <c r="V277" s="188">
        <v>0</v>
      </c>
      <c r="W277" s="188">
        <v>0</v>
      </c>
      <c r="X277" s="188">
        <v>0</v>
      </c>
      <c r="Y277" s="188">
        <v>0</v>
      </c>
      <c r="Z277" s="188">
        <v>0</v>
      </c>
      <c r="AA277" s="188">
        <v>0</v>
      </c>
      <c r="AB277" s="188">
        <v>0</v>
      </c>
      <c r="AC277" s="188">
        <v>0</v>
      </c>
      <c r="AD277" s="188">
        <v>0</v>
      </c>
      <c r="AE277" s="188">
        <v>0</v>
      </c>
      <c r="AF277" s="188">
        <v>0</v>
      </c>
      <c r="AG277" s="188">
        <v>0</v>
      </c>
      <c r="AH277" s="188">
        <v>0</v>
      </c>
      <c r="AI277" s="188">
        <v>0</v>
      </c>
      <c r="AJ277" s="188">
        <v>0</v>
      </c>
    </row>
    <row r="278" spans="1:36" x14ac:dyDescent="0.35">
      <c r="A278" t="s">
        <v>1761</v>
      </c>
      <c r="B278" s="188" t="s">
        <v>1342</v>
      </c>
      <c r="C278" t="s">
        <v>1350</v>
      </c>
      <c r="D278" s="188">
        <v>30</v>
      </c>
      <c r="E278" t="s">
        <v>1742</v>
      </c>
      <c r="F278" t="s">
        <v>1381</v>
      </c>
      <c r="G278" s="188" t="s">
        <v>1759</v>
      </c>
      <c r="H278" s="188">
        <v>0</v>
      </c>
      <c r="I278" s="188">
        <v>0</v>
      </c>
      <c r="J278" s="188">
        <v>0</v>
      </c>
      <c r="K278" s="188">
        <v>0</v>
      </c>
      <c r="L278" s="188">
        <v>0</v>
      </c>
      <c r="M278" s="188">
        <v>0</v>
      </c>
      <c r="N278" s="188">
        <v>0</v>
      </c>
      <c r="O278" s="188">
        <v>0</v>
      </c>
      <c r="P278" s="188">
        <v>0</v>
      </c>
      <c r="Q278" s="188">
        <v>0</v>
      </c>
      <c r="R278" s="188">
        <v>0</v>
      </c>
      <c r="S278" s="188">
        <v>0</v>
      </c>
      <c r="T278" s="188">
        <v>0</v>
      </c>
      <c r="U278" s="188">
        <v>0</v>
      </c>
      <c r="V278" s="188">
        <v>0</v>
      </c>
      <c r="W278" s="188">
        <v>0</v>
      </c>
      <c r="X278" s="188">
        <v>0</v>
      </c>
      <c r="Y278" s="188">
        <v>0</v>
      </c>
      <c r="Z278" s="188">
        <v>0</v>
      </c>
      <c r="AA278" s="188">
        <v>0</v>
      </c>
      <c r="AB278" s="188">
        <v>0</v>
      </c>
      <c r="AC278" s="188">
        <v>0</v>
      </c>
      <c r="AD278" s="188">
        <v>0</v>
      </c>
      <c r="AE278" s="188">
        <v>0</v>
      </c>
      <c r="AF278" s="188">
        <v>0</v>
      </c>
      <c r="AG278" s="188">
        <v>0</v>
      </c>
      <c r="AH278" s="188">
        <v>0</v>
      </c>
      <c r="AI278" s="188">
        <v>0</v>
      </c>
      <c r="AJ278" s="188">
        <v>0</v>
      </c>
    </row>
    <row r="279" spans="1:36" x14ac:dyDescent="0.35">
      <c r="A279" t="s">
        <v>1762</v>
      </c>
      <c r="B279" s="188" t="s">
        <v>1342</v>
      </c>
      <c r="C279" t="s">
        <v>1343</v>
      </c>
      <c r="D279" s="188">
        <v>30</v>
      </c>
      <c r="E279" t="s">
        <v>1742</v>
      </c>
      <c r="F279" t="s">
        <v>1386</v>
      </c>
      <c r="G279" s="188" t="s">
        <v>1763</v>
      </c>
      <c r="H279" s="188">
        <v>0</v>
      </c>
      <c r="I279" s="188">
        <v>0</v>
      </c>
      <c r="J279" s="188">
        <v>0</v>
      </c>
      <c r="K279" s="188">
        <v>0</v>
      </c>
      <c r="L279" s="188">
        <v>0</v>
      </c>
      <c r="M279" s="188">
        <v>0</v>
      </c>
      <c r="N279" s="188">
        <v>0</v>
      </c>
      <c r="O279" s="188">
        <v>0</v>
      </c>
      <c r="P279" s="188">
        <v>0</v>
      </c>
      <c r="Q279" s="188">
        <v>0</v>
      </c>
      <c r="R279" s="188">
        <v>0</v>
      </c>
      <c r="S279" s="188">
        <v>0</v>
      </c>
      <c r="T279" s="188">
        <v>0</v>
      </c>
      <c r="U279" s="188">
        <v>0</v>
      </c>
      <c r="V279" s="188">
        <v>0</v>
      </c>
      <c r="W279" s="188">
        <v>0</v>
      </c>
      <c r="X279" s="188">
        <v>0</v>
      </c>
      <c r="Y279" s="188">
        <v>0</v>
      </c>
      <c r="Z279" s="188">
        <v>0</v>
      </c>
      <c r="AA279" s="188">
        <v>0</v>
      </c>
      <c r="AB279" s="188">
        <v>0</v>
      </c>
      <c r="AC279" s="188">
        <v>0</v>
      </c>
      <c r="AD279" s="188">
        <v>0</v>
      </c>
      <c r="AE279" s="188">
        <v>0</v>
      </c>
      <c r="AF279" s="188">
        <v>0</v>
      </c>
      <c r="AG279" s="188">
        <v>0</v>
      </c>
      <c r="AH279" s="188">
        <v>0</v>
      </c>
      <c r="AI279" s="188">
        <v>0</v>
      </c>
      <c r="AJ279" s="188">
        <v>0</v>
      </c>
    </row>
    <row r="280" spans="1:36" x14ac:dyDescent="0.35">
      <c r="A280" t="s">
        <v>1764</v>
      </c>
      <c r="B280" s="188" t="s">
        <v>1342</v>
      </c>
      <c r="C280" t="s">
        <v>1348</v>
      </c>
      <c r="D280" s="188">
        <v>30</v>
      </c>
      <c r="E280" t="s">
        <v>1742</v>
      </c>
      <c r="F280" t="s">
        <v>1386</v>
      </c>
      <c r="G280" s="188" t="s">
        <v>1763</v>
      </c>
      <c r="H280" s="188">
        <v>0</v>
      </c>
      <c r="I280" s="188">
        <v>0</v>
      </c>
      <c r="J280" s="188">
        <v>0</v>
      </c>
      <c r="K280" s="188">
        <v>0</v>
      </c>
      <c r="L280" s="188">
        <v>0</v>
      </c>
      <c r="M280" s="188">
        <v>0</v>
      </c>
      <c r="N280" s="188">
        <v>0</v>
      </c>
      <c r="O280" s="188">
        <v>0</v>
      </c>
      <c r="P280" s="188">
        <v>0</v>
      </c>
      <c r="Q280" s="188">
        <v>0</v>
      </c>
      <c r="R280" s="188">
        <v>0</v>
      </c>
      <c r="S280" s="188">
        <v>0</v>
      </c>
      <c r="T280" s="188">
        <v>0</v>
      </c>
      <c r="U280" s="188">
        <v>0</v>
      </c>
      <c r="V280" s="188">
        <v>0</v>
      </c>
      <c r="W280" s="188">
        <v>0</v>
      </c>
      <c r="X280" s="188">
        <v>0</v>
      </c>
      <c r="Y280" s="188">
        <v>0</v>
      </c>
      <c r="Z280" s="188">
        <v>0</v>
      </c>
      <c r="AA280" s="188">
        <v>0</v>
      </c>
      <c r="AB280" s="188">
        <v>0</v>
      </c>
      <c r="AC280" s="188">
        <v>0</v>
      </c>
      <c r="AD280" s="188">
        <v>0</v>
      </c>
      <c r="AE280" s="188">
        <v>0</v>
      </c>
      <c r="AF280" s="188">
        <v>0</v>
      </c>
      <c r="AG280" s="188">
        <v>0</v>
      </c>
      <c r="AH280" s="188">
        <v>0</v>
      </c>
      <c r="AI280" s="188">
        <v>0</v>
      </c>
      <c r="AJ280" s="188">
        <v>0</v>
      </c>
    </row>
    <row r="281" spans="1:36" x14ac:dyDescent="0.35">
      <c r="A281" t="s">
        <v>1765</v>
      </c>
      <c r="B281" s="188" t="s">
        <v>1342</v>
      </c>
      <c r="C281" t="s">
        <v>1350</v>
      </c>
      <c r="D281" s="188">
        <v>30</v>
      </c>
      <c r="E281" t="s">
        <v>1742</v>
      </c>
      <c r="F281" t="s">
        <v>1386</v>
      </c>
      <c r="G281" s="188" t="s">
        <v>1763</v>
      </c>
      <c r="H281" s="188">
        <v>0</v>
      </c>
      <c r="I281" s="188">
        <v>0</v>
      </c>
      <c r="J281" s="188">
        <v>0</v>
      </c>
      <c r="K281" s="188">
        <v>0</v>
      </c>
      <c r="L281" s="188">
        <v>0</v>
      </c>
      <c r="M281" s="188">
        <v>0</v>
      </c>
      <c r="N281" s="188">
        <v>0</v>
      </c>
      <c r="O281" s="188">
        <v>0</v>
      </c>
      <c r="P281" s="188">
        <v>0</v>
      </c>
      <c r="Q281" s="188">
        <v>0</v>
      </c>
      <c r="R281" s="188">
        <v>0</v>
      </c>
      <c r="S281" s="188">
        <v>0</v>
      </c>
      <c r="T281" s="188">
        <v>0</v>
      </c>
      <c r="U281" s="188">
        <v>0</v>
      </c>
      <c r="V281" s="188">
        <v>0</v>
      </c>
      <c r="W281" s="188">
        <v>0</v>
      </c>
      <c r="X281" s="188">
        <v>0</v>
      </c>
      <c r="Y281" s="188">
        <v>0</v>
      </c>
      <c r="Z281" s="188">
        <v>0</v>
      </c>
      <c r="AA281" s="188">
        <v>0</v>
      </c>
      <c r="AB281" s="188">
        <v>0</v>
      </c>
      <c r="AC281" s="188">
        <v>0</v>
      </c>
      <c r="AD281" s="188">
        <v>0</v>
      </c>
      <c r="AE281" s="188">
        <v>0</v>
      </c>
      <c r="AF281" s="188">
        <v>0</v>
      </c>
      <c r="AG281" s="188">
        <v>0</v>
      </c>
      <c r="AH281" s="188">
        <v>0</v>
      </c>
      <c r="AI281" s="188">
        <v>0</v>
      </c>
      <c r="AJ281" s="188">
        <v>0</v>
      </c>
    </row>
    <row r="282" spans="1:36" x14ac:dyDescent="0.35">
      <c r="A282" t="s">
        <v>1766</v>
      </c>
      <c r="B282" s="188" t="s">
        <v>1342</v>
      </c>
      <c r="C282" t="s">
        <v>1343</v>
      </c>
      <c r="D282" s="188">
        <v>30</v>
      </c>
      <c r="E282" t="s">
        <v>1742</v>
      </c>
      <c r="F282" t="s">
        <v>1391</v>
      </c>
      <c r="G282" s="188" t="s">
        <v>1767</v>
      </c>
      <c r="H282" s="188">
        <v>0</v>
      </c>
      <c r="I282" s="188">
        <v>0</v>
      </c>
      <c r="J282" s="188">
        <v>0</v>
      </c>
      <c r="K282" s="188">
        <v>0</v>
      </c>
      <c r="L282" s="188">
        <v>0</v>
      </c>
      <c r="M282" s="188">
        <v>0</v>
      </c>
      <c r="N282" s="188">
        <v>0</v>
      </c>
      <c r="O282" s="188">
        <v>0</v>
      </c>
      <c r="P282" s="188">
        <v>0</v>
      </c>
      <c r="Q282" s="188">
        <v>0</v>
      </c>
      <c r="R282" s="188">
        <v>0</v>
      </c>
      <c r="S282" s="188">
        <v>0</v>
      </c>
      <c r="T282" s="188">
        <v>0</v>
      </c>
      <c r="U282" s="188">
        <v>0</v>
      </c>
      <c r="V282" s="188">
        <v>0</v>
      </c>
      <c r="W282" s="188">
        <v>0</v>
      </c>
      <c r="X282" s="188">
        <v>0</v>
      </c>
      <c r="Y282" s="188">
        <v>0</v>
      </c>
      <c r="Z282" s="188">
        <v>0</v>
      </c>
      <c r="AA282" s="188">
        <v>0</v>
      </c>
      <c r="AB282" s="188">
        <v>0</v>
      </c>
      <c r="AC282" s="188">
        <v>0</v>
      </c>
      <c r="AD282" s="188">
        <v>0</v>
      </c>
      <c r="AE282" s="188">
        <v>0</v>
      </c>
      <c r="AF282" s="188">
        <v>0</v>
      </c>
      <c r="AG282" s="188">
        <v>0</v>
      </c>
      <c r="AH282" s="188">
        <v>0</v>
      </c>
      <c r="AI282" s="188">
        <v>0</v>
      </c>
      <c r="AJ282" s="188">
        <v>0</v>
      </c>
    </row>
    <row r="283" spans="1:36" x14ac:dyDescent="0.35">
      <c r="A283" t="s">
        <v>1768</v>
      </c>
      <c r="B283" s="188" t="s">
        <v>1342</v>
      </c>
      <c r="C283" t="s">
        <v>1348</v>
      </c>
      <c r="D283" s="188">
        <v>30</v>
      </c>
      <c r="E283" t="s">
        <v>1742</v>
      </c>
      <c r="F283" t="s">
        <v>1391</v>
      </c>
      <c r="G283" s="188" t="s">
        <v>1767</v>
      </c>
      <c r="H283" s="188">
        <v>0</v>
      </c>
      <c r="I283" s="188">
        <v>0</v>
      </c>
      <c r="J283" s="188">
        <v>0</v>
      </c>
      <c r="K283" s="188">
        <v>0</v>
      </c>
      <c r="L283" s="188">
        <v>0</v>
      </c>
      <c r="M283" s="188">
        <v>0</v>
      </c>
      <c r="N283" s="188">
        <v>0</v>
      </c>
      <c r="O283" s="188">
        <v>0</v>
      </c>
      <c r="P283" s="188">
        <v>0</v>
      </c>
      <c r="Q283" s="188">
        <v>0</v>
      </c>
      <c r="R283" s="188">
        <v>0</v>
      </c>
      <c r="S283" s="188">
        <v>0</v>
      </c>
      <c r="T283" s="188">
        <v>0</v>
      </c>
      <c r="U283" s="188">
        <v>0</v>
      </c>
      <c r="V283" s="188">
        <v>0</v>
      </c>
      <c r="W283" s="188">
        <v>0</v>
      </c>
      <c r="X283" s="188">
        <v>0</v>
      </c>
      <c r="Y283" s="188">
        <v>0</v>
      </c>
      <c r="Z283" s="188">
        <v>0</v>
      </c>
      <c r="AA283" s="188">
        <v>0</v>
      </c>
      <c r="AB283" s="188">
        <v>0</v>
      </c>
      <c r="AC283" s="188">
        <v>0</v>
      </c>
      <c r="AD283" s="188">
        <v>0</v>
      </c>
      <c r="AE283" s="188">
        <v>0</v>
      </c>
      <c r="AF283" s="188">
        <v>0</v>
      </c>
      <c r="AG283" s="188">
        <v>0</v>
      </c>
      <c r="AH283" s="188">
        <v>0</v>
      </c>
      <c r="AI283" s="188">
        <v>0</v>
      </c>
      <c r="AJ283" s="188">
        <v>0</v>
      </c>
    </row>
    <row r="284" spans="1:36" x14ac:dyDescent="0.35">
      <c r="A284" t="s">
        <v>1769</v>
      </c>
      <c r="B284" s="188" t="s">
        <v>1342</v>
      </c>
      <c r="C284" t="s">
        <v>1350</v>
      </c>
      <c r="D284" s="188">
        <v>30</v>
      </c>
      <c r="E284" t="s">
        <v>1742</v>
      </c>
      <c r="F284" t="s">
        <v>1391</v>
      </c>
      <c r="G284" s="188" t="s">
        <v>1767</v>
      </c>
      <c r="H284" s="188">
        <v>0</v>
      </c>
      <c r="I284" s="188">
        <v>0</v>
      </c>
      <c r="J284" s="188">
        <v>0</v>
      </c>
      <c r="K284" s="188">
        <v>0</v>
      </c>
      <c r="L284" s="188">
        <v>0</v>
      </c>
      <c r="M284" s="188">
        <v>0</v>
      </c>
      <c r="N284" s="188">
        <v>0</v>
      </c>
      <c r="O284" s="188">
        <v>0</v>
      </c>
      <c r="P284" s="188">
        <v>0</v>
      </c>
      <c r="Q284" s="188">
        <v>0</v>
      </c>
      <c r="R284" s="188">
        <v>0</v>
      </c>
      <c r="S284" s="188">
        <v>0</v>
      </c>
      <c r="T284" s="188">
        <v>0</v>
      </c>
      <c r="U284" s="188">
        <v>0</v>
      </c>
      <c r="V284" s="188">
        <v>0</v>
      </c>
      <c r="W284" s="188">
        <v>0</v>
      </c>
      <c r="X284" s="188">
        <v>0</v>
      </c>
      <c r="Y284" s="188">
        <v>0</v>
      </c>
      <c r="Z284" s="188">
        <v>0</v>
      </c>
      <c r="AA284" s="188">
        <v>0</v>
      </c>
      <c r="AB284" s="188">
        <v>0</v>
      </c>
      <c r="AC284" s="188">
        <v>0</v>
      </c>
      <c r="AD284" s="188">
        <v>0</v>
      </c>
      <c r="AE284" s="188">
        <v>0</v>
      </c>
      <c r="AF284" s="188">
        <v>0</v>
      </c>
      <c r="AG284" s="188">
        <v>0</v>
      </c>
      <c r="AH284" s="188">
        <v>0</v>
      </c>
      <c r="AI284" s="188">
        <v>0</v>
      </c>
      <c r="AJ284" s="188">
        <v>0</v>
      </c>
    </row>
    <row r="285" spans="1:36" x14ac:dyDescent="0.35">
      <c r="A285" t="s">
        <v>1770</v>
      </c>
      <c r="B285" s="188" t="s">
        <v>1342</v>
      </c>
      <c r="C285" t="s">
        <v>1343</v>
      </c>
      <c r="D285" s="188">
        <v>30</v>
      </c>
      <c r="E285" t="s">
        <v>1742</v>
      </c>
      <c r="F285" t="s">
        <v>1357</v>
      </c>
      <c r="G285" s="188" t="s">
        <v>1771</v>
      </c>
      <c r="H285" s="188">
        <v>0</v>
      </c>
      <c r="I285" s="188">
        <v>0</v>
      </c>
      <c r="J285" s="188">
        <v>0</v>
      </c>
      <c r="K285" s="188">
        <v>0</v>
      </c>
      <c r="L285" s="188">
        <v>0</v>
      </c>
      <c r="M285" s="188">
        <v>0</v>
      </c>
      <c r="N285" s="188">
        <v>0</v>
      </c>
      <c r="O285" s="188">
        <v>0</v>
      </c>
      <c r="P285" s="188">
        <v>0</v>
      </c>
      <c r="Q285" s="188">
        <v>0</v>
      </c>
      <c r="R285" s="188">
        <v>0</v>
      </c>
      <c r="S285" s="188">
        <v>0</v>
      </c>
      <c r="T285" s="188">
        <v>0</v>
      </c>
      <c r="U285" s="188">
        <v>0</v>
      </c>
      <c r="V285" s="188">
        <v>0</v>
      </c>
      <c r="W285" s="188">
        <v>0</v>
      </c>
      <c r="X285" s="188">
        <v>0</v>
      </c>
      <c r="Y285" s="188">
        <v>0</v>
      </c>
      <c r="Z285" s="188">
        <v>0</v>
      </c>
      <c r="AA285" s="188">
        <v>0</v>
      </c>
      <c r="AB285" s="188">
        <v>0</v>
      </c>
      <c r="AC285" s="188">
        <v>0</v>
      </c>
      <c r="AD285" s="188">
        <v>0</v>
      </c>
      <c r="AE285" s="188">
        <v>0</v>
      </c>
      <c r="AF285" s="188">
        <v>0</v>
      </c>
      <c r="AG285" s="188">
        <v>0</v>
      </c>
      <c r="AH285" s="188">
        <v>0</v>
      </c>
      <c r="AI285" s="188">
        <v>0</v>
      </c>
      <c r="AJ285" s="188">
        <v>0</v>
      </c>
    </row>
    <row r="286" spans="1:36" x14ac:dyDescent="0.35">
      <c r="A286" t="s">
        <v>1772</v>
      </c>
      <c r="B286" s="188" t="s">
        <v>1342</v>
      </c>
      <c r="C286" t="s">
        <v>1348</v>
      </c>
      <c r="D286" s="188">
        <v>30</v>
      </c>
      <c r="E286" t="s">
        <v>1742</v>
      </c>
      <c r="F286" t="s">
        <v>1357</v>
      </c>
      <c r="G286" s="188" t="s">
        <v>1771</v>
      </c>
      <c r="H286" s="188">
        <v>0</v>
      </c>
      <c r="I286" s="188">
        <v>0</v>
      </c>
      <c r="J286" s="188">
        <v>0</v>
      </c>
      <c r="K286" s="188">
        <v>0</v>
      </c>
      <c r="L286" s="188">
        <v>0</v>
      </c>
      <c r="M286" s="188">
        <v>0</v>
      </c>
      <c r="N286" s="188">
        <v>0</v>
      </c>
      <c r="O286" s="188">
        <v>0</v>
      </c>
      <c r="P286" s="188">
        <v>0</v>
      </c>
      <c r="Q286" s="188">
        <v>0</v>
      </c>
      <c r="R286" s="188">
        <v>0</v>
      </c>
      <c r="S286" s="188">
        <v>0</v>
      </c>
      <c r="T286" s="188">
        <v>0</v>
      </c>
      <c r="U286" s="188">
        <v>0</v>
      </c>
      <c r="V286" s="188">
        <v>0</v>
      </c>
      <c r="W286" s="188">
        <v>0</v>
      </c>
      <c r="X286" s="188">
        <v>0</v>
      </c>
      <c r="Y286" s="188">
        <v>0</v>
      </c>
      <c r="Z286" s="188">
        <v>0</v>
      </c>
      <c r="AA286" s="188">
        <v>0</v>
      </c>
      <c r="AB286" s="188">
        <v>0</v>
      </c>
      <c r="AC286" s="188">
        <v>0</v>
      </c>
      <c r="AD286" s="188">
        <v>0</v>
      </c>
      <c r="AE286" s="188">
        <v>0</v>
      </c>
      <c r="AF286" s="188">
        <v>0</v>
      </c>
      <c r="AG286" s="188">
        <v>0</v>
      </c>
      <c r="AH286" s="188">
        <v>0</v>
      </c>
      <c r="AI286" s="188">
        <v>0</v>
      </c>
      <c r="AJ286" s="188">
        <v>0</v>
      </c>
    </row>
    <row r="287" spans="1:36" x14ac:dyDescent="0.35">
      <c r="A287" t="s">
        <v>1773</v>
      </c>
      <c r="B287" s="188" t="s">
        <v>1342</v>
      </c>
      <c r="C287" t="s">
        <v>1350</v>
      </c>
      <c r="D287" s="188">
        <v>30</v>
      </c>
      <c r="E287" t="s">
        <v>1742</v>
      </c>
      <c r="F287" t="s">
        <v>1357</v>
      </c>
      <c r="G287" s="188" t="s">
        <v>1771</v>
      </c>
      <c r="H287" s="188">
        <v>0</v>
      </c>
      <c r="I287" s="188">
        <v>0</v>
      </c>
      <c r="J287" s="188">
        <v>0</v>
      </c>
      <c r="K287" s="188">
        <v>0</v>
      </c>
      <c r="L287" s="188">
        <v>0</v>
      </c>
      <c r="M287" s="188">
        <v>0</v>
      </c>
      <c r="N287" s="188">
        <v>0</v>
      </c>
      <c r="O287" s="188">
        <v>0</v>
      </c>
      <c r="P287" s="188">
        <v>0</v>
      </c>
      <c r="Q287" s="188">
        <v>0</v>
      </c>
      <c r="R287" s="188">
        <v>0</v>
      </c>
      <c r="S287" s="188">
        <v>0</v>
      </c>
      <c r="T287" s="188">
        <v>0</v>
      </c>
      <c r="U287" s="188">
        <v>0</v>
      </c>
      <c r="V287" s="188">
        <v>0</v>
      </c>
      <c r="W287" s="188">
        <v>0</v>
      </c>
      <c r="X287" s="188">
        <v>0</v>
      </c>
      <c r="Y287" s="188">
        <v>0</v>
      </c>
      <c r="Z287" s="188">
        <v>0</v>
      </c>
      <c r="AA287" s="188">
        <v>0</v>
      </c>
      <c r="AB287" s="188">
        <v>0</v>
      </c>
      <c r="AC287" s="188">
        <v>0</v>
      </c>
      <c r="AD287" s="188">
        <v>0</v>
      </c>
      <c r="AE287" s="188">
        <v>0</v>
      </c>
      <c r="AF287" s="188">
        <v>0</v>
      </c>
      <c r="AG287" s="188">
        <v>0</v>
      </c>
      <c r="AH287" s="188">
        <v>0</v>
      </c>
      <c r="AI287" s="188">
        <v>0</v>
      </c>
      <c r="AJ287" s="188">
        <v>0</v>
      </c>
    </row>
    <row r="288" spans="1:36" x14ac:dyDescent="0.35">
      <c r="A288" t="s">
        <v>1774</v>
      </c>
      <c r="B288" s="188" t="s">
        <v>1342</v>
      </c>
      <c r="C288" t="s">
        <v>1343</v>
      </c>
      <c r="D288" s="188">
        <v>30</v>
      </c>
      <c r="E288" t="s">
        <v>1742</v>
      </c>
      <c r="F288" t="s">
        <v>1400</v>
      </c>
      <c r="G288" s="188" t="s">
        <v>1775</v>
      </c>
      <c r="H288" s="188">
        <v>0</v>
      </c>
      <c r="I288" s="188">
        <v>0</v>
      </c>
      <c r="J288" s="188">
        <v>0</v>
      </c>
      <c r="K288" s="188">
        <v>0</v>
      </c>
      <c r="L288" s="188">
        <v>0</v>
      </c>
      <c r="M288" s="188">
        <v>0</v>
      </c>
      <c r="N288" s="188">
        <v>0</v>
      </c>
      <c r="O288" s="188">
        <v>0</v>
      </c>
      <c r="P288" s="188">
        <v>0</v>
      </c>
      <c r="Q288" s="188">
        <v>0</v>
      </c>
      <c r="R288" s="188">
        <v>0</v>
      </c>
      <c r="S288" s="188">
        <v>0</v>
      </c>
      <c r="T288" s="188">
        <v>0</v>
      </c>
      <c r="U288" s="188">
        <v>0</v>
      </c>
      <c r="V288" s="188">
        <v>0</v>
      </c>
      <c r="W288" s="188">
        <v>0</v>
      </c>
      <c r="X288" s="188">
        <v>0</v>
      </c>
      <c r="Y288" s="188">
        <v>0</v>
      </c>
      <c r="Z288" s="188">
        <v>0</v>
      </c>
      <c r="AA288" s="188">
        <v>0</v>
      </c>
      <c r="AB288" s="188">
        <v>0</v>
      </c>
      <c r="AC288" s="188">
        <v>0</v>
      </c>
      <c r="AD288" s="188">
        <v>0</v>
      </c>
      <c r="AE288" s="188">
        <v>0</v>
      </c>
      <c r="AF288" s="188">
        <v>0</v>
      </c>
      <c r="AG288" s="188">
        <v>0</v>
      </c>
      <c r="AH288" s="188">
        <v>0</v>
      </c>
      <c r="AI288" s="188">
        <v>0</v>
      </c>
      <c r="AJ288" s="188">
        <v>0</v>
      </c>
    </row>
    <row r="289" spans="1:36" x14ac:dyDescent="0.35">
      <c r="A289" t="s">
        <v>1776</v>
      </c>
      <c r="B289" s="188" t="s">
        <v>1342</v>
      </c>
      <c r="C289" t="s">
        <v>1348</v>
      </c>
      <c r="D289" s="188">
        <v>30</v>
      </c>
      <c r="E289" t="s">
        <v>1742</v>
      </c>
      <c r="F289" t="s">
        <v>1400</v>
      </c>
      <c r="G289" s="188" t="s">
        <v>1775</v>
      </c>
      <c r="H289" s="188">
        <v>0</v>
      </c>
      <c r="I289" s="188">
        <v>0</v>
      </c>
      <c r="J289" s="188">
        <v>0</v>
      </c>
      <c r="K289" s="188">
        <v>0</v>
      </c>
      <c r="L289" s="188">
        <v>0</v>
      </c>
      <c r="M289" s="188">
        <v>0</v>
      </c>
      <c r="N289" s="188">
        <v>0</v>
      </c>
      <c r="O289" s="188">
        <v>0</v>
      </c>
      <c r="P289" s="188">
        <v>0</v>
      </c>
      <c r="Q289" s="188">
        <v>0</v>
      </c>
      <c r="R289" s="188">
        <v>0</v>
      </c>
      <c r="S289" s="188">
        <v>0</v>
      </c>
      <c r="T289" s="188">
        <v>0</v>
      </c>
      <c r="U289" s="188">
        <v>0</v>
      </c>
      <c r="V289" s="188">
        <v>0</v>
      </c>
      <c r="W289" s="188">
        <v>0</v>
      </c>
      <c r="X289" s="188">
        <v>0</v>
      </c>
      <c r="Y289" s="188">
        <v>0</v>
      </c>
      <c r="Z289" s="188">
        <v>0</v>
      </c>
      <c r="AA289" s="188">
        <v>0</v>
      </c>
      <c r="AB289" s="188">
        <v>0</v>
      </c>
      <c r="AC289" s="188">
        <v>0</v>
      </c>
      <c r="AD289" s="188">
        <v>0</v>
      </c>
      <c r="AE289" s="188">
        <v>0</v>
      </c>
      <c r="AF289" s="188">
        <v>0</v>
      </c>
      <c r="AG289" s="188">
        <v>0</v>
      </c>
      <c r="AH289" s="188">
        <v>0</v>
      </c>
      <c r="AI289" s="188">
        <v>0</v>
      </c>
      <c r="AJ289" s="188">
        <v>0</v>
      </c>
    </row>
    <row r="290" spans="1:36" x14ac:dyDescent="0.35">
      <c r="A290" t="s">
        <v>1777</v>
      </c>
      <c r="B290" s="188" t="s">
        <v>1342</v>
      </c>
      <c r="C290" t="s">
        <v>1350</v>
      </c>
      <c r="D290" s="188">
        <v>30</v>
      </c>
      <c r="E290" t="s">
        <v>1742</v>
      </c>
      <c r="F290" t="s">
        <v>1400</v>
      </c>
      <c r="G290" s="188" t="s">
        <v>1775</v>
      </c>
      <c r="H290" s="188">
        <v>0</v>
      </c>
      <c r="I290" s="188">
        <v>0</v>
      </c>
      <c r="J290" s="188">
        <v>0</v>
      </c>
      <c r="K290" s="188">
        <v>0</v>
      </c>
      <c r="L290" s="188">
        <v>0</v>
      </c>
      <c r="M290" s="188">
        <v>0</v>
      </c>
      <c r="N290" s="188">
        <v>0</v>
      </c>
      <c r="O290" s="188">
        <v>0</v>
      </c>
      <c r="P290" s="188">
        <v>0</v>
      </c>
      <c r="Q290" s="188">
        <v>0</v>
      </c>
      <c r="R290" s="188">
        <v>0</v>
      </c>
      <c r="S290" s="188">
        <v>0</v>
      </c>
      <c r="T290" s="188">
        <v>0</v>
      </c>
      <c r="U290" s="188">
        <v>0</v>
      </c>
      <c r="V290" s="188">
        <v>0</v>
      </c>
      <c r="W290" s="188">
        <v>0</v>
      </c>
      <c r="X290" s="188">
        <v>0</v>
      </c>
      <c r="Y290" s="188">
        <v>0</v>
      </c>
      <c r="Z290" s="188">
        <v>0</v>
      </c>
      <c r="AA290" s="188">
        <v>0</v>
      </c>
      <c r="AB290" s="188">
        <v>0</v>
      </c>
      <c r="AC290" s="188">
        <v>0</v>
      </c>
      <c r="AD290" s="188">
        <v>0</v>
      </c>
      <c r="AE290" s="188">
        <v>0</v>
      </c>
      <c r="AF290" s="188">
        <v>0</v>
      </c>
      <c r="AG290" s="188">
        <v>0</v>
      </c>
      <c r="AH290" s="188">
        <v>0</v>
      </c>
      <c r="AI290" s="188">
        <v>0</v>
      </c>
      <c r="AJ290" s="188">
        <v>0</v>
      </c>
    </row>
    <row r="291" spans="1:36" x14ac:dyDescent="0.35">
      <c r="A291" t="s">
        <v>1778</v>
      </c>
      <c r="B291" s="188" t="s">
        <v>1342</v>
      </c>
      <c r="C291" t="s">
        <v>1343</v>
      </c>
      <c r="D291" s="188">
        <v>30</v>
      </c>
      <c r="E291" t="s">
        <v>1742</v>
      </c>
      <c r="F291" t="s">
        <v>1405</v>
      </c>
      <c r="G291" s="188" t="s">
        <v>1779</v>
      </c>
      <c r="H291" s="188">
        <v>0</v>
      </c>
      <c r="I291" s="188">
        <v>0</v>
      </c>
      <c r="J291" s="188">
        <v>0</v>
      </c>
      <c r="K291" s="188">
        <v>0</v>
      </c>
      <c r="L291" s="188">
        <v>0</v>
      </c>
      <c r="M291" s="188">
        <v>0</v>
      </c>
      <c r="N291" s="188">
        <v>0</v>
      </c>
      <c r="O291" s="188">
        <v>0</v>
      </c>
      <c r="P291" s="188">
        <v>0</v>
      </c>
      <c r="Q291" s="188">
        <v>0</v>
      </c>
      <c r="R291" s="188">
        <v>0</v>
      </c>
      <c r="S291" s="188">
        <v>0</v>
      </c>
      <c r="T291" s="188">
        <v>0</v>
      </c>
      <c r="U291" s="188">
        <v>0</v>
      </c>
      <c r="V291" s="188">
        <v>0</v>
      </c>
      <c r="W291" s="188">
        <v>0</v>
      </c>
      <c r="X291" s="188">
        <v>0</v>
      </c>
      <c r="Y291" s="188">
        <v>0</v>
      </c>
      <c r="Z291" s="188">
        <v>0</v>
      </c>
      <c r="AA291" s="188">
        <v>0</v>
      </c>
      <c r="AB291" s="188">
        <v>0</v>
      </c>
      <c r="AC291" s="188">
        <v>0</v>
      </c>
      <c r="AD291" s="188">
        <v>0</v>
      </c>
      <c r="AE291" s="188">
        <v>0</v>
      </c>
      <c r="AF291" s="188">
        <v>0</v>
      </c>
      <c r="AG291" s="188">
        <v>0</v>
      </c>
      <c r="AH291" s="188">
        <v>0</v>
      </c>
      <c r="AI291" s="188">
        <v>0</v>
      </c>
      <c r="AJ291" s="188">
        <v>0</v>
      </c>
    </row>
    <row r="292" spans="1:36" x14ac:dyDescent="0.35">
      <c r="A292" t="s">
        <v>1780</v>
      </c>
      <c r="B292" s="188" t="s">
        <v>1342</v>
      </c>
      <c r="C292" t="s">
        <v>1348</v>
      </c>
      <c r="D292" s="188">
        <v>30</v>
      </c>
      <c r="E292" t="s">
        <v>1742</v>
      </c>
      <c r="F292" t="s">
        <v>1405</v>
      </c>
      <c r="G292" s="188" t="s">
        <v>1779</v>
      </c>
      <c r="H292" s="188">
        <v>0</v>
      </c>
      <c r="I292" s="188">
        <v>0</v>
      </c>
      <c r="J292" s="188">
        <v>0</v>
      </c>
      <c r="K292" s="188">
        <v>0</v>
      </c>
      <c r="L292" s="188">
        <v>0</v>
      </c>
      <c r="M292" s="188">
        <v>0</v>
      </c>
      <c r="N292" s="188">
        <v>0</v>
      </c>
      <c r="O292" s="188">
        <v>0</v>
      </c>
      <c r="P292" s="188">
        <v>0</v>
      </c>
      <c r="Q292" s="188">
        <v>0</v>
      </c>
      <c r="R292" s="188">
        <v>0</v>
      </c>
      <c r="S292" s="188">
        <v>0</v>
      </c>
      <c r="T292" s="188">
        <v>0</v>
      </c>
      <c r="U292" s="188">
        <v>0</v>
      </c>
      <c r="V292" s="188">
        <v>0</v>
      </c>
      <c r="W292" s="188">
        <v>0</v>
      </c>
      <c r="X292" s="188">
        <v>0</v>
      </c>
      <c r="Y292" s="188">
        <v>0</v>
      </c>
      <c r="Z292" s="188">
        <v>0</v>
      </c>
      <c r="AA292" s="188">
        <v>0</v>
      </c>
      <c r="AB292" s="188">
        <v>0</v>
      </c>
      <c r="AC292" s="188">
        <v>0</v>
      </c>
      <c r="AD292" s="188">
        <v>0</v>
      </c>
      <c r="AE292" s="188">
        <v>0</v>
      </c>
      <c r="AF292" s="188">
        <v>0</v>
      </c>
      <c r="AG292" s="188">
        <v>0</v>
      </c>
      <c r="AH292" s="188">
        <v>0</v>
      </c>
      <c r="AI292" s="188">
        <v>0</v>
      </c>
      <c r="AJ292" s="188">
        <v>0</v>
      </c>
    </row>
    <row r="293" spans="1:36" x14ac:dyDescent="0.35">
      <c r="A293" t="s">
        <v>1781</v>
      </c>
      <c r="B293" s="188" t="s">
        <v>1342</v>
      </c>
      <c r="C293" t="s">
        <v>1350</v>
      </c>
      <c r="D293" s="188">
        <v>30</v>
      </c>
      <c r="E293" t="s">
        <v>1742</v>
      </c>
      <c r="F293" t="s">
        <v>1405</v>
      </c>
      <c r="G293" s="188" t="s">
        <v>1779</v>
      </c>
      <c r="H293" s="188">
        <v>0</v>
      </c>
      <c r="I293" s="188">
        <v>0</v>
      </c>
      <c r="J293" s="188">
        <v>0</v>
      </c>
      <c r="K293" s="188">
        <v>0</v>
      </c>
      <c r="L293" s="188">
        <v>0</v>
      </c>
      <c r="M293" s="188">
        <v>0</v>
      </c>
      <c r="N293" s="188">
        <v>0</v>
      </c>
      <c r="O293" s="188">
        <v>0</v>
      </c>
      <c r="P293" s="188">
        <v>0</v>
      </c>
      <c r="Q293" s="188">
        <v>0</v>
      </c>
      <c r="R293" s="188">
        <v>0</v>
      </c>
      <c r="S293" s="188">
        <v>0</v>
      </c>
      <c r="T293" s="188">
        <v>0</v>
      </c>
      <c r="U293" s="188">
        <v>0</v>
      </c>
      <c r="V293" s="188">
        <v>0</v>
      </c>
      <c r="W293" s="188">
        <v>0</v>
      </c>
      <c r="X293" s="188">
        <v>0</v>
      </c>
      <c r="Y293" s="188">
        <v>0</v>
      </c>
      <c r="Z293" s="188">
        <v>0</v>
      </c>
      <c r="AA293" s="188">
        <v>0</v>
      </c>
      <c r="AB293" s="188">
        <v>0</v>
      </c>
      <c r="AC293" s="188">
        <v>0</v>
      </c>
      <c r="AD293" s="188">
        <v>0</v>
      </c>
      <c r="AE293" s="188">
        <v>0</v>
      </c>
      <c r="AF293" s="188">
        <v>0</v>
      </c>
      <c r="AG293" s="188">
        <v>0</v>
      </c>
      <c r="AH293" s="188">
        <v>0</v>
      </c>
      <c r="AI293" s="188">
        <v>0</v>
      </c>
      <c r="AJ293" s="188">
        <v>0</v>
      </c>
    </row>
    <row r="294" spans="1:36" x14ac:dyDescent="0.35">
      <c r="A294" t="s">
        <v>1782</v>
      </c>
      <c r="B294" s="188" t="s">
        <v>1342</v>
      </c>
      <c r="C294" t="s">
        <v>1343</v>
      </c>
      <c r="D294" s="188">
        <v>30</v>
      </c>
      <c r="E294" t="s">
        <v>236</v>
      </c>
      <c r="F294" t="s">
        <v>1783</v>
      </c>
      <c r="G294" s="190" t="s">
        <v>1784</v>
      </c>
      <c r="H294" s="190">
        <v>0</v>
      </c>
      <c r="I294" s="190">
        <v>0</v>
      </c>
      <c r="J294" s="190">
        <v>0</v>
      </c>
      <c r="K294" s="190">
        <v>0</v>
      </c>
      <c r="L294" s="190">
        <v>0</v>
      </c>
      <c r="M294" s="190">
        <v>0</v>
      </c>
      <c r="N294" s="190">
        <v>0</v>
      </c>
      <c r="O294" s="190">
        <v>0</v>
      </c>
      <c r="P294" s="190">
        <v>0</v>
      </c>
      <c r="Q294" s="190">
        <v>0</v>
      </c>
      <c r="R294" s="190">
        <v>0</v>
      </c>
      <c r="S294" s="190">
        <v>0</v>
      </c>
      <c r="T294" s="190">
        <v>0</v>
      </c>
      <c r="U294" s="190">
        <v>0</v>
      </c>
      <c r="V294" s="190">
        <v>0</v>
      </c>
      <c r="W294" s="190">
        <v>0</v>
      </c>
      <c r="X294" s="190">
        <v>0</v>
      </c>
      <c r="Y294" s="190">
        <v>0</v>
      </c>
      <c r="Z294" s="190">
        <v>0</v>
      </c>
      <c r="AA294" s="190">
        <v>0</v>
      </c>
      <c r="AB294" s="190">
        <v>0</v>
      </c>
      <c r="AC294" s="190">
        <v>0</v>
      </c>
      <c r="AD294" s="190">
        <v>0</v>
      </c>
      <c r="AE294" s="190">
        <v>0</v>
      </c>
      <c r="AF294" s="190">
        <v>0</v>
      </c>
      <c r="AG294" s="190">
        <v>0</v>
      </c>
      <c r="AH294" s="190">
        <v>0</v>
      </c>
      <c r="AI294" s="190">
        <v>0</v>
      </c>
      <c r="AJ294" s="190">
        <v>0</v>
      </c>
    </row>
    <row r="295" spans="1:36" x14ac:dyDescent="0.35">
      <c r="A295" t="s">
        <v>1785</v>
      </c>
      <c r="B295" s="188" t="s">
        <v>1342</v>
      </c>
      <c r="C295" t="s">
        <v>1348</v>
      </c>
      <c r="D295" s="188">
        <v>30</v>
      </c>
      <c r="E295" t="s">
        <v>236</v>
      </c>
      <c r="F295" t="s">
        <v>1783</v>
      </c>
      <c r="G295" s="190" t="s">
        <v>1784</v>
      </c>
      <c r="H295" s="190">
        <v>0</v>
      </c>
      <c r="I295" s="190">
        <v>0</v>
      </c>
      <c r="J295" s="190">
        <v>0</v>
      </c>
      <c r="K295" s="190">
        <v>0</v>
      </c>
      <c r="L295" s="190">
        <v>0</v>
      </c>
      <c r="M295" s="190">
        <v>0</v>
      </c>
      <c r="N295" s="190">
        <v>0</v>
      </c>
      <c r="O295" s="190">
        <v>0</v>
      </c>
      <c r="P295" s="190">
        <v>0</v>
      </c>
      <c r="Q295" s="190">
        <v>0</v>
      </c>
      <c r="R295" s="190">
        <v>0</v>
      </c>
      <c r="S295" s="190">
        <v>0</v>
      </c>
      <c r="T295" s="190">
        <v>0</v>
      </c>
      <c r="U295" s="190">
        <v>0</v>
      </c>
      <c r="V295" s="190">
        <v>0</v>
      </c>
      <c r="W295" s="190">
        <v>0</v>
      </c>
      <c r="X295" s="190">
        <v>0</v>
      </c>
      <c r="Y295" s="190">
        <v>0</v>
      </c>
      <c r="Z295" s="190">
        <v>0</v>
      </c>
      <c r="AA295" s="190">
        <v>0</v>
      </c>
      <c r="AB295" s="190">
        <v>0</v>
      </c>
      <c r="AC295" s="190">
        <v>0</v>
      </c>
      <c r="AD295" s="190">
        <v>0</v>
      </c>
      <c r="AE295" s="190">
        <v>0</v>
      </c>
      <c r="AF295" s="190">
        <v>0</v>
      </c>
      <c r="AG295" s="190">
        <v>0</v>
      </c>
      <c r="AH295" s="190">
        <v>0</v>
      </c>
      <c r="AI295" s="190">
        <v>0</v>
      </c>
      <c r="AJ295" s="190">
        <v>0</v>
      </c>
    </row>
    <row r="296" spans="1:36" x14ac:dyDescent="0.35">
      <c r="A296" t="s">
        <v>1786</v>
      </c>
      <c r="B296" s="188" t="s">
        <v>1342</v>
      </c>
      <c r="C296" t="s">
        <v>1350</v>
      </c>
      <c r="D296" s="188">
        <v>30</v>
      </c>
      <c r="E296" t="s">
        <v>236</v>
      </c>
      <c r="F296" t="s">
        <v>1783</v>
      </c>
      <c r="G296" s="190" t="s">
        <v>1784</v>
      </c>
      <c r="H296" s="190">
        <v>0</v>
      </c>
      <c r="I296" s="190">
        <v>0</v>
      </c>
      <c r="J296" s="190">
        <v>0</v>
      </c>
      <c r="K296" s="190">
        <v>0</v>
      </c>
      <c r="L296" s="190">
        <v>0</v>
      </c>
      <c r="M296" s="190">
        <v>0</v>
      </c>
      <c r="N296" s="190">
        <v>0</v>
      </c>
      <c r="O296" s="190">
        <v>0</v>
      </c>
      <c r="P296" s="190">
        <v>0</v>
      </c>
      <c r="Q296" s="190">
        <v>0</v>
      </c>
      <c r="R296" s="190">
        <v>0</v>
      </c>
      <c r="S296" s="190">
        <v>0</v>
      </c>
      <c r="T296" s="190">
        <v>0</v>
      </c>
      <c r="U296" s="190">
        <v>0</v>
      </c>
      <c r="V296" s="190">
        <v>0</v>
      </c>
      <c r="W296" s="190">
        <v>0</v>
      </c>
      <c r="X296" s="190">
        <v>0</v>
      </c>
      <c r="Y296" s="190">
        <v>0</v>
      </c>
      <c r="Z296" s="190">
        <v>0</v>
      </c>
      <c r="AA296" s="190">
        <v>0</v>
      </c>
      <c r="AB296" s="190">
        <v>0</v>
      </c>
      <c r="AC296" s="190">
        <v>0</v>
      </c>
      <c r="AD296" s="190">
        <v>0</v>
      </c>
      <c r="AE296" s="190">
        <v>0</v>
      </c>
      <c r="AF296" s="190">
        <v>0</v>
      </c>
      <c r="AG296" s="190">
        <v>0</v>
      </c>
      <c r="AH296" s="190">
        <v>0</v>
      </c>
      <c r="AI296" s="190">
        <v>0</v>
      </c>
      <c r="AJ296" s="190">
        <v>0</v>
      </c>
    </row>
    <row r="297" spans="1:36" x14ac:dyDescent="0.35">
      <c r="A297" t="s">
        <v>1787</v>
      </c>
      <c r="B297" s="188" t="s">
        <v>1342</v>
      </c>
      <c r="C297" t="s">
        <v>1343</v>
      </c>
      <c r="D297" s="188">
        <v>30</v>
      </c>
      <c r="E297" t="s">
        <v>236</v>
      </c>
      <c r="F297" t="s">
        <v>1788</v>
      </c>
      <c r="G297" s="190" t="s">
        <v>1789</v>
      </c>
      <c r="H297" s="190">
        <v>0</v>
      </c>
      <c r="I297" s="190">
        <v>0</v>
      </c>
      <c r="J297" s="190">
        <v>0</v>
      </c>
      <c r="K297" s="190">
        <v>0</v>
      </c>
      <c r="L297" s="190">
        <v>0</v>
      </c>
      <c r="M297" s="190">
        <v>0</v>
      </c>
      <c r="N297" s="190">
        <v>0</v>
      </c>
      <c r="O297" s="190">
        <v>0</v>
      </c>
      <c r="P297" s="190">
        <v>0</v>
      </c>
      <c r="Q297" s="190">
        <v>0</v>
      </c>
      <c r="R297" s="190">
        <v>0</v>
      </c>
      <c r="S297" s="190">
        <v>0</v>
      </c>
      <c r="T297" s="190">
        <v>0</v>
      </c>
      <c r="U297" s="190">
        <v>0</v>
      </c>
      <c r="V297" s="190">
        <v>0</v>
      </c>
      <c r="W297" s="190">
        <v>0</v>
      </c>
      <c r="X297" s="190">
        <v>0</v>
      </c>
      <c r="Y297" s="190">
        <v>0</v>
      </c>
      <c r="Z297" s="190">
        <v>0</v>
      </c>
      <c r="AA297" s="190">
        <v>0</v>
      </c>
      <c r="AB297" s="190">
        <v>0</v>
      </c>
      <c r="AC297" s="190">
        <v>0</v>
      </c>
      <c r="AD297" s="190">
        <v>0</v>
      </c>
      <c r="AE297" s="190">
        <v>0</v>
      </c>
      <c r="AF297" s="190">
        <v>0</v>
      </c>
      <c r="AG297" s="190">
        <v>0</v>
      </c>
      <c r="AH297" s="190">
        <v>0</v>
      </c>
      <c r="AI297" s="190">
        <v>0</v>
      </c>
      <c r="AJ297" s="190">
        <v>0</v>
      </c>
    </row>
    <row r="298" spans="1:36" x14ac:dyDescent="0.35">
      <c r="A298" t="s">
        <v>1790</v>
      </c>
      <c r="B298" s="188" t="s">
        <v>1342</v>
      </c>
      <c r="C298" t="s">
        <v>1348</v>
      </c>
      <c r="D298" s="188">
        <v>30</v>
      </c>
      <c r="E298" t="s">
        <v>236</v>
      </c>
      <c r="F298" t="s">
        <v>1788</v>
      </c>
      <c r="G298" s="190" t="s">
        <v>1789</v>
      </c>
      <c r="H298" s="190">
        <v>0</v>
      </c>
      <c r="I298" s="190">
        <v>0</v>
      </c>
      <c r="J298" s="190">
        <v>0</v>
      </c>
      <c r="K298" s="190">
        <v>0</v>
      </c>
      <c r="L298" s="190">
        <v>0</v>
      </c>
      <c r="M298" s="190">
        <v>0</v>
      </c>
      <c r="N298" s="190">
        <v>0</v>
      </c>
      <c r="O298" s="190">
        <v>0</v>
      </c>
      <c r="P298" s="190">
        <v>0</v>
      </c>
      <c r="Q298" s="190">
        <v>0</v>
      </c>
      <c r="R298" s="190">
        <v>0</v>
      </c>
      <c r="S298" s="190">
        <v>0</v>
      </c>
      <c r="T298" s="190">
        <v>0</v>
      </c>
      <c r="U298" s="190">
        <v>0</v>
      </c>
      <c r="V298" s="190">
        <v>0</v>
      </c>
      <c r="W298" s="190">
        <v>0</v>
      </c>
      <c r="X298" s="190">
        <v>0</v>
      </c>
      <c r="Y298" s="190">
        <v>0</v>
      </c>
      <c r="Z298" s="190">
        <v>0</v>
      </c>
      <c r="AA298" s="190">
        <v>0</v>
      </c>
      <c r="AB298" s="190">
        <v>0</v>
      </c>
      <c r="AC298" s="190">
        <v>0</v>
      </c>
      <c r="AD298" s="190">
        <v>0</v>
      </c>
      <c r="AE298" s="190">
        <v>0</v>
      </c>
      <c r="AF298" s="190">
        <v>0</v>
      </c>
      <c r="AG298" s="190">
        <v>0</v>
      </c>
      <c r="AH298" s="190">
        <v>0</v>
      </c>
      <c r="AI298" s="190">
        <v>0</v>
      </c>
      <c r="AJ298" s="190">
        <v>0</v>
      </c>
    </row>
    <row r="299" spans="1:36" x14ac:dyDescent="0.35">
      <c r="A299" t="s">
        <v>1791</v>
      </c>
      <c r="B299" s="188" t="s">
        <v>1342</v>
      </c>
      <c r="C299" t="s">
        <v>1350</v>
      </c>
      <c r="D299" s="188">
        <v>30</v>
      </c>
      <c r="E299" t="s">
        <v>236</v>
      </c>
      <c r="F299" t="s">
        <v>1788</v>
      </c>
      <c r="G299" s="190" t="s">
        <v>1789</v>
      </c>
      <c r="H299" s="190">
        <v>0</v>
      </c>
      <c r="I299" s="190">
        <v>0</v>
      </c>
      <c r="J299" s="190">
        <v>0</v>
      </c>
      <c r="K299" s="190">
        <v>0</v>
      </c>
      <c r="L299" s="190">
        <v>0</v>
      </c>
      <c r="M299" s="190">
        <v>0</v>
      </c>
      <c r="N299" s="190">
        <v>0</v>
      </c>
      <c r="O299" s="190">
        <v>0</v>
      </c>
      <c r="P299" s="190">
        <v>0</v>
      </c>
      <c r="Q299" s="190">
        <v>0</v>
      </c>
      <c r="R299" s="190">
        <v>0</v>
      </c>
      <c r="S299" s="190">
        <v>0</v>
      </c>
      <c r="T299" s="190">
        <v>0</v>
      </c>
      <c r="U299" s="190">
        <v>0</v>
      </c>
      <c r="V299" s="190">
        <v>0</v>
      </c>
      <c r="W299" s="190">
        <v>0</v>
      </c>
      <c r="X299" s="190">
        <v>0</v>
      </c>
      <c r="Y299" s="190">
        <v>0</v>
      </c>
      <c r="Z299" s="190">
        <v>0</v>
      </c>
      <c r="AA299" s="190">
        <v>0</v>
      </c>
      <c r="AB299" s="190">
        <v>0</v>
      </c>
      <c r="AC299" s="190">
        <v>0</v>
      </c>
      <c r="AD299" s="190">
        <v>0</v>
      </c>
      <c r="AE299" s="190">
        <v>0</v>
      </c>
      <c r="AF299" s="190">
        <v>0</v>
      </c>
      <c r="AG299" s="190">
        <v>0</v>
      </c>
      <c r="AH299" s="190">
        <v>0</v>
      </c>
      <c r="AI299" s="190">
        <v>0</v>
      </c>
      <c r="AJ299" s="190">
        <v>0</v>
      </c>
    </row>
    <row r="300" spans="1:36" x14ac:dyDescent="0.35">
      <c r="A300" t="s">
        <v>1792</v>
      </c>
      <c r="B300" s="188" t="s">
        <v>1342</v>
      </c>
      <c r="C300" t="s">
        <v>1343</v>
      </c>
      <c r="D300" s="188">
        <v>30</v>
      </c>
      <c r="E300" t="s">
        <v>236</v>
      </c>
      <c r="F300" t="s">
        <v>1793</v>
      </c>
      <c r="G300" s="190" t="s">
        <v>1794</v>
      </c>
      <c r="H300" s="190">
        <v>0</v>
      </c>
      <c r="I300" s="190">
        <v>0</v>
      </c>
      <c r="J300" s="190">
        <v>0</v>
      </c>
      <c r="K300" s="190">
        <v>0</v>
      </c>
      <c r="L300" s="190">
        <v>0</v>
      </c>
      <c r="M300" s="190">
        <v>0</v>
      </c>
      <c r="N300" s="190">
        <v>0</v>
      </c>
      <c r="O300" s="190">
        <v>0</v>
      </c>
      <c r="P300" s="190">
        <v>0</v>
      </c>
      <c r="Q300" s="190">
        <v>0</v>
      </c>
      <c r="R300" s="190">
        <v>0</v>
      </c>
      <c r="S300" s="190">
        <v>0</v>
      </c>
      <c r="T300" s="190">
        <v>0</v>
      </c>
      <c r="U300" s="190">
        <v>0</v>
      </c>
      <c r="V300" s="190">
        <v>0</v>
      </c>
      <c r="W300" s="190">
        <v>0</v>
      </c>
      <c r="X300" s="190">
        <v>0</v>
      </c>
      <c r="Y300" s="190">
        <v>0</v>
      </c>
      <c r="Z300" s="190">
        <v>0</v>
      </c>
      <c r="AA300" s="190">
        <v>0</v>
      </c>
      <c r="AB300" s="190">
        <v>0</v>
      </c>
      <c r="AC300" s="190">
        <v>0</v>
      </c>
      <c r="AD300" s="190">
        <v>0</v>
      </c>
      <c r="AE300" s="190">
        <v>0</v>
      </c>
      <c r="AF300" s="190">
        <v>0</v>
      </c>
      <c r="AG300" s="190">
        <v>0</v>
      </c>
      <c r="AH300" s="190">
        <v>0</v>
      </c>
      <c r="AI300" s="190">
        <v>0</v>
      </c>
      <c r="AJ300" s="190">
        <v>0</v>
      </c>
    </row>
    <row r="301" spans="1:36" x14ac:dyDescent="0.35">
      <c r="A301" t="s">
        <v>1795</v>
      </c>
      <c r="B301" s="188" t="s">
        <v>1342</v>
      </c>
      <c r="C301" t="s">
        <v>1348</v>
      </c>
      <c r="D301" s="188">
        <v>30</v>
      </c>
      <c r="E301" t="s">
        <v>236</v>
      </c>
      <c r="F301" t="s">
        <v>1793</v>
      </c>
      <c r="G301" s="190" t="s">
        <v>1794</v>
      </c>
      <c r="H301" s="190">
        <v>0</v>
      </c>
      <c r="I301" s="190">
        <v>0</v>
      </c>
      <c r="J301" s="190">
        <v>0</v>
      </c>
      <c r="K301" s="190">
        <v>0</v>
      </c>
      <c r="L301" s="190">
        <v>0</v>
      </c>
      <c r="M301" s="190">
        <v>0</v>
      </c>
      <c r="N301" s="190">
        <v>0</v>
      </c>
      <c r="O301" s="190">
        <v>0</v>
      </c>
      <c r="P301" s="190">
        <v>0</v>
      </c>
      <c r="Q301" s="190">
        <v>0</v>
      </c>
      <c r="R301" s="190">
        <v>0</v>
      </c>
      <c r="S301" s="190">
        <v>0</v>
      </c>
      <c r="T301" s="190">
        <v>0</v>
      </c>
      <c r="U301" s="190">
        <v>0</v>
      </c>
      <c r="V301" s="190">
        <v>0</v>
      </c>
      <c r="W301" s="190">
        <v>0</v>
      </c>
      <c r="X301" s="190">
        <v>0</v>
      </c>
      <c r="Y301" s="190">
        <v>0</v>
      </c>
      <c r="Z301" s="190">
        <v>0</v>
      </c>
      <c r="AA301" s="190">
        <v>0</v>
      </c>
      <c r="AB301" s="190">
        <v>0</v>
      </c>
      <c r="AC301" s="190">
        <v>0</v>
      </c>
      <c r="AD301" s="190">
        <v>0</v>
      </c>
      <c r="AE301" s="190">
        <v>0</v>
      </c>
      <c r="AF301" s="190">
        <v>0</v>
      </c>
      <c r="AG301" s="190">
        <v>0</v>
      </c>
      <c r="AH301" s="190">
        <v>0</v>
      </c>
      <c r="AI301" s="190">
        <v>0</v>
      </c>
      <c r="AJ301" s="190">
        <v>0</v>
      </c>
    </row>
    <row r="302" spans="1:36" x14ac:dyDescent="0.35">
      <c r="A302" t="s">
        <v>1796</v>
      </c>
      <c r="B302" s="188" t="s">
        <v>1342</v>
      </c>
      <c r="C302" t="s">
        <v>1350</v>
      </c>
      <c r="D302" s="188">
        <v>30</v>
      </c>
      <c r="E302" t="s">
        <v>236</v>
      </c>
      <c r="F302" t="s">
        <v>1793</v>
      </c>
      <c r="G302" s="190" t="s">
        <v>1794</v>
      </c>
      <c r="H302" s="190">
        <v>0</v>
      </c>
      <c r="I302" s="190">
        <v>0</v>
      </c>
      <c r="J302" s="190">
        <v>0</v>
      </c>
      <c r="K302" s="190">
        <v>0</v>
      </c>
      <c r="L302" s="190">
        <v>0</v>
      </c>
      <c r="M302" s="190">
        <v>0</v>
      </c>
      <c r="N302" s="190">
        <v>0</v>
      </c>
      <c r="O302" s="190">
        <v>0</v>
      </c>
      <c r="P302" s="190">
        <v>0</v>
      </c>
      <c r="Q302" s="190">
        <v>0</v>
      </c>
      <c r="R302" s="190">
        <v>0</v>
      </c>
      <c r="S302" s="190">
        <v>0</v>
      </c>
      <c r="T302" s="190">
        <v>0</v>
      </c>
      <c r="U302" s="190">
        <v>0</v>
      </c>
      <c r="V302" s="190">
        <v>0</v>
      </c>
      <c r="W302" s="190">
        <v>0</v>
      </c>
      <c r="X302" s="190">
        <v>0</v>
      </c>
      <c r="Y302" s="190">
        <v>0</v>
      </c>
      <c r="Z302" s="190">
        <v>0</v>
      </c>
      <c r="AA302" s="190">
        <v>0</v>
      </c>
      <c r="AB302" s="190">
        <v>0</v>
      </c>
      <c r="AC302" s="190">
        <v>0</v>
      </c>
      <c r="AD302" s="190">
        <v>0</v>
      </c>
      <c r="AE302" s="190">
        <v>0</v>
      </c>
      <c r="AF302" s="190">
        <v>0</v>
      </c>
      <c r="AG302" s="190">
        <v>0</v>
      </c>
      <c r="AH302" s="190">
        <v>0</v>
      </c>
      <c r="AI302" s="190">
        <v>0</v>
      </c>
      <c r="AJ302" s="190">
        <v>0</v>
      </c>
    </row>
    <row r="303" spans="1:36" x14ac:dyDescent="0.35">
      <c r="A303" t="s">
        <v>1797</v>
      </c>
      <c r="B303" s="188" t="s">
        <v>1342</v>
      </c>
      <c r="C303" t="s">
        <v>1343</v>
      </c>
      <c r="D303" s="188">
        <v>30</v>
      </c>
      <c r="E303" t="s">
        <v>236</v>
      </c>
      <c r="F303" t="s">
        <v>1798</v>
      </c>
      <c r="G303" s="190" t="s">
        <v>1799</v>
      </c>
      <c r="H303" s="190">
        <v>0</v>
      </c>
      <c r="I303" s="190">
        <v>0</v>
      </c>
      <c r="J303" s="190">
        <v>0</v>
      </c>
      <c r="K303" s="190">
        <v>0</v>
      </c>
      <c r="L303" s="190">
        <v>0</v>
      </c>
      <c r="M303" s="190">
        <v>0</v>
      </c>
      <c r="N303" s="190">
        <v>0</v>
      </c>
      <c r="O303" s="190">
        <v>0</v>
      </c>
      <c r="P303" s="190">
        <v>0</v>
      </c>
      <c r="Q303" s="190">
        <v>0</v>
      </c>
      <c r="R303" s="190">
        <v>0</v>
      </c>
      <c r="S303" s="190">
        <v>0</v>
      </c>
      <c r="T303" s="190">
        <v>0</v>
      </c>
      <c r="U303" s="190">
        <v>0</v>
      </c>
      <c r="V303" s="190">
        <v>0</v>
      </c>
      <c r="W303" s="190">
        <v>0</v>
      </c>
      <c r="X303" s="190">
        <v>0</v>
      </c>
      <c r="Y303" s="190">
        <v>0</v>
      </c>
      <c r="Z303" s="190">
        <v>0</v>
      </c>
      <c r="AA303" s="190">
        <v>0</v>
      </c>
      <c r="AB303" s="190">
        <v>0</v>
      </c>
      <c r="AC303" s="190">
        <v>0</v>
      </c>
      <c r="AD303" s="190">
        <v>0</v>
      </c>
      <c r="AE303" s="190">
        <v>0</v>
      </c>
      <c r="AF303" s="190">
        <v>0</v>
      </c>
      <c r="AG303" s="190">
        <v>0</v>
      </c>
      <c r="AH303" s="190">
        <v>0</v>
      </c>
      <c r="AI303" s="190">
        <v>0</v>
      </c>
      <c r="AJ303" s="190">
        <v>0</v>
      </c>
    </row>
    <row r="304" spans="1:36" x14ac:dyDescent="0.35">
      <c r="A304" t="s">
        <v>1800</v>
      </c>
      <c r="B304" s="188" t="s">
        <v>1342</v>
      </c>
      <c r="C304" t="s">
        <v>1348</v>
      </c>
      <c r="D304" s="188">
        <v>30</v>
      </c>
      <c r="E304" t="s">
        <v>236</v>
      </c>
      <c r="F304" t="s">
        <v>1798</v>
      </c>
      <c r="G304" s="190" t="s">
        <v>1799</v>
      </c>
      <c r="H304" s="190">
        <v>0</v>
      </c>
      <c r="I304" s="190">
        <v>0</v>
      </c>
      <c r="J304" s="190">
        <v>0</v>
      </c>
      <c r="K304" s="190">
        <v>0</v>
      </c>
      <c r="L304" s="190">
        <v>0</v>
      </c>
      <c r="M304" s="190">
        <v>0</v>
      </c>
      <c r="N304" s="190">
        <v>0</v>
      </c>
      <c r="O304" s="190">
        <v>0</v>
      </c>
      <c r="P304" s="190">
        <v>0</v>
      </c>
      <c r="Q304" s="190">
        <v>0</v>
      </c>
      <c r="R304" s="190">
        <v>0</v>
      </c>
      <c r="S304" s="190">
        <v>0</v>
      </c>
      <c r="T304" s="190">
        <v>0</v>
      </c>
      <c r="U304" s="190">
        <v>0</v>
      </c>
      <c r="V304" s="190">
        <v>0</v>
      </c>
      <c r="W304" s="190">
        <v>0</v>
      </c>
      <c r="X304" s="190">
        <v>0</v>
      </c>
      <c r="Y304" s="190">
        <v>0</v>
      </c>
      <c r="Z304" s="190">
        <v>0</v>
      </c>
      <c r="AA304" s="190">
        <v>0</v>
      </c>
      <c r="AB304" s="190">
        <v>0</v>
      </c>
      <c r="AC304" s="190">
        <v>0</v>
      </c>
      <c r="AD304" s="190">
        <v>0</v>
      </c>
      <c r="AE304" s="190">
        <v>0</v>
      </c>
      <c r="AF304" s="190">
        <v>0</v>
      </c>
      <c r="AG304" s="190">
        <v>0</v>
      </c>
      <c r="AH304" s="190">
        <v>0</v>
      </c>
      <c r="AI304" s="190">
        <v>0</v>
      </c>
      <c r="AJ304" s="190">
        <v>0</v>
      </c>
    </row>
    <row r="305" spans="1:36" x14ac:dyDescent="0.35">
      <c r="A305" t="s">
        <v>1801</v>
      </c>
      <c r="B305" s="188" t="s">
        <v>1342</v>
      </c>
      <c r="C305" t="s">
        <v>1350</v>
      </c>
      <c r="D305" s="188">
        <v>30</v>
      </c>
      <c r="E305" t="s">
        <v>236</v>
      </c>
      <c r="F305" t="s">
        <v>1798</v>
      </c>
      <c r="G305" s="190" t="s">
        <v>1799</v>
      </c>
      <c r="H305" s="190">
        <v>0</v>
      </c>
      <c r="I305" s="190">
        <v>0</v>
      </c>
      <c r="J305" s="190">
        <v>0</v>
      </c>
      <c r="K305" s="190">
        <v>0</v>
      </c>
      <c r="L305" s="190">
        <v>0</v>
      </c>
      <c r="M305" s="190">
        <v>0</v>
      </c>
      <c r="N305" s="190">
        <v>0</v>
      </c>
      <c r="O305" s="190">
        <v>0</v>
      </c>
      <c r="P305" s="190">
        <v>0</v>
      </c>
      <c r="Q305" s="190">
        <v>0</v>
      </c>
      <c r="R305" s="190">
        <v>0</v>
      </c>
      <c r="S305" s="190">
        <v>0</v>
      </c>
      <c r="T305" s="190">
        <v>0</v>
      </c>
      <c r="U305" s="190">
        <v>0</v>
      </c>
      <c r="V305" s="190">
        <v>0</v>
      </c>
      <c r="W305" s="190">
        <v>0</v>
      </c>
      <c r="X305" s="190">
        <v>0</v>
      </c>
      <c r="Y305" s="190">
        <v>0</v>
      </c>
      <c r="Z305" s="190">
        <v>0</v>
      </c>
      <c r="AA305" s="190">
        <v>0</v>
      </c>
      <c r="AB305" s="190">
        <v>0</v>
      </c>
      <c r="AC305" s="190">
        <v>0</v>
      </c>
      <c r="AD305" s="190">
        <v>0</v>
      </c>
      <c r="AE305" s="190">
        <v>0</v>
      </c>
      <c r="AF305" s="190">
        <v>0</v>
      </c>
      <c r="AG305" s="190">
        <v>0</v>
      </c>
      <c r="AH305" s="190">
        <v>0</v>
      </c>
      <c r="AI305" s="190">
        <v>0</v>
      </c>
      <c r="AJ305" s="190">
        <v>0</v>
      </c>
    </row>
    <row r="306" spans="1:36" x14ac:dyDescent="0.35">
      <c r="A306" t="s">
        <v>1802</v>
      </c>
      <c r="B306" s="188" t="s">
        <v>1342</v>
      </c>
      <c r="C306" t="s">
        <v>1343</v>
      </c>
      <c r="D306" s="188">
        <v>30</v>
      </c>
      <c r="E306" t="s">
        <v>236</v>
      </c>
      <c r="F306" t="s">
        <v>1803</v>
      </c>
      <c r="G306" s="190" t="s">
        <v>1804</v>
      </c>
      <c r="H306" s="190">
        <v>0</v>
      </c>
      <c r="I306" s="190">
        <v>0</v>
      </c>
      <c r="J306" s="190">
        <v>0</v>
      </c>
      <c r="K306" s="190">
        <v>0</v>
      </c>
      <c r="L306" s="190">
        <v>0</v>
      </c>
      <c r="M306" s="190">
        <v>0</v>
      </c>
      <c r="N306" s="190">
        <v>0</v>
      </c>
      <c r="O306" s="190">
        <v>0</v>
      </c>
      <c r="P306" s="190">
        <v>0</v>
      </c>
      <c r="Q306" s="190">
        <v>0</v>
      </c>
      <c r="R306" s="190">
        <v>0</v>
      </c>
      <c r="S306" s="190">
        <v>0</v>
      </c>
      <c r="T306" s="190">
        <v>0</v>
      </c>
      <c r="U306" s="190">
        <v>0</v>
      </c>
      <c r="V306" s="190">
        <v>0</v>
      </c>
      <c r="W306" s="190">
        <v>0</v>
      </c>
      <c r="X306" s="190">
        <v>0</v>
      </c>
      <c r="Y306" s="190">
        <v>0</v>
      </c>
      <c r="Z306" s="190">
        <v>0</v>
      </c>
      <c r="AA306" s="190">
        <v>0</v>
      </c>
      <c r="AB306" s="190">
        <v>0</v>
      </c>
      <c r="AC306" s="190">
        <v>0</v>
      </c>
      <c r="AD306" s="190">
        <v>0</v>
      </c>
      <c r="AE306" s="190">
        <v>0</v>
      </c>
      <c r="AF306" s="190">
        <v>0</v>
      </c>
      <c r="AG306" s="190">
        <v>0</v>
      </c>
      <c r="AH306" s="190">
        <v>0</v>
      </c>
      <c r="AI306" s="190">
        <v>0</v>
      </c>
      <c r="AJ306" s="190">
        <v>0</v>
      </c>
    </row>
    <row r="307" spans="1:36" x14ac:dyDescent="0.35">
      <c r="A307" t="s">
        <v>1805</v>
      </c>
      <c r="B307" s="188" t="s">
        <v>1342</v>
      </c>
      <c r="C307" t="s">
        <v>1348</v>
      </c>
      <c r="D307" s="188">
        <v>30</v>
      </c>
      <c r="E307" t="s">
        <v>236</v>
      </c>
      <c r="F307" t="s">
        <v>1803</v>
      </c>
      <c r="G307" s="190" t="s">
        <v>1804</v>
      </c>
      <c r="H307" s="190">
        <v>0</v>
      </c>
      <c r="I307" s="190">
        <v>0</v>
      </c>
      <c r="J307" s="190">
        <v>0</v>
      </c>
      <c r="K307" s="190">
        <v>0</v>
      </c>
      <c r="L307" s="190">
        <v>0</v>
      </c>
      <c r="M307" s="190">
        <v>0</v>
      </c>
      <c r="N307" s="190">
        <v>0</v>
      </c>
      <c r="O307" s="190">
        <v>0</v>
      </c>
      <c r="P307" s="190">
        <v>0</v>
      </c>
      <c r="Q307" s="190">
        <v>0</v>
      </c>
      <c r="R307" s="190">
        <v>0</v>
      </c>
      <c r="S307" s="190">
        <v>0</v>
      </c>
      <c r="T307" s="190">
        <v>0</v>
      </c>
      <c r="U307" s="190">
        <v>0</v>
      </c>
      <c r="V307" s="190">
        <v>0</v>
      </c>
      <c r="W307" s="190">
        <v>0</v>
      </c>
      <c r="X307" s="190">
        <v>0</v>
      </c>
      <c r="Y307" s="190">
        <v>0</v>
      </c>
      <c r="Z307" s="190">
        <v>0</v>
      </c>
      <c r="AA307" s="190">
        <v>0</v>
      </c>
      <c r="AB307" s="190">
        <v>0</v>
      </c>
      <c r="AC307" s="190">
        <v>0</v>
      </c>
      <c r="AD307" s="190">
        <v>0</v>
      </c>
      <c r="AE307" s="190">
        <v>0</v>
      </c>
      <c r="AF307" s="190">
        <v>0</v>
      </c>
      <c r="AG307" s="190">
        <v>0</v>
      </c>
      <c r="AH307" s="190">
        <v>0</v>
      </c>
      <c r="AI307" s="190">
        <v>0</v>
      </c>
      <c r="AJ307" s="190">
        <v>0</v>
      </c>
    </row>
    <row r="308" spans="1:36" x14ac:dyDescent="0.35">
      <c r="A308" t="s">
        <v>1806</v>
      </c>
      <c r="B308" s="188" t="s">
        <v>1342</v>
      </c>
      <c r="C308" t="s">
        <v>1350</v>
      </c>
      <c r="D308" s="188">
        <v>30</v>
      </c>
      <c r="E308" t="s">
        <v>236</v>
      </c>
      <c r="F308" t="s">
        <v>1803</v>
      </c>
      <c r="G308" s="190" t="s">
        <v>1804</v>
      </c>
      <c r="H308" s="190">
        <v>0</v>
      </c>
      <c r="I308" s="190">
        <v>0</v>
      </c>
      <c r="J308" s="190">
        <v>0</v>
      </c>
      <c r="K308" s="190">
        <v>0</v>
      </c>
      <c r="L308" s="190">
        <v>0</v>
      </c>
      <c r="M308" s="190">
        <v>0</v>
      </c>
      <c r="N308" s="190">
        <v>0</v>
      </c>
      <c r="O308" s="190">
        <v>0</v>
      </c>
      <c r="P308" s="190">
        <v>0</v>
      </c>
      <c r="Q308" s="190">
        <v>0</v>
      </c>
      <c r="R308" s="190">
        <v>0</v>
      </c>
      <c r="S308" s="190">
        <v>0</v>
      </c>
      <c r="T308" s="190">
        <v>0</v>
      </c>
      <c r="U308" s="190">
        <v>0</v>
      </c>
      <c r="V308" s="190">
        <v>0</v>
      </c>
      <c r="W308" s="190">
        <v>0</v>
      </c>
      <c r="X308" s="190">
        <v>0</v>
      </c>
      <c r="Y308" s="190">
        <v>0</v>
      </c>
      <c r="Z308" s="190">
        <v>0</v>
      </c>
      <c r="AA308" s="190">
        <v>0</v>
      </c>
      <c r="AB308" s="190">
        <v>0</v>
      </c>
      <c r="AC308" s="190">
        <v>0</v>
      </c>
      <c r="AD308" s="190">
        <v>0</v>
      </c>
      <c r="AE308" s="190">
        <v>0</v>
      </c>
      <c r="AF308" s="190">
        <v>0</v>
      </c>
      <c r="AG308" s="190">
        <v>0</v>
      </c>
      <c r="AH308" s="190">
        <v>0</v>
      </c>
      <c r="AI308" s="190">
        <v>0</v>
      </c>
      <c r="AJ308" s="190">
        <v>0</v>
      </c>
    </row>
    <row r="309" spans="1:36" x14ac:dyDescent="0.35">
      <c r="A309" t="s">
        <v>1807</v>
      </c>
      <c r="B309" s="188" t="s">
        <v>1342</v>
      </c>
      <c r="C309" t="s">
        <v>1343</v>
      </c>
      <c r="D309" s="188">
        <v>30</v>
      </c>
      <c r="E309" t="s">
        <v>236</v>
      </c>
      <c r="F309" t="s">
        <v>1808</v>
      </c>
      <c r="G309" s="190" t="s">
        <v>1809</v>
      </c>
      <c r="H309" s="190">
        <v>0</v>
      </c>
      <c r="I309" s="190">
        <v>0</v>
      </c>
      <c r="J309" s="190">
        <v>0</v>
      </c>
      <c r="K309" s="190">
        <v>0</v>
      </c>
      <c r="L309" s="190">
        <v>0</v>
      </c>
      <c r="M309" s="190">
        <v>0</v>
      </c>
      <c r="N309" s="190">
        <v>0</v>
      </c>
      <c r="O309" s="190">
        <v>0</v>
      </c>
      <c r="P309" s="190">
        <v>0</v>
      </c>
      <c r="Q309" s="190">
        <v>0</v>
      </c>
      <c r="R309" s="190">
        <v>0</v>
      </c>
      <c r="S309" s="190">
        <v>0</v>
      </c>
      <c r="T309" s="190">
        <v>0</v>
      </c>
      <c r="U309" s="190">
        <v>0</v>
      </c>
      <c r="V309" s="190">
        <v>0</v>
      </c>
      <c r="W309" s="190">
        <v>0</v>
      </c>
      <c r="X309" s="190">
        <v>0</v>
      </c>
      <c r="Y309" s="190">
        <v>0</v>
      </c>
      <c r="Z309" s="190">
        <v>0</v>
      </c>
      <c r="AA309" s="190">
        <v>0</v>
      </c>
      <c r="AB309" s="190">
        <v>0</v>
      </c>
      <c r="AC309" s="190">
        <v>0</v>
      </c>
      <c r="AD309" s="190">
        <v>0</v>
      </c>
      <c r="AE309" s="190">
        <v>0</v>
      </c>
      <c r="AF309" s="190">
        <v>0</v>
      </c>
      <c r="AG309" s="190">
        <v>0</v>
      </c>
      <c r="AH309" s="190">
        <v>0</v>
      </c>
      <c r="AI309" s="190">
        <v>0</v>
      </c>
      <c r="AJ309" s="190">
        <v>0</v>
      </c>
    </row>
    <row r="310" spans="1:36" x14ac:dyDescent="0.35">
      <c r="A310" t="s">
        <v>1810</v>
      </c>
      <c r="B310" s="188" t="s">
        <v>1342</v>
      </c>
      <c r="C310" t="s">
        <v>1348</v>
      </c>
      <c r="D310" s="188">
        <v>30</v>
      </c>
      <c r="E310" t="s">
        <v>236</v>
      </c>
      <c r="F310" t="s">
        <v>1808</v>
      </c>
      <c r="G310" s="190" t="s">
        <v>1809</v>
      </c>
      <c r="H310" s="190">
        <v>0</v>
      </c>
      <c r="I310" s="190">
        <v>0</v>
      </c>
      <c r="J310" s="190">
        <v>0</v>
      </c>
      <c r="K310" s="190">
        <v>0</v>
      </c>
      <c r="L310" s="190">
        <v>0</v>
      </c>
      <c r="M310" s="190">
        <v>0</v>
      </c>
      <c r="N310" s="190">
        <v>0</v>
      </c>
      <c r="O310" s="190">
        <v>0</v>
      </c>
      <c r="P310" s="190">
        <v>0</v>
      </c>
      <c r="Q310" s="190">
        <v>0</v>
      </c>
      <c r="R310" s="190">
        <v>0</v>
      </c>
      <c r="S310" s="190">
        <v>0</v>
      </c>
      <c r="T310" s="190">
        <v>0</v>
      </c>
      <c r="U310" s="190">
        <v>0</v>
      </c>
      <c r="V310" s="190">
        <v>0</v>
      </c>
      <c r="W310" s="190">
        <v>0</v>
      </c>
      <c r="X310" s="190">
        <v>0</v>
      </c>
      <c r="Y310" s="190">
        <v>0</v>
      </c>
      <c r="Z310" s="190">
        <v>0</v>
      </c>
      <c r="AA310" s="190">
        <v>0</v>
      </c>
      <c r="AB310" s="190">
        <v>0</v>
      </c>
      <c r="AC310" s="190">
        <v>0</v>
      </c>
      <c r="AD310" s="190">
        <v>0</v>
      </c>
      <c r="AE310" s="190">
        <v>0</v>
      </c>
      <c r="AF310" s="190">
        <v>0</v>
      </c>
      <c r="AG310" s="190">
        <v>0</v>
      </c>
      <c r="AH310" s="190">
        <v>0</v>
      </c>
      <c r="AI310" s="190">
        <v>0</v>
      </c>
      <c r="AJ310" s="190">
        <v>0</v>
      </c>
    </row>
    <row r="311" spans="1:36" x14ac:dyDescent="0.35">
      <c r="A311" t="s">
        <v>1811</v>
      </c>
      <c r="B311" s="188" t="s">
        <v>1342</v>
      </c>
      <c r="C311" t="s">
        <v>1350</v>
      </c>
      <c r="D311" s="188">
        <v>30</v>
      </c>
      <c r="E311" t="s">
        <v>236</v>
      </c>
      <c r="F311" t="s">
        <v>1808</v>
      </c>
      <c r="G311" s="190" t="s">
        <v>1809</v>
      </c>
      <c r="H311" s="190">
        <v>0</v>
      </c>
      <c r="I311" s="190">
        <v>0</v>
      </c>
      <c r="J311" s="190">
        <v>0</v>
      </c>
      <c r="K311" s="190">
        <v>0</v>
      </c>
      <c r="L311" s="190">
        <v>0</v>
      </c>
      <c r="M311" s="190">
        <v>0</v>
      </c>
      <c r="N311" s="190">
        <v>0</v>
      </c>
      <c r="O311" s="190">
        <v>0</v>
      </c>
      <c r="P311" s="190">
        <v>0</v>
      </c>
      <c r="Q311" s="190">
        <v>0</v>
      </c>
      <c r="R311" s="190">
        <v>0</v>
      </c>
      <c r="S311" s="190">
        <v>0</v>
      </c>
      <c r="T311" s="190">
        <v>0</v>
      </c>
      <c r="U311" s="190">
        <v>0</v>
      </c>
      <c r="V311" s="190">
        <v>0</v>
      </c>
      <c r="W311" s="190">
        <v>0</v>
      </c>
      <c r="X311" s="190">
        <v>0</v>
      </c>
      <c r="Y311" s="190">
        <v>0</v>
      </c>
      <c r="Z311" s="190">
        <v>0</v>
      </c>
      <c r="AA311" s="190">
        <v>0</v>
      </c>
      <c r="AB311" s="190">
        <v>0</v>
      </c>
      <c r="AC311" s="190">
        <v>0</v>
      </c>
      <c r="AD311" s="190">
        <v>0</v>
      </c>
      <c r="AE311" s="190">
        <v>0</v>
      </c>
      <c r="AF311" s="190">
        <v>0</v>
      </c>
      <c r="AG311" s="190">
        <v>0</v>
      </c>
      <c r="AH311" s="190">
        <v>0</v>
      </c>
      <c r="AI311" s="190">
        <v>0</v>
      </c>
      <c r="AJ311" s="190">
        <v>0</v>
      </c>
    </row>
    <row r="312" spans="1:36" x14ac:dyDescent="0.35">
      <c r="A312" t="s">
        <v>1812</v>
      </c>
      <c r="B312" s="188" t="s">
        <v>1342</v>
      </c>
      <c r="C312" t="s">
        <v>1343</v>
      </c>
      <c r="D312" s="188">
        <v>60</v>
      </c>
      <c r="E312" t="s">
        <v>692</v>
      </c>
      <c r="F312" t="s">
        <v>692</v>
      </c>
      <c r="G312" s="190" t="s">
        <v>1813</v>
      </c>
      <c r="H312" s="190"/>
      <c r="I312" s="190"/>
      <c r="J312" s="190"/>
      <c r="K312" s="190"/>
      <c r="L312" s="190"/>
      <c r="M312" s="190"/>
      <c r="N312" s="190"/>
      <c r="O312" s="190"/>
      <c r="P312" s="190">
        <v>1.9</v>
      </c>
      <c r="Q312" s="190">
        <v>1.9</v>
      </c>
      <c r="R312" s="190">
        <v>1.9</v>
      </c>
      <c r="S312" s="190">
        <v>1.9</v>
      </c>
      <c r="T312" s="190">
        <v>1.9</v>
      </c>
      <c r="U312" s="190">
        <v>1.9</v>
      </c>
      <c r="V312" s="190">
        <v>1.9</v>
      </c>
      <c r="W312" s="190">
        <v>1.9</v>
      </c>
      <c r="X312" s="190">
        <v>1.9</v>
      </c>
      <c r="Y312" s="190">
        <v>1.9</v>
      </c>
      <c r="Z312" s="190">
        <v>1.9</v>
      </c>
      <c r="AA312" s="190">
        <v>1.9</v>
      </c>
      <c r="AB312" s="190">
        <v>1.9</v>
      </c>
      <c r="AC312" s="190">
        <v>1.9</v>
      </c>
      <c r="AD312" s="190">
        <v>1.9</v>
      </c>
      <c r="AE312" s="190">
        <v>1.9</v>
      </c>
      <c r="AF312" s="190">
        <v>1.9</v>
      </c>
      <c r="AG312" s="190">
        <v>1.9</v>
      </c>
      <c r="AH312" s="190">
        <v>1.9</v>
      </c>
      <c r="AI312" s="190">
        <v>1.9</v>
      </c>
      <c r="AJ312" s="190">
        <v>1.9</v>
      </c>
    </row>
    <row r="313" spans="1:36" x14ac:dyDescent="0.35">
      <c r="A313" t="s">
        <v>1814</v>
      </c>
      <c r="B313" s="188" t="s">
        <v>1342</v>
      </c>
      <c r="C313" t="s">
        <v>1348</v>
      </c>
      <c r="D313" s="188">
        <v>60</v>
      </c>
      <c r="E313" t="s">
        <v>692</v>
      </c>
      <c r="F313" t="s">
        <v>692</v>
      </c>
      <c r="G313" s="190" t="s">
        <v>1813</v>
      </c>
      <c r="H313" s="190"/>
      <c r="I313" s="190"/>
      <c r="J313" s="190"/>
      <c r="K313" s="190"/>
      <c r="L313" s="190"/>
      <c r="M313" s="190"/>
      <c r="N313" s="190"/>
      <c r="O313" s="190"/>
      <c r="P313" s="190">
        <v>2.8</v>
      </c>
      <c r="Q313" s="190">
        <v>2.8</v>
      </c>
      <c r="R313" s="190">
        <v>2.8</v>
      </c>
      <c r="S313" s="190">
        <v>2.8</v>
      </c>
      <c r="T313" s="190">
        <v>2.8</v>
      </c>
      <c r="U313" s="190">
        <v>2.8</v>
      </c>
      <c r="V313" s="190">
        <v>2.8</v>
      </c>
      <c r="W313" s="190">
        <v>2.8</v>
      </c>
      <c r="X313" s="190">
        <v>2.8</v>
      </c>
      <c r="Y313" s="190">
        <v>2.8</v>
      </c>
      <c r="Z313" s="190">
        <v>2.8</v>
      </c>
      <c r="AA313" s="190">
        <v>2.8</v>
      </c>
      <c r="AB313" s="190">
        <v>2.8</v>
      </c>
      <c r="AC313" s="190">
        <v>2.8</v>
      </c>
      <c r="AD313" s="190">
        <v>2.8</v>
      </c>
      <c r="AE313" s="190">
        <v>2.8</v>
      </c>
      <c r="AF313" s="190">
        <v>2.8</v>
      </c>
      <c r="AG313" s="190">
        <v>2.8</v>
      </c>
      <c r="AH313" s="190">
        <v>2.8</v>
      </c>
      <c r="AI313" s="190">
        <v>2.8</v>
      </c>
      <c r="AJ313" s="190">
        <v>2.8</v>
      </c>
    </row>
    <row r="314" spans="1:36" x14ac:dyDescent="0.35">
      <c r="A314" t="s">
        <v>1815</v>
      </c>
      <c r="B314" s="188" t="s">
        <v>1342</v>
      </c>
      <c r="C314" t="s">
        <v>1350</v>
      </c>
      <c r="D314" s="188">
        <v>60</v>
      </c>
      <c r="E314" t="s">
        <v>692</v>
      </c>
      <c r="F314" t="s">
        <v>692</v>
      </c>
      <c r="G314" s="190" t="s">
        <v>1813</v>
      </c>
      <c r="H314" s="190"/>
      <c r="I314" s="190"/>
      <c r="J314" s="190"/>
      <c r="K314" s="190"/>
      <c r="L314" s="190"/>
      <c r="M314" s="190"/>
      <c r="N314" s="190"/>
      <c r="O314" s="190"/>
      <c r="P314" s="190">
        <v>3.4</v>
      </c>
      <c r="Q314" s="190">
        <v>3.4</v>
      </c>
      <c r="R314" s="190">
        <v>3.4</v>
      </c>
      <c r="S314" s="190">
        <v>3.4</v>
      </c>
      <c r="T314" s="190">
        <v>3.4</v>
      </c>
      <c r="U314" s="190">
        <v>3.4</v>
      </c>
      <c r="V314" s="190">
        <v>3.4</v>
      </c>
      <c r="W314" s="190">
        <v>3.4</v>
      </c>
      <c r="X314" s="190">
        <v>3.4</v>
      </c>
      <c r="Y314" s="190">
        <v>3.4</v>
      </c>
      <c r="Z314" s="190">
        <v>3.4</v>
      </c>
      <c r="AA314" s="190">
        <v>3.4</v>
      </c>
      <c r="AB314" s="190">
        <v>3.4</v>
      </c>
      <c r="AC314" s="190">
        <v>3.4</v>
      </c>
      <c r="AD314" s="190">
        <v>3.4</v>
      </c>
      <c r="AE314" s="190">
        <v>3.4</v>
      </c>
      <c r="AF314" s="190">
        <v>3.4</v>
      </c>
      <c r="AG314" s="190">
        <v>3.4</v>
      </c>
      <c r="AH314" s="190">
        <v>3.4</v>
      </c>
      <c r="AI314" s="190">
        <v>3.4</v>
      </c>
      <c r="AJ314" s="190">
        <v>3.4</v>
      </c>
    </row>
    <row r="315" spans="1:36" x14ac:dyDescent="0.35">
      <c r="A315" t="s">
        <v>1816</v>
      </c>
      <c r="B315" s="188" t="s">
        <v>1342</v>
      </c>
      <c r="C315" t="s">
        <v>1343</v>
      </c>
      <c r="D315" s="188">
        <v>60</v>
      </c>
      <c r="E315" t="s">
        <v>692</v>
      </c>
      <c r="F315" t="s">
        <v>1817</v>
      </c>
      <c r="G315" s="190" t="s">
        <v>1818</v>
      </c>
      <c r="H315" s="190"/>
      <c r="I315" s="190"/>
      <c r="J315" s="190"/>
      <c r="K315" s="190"/>
      <c r="L315" s="190"/>
      <c r="M315" s="190"/>
      <c r="N315" s="190"/>
      <c r="O315" s="190"/>
      <c r="P315" s="190">
        <v>2.2000000000000002</v>
      </c>
      <c r="Q315" s="190">
        <v>2.2000000000000002</v>
      </c>
      <c r="R315" s="190">
        <v>2.2000000000000002</v>
      </c>
      <c r="S315" s="190">
        <v>2.2000000000000002</v>
      </c>
      <c r="T315" s="190">
        <v>2.2000000000000002</v>
      </c>
      <c r="U315" s="190">
        <v>2.2000000000000002</v>
      </c>
      <c r="V315" s="190">
        <v>2.2000000000000002</v>
      </c>
      <c r="W315" s="190">
        <v>2.2000000000000002</v>
      </c>
      <c r="X315" s="190">
        <v>2.2000000000000002</v>
      </c>
      <c r="Y315" s="190">
        <v>2.2000000000000002</v>
      </c>
      <c r="Z315" s="190">
        <v>2.2000000000000002</v>
      </c>
      <c r="AA315" s="190">
        <v>2.2000000000000002</v>
      </c>
      <c r="AB315" s="190">
        <v>2.2000000000000002</v>
      </c>
      <c r="AC315" s="190">
        <v>2.2000000000000002</v>
      </c>
      <c r="AD315" s="190">
        <v>2.2000000000000002</v>
      </c>
      <c r="AE315" s="190">
        <v>2.2000000000000002</v>
      </c>
      <c r="AF315" s="190">
        <v>2.2000000000000002</v>
      </c>
      <c r="AG315" s="190">
        <v>2.2000000000000002</v>
      </c>
      <c r="AH315" s="190">
        <v>2.2000000000000002</v>
      </c>
      <c r="AI315" s="190">
        <v>2.2000000000000002</v>
      </c>
      <c r="AJ315" s="190">
        <v>2.2000000000000002</v>
      </c>
    </row>
    <row r="316" spans="1:36" x14ac:dyDescent="0.35">
      <c r="A316" t="s">
        <v>1819</v>
      </c>
      <c r="B316" s="188" t="s">
        <v>1342</v>
      </c>
      <c r="C316" t="s">
        <v>1348</v>
      </c>
      <c r="D316" s="188">
        <v>60</v>
      </c>
      <c r="E316" t="s">
        <v>692</v>
      </c>
      <c r="F316" t="s">
        <v>1817</v>
      </c>
      <c r="G316" s="190" t="s">
        <v>1818</v>
      </c>
      <c r="H316" s="190"/>
      <c r="I316" s="190"/>
      <c r="J316" s="190"/>
      <c r="K316" s="190"/>
      <c r="L316" s="190"/>
      <c r="M316" s="190"/>
      <c r="N316" s="190"/>
      <c r="O316" s="190"/>
      <c r="P316" s="190">
        <v>2.6</v>
      </c>
      <c r="Q316" s="190">
        <v>2.6</v>
      </c>
      <c r="R316" s="190">
        <v>2.6</v>
      </c>
      <c r="S316" s="190">
        <v>2.6</v>
      </c>
      <c r="T316" s="190">
        <v>2.6</v>
      </c>
      <c r="U316" s="190">
        <v>2.6</v>
      </c>
      <c r="V316" s="190">
        <v>2.6</v>
      </c>
      <c r="W316" s="190">
        <v>2.6</v>
      </c>
      <c r="X316" s="190">
        <v>2.6</v>
      </c>
      <c r="Y316" s="190">
        <v>2.6</v>
      </c>
      <c r="Z316" s="190">
        <v>2.6</v>
      </c>
      <c r="AA316" s="190">
        <v>2.6</v>
      </c>
      <c r="AB316" s="190">
        <v>2.6</v>
      </c>
      <c r="AC316" s="190">
        <v>2.6</v>
      </c>
      <c r="AD316" s="190">
        <v>2.6</v>
      </c>
      <c r="AE316" s="190">
        <v>2.6</v>
      </c>
      <c r="AF316" s="190">
        <v>2.6</v>
      </c>
      <c r="AG316" s="190">
        <v>2.6</v>
      </c>
      <c r="AH316" s="190">
        <v>2.6</v>
      </c>
      <c r="AI316" s="190">
        <v>2.6</v>
      </c>
      <c r="AJ316" s="190">
        <v>2.6</v>
      </c>
    </row>
    <row r="317" spans="1:36" x14ac:dyDescent="0.35">
      <c r="A317" t="s">
        <v>1820</v>
      </c>
      <c r="B317" s="188" t="s">
        <v>1342</v>
      </c>
      <c r="C317" t="s">
        <v>1350</v>
      </c>
      <c r="D317" s="188">
        <v>60</v>
      </c>
      <c r="E317" t="s">
        <v>692</v>
      </c>
      <c r="F317" t="s">
        <v>1817</v>
      </c>
      <c r="G317" s="190" t="s">
        <v>1818</v>
      </c>
      <c r="H317" s="190"/>
      <c r="I317" s="190"/>
      <c r="J317" s="190"/>
      <c r="K317" s="190"/>
      <c r="L317" s="190"/>
      <c r="M317" s="190"/>
      <c r="N317" s="190"/>
      <c r="O317" s="190"/>
      <c r="P317" s="190">
        <v>2.8</v>
      </c>
      <c r="Q317" s="190">
        <v>2.8</v>
      </c>
      <c r="R317" s="190">
        <v>2.8</v>
      </c>
      <c r="S317" s="190">
        <v>2.8</v>
      </c>
      <c r="T317" s="190">
        <v>2.8</v>
      </c>
      <c r="U317" s="190">
        <v>2.8</v>
      </c>
      <c r="V317" s="190">
        <v>2.8</v>
      </c>
      <c r="W317" s="190">
        <v>2.8</v>
      </c>
      <c r="X317" s="190">
        <v>2.8</v>
      </c>
      <c r="Y317" s="190">
        <v>2.8</v>
      </c>
      <c r="Z317" s="190">
        <v>2.8</v>
      </c>
      <c r="AA317" s="190">
        <v>2.8</v>
      </c>
      <c r="AB317" s="190">
        <v>2.8</v>
      </c>
      <c r="AC317" s="190">
        <v>2.8</v>
      </c>
      <c r="AD317" s="190">
        <v>2.8</v>
      </c>
      <c r="AE317" s="190">
        <v>2.8</v>
      </c>
      <c r="AF317" s="190">
        <v>2.8</v>
      </c>
      <c r="AG317" s="190">
        <v>2.8</v>
      </c>
      <c r="AH317" s="190">
        <v>2.8</v>
      </c>
      <c r="AI317" s="190">
        <v>2.8</v>
      </c>
      <c r="AJ317" s="190">
        <v>2.8</v>
      </c>
    </row>
    <row r="318" spans="1:36" x14ac:dyDescent="0.35">
      <c r="A318" t="s">
        <v>1821</v>
      </c>
      <c r="B318" s="188" t="s">
        <v>1342</v>
      </c>
      <c r="C318" t="s">
        <v>1343</v>
      </c>
      <c r="D318" s="188">
        <v>45</v>
      </c>
      <c r="E318" t="s">
        <v>1822</v>
      </c>
      <c r="F318" t="s">
        <v>1823</v>
      </c>
      <c r="G318" t="s">
        <v>1824</v>
      </c>
      <c r="H318">
        <v>5.2466399999999993</v>
      </c>
      <c r="I318">
        <v>5.2466399999999993</v>
      </c>
      <c r="J318">
        <v>5.2466399999999993</v>
      </c>
      <c r="K318">
        <v>5.2466399999999993</v>
      </c>
      <c r="L318">
        <v>5.2466399999999993</v>
      </c>
      <c r="M318">
        <v>5.2466399999999993</v>
      </c>
      <c r="N318">
        <v>5.2466399999999993</v>
      </c>
      <c r="O318">
        <v>5.2466399999999993</v>
      </c>
      <c r="P318">
        <v>5.2466399999999993</v>
      </c>
      <c r="Q318">
        <v>5.2466399999999993</v>
      </c>
      <c r="R318">
        <v>5.2466399999999993</v>
      </c>
      <c r="S318">
        <v>5.2466399999999993</v>
      </c>
      <c r="T318">
        <v>5.2466399999999993</v>
      </c>
      <c r="U318">
        <v>5.2466399999999993</v>
      </c>
      <c r="V318">
        <v>5.2466399999999993</v>
      </c>
      <c r="W318">
        <v>5.2466399999999993</v>
      </c>
      <c r="X318">
        <v>5.2466399999999993</v>
      </c>
      <c r="Y318">
        <v>5.2466399999999993</v>
      </c>
      <c r="Z318">
        <v>5.2466399999999993</v>
      </c>
      <c r="AA318">
        <v>5.2466399999999993</v>
      </c>
      <c r="AB318">
        <v>5.2466399999999993</v>
      </c>
      <c r="AC318">
        <v>5.2466399999999993</v>
      </c>
      <c r="AD318">
        <v>5.2466399999999993</v>
      </c>
      <c r="AE318">
        <v>5.2466399999999993</v>
      </c>
      <c r="AF318">
        <v>5.2466399999999993</v>
      </c>
      <c r="AG318">
        <v>5.2466399999999993</v>
      </c>
      <c r="AH318">
        <v>5.2466399999999993</v>
      </c>
      <c r="AI318">
        <v>5.2466399999999993</v>
      </c>
      <c r="AJ318">
        <v>5.2466399999999993</v>
      </c>
    </row>
    <row r="319" spans="1:36" x14ac:dyDescent="0.35">
      <c r="A319" t="s">
        <v>1825</v>
      </c>
      <c r="B319" s="188" t="s">
        <v>1342</v>
      </c>
      <c r="C319" t="s">
        <v>1348</v>
      </c>
      <c r="D319" s="188">
        <v>45</v>
      </c>
      <c r="E319" t="s">
        <v>1822</v>
      </c>
      <c r="F319" t="s">
        <v>1823</v>
      </c>
      <c r="G319" t="s">
        <v>1824</v>
      </c>
      <c r="H319">
        <v>5.2466399999999993</v>
      </c>
      <c r="I319">
        <v>5.2466399999999993</v>
      </c>
      <c r="J319">
        <v>5.2466399999999993</v>
      </c>
      <c r="K319">
        <v>5.2466399999999993</v>
      </c>
      <c r="L319">
        <v>5.2466399999999993</v>
      </c>
      <c r="M319">
        <v>5.2466399999999993</v>
      </c>
      <c r="N319">
        <v>5.2466399999999993</v>
      </c>
      <c r="O319">
        <v>5.2466399999999993</v>
      </c>
      <c r="P319">
        <v>5.2466399999999993</v>
      </c>
      <c r="Q319">
        <v>5.2466399999999993</v>
      </c>
      <c r="R319">
        <v>5.2466399999999993</v>
      </c>
      <c r="S319">
        <v>5.2466399999999993</v>
      </c>
      <c r="T319">
        <v>5.2466399999999993</v>
      </c>
      <c r="U319">
        <v>5.2466399999999993</v>
      </c>
      <c r="V319">
        <v>5.2466399999999993</v>
      </c>
      <c r="W319">
        <v>5.2466399999999993</v>
      </c>
      <c r="X319">
        <v>5.2466399999999993</v>
      </c>
      <c r="Y319">
        <v>5.2466399999999993</v>
      </c>
      <c r="Z319">
        <v>5.2466399999999993</v>
      </c>
      <c r="AA319">
        <v>5.2466399999999993</v>
      </c>
      <c r="AB319">
        <v>5.2466399999999993</v>
      </c>
      <c r="AC319">
        <v>5.2466399999999993</v>
      </c>
      <c r="AD319">
        <v>5.2466399999999993</v>
      </c>
      <c r="AE319">
        <v>5.2466399999999993</v>
      </c>
      <c r="AF319">
        <v>5.2466399999999993</v>
      </c>
      <c r="AG319">
        <v>5.2466399999999993</v>
      </c>
      <c r="AH319">
        <v>5.2466399999999993</v>
      </c>
      <c r="AI319">
        <v>5.2466399999999993</v>
      </c>
      <c r="AJ319">
        <v>5.2466399999999993</v>
      </c>
    </row>
    <row r="320" spans="1:36" x14ac:dyDescent="0.35">
      <c r="A320" t="s">
        <v>1826</v>
      </c>
      <c r="B320" s="188" t="s">
        <v>1342</v>
      </c>
      <c r="C320" t="s">
        <v>1350</v>
      </c>
      <c r="D320" s="188">
        <v>45</v>
      </c>
      <c r="E320" t="s">
        <v>1822</v>
      </c>
      <c r="F320" t="s">
        <v>1823</v>
      </c>
      <c r="G320" t="s">
        <v>1824</v>
      </c>
      <c r="H320">
        <v>5.2466399999999993</v>
      </c>
      <c r="I320">
        <v>5.2466399999999993</v>
      </c>
      <c r="J320">
        <v>5.2466399999999993</v>
      </c>
      <c r="K320">
        <v>5.2466399999999993</v>
      </c>
      <c r="L320">
        <v>5.2466399999999993</v>
      </c>
      <c r="M320">
        <v>5.2466399999999993</v>
      </c>
      <c r="N320">
        <v>5.2466399999999993</v>
      </c>
      <c r="O320">
        <v>5.2466399999999993</v>
      </c>
      <c r="P320">
        <v>5.2466399999999993</v>
      </c>
      <c r="Q320">
        <v>5.2466399999999993</v>
      </c>
      <c r="R320">
        <v>5.2466399999999993</v>
      </c>
      <c r="S320">
        <v>5.2466399999999993</v>
      </c>
      <c r="T320">
        <v>5.2466399999999993</v>
      </c>
      <c r="U320">
        <v>5.2466399999999993</v>
      </c>
      <c r="V320">
        <v>5.2466399999999993</v>
      </c>
      <c r="W320">
        <v>5.2466399999999993</v>
      </c>
      <c r="X320">
        <v>5.2466399999999993</v>
      </c>
      <c r="Y320">
        <v>5.2466399999999993</v>
      </c>
      <c r="Z320">
        <v>5.2466399999999993</v>
      </c>
      <c r="AA320">
        <v>5.2466399999999993</v>
      </c>
      <c r="AB320">
        <v>5.2466399999999993</v>
      </c>
      <c r="AC320">
        <v>5.2466399999999993</v>
      </c>
      <c r="AD320">
        <v>5.2466399999999993</v>
      </c>
      <c r="AE320">
        <v>5.2466399999999993</v>
      </c>
      <c r="AF320">
        <v>5.2466399999999993</v>
      </c>
      <c r="AG320">
        <v>5.2466399999999993</v>
      </c>
      <c r="AH320">
        <v>5.2466399999999993</v>
      </c>
      <c r="AI320">
        <v>5.2466399999999993</v>
      </c>
      <c r="AJ320">
        <v>5.2466399999999993</v>
      </c>
    </row>
    <row r="321" spans="1:36" x14ac:dyDescent="0.35">
      <c r="A321" t="s">
        <v>1827</v>
      </c>
      <c r="B321" s="188" t="s">
        <v>1342</v>
      </c>
      <c r="C321" t="s">
        <v>1343</v>
      </c>
      <c r="D321" s="188" t="s">
        <v>555</v>
      </c>
      <c r="E321" t="s">
        <v>1828</v>
      </c>
      <c r="F321" t="s">
        <v>1829</v>
      </c>
      <c r="G321" s="175" t="s">
        <v>1845</v>
      </c>
      <c r="H321" s="175">
        <v>3721.6321988577074</v>
      </c>
      <c r="I321" s="175">
        <v>3684.5270422317949</v>
      </c>
      <c r="J321" s="175">
        <v>3059.9223023802479</v>
      </c>
      <c r="K321" s="175">
        <v>2436.256471664999</v>
      </c>
      <c r="L321" s="175">
        <v>2336.876449589025</v>
      </c>
      <c r="M321" s="175">
        <v>2237.5562303302395</v>
      </c>
      <c r="N321" s="175">
        <v>2138.1323229355112</v>
      </c>
      <c r="O321" s="175">
        <v>2038.67826306139</v>
      </c>
      <c r="P321" s="175">
        <v>1940.6382886318549</v>
      </c>
      <c r="Q321" s="175">
        <v>1908.6015266180079</v>
      </c>
      <c r="R321" s="175">
        <v>1876.5647337047674</v>
      </c>
      <c r="S321" s="175">
        <v>1843.1545684683419</v>
      </c>
      <c r="T321" s="175">
        <v>1811.1190481429271</v>
      </c>
      <c r="U321" s="175">
        <v>1780.5512507347034</v>
      </c>
      <c r="V321" s="175">
        <v>1747.1342559851307</v>
      </c>
      <c r="W321" s="175">
        <v>1715.1005325496283</v>
      </c>
      <c r="X321" s="175">
        <v>1683.0668993711326</v>
      </c>
      <c r="Y321" s="175">
        <v>1651.0333621621319</v>
      </c>
      <c r="Z321" s="175">
        <v>1617.5994599838964</v>
      </c>
      <c r="AA321" s="175">
        <v>1585.5671372688514</v>
      </c>
      <c r="AB321" s="175">
        <v>1555.0335054788163</v>
      </c>
      <c r="AC321" s="175">
        <v>1523.0027865472277</v>
      </c>
      <c r="AD321" s="175">
        <v>1489.5603457273974</v>
      </c>
      <c r="AE321" s="175">
        <v>1457.5310019977642</v>
      </c>
      <c r="AF321" s="175">
        <v>1425.5019906194964</v>
      </c>
      <c r="AG321" s="175">
        <v>1393.4733374901871</v>
      </c>
      <c r="AH321" s="175">
        <v>1360.0064791903458</v>
      </c>
      <c r="AI321" s="175">
        <v>1327.9788870529858</v>
      </c>
      <c r="AJ321" s="175">
        <v>1297.4974550738593</v>
      </c>
    </row>
    <row r="322" spans="1:36" x14ac:dyDescent="0.35">
      <c r="A322" t="s">
        <v>1831</v>
      </c>
      <c r="B322" s="188" t="s">
        <v>1342</v>
      </c>
      <c r="C322" t="s">
        <v>1348</v>
      </c>
      <c r="D322" s="188" t="s">
        <v>555</v>
      </c>
      <c r="E322" t="s">
        <v>1828</v>
      </c>
      <c r="F322" t="s">
        <v>1829</v>
      </c>
      <c r="G322" s="175" t="s">
        <v>1845</v>
      </c>
      <c r="H322" s="175">
        <v>3721.6321988577074</v>
      </c>
      <c r="I322" s="175">
        <v>3684.5270422317949</v>
      </c>
      <c r="J322" s="175">
        <v>3413.217401416649</v>
      </c>
      <c r="K322" s="175">
        <v>2996.4151823817015</v>
      </c>
      <c r="L322" s="175">
        <v>2891.3706918960656</v>
      </c>
      <c r="M322" s="175">
        <v>2786.2204043597658</v>
      </c>
      <c r="N322" s="175">
        <v>2680.9515305752248</v>
      </c>
      <c r="O322" s="175">
        <v>2575.5491334456497</v>
      </c>
      <c r="P322" s="175">
        <v>2469.9956572980891</v>
      </c>
      <c r="Q322" s="175">
        <v>2430.6592464175224</v>
      </c>
      <c r="R322" s="175">
        <v>2391.3407907382934</v>
      </c>
      <c r="S322" s="175">
        <v>2352.040989774518</v>
      </c>
      <c r="T322" s="175">
        <v>2312.7605798547593</v>
      </c>
      <c r="U322" s="175">
        <v>2273.500336576175</v>
      </c>
      <c r="V322" s="175">
        <v>2234.2610774576528</v>
      </c>
      <c r="W322" s="175">
        <v>2195.0436648109885</v>
      </c>
      <c r="X322" s="175">
        <v>2155.849008851319</v>
      </c>
      <c r="Y322" s="175">
        <v>2116.6780710703924</v>
      </c>
      <c r="Z322" s="175">
        <v>2077.5318678989584</v>
      </c>
      <c r="AA322" s="175">
        <v>2038.4114746876048</v>
      </c>
      <c r="AB322" s="175">
        <v>1999.3180300388235</v>
      </c>
      <c r="AC322" s="175">
        <v>1960.2527405270025</v>
      </c>
      <c r="AD322" s="175">
        <v>1921.2168858474679</v>
      </c>
      <c r="AE322" s="175">
        <v>1882.2118244408045</v>
      </c>
      <c r="AF322" s="175">
        <v>1843.2389996444126</v>
      </c>
      <c r="AG322" s="175">
        <v>1804.2999464298889</v>
      </c>
      <c r="AH322" s="175">
        <v>1765.3962987923678</v>
      </c>
      <c r="AI322" s="175">
        <v>1726.5297978666285</v>
      </c>
      <c r="AJ322" s="175">
        <v>1687.7023008547596</v>
      </c>
    </row>
    <row r="323" spans="1:36" x14ac:dyDescent="0.35">
      <c r="A323" t="s">
        <v>1832</v>
      </c>
      <c r="B323" s="188" t="s">
        <v>1342</v>
      </c>
      <c r="C323" t="s">
        <v>1350</v>
      </c>
      <c r="D323" s="188" t="s">
        <v>555</v>
      </c>
      <c r="E323" t="s">
        <v>1828</v>
      </c>
      <c r="F323" t="s">
        <v>1829</v>
      </c>
      <c r="G323" s="175" t="s">
        <v>1845</v>
      </c>
      <c r="H323" s="175">
        <v>3721.6321988577074</v>
      </c>
      <c r="I323" s="175">
        <v>3684.5270422317949</v>
      </c>
      <c r="J323" s="175">
        <v>3882.3133570339442</v>
      </c>
      <c r="K323" s="175">
        <v>3827.9803999727615</v>
      </c>
      <c r="L323" s="175">
        <v>3681.346765347223</v>
      </c>
      <c r="M323" s="175">
        <v>3534.8034971317147</v>
      </c>
      <c r="N323" s="175">
        <v>3388.36013749126</v>
      </c>
      <c r="O323" s="175">
        <v>3242.0276210658021</v>
      </c>
      <c r="P323" s="175">
        <v>3095.8185385900483</v>
      </c>
      <c r="Q323" s="175">
        <v>3075.3318392459569</v>
      </c>
      <c r="R323" s="175">
        <v>3054.8451399018654</v>
      </c>
      <c r="S323" s="175">
        <v>3034.358440557774</v>
      </c>
      <c r="T323" s="175">
        <v>3013.8717412136821</v>
      </c>
      <c r="U323" s="175">
        <v>2993.3850418695906</v>
      </c>
      <c r="V323" s="175">
        <v>2972.8983425254987</v>
      </c>
      <c r="W323" s="175">
        <v>2952.4116431814077</v>
      </c>
      <c r="X323" s="175">
        <v>2931.9249438373154</v>
      </c>
      <c r="Y323" s="175">
        <v>2911.4382444932239</v>
      </c>
      <c r="Z323" s="175">
        <v>2890.951545149132</v>
      </c>
      <c r="AA323" s="175">
        <v>2870.4648458050406</v>
      </c>
      <c r="AB323" s="175">
        <v>2849.9781464609491</v>
      </c>
      <c r="AC323" s="175">
        <v>2829.4914471168572</v>
      </c>
      <c r="AD323" s="175">
        <v>2809.0047477727658</v>
      </c>
      <c r="AE323" s="175">
        <v>2788.5180484286748</v>
      </c>
      <c r="AF323" s="175">
        <v>2768.0313490845824</v>
      </c>
      <c r="AG323" s="175">
        <v>2747.544649740491</v>
      </c>
      <c r="AH323" s="175">
        <v>2727.0579503963995</v>
      </c>
      <c r="AI323" s="175">
        <v>2706.5712510523076</v>
      </c>
      <c r="AJ323" s="175">
        <v>2686.0845517082175</v>
      </c>
    </row>
    <row r="324" spans="1:36" x14ac:dyDescent="0.35">
      <c r="A324" t="s">
        <v>1833</v>
      </c>
      <c r="B324" s="188" t="s">
        <v>1342</v>
      </c>
      <c r="C324" t="s">
        <v>1343</v>
      </c>
      <c r="D324" s="188" t="s">
        <v>555</v>
      </c>
      <c r="E324" t="s">
        <v>1828</v>
      </c>
      <c r="F324" t="s">
        <v>1834</v>
      </c>
      <c r="G324" s="175" t="s">
        <v>1850</v>
      </c>
      <c r="H324" s="175">
        <v>4532.0591827595699</v>
      </c>
      <c r="I324" s="175">
        <v>4486.6424721964477</v>
      </c>
      <c r="J324" s="175">
        <v>3722.1262899259373</v>
      </c>
      <c r="K324" s="175">
        <v>2959.0124867859358</v>
      </c>
      <c r="L324" s="175">
        <v>2837.2585954551328</v>
      </c>
      <c r="M324" s="175">
        <v>2715.5940271690502</v>
      </c>
      <c r="N324" s="175">
        <v>2593.7745875835994</v>
      </c>
      <c r="O324" s="175">
        <v>2471.910111469906</v>
      </c>
      <c r="P324" s="175">
        <v>2352.1577501920124</v>
      </c>
      <c r="Q324" s="175">
        <v>2312.9914921925856</v>
      </c>
      <c r="R324" s="175">
        <v>2273.8251880410189</v>
      </c>
      <c r="S324" s="175">
        <v>2232.6075792317456</v>
      </c>
      <c r="T324" s="175">
        <v>2193.4431758504875</v>
      </c>
      <c r="U324" s="175">
        <v>2156.4710016305648</v>
      </c>
      <c r="V324" s="175">
        <v>2115.2431920826489</v>
      </c>
      <c r="W324" s="175">
        <v>2076.0814725829455</v>
      </c>
      <c r="X324" s="175">
        <v>2036.9198878934583</v>
      </c>
      <c r="Y324" s="175">
        <v>1997.7584465465068</v>
      </c>
      <c r="Z324" s="175">
        <v>1956.5053836229542</v>
      </c>
      <c r="AA324" s="175">
        <v>1917.3457562757944</v>
      </c>
      <c r="AB324" s="175">
        <v>1880.4246127127021</v>
      </c>
      <c r="AC324" s="175">
        <v>1841.2673808182674</v>
      </c>
      <c r="AD324" s="175">
        <v>1800.0015643573245</v>
      </c>
      <c r="AE324" s="175">
        <v>1760.8463865003339</v>
      </c>
      <c r="AF324" s="175">
        <v>1721.6917050519953</v>
      </c>
      <c r="AG324" s="175">
        <v>1682.5375586936284</v>
      </c>
      <c r="AH324" s="175">
        <v>1641.235271648831</v>
      </c>
      <c r="AI324" s="175">
        <v>1602.0827100156625</v>
      </c>
      <c r="AJ324" s="175">
        <v>1565.2395334491666</v>
      </c>
    </row>
    <row r="325" spans="1:36" x14ac:dyDescent="0.35">
      <c r="A325" t="s">
        <v>1836</v>
      </c>
      <c r="B325" s="188" t="s">
        <v>1342</v>
      </c>
      <c r="C325" t="s">
        <v>1348</v>
      </c>
      <c r="D325" s="188" t="s">
        <v>555</v>
      </c>
      <c r="E325" t="s">
        <v>1828</v>
      </c>
      <c r="F325" t="s">
        <v>1834</v>
      </c>
      <c r="G325" s="175" t="s">
        <v>1850</v>
      </c>
      <c r="H325" s="175">
        <v>4532.0591827595699</v>
      </c>
      <c r="I325" s="175">
        <v>4486.6424721964477</v>
      </c>
      <c r="J325" s="175">
        <v>4150.7242670938131</v>
      </c>
      <c r="K325" s="175">
        <v>3638.9212851640846</v>
      </c>
      <c r="L325" s="175">
        <v>3507.3589684180465</v>
      </c>
      <c r="M325" s="175">
        <v>3375.6398635874384</v>
      </c>
      <c r="N325" s="175">
        <v>3243.7450174615756</v>
      </c>
      <c r="O325" s="175">
        <v>3111.6522937069712</v>
      </c>
      <c r="P325" s="175">
        <v>2979.3356753381063</v>
      </c>
      <c r="Q325" s="175">
        <v>2930.7236540878312</v>
      </c>
      <c r="R325" s="175">
        <v>2882.1382419122701</v>
      </c>
      <c r="S325" s="175">
        <v>2833.5804754705541</v>
      </c>
      <c r="T325" s="175">
        <v>2785.0514459797278</v>
      </c>
      <c r="U325" s="175">
        <v>2736.5523028517259</v>
      </c>
      <c r="V325" s="175">
        <v>2688.0842576252421</v>
      </c>
      <c r="W325" s="175">
        <v>2639.6485882207271</v>
      </c>
      <c r="X325" s="175">
        <v>2591.2466435499609</v>
      </c>
      <c r="Y325" s="175">
        <v>2542.8798485151369</v>
      </c>
      <c r="Z325" s="175">
        <v>2494.5497094364155</v>
      </c>
      <c r="AA325" s="175">
        <v>2446.2578199514051</v>
      </c>
      <c r="AB325" s="175">
        <v>2398.0058674351585</v>
      </c>
      <c r="AC325" s="175">
        <v>2349.7956399950554</v>
      </c>
      <c r="AD325" s="175">
        <v>2301.6290341015347</v>
      </c>
      <c r="AE325" s="175">
        <v>2253.5080629231675</v>
      </c>
      <c r="AF325" s="175">
        <v>2205.434865443081</v>
      </c>
      <c r="AG325" s="175">
        <v>2157.4117164435588</v>
      </c>
      <c r="AH325" s="175">
        <v>2109.4410374568251</v>
      </c>
      <c r="AI325" s="175">
        <v>2061.5254087928724</v>
      </c>
      <c r="AJ325" s="175">
        <v>2013.6675827699958</v>
      </c>
    </row>
    <row r="326" spans="1:36" x14ac:dyDescent="0.35">
      <c r="A326" t="s">
        <v>1837</v>
      </c>
      <c r="B326" s="188" t="s">
        <v>1342</v>
      </c>
      <c r="C326" t="s">
        <v>1350</v>
      </c>
      <c r="D326" s="188" t="s">
        <v>555</v>
      </c>
      <c r="E326" t="s">
        <v>1828</v>
      </c>
      <c r="F326" t="s">
        <v>1834</v>
      </c>
      <c r="G326" s="175" t="s">
        <v>1850</v>
      </c>
      <c r="H326" s="175">
        <v>4532.0591827595699</v>
      </c>
      <c r="I326" s="175">
        <v>4486.6424721964477</v>
      </c>
      <c r="J326" s="175">
        <v>4728.7010445380674</v>
      </c>
      <c r="K326" s="175">
        <v>4661.9992327645123</v>
      </c>
      <c r="L326" s="175">
        <v>4480.552702106681</v>
      </c>
      <c r="M326" s="175">
        <v>4299.2412143579095</v>
      </c>
      <c r="N326" s="175">
        <v>4118.079029260547</v>
      </c>
      <c r="O326" s="175">
        <v>3937.0824874613754</v>
      </c>
      <c r="P326" s="175">
        <v>3756.2704044632078</v>
      </c>
      <c r="Q326" s="175">
        <v>3731.2617348020267</v>
      </c>
      <c r="R326" s="175">
        <v>3706.253065140846</v>
      </c>
      <c r="S326" s="175">
        <v>3681.2443954796649</v>
      </c>
      <c r="T326" s="175">
        <v>3656.2357258184834</v>
      </c>
      <c r="U326" s="175">
        <v>3631.2270561573027</v>
      </c>
      <c r="V326" s="175">
        <v>3606.2183864961212</v>
      </c>
      <c r="W326" s="175">
        <v>3581.2097168349405</v>
      </c>
      <c r="X326" s="175">
        <v>3556.201047173759</v>
      </c>
      <c r="Y326" s="175">
        <v>3531.1923775125779</v>
      </c>
      <c r="Z326" s="175">
        <v>3506.1837078513968</v>
      </c>
      <c r="AA326" s="175">
        <v>3481.1750381902157</v>
      </c>
      <c r="AB326" s="175">
        <v>3456.1663685290341</v>
      </c>
      <c r="AC326" s="175">
        <v>3431.1576988678539</v>
      </c>
      <c r="AD326" s="175">
        <v>3406.1490292066728</v>
      </c>
      <c r="AE326" s="175">
        <v>3381.1403595454922</v>
      </c>
      <c r="AF326" s="175">
        <v>3356.1316898843111</v>
      </c>
      <c r="AG326" s="175">
        <v>3331.1230202231291</v>
      </c>
      <c r="AH326" s="175">
        <v>3306.114350561948</v>
      </c>
      <c r="AI326" s="175">
        <v>3281.1056809007669</v>
      </c>
      <c r="AJ326" s="175">
        <v>3256.097011239588</v>
      </c>
    </row>
    <row r="327" spans="1:36" x14ac:dyDescent="0.35">
      <c r="A327" t="s">
        <v>1838</v>
      </c>
      <c r="B327" s="188" t="s">
        <v>1342</v>
      </c>
      <c r="C327" t="s">
        <v>1343</v>
      </c>
      <c r="D327" s="188" t="s">
        <v>555</v>
      </c>
      <c r="E327" t="s">
        <v>1828</v>
      </c>
      <c r="F327" t="s">
        <v>1839</v>
      </c>
      <c r="G327" s="175">
        <v>0</v>
      </c>
      <c r="H327" s="175">
        <v>0</v>
      </c>
      <c r="I327" s="175">
        <v>0</v>
      </c>
      <c r="J327" s="175">
        <v>0</v>
      </c>
      <c r="K327" s="175">
        <v>0</v>
      </c>
      <c r="L327" s="175">
        <v>0</v>
      </c>
      <c r="M327" s="175">
        <v>0</v>
      </c>
      <c r="N327" s="175">
        <v>0</v>
      </c>
      <c r="O327" s="175">
        <v>0</v>
      </c>
      <c r="P327" s="175">
        <v>0</v>
      </c>
      <c r="Q327" s="175">
        <v>0</v>
      </c>
      <c r="R327" s="175">
        <v>0</v>
      </c>
      <c r="S327" s="175">
        <v>0</v>
      </c>
      <c r="T327" s="175">
        <v>0</v>
      </c>
      <c r="U327" s="175">
        <v>0</v>
      </c>
      <c r="V327" s="175">
        <v>0</v>
      </c>
      <c r="W327" s="175">
        <v>0</v>
      </c>
      <c r="X327" s="175">
        <v>0</v>
      </c>
      <c r="Y327" s="175">
        <v>0</v>
      </c>
      <c r="Z327" s="175">
        <v>0</v>
      </c>
      <c r="AA327" s="175">
        <v>0</v>
      </c>
      <c r="AB327" s="175">
        <v>0</v>
      </c>
      <c r="AC327" s="175">
        <v>0</v>
      </c>
      <c r="AD327" s="175">
        <v>0</v>
      </c>
      <c r="AE327" s="175">
        <v>0</v>
      </c>
      <c r="AF327" s="175">
        <v>0</v>
      </c>
      <c r="AG327" s="175">
        <v>0</v>
      </c>
      <c r="AH327" s="175">
        <v>0</v>
      </c>
      <c r="AI327" s="175">
        <v>0</v>
      </c>
      <c r="AJ327" s="175">
        <v>0</v>
      </c>
    </row>
    <row r="328" spans="1:36" x14ac:dyDescent="0.35">
      <c r="A328" t="s">
        <v>1841</v>
      </c>
      <c r="B328" s="188" t="s">
        <v>1342</v>
      </c>
      <c r="C328" t="s">
        <v>1348</v>
      </c>
      <c r="D328" s="188" t="s">
        <v>555</v>
      </c>
      <c r="E328" t="s">
        <v>1828</v>
      </c>
      <c r="F328" t="s">
        <v>1839</v>
      </c>
      <c r="G328" s="175">
        <v>0</v>
      </c>
      <c r="H328" s="175">
        <v>2022</v>
      </c>
      <c r="I328" s="175">
        <v>2023</v>
      </c>
      <c r="J328" s="175">
        <v>2024</v>
      </c>
      <c r="K328" s="175">
        <v>2025</v>
      </c>
      <c r="L328" s="175">
        <v>2026</v>
      </c>
      <c r="M328" s="175">
        <v>2027</v>
      </c>
      <c r="N328" s="175">
        <v>2028</v>
      </c>
      <c r="O328" s="175">
        <v>2029</v>
      </c>
      <c r="P328" s="175">
        <v>2030</v>
      </c>
      <c r="Q328" s="175">
        <v>2031</v>
      </c>
      <c r="R328" s="175">
        <v>2032</v>
      </c>
      <c r="S328" s="175">
        <v>2033</v>
      </c>
      <c r="T328" s="175">
        <v>2034</v>
      </c>
      <c r="U328" s="175">
        <v>2035</v>
      </c>
      <c r="V328" s="175">
        <v>2036</v>
      </c>
      <c r="W328" s="175">
        <v>2037</v>
      </c>
      <c r="X328" s="175">
        <v>2038</v>
      </c>
      <c r="Y328" s="175">
        <v>2039</v>
      </c>
      <c r="Z328" s="175">
        <v>2040</v>
      </c>
      <c r="AA328" s="175">
        <v>2041</v>
      </c>
      <c r="AB328" s="175">
        <v>2042</v>
      </c>
      <c r="AC328" s="175">
        <v>2043</v>
      </c>
      <c r="AD328" s="175">
        <v>2044</v>
      </c>
      <c r="AE328" s="175">
        <v>2045</v>
      </c>
      <c r="AF328" s="175">
        <v>2046</v>
      </c>
      <c r="AG328" s="175">
        <v>2047</v>
      </c>
      <c r="AH328" s="175">
        <v>2048</v>
      </c>
      <c r="AI328" s="175">
        <v>2049</v>
      </c>
      <c r="AJ328" s="175">
        <v>2050</v>
      </c>
    </row>
    <row r="329" spans="1:36" x14ac:dyDescent="0.35">
      <c r="A329" t="s">
        <v>1842</v>
      </c>
      <c r="B329" s="188" t="s">
        <v>1342</v>
      </c>
      <c r="C329" t="s">
        <v>1350</v>
      </c>
      <c r="D329" s="188" t="s">
        <v>555</v>
      </c>
      <c r="E329" t="s">
        <v>1828</v>
      </c>
      <c r="F329" t="s">
        <v>1839</v>
      </c>
      <c r="G329" s="175" t="s">
        <v>1830</v>
      </c>
      <c r="H329" s="175">
        <v>45.488442992120319</v>
      </c>
      <c r="I329" s="175">
        <v>45.059399457836683</v>
      </c>
      <c r="J329" s="175">
        <v>37.837151946042972</v>
      </c>
      <c r="K329" s="175">
        <v>30.598987783217535</v>
      </c>
      <c r="L329" s="175">
        <v>29.461789641500079</v>
      </c>
      <c r="M329" s="175">
        <v>28.323577705651655</v>
      </c>
      <c r="N329" s="175">
        <v>27.187123520167059</v>
      </c>
      <c r="O329" s="175">
        <v>26.051180487970559</v>
      </c>
      <c r="P329" s="175">
        <v>24.891265482682751</v>
      </c>
      <c r="Q329" s="175">
        <v>24.515884431608363</v>
      </c>
      <c r="R329" s="175">
        <v>24.140503904349181</v>
      </c>
      <c r="S329" s="175">
        <v>23.788405169927731</v>
      </c>
      <c r="T329" s="175">
        <v>23.413003069402766</v>
      </c>
      <c r="U329" s="175">
        <v>23.012719718306226</v>
      </c>
      <c r="V329" s="175">
        <v>22.660736759707245</v>
      </c>
      <c r="W329" s="175">
        <v>22.285304197800489</v>
      </c>
      <c r="X329" s="175">
        <v>21.909870105831626</v>
      </c>
      <c r="Y329" s="175">
        <v>21.534434386960978</v>
      </c>
      <c r="Z329" s="175">
        <v>21.182738047835027</v>
      </c>
      <c r="AA329" s="175">
        <v>20.807281740522185</v>
      </c>
      <c r="AB329" s="175">
        <v>20.40641920428304</v>
      </c>
      <c r="AC329" s="175">
        <v>20.030935709183201</v>
      </c>
      <c r="AD329" s="175">
        <v>19.679384119504562</v>
      </c>
      <c r="AE329" s="175">
        <v>19.30387731159545</v>
      </c>
      <c r="AF329" s="175">
        <v>18.928364869572775</v>
      </c>
      <c r="AG329" s="175">
        <v>18.552846354413262</v>
      </c>
      <c r="AH329" s="175">
        <v>18.201708696704593</v>
      </c>
      <c r="AI329" s="175">
        <v>17.826172195311962</v>
      </c>
      <c r="AJ329" s="175">
        <v>17.424424753236888</v>
      </c>
    </row>
    <row r="330" spans="1:36" x14ac:dyDescent="0.35">
      <c r="A330" t="s">
        <v>1843</v>
      </c>
      <c r="B330" s="188" t="s">
        <v>1342</v>
      </c>
      <c r="C330" t="s">
        <v>1343</v>
      </c>
      <c r="D330" s="188" t="s">
        <v>555</v>
      </c>
      <c r="E330" t="s">
        <v>1828</v>
      </c>
      <c r="F330" t="s">
        <v>1844</v>
      </c>
      <c r="G330" s="175" t="s">
        <v>1830</v>
      </c>
      <c r="H330" s="175">
        <v>45.488442992120319</v>
      </c>
      <c r="I330" s="175">
        <v>45.059399457836683</v>
      </c>
      <c r="J330" s="175">
        <v>42.327876427166629</v>
      </c>
      <c r="K330" s="175">
        <v>37.681565098099334</v>
      </c>
      <c r="L330" s="175">
        <v>36.782936577153976</v>
      </c>
      <c r="M330" s="175">
        <v>35.885971142219923</v>
      </c>
      <c r="N330" s="175">
        <v>34.990869834209498</v>
      </c>
      <c r="O330" s="175">
        <v>34.097867458124981</v>
      </c>
      <c r="P330" s="175">
        <v>33.207239981906149</v>
      </c>
      <c r="Q330" s="175">
        <v>32.801495527090488</v>
      </c>
      <c r="R330" s="175">
        <v>32.395468823913596</v>
      </c>
      <c r="S330" s="175">
        <v>31.989148876301993</v>
      </c>
      <c r="T330" s="175">
        <v>31.582524109474289</v>
      </c>
      <c r="U330" s="175">
        <v>31.175582331362985</v>
      </c>
      <c r="V330" s="175">
        <v>30.768310690908269</v>
      </c>
      <c r="W330" s="175">
        <v>30.36069563292428</v>
      </c>
      <c r="X330" s="175">
        <v>29.952722849204399</v>
      </c>
      <c r="Y330" s="175">
        <v>29.544377225494795</v>
      </c>
      <c r="Z330" s="175">
        <v>29.135642783923235</v>
      </c>
      <c r="AA330" s="175">
        <v>28.726502620421883</v>
      </c>
      <c r="AB330" s="175">
        <v>28.316938836629046</v>
      </c>
      <c r="AC330" s="175">
        <v>27.906932465692908</v>
      </c>
      <c r="AD330" s="175">
        <v>27.496463391330597</v>
      </c>
      <c r="AE330" s="175">
        <v>27.085510259416274</v>
      </c>
      <c r="AF330" s="175">
        <v>26.67405038128117</v>
      </c>
      <c r="AG330" s="175">
        <v>26.262059627804721</v>
      </c>
      <c r="AH330" s="175">
        <v>25.849512313257193</v>
      </c>
      <c r="AI330" s="175">
        <v>25.4363810677178</v>
      </c>
      <c r="AJ330" s="175">
        <v>25.022636696735514</v>
      </c>
    </row>
    <row r="331" spans="1:36" x14ac:dyDescent="0.35">
      <c r="A331" t="s">
        <v>1846</v>
      </c>
      <c r="B331" s="188" t="s">
        <v>1342</v>
      </c>
      <c r="C331" t="s">
        <v>1348</v>
      </c>
      <c r="D331" s="188" t="s">
        <v>555</v>
      </c>
      <c r="E331" t="s">
        <v>1828</v>
      </c>
      <c r="F331" t="s">
        <v>1844</v>
      </c>
      <c r="G331" s="175" t="s">
        <v>1830</v>
      </c>
      <c r="H331" s="175">
        <v>45.488442992120319</v>
      </c>
      <c r="I331" s="175">
        <v>45.059399457836683</v>
      </c>
      <c r="J331" s="175">
        <v>47.349755143834393</v>
      </c>
      <c r="K331" s="175">
        <v>46.742477246273019</v>
      </c>
      <c r="L331" s="175">
        <v>45.254988917834922</v>
      </c>
      <c r="M331" s="175">
        <v>43.765961345062124</v>
      </c>
      <c r="N331" s="175">
        <v>42.275231992744352</v>
      </c>
      <c r="O331" s="175">
        <v>40.78261460713329</v>
      </c>
      <c r="P331" s="175">
        <v>39.287894725608851</v>
      </c>
      <c r="Q331" s="175">
        <v>39.043917832524677</v>
      </c>
      <c r="R331" s="175">
        <v>38.799940939440496</v>
      </c>
      <c r="S331" s="175">
        <v>38.555964046356316</v>
      </c>
      <c r="T331" s="175">
        <v>38.311987153272135</v>
      </c>
      <c r="U331" s="175">
        <v>38.068010260187961</v>
      </c>
      <c r="V331" s="175">
        <v>37.82403336710378</v>
      </c>
      <c r="W331" s="175">
        <v>37.580056474019607</v>
      </c>
      <c r="X331" s="175">
        <v>37.336079580935419</v>
      </c>
      <c r="Y331" s="175">
        <v>37.092102687851245</v>
      </c>
      <c r="Z331" s="175">
        <v>36.848125794767064</v>
      </c>
      <c r="AA331" s="175">
        <v>36.60414890168289</v>
      </c>
      <c r="AB331" s="175">
        <v>36.360172008598703</v>
      </c>
      <c r="AC331" s="175">
        <v>36.116195115514529</v>
      </c>
      <c r="AD331" s="175">
        <v>35.872218222430355</v>
      </c>
      <c r="AE331" s="175">
        <v>35.628241329346174</v>
      </c>
      <c r="AF331" s="175">
        <v>35.384264436262001</v>
      </c>
      <c r="AG331" s="175">
        <v>35.140287543177813</v>
      </c>
      <c r="AH331" s="175">
        <v>34.896310650093632</v>
      </c>
      <c r="AI331" s="175">
        <v>34.652333757009458</v>
      </c>
      <c r="AJ331" s="175">
        <v>34.408356863925299</v>
      </c>
    </row>
    <row r="332" spans="1:36" x14ac:dyDescent="0.35">
      <c r="A332" t="s">
        <v>1847</v>
      </c>
      <c r="B332" s="188" t="s">
        <v>1342</v>
      </c>
      <c r="C332" t="s">
        <v>1350</v>
      </c>
      <c r="D332" s="188" t="s">
        <v>555</v>
      </c>
      <c r="E332" t="s">
        <v>1828</v>
      </c>
      <c r="F332" t="s">
        <v>1844</v>
      </c>
      <c r="G332" s="175" t="s">
        <v>1835</v>
      </c>
      <c r="H332" s="175">
        <v>74.058231053982695</v>
      </c>
      <c r="I332" s="175">
        <v>73.336182302489306</v>
      </c>
      <c r="J332" s="175">
        <v>61.181670272436079</v>
      </c>
      <c r="K332" s="175">
        <v>49.027580187881895</v>
      </c>
      <c r="L332" s="175">
        <v>47.101641400268441</v>
      </c>
      <c r="M332" s="175">
        <v>45.175729488024054</v>
      </c>
      <c r="N332" s="175">
        <v>43.249770978360822</v>
      </c>
      <c r="O332" s="175">
        <v>41.323798918181929</v>
      </c>
      <c r="P332" s="175">
        <v>39.398462347599981</v>
      </c>
      <c r="Q332" s="175">
        <v>38.771746884737802</v>
      </c>
      <c r="R332" s="175">
        <v>38.145031407989443</v>
      </c>
      <c r="S332" s="175">
        <v>37.517698738109317</v>
      </c>
      <c r="T332" s="175">
        <v>36.890983833261572</v>
      </c>
      <c r="U332" s="175">
        <v>36.264928522675717</v>
      </c>
      <c r="V332" s="175">
        <v>35.637592783614323</v>
      </c>
      <c r="W332" s="175">
        <v>35.010878686288393</v>
      </c>
      <c r="X332" s="175">
        <v>34.38416462952393</v>
      </c>
      <c r="Y332" s="175">
        <v>33.757450615888132</v>
      </c>
      <c r="Z332" s="175">
        <v>33.130107278633098</v>
      </c>
      <c r="AA332" s="175">
        <v>32.503393810790541</v>
      </c>
      <c r="AB332" s="175">
        <v>31.877353854223792</v>
      </c>
      <c r="AC332" s="175">
        <v>31.250641107121062</v>
      </c>
      <c r="AD332" s="175">
        <v>30.623293932602927</v>
      </c>
      <c r="AE332" s="175">
        <v>29.996581803515564</v>
      </c>
      <c r="AF332" s="175">
        <v>29.369869823786811</v>
      </c>
      <c r="AG332" s="175">
        <v>28.743158005055037</v>
      </c>
      <c r="AH332" s="175">
        <v>28.11579985732833</v>
      </c>
      <c r="AI332" s="175">
        <v>27.489088515406031</v>
      </c>
      <c r="AJ332" s="175">
        <v>26.863072017419501</v>
      </c>
    </row>
    <row r="333" spans="1:36" x14ac:dyDescent="0.35">
      <c r="A333" t="s">
        <v>1848</v>
      </c>
      <c r="B333" s="188" t="s">
        <v>1342</v>
      </c>
      <c r="C333" t="s">
        <v>1343</v>
      </c>
      <c r="D333" s="188" t="s">
        <v>555</v>
      </c>
      <c r="E333" t="s">
        <v>1828</v>
      </c>
      <c r="F333" t="s">
        <v>1849</v>
      </c>
      <c r="G333" s="175" t="s">
        <v>1835</v>
      </c>
      <c r="H333" s="175">
        <v>74.058231053982695</v>
      </c>
      <c r="I333" s="175">
        <v>73.336182302489306</v>
      </c>
      <c r="J333" s="175">
        <v>68.327029053008204</v>
      </c>
      <c r="K333" s="175">
        <v>60.33167861797282</v>
      </c>
      <c r="L333" s="175">
        <v>58.498223528848015</v>
      </c>
      <c r="M333" s="175">
        <v>56.664633951047762</v>
      </c>
      <c r="N333" s="175">
        <v>54.830893627008834</v>
      </c>
      <c r="O333" s="175">
        <v>52.996983568769345</v>
      </c>
      <c r="P333" s="175">
        <v>51.162881459646684</v>
      </c>
      <c r="Q333" s="175">
        <v>50.430146137459957</v>
      </c>
      <c r="R333" s="175">
        <v>49.697433639834323</v>
      </c>
      <c r="S333" s="175">
        <v>48.96474485598857</v>
      </c>
      <c r="T333" s="175">
        <v>48.232080721939845</v>
      </c>
      <c r="U333" s="175">
        <v>47.499442223623333</v>
      </c>
      <c r="V333" s="175">
        <v>46.766830400264908</v>
      </c>
      <c r="W333" s="175">
        <v>46.034246348030955</v>
      </c>
      <c r="X333" s="175">
        <v>45.301691223982374</v>
      </c>
      <c r="Y333" s="175">
        <v>44.569166250362564</v>
      </c>
      <c r="Z333" s="175">
        <v>43.836672719253194</v>
      </c>
      <c r="AA333" s="175">
        <v>43.104211997634465</v>
      </c>
      <c r="AB333" s="175">
        <v>42.371785532892119</v>
      </c>
      <c r="AC333" s="175">
        <v>41.639394858817397</v>
      </c>
      <c r="AD333" s="175">
        <v>40.907041602152532</v>
      </c>
      <c r="AE333" s="175">
        <v>40.17472748974032</v>
      </c>
      <c r="AF333" s="175">
        <v>39.442454356343966</v>
      </c>
      <c r="AG333" s="175">
        <v>38.710224153211584</v>
      </c>
      <c r="AH333" s="175">
        <v>37.978038957469529</v>
      </c>
      <c r="AI333" s="175">
        <v>37.245900982439522</v>
      </c>
      <c r="AJ333" s="175">
        <v>36.513812588987442</v>
      </c>
    </row>
    <row r="334" spans="1:36" x14ac:dyDescent="0.35">
      <c r="A334" t="s">
        <v>1851</v>
      </c>
      <c r="B334" s="188" t="s">
        <v>1342</v>
      </c>
      <c r="C334" t="s">
        <v>1348</v>
      </c>
      <c r="D334" s="188" t="s">
        <v>555</v>
      </c>
      <c r="E334" t="s">
        <v>1828</v>
      </c>
      <c r="F334" t="s">
        <v>1849</v>
      </c>
      <c r="G334" s="175" t="s">
        <v>1835</v>
      </c>
      <c r="H334" s="175">
        <v>74.058231053982695</v>
      </c>
      <c r="I334" s="175">
        <v>73.336182302489306</v>
      </c>
      <c r="J334" s="175">
        <v>77.187257263693212</v>
      </c>
      <c r="K334" s="175">
        <v>76.143943097942582</v>
      </c>
      <c r="L334" s="175">
        <v>73.429204096441097</v>
      </c>
      <c r="M334" s="175">
        <v>70.714500820508505</v>
      </c>
      <c r="N334" s="175">
        <v>67.999837042556166</v>
      </c>
      <c r="O334" s="175">
        <v>65.285217085498232</v>
      </c>
      <c r="P334" s="175">
        <v>62.570645926971402</v>
      </c>
      <c r="Q334" s="175">
        <v>62.167257099009049</v>
      </c>
      <c r="R334" s="175">
        <v>61.763868271046697</v>
      </c>
      <c r="S334" s="175">
        <v>61.360479443084344</v>
      </c>
      <c r="T334" s="175">
        <v>60.957090615121984</v>
      </c>
      <c r="U334" s="175">
        <v>60.553701787159639</v>
      </c>
      <c r="V334" s="175">
        <v>60.150312959197279</v>
      </c>
      <c r="W334" s="175">
        <v>59.746924131234941</v>
      </c>
      <c r="X334" s="175">
        <v>59.343535303272581</v>
      </c>
      <c r="Y334" s="175">
        <v>58.940146475310229</v>
      </c>
      <c r="Z334" s="175">
        <v>58.536757647347876</v>
      </c>
      <c r="AA334" s="175">
        <v>58.133368819385524</v>
      </c>
      <c r="AB334" s="175">
        <v>57.729979991423164</v>
      </c>
      <c r="AC334" s="175">
        <v>57.326591163460826</v>
      </c>
      <c r="AD334" s="175">
        <v>56.923202335498473</v>
      </c>
      <c r="AE334" s="175">
        <v>56.519813507536121</v>
      </c>
      <c r="AF334" s="175">
        <v>56.116424679573768</v>
      </c>
      <c r="AG334" s="175">
        <v>55.713035851611416</v>
      </c>
      <c r="AH334" s="175">
        <v>55.309647023649056</v>
      </c>
      <c r="AI334" s="175">
        <v>54.906258195686711</v>
      </c>
      <c r="AJ334" s="175">
        <v>54.502869367724387</v>
      </c>
    </row>
    <row r="335" spans="1:36" x14ac:dyDescent="0.35">
      <c r="A335" t="s">
        <v>1852</v>
      </c>
      <c r="B335" s="188" t="s">
        <v>1342</v>
      </c>
      <c r="C335" t="s">
        <v>1350</v>
      </c>
      <c r="D335" s="188" t="s">
        <v>555</v>
      </c>
      <c r="E335" t="s">
        <v>1828</v>
      </c>
      <c r="F335" t="s">
        <v>1849</v>
      </c>
      <c r="G335" s="175" t="s">
        <v>1840</v>
      </c>
      <c r="H335" s="175">
        <v>102.62801911584508</v>
      </c>
      <c r="I335" s="175">
        <v>101.61296514714192</v>
      </c>
      <c r="J335" s="175">
        <v>84.526188598829179</v>
      </c>
      <c r="K335" s="175">
        <v>67.456172592546253</v>
      </c>
      <c r="L335" s="175">
        <v>64.741493159036807</v>
      </c>
      <c r="M335" s="175">
        <v>62.027881270396442</v>
      </c>
      <c r="N335" s="175">
        <v>59.312418436554587</v>
      </c>
      <c r="O335" s="175">
        <v>56.59641734839331</v>
      </c>
      <c r="P335" s="175">
        <v>53.905659212517222</v>
      </c>
      <c r="Q335" s="175">
        <v>53.027609337867233</v>
      </c>
      <c r="R335" s="175">
        <v>52.149558911629718</v>
      </c>
      <c r="S335" s="175">
        <v>51.246992306290913</v>
      </c>
      <c r="T335" s="175">
        <v>50.368964597120375</v>
      </c>
      <c r="U335" s="175">
        <v>49.517137327045212</v>
      </c>
      <c r="V335" s="175">
        <v>48.614448807521406</v>
      </c>
      <c r="W335" s="175">
        <v>47.736453174776301</v>
      </c>
      <c r="X335" s="175">
        <v>46.858459153216224</v>
      </c>
      <c r="Y335" s="175">
        <v>45.980466844815275</v>
      </c>
      <c r="Z335" s="175">
        <v>45.077476509431172</v>
      </c>
      <c r="AA335" s="175">
        <v>44.199505881058897</v>
      </c>
      <c r="AB335" s="175">
        <v>43.348288504164543</v>
      </c>
      <c r="AC335" s="175">
        <v>42.470346505058913</v>
      </c>
      <c r="AD335" s="175">
        <v>41.567203745701285</v>
      </c>
      <c r="AE335" s="175">
        <v>40.689286295435672</v>
      </c>
      <c r="AF335" s="175">
        <v>39.811374778000847</v>
      </c>
      <c r="AG335" s="175">
        <v>38.933469655696818</v>
      </c>
      <c r="AH335" s="175">
        <v>38.02989101795206</v>
      </c>
      <c r="AI335" s="175">
        <v>37.152004835500108</v>
      </c>
      <c r="AJ335" s="175">
        <v>36.301719281602111</v>
      </c>
    </row>
    <row r="336" spans="1:36" x14ac:dyDescent="0.35">
      <c r="A336" t="s">
        <v>1853</v>
      </c>
      <c r="B336" s="188" t="s">
        <v>1342</v>
      </c>
      <c r="C336" t="s">
        <v>1343</v>
      </c>
      <c r="D336" s="188">
        <v>100</v>
      </c>
      <c r="E336" t="s">
        <v>1854</v>
      </c>
      <c r="F336" t="s">
        <v>1855</v>
      </c>
      <c r="G336" s="188" t="s">
        <v>1856</v>
      </c>
      <c r="H336" s="188">
        <v>0</v>
      </c>
      <c r="I336" s="188">
        <v>0</v>
      </c>
      <c r="J336" s="188">
        <v>0</v>
      </c>
      <c r="K336" s="188">
        <v>0</v>
      </c>
      <c r="L336" s="188">
        <v>0</v>
      </c>
      <c r="M336" s="188">
        <v>0</v>
      </c>
      <c r="N336" s="188">
        <v>0</v>
      </c>
      <c r="O336" s="188">
        <v>0</v>
      </c>
      <c r="P336" s="188">
        <v>0</v>
      </c>
      <c r="Q336" s="188">
        <v>0</v>
      </c>
      <c r="R336" s="188">
        <v>0</v>
      </c>
      <c r="S336" s="188">
        <v>0</v>
      </c>
      <c r="T336" s="188">
        <v>0</v>
      </c>
      <c r="U336" s="188">
        <v>0</v>
      </c>
      <c r="V336" s="188">
        <v>0</v>
      </c>
      <c r="W336" s="188">
        <v>0</v>
      </c>
      <c r="X336" s="188">
        <v>0</v>
      </c>
      <c r="Y336" s="188">
        <v>0</v>
      </c>
      <c r="Z336" s="188">
        <v>0</v>
      </c>
      <c r="AA336" s="188">
        <v>0</v>
      </c>
      <c r="AB336" s="188">
        <v>0</v>
      </c>
      <c r="AC336" s="188">
        <v>0</v>
      </c>
      <c r="AD336" s="188">
        <v>0</v>
      </c>
      <c r="AE336" s="188">
        <v>0</v>
      </c>
      <c r="AF336" s="188">
        <v>0</v>
      </c>
      <c r="AG336" s="188">
        <v>0</v>
      </c>
      <c r="AH336" s="188">
        <v>0</v>
      </c>
      <c r="AI336" s="188">
        <v>0</v>
      </c>
      <c r="AJ336" s="188">
        <v>0</v>
      </c>
    </row>
    <row r="337" spans="1:36" x14ac:dyDescent="0.35">
      <c r="A337" t="s">
        <v>1857</v>
      </c>
      <c r="B337" s="188" t="s">
        <v>1342</v>
      </c>
      <c r="C337" t="s">
        <v>1348</v>
      </c>
      <c r="D337" s="188">
        <v>100</v>
      </c>
      <c r="E337" t="s">
        <v>1854</v>
      </c>
      <c r="F337" t="s">
        <v>1855</v>
      </c>
      <c r="G337" s="188" t="s">
        <v>1856</v>
      </c>
      <c r="H337" s="188">
        <v>0</v>
      </c>
      <c r="I337" s="188">
        <v>0</v>
      </c>
      <c r="J337" s="188">
        <v>0</v>
      </c>
      <c r="K337" s="188">
        <v>0</v>
      </c>
      <c r="L337" s="188">
        <v>0</v>
      </c>
      <c r="M337" s="188">
        <v>0</v>
      </c>
      <c r="N337" s="188">
        <v>0</v>
      </c>
      <c r="O337" s="188">
        <v>0</v>
      </c>
      <c r="P337" s="188">
        <v>0</v>
      </c>
      <c r="Q337" s="188">
        <v>0</v>
      </c>
      <c r="R337" s="188">
        <v>0</v>
      </c>
      <c r="S337" s="188">
        <v>0</v>
      </c>
      <c r="T337" s="188">
        <v>0</v>
      </c>
      <c r="U337" s="188">
        <v>0</v>
      </c>
      <c r="V337" s="188">
        <v>0</v>
      </c>
      <c r="W337" s="188">
        <v>0</v>
      </c>
      <c r="X337" s="188">
        <v>0</v>
      </c>
      <c r="Y337" s="188">
        <v>0</v>
      </c>
      <c r="Z337" s="188">
        <v>0</v>
      </c>
      <c r="AA337" s="188">
        <v>0</v>
      </c>
      <c r="AB337" s="188">
        <v>0</v>
      </c>
      <c r="AC337" s="188">
        <v>0</v>
      </c>
      <c r="AD337" s="188">
        <v>0</v>
      </c>
      <c r="AE337" s="188">
        <v>0</v>
      </c>
      <c r="AF337" s="188">
        <v>0</v>
      </c>
      <c r="AG337" s="188">
        <v>0</v>
      </c>
      <c r="AH337" s="188">
        <v>0</v>
      </c>
      <c r="AI337" s="188">
        <v>0</v>
      </c>
      <c r="AJ337" s="188">
        <v>0</v>
      </c>
    </row>
    <row r="338" spans="1:36" x14ac:dyDescent="0.35">
      <c r="A338" t="s">
        <v>1858</v>
      </c>
      <c r="B338" s="188" t="s">
        <v>1342</v>
      </c>
      <c r="C338" t="s">
        <v>1350</v>
      </c>
      <c r="D338" s="188">
        <v>100</v>
      </c>
      <c r="E338" t="s">
        <v>1854</v>
      </c>
      <c r="F338" t="s">
        <v>1855</v>
      </c>
      <c r="G338" s="188" t="s">
        <v>1856</v>
      </c>
      <c r="H338" s="188">
        <v>0</v>
      </c>
      <c r="I338" s="188">
        <v>0</v>
      </c>
      <c r="J338" s="188">
        <v>0</v>
      </c>
      <c r="K338" s="188">
        <v>0</v>
      </c>
      <c r="L338" s="188">
        <v>0</v>
      </c>
      <c r="M338" s="188">
        <v>0</v>
      </c>
      <c r="N338" s="188">
        <v>0</v>
      </c>
      <c r="O338" s="188">
        <v>0</v>
      </c>
      <c r="P338" s="188">
        <v>0</v>
      </c>
      <c r="Q338" s="188">
        <v>0</v>
      </c>
      <c r="R338" s="188">
        <v>0</v>
      </c>
      <c r="S338" s="188">
        <v>0</v>
      </c>
      <c r="T338" s="188">
        <v>0</v>
      </c>
      <c r="U338" s="188">
        <v>0</v>
      </c>
      <c r="V338" s="188">
        <v>0</v>
      </c>
      <c r="W338" s="188">
        <v>0</v>
      </c>
      <c r="X338" s="188">
        <v>0</v>
      </c>
      <c r="Y338" s="188">
        <v>0</v>
      </c>
      <c r="Z338" s="188">
        <v>0</v>
      </c>
      <c r="AA338" s="188">
        <v>0</v>
      </c>
      <c r="AB338" s="188">
        <v>0</v>
      </c>
      <c r="AC338" s="188">
        <v>0</v>
      </c>
      <c r="AD338" s="188">
        <v>0</v>
      </c>
      <c r="AE338" s="188">
        <v>0</v>
      </c>
      <c r="AF338" s="188">
        <v>0</v>
      </c>
      <c r="AG338" s="188">
        <v>0</v>
      </c>
      <c r="AH338" s="188">
        <v>0</v>
      </c>
      <c r="AI338" s="188">
        <v>0</v>
      </c>
      <c r="AJ338" s="188">
        <v>0</v>
      </c>
    </row>
    <row r="339" spans="1:36" x14ac:dyDescent="0.35">
      <c r="A339" t="s">
        <v>1859</v>
      </c>
      <c r="B339" s="188" t="s">
        <v>1342</v>
      </c>
      <c r="C339" t="s">
        <v>1343</v>
      </c>
      <c r="D339" s="188">
        <v>100</v>
      </c>
      <c r="E339" t="s">
        <v>1854</v>
      </c>
      <c r="F339" t="s">
        <v>1860</v>
      </c>
      <c r="G339" s="188" t="s">
        <v>1861</v>
      </c>
      <c r="H339" s="188">
        <v>0</v>
      </c>
      <c r="I339" s="188">
        <v>0</v>
      </c>
      <c r="J339" s="188">
        <v>0</v>
      </c>
      <c r="K339" s="188">
        <v>0</v>
      </c>
      <c r="L339" s="188">
        <v>0</v>
      </c>
      <c r="M339" s="188">
        <v>0</v>
      </c>
      <c r="N339" s="188">
        <v>0</v>
      </c>
      <c r="O339" s="188">
        <v>0</v>
      </c>
      <c r="P339" s="188">
        <v>0</v>
      </c>
      <c r="Q339" s="188">
        <v>0</v>
      </c>
      <c r="R339" s="188">
        <v>0</v>
      </c>
      <c r="S339" s="188">
        <v>0</v>
      </c>
      <c r="T339" s="188">
        <v>0</v>
      </c>
      <c r="U339" s="188">
        <v>0</v>
      </c>
      <c r="V339" s="188">
        <v>0</v>
      </c>
      <c r="W339" s="188">
        <v>0</v>
      </c>
      <c r="X339" s="188">
        <v>0</v>
      </c>
      <c r="Y339" s="188">
        <v>0</v>
      </c>
      <c r="Z339" s="188">
        <v>0</v>
      </c>
      <c r="AA339" s="188">
        <v>0</v>
      </c>
      <c r="AB339" s="188">
        <v>0</v>
      </c>
      <c r="AC339" s="188">
        <v>0</v>
      </c>
      <c r="AD339" s="188">
        <v>0</v>
      </c>
      <c r="AE339" s="188">
        <v>0</v>
      </c>
      <c r="AF339" s="188">
        <v>0</v>
      </c>
      <c r="AG339" s="188">
        <v>0</v>
      </c>
      <c r="AH339" s="188">
        <v>0</v>
      </c>
      <c r="AI339" s="188">
        <v>0</v>
      </c>
      <c r="AJ339" s="188">
        <v>0</v>
      </c>
    </row>
    <row r="340" spans="1:36" x14ac:dyDescent="0.35">
      <c r="A340" t="s">
        <v>1862</v>
      </c>
      <c r="B340" s="188" t="s">
        <v>1342</v>
      </c>
      <c r="C340" t="s">
        <v>1348</v>
      </c>
      <c r="D340" s="188">
        <v>100</v>
      </c>
      <c r="E340" t="s">
        <v>1854</v>
      </c>
      <c r="F340" t="s">
        <v>1860</v>
      </c>
      <c r="G340" s="188" t="s">
        <v>1861</v>
      </c>
      <c r="H340" s="188">
        <v>0</v>
      </c>
      <c r="I340" s="188">
        <v>0</v>
      </c>
      <c r="J340" s="188">
        <v>0</v>
      </c>
      <c r="K340" s="188">
        <v>0</v>
      </c>
      <c r="L340" s="188">
        <v>0</v>
      </c>
      <c r="M340" s="188">
        <v>0</v>
      </c>
      <c r="N340" s="188">
        <v>0</v>
      </c>
      <c r="O340" s="188">
        <v>0</v>
      </c>
      <c r="P340" s="188">
        <v>0</v>
      </c>
      <c r="Q340" s="188">
        <v>0</v>
      </c>
      <c r="R340" s="188">
        <v>0</v>
      </c>
      <c r="S340" s="188">
        <v>0</v>
      </c>
      <c r="T340" s="188">
        <v>0</v>
      </c>
      <c r="U340" s="188">
        <v>0</v>
      </c>
      <c r="V340" s="188">
        <v>0</v>
      </c>
      <c r="W340" s="188">
        <v>0</v>
      </c>
      <c r="X340" s="188">
        <v>0</v>
      </c>
      <c r="Y340" s="188">
        <v>0</v>
      </c>
      <c r="Z340" s="188">
        <v>0</v>
      </c>
      <c r="AA340" s="188">
        <v>0</v>
      </c>
      <c r="AB340" s="188">
        <v>0</v>
      </c>
      <c r="AC340" s="188">
        <v>0</v>
      </c>
      <c r="AD340" s="188">
        <v>0</v>
      </c>
      <c r="AE340" s="188">
        <v>0</v>
      </c>
      <c r="AF340" s="188">
        <v>0</v>
      </c>
      <c r="AG340" s="188">
        <v>0</v>
      </c>
      <c r="AH340" s="188">
        <v>0</v>
      </c>
      <c r="AI340" s="188">
        <v>0</v>
      </c>
      <c r="AJ340" s="188">
        <v>0</v>
      </c>
    </row>
    <row r="341" spans="1:36" x14ac:dyDescent="0.35">
      <c r="A341" t="s">
        <v>1863</v>
      </c>
      <c r="B341" s="188" t="s">
        <v>1342</v>
      </c>
      <c r="C341" t="s">
        <v>1350</v>
      </c>
      <c r="D341" s="188">
        <v>100</v>
      </c>
      <c r="E341" t="s">
        <v>1854</v>
      </c>
      <c r="F341" t="s">
        <v>1860</v>
      </c>
      <c r="G341" s="188" t="s">
        <v>1861</v>
      </c>
      <c r="H341" s="188">
        <v>0</v>
      </c>
      <c r="I341" s="188">
        <v>0</v>
      </c>
      <c r="J341" s="188">
        <v>0</v>
      </c>
      <c r="K341" s="188">
        <v>0</v>
      </c>
      <c r="L341" s="188">
        <v>0</v>
      </c>
      <c r="M341" s="188">
        <v>0</v>
      </c>
      <c r="N341" s="188">
        <v>0</v>
      </c>
      <c r="O341" s="188">
        <v>0</v>
      </c>
      <c r="P341" s="188">
        <v>0</v>
      </c>
      <c r="Q341" s="188">
        <v>0</v>
      </c>
      <c r="R341" s="188">
        <v>0</v>
      </c>
      <c r="S341" s="188">
        <v>0</v>
      </c>
      <c r="T341" s="188">
        <v>0</v>
      </c>
      <c r="U341" s="188">
        <v>0</v>
      </c>
      <c r="V341" s="188">
        <v>0</v>
      </c>
      <c r="W341" s="188">
        <v>0</v>
      </c>
      <c r="X341" s="188">
        <v>0</v>
      </c>
      <c r="Y341" s="188">
        <v>0</v>
      </c>
      <c r="Z341" s="188">
        <v>0</v>
      </c>
      <c r="AA341" s="188">
        <v>0</v>
      </c>
      <c r="AB341" s="188">
        <v>0</v>
      </c>
      <c r="AC341" s="188">
        <v>0</v>
      </c>
      <c r="AD341" s="188">
        <v>0</v>
      </c>
      <c r="AE341" s="188">
        <v>0</v>
      </c>
      <c r="AF341" s="188">
        <v>0</v>
      </c>
      <c r="AG341" s="188">
        <v>0</v>
      </c>
      <c r="AH341" s="188">
        <v>0</v>
      </c>
      <c r="AI341" s="188">
        <v>0</v>
      </c>
      <c r="AJ341" s="188">
        <v>0</v>
      </c>
    </row>
    <row r="342" spans="1:36" x14ac:dyDescent="0.35">
      <c r="A342" t="s">
        <v>1864</v>
      </c>
      <c r="B342" s="188" t="s">
        <v>1342</v>
      </c>
      <c r="C342" t="s">
        <v>1343</v>
      </c>
      <c r="D342" s="188">
        <v>100</v>
      </c>
      <c r="E342" t="s">
        <v>1854</v>
      </c>
      <c r="F342" t="s">
        <v>1865</v>
      </c>
      <c r="G342" s="188" t="s">
        <v>1866</v>
      </c>
      <c r="H342" s="188">
        <v>0</v>
      </c>
      <c r="I342" s="188">
        <v>0</v>
      </c>
      <c r="J342" s="188">
        <v>0</v>
      </c>
      <c r="K342" s="188">
        <v>0</v>
      </c>
      <c r="L342" s="188">
        <v>0</v>
      </c>
      <c r="M342" s="188">
        <v>0</v>
      </c>
      <c r="N342" s="188">
        <v>0</v>
      </c>
      <c r="O342" s="188">
        <v>0</v>
      </c>
      <c r="P342" s="188">
        <v>0</v>
      </c>
      <c r="Q342" s="188">
        <v>0</v>
      </c>
      <c r="R342" s="188">
        <v>0</v>
      </c>
      <c r="S342" s="188">
        <v>0</v>
      </c>
      <c r="T342" s="188">
        <v>0</v>
      </c>
      <c r="U342" s="188">
        <v>0</v>
      </c>
      <c r="V342" s="188">
        <v>0</v>
      </c>
      <c r="W342" s="188">
        <v>0</v>
      </c>
      <c r="X342" s="188">
        <v>0</v>
      </c>
      <c r="Y342" s="188">
        <v>0</v>
      </c>
      <c r="Z342" s="188">
        <v>0</v>
      </c>
      <c r="AA342" s="188">
        <v>0</v>
      </c>
      <c r="AB342" s="188">
        <v>0</v>
      </c>
      <c r="AC342" s="188">
        <v>0</v>
      </c>
      <c r="AD342" s="188">
        <v>0</v>
      </c>
      <c r="AE342" s="188">
        <v>0</v>
      </c>
      <c r="AF342" s="188">
        <v>0</v>
      </c>
      <c r="AG342" s="188">
        <v>0</v>
      </c>
      <c r="AH342" s="188">
        <v>0</v>
      </c>
      <c r="AI342" s="188">
        <v>0</v>
      </c>
      <c r="AJ342" s="188">
        <v>0</v>
      </c>
    </row>
    <row r="343" spans="1:36" x14ac:dyDescent="0.35">
      <c r="A343" t="s">
        <v>1867</v>
      </c>
      <c r="B343" s="188" t="s">
        <v>1342</v>
      </c>
      <c r="C343" t="s">
        <v>1348</v>
      </c>
      <c r="D343" s="188">
        <v>100</v>
      </c>
      <c r="E343" t="s">
        <v>1854</v>
      </c>
      <c r="F343" t="s">
        <v>1865</v>
      </c>
      <c r="G343" s="188" t="s">
        <v>1866</v>
      </c>
      <c r="H343" s="188">
        <v>0</v>
      </c>
      <c r="I343" s="188">
        <v>0</v>
      </c>
      <c r="J343" s="188">
        <v>0</v>
      </c>
      <c r="K343" s="188">
        <v>0</v>
      </c>
      <c r="L343" s="188">
        <v>0</v>
      </c>
      <c r="M343" s="188">
        <v>0</v>
      </c>
      <c r="N343" s="188">
        <v>0</v>
      </c>
      <c r="O343" s="188">
        <v>0</v>
      </c>
      <c r="P343" s="188">
        <v>0</v>
      </c>
      <c r="Q343" s="188">
        <v>0</v>
      </c>
      <c r="R343" s="188">
        <v>0</v>
      </c>
      <c r="S343" s="188">
        <v>0</v>
      </c>
      <c r="T343" s="188">
        <v>0</v>
      </c>
      <c r="U343" s="188">
        <v>0</v>
      </c>
      <c r="V343" s="188">
        <v>0</v>
      </c>
      <c r="W343" s="188">
        <v>0</v>
      </c>
      <c r="X343" s="188">
        <v>0</v>
      </c>
      <c r="Y343" s="188">
        <v>0</v>
      </c>
      <c r="Z343" s="188">
        <v>0</v>
      </c>
      <c r="AA343" s="188">
        <v>0</v>
      </c>
      <c r="AB343" s="188">
        <v>0</v>
      </c>
      <c r="AC343" s="188">
        <v>0</v>
      </c>
      <c r="AD343" s="188">
        <v>0</v>
      </c>
      <c r="AE343" s="188">
        <v>0</v>
      </c>
      <c r="AF343" s="188">
        <v>0</v>
      </c>
      <c r="AG343" s="188">
        <v>0</v>
      </c>
      <c r="AH343" s="188">
        <v>0</v>
      </c>
      <c r="AI343" s="188">
        <v>0</v>
      </c>
      <c r="AJ343" s="188">
        <v>0</v>
      </c>
    </row>
    <row r="344" spans="1:36" x14ac:dyDescent="0.35">
      <c r="A344" t="s">
        <v>1868</v>
      </c>
      <c r="B344" s="188" t="s">
        <v>1342</v>
      </c>
      <c r="C344" t="s">
        <v>1350</v>
      </c>
      <c r="D344" s="188">
        <v>100</v>
      </c>
      <c r="E344" t="s">
        <v>1854</v>
      </c>
      <c r="F344" t="s">
        <v>1865</v>
      </c>
      <c r="G344" s="188" t="s">
        <v>1866</v>
      </c>
      <c r="H344" s="188">
        <v>0</v>
      </c>
      <c r="I344" s="188">
        <v>0</v>
      </c>
      <c r="J344" s="188">
        <v>0</v>
      </c>
      <c r="K344" s="188">
        <v>0</v>
      </c>
      <c r="L344" s="188">
        <v>0</v>
      </c>
      <c r="M344" s="188">
        <v>0</v>
      </c>
      <c r="N344" s="188">
        <v>0</v>
      </c>
      <c r="O344" s="188">
        <v>0</v>
      </c>
      <c r="P344" s="188">
        <v>0</v>
      </c>
      <c r="Q344" s="188">
        <v>0</v>
      </c>
      <c r="R344" s="188">
        <v>0</v>
      </c>
      <c r="S344" s="188">
        <v>0</v>
      </c>
      <c r="T344" s="188">
        <v>0</v>
      </c>
      <c r="U344" s="188">
        <v>0</v>
      </c>
      <c r="V344" s="188">
        <v>0</v>
      </c>
      <c r="W344" s="188">
        <v>0</v>
      </c>
      <c r="X344" s="188">
        <v>0</v>
      </c>
      <c r="Y344" s="188">
        <v>0</v>
      </c>
      <c r="Z344" s="188">
        <v>0</v>
      </c>
      <c r="AA344" s="188">
        <v>0</v>
      </c>
      <c r="AB344" s="188">
        <v>0</v>
      </c>
      <c r="AC344" s="188">
        <v>0</v>
      </c>
      <c r="AD344" s="188">
        <v>0</v>
      </c>
      <c r="AE344" s="188">
        <v>0</v>
      </c>
      <c r="AF344" s="188">
        <v>0</v>
      </c>
      <c r="AG344" s="188">
        <v>0</v>
      </c>
      <c r="AH344" s="188">
        <v>0</v>
      </c>
      <c r="AI344" s="188">
        <v>0</v>
      </c>
      <c r="AJ344" s="188">
        <v>0</v>
      </c>
    </row>
    <row r="345" spans="1:36" x14ac:dyDescent="0.35">
      <c r="A345" t="s">
        <v>1869</v>
      </c>
      <c r="B345" s="188" t="s">
        <v>1342</v>
      </c>
      <c r="C345" t="s">
        <v>1343</v>
      </c>
      <c r="D345" s="188">
        <v>100</v>
      </c>
      <c r="E345" t="s">
        <v>1854</v>
      </c>
      <c r="F345" t="s">
        <v>1870</v>
      </c>
      <c r="G345" s="188" t="s">
        <v>1871</v>
      </c>
      <c r="H345" s="188">
        <v>0</v>
      </c>
      <c r="I345" s="188">
        <v>0</v>
      </c>
      <c r="J345" s="188">
        <v>0</v>
      </c>
      <c r="K345" s="188">
        <v>0</v>
      </c>
      <c r="L345" s="188">
        <v>0</v>
      </c>
      <c r="M345" s="188">
        <v>0</v>
      </c>
      <c r="N345" s="188">
        <v>0</v>
      </c>
      <c r="O345" s="188">
        <v>0</v>
      </c>
      <c r="P345" s="188">
        <v>0</v>
      </c>
      <c r="Q345" s="188">
        <v>0</v>
      </c>
      <c r="R345" s="188">
        <v>0</v>
      </c>
      <c r="S345" s="188">
        <v>0</v>
      </c>
      <c r="T345" s="188">
        <v>0</v>
      </c>
      <c r="U345" s="188">
        <v>0</v>
      </c>
      <c r="V345" s="188">
        <v>0</v>
      </c>
      <c r="W345" s="188">
        <v>0</v>
      </c>
      <c r="X345" s="188">
        <v>0</v>
      </c>
      <c r="Y345" s="188">
        <v>0</v>
      </c>
      <c r="Z345" s="188">
        <v>0</v>
      </c>
      <c r="AA345" s="188">
        <v>0</v>
      </c>
      <c r="AB345" s="188">
        <v>0</v>
      </c>
      <c r="AC345" s="188">
        <v>0</v>
      </c>
      <c r="AD345" s="188">
        <v>0</v>
      </c>
      <c r="AE345" s="188">
        <v>0</v>
      </c>
      <c r="AF345" s="188">
        <v>0</v>
      </c>
      <c r="AG345" s="188">
        <v>0</v>
      </c>
      <c r="AH345" s="188">
        <v>0</v>
      </c>
      <c r="AI345" s="188">
        <v>0</v>
      </c>
      <c r="AJ345" s="188">
        <v>0</v>
      </c>
    </row>
    <row r="346" spans="1:36" x14ac:dyDescent="0.35">
      <c r="A346" t="s">
        <v>1872</v>
      </c>
      <c r="B346" s="188" t="s">
        <v>1342</v>
      </c>
      <c r="C346" t="s">
        <v>1348</v>
      </c>
      <c r="D346" s="188">
        <v>100</v>
      </c>
      <c r="E346" t="s">
        <v>1854</v>
      </c>
      <c r="F346" t="s">
        <v>1870</v>
      </c>
      <c r="G346" s="188" t="s">
        <v>1871</v>
      </c>
      <c r="H346" s="188">
        <v>0</v>
      </c>
      <c r="I346" s="188">
        <v>0</v>
      </c>
      <c r="J346" s="188">
        <v>0</v>
      </c>
      <c r="K346" s="188">
        <v>0</v>
      </c>
      <c r="L346" s="188">
        <v>0</v>
      </c>
      <c r="M346" s="188">
        <v>0</v>
      </c>
      <c r="N346" s="188">
        <v>0</v>
      </c>
      <c r="O346" s="188">
        <v>0</v>
      </c>
      <c r="P346" s="188">
        <v>0</v>
      </c>
      <c r="Q346" s="188">
        <v>0</v>
      </c>
      <c r="R346" s="188">
        <v>0</v>
      </c>
      <c r="S346" s="188">
        <v>0</v>
      </c>
      <c r="T346" s="188">
        <v>0</v>
      </c>
      <c r="U346" s="188">
        <v>0</v>
      </c>
      <c r="V346" s="188">
        <v>0</v>
      </c>
      <c r="W346" s="188">
        <v>0</v>
      </c>
      <c r="X346" s="188">
        <v>0</v>
      </c>
      <c r="Y346" s="188">
        <v>0</v>
      </c>
      <c r="Z346" s="188">
        <v>0</v>
      </c>
      <c r="AA346" s="188">
        <v>0</v>
      </c>
      <c r="AB346" s="188">
        <v>0</v>
      </c>
      <c r="AC346" s="188">
        <v>0</v>
      </c>
      <c r="AD346" s="188">
        <v>0</v>
      </c>
      <c r="AE346" s="188">
        <v>0</v>
      </c>
      <c r="AF346" s="188">
        <v>0</v>
      </c>
      <c r="AG346" s="188">
        <v>0</v>
      </c>
      <c r="AH346" s="188">
        <v>0</v>
      </c>
      <c r="AI346" s="188">
        <v>0</v>
      </c>
      <c r="AJ346" s="188">
        <v>0</v>
      </c>
    </row>
    <row r="347" spans="1:36" x14ac:dyDescent="0.35">
      <c r="A347" t="s">
        <v>1873</v>
      </c>
      <c r="B347" s="188" t="s">
        <v>1342</v>
      </c>
      <c r="C347" t="s">
        <v>1350</v>
      </c>
      <c r="D347" s="188">
        <v>100</v>
      </c>
      <c r="E347" t="s">
        <v>1854</v>
      </c>
      <c r="F347" t="s">
        <v>1870</v>
      </c>
      <c r="G347" s="188" t="s">
        <v>1871</v>
      </c>
      <c r="H347" s="188">
        <v>0</v>
      </c>
      <c r="I347" s="188">
        <v>0</v>
      </c>
      <c r="J347" s="188">
        <v>0</v>
      </c>
      <c r="K347" s="188">
        <v>0</v>
      </c>
      <c r="L347" s="188">
        <v>0</v>
      </c>
      <c r="M347" s="188">
        <v>0</v>
      </c>
      <c r="N347" s="188">
        <v>0</v>
      </c>
      <c r="O347" s="188">
        <v>0</v>
      </c>
      <c r="P347" s="188">
        <v>0</v>
      </c>
      <c r="Q347" s="188">
        <v>0</v>
      </c>
      <c r="R347" s="188">
        <v>0</v>
      </c>
      <c r="S347" s="188">
        <v>0</v>
      </c>
      <c r="T347" s="188">
        <v>0</v>
      </c>
      <c r="U347" s="188">
        <v>0</v>
      </c>
      <c r="V347" s="188">
        <v>0</v>
      </c>
      <c r="W347" s="188">
        <v>0</v>
      </c>
      <c r="X347" s="188">
        <v>0</v>
      </c>
      <c r="Y347" s="188">
        <v>0</v>
      </c>
      <c r="Z347" s="188">
        <v>0</v>
      </c>
      <c r="AA347" s="188">
        <v>0</v>
      </c>
      <c r="AB347" s="188">
        <v>0</v>
      </c>
      <c r="AC347" s="188">
        <v>0</v>
      </c>
      <c r="AD347" s="188">
        <v>0</v>
      </c>
      <c r="AE347" s="188">
        <v>0</v>
      </c>
      <c r="AF347" s="188">
        <v>0</v>
      </c>
      <c r="AG347" s="188">
        <v>0</v>
      </c>
      <c r="AH347" s="188">
        <v>0</v>
      </c>
      <c r="AI347" s="188">
        <v>0</v>
      </c>
      <c r="AJ347" s="188">
        <v>0</v>
      </c>
    </row>
    <row r="348" spans="1:36" x14ac:dyDescent="0.35">
      <c r="A348" t="s">
        <v>1874</v>
      </c>
      <c r="B348" s="188" t="s">
        <v>1342</v>
      </c>
      <c r="C348" t="s">
        <v>1343</v>
      </c>
      <c r="D348" s="188">
        <v>100</v>
      </c>
      <c r="E348" t="s">
        <v>1854</v>
      </c>
      <c r="F348" t="s">
        <v>1875</v>
      </c>
      <c r="G348" s="188" t="s">
        <v>1876</v>
      </c>
      <c r="H348" s="188">
        <v>0</v>
      </c>
      <c r="I348" s="188">
        <v>0</v>
      </c>
      <c r="J348" s="188">
        <v>0</v>
      </c>
      <c r="K348" s="188">
        <v>0</v>
      </c>
      <c r="L348" s="188">
        <v>0</v>
      </c>
      <c r="M348" s="188">
        <v>0</v>
      </c>
      <c r="N348" s="188">
        <v>0</v>
      </c>
      <c r="O348" s="188">
        <v>0</v>
      </c>
      <c r="P348" s="188">
        <v>0</v>
      </c>
      <c r="Q348" s="188">
        <v>0</v>
      </c>
      <c r="R348" s="188">
        <v>0</v>
      </c>
      <c r="S348" s="188">
        <v>0</v>
      </c>
      <c r="T348" s="188">
        <v>0</v>
      </c>
      <c r="U348" s="188">
        <v>0</v>
      </c>
      <c r="V348" s="188">
        <v>0</v>
      </c>
      <c r="W348" s="188">
        <v>0</v>
      </c>
      <c r="X348" s="188">
        <v>0</v>
      </c>
      <c r="Y348" s="188">
        <v>0</v>
      </c>
      <c r="Z348" s="188">
        <v>0</v>
      </c>
      <c r="AA348" s="188">
        <v>0</v>
      </c>
      <c r="AB348" s="188">
        <v>0</v>
      </c>
      <c r="AC348" s="188">
        <v>0</v>
      </c>
      <c r="AD348" s="188">
        <v>0</v>
      </c>
      <c r="AE348" s="188">
        <v>0</v>
      </c>
      <c r="AF348" s="188">
        <v>0</v>
      </c>
      <c r="AG348" s="188">
        <v>0</v>
      </c>
      <c r="AH348" s="188">
        <v>0</v>
      </c>
      <c r="AI348" s="188">
        <v>0</v>
      </c>
      <c r="AJ348" s="188">
        <v>0</v>
      </c>
    </row>
    <row r="349" spans="1:36" x14ac:dyDescent="0.35">
      <c r="A349" t="s">
        <v>1877</v>
      </c>
      <c r="B349" s="188" t="s">
        <v>1342</v>
      </c>
      <c r="C349" t="s">
        <v>1348</v>
      </c>
      <c r="D349" s="188">
        <v>100</v>
      </c>
      <c r="E349" t="s">
        <v>1854</v>
      </c>
      <c r="F349" t="s">
        <v>1875</v>
      </c>
      <c r="G349" s="188" t="s">
        <v>1876</v>
      </c>
      <c r="H349" s="188">
        <v>0</v>
      </c>
      <c r="I349" s="188">
        <v>0</v>
      </c>
      <c r="J349" s="188">
        <v>0</v>
      </c>
      <c r="K349" s="188">
        <v>0</v>
      </c>
      <c r="L349" s="188">
        <v>0</v>
      </c>
      <c r="M349" s="188">
        <v>0</v>
      </c>
      <c r="N349" s="188">
        <v>0</v>
      </c>
      <c r="O349" s="188">
        <v>0</v>
      </c>
      <c r="P349" s="188">
        <v>0</v>
      </c>
      <c r="Q349" s="188">
        <v>0</v>
      </c>
      <c r="R349" s="188">
        <v>0</v>
      </c>
      <c r="S349" s="188">
        <v>0</v>
      </c>
      <c r="T349" s="188">
        <v>0</v>
      </c>
      <c r="U349" s="188">
        <v>0</v>
      </c>
      <c r="V349" s="188">
        <v>0</v>
      </c>
      <c r="W349" s="188">
        <v>0</v>
      </c>
      <c r="X349" s="188">
        <v>0</v>
      </c>
      <c r="Y349" s="188">
        <v>0</v>
      </c>
      <c r="Z349" s="188">
        <v>0</v>
      </c>
      <c r="AA349" s="188">
        <v>0</v>
      </c>
      <c r="AB349" s="188">
        <v>0</v>
      </c>
      <c r="AC349" s="188">
        <v>0</v>
      </c>
      <c r="AD349" s="188">
        <v>0</v>
      </c>
      <c r="AE349" s="188">
        <v>0</v>
      </c>
      <c r="AF349" s="188">
        <v>0</v>
      </c>
      <c r="AG349" s="188">
        <v>0</v>
      </c>
      <c r="AH349" s="188">
        <v>0</v>
      </c>
      <c r="AI349" s="188">
        <v>0</v>
      </c>
      <c r="AJ349" s="188">
        <v>0</v>
      </c>
    </row>
    <row r="350" spans="1:36" x14ac:dyDescent="0.35">
      <c r="A350" t="s">
        <v>1878</v>
      </c>
      <c r="B350" s="188" t="s">
        <v>1342</v>
      </c>
      <c r="C350" t="s">
        <v>1350</v>
      </c>
      <c r="D350" s="188">
        <v>100</v>
      </c>
      <c r="E350" t="s">
        <v>1854</v>
      </c>
      <c r="F350" t="s">
        <v>1875</v>
      </c>
      <c r="G350" s="188" t="s">
        <v>1876</v>
      </c>
      <c r="H350" s="188">
        <v>0</v>
      </c>
      <c r="I350" s="188">
        <v>0</v>
      </c>
      <c r="J350" s="188">
        <v>0</v>
      </c>
      <c r="K350" s="188">
        <v>0</v>
      </c>
      <c r="L350" s="188">
        <v>0</v>
      </c>
      <c r="M350" s="188">
        <v>0</v>
      </c>
      <c r="N350" s="188">
        <v>0</v>
      </c>
      <c r="O350" s="188">
        <v>0</v>
      </c>
      <c r="P350" s="188">
        <v>0</v>
      </c>
      <c r="Q350" s="188">
        <v>0</v>
      </c>
      <c r="R350" s="188">
        <v>0</v>
      </c>
      <c r="S350" s="188">
        <v>0</v>
      </c>
      <c r="T350" s="188">
        <v>0</v>
      </c>
      <c r="U350" s="188">
        <v>0</v>
      </c>
      <c r="V350" s="188">
        <v>0</v>
      </c>
      <c r="W350" s="188">
        <v>0</v>
      </c>
      <c r="X350" s="188">
        <v>0</v>
      </c>
      <c r="Y350" s="188">
        <v>0</v>
      </c>
      <c r="Z350" s="188">
        <v>0</v>
      </c>
      <c r="AA350" s="188">
        <v>0</v>
      </c>
      <c r="AB350" s="188">
        <v>0</v>
      </c>
      <c r="AC350" s="188">
        <v>0</v>
      </c>
      <c r="AD350" s="188">
        <v>0</v>
      </c>
      <c r="AE350" s="188">
        <v>0</v>
      </c>
      <c r="AF350" s="188">
        <v>0</v>
      </c>
      <c r="AG350" s="188">
        <v>0</v>
      </c>
      <c r="AH350" s="188">
        <v>0</v>
      </c>
      <c r="AI350" s="188">
        <v>0</v>
      </c>
      <c r="AJ350" s="188">
        <v>0</v>
      </c>
    </row>
    <row r="351" spans="1:36" x14ac:dyDescent="0.35">
      <c r="A351" t="s">
        <v>1879</v>
      </c>
      <c r="B351" s="188" t="s">
        <v>1342</v>
      </c>
      <c r="C351" t="s">
        <v>1343</v>
      </c>
      <c r="D351" s="188">
        <v>100</v>
      </c>
      <c r="E351" t="s">
        <v>1854</v>
      </c>
      <c r="F351" t="s">
        <v>1880</v>
      </c>
      <c r="G351" s="188" t="s">
        <v>1881</v>
      </c>
      <c r="H351" s="188">
        <v>0</v>
      </c>
      <c r="I351" s="188">
        <v>0</v>
      </c>
      <c r="J351" s="188">
        <v>0</v>
      </c>
      <c r="K351" s="188">
        <v>0</v>
      </c>
      <c r="L351" s="188">
        <v>0</v>
      </c>
      <c r="M351" s="188">
        <v>0</v>
      </c>
      <c r="N351" s="188">
        <v>0</v>
      </c>
      <c r="O351" s="188">
        <v>0</v>
      </c>
      <c r="P351" s="188">
        <v>0</v>
      </c>
      <c r="Q351" s="188">
        <v>0</v>
      </c>
      <c r="R351" s="188">
        <v>0</v>
      </c>
      <c r="S351" s="188">
        <v>0</v>
      </c>
      <c r="T351" s="188">
        <v>0</v>
      </c>
      <c r="U351" s="188">
        <v>0</v>
      </c>
      <c r="V351" s="188">
        <v>0</v>
      </c>
      <c r="W351" s="188">
        <v>0</v>
      </c>
      <c r="X351" s="188">
        <v>0</v>
      </c>
      <c r="Y351" s="188">
        <v>0</v>
      </c>
      <c r="Z351" s="188">
        <v>0</v>
      </c>
      <c r="AA351" s="188">
        <v>0</v>
      </c>
      <c r="AB351" s="188">
        <v>0</v>
      </c>
      <c r="AC351" s="188">
        <v>0</v>
      </c>
      <c r="AD351" s="188">
        <v>0</v>
      </c>
      <c r="AE351" s="188">
        <v>0</v>
      </c>
      <c r="AF351" s="188">
        <v>0</v>
      </c>
      <c r="AG351" s="188">
        <v>0</v>
      </c>
      <c r="AH351" s="188">
        <v>0</v>
      </c>
      <c r="AI351" s="188">
        <v>0</v>
      </c>
      <c r="AJ351" s="188">
        <v>0</v>
      </c>
    </row>
    <row r="352" spans="1:36" x14ac:dyDescent="0.35">
      <c r="A352" t="s">
        <v>1882</v>
      </c>
      <c r="B352" s="188" t="s">
        <v>1342</v>
      </c>
      <c r="C352" t="s">
        <v>1348</v>
      </c>
      <c r="D352" s="188">
        <v>100</v>
      </c>
      <c r="E352" t="s">
        <v>1854</v>
      </c>
      <c r="F352" t="s">
        <v>1880</v>
      </c>
      <c r="G352" s="188" t="s">
        <v>1881</v>
      </c>
      <c r="H352" s="188">
        <v>0</v>
      </c>
      <c r="I352" s="188">
        <v>0</v>
      </c>
      <c r="J352" s="188">
        <v>0</v>
      </c>
      <c r="K352" s="188">
        <v>0</v>
      </c>
      <c r="L352" s="188">
        <v>0</v>
      </c>
      <c r="M352" s="188">
        <v>0</v>
      </c>
      <c r="N352" s="188">
        <v>0</v>
      </c>
      <c r="O352" s="188">
        <v>0</v>
      </c>
      <c r="P352" s="188">
        <v>0</v>
      </c>
      <c r="Q352" s="188">
        <v>0</v>
      </c>
      <c r="R352" s="188">
        <v>0</v>
      </c>
      <c r="S352" s="188">
        <v>0</v>
      </c>
      <c r="T352" s="188">
        <v>0</v>
      </c>
      <c r="U352" s="188">
        <v>0</v>
      </c>
      <c r="V352" s="188">
        <v>0</v>
      </c>
      <c r="W352" s="188">
        <v>0</v>
      </c>
      <c r="X352" s="188">
        <v>0</v>
      </c>
      <c r="Y352" s="188">
        <v>0</v>
      </c>
      <c r="Z352" s="188">
        <v>0</v>
      </c>
      <c r="AA352" s="188">
        <v>0</v>
      </c>
      <c r="AB352" s="188">
        <v>0</v>
      </c>
      <c r="AC352" s="188">
        <v>0</v>
      </c>
      <c r="AD352" s="188">
        <v>0</v>
      </c>
      <c r="AE352" s="188">
        <v>0</v>
      </c>
      <c r="AF352" s="188">
        <v>0</v>
      </c>
      <c r="AG352" s="188">
        <v>0</v>
      </c>
      <c r="AH352" s="188">
        <v>0</v>
      </c>
      <c r="AI352" s="188">
        <v>0</v>
      </c>
      <c r="AJ352" s="188">
        <v>0</v>
      </c>
    </row>
    <row r="353" spans="1:36" x14ac:dyDescent="0.35">
      <c r="A353" t="s">
        <v>1883</v>
      </c>
      <c r="B353" s="188" t="s">
        <v>1342</v>
      </c>
      <c r="C353" t="s">
        <v>1350</v>
      </c>
      <c r="D353" s="188">
        <v>100</v>
      </c>
      <c r="E353" t="s">
        <v>1854</v>
      </c>
      <c r="F353" t="s">
        <v>1880</v>
      </c>
      <c r="G353" s="188" t="s">
        <v>1881</v>
      </c>
      <c r="H353" s="188">
        <v>0</v>
      </c>
      <c r="I353" s="188">
        <v>0</v>
      </c>
      <c r="J353" s="188">
        <v>0</v>
      </c>
      <c r="K353" s="188">
        <v>0</v>
      </c>
      <c r="L353" s="188">
        <v>0</v>
      </c>
      <c r="M353" s="188">
        <v>0</v>
      </c>
      <c r="N353" s="188">
        <v>0</v>
      </c>
      <c r="O353" s="188">
        <v>0</v>
      </c>
      <c r="P353" s="188">
        <v>0</v>
      </c>
      <c r="Q353" s="188">
        <v>0</v>
      </c>
      <c r="R353" s="188">
        <v>0</v>
      </c>
      <c r="S353" s="188">
        <v>0</v>
      </c>
      <c r="T353" s="188">
        <v>0</v>
      </c>
      <c r="U353" s="188">
        <v>0</v>
      </c>
      <c r="V353" s="188">
        <v>0</v>
      </c>
      <c r="W353" s="188">
        <v>0</v>
      </c>
      <c r="X353" s="188">
        <v>0</v>
      </c>
      <c r="Y353" s="188">
        <v>0</v>
      </c>
      <c r="Z353" s="188">
        <v>0</v>
      </c>
      <c r="AA353" s="188">
        <v>0</v>
      </c>
      <c r="AB353" s="188">
        <v>0</v>
      </c>
      <c r="AC353" s="188">
        <v>0</v>
      </c>
      <c r="AD353" s="188">
        <v>0</v>
      </c>
      <c r="AE353" s="188">
        <v>0</v>
      </c>
      <c r="AF353" s="188">
        <v>0</v>
      </c>
      <c r="AG353" s="188">
        <v>0</v>
      </c>
      <c r="AH353" s="188">
        <v>0</v>
      </c>
      <c r="AI353" s="188">
        <v>0</v>
      </c>
      <c r="AJ353" s="188">
        <v>0</v>
      </c>
    </row>
    <row r="354" spans="1:36" x14ac:dyDescent="0.35">
      <c r="A354" t="s">
        <v>1884</v>
      </c>
      <c r="B354" s="188" t="s">
        <v>1342</v>
      </c>
      <c r="C354" t="s">
        <v>1343</v>
      </c>
      <c r="D354" s="188">
        <v>100</v>
      </c>
      <c r="E354" t="s">
        <v>1854</v>
      </c>
      <c r="F354" t="s">
        <v>1885</v>
      </c>
      <c r="G354" s="188" t="s">
        <v>1886</v>
      </c>
      <c r="H354" s="188">
        <v>0</v>
      </c>
      <c r="I354" s="188">
        <v>0</v>
      </c>
      <c r="J354" s="188">
        <v>0</v>
      </c>
      <c r="K354" s="188">
        <v>0</v>
      </c>
      <c r="L354" s="188">
        <v>0</v>
      </c>
      <c r="M354" s="188">
        <v>0</v>
      </c>
      <c r="N354" s="188">
        <v>0</v>
      </c>
      <c r="O354" s="188">
        <v>0</v>
      </c>
      <c r="P354" s="188">
        <v>0</v>
      </c>
      <c r="Q354" s="188">
        <v>0</v>
      </c>
      <c r="R354" s="188">
        <v>0</v>
      </c>
      <c r="S354" s="188">
        <v>0</v>
      </c>
      <c r="T354" s="188">
        <v>0</v>
      </c>
      <c r="U354" s="188">
        <v>0</v>
      </c>
      <c r="V354" s="188">
        <v>0</v>
      </c>
      <c r="W354" s="188">
        <v>0</v>
      </c>
      <c r="X354" s="188">
        <v>0</v>
      </c>
      <c r="Y354" s="188">
        <v>0</v>
      </c>
      <c r="Z354" s="188">
        <v>0</v>
      </c>
      <c r="AA354" s="188">
        <v>0</v>
      </c>
      <c r="AB354" s="188">
        <v>0</v>
      </c>
      <c r="AC354" s="188">
        <v>0</v>
      </c>
      <c r="AD354" s="188">
        <v>0</v>
      </c>
      <c r="AE354" s="188">
        <v>0</v>
      </c>
      <c r="AF354" s="188">
        <v>0</v>
      </c>
      <c r="AG354" s="188">
        <v>0</v>
      </c>
      <c r="AH354" s="188">
        <v>0</v>
      </c>
      <c r="AI354" s="188">
        <v>0</v>
      </c>
      <c r="AJ354" s="188">
        <v>0</v>
      </c>
    </row>
    <row r="355" spans="1:36" x14ac:dyDescent="0.35">
      <c r="A355" t="s">
        <v>1887</v>
      </c>
      <c r="B355" s="188" t="s">
        <v>1342</v>
      </c>
      <c r="C355" t="s">
        <v>1348</v>
      </c>
      <c r="D355" s="188">
        <v>100</v>
      </c>
      <c r="E355" t="s">
        <v>1854</v>
      </c>
      <c r="F355" t="s">
        <v>1885</v>
      </c>
      <c r="G355" s="188" t="s">
        <v>1886</v>
      </c>
      <c r="H355" s="188">
        <v>0</v>
      </c>
      <c r="I355" s="188">
        <v>0</v>
      </c>
      <c r="J355" s="188">
        <v>0</v>
      </c>
      <c r="K355" s="188">
        <v>0</v>
      </c>
      <c r="L355" s="188">
        <v>0</v>
      </c>
      <c r="M355" s="188">
        <v>0</v>
      </c>
      <c r="N355" s="188">
        <v>0</v>
      </c>
      <c r="O355" s="188">
        <v>0</v>
      </c>
      <c r="P355" s="188">
        <v>0</v>
      </c>
      <c r="Q355" s="188">
        <v>0</v>
      </c>
      <c r="R355" s="188">
        <v>0</v>
      </c>
      <c r="S355" s="188">
        <v>0</v>
      </c>
      <c r="T355" s="188">
        <v>0</v>
      </c>
      <c r="U355" s="188">
        <v>0</v>
      </c>
      <c r="V355" s="188">
        <v>0</v>
      </c>
      <c r="W355" s="188">
        <v>0</v>
      </c>
      <c r="X355" s="188">
        <v>0</v>
      </c>
      <c r="Y355" s="188">
        <v>0</v>
      </c>
      <c r="Z355" s="188">
        <v>0</v>
      </c>
      <c r="AA355" s="188">
        <v>0</v>
      </c>
      <c r="AB355" s="188">
        <v>0</v>
      </c>
      <c r="AC355" s="188">
        <v>0</v>
      </c>
      <c r="AD355" s="188">
        <v>0</v>
      </c>
      <c r="AE355" s="188">
        <v>0</v>
      </c>
      <c r="AF355" s="188">
        <v>0</v>
      </c>
      <c r="AG355" s="188">
        <v>0</v>
      </c>
      <c r="AH355" s="188">
        <v>0</v>
      </c>
      <c r="AI355" s="188">
        <v>0</v>
      </c>
      <c r="AJ355" s="188">
        <v>0</v>
      </c>
    </row>
    <row r="356" spans="1:36" x14ac:dyDescent="0.35">
      <c r="A356" t="s">
        <v>1888</v>
      </c>
      <c r="B356" s="188" t="s">
        <v>1342</v>
      </c>
      <c r="C356" t="s">
        <v>1350</v>
      </c>
      <c r="D356" s="188">
        <v>100</v>
      </c>
      <c r="E356" t="s">
        <v>1854</v>
      </c>
      <c r="F356" t="s">
        <v>1885</v>
      </c>
      <c r="G356" s="188" t="s">
        <v>1886</v>
      </c>
      <c r="H356" s="188">
        <v>0</v>
      </c>
      <c r="I356" s="188">
        <v>0</v>
      </c>
      <c r="J356" s="188">
        <v>0</v>
      </c>
      <c r="K356" s="188">
        <v>0</v>
      </c>
      <c r="L356" s="188">
        <v>0</v>
      </c>
      <c r="M356" s="188">
        <v>0</v>
      </c>
      <c r="N356" s="188">
        <v>0</v>
      </c>
      <c r="O356" s="188">
        <v>0</v>
      </c>
      <c r="P356" s="188">
        <v>0</v>
      </c>
      <c r="Q356" s="188">
        <v>0</v>
      </c>
      <c r="R356" s="188">
        <v>0</v>
      </c>
      <c r="S356" s="188">
        <v>0</v>
      </c>
      <c r="T356" s="188">
        <v>0</v>
      </c>
      <c r="U356" s="188">
        <v>0</v>
      </c>
      <c r="V356" s="188">
        <v>0</v>
      </c>
      <c r="W356" s="188">
        <v>0</v>
      </c>
      <c r="X356" s="188">
        <v>0</v>
      </c>
      <c r="Y356" s="188">
        <v>0</v>
      </c>
      <c r="Z356" s="188">
        <v>0</v>
      </c>
      <c r="AA356" s="188">
        <v>0</v>
      </c>
      <c r="AB356" s="188">
        <v>0</v>
      </c>
      <c r="AC356" s="188">
        <v>0</v>
      </c>
      <c r="AD356" s="188">
        <v>0</v>
      </c>
      <c r="AE356" s="188">
        <v>0</v>
      </c>
      <c r="AF356" s="188">
        <v>0</v>
      </c>
      <c r="AG356" s="188">
        <v>0</v>
      </c>
      <c r="AH356" s="188">
        <v>0</v>
      </c>
      <c r="AI356" s="188">
        <v>0</v>
      </c>
      <c r="AJ356" s="188">
        <v>0</v>
      </c>
    </row>
    <row r="357" spans="1:36" x14ac:dyDescent="0.35">
      <c r="A357" t="s">
        <v>1889</v>
      </c>
      <c r="B357" s="188" t="s">
        <v>1342</v>
      </c>
      <c r="C357" t="s">
        <v>1343</v>
      </c>
      <c r="D357" s="188">
        <v>100</v>
      </c>
      <c r="E357" t="s">
        <v>1854</v>
      </c>
      <c r="F357" t="s">
        <v>1890</v>
      </c>
      <c r="G357" s="188" t="s">
        <v>1891</v>
      </c>
      <c r="H357" s="188">
        <v>0</v>
      </c>
      <c r="I357" s="188">
        <v>0</v>
      </c>
      <c r="J357" s="188">
        <v>0</v>
      </c>
      <c r="K357" s="188">
        <v>0</v>
      </c>
      <c r="L357" s="188">
        <v>0</v>
      </c>
      <c r="M357" s="188">
        <v>0</v>
      </c>
      <c r="N357" s="188">
        <v>0</v>
      </c>
      <c r="O357" s="188">
        <v>0</v>
      </c>
      <c r="P357" s="188">
        <v>0</v>
      </c>
      <c r="Q357" s="188">
        <v>0</v>
      </c>
      <c r="R357" s="188">
        <v>0</v>
      </c>
      <c r="S357" s="188">
        <v>0</v>
      </c>
      <c r="T357" s="188">
        <v>0</v>
      </c>
      <c r="U357" s="188">
        <v>0</v>
      </c>
      <c r="V357" s="188">
        <v>0</v>
      </c>
      <c r="W357" s="188">
        <v>0</v>
      </c>
      <c r="X357" s="188">
        <v>0</v>
      </c>
      <c r="Y357" s="188">
        <v>0</v>
      </c>
      <c r="Z357" s="188">
        <v>0</v>
      </c>
      <c r="AA357" s="188">
        <v>0</v>
      </c>
      <c r="AB357" s="188">
        <v>0</v>
      </c>
      <c r="AC357" s="188">
        <v>0</v>
      </c>
      <c r="AD357" s="188">
        <v>0</v>
      </c>
      <c r="AE357" s="188">
        <v>0</v>
      </c>
      <c r="AF357" s="188">
        <v>0</v>
      </c>
      <c r="AG357" s="188">
        <v>0</v>
      </c>
      <c r="AH357" s="188">
        <v>0</v>
      </c>
      <c r="AI357" s="188">
        <v>0</v>
      </c>
      <c r="AJ357" s="188">
        <v>0</v>
      </c>
    </row>
    <row r="358" spans="1:36" x14ac:dyDescent="0.35">
      <c r="A358" t="s">
        <v>1892</v>
      </c>
      <c r="B358" s="188" t="s">
        <v>1342</v>
      </c>
      <c r="C358" t="s">
        <v>1348</v>
      </c>
      <c r="D358" s="188">
        <v>100</v>
      </c>
      <c r="E358" t="s">
        <v>1854</v>
      </c>
      <c r="F358" t="s">
        <v>1890</v>
      </c>
      <c r="G358" s="188" t="s">
        <v>1891</v>
      </c>
      <c r="H358" s="188">
        <v>0</v>
      </c>
      <c r="I358" s="188">
        <v>0</v>
      </c>
      <c r="J358" s="188">
        <v>0</v>
      </c>
      <c r="K358" s="188">
        <v>0</v>
      </c>
      <c r="L358" s="188">
        <v>0</v>
      </c>
      <c r="M358" s="188">
        <v>0</v>
      </c>
      <c r="N358" s="188">
        <v>0</v>
      </c>
      <c r="O358" s="188">
        <v>0</v>
      </c>
      <c r="P358" s="188">
        <v>0</v>
      </c>
      <c r="Q358" s="188">
        <v>0</v>
      </c>
      <c r="R358" s="188">
        <v>0</v>
      </c>
      <c r="S358" s="188">
        <v>0</v>
      </c>
      <c r="T358" s="188">
        <v>0</v>
      </c>
      <c r="U358" s="188">
        <v>0</v>
      </c>
      <c r="V358" s="188">
        <v>0</v>
      </c>
      <c r="W358" s="188">
        <v>0</v>
      </c>
      <c r="X358" s="188">
        <v>0</v>
      </c>
      <c r="Y358" s="188">
        <v>0</v>
      </c>
      <c r="Z358" s="188">
        <v>0</v>
      </c>
      <c r="AA358" s="188">
        <v>0</v>
      </c>
      <c r="AB358" s="188">
        <v>0</v>
      </c>
      <c r="AC358" s="188">
        <v>0</v>
      </c>
      <c r="AD358" s="188">
        <v>0</v>
      </c>
      <c r="AE358" s="188">
        <v>0</v>
      </c>
      <c r="AF358" s="188">
        <v>0</v>
      </c>
      <c r="AG358" s="188">
        <v>0</v>
      </c>
      <c r="AH358" s="188">
        <v>0</v>
      </c>
      <c r="AI358" s="188">
        <v>0</v>
      </c>
      <c r="AJ358" s="188">
        <v>0</v>
      </c>
    </row>
    <row r="359" spans="1:36" x14ac:dyDescent="0.35">
      <c r="A359" t="s">
        <v>1893</v>
      </c>
      <c r="B359" s="188" t="s">
        <v>1342</v>
      </c>
      <c r="C359" t="s">
        <v>1350</v>
      </c>
      <c r="D359" s="188">
        <v>100</v>
      </c>
      <c r="E359" t="s">
        <v>1854</v>
      </c>
      <c r="F359" t="s">
        <v>1890</v>
      </c>
      <c r="G359" s="188" t="s">
        <v>1891</v>
      </c>
      <c r="H359" s="188">
        <v>0</v>
      </c>
      <c r="I359" s="188">
        <v>0</v>
      </c>
      <c r="J359" s="188">
        <v>0</v>
      </c>
      <c r="K359" s="188">
        <v>0</v>
      </c>
      <c r="L359" s="188">
        <v>0</v>
      </c>
      <c r="M359" s="188">
        <v>0</v>
      </c>
      <c r="N359" s="188">
        <v>0</v>
      </c>
      <c r="O359" s="188">
        <v>0</v>
      </c>
      <c r="P359" s="188">
        <v>0</v>
      </c>
      <c r="Q359" s="188">
        <v>0</v>
      </c>
      <c r="R359" s="188">
        <v>0</v>
      </c>
      <c r="S359" s="188">
        <v>0</v>
      </c>
      <c r="T359" s="188">
        <v>0</v>
      </c>
      <c r="U359" s="188">
        <v>0</v>
      </c>
      <c r="V359" s="188">
        <v>0</v>
      </c>
      <c r="W359" s="188">
        <v>0</v>
      </c>
      <c r="X359" s="188">
        <v>0</v>
      </c>
      <c r="Y359" s="188">
        <v>0</v>
      </c>
      <c r="Z359" s="188">
        <v>0</v>
      </c>
      <c r="AA359" s="188">
        <v>0</v>
      </c>
      <c r="AB359" s="188">
        <v>0</v>
      </c>
      <c r="AC359" s="188">
        <v>0</v>
      </c>
      <c r="AD359" s="188">
        <v>0</v>
      </c>
      <c r="AE359" s="188">
        <v>0</v>
      </c>
      <c r="AF359" s="188">
        <v>0</v>
      </c>
      <c r="AG359" s="188">
        <v>0</v>
      </c>
      <c r="AH359" s="188">
        <v>0</v>
      </c>
      <c r="AI359" s="188">
        <v>0</v>
      </c>
      <c r="AJ359" s="188">
        <v>0</v>
      </c>
    </row>
    <row r="360" spans="1:36" x14ac:dyDescent="0.35">
      <c r="A360" t="s">
        <v>1894</v>
      </c>
      <c r="B360" s="188" t="s">
        <v>1342</v>
      </c>
      <c r="C360" t="s">
        <v>1343</v>
      </c>
      <c r="D360" s="188">
        <v>100</v>
      </c>
      <c r="E360" t="s">
        <v>1854</v>
      </c>
      <c r="F360" s="188" t="s">
        <v>1895</v>
      </c>
      <c r="G360" s="188" t="s">
        <v>1896</v>
      </c>
      <c r="H360" s="188">
        <v>0</v>
      </c>
      <c r="I360" s="188">
        <v>0</v>
      </c>
      <c r="J360" s="188">
        <v>0</v>
      </c>
      <c r="K360" s="188">
        <v>0</v>
      </c>
      <c r="L360" s="188">
        <v>0</v>
      </c>
      <c r="M360" s="188">
        <v>0</v>
      </c>
      <c r="N360" s="188">
        <v>0</v>
      </c>
      <c r="O360" s="188">
        <v>0</v>
      </c>
      <c r="P360" s="188">
        <v>0</v>
      </c>
      <c r="Q360" s="188">
        <v>0</v>
      </c>
      <c r="R360" s="188">
        <v>0</v>
      </c>
      <c r="S360" s="188">
        <v>0</v>
      </c>
      <c r="T360" s="188">
        <v>0</v>
      </c>
      <c r="U360" s="188">
        <v>0</v>
      </c>
      <c r="V360" s="188">
        <v>0</v>
      </c>
      <c r="W360" s="188">
        <v>0</v>
      </c>
      <c r="X360" s="188">
        <v>0</v>
      </c>
      <c r="Y360" s="188">
        <v>0</v>
      </c>
      <c r="Z360" s="188">
        <v>0</v>
      </c>
      <c r="AA360" s="188">
        <v>0</v>
      </c>
      <c r="AB360" s="188">
        <v>0</v>
      </c>
      <c r="AC360" s="188">
        <v>0</v>
      </c>
      <c r="AD360" s="188">
        <v>0</v>
      </c>
      <c r="AE360" s="188">
        <v>0</v>
      </c>
      <c r="AF360" s="188">
        <v>0</v>
      </c>
      <c r="AG360" s="188">
        <v>0</v>
      </c>
      <c r="AH360" s="188">
        <v>0</v>
      </c>
      <c r="AI360" s="188">
        <v>0</v>
      </c>
      <c r="AJ360" s="188">
        <v>0</v>
      </c>
    </row>
    <row r="361" spans="1:36" x14ac:dyDescent="0.35">
      <c r="A361" t="s">
        <v>1897</v>
      </c>
      <c r="B361" s="188" t="s">
        <v>1342</v>
      </c>
      <c r="C361" t="s">
        <v>1348</v>
      </c>
      <c r="D361" s="188">
        <v>100</v>
      </c>
      <c r="E361" t="s">
        <v>1854</v>
      </c>
      <c r="F361" s="188" t="s">
        <v>1895</v>
      </c>
      <c r="G361" s="188" t="s">
        <v>1896</v>
      </c>
      <c r="H361" s="188">
        <v>0</v>
      </c>
      <c r="I361" s="188">
        <v>0</v>
      </c>
      <c r="J361" s="188">
        <v>0</v>
      </c>
      <c r="K361" s="188">
        <v>0</v>
      </c>
      <c r="L361" s="188">
        <v>0</v>
      </c>
      <c r="M361" s="188">
        <v>0</v>
      </c>
      <c r="N361" s="188">
        <v>0</v>
      </c>
      <c r="O361" s="188">
        <v>0</v>
      </c>
      <c r="P361" s="188">
        <v>0</v>
      </c>
      <c r="Q361" s="188">
        <v>0</v>
      </c>
      <c r="R361" s="188">
        <v>0</v>
      </c>
      <c r="S361" s="188">
        <v>0</v>
      </c>
      <c r="T361" s="188">
        <v>0</v>
      </c>
      <c r="U361" s="188">
        <v>0</v>
      </c>
      <c r="V361" s="188">
        <v>0</v>
      </c>
      <c r="W361" s="188">
        <v>0</v>
      </c>
      <c r="X361" s="188">
        <v>0</v>
      </c>
      <c r="Y361" s="188">
        <v>0</v>
      </c>
      <c r="Z361" s="188">
        <v>0</v>
      </c>
      <c r="AA361" s="188">
        <v>0</v>
      </c>
      <c r="AB361" s="188">
        <v>0</v>
      </c>
      <c r="AC361" s="188">
        <v>0</v>
      </c>
      <c r="AD361" s="188">
        <v>0</v>
      </c>
      <c r="AE361" s="188">
        <v>0</v>
      </c>
      <c r="AF361" s="188">
        <v>0</v>
      </c>
      <c r="AG361" s="188">
        <v>0</v>
      </c>
      <c r="AH361" s="188">
        <v>0</v>
      </c>
      <c r="AI361" s="188">
        <v>0</v>
      </c>
      <c r="AJ361" s="188">
        <v>0</v>
      </c>
    </row>
    <row r="362" spans="1:36" x14ac:dyDescent="0.35">
      <c r="A362" t="s">
        <v>1898</v>
      </c>
      <c r="B362" s="188" t="s">
        <v>1342</v>
      </c>
      <c r="C362" t="s">
        <v>1350</v>
      </c>
      <c r="D362" s="188">
        <v>100</v>
      </c>
      <c r="E362" t="s">
        <v>1854</v>
      </c>
      <c r="F362" s="188" t="s">
        <v>1895</v>
      </c>
      <c r="G362" s="188" t="s">
        <v>1896</v>
      </c>
      <c r="H362" s="188">
        <v>0</v>
      </c>
      <c r="I362" s="188">
        <v>0</v>
      </c>
      <c r="J362" s="188">
        <v>0</v>
      </c>
      <c r="K362" s="188">
        <v>0</v>
      </c>
      <c r="L362" s="188">
        <v>0</v>
      </c>
      <c r="M362" s="188">
        <v>0</v>
      </c>
      <c r="N362" s="188">
        <v>0</v>
      </c>
      <c r="O362" s="188">
        <v>0</v>
      </c>
      <c r="P362" s="188">
        <v>0</v>
      </c>
      <c r="Q362" s="188">
        <v>0</v>
      </c>
      <c r="R362" s="188">
        <v>0</v>
      </c>
      <c r="S362" s="188">
        <v>0</v>
      </c>
      <c r="T362" s="188">
        <v>0</v>
      </c>
      <c r="U362" s="188">
        <v>0</v>
      </c>
      <c r="V362" s="188">
        <v>0</v>
      </c>
      <c r="W362" s="188">
        <v>0</v>
      </c>
      <c r="X362" s="188">
        <v>0</v>
      </c>
      <c r="Y362" s="188">
        <v>0</v>
      </c>
      <c r="Z362" s="188">
        <v>0</v>
      </c>
      <c r="AA362" s="188">
        <v>0</v>
      </c>
      <c r="AB362" s="188">
        <v>0</v>
      </c>
      <c r="AC362" s="188">
        <v>0</v>
      </c>
      <c r="AD362" s="188">
        <v>0</v>
      </c>
      <c r="AE362" s="188">
        <v>0</v>
      </c>
      <c r="AF362" s="188">
        <v>0</v>
      </c>
      <c r="AG362" s="188">
        <v>0</v>
      </c>
      <c r="AH362" s="188">
        <v>0</v>
      </c>
      <c r="AI362" s="188">
        <v>0</v>
      </c>
      <c r="AJ362" s="188">
        <v>0</v>
      </c>
    </row>
    <row r="363" spans="1:36" x14ac:dyDescent="0.35">
      <c r="A363" t="s">
        <v>1899</v>
      </c>
      <c r="B363" s="188" t="s">
        <v>1342</v>
      </c>
      <c r="C363" t="s">
        <v>1343</v>
      </c>
      <c r="D363" s="188">
        <v>100</v>
      </c>
      <c r="E363" t="s">
        <v>1854</v>
      </c>
      <c r="F363" s="188" t="s">
        <v>1900</v>
      </c>
      <c r="G363" s="188" t="s">
        <v>1901</v>
      </c>
      <c r="H363" s="188">
        <v>0</v>
      </c>
      <c r="I363" s="188">
        <v>0</v>
      </c>
      <c r="J363" s="188">
        <v>0</v>
      </c>
      <c r="K363" s="188">
        <v>0</v>
      </c>
      <c r="L363" s="188">
        <v>0</v>
      </c>
      <c r="M363" s="188">
        <v>0</v>
      </c>
      <c r="N363" s="188">
        <v>0</v>
      </c>
      <c r="O363" s="188">
        <v>0</v>
      </c>
      <c r="P363" s="188">
        <v>0</v>
      </c>
      <c r="Q363" s="188">
        <v>0</v>
      </c>
      <c r="R363" s="188">
        <v>0</v>
      </c>
      <c r="S363" s="188">
        <v>0</v>
      </c>
      <c r="T363" s="188">
        <v>0</v>
      </c>
      <c r="U363" s="188">
        <v>0</v>
      </c>
      <c r="V363" s="188">
        <v>0</v>
      </c>
      <c r="W363" s="188">
        <v>0</v>
      </c>
      <c r="X363" s="188">
        <v>0</v>
      </c>
      <c r="Y363" s="188">
        <v>0</v>
      </c>
      <c r="Z363" s="188">
        <v>0</v>
      </c>
      <c r="AA363" s="188">
        <v>0</v>
      </c>
      <c r="AB363" s="188">
        <v>0</v>
      </c>
      <c r="AC363" s="188">
        <v>0</v>
      </c>
      <c r="AD363" s="188">
        <v>0</v>
      </c>
      <c r="AE363" s="188">
        <v>0</v>
      </c>
      <c r="AF363" s="188">
        <v>0</v>
      </c>
      <c r="AG363" s="188">
        <v>0</v>
      </c>
      <c r="AH363" s="188">
        <v>0</v>
      </c>
      <c r="AI363" s="188">
        <v>0</v>
      </c>
      <c r="AJ363" s="188">
        <v>0</v>
      </c>
    </row>
    <row r="364" spans="1:36" x14ac:dyDescent="0.35">
      <c r="A364" t="s">
        <v>1902</v>
      </c>
      <c r="B364" s="188" t="s">
        <v>1342</v>
      </c>
      <c r="C364" t="s">
        <v>1348</v>
      </c>
      <c r="D364" s="188">
        <v>100</v>
      </c>
      <c r="E364" t="s">
        <v>1854</v>
      </c>
      <c r="F364" s="188" t="s">
        <v>1900</v>
      </c>
      <c r="G364" s="188" t="s">
        <v>1901</v>
      </c>
      <c r="H364" s="188">
        <v>0</v>
      </c>
      <c r="I364" s="188">
        <v>0</v>
      </c>
      <c r="J364" s="188">
        <v>0</v>
      </c>
      <c r="K364" s="188">
        <v>0</v>
      </c>
      <c r="L364" s="188">
        <v>0</v>
      </c>
      <c r="M364" s="188">
        <v>0</v>
      </c>
      <c r="N364" s="188">
        <v>0</v>
      </c>
      <c r="O364" s="188">
        <v>0</v>
      </c>
      <c r="P364" s="188">
        <v>0</v>
      </c>
      <c r="Q364" s="188">
        <v>0</v>
      </c>
      <c r="R364" s="188">
        <v>0</v>
      </c>
      <c r="S364" s="188">
        <v>0</v>
      </c>
      <c r="T364" s="188">
        <v>0</v>
      </c>
      <c r="U364" s="188">
        <v>0</v>
      </c>
      <c r="V364" s="188">
        <v>0</v>
      </c>
      <c r="W364" s="188">
        <v>0</v>
      </c>
      <c r="X364" s="188">
        <v>0</v>
      </c>
      <c r="Y364" s="188">
        <v>0</v>
      </c>
      <c r="Z364" s="188">
        <v>0</v>
      </c>
      <c r="AA364" s="188">
        <v>0</v>
      </c>
      <c r="AB364" s="188">
        <v>0</v>
      </c>
      <c r="AC364" s="188">
        <v>0</v>
      </c>
      <c r="AD364" s="188">
        <v>0</v>
      </c>
      <c r="AE364" s="188">
        <v>0</v>
      </c>
      <c r="AF364" s="188">
        <v>0</v>
      </c>
      <c r="AG364" s="188">
        <v>0</v>
      </c>
      <c r="AH364" s="188">
        <v>0</v>
      </c>
      <c r="AI364" s="188">
        <v>0</v>
      </c>
      <c r="AJ364" s="188">
        <v>0</v>
      </c>
    </row>
    <row r="365" spans="1:36" x14ac:dyDescent="0.35">
      <c r="A365" t="s">
        <v>1903</v>
      </c>
      <c r="B365" s="188" t="s">
        <v>1342</v>
      </c>
      <c r="C365" t="s">
        <v>1350</v>
      </c>
      <c r="D365" s="188">
        <v>100</v>
      </c>
      <c r="E365" t="s">
        <v>1854</v>
      </c>
      <c r="F365" s="188" t="s">
        <v>1900</v>
      </c>
      <c r="G365" s="188" t="s">
        <v>1901</v>
      </c>
      <c r="H365" s="188">
        <v>0</v>
      </c>
      <c r="I365" s="188">
        <v>0</v>
      </c>
      <c r="J365" s="188">
        <v>0</v>
      </c>
      <c r="K365" s="188">
        <v>0</v>
      </c>
      <c r="L365" s="188">
        <v>0</v>
      </c>
      <c r="M365" s="188">
        <v>0</v>
      </c>
      <c r="N365" s="188">
        <v>0</v>
      </c>
      <c r="O365" s="188">
        <v>0</v>
      </c>
      <c r="P365" s="188">
        <v>0</v>
      </c>
      <c r="Q365" s="188">
        <v>0</v>
      </c>
      <c r="R365" s="188">
        <v>0</v>
      </c>
      <c r="S365" s="188">
        <v>0</v>
      </c>
      <c r="T365" s="188">
        <v>0</v>
      </c>
      <c r="U365" s="188">
        <v>0</v>
      </c>
      <c r="V365" s="188">
        <v>0</v>
      </c>
      <c r="W365" s="188">
        <v>0</v>
      </c>
      <c r="X365" s="188">
        <v>0</v>
      </c>
      <c r="Y365" s="188">
        <v>0</v>
      </c>
      <c r="Z365" s="188">
        <v>0</v>
      </c>
      <c r="AA365" s="188">
        <v>0</v>
      </c>
      <c r="AB365" s="188">
        <v>0</v>
      </c>
      <c r="AC365" s="188">
        <v>0</v>
      </c>
      <c r="AD365" s="188">
        <v>0</v>
      </c>
      <c r="AE365" s="188">
        <v>0</v>
      </c>
      <c r="AF365" s="188">
        <v>0</v>
      </c>
      <c r="AG365" s="188">
        <v>0</v>
      </c>
      <c r="AH365" s="188">
        <v>0</v>
      </c>
      <c r="AI365" s="188">
        <v>0</v>
      </c>
      <c r="AJ365" s="188">
        <v>0</v>
      </c>
    </row>
    <row r="366" spans="1:36" x14ac:dyDescent="0.35">
      <c r="A366" t="s">
        <v>1904</v>
      </c>
      <c r="B366" s="188" t="s">
        <v>1342</v>
      </c>
      <c r="C366" t="s">
        <v>1343</v>
      </c>
      <c r="D366" s="188">
        <v>100</v>
      </c>
      <c r="E366" t="s">
        <v>1854</v>
      </c>
      <c r="F366" s="188" t="s">
        <v>1905</v>
      </c>
      <c r="G366" s="188" t="s">
        <v>1906</v>
      </c>
      <c r="H366" s="188">
        <v>0</v>
      </c>
      <c r="I366" s="188">
        <v>0</v>
      </c>
      <c r="J366" s="188">
        <v>0</v>
      </c>
      <c r="K366" s="188">
        <v>0</v>
      </c>
      <c r="L366" s="188">
        <v>0</v>
      </c>
      <c r="M366" s="188">
        <v>0</v>
      </c>
      <c r="N366" s="188">
        <v>0</v>
      </c>
      <c r="O366" s="188">
        <v>0</v>
      </c>
      <c r="P366" s="188">
        <v>0</v>
      </c>
      <c r="Q366" s="188">
        <v>0</v>
      </c>
      <c r="R366" s="188">
        <v>0</v>
      </c>
      <c r="S366" s="188">
        <v>0</v>
      </c>
      <c r="T366" s="188">
        <v>0</v>
      </c>
      <c r="U366" s="188">
        <v>0</v>
      </c>
      <c r="V366" s="188">
        <v>0</v>
      </c>
      <c r="W366" s="188">
        <v>0</v>
      </c>
      <c r="X366" s="188">
        <v>0</v>
      </c>
      <c r="Y366" s="188">
        <v>0</v>
      </c>
      <c r="Z366" s="188">
        <v>0</v>
      </c>
      <c r="AA366" s="188">
        <v>0</v>
      </c>
      <c r="AB366" s="188">
        <v>0</v>
      </c>
      <c r="AC366" s="188">
        <v>0</v>
      </c>
      <c r="AD366" s="188">
        <v>0</v>
      </c>
      <c r="AE366" s="188">
        <v>0</v>
      </c>
      <c r="AF366" s="188">
        <v>0</v>
      </c>
      <c r="AG366" s="188">
        <v>0</v>
      </c>
      <c r="AH366" s="188">
        <v>0</v>
      </c>
      <c r="AI366" s="188">
        <v>0</v>
      </c>
      <c r="AJ366" s="188">
        <v>0</v>
      </c>
    </row>
    <row r="367" spans="1:36" x14ac:dyDescent="0.35">
      <c r="A367" t="s">
        <v>1907</v>
      </c>
      <c r="B367" s="188" t="s">
        <v>1342</v>
      </c>
      <c r="C367" t="s">
        <v>1348</v>
      </c>
      <c r="D367" s="188">
        <v>100</v>
      </c>
      <c r="E367" t="s">
        <v>1854</v>
      </c>
      <c r="F367" s="188" t="s">
        <v>1905</v>
      </c>
      <c r="G367" s="188" t="s">
        <v>1906</v>
      </c>
      <c r="H367" s="188">
        <v>0</v>
      </c>
      <c r="I367" s="188">
        <v>0</v>
      </c>
      <c r="J367" s="188">
        <v>0</v>
      </c>
      <c r="K367" s="188">
        <v>0</v>
      </c>
      <c r="L367" s="188">
        <v>0</v>
      </c>
      <c r="M367" s="188">
        <v>0</v>
      </c>
      <c r="N367" s="188">
        <v>0</v>
      </c>
      <c r="O367" s="188">
        <v>0</v>
      </c>
      <c r="P367" s="188">
        <v>0</v>
      </c>
      <c r="Q367" s="188">
        <v>0</v>
      </c>
      <c r="R367" s="188">
        <v>0</v>
      </c>
      <c r="S367" s="188">
        <v>0</v>
      </c>
      <c r="T367" s="188">
        <v>0</v>
      </c>
      <c r="U367" s="188">
        <v>0</v>
      </c>
      <c r="V367" s="188">
        <v>0</v>
      </c>
      <c r="W367" s="188">
        <v>0</v>
      </c>
      <c r="X367" s="188">
        <v>0</v>
      </c>
      <c r="Y367" s="188">
        <v>0</v>
      </c>
      <c r="Z367" s="188">
        <v>0</v>
      </c>
      <c r="AA367" s="188">
        <v>0</v>
      </c>
      <c r="AB367" s="188">
        <v>0</v>
      </c>
      <c r="AC367" s="188">
        <v>0</v>
      </c>
      <c r="AD367" s="188">
        <v>0</v>
      </c>
      <c r="AE367" s="188">
        <v>0</v>
      </c>
      <c r="AF367" s="188">
        <v>0</v>
      </c>
      <c r="AG367" s="188">
        <v>0</v>
      </c>
      <c r="AH367" s="188">
        <v>0</v>
      </c>
      <c r="AI367" s="188">
        <v>0</v>
      </c>
      <c r="AJ367" s="188">
        <v>0</v>
      </c>
    </row>
    <row r="368" spans="1:36" x14ac:dyDescent="0.35">
      <c r="A368" t="s">
        <v>1908</v>
      </c>
      <c r="B368" s="188" t="s">
        <v>1342</v>
      </c>
      <c r="C368" t="s">
        <v>1350</v>
      </c>
      <c r="D368" s="188">
        <v>100</v>
      </c>
      <c r="E368" t="s">
        <v>1854</v>
      </c>
      <c r="F368" s="188" t="s">
        <v>1905</v>
      </c>
      <c r="G368" s="188" t="s">
        <v>1906</v>
      </c>
      <c r="H368" s="188">
        <v>0</v>
      </c>
      <c r="I368" s="188">
        <v>0</v>
      </c>
      <c r="J368" s="188">
        <v>0</v>
      </c>
      <c r="K368" s="188">
        <v>0</v>
      </c>
      <c r="L368" s="188">
        <v>0</v>
      </c>
      <c r="M368" s="188">
        <v>0</v>
      </c>
      <c r="N368" s="188">
        <v>0</v>
      </c>
      <c r="O368" s="188">
        <v>0</v>
      </c>
      <c r="P368" s="188">
        <v>0</v>
      </c>
      <c r="Q368" s="188">
        <v>0</v>
      </c>
      <c r="R368" s="188">
        <v>0</v>
      </c>
      <c r="S368" s="188">
        <v>0</v>
      </c>
      <c r="T368" s="188">
        <v>0</v>
      </c>
      <c r="U368" s="188">
        <v>0</v>
      </c>
      <c r="V368" s="188">
        <v>0</v>
      </c>
      <c r="W368" s="188">
        <v>0</v>
      </c>
      <c r="X368" s="188">
        <v>0</v>
      </c>
      <c r="Y368" s="188">
        <v>0</v>
      </c>
      <c r="Z368" s="188">
        <v>0</v>
      </c>
      <c r="AA368" s="188">
        <v>0</v>
      </c>
      <c r="AB368" s="188">
        <v>0</v>
      </c>
      <c r="AC368" s="188">
        <v>0</v>
      </c>
      <c r="AD368" s="188">
        <v>0</v>
      </c>
      <c r="AE368" s="188">
        <v>0</v>
      </c>
      <c r="AF368" s="188">
        <v>0</v>
      </c>
      <c r="AG368" s="188">
        <v>0</v>
      </c>
      <c r="AH368" s="188">
        <v>0</v>
      </c>
      <c r="AI368" s="188">
        <v>0</v>
      </c>
      <c r="AJ368" s="188">
        <v>0</v>
      </c>
    </row>
    <row r="369" spans="1:36" x14ac:dyDescent="0.35">
      <c r="A369" t="s">
        <v>1909</v>
      </c>
      <c r="B369" s="188" t="s">
        <v>1342</v>
      </c>
      <c r="C369" t="s">
        <v>1343</v>
      </c>
      <c r="D369" s="188">
        <v>100</v>
      </c>
      <c r="E369" t="s">
        <v>1854</v>
      </c>
      <c r="F369" s="188" t="s">
        <v>1910</v>
      </c>
      <c r="G369" s="188" t="s">
        <v>1911</v>
      </c>
      <c r="H369" s="188">
        <v>0</v>
      </c>
      <c r="I369" s="188">
        <v>0</v>
      </c>
      <c r="J369" s="188">
        <v>0</v>
      </c>
      <c r="K369" s="188">
        <v>0</v>
      </c>
      <c r="L369" s="188">
        <v>0</v>
      </c>
      <c r="M369" s="188">
        <v>0</v>
      </c>
      <c r="N369" s="188">
        <v>0</v>
      </c>
      <c r="O369" s="188">
        <v>0</v>
      </c>
      <c r="P369" s="188">
        <v>0</v>
      </c>
      <c r="Q369" s="188">
        <v>0</v>
      </c>
      <c r="R369" s="188">
        <v>0</v>
      </c>
      <c r="S369" s="188">
        <v>0</v>
      </c>
      <c r="T369" s="188">
        <v>0</v>
      </c>
      <c r="U369" s="188">
        <v>0</v>
      </c>
      <c r="V369" s="188">
        <v>0</v>
      </c>
      <c r="W369" s="188">
        <v>0</v>
      </c>
      <c r="X369" s="188">
        <v>0</v>
      </c>
      <c r="Y369" s="188">
        <v>0</v>
      </c>
      <c r="Z369" s="188">
        <v>0</v>
      </c>
      <c r="AA369" s="188">
        <v>0</v>
      </c>
      <c r="AB369" s="188">
        <v>0</v>
      </c>
      <c r="AC369" s="188">
        <v>0</v>
      </c>
      <c r="AD369" s="188">
        <v>0</v>
      </c>
      <c r="AE369" s="188">
        <v>0</v>
      </c>
      <c r="AF369" s="188">
        <v>0</v>
      </c>
      <c r="AG369" s="188">
        <v>0</v>
      </c>
      <c r="AH369" s="188">
        <v>0</v>
      </c>
      <c r="AI369" s="188">
        <v>0</v>
      </c>
      <c r="AJ369" s="188">
        <v>0</v>
      </c>
    </row>
    <row r="370" spans="1:36" x14ac:dyDescent="0.35">
      <c r="A370" t="s">
        <v>1912</v>
      </c>
      <c r="B370" s="188" t="s">
        <v>1342</v>
      </c>
      <c r="C370" t="s">
        <v>1348</v>
      </c>
      <c r="D370" s="188">
        <v>100</v>
      </c>
      <c r="E370" t="s">
        <v>1854</v>
      </c>
      <c r="F370" s="188" t="s">
        <v>1910</v>
      </c>
      <c r="G370" s="188" t="s">
        <v>1911</v>
      </c>
      <c r="H370" s="188">
        <v>0</v>
      </c>
      <c r="I370" s="188">
        <v>0</v>
      </c>
      <c r="J370" s="188">
        <v>0</v>
      </c>
      <c r="K370" s="188">
        <v>0</v>
      </c>
      <c r="L370" s="188">
        <v>0</v>
      </c>
      <c r="M370" s="188">
        <v>0</v>
      </c>
      <c r="N370" s="188">
        <v>0</v>
      </c>
      <c r="O370" s="188">
        <v>0</v>
      </c>
      <c r="P370" s="188">
        <v>0</v>
      </c>
      <c r="Q370" s="188">
        <v>0</v>
      </c>
      <c r="R370" s="188">
        <v>0</v>
      </c>
      <c r="S370" s="188">
        <v>0</v>
      </c>
      <c r="T370" s="188">
        <v>0</v>
      </c>
      <c r="U370" s="188">
        <v>0</v>
      </c>
      <c r="V370" s="188">
        <v>0</v>
      </c>
      <c r="W370" s="188">
        <v>0</v>
      </c>
      <c r="X370" s="188">
        <v>0</v>
      </c>
      <c r="Y370" s="188">
        <v>0</v>
      </c>
      <c r="Z370" s="188">
        <v>0</v>
      </c>
      <c r="AA370" s="188">
        <v>0</v>
      </c>
      <c r="AB370" s="188">
        <v>0</v>
      </c>
      <c r="AC370" s="188">
        <v>0</v>
      </c>
      <c r="AD370" s="188">
        <v>0</v>
      </c>
      <c r="AE370" s="188">
        <v>0</v>
      </c>
      <c r="AF370" s="188">
        <v>0</v>
      </c>
      <c r="AG370" s="188">
        <v>0</v>
      </c>
      <c r="AH370" s="188">
        <v>0</v>
      </c>
      <c r="AI370" s="188">
        <v>0</v>
      </c>
      <c r="AJ370" s="188">
        <v>0</v>
      </c>
    </row>
    <row r="371" spans="1:36" x14ac:dyDescent="0.35">
      <c r="A371" t="s">
        <v>1913</v>
      </c>
      <c r="B371" s="188" t="s">
        <v>1342</v>
      </c>
      <c r="C371" t="s">
        <v>1350</v>
      </c>
      <c r="D371" s="188">
        <v>100</v>
      </c>
      <c r="E371" t="s">
        <v>1854</v>
      </c>
      <c r="F371" s="188" t="s">
        <v>1910</v>
      </c>
      <c r="G371" s="188" t="s">
        <v>1911</v>
      </c>
      <c r="H371" s="188">
        <v>0</v>
      </c>
      <c r="I371" s="188">
        <v>0</v>
      </c>
      <c r="J371" s="188">
        <v>0</v>
      </c>
      <c r="K371" s="188">
        <v>0</v>
      </c>
      <c r="L371" s="188">
        <v>0</v>
      </c>
      <c r="M371" s="188">
        <v>0</v>
      </c>
      <c r="N371" s="188">
        <v>0</v>
      </c>
      <c r="O371" s="188">
        <v>0</v>
      </c>
      <c r="P371" s="188">
        <v>0</v>
      </c>
      <c r="Q371" s="188">
        <v>0</v>
      </c>
      <c r="R371" s="188">
        <v>0</v>
      </c>
      <c r="S371" s="188">
        <v>0</v>
      </c>
      <c r="T371" s="188">
        <v>0</v>
      </c>
      <c r="U371" s="188">
        <v>0</v>
      </c>
      <c r="V371" s="188">
        <v>0</v>
      </c>
      <c r="W371" s="188">
        <v>0</v>
      </c>
      <c r="X371" s="188">
        <v>0</v>
      </c>
      <c r="Y371" s="188">
        <v>0</v>
      </c>
      <c r="Z371" s="188">
        <v>0</v>
      </c>
      <c r="AA371" s="188">
        <v>0</v>
      </c>
      <c r="AB371" s="188">
        <v>0</v>
      </c>
      <c r="AC371" s="188">
        <v>0</v>
      </c>
      <c r="AD371" s="188">
        <v>0</v>
      </c>
      <c r="AE371" s="188">
        <v>0</v>
      </c>
      <c r="AF371" s="188">
        <v>0</v>
      </c>
      <c r="AG371" s="188">
        <v>0</v>
      </c>
      <c r="AH371" s="188">
        <v>0</v>
      </c>
      <c r="AI371" s="188">
        <v>0</v>
      </c>
      <c r="AJ371" s="188">
        <v>0</v>
      </c>
    </row>
    <row r="372" spans="1:36" x14ac:dyDescent="0.35">
      <c r="A372" t="s">
        <v>1914</v>
      </c>
      <c r="B372" s="188" t="s">
        <v>1342</v>
      </c>
      <c r="C372" t="s">
        <v>1343</v>
      </c>
      <c r="D372" t="s">
        <v>555</v>
      </c>
      <c r="E372" t="s">
        <v>1915</v>
      </c>
      <c r="F372" t="s">
        <v>1916</v>
      </c>
      <c r="G372" s="175" t="s">
        <v>1917</v>
      </c>
      <c r="H372" s="175">
        <v>0</v>
      </c>
      <c r="I372" s="175">
        <v>0</v>
      </c>
      <c r="J372" s="175">
        <v>0</v>
      </c>
      <c r="K372" s="175">
        <v>0</v>
      </c>
      <c r="L372" s="175">
        <v>0</v>
      </c>
      <c r="M372" s="175">
        <v>0</v>
      </c>
      <c r="N372" s="175">
        <v>0</v>
      </c>
      <c r="O372" s="175">
        <v>0</v>
      </c>
      <c r="P372" s="175">
        <v>0</v>
      </c>
      <c r="Q372" s="175">
        <v>0</v>
      </c>
      <c r="R372" s="175">
        <v>0</v>
      </c>
      <c r="S372" s="175">
        <v>0</v>
      </c>
      <c r="T372" s="175">
        <v>0</v>
      </c>
      <c r="U372" s="175">
        <v>0</v>
      </c>
      <c r="V372" s="175">
        <v>0</v>
      </c>
      <c r="W372" s="175">
        <v>0</v>
      </c>
      <c r="X372" s="175">
        <v>0</v>
      </c>
      <c r="Y372" s="175">
        <v>0</v>
      </c>
      <c r="Z372" s="175">
        <v>0</v>
      </c>
      <c r="AA372" s="175">
        <v>0</v>
      </c>
      <c r="AB372" s="175">
        <v>0</v>
      </c>
      <c r="AC372" s="175">
        <v>0</v>
      </c>
      <c r="AD372" s="175">
        <v>0</v>
      </c>
      <c r="AE372" s="175">
        <v>0</v>
      </c>
      <c r="AF372" s="175">
        <v>0</v>
      </c>
      <c r="AG372" s="175">
        <v>0</v>
      </c>
      <c r="AH372" s="175">
        <v>0</v>
      </c>
      <c r="AI372" s="175">
        <v>0</v>
      </c>
      <c r="AJ372" s="175">
        <v>0</v>
      </c>
    </row>
    <row r="373" spans="1:36" x14ac:dyDescent="0.35">
      <c r="A373" t="s">
        <v>1918</v>
      </c>
      <c r="B373" s="188" t="s">
        <v>1342</v>
      </c>
      <c r="C373" t="s">
        <v>1348</v>
      </c>
      <c r="D373" t="s">
        <v>555</v>
      </c>
      <c r="E373" t="s">
        <v>1915</v>
      </c>
      <c r="F373" t="s">
        <v>1916</v>
      </c>
      <c r="G373" s="175" t="s">
        <v>1917</v>
      </c>
      <c r="H373" s="175">
        <v>0</v>
      </c>
      <c r="I373" s="175">
        <v>0</v>
      </c>
      <c r="J373" s="175">
        <v>0</v>
      </c>
      <c r="K373" s="175">
        <v>0</v>
      </c>
      <c r="L373" s="175">
        <v>0</v>
      </c>
      <c r="M373" s="175">
        <v>0</v>
      </c>
      <c r="N373" s="175">
        <v>0</v>
      </c>
      <c r="O373" s="175">
        <v>0</v>
      </c>
      <c r="P373" s="175">
        <v>0</v>
      </c>
      <c r="Q373" s="175">
        <v>0</v>
      </c>
      <c r="R373" s="175">
        <v>0</v>
      </c>
      <c r="S373" s="175">
        <v>0</v>
      </c>
      <c r="T373" s="175">
        <v>0</v>
      </c>
      <c r="U373" s="175">
        <v>0</v>
      </c>
      <c r="V373" s="175">
        <v>0</v>
      </c>
      <c r="W373" s="175">
        <v>0</v>
      </c>
      <c r="X373" s="175">
        <v>0</v>
      </c>
      <c r="Y373" s="175">
        <v>0</v>
      </c>
      <c r="Z373" s="175">
        <v>0</v>
      </c>
      <c r="AA373" s="175">
        <v>0</v>
      </c>
      <c r="AB373" s="175">
        <v>0</v>
      </c>
      <c r="AC373" s="175">
        <v>0</v>
      </c>
      <c r="AD373" s="175">
        <v>0</v>
      </c>
      <c r="AE373" s="175">
        <v>0</v>
      </c>
      <c r="AF373" s="175">
        <v>0</v>
      </c>
      <c r="AG373" s="175">
        <v>0</v>
      </c>
      <c r="AH373" s="175">
        <v>0</v>
      </c>
      <c r="AI373" s="175">
        <v>0</v>
      </c>
      <c r="AJ373" s="175">
        <v>0</v>
      </c>
    </row>
    <row r="374" spans="1:36" x14ac:dyDescent="0.35">
      <c r="A374" t="s">
        <v>1919</v>
      </c>
      <c r="B374" s="188" t="s">
        <v>1342</v>
      </c>
      <c r="C374" t="s">
        <v>1350</v>
      </c>
      <c r="D374" t="s">
        <v>555</v>
      </c>
      <c r="E374" t="s">
        <v>1915</v>
      </c>
      <c r="F374" t="s">
        <v>1916</v>
      </c>
      <c r="G374" s="175" t="s">
        <v>1917</v>
      </c>
      <c r="H374" s="175">
        <v>0</v>
      </c>
      <c r="I374" s="175">
        <v>0</v>
      </c>
      <c r="J374" s="175">
        <v>0</v>
      </c>
      <c r="K374" s="175">
        <v>0</v>
      </c>
      <c r="L374" s="175">
        <v>0</v>
      </c>
      <c r="M374" s="175">
        <v>0</v>
      </c>
      <c r="N374" s="175">
        <v>0</v>
      </c>
      <c r="O374" s="175">
        <v>0</v>
      </c>
      <c r="P374" s="175">
        <v>0</v>
      </c>
      <c r="Q374" s="175">
        <v>0</v>
      </c>
      <c r="R374" s="175">
        <v>0</v>
      </c>
      <c r="S374" s="175">
        <v>0</v>
      </c>
      <c r="T374" s="175">
        <v>0</v>
      </c>
      <c r="U374" s="175">
        <v>0</v>
      </c>
      <c r="V374" s="175">
        <v>0</v>
      </c>
      <c r="W374" s="175">
        <v>0</v>
      </c>
      <c r="X374" s="175">
        <v>0</v>
      </c>
      <c r="Y374" s="175">
        <v>0</v>
      </c>
      <c r="Z374" s="175">
        <v>0</v>
      </c>
      <c r="AA374" s="175">
        <v>0</v>
      </c>
      <c r="AB374" s="175">
        <v>0</v>
      </c>
      <c r="AC374" s="175">
        <v>0</v>
      </c>
      <c r="AD374" s="175">
        <v>0</v>
      </c>
      <c r="AE374" s="175">
        <v>0</v>
      </c>
      <c r="AF374" s="175">
        <v>0</v>
      </c>
      <c r="AG374" s="175">
        <v>0</v>
      </c>
      <c r="AH374" s="175">
        <v>0</v>
      </c>
      <c r="AI374" s="175">
        <v>0</v>
      </c>
      <c r="AJ374" s="175">
        <v>0</v>
      </c>
    </row>
    <row r="375" spans="1:36" x14ac:dyDescent="0.35">
      <c r="A375" t="s">
        <v>1920</v>
      </c>
      <c r="B375" s="188" t="s">
        <v>1342</v>
      </c>
      <c r="C375" t="s">
        <v>1343</v>
      </c>
      <c r="D375" t="s">
        <v>555</v>
      </c>
      <c r="E375" t="s">
        <v>1915</v>
      </c>
      <c r="F375" t="s">
        <v>1829</v>
      </c>
      <c r="G375" s="175" t="s">
        <v>1921</v>
      </c>
      <c r="H375" s="175">
        <v>0</v>
      </c>
      <c r="I375" s="175">
        <v>0</v>
      </c>
      <c r="J375" s="175">
        <v>0</v>
      </c>
      <c r="K375" s="175">
        <v>0</v>
      </c>
      <c r="L375" s="175">
        <v>0</v>
      </c>
      <c r="M375" s="175">
        <v>0</v>
      </c>
      <c r="N375" s="175">
        <v>0</v>
      </c>
      <c r="O375" s="175">
        <v>0</v>
      </c>
      <c r="P375" s="175">
        <v>0</v>
      </c>
      <c r="Q375" s="175">
        <v>0</v>
      </c>
      <c r="R375" s="175">
        <v>0</v>
      </c>
      <c r="S375" s="175">
        <v>0</v>
      </c>
      <c r="T375" s="175">
        <v>0</v>
      </c>
      <c r="U375" s="175">
        <v>0</v>
      </c>
      <c r="V375" s="175">
        <v>0</v>
      </c>
      <c r="W375" s="175">
        <v>0</v>
      </c>
      <c r="X375" s="175">
        <v>0</v>
      </c>
      <c r="Y375" s="175">
        <v>0</v>
      </c>
      <c r="Z375" s="175">
        <v>0</v>
      </c>
      <c r="AA375" s="175">
        <v>0</v>
      </c>
      <c r="AB375" s="175">
        <v>0</v>
      </c>
      <c r="AC375" s="175">
        <v>0</v>
      </c>
      <c r="AD375" s="175">
        <v>0</v>
      </c>
      <c r="AE375" s="175">
        <v>0</v>
      </c>
      <c r="AF375" s="175">
        <v>0</v>
      </c>
      <c r="AG375" s="175">
        <v>0</v>
      </c>
      <c r="AH375" s="175">
        <v>0</v>
      </c>
      <c r="AI375" s="175">
        <v>0</v>
      </c>
      <c r="AJ375" s="175">
        <v>0</v>
      </c>
    </row>
    <row r="376" spans="1:36" x14ac:dyDescent="0.35">
      <c r="A376" t="s">
        <v>1922</v>
      </c>
      <c r="B376" s="188" t="s">
        <v>1342</v>
      </c>
      <c r="C376" t="s">
        <v>1348</v>
      </c>
      <c r="D376" t="s">
        <v>555</v>
      </c>
      <c r="E376" t="s">
        <v>1915</v>
      </c>
      <c r="F376" t="s">
        <v>1829</v>
      </c>
      <c r="G376" s="175" t="s">
        <v>1921</v>
      </c>
      <c r="H376" s="175">
        <v>0</v>
      </c>
      <c r="I376" s="175">
        <v>0</v>
      </c>
      <c r="J376" s="175">
        <v>0</v>
      </c>
      <c r="K376" s="175">
        <v>0</v>
      </c>
      <c r="L376" s="175">
        <v>0</v>
      </c>
      <c r="M376" s="175">
        <v>0</v>
      </c>
      <c r="N376" s="175">
        <v>0</v>
      </c>
      <c r="O376" s="175">
        <v>0</v>
      </c>
      <c r="P376" s="175">
        <v>0</v>
      </c>
      <c r="Q376" s="175">
        <v>0</v>
      </c>
      <c r="R376" s="175">
        <v>0</v>
      </c>
      <c r="S376" s="175">
        <v>0</v>
      </c>
      <c r="T376" s="175">
        <v>0</v>
      </c>
      <c r="U376" s="175">
        <v>0</v>
      </c>
      <c r="V376" s="175">
        <v>0</v>
      </c>
      <c r="W376" s="175">
        <v>0</v>
      </c>
      <c r="X376" s="175">
        <v>0</v>
      </c>
      <c r="Y376" s="175">
        <v>0</v>
      </c>
      <c r="Z376" s="175">
        <v>0</v>
      </c>
      <c r="AA376" s="175">
        <v>0</v>
      </c>
      <c r="AB376" s="175">
        <v>0</v>
      </c>
      <c r="AC376" s="175">
        <v>0</v>
      </c>
      <c r="AD376" s="175">
        <v>0</v>
      </c>
      <c r="AE376" s="175">
        <v>0</v>
      </c>
      <c r="AF376" s="175">
        <v>0</v>
      </c>
      <c r="AG376" s="175">
        <v>0</v>
      </c>
      <c r="AH376" s="175">
        <v>0</v>
      </c>
      <c r="AI376" s="175">
        <v>0</v>
      </c>
      <c r="AJ376" s="175">
        <v>0</v>
      </c>
    </row>
    <row r="377" spans="1:36" x14ac:dyDescent="0.35">
      <c r="A377" t="s">
        <v>1923</v>
      </c>
      <c r="B377" s="188" t="s">
        <v>1342</v>
      </c>
      <c r="C377" t="s">
        <v>1350</v>
      </c>
      <c r="D377" t="s">
        <v>555</v>
      </c>
      <c r="E377" t="s">
        <v>1915</v>
      </c>
      <c r="F377" t="s">
        <v>1829</v>
      </c>
      <c r="G377" s="175" t="s">
        <v>1921</v>
      </c>
      <c r="H377" s="175">
        <v>0</v>
      </c>
      <c r="I377" s="175">
        <v>0</v>
      </c>
      <c r="J377" s="175">
        <v>0</v>
      </c>
      <c r="K377" s="175">
        <v>0</v>
      </c>
      <c r="L377" s="175">
        <v>0</v>
      </c>
      <c r="M377" s="175">
        <v>0</v>
      </c>
      <c r="N377" s="175">
        <v>0</v>
      </c>
      <c r="O377" s="175">
        <v>0</v>
      </c>
      <c r="P377" s="175">
        <v>0</v>
      </c>
      <c r="Q377" s="175">
        <v>0</v>
      </c>
      <c r="R377" s="175">
        <v>0</v>
      </c>
      <c r="S377" s="175">
        <v>0</v>
      </c>
      <c r="T377" s="175">
        <v>0</v>
      </c>
      <c r="U377" s="175">
        <v>0</v>
      </c>
      <c r="V377" s="175">
        <v>0</v>
      </c>
      <c r="W377" s="175">
        <v>0</v>
      </c>
      <c r="X377" s="175">
        <v>0</v>
      </c>
      <c r="Y377" s="175">
        <v>0</v>
      </c>
      <c r="Z377" s="175">
        <v>0</v>
      </c>
      <c r="AA377" s="175">
        <v>0</v>
      </c>
      <c r="AB377" s="175">
        <v>0</v>
      </c>
      <c r="AC377" s="175">
        <v>0</v>
      </c>
      <c r="AD377" s="175">
        <v>0</v>
      </c>
      <c r="AE377" s="175">
        <v>0</v>
      </c>
      <c r="AF377" s="175">
        <v>0</v>
      </c>
      <c r="AG377" s="175">
        <v>0</v>
      </c>
      <c r="AH377" s="175">
        <v>0</v>
      </c>
      <c r="AI377" s="175">
        <v>0</v>
      </c>
      <c r="AJ377" s="175">
        <v>0</v>
      </c>
    </row>
    <row r="378" spans="1:36" x14ac:dyDescent="0.35">
      <c r="A378" t="s">
        <v>1924</v>
      </c>
      <c r="B378" s="188" t="s">
        <v>1342</v>
      </c>
      <c r="C378" t="s">
        <v>1343</v>
      </c>
      <c r="D378" t="s">
        <v>555</v>
      </c>
      <c r="E378" t="s">
        <v>1915</v>
      </c>
      <c r="F378" t="s">
        <v>1834</v>
      </c>
      <c r="G378" s="175" t="s">
        <v>1925</v>
      </c>
      <c r="H378" s="175">
        <v>0</v>
      </c>
      <c r="I378" s="175">
        <v>0</v>
      </c>
      <c r="J378" s="175">
        <v>0</v>
      </c>
      <c r="K378" s="175">
        <v>0</v>
      </c>
      <c r="L378" s="175">
        <v>0</v>
      </c>
      <c r="M378" s="175">
        <v>0</v>
      </c>
      <c r="N378" s="175">
        <v>0</v>
      </c>
      <c r="O378" s="175">
        <v>0</v>
      </c>
      <c r="P378" s="175">
        <v>0</v>
      </c>
      <c r="Q378" s="175">
        <v>0</v>
      </c>
      <c r="R378" s="175">
        <v>0</v>
      </c>
      <c r="S378" s="175">
        <v>0</v>
      </c>
      <c r="T378" s="175">
        <v>0</v>
      </c>
      <c r="U378" s="175">
        <v>0</v>
      </c>
      <c r="V378" s="175">
        <v>0</v>
      </c>
      <c r="W378" s="175">
        <v>0</v>
      </c>
      <c r="X378" s="175">
        <v>0</v>
      </c>
      <c r="Y378" s="175">
        <v>0</v>
      </c>
      <c r="Z378" s="175">
        <v>0</v>
      </c>
      <c r="AA378" s="175">
        <v>0</v>
      </c>
      <c r="AB378" s="175">
        <v>0</v>
      </c>
      <c r="AC378" s="175">
        <v>0</v>
      </c>
      <c r="AD378" s="175">
        <v>0</v>
      </c>
      <c r="AE378" s="175">
        <v>0</v>
      </c>
      <c r="AF378" s="175">
        <v>0</v>
      </c>
      <c r="AG378" s="175">
        <v>0</v>
      </c>
      <c r="AH378" s="175">
        <v>0</v>
      </c>
      <c r="AI378" s="175">
        <v>0</v>
      </c>
      <c r="AJ378" s="175">
        <v>0</v>
      </c>
    </row>
    <row r="379" spans="1:36" x14ac:dyDescent="0.35">
      <c r="A379" t="s">
        <v>1926</v>
      </c>
      <c r="B379" s="188" t="s">
        <v>1342</v>
      </c>
      <c r="C379" t="s">
        <v>1348</v>
      </c>
      <c r="D379" t="s">
        <v>555</v>
      </c>
      <c r="E379" t="s">
        <v>1915</v>
      </c>
      <c r="F379" t="s">
        <v>1834</v>
      </c>
      <c r="G379" s="175" t="s">
        <v>1925</v>
      </c>
      <c r="H379" s="175">
        <v>0</v>
      </c>
      <c r="I379" s="175">
        <v>0</v>
      </c>
      <c r="J379" s="175">
        <v>0</v>
      </c>
      <c r="K379" s="175">
        <v>0</v>
      </c>
      <c r="L379" s="175">
        <v>0</v>
      </c>
      <c r="M379" s="175">
        <v>0</v>
      </c>
      <c r="N379" s="175">
        <v>0</v>
      </c>
      <c r="O379" s="175">
        <v>0</v>
      </c>
      <c r="P379" s="175">
        <v>0</v>
      </c>
      <c r="Q379" s="175">
        <v>0</v>
      </c>
      <c r="R379" s="175">
        <v>0</v>
      </c>
      <c r="S379" s="175">
        <v>0</v>
      </c>
      <c r="T379" s="175">
        <v>0</v>
      </c>
      <c r="U379" s="175">
        <v>0</v>
      </c>
      <c r="V379" s="175">
        <v>0</v>
      </c>
      <c r="W379" s="175">
        <v>0</v>
      </c>
      <c r="X379" s="175">
        <v>0</v>
      </c>
      <c r="Y379" s="175">
        <v>0</v>
      </c>
      <c r="Z379" s="175">
        <v>0</v>
      </c>
      <c r="AA379" s="175">
        <v>0</v>
      </c>
      <c r="AB379" s="175">
        <v>0</v>
      </c>
      <c r="AC379" s="175">
        <v>0</v>
      </c>
      <c r="AD379" s="175">
        <v>0</v>
      </c>
      <c r="AE379" s="175">
        <v>0</v>
      </c>
      <c r="AF379" s="175">
        <v>0</v>
      </c>
      <c r="AG379" s="175">
        <v>0</v>
      </c>
      <c r="AH379" s="175">
        <v>0</v>
      </c>
      <c r="AI379" s="175">
        <v>0</v>
      </c>
      <c r="AJ379" s="175">
        <v>0</v>
      </c>
    </row>
    <row r="380" spans="1:36" x14ac:dyDescent="0.35">
      <c r="A380" t="s">
        <v>1927</v>
      </c>
      <c r="B380" s="188" t="s">
        <v>1342</v>
      </c>
      <c r="C380" t="s">
        <v>1350</v>
      </c>
      <c r="D380" t="s">
        <v>555</v>
      </c>
      <c r="E380" t="s">
        <v>1915</v>
      </c>
      <c r="F380" t="s">
        <v>1834</v>
      </c>
      <c r="G380" s="175" t="s">
        <v>1925</v>
      </c>
      <c r="H380" s="175">
        <v>0</v>
      </c>
      <c r="I380" s="175">
        <v>0</v>
      </c>
      <c r="J380" s="175">
        <v>0</v>
      </c>
      <c r="K380" s="175">
        <v>0</v>
      </c>
      <c r="L380" s="175">
        <v>0</v>
      </c>
      <c r="M380" s="175">
        <v>0</v>
      </c>
      <c r="N380" s="175">
        <v>0</v>
      </c>
      <c r="O380" s="175">
        <v>0</v>
      </c>
      <c r="P380" s="175">
        <v>0</v>
      </c>
      <c r="Q380" s="175">
        <v>0</v>
      </c>
      <c r="R380" s="175">
        <v>0</v>
      </c>
      <c r="S380" s="175">
        <v>0</v>
      </c>
      <c r="T380" s="175">
        <v>0</v>
      </c>
      <c r="U380" s="175">
        <v>0</v>
      </c>
      <c r="V380" s="175">
        <v>0</v>
      </c>
      <c r="W380" s="175">
        <v>0</v>
      </c>
      <c r="X380" s="175">
        <v>0</v>
      </c>
      <c r="Y380" s="175">
        <v>0</v>
      </c>
      <c r="Z380" s="175">
        <v>0</v>
      </c>
      <c r="AA380" s="175">
        <v>0</v>
      </c>
      <c r="AB380" s="175">
        <v>0</v>
      </c>
      <c r="AC380" s="175">
        <v>0</v>
      </c>
      <c r="AD380" s="175">
        <v>0</v>
      </c>
      <c r="AE380" s="175">
        <v>0</v>
      </c>
      <c r="AF380" s="175">
        <v>0</v>
      </c>
      <c r="AG380" s="175">
        <v>0</v>
      </c>
      <c r="AH380" s="175">
        <v>0</v>
      </c>
      <c r="AI380" s="175">
        <v>0</v>
      </c>
      <c r="AJ380" s="175">
        <v>0</v>
      </c>
    </row>
    <row r="381" spans="1:36" x14ac:dyDescent="0.35">
      <c r="A381" t="s">
        <v>1928</v>
      </c>
      <c r="B381" s="188" t="s">
        <v>1342</v>
      </c>
      <c r="C381" t="s">
        <v>1343</v>
      </c>
      <c r="D381" t="s">
        <v>555</v>
      </c>
      <c r="E381" t="s">
        <v>1915</v>
      </c>
      <c r="F381" t="s">
        <v>1839</v>
      </c>
      <c r="G381" s="175" t="s">
        <v>1929</v>
      </c>
      <c r="H381" s="175">
        <v>0</v>
      </c>
      <c r="I381" s="175">
        <v>0</v>
      </c>
      <c r="J381" s="175">
        <v>0</v>
      </c>
      <c r="K381" s="175">
        <v>0</v>
      </c>
      <c r="L381" s="175">
        <v>0</v>
      </c>
      <c r="M381" s="175">
        <v>0</v>
      </c>
      <c r="N381" s="175">
        <v>0</v>
      </c>
      <c r="O381" s="175">
        <v>0</v>
      </c>
      <c r="P381" s="175">
        <v>0</v>
      </c>
      <c r="Q381" s="175">
        <v>0</v>
      </c>
      <c r="R381" s="175">
        <v>0</v>
      </c>
      <c r="S381" s="175">
        <v>0</v>
      </c>
      <c r="T381" s="175">
        <v>0</v>
      </c>
      <c r="U381" s="175">
        <v>0</v>
      </c>
      <c r="V381" s="175">
        <v>0</v>
      </c>
      <c r="W381" s="175">
        <v>0</v>
      </c>
      <c r="X381" s="175">
        <v>0</v>
      </c>
      <c r="Y381" s="175">
        <v>0</v>
      </c>
      <c r="Z381" s="175">
        <v>0</v>
      </c>
      <c r="AA381" s="175">
        <v>0</v>
      </c>
      <c r="AB381" s="175">
        <v>0</v>
      </c>
      <c r="AC381" s="175">
        <v>0</v>
      </c>
      <c r="AD381" s="175">
        <v>0</v>
      </c>
      <c r="AE381" s="175">
        <v>0</v>
      </c>
      <c r="AF381" s="175">
        <v>0</v>
      </c>
      <c r="AG381" s="175">
        <v>0</v>
      </c>
      <c r="AH381" s="175">
        <v>0</v>
      </c>
      <c r="AI381" s="175">
        <v>0</v>
      </c>
      <c r="AJ381" s="175">
        <v>0</v>
      </c>
    </row>
    <row r="382" spans="1:36" x14ac:dyDescent="0.35">
      <c r="A382" t="s">
        <v>1930</v>
      </c>
      <c r="B382" s="188" t="s">
        <v>1342</v>
      </c>
      <c r="C382" t="s">
        <v>1348</v>
      </c>
      <c r="D382" t="s">
        <v>555</v>
      </c>
      <c r="E382" t="s">
        <v>1915</v>
      </c>
      <c r="F382" t="s">
        <v>1839</v>
      </c>
      <c r="G382" s="175" t="s">
        <v>1929</v>
      </c>
      <c r="H382" s="175">
        <v>0</v>
      </c>
      <c r="I382" s="175">
        <v>0</v>
      </c>
      <c r="J382" s="175">
        <v>0</v>
      </c>
      <c r="K382" s="175">
        <v>0</v>
      </c>
      <c r="L382" s="175">
        <v>0</v>
      </c>
      <c r="M382" s="175">
        <v>0</v>
      </c>
      <c r="N382" s="175">
        <v>0</v>
      </c>
      <c r="O382" s="175">
        <v>0</v>
      </c>
      <c r="P382" s="175">
        <v>0</v>
      </c>
      <c r="Q382" s="175">
        <v>0</v>
      </c>
      <c r="R382" s="175">
        <v>0</v>
      </c>
      <c r="S382" s="175">
        <v>0</v>
      </c>
      <c r="T382" s="175">
        <v>0</v>
      </c>
      <c r="U382" s="175">
        <v>0</v>
      </c>
      <c r="V382" s="175">
        <v>0</v>
      </c>
      <c r="W382" s="175">
        <v>0</v>
      </c>
      <c r="X382" s="175">
        <v>0</v>
      </c>
      <c r="Y382" s="175">
        <v>0</v>
      </c>
      <c r="Z382" s="175">
        <v>0</v>
      </c>
      <c r="AA382" s="175">
        <v>0</v>
      </c>
      <c r="AB382" s="175">
        <v>0</v>
      </c>
      <c r="AC382" s="175">
        <v>0</v>
      </c>
      <c r="AD382" s="175">
        <v>0</v>
      </c>
      <c r="AE382" s="175">
        <v>0</v>
      </c>
      <c r="AF382" s="175">
        <v>0</v>
      </c>
      <c r="AG382" s="175">
        <v>0</v>
      </c>
      <c r="AH382" s="175">
        <v>0</v>
      </c>
      <c r="AI382" s="175">
        <v>0</v>
      </c>
      <c r="AJ382" s="175">
        <v>0</v>
      </c>
    </row>
    <row r="383" spans="1:36" x14ac:dyDescent="0.35">
      <c r="A383" t="s">
        <v>1931</v>
      </c>
      <c r="B383" s="188" t="s">
        <v>1342</v>
      </c>
      <c r="C383" t="s">
        <v>1350</v>
      </c>
      <c r="D383" t="s">
        <v>555</v>
      </c>
      <c r="E383" t="s">
        <v>1915</v>
      </c>
      <c r="F383" t="s">
        <v>1839</v>
      </c>
      <c r="G383" s="175" t="s">
        <v>1929</v>
      </c>
      <c r="H383" s="175">
        <v>0</v>
      </c>
      <c r="I383" s="175">
        <v>0</v>
      </c>
      <c r="J383" s="175">
        <v>0</v>
      </c>
      <c r="K383" s="175">
        <v>0</v>
      </c>
      <c r="L383" s="175">
        <v>0</v>
      </c>
      <c r="M383" s="175">
        <v>0</v>
      </c>
      <c r="N383" s="175">
        <v>0</v>
      </c>
      <c r="O383" s="175">
        <v>0</v>
      </c>
      <c r="P383" s="175">
        <v>0</v>
      </c>
      <c r="Q383" s="175">
        <v>0</v>
      </c>
      <c r="R383" s="175">
        <v>0</v>
      </c>
      <c r="S383" s="175">
        <v>0</v>
      </c>
      <c r="T383" s="175">
        <v>0</v>
      </c>
      <c r="U383" s="175">
        <v>0</v>
      </c>
      <c r="V383" s="175">
        <v>0</v>
      </c>
      <c r="W383" s="175">
        <v>0</v>
      </c>
      <c r="X383" s="175">
        <v>0</v>
      </c>
      <c r="Y383" s="175">
        <v>0</v>
      </c>
      <c r="Z383" s="175">
        <v>0</v>
      </c>
      <c r="AA383" s="175">
        <v>0</v>
      </c>
      <c r="AB383" s="175">
        <v>0</v>
      </c>
      <c r="AC383" s="175">
        <v>0</v>
      </c>
      <c r="AD383" s="175">
        <v>0</v>
      </c>
      <c r="AE383" s="175">
        <v>0</v>
      </c>
      <c r="AF383" s="175">
        <v>0</v>
      </c>
      <c r="AG383" s="175">
        <v>0</v>
      </c>
      <c r="AH383" s="175">
        <v>0</v>
      </c>
      <c r="AI383" s="175">
        <v>0</v>
      </c>
      <c r="AJ383" s="175">
        <v>0</v>
      </c>
    </row>
    <row r="384" spans="1:36" x14ac:dyDescent="0.35">
      <c r="A384" t="s">
        <v>1932</v>
      </c>
      <c r="B384" s="188" t="s">
        <v>1342</v>
      </c>
      <c r="C384" t="s">
        <v>1343</v>
      </c>
      <c r="D384" t="s">
        <v>555</v>
      </c>
      <c r="E384" t="s">
        <v>1915</v>
      </c>
      <c r="F384" t="s">
        <v>1844</v>
      </c>
      <c r="G384" s="175" t="s">
        <v>1933</v>
      </c>
      <c r="H384" s="175">
        <v>0</v>
      </c>
      <c r="I384" s="175">
        <v>0</v>
      </c>
      <c r="J384" s="175">
        <v>0</v>
      </c>
      <c r="K384" s="175">
        <v>0</v>
      </c>
      <c r="L384" s="175">
        <v>0</v>
      </c>
      <c r="M384" s="175">
        <v>0</v>
      </c>
      <c r="N384" s="175">
        <v>0</v>
      </c>
      <c r="O384" s="175">
        <v>0</v>
      </c>
      <c r="P384" s="175">
        <v>0</v>
      </c>
      <c r="Q384" s="175">
        <v>0</v>
      </c>
      <c r="R384" s="175">
        <v>0</v>
      </c>
      <c r="S384" s="175">
        <v>0</v>
      </c>
      <c r="T384" s="175">
        <v>0</v>
      </c>
      <c r="U384" s="175">
        <v>0</v>
      </c>
      <c r="V384" s="175">
        <v>0</v>
      </c>
      <c r="W384" s="175">
        <v>0</v>
      </c>
      <c r="X384" s="175">
        <v>0</v>
      </c>
      <c r="Y384" s="175">
        <v>0</v>
      </c>
      <c r="Z384" s="175">
        <v>0</v>
      </c>
      <c r="AA384" s="175">
        <v>0</v>
      </c>
      <c r="AB384" s="175">
        <v>0</v>
      </c>
      <c r="AC384" s="175">
        <v>0</v>
      </c>
      <c r="AD384" s="175">
        <v>0</v>
      </c>
      <c r="AE384" s="175">
        <v>0</v>
      </c>
      <c r="AF384" s="175">
        <v>0</v>
      </c>
      <c r="AG384" s="175">
        <v>0</v>
      </c>
      <c r="AH384" s="175">
        <v>0</v>
      </c>
      <c r="AI384" s="175">
        <v>0</v>
      </c>
      <c r="AJ384" s="175">
        <v>0</v>
      </c>
    </row>
    <row r="385" spans="1:36" x14ac:dyDescent="0.35">
      <c r="A385" t="s">
        <v>1934</v>
      </c>
      <c r="B385" s="188" t="s">
        <v>1342</v>
      </c>
      <c r="C385" t="s">
        <v>1348</v>
      </c>
      <c r="D385" t="s">
        <v>555</v>
      </c>
      <c r="E385" t="s">
        <v>1915</v>
      </c>
      <c r="F385" t="s">
        <v>1844</v>
      </c>
      <c r="G385" s="175" t="s">
        <v>1933</v>
      </c>
      <c r="H385" s="175">
        <v>0</v>
      </c>
      <c r="I385" s="175">
        <v>0</v>
      </c>
      <c r="J385" s="175">
        <v>0</v>
      </c>
      <c r="K385" s="175">
        <v>0</v>
      </c>
      <c r="L385" s="175">
        <v>0</v>
      </c>
      <c r="M385" s="175">
        <v>0</v>
      </c>
      <c r="N385" s="175">
        <v>0</v>
      </c>
      <c r="O385" s="175">
        <v>0</v>
      </c>
      <c r="P385" s="175">
        <v>0</v>
      </c>
      <c r="Q385" s="175">
        <v>0</v>
      </c>
      <c r="R385" s="175">
        <v>0</v>
      </c>
      <c r="S385" s="175">
        <v>0</v>
      </c>
      <c r="T385" s="175">
        <v>0</v>
      </c>
      <c r="U385" s="175">
        <v>0</v>
      </c>
      <c r="V385" s="175">
        <v>0</v>
      </c>
      <c r="W385" s="175">
        <v>0</v>
      </c>
      <c r="X385" s="175">
        <v>0</v>
      </c>
      <c r="Y385" s="175">
        <v>0</v>
      </c>
      <c r="Z385" s="175">
        <v>0</v>
      </c>
      <c r="AA385" s="175">
        <v>0</v>
      </c>
      <c r="AB385" s="175">
        <v>0</v>
      </c>
      <c r="AC385" s="175">
        <v>0</v>
      </c>
      <c r="AD385" s="175">
        <v>0</v>
      </c>
      <c r="AE385" s="175">
        <v>0</v>
      </c>
      <c r="AF385" s="175">
        <v>0</v>
      </c>
      <c r="AG385" s="175">
        <v>0</v>
      </c>
      <c r="AH385" s="175">
        <v>0</v>
      </c>
      <c r="AI385" s="175">
        <v>0</v>
      </c>
      <c r="AJ385" s="175">
        <v>0</v>
      </c>
    </row>
    <row r="386" spans="1:36" x14ac:dyDescent="0.35">
      <c r="A386" t="s">
        <v>1935</v>
      </c>
      <c r="B386" s="188" t="s">
        <v>1342</v>
      </c>
      <c r="C386" t="s">
        <v>1350</v>
      </c>
      <c r="D386" t="s">
        <v>555</v>
      </c>
      <c r="E386" t="s">
        <v>1915</v>
      </c>
      <c r="F386" t="s">
        <v>1844</v>
      </c>
      <c r="G386" s="175" t="s">
        <v>1933</v>
      </c>
      <c r="H386" s="175">
        <v>0</v>
      </c>
      <c r="I386" s="175">
        <v>0</v>
      </c>
      <c r="J386" s="175">
        <v>0</v>
      </c>
      <c r="K386" s="175">
        <v>0</v>
      </c>
      <c r="L386" s="175">
        <v>0</v>
      </c>
      <c r="M386" s="175">
        <v>0</v>
      </c>
      <c r="N386" s="175">
        <v>0</v>
      </c>
      <c r="O386" s="175">
        <v>0</v>
      </c>
      <c r="P386" s="175">
        <v>0</v>
      </c>
      <c r="Q386" s="175">
        <v>0</v>
      </c>
      <c r="R386" s="175">
        <v>0</v>
      </c>
      <c r="S386" s="175">
        <v>0</v>
      </c>
      <c r="T386" s="175">
        <v>0</v>
      </c>
      <c r="U386" s="175">
        <v>0</v>
      </c>
      <c r="V386" s="175">
        <v>0</v>
      </c>
      <c r="W386" s="175">
        <v>0</v>
      </c>
      <c r="X386" s="175">
        <v>0</v>
      </c>
      <c r="Y386" s="175">
        <v>0</v>
      </c>
      <c r="Z386" s="175">
        <v>0</v>
      </c>
      <c r="AA386" s="175">
        <v>0</v>
      </c>
      <c r="AB386" s="175">
        <v>0</v>
      </c>
      <c r="AC386" s="175">
        <v>0</v>
      </c>
      <c r="AD386" s="175">
        <v>0</v>
      </c>
      <c r="AE386" s="175">
        <v>0</v>
      </c>
      <c r="AF386" s="175">
        <v>0</v>
      </c>
      <c r="AG386" s="175">
        <v>0</v>
      </c>
      <c r="AH386" s="175">
        <v>0</v>
      </c>
      <c r="AI386" s="175">
        <v>0</v>
      </c>
      <c r="AJ386" s="175">
        <v>0</v>
      </c>
    </row>
    <row r="387" spans="1:36" x14ac:dyDescent="0.35">
      <c r="A387" t="s">
        <v>1936</v>
      </c>
      <c r="B387" s="188" t="s">
        <v>1342</v>
      </c>
      <c r="C387" t="s">
        <v>1343</v>
      </c>
      <c r="D387" t="s">
        <v>555</v>
      </c>
      <c r="E387" t="s">
        <v>1937</v>
      </c>
      <c r="F387" t="s">
        <v>1938</v>
      </c>
      <c r="G387" s="175" t="s">
        <v>1939</v>
      </c>
      <c r="H387" s="175">
        <v>0</v>
      </c>
      <c r="I387" s="175">
        <v>0</v>
      </c>
      <c r="J387" s="175">
        <v>0</v>
      </c>
      <c r="K387" s="175">
        <v>0</v>
      </c>
      <c r="L387" s="175">
        <v>0</v>
      </c>
      <c r="M387" s="175">
        <v>0</v>
      </c>
      <c r="N387" s="175">
        <v>0</v>
      </c>
      <c r="O387" s="175">
        <v>0</v>
      </c>
      <c r="P387" s="175">
        <v>0</v>
      </c>
      <c r="Q387" s="175">
        <v>0</v>
      </c>
      <c r="R387" s="175">
        <v>0</v>
      </c>
      <c r="S387" s="175">
        <v>0</v>
      </c>
      <c r="T387" s="175">
        <v>0</v>
      </c>
      <c r="U387" s="175">
        <v>0</v>
      </c>
      <c r="V387" s="175">
        <v>0</v>
      </c>
      <c r="W387" s="175">
        <v>0</v>
      </c>
      <c r="X387" s="175">
        <v>0</v>
      </c>
      <c r="Y387" s="175">
        <v>0</v>
      </c>
      <c r="Z387" s="175">
        <v>0</v>
      </c>
      <c r="AA387" s="175">
        <v>0</v>
      </c>
      <c r="AB387" s="175">
        <v>0</v>
      </c>
      <c r="AC387" s="175">
        <v>0</v>
      </c>
      <c r="AD387" s="175">
        <v>0</v>
      </c>
      <c r="AE387" s="175">
        <v>0</v>
      </c>
      <c r="AF387" s="175">
        <v>0</v>
      </c>
      <c r="AG387" s="175">
        <v>0</v>
      </c>
      <c r="AH387" s="175">
        <v>0</v>
      </c>
      <c r="AI387" s="175">
        <v>0</v>
      </c>
      <c r="AJ387" s="175">
        <v>0</v>
      </c>
    </row>
    <row r="388" spans="1:36" x14ac:dyDescent="0.35">
      <c r="A388" t="s">
        <v>1940</v>
      </c>
      <c r="B388" s="188" t="s">
        <v>1342</v>
      </c>
      <c r="C388" t="s">
        <v>1348</v>
      </c>
      <c r="D388" t="s">
        <v>555</v>
      </c>
      <c r="E388" t="s">
        <v>1937</v>
      </c>
      <c r="F388" t="s">
        <v>1938</v>
      </c>
      <c r="G388" s="175" t="s">
        <v>1939</v>
      </c>
      <c r="H388" s="175">
        <v>0</v>
      </c>
      <c r="I388" s="175">
        <v>0</v>
      </c>
      <c r="J388" s="175">
        <v>0</v>
      </c>
      <c r="K388" s="175">
        <v>0</v>
      </c>
      <c r="L388" s="175">
        <v>0</v>
      </c>
      <c r="M388" s="175">
        <v>0</v>
      </c>
      <c r="N388" s="175">
        <v>0</v>
      </c>
      <c r="O388" s="175">
        <v>0</v>
      </c>
      <c r="P388" s="175">
        <v>0</v>
      </c>
      <c r="Q388" s="175">
        <v>0</v>
      </c>
      <c r="R388" s="175">
        <v>0</v>
      </c>
      <c r="S388" s="175">
        <v>0</v>
      </c>
      <c r="T388" s="175">
        <v>0</v>
      </c>
      <c r="U388" s="175">
        <v>0</v>
      </c>
      <c r="V388" s="175">
        <v>0</v>
      </c>
      <c r="W388" s="175">
        <v>0</v>
      </c>
      <c r="X388" s="175">
        <v>0</v>
      </c>
      <c r="Y388" s="175">
        <v>0</v>
      </c>
      <c r="Z388" s="175">
        <v>0</v>
      </c>
      <c r="AA388" s="175">
        <v>0</v>
      </c>
      <c r="AB388" s="175">
        <v>0</v>
      </c>
      <c r="AC388" s="175">
        <v>0</v>
      </c>
      <c r="AD388" s="175">
        <v>0</v>
      </c>
      <c r="AE388" s="175">
        <v>0</v>
      </c>
      <c r="AF388" s="175">
        <v>0</v>
      </c>
      <c r="AG388" s="175">
        <v>0</v>
      </c>
      <c r="AH388" s="175">
        <v>0</v>
      </c>
      <c r="AI388" s="175">
        <v>0</v>
      </c>
      <c r="AJ388" s="175">
        <v>0</v>
      </c>
    </row>
    <row r="389" spans="1:36" x14ac:dyDescent="0.35">
      <c r="A389" t="s">
        <v>1941</v>
      </c>
      <c r="B389" s="188" t="s">
        <v>1342</v>
      </c>
      <c r="C389" t="s">
        <v>1350</v>
      </c>
      <c r="D389" t="s">
        <v>555</v>
      </c>
      <c r="E389" t="s">
        <v>1937</v>
      </c>
      <c r="F389" t="s">
        <v>1938</v>
      </c>
      <c r="G389" s="175" t="s">
        <v>1939</v>
      </c>
      <c r="H389" s="175">
        <v>0</v>
      </c>
      <c r="I389" s="175">
        <v>0</v>
      </c>
      <c r="J389" s="175">
        <v>0</v>
      </c>
      <c r="K389" s="175">
        <v>0</v>
      </c>
      <c r="L389" s="175">
        <v>0</v>
      </c>
      <c r="M389" s="175">
        <v>0</v>
      </c>
      <c r="N389" s="175">
        <v>0</v>
      </c>
      <c r="O389" s="175">
        <v>0</v>
      </c>
      <c r="P389" s="175">
        <v>0</v>
      </c>
      <c r="Q389" s="175">
        <v>0</v>
      </c>
      <c r="R389" s="175">
        <v>0</v>
      </c>
      <c r="S389" s="175">
        <v>0</v>
      </c>
      <c r="T389" s="175">
        <v>0</v>
      </c>
      <c r="U389" s="175">
        <v>0</v>
      </c>
      <c r="V389" s="175">
        <v>0</v>
      </c>
      <c r="W389" s="175">
        <v>0</v>
      </c>
      <c r="X389" s="175">
        <v>0</v>
      </c>
      <c r="Y389" s="175">
        <v>0</v>
      </c>
      <c r="Z389" s="175">
        <v>0</v>
      </c>
      <c r="AA389" s="175">
        <v>0</v>
      </c>
      <c r="AB389" s="175">
        <v>0</v>
      </c>
      <c r="AC389" s="175">
        <v>0</v>
      </c>
      <c r="AD389" s="175">
        <v>0</v>
      </c>
      <c r="AE389" s="175">
        <v>0</v>
      </c>
      <c r="AF389" s="175">
        <v>0</v>
      </c>
      <c r="AG389" s="175">
        <v>0</v>
      </c>
      <c r="AH389" s="175">
        <v>0</v>
      </c>
      <c r="AI389" s="175">
        <v>0</v>
      </c>
      <c r="AJ389" s="175">
        <v>0</v>
      </c>
    </row>
    <row r="390" spans="1:36" x14ac:dyDescent="0.35">
      <c r="A390" t="s">
        <v>1942</v>
      </c>
      <c r="B390" s="188" t="s">
        <v>1342</v>
      </c>
      <c r="C390" t="s">
        <v>1343</v>
      </c>
      <c r="D390" t="s">
        <v>555</v>
      </c>
      <c r="E390" t="s">
        <v>1937</v>
      </c>
      <c r="F390" t="s">
        <v>1943</v>
      </c>
      <c r="G390" s="175" t="s">
        <v>1944</v>
      </c>
      <c r="H390" s="175">
        <v>0</v>
      </c>
      <c r="I390" s="175">
        <v>0</v>
      </c>
      <c r="J390" s="175">
        <v>0</v>
      </c>
      <c r="K390" s="175">
        <v>0</v>
      </c>
      <c r="L390" s="175">
        <v>0</v>
      </c>
      <c r="M390" s="175">
        <v>0</v>
      </c>
      <c r="N390" s="175">
        <v>0</v>
      </c>
      <c r="O390" s="175">
        <v>0</v>
      </c>
      <c r="P390" s="175">
        <v>0</v>
      </c>
      <c r="Q390" s="175">
        <v>0</v>
      </c>
      <c r="R390" s="175">
        <v>0</v>
      </c>
      <c r="S390" s="175">
        <v>0</v>
      </c>
      <c r="T390" s="175">
        <v>0</v>
      </c>
      <c r="U390" s="175">
        <v>0</v>
      </c>
      <c r="V390" s="175">
        <v>0</v>
      </c>
      <c r="W390" s="175">
        <v>0</v>
      </c>
      <c r="X390" s="175">
        <v>0</v>
      </c>
      <c r="Y390" s="175">
        <v>0</v>
      </c>
      <c r="Z390" s="175">
        <v>0</v>
      </c>
      <c r="AA390" s="175">
        <v>0</v>
      </c>
      <c r="AB390" s="175">
        <v>0</v>
      </c>
      <c r="AC390" s="175">
        <v>0</v>
      </c>
      <c r="AD390" s="175">
        <v>0</v>
      </c>
      <c r="AE390" s="175">
        <v>0</v>
      </c>
      <c r="AF390" s="175">
        <v>0</v>
      </c>
      <c r="AG390" s="175">
        <v>0</v>
      </c>
      <c r="AH390" s="175">
        <v>0</v>
      </c>
      <c r="AI390" s="175">
        <v>0</v>
      </c>
      <c r="AJ390" s="175">
        <v>0</v>
      </c>
    </row>
    <row r="391" spans="1:36" x14ac:dyDescent="0.35">
      <c r="A391" t="s">
        <v>1945</v>
      </c>
      <c r="B391" s="188" t="s">
        <v>1342</v>
      </c>
      <c r="C391" t="s">
        <v>1348</v>
      </c>
      <c r="D391" t="s">
        <v>555</v>
      </c>
      <c r="E391" t="s">
        <v>1937</v>
      </c>
      <c r="F391" t="s">
        <v>1943</v>
      </c>
      <c r="G391" s="175" t="s">
        <v>1944</v>
      </c>
      <c r="H391" s="175">
        <v>0</v>
      </c>
      <c r="I391" s="175">
        <v>0</v>
      </c>
      <c r="J391" s="175">
        <v>0</v>
      </c>
      <c r="K391" s="175">
        <v>0</v>
      </c>
      <c r="L391" s="175">
        <v>0</v>
      </c>
      <c r="M391" s="175">
        <v>0</v>
      </c>
      <c r="N391" s="175">
        <v>0</v>
      </c>
      <c r="O391" s="175">
        <v>0</v>
      </c>
      <c r="P391" s="175">
        <v>0</v>
      </c>
      <c r="Q391" s="175">
        <v>0</v>
      </c>
      <c r="R391" s="175">
        <v>0</v>
      </c>
      <c r="S391" s="175">
        <v>0</v>
      </c>
      <c r="T391" s="175">
        <v>0</v>
      </c>
      <c r="U391" s="175">
        <v>0</v>
      </c>
      <c r="V391" s="175">
        <v>0</v>
      </c>
      <c r="W391" s="175">
        <v>0</v>
      </c>
      <c r="X391" s="175">
        <v>0</v>
      </c>
      <c r="Y391" s="175">
        <v>0</v>
      </c>
      <c r="Z391" s="175">
        <v>0</v>
      </c>
      <c r="AA391" s="175">
        <v>0</v>
      </c>
      <c r="AB391" s="175">
        <v>0</v>
      </c>
      <c r="AC391" s="175">
        <v>0</v>
      </c>
      <c r="AD391" s="175">
        <v>0</v>
      </c>
      <c r="AE391" s="175">
        <v>0</v>
      </c>
      <c r="AF391" s="175">
        <v>0</v>
      </c>
      <c r="AG391" s="175">
        <v>0</v>
      </c>
      <c r="AH391" s="175">
        <v>0</v>
      </c>
      <c r="AI391" s="175">
        <v>0</v>
      </c>
      <c r="AJ391" s="175">
        <v>0</v>
      </c>
    </row>
    <row r="392" spans="1:36" x14ac:dyDescent="0.35">
      <c r="A392" t="s">
        <v>1946</v>
      </c>
      <c r="B392" s="188" t="s">
        <v>1342</v>
      </c>
      <c r="C392" t="s">
        <v>1350</v>
      </c>
      <c r="D392" t="s">
        <v>555</v>
      </c>
      <c r="E392" t="s">
        <v>1937</v>
      </c>
      <c r="F392" t="s">
        <v>1943</v>
      </c>
      <c r="G392" s="175" t="s">
        <v>1944</v>
      </c>
      <c r="H392" s="175">
        <v>0</v>
      </c>
      <c r="I392" s="175">
        <v>0</v>
      </c>
      <c r="J392" s="175">
        <v>0</v>
      </c>
      <c r="K392" s="175">
        <v>0</v>
      </c>
      <c r="L392" s="175">
        <v>0</v>
      </c>
      <c r="M392" s="175">
        <v>0</v>
      </c>
      <c r="N392" s="175">
        <v>0</v>
      </c>
      <c r="O392" s="175">
        <v>0</v>
      </c>
      <c r="P392" s="175">
        <v>0</v>
      </c>
      <c r="Q392" s="175">
        <v>0</v>
      </c>
      <c r="R392" s="175">
        <v>0</v>
      </c>
      <c r="S392" s="175">
        <v>0</v>
      </c>
      <c r="T392" s="175">
        <v>0</v>
      </c>
      <c r="U392" s="175">
        <v>0</v>
      </c>
      <c r="V392" s="175">
        <v>0</v>
      </c>
      <c r="W392" s="175">
        <v>0</v>
      </c>
      <c r="X392" s="175">
        <v>0</v>
      </c>
      <c r="Y392" s="175">
        <v>0</v>
      </c>
      <c r="Z392" s="175">
        <v>0</v>
      </c>
      <c r="AA392" s="175">
        <v>0</v>
      </c>
      <c r="AB392" s="175">
        <v>0</v>
      </c>
      <c r="AC392" s="175">
        <v>0</v>
      </c>
      <c r="AD392" s="175">
        <v>0</v>
      </c>
      <c r="AE392" s="175">
        <v>0</v>
      </c>
      <c r="AF392" s="175">
        <v>0</v>
      </c>
      <c r="AG392" s="175">
        <v>0</v>
      </c>
      <c r="AH392" s="175">
        <v>0</v>
      </c>
      <c r="AI392" s="175">
        <v>0</v>
      </c>
      <c r="AJ392" s="175">
        <v>0</v>
      </c>
    </row>
    <row r="393" spans="1:36" x14ac:dyDescent="0.35">
      <c r="A393" t="s">
        <v>1947</v>
      </c>
      <c r="B393" s="188" t="s">
        <v>1342</v>
      </c>
      <c r="C393" t="s">
        <v>1343</v>
      </c>
      <c r="D393" s="188">
        <v>30</v>
      </c>
      <c r="E393" t="s">
        <v>1948</v>
      </c>
      <c r="F393" t="s">
        <v>1363</v>
      </c>
      <c r="G393" s="188" t="s">
        <v>1949</v>
      </c>
      <c r="H393" s="188">
        <v>0</v>
      </c>
      <c r="I393" s="188">
        <v>0</v>
      </c>
      <c r="J393" s="188">
        <v>0</v>
      </c>
      <c r="K393" s="188">
        <v>0</v>
      </c>
      <c r="L393" s="188">
        <v>0</v>
      </c>
      <c r="M393" s="188">
        <v>0</v>
      </c>
      <c r="N393" s="188">
        <v>0</v>
      </c>
      <c r="O393" s="188">
        <v>0</v>
      </c>
      <c r="P393" s="188">
        <v>0</v>
      </c>
      <c r="Q393" s="188">
        <v>0</v>
      </c>
      <c r="R393" s="188">
        <v>0</v>
      </c>
      <c r="S393" s="188">
        <v>0</v>
      </c>
      <c r="T393" s="188">
        <v>0</v>
      </c>
      <c r="U393" s="188">
        <v>0</v>
      </c>
      <c r="V393" s="188">
        <v>0</v>
      </c>
      <c r="W393" s="188">
        <v>0</v>
      </c>
      <c r="X393" s="188">
        <v>0</v>
      </c>
      <c r="Y393" s="188">
        <v>0</v>
      </c>
      <c r="Z393" s="188">
        <v>0</v>
      </c>
      <c r="AA393" s="188">
        <v>0</v>
      </c>
      <c r="AB393" s="188">
        <v>0</v>
      </c>
      <c r="AC393" s="188">
        <v>0</v>
      </c>
      <c r="AD393" s="188">
        <v>0</v>
      </c>
      <c r="AE393" s="188">
        <v>0</v>
      </c>
      <c r="AF393" s="188">
        <v>0</v>
      </c>
      <c r="AG393" s="188">
        <v>0</v>
      </c>
      <c r="AH393" s="188">
        <v>0</v>
      </c>
      <c r="AI393" s="188">
        <v>0</v>
      </c>
      <c r="AJ393" s="188">
        <v>0</v>
      </c>
    </row>
    <row r="394" spans="1:36" x14ac:dyDescent="0.35">
      <c r="A394" t="s">
        <v>1950</v>
      </c>
      <c r="B394" s="188" t="s">
        <v>1342</v>
      </c>
      <c r="C394" t="s">
        <v>1348</v>
      </c>
      <c r="D394" s="188">
        <v>30</v>
      </c>
      <c r="E394" t="s">
        <v>1948</v>
      </c>
      <c r="F394" t="s">
        <v>1363</v>
      </c>
      <c r="G394" s="188" t="s">
        <v>1949</v>
      </c>
      <c r="H394" s="188">
        <v>0</v>
      </c>
      <c r="I394" s="188">
        <v>0</v>
      </c>
      <c r="J394" s="188">
        <v>0</v>
      </c>
      <c r="K394" s="188">
        <v>0</v>
      </c>
      <c r="L394" s="188">
        <v>0</v>
      </c>
      <c r="M394" s="188">
        <v>0</v>
      </c>
      <c r="N394" s="188">
        <v>0</v>
      </c>
      <c r="O394" s="188">
        <v>0</v>
      </c>
      <c r="P394" s="188">
        <v>0</v>
      </c>
      <c r="Q394" s="188">
        <v>0</v>
      </c>
      <c r="R394" s="188">
        <v>0</v>
      </c>
      <c r="S394" s="188">
        <v>0</v>
      </c>
      <c r="T394" s="188">
        <v>0</v>
      </c>
      <c r="U394" s="188">
        <v>0</v>
      </c>
      <c r="V394" s="188">
        <v>0</v>
      </c>
      <c r="W394" s="188">
        <v>0</v>
      </c>
      <c r="X394" s="188">
        <v>0</v>
      </c>
      <c r="Y394" s="188">
        <v>0</v>
      </c>
      <c r="Z394" s="188">
        <v>0</v>
      </c>
      <c r="AA394" s="188">
        <v>0</v>
      </c>
      <c r="AB394" s="188">
        <v>0</v>
      </c>
      <c r="AC394" s="188">
        <v>0</v>
      </c>
      <c r="AD394" s="188">
        <v>0</v>
      </c>
      <c r="AE394" s="188">
        <v>0</v>
      </c>
      <c r="AF394" s="188">
        <v>0</v>
      </c>
      <c r="AG394" s="188">
        <v>0</v>
      </c>
      <c r="AH394" s="188">
        <v>0</v>
      </c>
      <c r="AI394" s="188">
        <v>0</v>
      </c>
      <c r="AJ394" s="188">
        <v>0</v>
      </c>
    </row>
    <row r="395" spans="1:36" x14ac:dyDescent="0.35">
      <c r="A395" t="s">
        <v>1951</v>
      </c>
      <c r="B395" s="188" t="s">
        <v>1342</v>
      </c>
      <c r="C395" t="s">
        <v>1350</v>
      </c>
      <c r="D395" s="188">
        <v>30</v>
      </c>
      <c r="E395" t="s">
        <v>1948</v>
      </c>
      <c r="F395" t="s">
        <v>1363</v>
      </c>
      <c r="G395" s="188" t="s">
        <v>1949</v>
      </c>
      <c r="H395" s="188">
        <v>0</v>
      </c>
      <c r="I395" s="188">
        <v>0</v>
      </c>
      <c r="J395" s="188">
        <v>0</v>
      </c>
      <c r="K395" s="188">
        <v>0</v>
      </c>
      <c r="L395" s="188">
        <v>0</v>
      </c>
      <c r="M395" s="188">
        <v>0</v>
      </c>
      <c r="N395" s="188">
        <v>0</v>
      </c>
      <c r="O395" s="188">
        <v>0</v>
      </c>
      <c r="P395" s="188">
        <v>0</v>
      </c>
      <c r="Q395" s="188">
        <v>0</v>
      </c>
      <c r="R395" s="188">
        <v>0</v>
      </c>
      <c r="S395" s="188">
        <v>0</v>
      </c>
      <c r="T395" s="188">
        <v>0</v>
      </c>
      <c r="U395" s="188">
        <v>0</v>
      </c>
      <c r="V395" s="188">
        <v>0</v>
      </c>
      <c r="W395" s="188">
        <v>0</v>
      </c>
      <c r="X395" s="188">
        <v>0</v>
      </c>
      <c r="Y395" s="188">
        <v>0</v>
      </c>
      <c r="Z395" s="188">
        <v>0</v>
      </c>
      <c r="AA395" s="188">
        <v>0</v>
      </c>
      <c r="AB395" s="188">
        <v>0</v>
      </c>
      <c r="AC395" s="188">
        <v>0</v>
      </c>
      <c r="AD395" s="188">
        <v>0</v>
      </c>
      <c r="AE395" s="188">
        <v>0</v>
      </c>
      <c r="AF395" s="188">
        <v>0</v>
      </c>
      <c r="AG395" s="188">
        <v>0</v>
      </c>
      <c r="AH395" s="188">
        <v>0</v>
      </c>
      <c r="AI395" s="188">
        <v>0</v>
      </c>
      <c r="AJ395" s="188">
        <v>0</v>
      </c>
    </row>
    <row r="396" spans="1:36" x14ac:dyDescent="0.35">
      <c r="A396" t="s">
        <v>1952</v>
      </c>
      <c r="B396" s="188" t="s">
        <v>1342</v>
      </c>
      <c r="C396" t="s">
        <v>1343</v>
      </c>
      <c r="D396" s="188">
        <v>30</v>
      </c>
      <c r="E396" t="s">
        <v>1948</v>
      </c>
      <c r="F396" t="s">
        <v>1345</v>
      </c>
      <c r="G396" s="188" t="s">
        <v>1953</v>
      </c>
      <c r="H396" s="188">
        <v>0</v>
      </c>
      <c r="I396" s="188">
        <v>0</v>
      </c>
      <c r="J396" s="188">
        <v>0</v>
      </c>
      <c r="K396" s="188">
        <v>0</v>
      </c>
      <c r="L396" s="188">
        <v>0</v>
      </c>
      <c r="M396" s="188">
        <v>0</v>
      </c>
      <c r="N396" s="188">
        <v>0</v>
      </c>
      <c r="O396" s="188">
        <v>0</v>
      </c>
      <c r="P396" s="188">
        <v>0</v>
      </c>
      <c r="Q396" s="188">
        <v>0</v>
      </c>
      <c r="R396" s="188">
        <v>0</v>
      </c>
      <c r="S396" s="188">
        <v>0</v>
      </c>
      <c r="T396" s="188">
        <v>0</v>
      </c>
      <c r="U396" s="188">
        <v>0</v>
      </c>
      <c r="V396" s="188">
        <v>0</v>
      </c>
      <c r="W396" s="188">
        <v>0</v>
      </c>
      <c r="X396" s="188">
        <v>0</v>
      </c>
      <c r="Y396" s="188">
        <v>0</v>
      </c>
      <c r="Z396" s="188">
        <v>0</v>
      </c>
      <c r="AA396" s="188">
        <v>0</v>
      </c>
      <c r="AB396" s="188">
        <v>0</v>
      </c>
      <c r="AC396" s="188">
        <v>0</v>
      </c>
      <c r="AD396" s="188">
        <v>0</v>
      </c>
      <c r="AE396" s="188">
        <v>0</v>
      </c>
      <c r="AF396" s="188">
        <v>0</v>
      </c>
      <c r="AG396" s="188">
        <v>0</v>
      </c>
      <c r="AH396" s="188">
        <v>0</v>
      </c>
      <c r="AI396" s="188">
        <v>0</v>
      </c>
      <c r="AJ396" s="188">
        <v>0</v>
      </c>
    </row>
    <row r="397" spans="1:36" x14ac:dyDescent="0.35">
      <c r="A397" t="s">
        <v>1954</v>
      </c>
      <c r="B397" s="188" t="s">
        <v>1342</v>
      </c>
      <c r="C397" t="s">
        <v>1348</v>
      </c>
      <c r="D397" s="188">
        <v>30</v>
      </c>
      <c r="E397" t="s">
        <v>1948</v>
      </c>
      <c r="F397" t="s">
        <v>1345</v>
      </c>
      <c r="G397" s="188" t="s">
        <v>1953</v>
      </c>
      <c r="H397" s="188">
        <v>0</v>
      </c>
      <c r="I397" s="188">
        <v>0</v>
      </c>
      <c r="J397" s="188">
        <v>0</v>
      </c>
      <c r="K397" s="188">
        <v>0</v>
      </c>
      <c r="L397" s="188">
        <v>0</v>
      </c>
      <c r="M397" s="188">
        <v>0</v>
      </c>
      <c r="N397" s="188">
        <v>0</v>
      </c>
      <c r="O397" s="188">
        <v>0</v>
      </c>
      <c r="P397" s="188">
        <v>0</v>
      </c>
      <c r="Q397" s="188">
        <v>0</v>
      </c>
      <c r="R397" s="188">
        <v>0</v>
      </c>
      <c r="S397" s="188">
        <v>0</v>
      </c>
      <c r="T397" s="188">
        <v>0</v>
      </c>
      <c r="U397" s="188">
        <v>0</v>
      </c>
      <c r="V397" s="188">
        <v>0</v>
      </c>
      <c r="W397" s="188">
        <v>0</v>
      </c>
      <c r="X397" s="188">
        <v>0</v>
      </c>
      <c r="Y397" s="188">
        <v>0</v>
      </c>
      <c r="Z397" s="188">
        <v>0</v>
      </c>
      <c r="AA397" s="188">
        <v>0</v>
      </c>
      <c r="AB397" s="188">
        <v>0</v>
      </c>
      <c r="AC397" s="188">
        <v>0</v>
      </c>
      <c r="AD397" s="188">
        <v>0</v>
      </c>
      <c r="AE397" s="188">
        <v>0</v>
      </c>
      <c r="AF397" s="188">
        <v>0</v>
      </c>
      <c r="AG397" s="188">
        <v>0</v>
      </c>
      <c r="AH397" s="188">
        <v>0</v>
      </c>
      <c r="AI397" s="188">
        <v>0</v>
      </c>
      <c r="AJ397" s="188">
        <v>0</v>
      </c>
    </row>
    <row r="398" spans="1:36" x14ac:dyDescent="0.35">
      <c r="A398" t="s">
        <v>1955</v>
      </c>
      <c r="B398" s="188" t="s">
        <v>1342</v>
      </c>
      <c r="C398" t="s">
        <v>1350</v>
      </c>
      <c r="D398" s="188">
        <v>30</v>
      </c>
      <c r="E398" t="s">
        <v>1948</v>
      </c>
      <c r="F398" t="s">
        <v>1345</v>
      </c>
      <c r="G398" s="188" t="s">
        <v>1953</v>
      </c>
      <c r="H398" s="188">
        <v>0</v>
      </c>
      <c r="I398" s="188">
        <v>0</v>
      </c>
      <c r="J398" s="188">
        <v>0</v>
      </c>
      <c r="K398" s="188">
        <v>0</v>
      </c>
      <c r="L398" s="188">
        <v>0</v>
      </c>
      <c r="M398" s="188">
        <v>0</v>
      </c>
      <c r="N398" s="188">
        <v>0</v>
      </c>
      <c r="O398" s="188">
        <v>0</v>
      </c>
      <c r="P398" s="188">
        <v>0</v>
      </c>
      <c r="Q398" s="188">
        <v>0</v>
      </c>
      <c r="R398" s="188">
        <v>0</v>
      </c>
      <c r="S398" s="188">
        <v>0</v>
      </c>
      <c r="T398" s="188">
        <v>0</v>
      </c>
      <c r="U398" s="188">
        <v>0</v>
      </c>
      <c r="V398" s="188">
        <v>0</v>
      </c>
      <c r="W398" s="188">
        <v>0</v>
      </c>
      <c r="X398" s="188">
        <v>0</v>
      </c>
      <c r="Y398" s="188">
        <v>0</v>
      </c>
      <c r="Z398" s="188">
        <v>0</v>
      </c>
      <c r="AA398" s="188">
        <v>0</v>
      </c>
      <c r="AB398" s="188">
        <v>0</v>
      </c>
      <c r="AC398" s="188">
        <v>0</v>
      </c>
      <c r="AD398" s="188">
        <v>0</v>
      </c>
      <c r="AE398" s="188">
        <v>0</v>
      </c>
      <c r="AF398" s="188">
        <v>0</v>
      </c>
      <c r="AG398" s="188">
        <v>0</v>
      </c>
      <c r="AH398" s="188">
        <v>0</v>
      </c>
      <c r="AI398" s="188">
        <v>0</v>
      </c>
      <c r="AJ398" s="188">
        <v>0</v>
      </c>
    </row>
    <row r="399" spans="1:36" x14ac:dyDescent="0.35">
      <c r="A399" t="s">
        <v>1956</v>
      </c>
      <c r="B399" s="188" t="s">
        <v>1342</v>
      </c>
      <c r="C399" t="s">
        <v>1343</v>
      </c>
      <c r="D399" s="188">
        <v>30</v>
      </c>
      <c r="E399" t="s">
        <v>1948</v>
      </c>
      <c r="F399" t="s">
        <v>1352</v>
      </c>
      <c r="G399" s="188" t="s">
        <v>1957</v>
      </c>
      <c r="H399" s="188">
        <v>0</v>
      </c>
      <c r="I399" s="188">
        <v>0</v>
      </c>
      <c r="J399" s="188">
        <v>0</v>
      </c>
      <c r="K399" s="188">
        <v>0</v>
      </c>
      <c r="L399" s="188">
        <v>0</v>
      </c>
      <c r="M399" s="188">
        <v>0</v>
      </c>
      <c r="N399" s="188">
        <v>0</v>
      </c>
      <c r="O399" s="188">
        <v>0</v>
      </c>
      <c r="P399" s="188">
        <v>0</v>
      </c>
      <c r="Q399" s="188">
        <v>0</v>
      </c>
      <c r="R399" s="188">
        <v>0</v>
      </c>
      <c r="S399" s="188">
        <v>0</v>
      </c>
      <c r="T399" s="188">
        <v>0</v>
      </c>
      <c r="U399" s="188">
        <v>0</v>
      </c>
      <c r="V399" s="188">
        <v>0</v>
      </c>
      <c r="W399" s="188">
        <v>0</v>
      </c>
      <c r="X399" s="188">
        <v>0</v>
      </c>
      <c r="Y399" s="188">
        <v>0</v>
      </c>
      <c r="Z399" s="188">
        <v>0</v>
      </c>
      <c r="AA399" s="188">
        <v>0</v>
      </c>
      <c r="AB399" s="188">
        <v>0</v>
      </c>
      <c r="AC399" s="188">
        <v>0</v>
      </c>
      <c r="AD399" s="188">
        <v>0</v>
      </c>
      <c r="AE399" s="188">
        <v>0</v>
      </c>
      <c r="AF399" s="188">
        <v>0</v>
      </c>
      <c r="AG399" s="188">
        <v>0</v>
      </c>
      <c r="AH399" s="188">
        <v>0</v>
      </c>
      <c r="AI399" s="188">
        <v>0</v>
      </c>
      <c r="AJ399" s="188">
        <v>0</v>
      </c>
    </row>
    <row r="400" spans="1:36" x14ac:dyDescent="0.35">
      <c r="A400" t="s">
        <v>1958</v>
      </c>
      <c r="B400" s="188" t="s">
        <v>1342</v>
      </c>
      <c r="C400" t="s">
        <v>1348</v>
      </c>
      <c r="D400" s="188">
        <v>30</v>
      </c>
      <c r="E400" t="s">
        <v>1948</v>
      </c>
      <c r="F400" t="s">
        <v>1352</v>
      </c>
      <c r="G400" s="188" t="s">
        <v>1957</v>
      </c>
      <c r="H400" s="188">
        <v>0</v>
      </c>
      <c r="I400" s="188">
        <v>0</v>
      </c>
      <c r="J400" s="188">
        <v>0</v>
      </c>
      <c r="K400" s="188">
        <v>0</v>
      </c>
      <c r="L400" s="188">
        <v>0</v>
      </c>
      <c r="M400" s="188">
        <v>0</v>
      </c>
      <c r="N400" s="188">
        <v>0</v>
      </c>
      <c r="O400" s="188">
        <v>0</v>
      </c>
      <c r="P400" s="188">
        <v>0</v>
      </c>
      <c r="Q400" s="188">
        <v>0</v>
      </c>
      <c r="R400" s="188">
        <v>0</v>
      </c>
      <c r="S400" s="188">
        <v>0</v>
      </c>
      <c r="T400" s="188">
        <v>0</v>
      </c>
      <c r="U400" s="188">
        <v>0</v>
      </c>
      <c r="V400" s="188">
        <v>0</v>
      </c>
      <c r="W400" s="188">
        <v>0</v>
      </c>
      <c r="X400" s="188">
        <v>0</v>
      </c>
      <c r="Y400" s="188">
        <v>0</v>
      </c>
      <c r="Z400" s="188">
        <v>0</v>
      </c>
      <c r="AA400" s="188">
        <v>0</v>
      </c>
      <c r="AB400" s="188">
        <v>0</v>
      </c>
      <c r="AC400" s="188">
        <v>0</v>
      </c>
      <c r="AD400" s="188">
        <v>0</v>
      </c>
      <c r="AE400" s="188">
        <v>0</v>
      </c>
      <c r="AF400" s="188">
        <v>0</v>
      </c>
      <c r="AG400" s="188">
        <v>0</v>
      </c>
      <c r="AH400" s="188">
        <v>0</v>
      </c>
      <c r="AI400" s="188">
        <v>0</v>
      </c>
      <c r="AJ400" s="188">
        <v>0</v>
      </c>
    </row>
    <row r="401" spans="1:36" x14ac:dyDescent="0.35">
      <c r="A401" t="s">
        <v>1959</v>
      </c>
      <c r="B401" s="188" t="s">
        <v>1342</v>
      </c>
      <c r="C401" t="s">
        <v>1350</v>
      </c>
      <c r="D401" s="188">
        <v>30</v>
      </c>
      <c r="E401" t="s">
        <v>1948</v>
      </c>
      <c r="F401" t="s">
        <v>1352</v>
      </c>
      <c r="G401" s="188" t="s">
        <v>1957</v>
      </c>
      <c r="H401" s="188">
        <v>0</v>
      </c>
      <c r="I401" s="188">
        <v>0</v>
      </c>
      <c r="J401" s="188">
        <v>0</v>
      </c>
      <c r="K401" s="188">
        <v>0</v>
      </c>
      <c r="L401" s="188">
        <v>0</v>
      </c>
      <c r="M401" s="188">
        <v>0</v>
      </c>
      <c r="N401" s="188">
        <v>0</v>
      </c>
      <c r="O401" s="188">
        <v>0</v>
      </c>
      <c r="P401" s="188">
        <v>0</v>
      </c>
      <c r="Q401" s="188">
        <v>0</v>
      </c>
      <c r="R401" s="188">
        <v>0</v>
      </c>
      <c r="S401" s="188">
        <v>0</v>
      </c>
      <c r="T401" s="188">
        <v>0</v>
      </c>
      <c r="U401" s="188">
        <v>0</v>
      </c>
      <c r="V401" s="188">
        <v>0</v>
      </c>
      <c r="W401" s="188">
        <v>0</v>
      </c>
      <c r="X401" s="188">
        <v>0</v>
      </c>
      <c r="Y401" s="188">
        <v>0</v>
      </c>
      <c r="Z401" s="188">
        <v>0</v>
      </c>
      <c r="AA401" s="188">
        <v>0</v>
      </c>
      <c r="AB401" s="188">
        <v>0</v>
      </c>
      <c r="AC401" s="188">
        <v>0</v>
      </c>
      <c r="AD401" s="188">
        <v>0</v>
      </c>
      <c r="AE401" s="188">
        <v>0</v>
      </c>
      <c r="AF401" s="188">
        <v>0</v>
      </c>
      <c r="AG401" s="188">
        <v>0</v>
      </c>
      <c r="AH401" s="188">
        <v>0</v>
      </c>
      <c r="AI401" s="188">
        <v>0</v>
      </c>
      <c r="AJ401" s="188">
        <v>0</v>
      </c>
    </row>
    <row r="402" spans="1:36" x14ac:dyDescent="0.35">
      <c r="A402" t="s">
        <v>1960</v>
      </c>
      <c r="B402" s="188" t="s">
        <v>1342</v>
      </c>
      <c r="C402" t="s">
        <v>1343</v>
      </c>
      <c r="D402" s="188">
        <v>30</v>
      </c>
      <c r="E402" t="s">
        <v>1948</v>
      </c>
      <c r="F402" t="s">
        <v>1376</v>
      </c>
      <c r="G402" s="188" t="s">
        <v>1961</v>
      </c>
      <c r="H402" s="188">
        <v>0</v>
      </c>
      <c r="I402" s="188">
        <v>0</v>
      </c>
      <c r="J402" s="188">
        <v>0</v>
      </c>
      <c r="K402" s="188">
        <v>0</v>
      </c>
      <c r="L402" s="188">
        <v>0</v>
      </c>
      <c r="M402" s="188">
        <v>0</v>
      </c>
      <c r="N402" s="188">
        <v>0</v>
      </c>
      <c r="O402" s="188">
        <v>0</v>
      </c>
      <c r="P402" s="188">
        <v>0</v>
      </c>
      <c r="Q402" s="188">
        <v>0</v>
      </c>
      <c r="R402" s="188">
        <v>0</v>
      </c>
      <c r="S402" s="188">
        <v>0</v>
      </c>
      <c r="T402" s="188">
        <v>0</v>
      </c>
      <c r="U402" s="188">
        <v>0</v>
      </c>
      <c r="V402" s="188">
        <v>0</v>
      </c>
      <c r="W402" s="188">
        <v>0</v>
      </c>
      <c r="X402" s="188">
        <v>0</v>
      </c>
      <c r="Y402" s="188">
        <v>0</v>
      </c>
      <c r="Z402" s="188">
        <v>0</v>
      </c>
      <c r="AA402" s="188">
        <v>0</v>
      </c>
      <c r="AB402" s="188">
        <v>0</v>
      </c>
      <c r="AC402" s="188">
        <v>0</v>
      </c>
      <c r="AD402" s="188">
        <v>0</v>
      </c>
      <c r="AE402" s="188">
        <v>0</v>
      </c>
      <c r="AF402" s="188">
        <v>0</v>
      </c>
      <c r="AG402" s="188">
        <v>0</v>
      </c>
      <c r="AH402" s="188">
        <v>0</v>
      </c>
      <c r="AI402" s="188">
        <v>0</v>
      </c>
      <c r="AJ402" s="188">
        <v>0</v>
      </c>
    </row>
    <row r="403" spans="1:36" x14ac:dyDescent="0.35">
      <c r="A403" t="s">
        <v>1962</v>
      </c>
      <c r="B403" s="188" t="s">
        <v>1342</v>
      </c>
      <c r="C403" t="s">
        <v>1348</v>
      </c>
      <c r="D403" s="188">
        <v>30</v>
      </c>
      <c r="E403" t="s">
        <v>1948</v>
      </c>
      <c r="F403" t="s">
        <v>1376</v>
      </c>
      <c r="G403" s="188" t="s">
        <v>1961</v>
      </c>
      <c r="H403" s="188">
        <v>0</v>
      </c>
      <c r="I403" s="188">
        <v>0</v>
      </c>
      <c r="J403" s="188">
        <v>0</v>
      </c>
      <c r="K403" s="188">
        <v>0</v>
      </c>
      <c r="L403" s="188">
        <v>0</v>
      </c>
      <c r="M403" s="188">
        <v>0</v>
      </c>
      <c r="N403" s="188">
        <v>0</v>
      </c>
      <c r="O403" s="188">
        <v>0</v>
      </c>
      <c r="P403" s="188">
        <v>0</v>
      </c>
      <c r="Q403" s="188">
        <v>0</v>
      </c>
      <c r="R403" s="188">
        <v>0</v>
      </c>
      <c r="S403" s="188">
        <v>0</v>
      </c>
      <c r="T403" s="188">
        <v>0</v>
      </c>
      <c r="U403" s="188">
        <v>0</v>
      </c>
      <c r="V403" s="188">
        <v>0</v>
      </c>
      <c r="W403" s="188">
        <v>0</v>
      </c>
      <c r="X403" s="188">
        <v>0</v>
      </c>
      <c r="Y403" s="188">
        <v>0</v>
      </c>
      <c r="Z403" s="188">
        <v>0</v>
      </c>
      <c r="AA403" s="188">
        <v>0</v>
      </c>
      <c r="AB403" s="188">
        <v>0</v>
      </c>
      <c r="AC403" s="188">
        <v>0</v>
      </c>
      <c r="AD403" s="188">
        <v>0</v>
      </c>
      <c r="AE403" s="188">
        <v>0</v>
      </c>
      <c r="AF403" s="188">
        <v>0</v>
      </c>
      <c r="AG403" s="188">
        <v>0</v>
      </c>
      <c r="AH403" s="188">
        <v>0</v>
      </c>
      <c r="AI403" s="188">
        <v>0</v>
      </c>
      <c r="AJ403" s="188">
        <v>0</v>
      </c>
    </row>
    <row r="404" spans="1:36" x14ac:dyDescent="0.35">
      <c r="A404" t="s">
        <v>1963</v>
      </c>
      <c r="B404" s="188" t="s">
        <v>1342</v>
      </c>
      <c r="C404" t="s">
        <v>1350</v>
      </c>
      <c r="D404" s="188">
        <v>30</v>
      </c>
      <c r="E404" t="s">
        <v>1948</v>
      </c>
      <c r="F404" t="s">
        <v>1376</v>
      </c>
      <c r="G404" s="188" t="s">
        <v>1961</v>
      </c>
      <c r="H404" s="188">
        <v>0</v>
      </c>
      <c r="I404" s="188">
        <v>0</v>
      </c>
      <c r="J404" s="188">
        <v>0</v>
      </c>
      <c r="K404" s="188">
        <v>0</v>
      </c>
      <c r="L404" s="188">
        <v>0</v>
      </c>
      <c r="M404" s="188">
        <v>0</v>
      </c>
      <c r="N404" s="188">
        <v>0</v>
      </c>
      <c r="O404" s="188">
        <v>0</v>
      </c>
      <c r="P404" s="188">
        <v>0</v>
      </c>
      <c r="Q404" s="188">
        <v>0</v>
      </c>
      <c r="R404" s="188">
        <v>0</v>
      </c>
      <c r="S404" s="188">
        <v>0</v>
      </c>
      <c r="T404" s="188">
        <v>0</v>
      </c>
      <c r="U404" s="188">
        <v>0</v>
      </c>
      <c r="V404" s="188">
        <v>0</v>
      </c>
      <c r="W404" s="188">
        <v>0</v>
      </c>
      <c r="X404" s="188">
        <v>0</v>
      </c>
      <c r="Y404" s="188">
        <v>0</v>
      </c>
      <c r="Z404" s="188">
        <v>0</v>
      </c>
      <c r="AA404" s="188">
        <v>0</v>
      </c>
      <c r="AB404" s="188">
        <v>0</v>
      </c>
      <c r="AC404" s="188">
        <v>0</v>
      </c>
      <c r="AD404" s="188">
        <v>0</v>
      </c>
      <c r="AE404" s="188">
        <v>0</v>
      </c>
      <c r="AF404" s="188">
        <v>0</v>
      </c>
      <c r="AG404" s="188">
        <v>0</v>
      </c>
      <c r="AH404" s="188">
        <v>0</v>
      </c>
      <c r="AI404" s="188">
        <v>0</v>
      </c>
      <c r="AJ404" s="188">
        <v>0</v>
      </c>
    </row>
    <row r="405" spans="1:36" x14ac:dyDescent="0.35">
      <c r="A405" t="s">
        <v>1964</v>
      </c>
      <c r="B405" s="188" t="s">
        <v>1342</v>
      </c>
      <c r="C405" t="s">
        <v>1343</v>
      </c>
      <c r="D405" s="188">
        <v>30</v>
      </c>
      <c r="E405" t="s">
        <v>1948</v>
      </c>
      <c r="F405" t="s">
        <v>1381</v>
      </c>
      <c r="G405" s="188" t="s">
        <v>1965</v>
      </c>
      <c r="H405" s="188">
        <v>0</v>
      </c>
      <c r="I405" s="188">
        <v>0</v>
      </c>
      <c r="J405" s="188">
        <v>0</v>
      </c>
      <c r="K405" s="188">
        <v>0</v>
      </c>
      <c r="L405" s="188">
        <v>0</v>
      </c>
      <c r="M405" s="188">
        <v>0</v>
      </c>
      <c r="N405" s="188">
        <v>0</v>
      </c>
      <c r="O405" s="188">
        <v>0</v>
      </c>
      <c r="P405" s="188">
        <v>0</v>
      </c>
      <c r="Q405" s="188">
        <v>0</v>
      </c>
      <c r="R405" s="188">
        <v>0</v>
      </c>
      <c r="S405" s="188">
        <v>0</v>
      </c>
      <c r="T405" s="188">
        <v>0</v>
      </c>
      <c r="U405" s="188">
        <v>0</v>
      </c>
      <c r="V405" s="188">
        <v>0</v>
      </c>
      <c r="W405" s="188">
        <v>0</v>
      </c>
      <c r="X405" s="188">
        <v>0</v>
      </c>
      <c r="Y405" s="188">
        <v>0</v>
      </c>
      <c r="Z405" s="188">
        <v>0</v>
      </c>
      <c r="AA405" s="188">
        <v>0</v>
      </c>
      <c r="AB405" s="188">
        <v>0</v>
      </c>
      <c r="AC405" s="188">
        <v>0</v>
      </c>
      <c r="AD405" s="188">
        <v>0</v>
      </c>
      <c r="AE405" s="188">
        <v>0</v>
      </c>
      <c r="AF405" s="188">
        <v>0</v>
      </c>
      <c r="AG405" s="188">
        <v>0</v>
      </c>
      <c r="AH405" s="188">
        <v>0</v>
      </c>
      <c r="AI405" s="188">
        <v>0</v>
      </c>
      <c r="AJ405" s="188">
        <v>0</v>
      </c>
    </row>
    <row r="406" spans="1:36" x14ac:dyDescent="0.35">
      <c r="A406" t="s">
        <v>1966</v>
      </c>
      <c r="B406" s="188" t="s">
        <v>1342</v>
      </c>
      <c r="C406" t="s">
        <v>1348</v>
      </c>
      <c r="D406" s="188">
        <v>30</v>
      </c>
      <c r="E406" t="s">
        <v>1948</v>
      </c>
      <c r="F406" t="s">
        <v>1381</v>
      </c>
      <c r="G406" s="188" t="s">
        <v>1965</v>
      </c>
      <c r="H406" s="188">
        <v>0</v>
      </c>
      <c r="I406" s="188">
        <v>0</v>
      </c>
      <c r="J406" s="188">
        <v>0</v>
      </c>
      <c r="K406" s="188">
        <v>0</v>
      </c>
      <c r="L406" s="188">
        <v>0</v>
      </c>
      <c r="M406" s="188">
        <v>0</v>
      </c>
      <c r="N406" s="188">
        <v>0</v>
      </c>
      <c r="O406" s="188">
        <v>0</v>
      </c>
      <c r="P406" s="188">
        <v>0</v>
      </c>
      <c r="Q406" s="188">
        <v>0</v>
      </c>
      <c r="R406" s="188">
        <v>0</v>
      </c>
      <c r="S406" s="188">
        <v>0</v>
      </c>
      <c r="T406" s="188">
        <v>0</v>
      </c>
      <c r="U406" s="188">
        <v>0</v>
      </c>
      <c r="V406" s="188">
        <v>0</v>
      </c>
      <c r="W406" s="188">
        <v>0</v>
      </c>
      <c r="X406" s="188">
        <v>0</v>
      </c>
      <c r="Y406" s="188">
        <v>0</v>
      </c>
      <c r="Z406" s="188">
        <v>0</v>
      </c>
      <c r="AA406" s="188">
        <v>0</v>
      </c>
      <c r="AB406" s="188">
        <v>0</v>
      </c>
      <c r="AC406" s="188">
        <v>0</v>
      </c>
      <c r="AD406" s="188">
        <v>0</v>
      </c>
      <c r="AE406" s="188">
        <v>0</v>
      </c>
      <c r="AF406" s="188">
        <v>0</v>
      </c>
      <c r="AG406" s="188">
        <v>0</v>
      </c>
      <c r="AH406" s="188">
        <v>0</v>
      </c>
      <c r="AI406" s="188">
        <v>0</v>
      </c>
      <c r="AJ406" s="188">
        <v>0</v>
      </c>
    </row>
    <row r="407" spans="1:36" x14ac:dyDescent="0.35">
      <c r="A407" t="s">
        <v>1967</v>
      </c>
      <c r="B407" s="188" t="s">
        <v>1342</v>
      </c>
      <c r="C407" t="s">
        <v>1350</v>
      </c>
      <c r="D407" s="188">
        <v>30</v>
      </c>
      <c r="E407" t="s">
        <v>1948</v>
      </c>
      <c r="F407" t="s">
        <v>1381</v>
      </c>
      <c r="G407" s="188" t="s">
        <v>1965</v>
      </c>
      <c r="H407" s="188">
        <v>0</v>
      </c>
      <c r="I407" s="188">
        <v>0</v>
      </c>
      <c r="J407" s="188">
        <v>0</v>
      </c>
      <c r="K407" s="188">
        <v>0</v>
      </c>
      <c r="L407" s="188">
        <v>0</v>
      </c>
      <c r="M407" s="188">
        <v>0</v>
      </c>
      <c r="N407" s="188">
        <v>0</v>
      </c>
      <c r="O407" s="188">
        <v>0</v>
      </c>
      <c r="P407" s="188">
        <v>0</v>
      </c>
      <c r="Q407" s="188">
        <v>0</v>
      </c>
      <c r="R407" s="188">
        <v>0</v>
      </c>
      <c r="S407" s="188">
        <v>0</v>
      </c>
      <c r="T407" s="188">
        <v>0</v>
      </c>
      <c r="U407" s="188">
        <v>0</v>
      </c>
      <c r="V407" s="188">
        <v>0</v>
      </c>
      <c r="W407" s="188">
        <v>0</v>
      </c>
      <c r="X407" s="188">
        <v>0</v>
      </c>
      <c r="Y407" s="188">
        <v>0</v>
      </c>
      <c r="Z407" s="188">
        <v>0</v>
      </c>
      <c r="AA407" s="188">
        <v>0</v>
      </c>
      <c r="AB407" s="188">
        <v>0</v>
      </c>
      <c r="AC407" s="188">
        <v>0</v>
      </c>
      <c r="AD407" s="188">
        <v>0</v>
      </c>
      <c r="AE407" s="188">
        <v>0</v>
      </c>
      <c r="AF407" s="188">
        <v>0</v>
      </c>
      <c r="AG407" s="188">
        <v>0</v>
      </c>
      <c r="AH407" s="188">
        <v>0</v>
      </c>
      <c r="AI407" s="188">
        <v>0</v>
      </c>
      <c r="AJ407" s="188">
        <v>0</v>
      </c>
    </row>
    <row r="408" spans="1:36" x14ac:dyDescent="0.35">
      <c r="A408" t="s">
        <v>1968</v>
      </c>
      <c r="B408" s="188" t="s">
        <v>1342</v>
      </c>
      <c r="C408" t="s">
        <v>1343</v>
      </c>
      <c r="D408" s="188">
        <v>30</v>
      </c>
      <c r="E408" t="s">
        <v>1948</v>
      </c>
      <c r="F408" t="s">
        <v>1386</v>
      </c>
      <c r="G408" s="188" t="s">
        <v>1969</v>
      </c>
      <c r="H408" s="188">
        <v>0</v>
      </c>
      <c r="I408" s="188">
        <v>0</v>
      </c>
      <c r="J408" s="188">
        <v>0</v>
      </c>
      <c r="K408" s="188">
        <v>0</v>
      </c>
      <c r="L408" s="188">
        <v>0</v>
      </c>
      <c r="M408" s="188">
        <v>0</v>
      </c>
      <c r="N408" s="188">
        <v>0</v>
      </c>
      <c r="O408" s="188">
        <v>0</v>
      </c>
      <c r="P408" s="188">
        <v>0</v>
      </c>
      <c r="Q408" s="188">
        <v>0</v>
      </c>
      <c r="R408" s="188">
        <v>0</v>
      </c>
      <c r="S408" s="188">
        <v>0</v>
      </c>
      <c r="T408" s="188">
        <v>0</v>
      </c>
      <c r="U408" s="188">
        <v>0</v>
      </c>
      <c r="V408" s="188">
        <v>0</v>
      </c>
      <c r="W408" s="188">
        <v>0</v>
      </c>
      <c r="X408" s="188">
        <v>0</v>
      </c>
      <c r="Y408" s="188">
        <v>0</v>
      </c>
      <c r="Z408" s="188">
        <v>0</v>
      </c>
      <c r="AA408" s="188">
        <v>0</v>
      </c>
      <c r="AB408" s="188">
        <v>0</v>
      </c>
      <c r="AC408" s="188">
        <v>0</v>
      </c>
      <c r="AD408" s="188">
        <v>0</v>
      </c>
      <c r="AE408" s="188">
        <v>0</v>
      </c>
      <c r="AF408" s="188">
        <v>0</v>
      </c>
      <c r="AG408" s="188">
        <v>0</v>
      </c>
      <c r="AH408" s="188">
        <v>0</v>
      </c>
      <c r="AI408" s="188">
        <v>0</v>
      </c>
      <c r="AJ408" s="188">
        <v>0</v>
      </c>
    </row>
    <row r="409" spans="1:36" x14ac:dyDescent="0.35">
      <c r="A409" t="s">
        <v>1970</v>
      </c>
      <c r="B409" s="188" t="s">
        <v>1342</v>
      </c>
      <c r="C409" t="s">
        <v>1348</v>
      </c>
      <c r="D409" s="188">
        <v>30</v>
      </c>
      <c r="E409" t="s">
        <v>1948</v>
      </c>
      <c r="F409" t="s">
        <v>1386</v>
      </c>
      <c r="G409" s="188" t="s">
        <v>1969</v>
      </c>
      <c r="H409" s="188">
        <v>0</v>
      </c>
      <c r="I409" s="188">
        <v>0</v>
      </c>
      <c r="J409" s="188">
        <v>0</v>
      </c>
      <c r="K409" s="188">
        <v>0</v>
      </c>
      <c r="L409" s="188">
        <v>0</v>
      </c>
      <c r="M409" s="188">
        <v>0</v>
      </c>
      <c r="N409" s="188">
        <v>0</v>
      </c>
      <c r="O409" s="188">
        <v>0</v>
      </c>
      <c r="P409" s="188">
        <v>0</v>
      </c>
      <c r="Q409" s="188">
        <v>0</v>
      </c>
      <c r="R409" s="188">
        <v>0</v>
      </c>
      <c r="S409" s="188">
        <v>0</v>
      </c>
      <c r="T409" s="188">
        <v>0</v>
      </c>
      <c r="U409" s="188">
        <v>0</v>
      </c>
      <c r="V409" s="188">
        <v>0</v>
      </c>
      <c r="W409" s="188">
        <v>0</v>
      </c>
      <c r="X409" s="188">
        <v>0</v>
      </c>
      <c r="Y409" s="188">
        <v>0</v>
      </c>
      <c r="Z409" s="188">
        <v>0</v>
      </c>
      <c r="AA409" s="188">
        <v>0</v>
      </c>
      <c r="AB409" s="188">
        <v>0</v>
      </c>
      <c r="AC409" s="188">
        <v>0</v>
      </c>
      <c r="AD409" s="188">
        <v>0</v>
      </c>
      <c r="AE409" s="188">
        <v>0</v>
      </c>
      <c r="AF409" s="188">
        <v>0</v>
      </c>
      <c r="AG409" s="188">
        <v>0</v>
      </c>
      <c r="AH409" s="188">
        <v>0</v>
      </c>
      <c r="AI409" s="188">
        <v>0</v>
      </c>
      <c r="AJ409" s="188">
        <v>0</v>
      </c>
    </row>
    <row r="410" spans="1:36" x14ac:dyDescent="0.35">
      <c r="A410" t="s">
        <v>1971</v>
      </c>
      <c r="B410" s="188" t="s">
        <v>1342</v>
      </c>
      <c r="C410" t="s">
        <v>1350</v>
      </c>
      <c r="D410" s="188">
        <v>30</v>
      </c>
      <c r="E410" t="s">
        <v>1948</v>
      </c>
      <c r="F410" t="s">
        <v>1386</v>
      </c>
      <c r="G410" s="188" t="s">
        <v>1969</v>
      </c>
      <c r="H410" s="188">
        <v>0</v>
      </c>
      <c r="I410" s="188">
        <v>0</v>
      </c>
      <c r="J410" s="188">
        <v>0</v>
      </c>
      <c r="K410" s="188">
        <v>0</v>
      </c>
      <c r="L410" s="188">
        <v>0</v>
      </c>
      <c r="M410" s="188">
        <v>0</v>
      </c>
      <c r="N410" s="188">
        <v>0</v>
      </c>
      <c r="O410" s="188">
        <v>0</v>
      </c>
      <c r="P410" s="188">
        <v>0</v>
      </c>
      <c r="Q410" s="188">
        <v>0</v>
      </c>
      <c r="R410" s="188">
        <v>0</v>
      </c>
      <c r="S410" s="188">
        <v>0</v>
      </c>
      <c r="T410" s="188">
        <v>0</v>
      </c>
      <c r="U410" s="188">
        <v>0</v>
      </c>
      <c r="V410" s="188">
        <v>0</v>
      </c>
      <c r="W410" s="188">
        <v>0</v>
      </c>
      <c r="X410" s="188">
        <v>0</v>
      </c>
      <c r="Y410" s="188">
        <v>0</v>
      </c>
      <c r="Z410" s="188">
        <v>0</v>
      </c>
      <c r="AA410" s="188">
        <v>0</v>
      </c>
      <c r="AB410" s="188">
        <v>0</v>
      </c>
      <c r="AC410" s="188">
        <v>0</v>
      </c>
      <c r="AD410" s="188">
        <v>0</v>
      </c>
      <c r="AE410" s="188">
        <v>0</v>
      </c>
      <c r="AF410" s="188">
        <v>0</v>
      </c>
      <c r="AG410" s="188">
        <v>0</v>
      </c>
      <c r="AH410" s="188">
        <v>0</v>
      </c>
      <c r="AI410" s="188">
        <v>0</v>
      </c>
      <c r="AJ410" s="188">
        <v>0</v>
      </c>
    </row>
    <row r="411" spans="1:36" x14ac:dyDescent="0.35">
      <c r="A411" t="s">
        <v>1972</v>
      </c>
      <c r="B411" s="188" t="s">
        <v>1342</v>
      </c>
      <c r="C411" t="s">
        <v>1343</v>
      </c>
      <c r="D411" s="188">
        <v>30</v>
      </c>
      <c r="E411" t="s">
        <v>1948</v>
      </c>
      <c r="F411" t="s">
        <v>1391</v>
      </c>
      <c r="G411" s="188" t="s">
        <v>1973</v>
      </c>
      <c r="H411" s="188">
        <v>0</v>
      </c>
      <c r="I411" s="188">
        <v>0</v>
      </c>
      <c r="J411" s="188">
        <v>0</v>
      </c>
      <c r="K411" s="188">
        <v>0</v>
      </c>
      <c r="L411" s="188">
        <v>0</v>
      </c>
      <c r="M411" s="188">
        <v>0</v>
      </c>
      <c r="N411" s="188">
        <v>0</v>
      </c>
      <c r="O411" s="188">
        <v>0</v>
      </c>
      <c r="P411" s="188">
        <v>0</v>
      </c>
      <c r="Q411" s="188">
        <v>0</v>
      </c>
      <c r="R411" s="188">
        <v>0</v>
      </c>
      <c r="S411" s="188">
        <v>0</v>
      </c>
      <c r="T411" s="188">
        <v>0</v>
      </c>
      <c r="U411" s="188">
        <v>0</v>
      </c>
      <c r="V411" s="188">
        <v>0</v>
      </c>
      <c r="W411" s="188">
        <v>0</v>
      </c>
      <c r="X411" s="188">
        <v>0</v>
      </c>
      <c r="Y411" s="188">
        <v>0</v>
      </c>
      <c r="Z411" s="188">
        <v>0</v>
      </c>
      <c r="AA411" s="188">
        <v>0</v>
      </c>
      <c r="AB411" s="188">
        <v>0</v>
      </c>
      <c r="AC411" s="188">
        <v>0</v>
      </c>
      <c r="AD411" s="188">
        <v>0</v>
      </c>
      <c r="AE411" s="188">
        <v>0</v>
      </c>
      <c r="AF411" s="188">
        <v>0</v>
      </c>
      <c r="AG411" s="188">
        <v>0</v>
      </c>
      <c r="AH411" s="188">
        <v>0</v>
      </c>
      <c r="AI411" s="188">
        <v>0</v>
      </c>
      <c r="AJ411" s="188">
        <v>0</v>
      </c>
    </row>
    <row r="412" spans="1:36" x14ac:dyDescent="0.35">
      <c r="A412" t="s">
        <v>1974</v>
      </c>
      <c r="B412" s="188" t="s">
        <v>1342</v>
      </c>
      <c r="C412" t="s">
        <v>1348</v>
      </c>
      <c r="D412" s="188">
        <v>30</v>
      </c>
      <c r="E412" t="s">
        <v>1948</v>
      </c>
      <c r="F412" t="s">
        <v>1391</v>
      </c>
      <c r="G412" s="188" t="s">
        <v>1973</v>
      </c>
      <c r="H412" s="188">
        <v>0</v>
      </c>
      <c r="I412" s="188">
        <v>0</v>
      </c>
      <c r="J412" s="188">
        <v>0</v>
      </c>
      <c r="K412" s="188">
        <v>0</v>
      </c>
      <c r="L412" s="188">
        <v>0</v>
      </c>
      <c r="M412" s="188">
        <v>0</v>
      </c>
      <c r="N412" s="188">
        <v>0</v>
      </c>
      <c r="O412" s="188">
        <v>0</v>
      </c>
      <c r="P412" s="188">
        <v>0</v>
      </c>
      <c r="Q412" s="188">
        <v>0</v>
      </c>
      <c r="R412" s="188">
        <v>0</v>
      </c>
      <c r="S412" s="188">
        <v>0</v>
      </c>
      <c r="T412" s="188">
        <v>0</v>
      </c>
      <c r="U412" s="188">
        <v>0</v>
      </c>
      <c r="V412" s="188">
        <v>0</v>
      </c>
      <c r="W412" s="188">
        <v>0</v>
      </c>
      <c r="X412" s="188">
        <v>0</v>
      </c>
      <c r="Y412" s="188">
        <v>0</v>
      </c>
      <c r="Z412" s="188">
        <v>0</v>
      </c>
      <c r="AA412" s="188">
        <v>0</v>
      </c>
      <c r="AB412" s="188">
        <v>0</v>
      </c>
      <c r="AC412" s="188">
        <v>0</v>
      </c>
      <c r="AD412" s="188">
        <v>0</v>
      </c>
      <c r="AE412" s="188">
        <v>0</v>
      </c>
      <c r="AF412" s="188">
        <v>0</v>
      </c>
      <c r="AG412" s="188">
        <v>0</v>
      </c>
      <c r="AH412" s="188">
        <v>0</v>
      </c>
      <c r="AI412" s="188">
        <v>0</v>
      </c>
      <c r="AJ412" s="188">
        <v>0</v>
      </c>
    </row>
    <row r="413" spans="1:36" x14ac:dyDescent="0.35">
      <c r="A413" t="s">
        <v>1975</v>
      </c>
      <c r="B413" s="188" t="s">
        <v>1342</v>
      </c>
      <c r="C413" t="s">
        <v>1350</v>
      </c>
      <c r="D413" s="188">
        <v>30</v>
      </c>
      <c r="E413" t="s">
        <v>1948</v>
      </c>
      <c r="F413" t="s">
        <v>1391</v>
      </c>
      <c r="G413" s="188" t="s">
        <v>1973</v>
      </c>
      <c r="H413" s="188">
        <v>0</v>
      </c>
      <c r="I413" s="188">
        <v>0</v>
      </c>
      <c r="J413" s="188">
        <v>0</v>
      </c>
      <c r="K413" s="188">
        <v>0</v>
      </c>
      <c r="L413" s="188">
        <v>0</v>
      </c>
      <c r="M413" s="188">
        <v>0</v>
      </c>
      <c r="N413" s="188">
        <v>0</v>
      </c>
      <c r="O413" s="188">
        <v>0</v>
      </c>
      <c r="P413" s="188">
        <v>0</v>
      </c>
      <c r="Q413" s="188">
        <v>0</v>
      </c>
      <c r="R413" s="188">
        <v>0</v>
      </c>
      <c r="S413" s="188">
        <v>0</v>
      </c>
      <c r="T413" s="188">
        <v>0</v>
      </c>
      <c r="U413" s="188">
        <v>0</v>
      </c>
      <c r="V413" s="188">
        <v>0</v>
      </c>
      <c r="W413" s="188">
        <v>0</v>
      </c>
      <c r="X413" s="188">
        <v>0</v>
      </c>
      <c r="Y413" s="188">
        <v>0</v>
      </c>
      <c r="Z413" s="188">
        <v>0</v>
      </c>
      <c r="AA413" s="188">
        <v>0</v>
      </c>
      <c r="AB413" s="188">
        <v>0</v>
      </c>
      <c r="AC413" s="188">
        <v>0</v>
      </c>
      <c r="AD413" s="188">
        <v>0</v>
      </c>
      <c r="AE413" s="188">
        <v>0</v>
      </c>
      <c r="AF413" s="188">
        <v>0</v>
      </c>
      <c r="AG413" s="188">
        <v>0</v>
      </c>
      <c r="AH413" s="188">
        <v>0</v>
      </c>
      <c r="AI413" s="188">
        <v>0</v>
      </c>
      <c r="AJ413" s="188">
        <v>0</v>
      </c>
    </row>
    <row r="414" spans="1:36" x14ac:dyDescent="0.35">
      <c r="A414" t="s">
        <v>1976</v>
      </c>
      <c r="B414" s="188" t="s">
        <v>1342</v>
      </c>
      <c r="C414" t="s">
        <v>1343</v>
      </c>
      <c r="D414" s="188">
        <v>30</v>
      </c>
      <c r="E414" t="s">
        <v>1948</v>
      </c>
      <c r="F414" t="s">
        <v>1357</v>
      </c>
      <c r="G414" s="188" t="s">
        <v>1977</v>
      </c>
      <c r="H414" s="188">
        <v>0</v>
      </c>
      <c r="I414" s="188">
        <v>0</v>
      </c>
      <c r="J414" s="188">
        <v>0</v>
      </c>
      <c r="K414" s="188">
        <v>0</v>
      </c>
      <c r="L414" s="188">
        <v>0</v>
      </c>
      <c r="M414" s="188">
        <v>0</v>
      </c>
      <c r="N414" s="188">
        <v>0</v>
      </c>
      <c r="O414" s="188">
        <v>0</v>
      </c>
      <c r="P414" s="188">
        <v>0</v>
      </c>
      <c r="Q414" s="188">
        <v>0</v>
      </c>
      <c r="R414" s="188">
        <v>0</v>
      </c>
      <c r="S414" s="188">
        <v>0</v>
      </c>
      <c r="T414" s="188">
        <v>0</v>
      </c>
      <c r="U414" s="188">
        <v>0</v>
      </c>
      <c r="V414" s="188">
        <v>0</v>
      </c>
      <c r="W414" s="188">
        <v>0</v>
      </c>
      <c r="X414" s="188">
        <v>0</v>
      </c>
      <c r="Y414" s="188">
        <v>0</v>
      </c>
      <c r="Z414" s="188">
        <v>0</v>
      </c>
      <c r="AA414" s="188">
        <v>0</v>
      </c>
      <c r="AB414" s="188">
        <v>0</v>
      </c>
      <c r="AC414" s="188">
        <v>0</v>
      </c>
      <c r="AD414" s="188">
        <v>0</v>
      </c>
      <c r="AE414" s="188">
        <v>0</v>
      </c>
      <c r="AF414" s="188">
        <v>0</v>
      </c>
      <c r="AG414" s="188">
        <v>0</v>
      </c>
      <c r="AH414" s="188">
        <v>0</v>
      </c>
      <c r="AI414" s="188">
        <v>0</v>
      </c>
      <c r="AJ414" s="188">
        <v>0</v>
      </c>
    </row>
    <row r="415" spans="1:36" x14ac:dyDescent="0.35">
      <c r="A415" t="s">
        <v>1978</v>
      </c>
      <c r="B415" s="188" t="s">
        <v>1342</v>
      </c>
      <c r="C415" t="s">
        <v>1348</v>
      </c>
      <c r="D415" s="188">
        <v>30</v>
      </c>
      <c r="E415" t="s">
        <v>1948</v>
      </c>
      <c r="F415" t="s">
        <v>1357</v>
      </c>
      <c r="G415" s="188" t="s">
        <v>1977</v>
      </c>
      <c r="H415" s="188">
        <v>0</v>
      </c>
      <c r="I415" s="188">
        <v>0</v>
      </c>
      <c r="J415" s="188">
        <v>0</v>
      </c>
      <c r="K415" s="188">
        <v>0</v>
      </c>
      <c r="L415" s="188">
        <v>0</v>
      </c>
      <c r="M415" s="188">
        <v>0</v>
      </c>
      <c r="N415" s="188">
        <v>0</v>
      </c>
      <c r="O415" s="188">
        <v>0</v>
      </c>
      <c r="P415" s="188">
        <v>0</v>
      </c>
      <c r="Q415" s="188">
        <v>0</v>
      </c>
      <c r="R415" s="188">
        <v>0</v>
      </c>
      <c r="S415" s="188">
        <v>0</v>
      </c>
      <c r="T415" s="188">
        <v>0</v>
      </c>
      <c r="U415" s="188">
        <v>0</v>
      </c>
      <c r="V415" s="188">
        <v>0</v>
      </c>
      <c r="W415" s="188">
        <v>0</v>
      </c>
      <c r="X415" s="188">
        <v>0</v>
      </c>
      <c r="Y415" s="188">
        <v>0</v>
      </c>
      <c r="Z415" s="188">
        <v>0</v>
      </c>
      <c r="AA415" s="188">
        <v>0</v>
      </c>
      <c r="AB415" s="188">
        <v>0</v>
      </c>
      <c r="AC415" s="188">
        <v>0</v>
      </c>
      <c r="AD415" s="188">
        <v>0</v>
      </c>
      <c r="AE415" s="188">
        <v>0</v>
      </c>
      <c r="AF415" s="188">
        <v>0</v>
      </c>
      <c r="AG415" s="188">
        <v>0</v>
      </c>
      <c r="AH415" s="188">
        <v>0</v>
      </c>
      <c r="AI415" s="188">
        <v>0</v>
      </c>
      <c r="AJ415" s="188">
        <v>0</v>
      </c>
    </row>
    <row r="416" spans="1:36" x14ac:dyDescent="0.35">
      <c r="A416" t="s">
        <v>1979</v>
      </c>
      <c r="B416" s="188" t="s">
        <v>1342</v>
      </c>
      <c r="C416" t="s">
        <v>1350</v>
      </c>
      <c r="D416" s="188">
        <v>30</v>
      </c>
      <c r="E416" t="s">
        <v>1948</v>
      </c>
      <c r="F416" t="s">
        <v>1357</v>
      </c>
      <c r="G416" s="188" t="s">
        <v>1977</v>
      </c>
      <c r="H416" s="188">
        <v>0</v>
      </c>
      <c r="I416" s="188">
        <v>0</v>
      </c>
      <c r="J416" s="188">
        <v>0</v>
      </c>
      <c r="K416" s="188">
        <v>0</v>
      </c>
      <c r="L416" s="188">
        <v>0</v>
      </c>
      <c r="M416" s="188">
        <v>0</v>
      </c>
      <c r="N416" s="188">
        <v>0</v>
      </c>
      <c r="O416" s="188">
        <v>0</v>
      </c>
      <c r="P416" s="188">
        <v>0</v>
      </c>
      <c r="Q416" s="188">
        <v>0</v>
      </c>
      <c r="R416" s="188">
        <v>0</v>
      </c>
      <c r="S416" s="188">
        <v>0</v>
      </c>
      <c r="T416" s="188">
        <v>0</v>
      </c>
      <c r="U416" s="188">
        <v>0</v>
      </c>
      <c r="V416" s="188">
        <v>0</v>
      </c>
      <c r="W416" s="188">
        <v>0</v>
      </c>
      <c r="X416" s="188">
        <v>0</v>
      </c>
      <c r="Y416" s="188">
        <v>0</v>
      </c>
      <c r="Z416" s="188">
        <v>0</v>
      </c>
      <c r="AA416" s="188">
        <v>0</v>
      </c>
      <c r="AB416" s="188">
        <v>0</v>
      </c>
      <c r="AC416" s="188">
        <v>0</v>
      </c>
      <c r="AD416" s="188">
        <v>0</v>
      </c>
      <c r="AE416" s="188">
        <v>0</v>
      </c>
      <c r="AF416" s="188">
        <v>0</v>
      </c>
      <c r="AG416" s="188">
        <v>0</v>
      </c>
      <c r="AH416" s="188">
        <v>0</v>
      </c>
      <c r="AI416" s="188">
        <v>0</v>
      </c>
      <c r="AJ416" s="188">
        <v>0</v>
      </c>
    </row>
    <row r="417" spans="1:36" x14ac:dyDescent="0.35">
      <c r="A417" t="s">
        <v>1980</v>
      </c>
      <c r="B417" s="188" t="s">
        <v>1342</v>
      </c>
      <c r="C417" t="s">
        <v>1343</v>
      </c>
      <c r="D417" s="188">
        <v>30</v>
      </c>
      <c r="E417" t="s">
        <v>1948</v>
      </c>
      <c r="F417" t="s">
        <v>1400</v>
      </c>
      <c r="G417" s="188" t="s">
        <v>1981</v>
      </c>
      <c r="H417" s="188">
        <v>0</v>
      </c>
      <c r="I417" s="188">
        <v>0</v>
      </c>
      <c r="J417" s="188">
        <v>0</v>
      </c>
      <c r="K417" s="188">
        <v>0</v>
      </c>
      <c r="L417" s="188">
        <v>0</v>
      </c>
      <c r="M417" s="188">
        <v>0</v>
      </c>
      <c r="N417" s="188">
        <v>0</v>
      </c>
      <c r="O417" s="188">
        <v>0</v>
      </c>
      <c r="P417" s="188">
        <v>0</v>
      </c>
      <c r="Q417" s="188">
        <v>0</v>
      </c>
      <c r="R417" s="188">
        <v>0</v>
      </c>
      <c r="S417" s="188">
        <v>0</v>
      </c>
      <c r="T417" s="188">
        <v>0</v>
      </c>
      <c r="U417" s="188">
        <v>0</v>
      </c>
      <c r="V417" s="188">
        <v>0</v>
      </c>
      <c r="W417" s="188">
        <v>0</v>
      </c>
      <c r="X417" s="188">
        <v>0</v>
      </c>
      <c r="Y417" s="188">
        <v>0</v>
      </c>
      <c r="Z417" s="188">
        <v>0</v>
      </c>
      <c r="AA417" s="188">
        <v>0</v>
      </c>
      <c r="AB417" s="188">
        <v>0</v>
      </c>
      <c r="AC417" s="188">
        <v>0</v>
      </c>
      <c r="AD417" s="188">
        <v>0</v>
      </c>
      <c r="AE417" s="188">
        <v>0</v>
      </c>
      <c r="AF417" s="188">
        <v>0</v>
      </c>
      <c r="AG417" s="188">
        <v>0</v>
      </c>
      <c r="AH417" s="188">
        <v>0</v>
      </c>
      <c r="AI417" s="188">
        <v>0</v>
      </c>
      <c r="AJ417" s="188">
        <v>0</v>
      </c>
    </row>
    <row r="418" spans="1:36" x14ac:dyDescent="0.35">
      <c r="A418" t="s">
        <v>1982</v>
      </c>
      <c r="B418" s="188" t="s">
        <v>1342</v>
      </c>
      <c r="C418" t="s">
        <v>1348</v>
      </c>
      <c r="D418" s="188">
        <v>30</v>
      </c>
      <c r="E418" t="s">
        <v>1948</v>
      </c>
      <c r="F418" t="s">
        <v>1400</v>
      </c>
      <c r="G418" s="188" t="s">
        <v>1981</v>
      </c>
      <c r="H418" s="188">
        <v>0</v>
      </c>
      <c r="I418" s="188">
        <v>0</v>
      </c>
      <c r="J418" s="188">
        <v>0</v>
      </c>
      <c r="K418" s="188">
        <v>0</v>
      </c>
      <c r="L418" s="188">
        <v>0</v>
      </c>
      <c r="M418" s="188">
        <v>0</v>
      </c>
      <c r="N418" s="188">
        <v>0</v>
      </c>
      <c r="O418" s="188">
        <v>0</v>
      </c>
      <c r="P418" s="188">
        <v>0</v>
      </c>
      <c r="Q418" s="188">
        <v>0</v>
      </c>
      <c r="R418" s="188">
        <v>0</v>
      </c>
      <c r="S418" s="188">
        <v>0</v>
      </c>
      <c r="T418" s="188">
        <v>0</v>
      </c>
      <c r="U418" s="188">
        <v>0</v>
      </c>
      <c r="V418" s="188">
        <v>0</v>
      </c>
      <c r="W418" s="188">
        <v>0</v>
      </c>
      <c r="X418" s="188">
        <v>0</v>
      </c>
      <c r="Y418" s="188">
        <v>0</v>
      </c>
      <c r="Z418" s="188">
        <v>0</v>
      </c>
      <c r="AA418" s="188">
        <v>0</v>
      </c>
      <c r="AB418" s="188">
        <v>0</v>
      </c>
      <c r="AC418" s="188">
        <v>0</v>
      </c>
      <c r="AD418" s="188">
        <v>0</v>
      </c>
      <c r="AE418" s="188">
        <v>0</v>
      </c>
      <c r="AF418" s="188">
        <v>0</v>
      </c>
      <c r="AG418" s="188">
        <v>0</v>
      </c>
      <c r="AH418" s="188">
        <v>0</v>
      </c>
      <c r="AI418" s="188">
        <v>0</v>
      </c>
      <c r="AJ418" s="188">
        <v>0</v>
      </c>
    </row>
    <row r="419" spans="1:36" x14ac:dyDescent="0.35">
      <c r="A419" t="s">
        <v>1983</v>
      </c>
      <c r="B419" s="188" t="s">
        <v>1342</v>
      </c>
      <c r="C419" t="s">
        <v>1350</v>
      </c>
      <c r="D419" s="188">
        <v>30</v>
      </c>
      <c r="E419" t="s">
        <v>1948</v>
      </c>
      <c r="F419" t="s">
        <v>1400</v>
      </c>
      <c r="G419" s="188" t="s">
        <v>1981</v>
      </c>
      <c r="H419" s="188">
        <v>0</v>
      </c>
      <c r="I419" s="188">
        <v>0</v>
      </c>
      <c r="J419" s="188">
        <v>0</v>
      </c>
      <c r="K419" s="188">
        <v>0</v>
      </c>
      <c r="L419" s="188">
        <v>0</v>
      </c>
      <c r="M419" s="188">
        <v>0</v>
      </c>
      <c r="N419" s="188">
        <v>0</v>
      </c>
      <c r="O419" s="188">
        <v>0</v>
      </c>
      <c r="P419" s="188">
        <v>0</v>
      </c>
      <c r="Q419" s="188">
        <v>0</v>
      </c>
      <c r="R419" s="188">
        <v>0</v>
      </c>
      <c r="S419" s="188">
        <v>0</v>
      </c>
      <c r="T419" s="188">
        <v>0</v>
      </c>
      <c r="U419" s="188">
        <v>0</v>
      </c>
      <c r="V419" s="188">
        <v>0</v>
      </c>
      <c r="W419" s="188">
        <v>0</v>
      </c>
      <c r="X419" s="188">
        <v>0</v>
      </c>
      <c r="Y419" s="188">
        <v>0</v>
      </c>
      <c r="Z419" s="188">
        <v>0</v>
      </c>
      <c r="AA419" s="188">
        <v>0</v>
      </c>
      <c r="AB419" s="188">
        <v>0</v>
      </c>
      <c r="AC419" s="188">
        <v>0</v>
      </c>
      <c r="AD419" s="188">
        <v>0</v>
      </c>
      <c r="AE419" s="188">
        <v>0</v>
      </c>
      <c r="AF419" s="188">
        <v>0</v>
      </c>
      <c r="AG419" s="188">
        <v>0</v>
      </c>
      <c r="AH419" s="188">
        <v>0</v>
      </c>
      <c r="AI419" s="188">
        <v>0</v>
      </c>
      <c r="AJ419" s="188">
        <v>0</v>
      </c>
    </row>
    <row r="420" spans="1:36" x14ac:dyDescent="0.35">
      <c r="A420" t="s">
        <v>1984</v>
      </c>
      <c r="B420" s="188" t="s">
        <v>1342</v>
      </c>
      <c r="C420" t="s">
        <v>1343</v>
      </c>
      <c r="D420" s="188">
        <v>30</v>
      </c>
      <c r="E420" t="s">
        <v>1948</v>
      </c>
      <c r="F420" t="s">
        <v>1405</v>
      </c>
      <c r="G420" s="188" t="s">
        <v>1985</v>
      </c>
      <c r="H420" s="188">
        <v>0</v>
      </c>
      <c r="I420" s="188">
        <v>0</v>
      </c>
      <c r="J420" s="188">
        <v>0</v>
      </c>
      <c r="K420" s="188">
        <v>0</v>
      </c>
      <c r="L420" s="188">
        <v>0</v>
      </c>
      <c r="M420" s="188">
        <v>0</v>
      </c>
      <c r="N420" s="188">
        <v>0</v>
      </c>
      <c r="O420" s="188">
        <v>0</v>
      </c>
      <c r="P420" s="188">
        <v>0</v>
      </c>
      <c r="Q420" s="188">
        <v>0</v>
      </c>
      <c r="R420" s="188">
        <v>0</v>
      </c>
      <c r="S420" s="188">
        <v>0</v>
      </c>
      <c r="T420" s="188">
        <v>0</v>
      </c>
      <c r="U420" s="188">
        <v>0</v>
      </c>
      <c r="V420" s="188">
        <v>0</v>
      </c>
      <c r="W420" s="188">
        <v>0</v>
      </c>
      <c r="X420" s="188">
        <v>0</v>
      </c>
      <c r="Y420" s="188">
        <v>0</v>
      </c>
      <c r="Z420" s="188">
        <v>0</v>
      </c>
      <c r="AA420" s="188">
        <v>0</v>
      </c>
      <c r="AB420" s="188">
        <v>0</v>
      </c>
      <c r="AC420" s="188">
        <v>0</v>
      </c>
      <c r="AD420" s="188">
        <v>0</v>
      </c>
      <c r="AE420" s="188">
        <v>0</v>
      </c>
      <c r="AF420" s="188">
        <v>0</v>
      </c>
      <c r="AG420" s="188">
        <v>0</v>
      </c>
      <c r="AH420" s="188">
        <v>0</v>
      </c>
      <c r="AI420" s="188">
        <v>0</v>
      </c>
      <c r="AJ420" s="188">
        <v>0</v>
      </c>
    </row>
    <row r="421" spans="1:36" x14ac:dyDescent="0.35">
      <c r="A421" t="s">
        <v>1986</v>
      </c>
      <c r="B421" s="188" t="s">
        <v>1342</v>
      </c>
      <c r="C421" t="s">
        <v>1348</v>
      </c>
      <c r="D421" s="188">
        <v>30</v>
      </c>
      <c r="E421" t="s">
        <v>1948</v>
      </c>
      <c r="F421" t="s">
        <v>1405</v>
      </c>
      <c r="G421" s="188" t="s">
        <v>1985</v>
      </c>
      <c r="H421" s="188">
        <v>0</v>
      </c>
      <c r="I421" s="188">
        <v>0</v>
      </c>
      <c r="J421" s="188">
        <v>0</v>
      </c>
      <c r="K421" s="188">
        <v>0</v>
      </c>
      <c r="L421" s="188">
        <v>0</v>
      </c>
      <c r="M421" s="188">
        <v>0</v>
      </c>
      <c r="N421" s="188">
        <v>0</v>
      </c>
      <c r="O421" s="188">
        <v>0</v>
      </c>
      <c r="P421" s="188">
        <v>0</v>
      </c>
      <c r="Q421" s="188">
        <v>0</v>
      </c>
      <c r="R421" s="188">
        <v>0</v>
      </c>
      <c r="S421" s="188">
        <v>0</v>
      </c>
      <c r="T421" s="188">
        <v>0</v>
      </c>
      <c r="U421" s="188">
        <v>0</v>
      </c>
      <c r="V421" s="188">
        <v>0</v>
      </c>
      <c r="W421" s="188">
        <v>0</v>
      </c>
      <c r="X421" s="188">
        <v>0</v>
      </c>
      <c r="Y421" s="188">
        <v>0</v>
      </c>
      <c r="Z421" s="188">
        <v>0</v>
      </c>
      <c r="AA421" s="188">
        <v>0</v>
      </c>
      <c r="AB421" s="188">
        <v>0</v>
      </c>
      <c r="AC421" s="188">
        <v>0</v>
      </c>
      <c r="AD421" s="188">
        <v>0</v>
      </c>
      <c r="AE421" s="188">
        <v>0</v>
      </c>
      <c r="AF421" s="188">
        <v>0</v>
      </c>
      <c r="AG421" s="188">
        <v>0</v>
      </c>
      <c r="AH421" s="188">
        <v>0</v>
      </c>
      <c r="AI421" s="188">
        <v>0</v>
      </c>
      <c r="AJ421" s="188">
        <v>0</v>
      </c>
    </row>
    <row r="422" spans="1:36" x14ac:dyDescent="0.35">
      <c r="A422" t="s">
        <v>1987</v>
      </c>
      <c r="B422" s="188" t="s">
        <v>1342</v>
      </c>
      <c r="C422" t="s">
        <v>1350</v>
      </c>
      <c r="D422" s="188">
        <v>30</v>
      </c>
      <c r="E422" t="s">
        <v>1948</v>
      </c>
      <c r="F422" t="s">
        <v>1405</v>
      </c>
      <c r="G422" s="188" t="s">
        <v>1985</v>
      </c>
      <c r="H422" s="188">
        <v>0</v>
      </c>
      <c r="I422" s="188">
        <v>0</v>
      </c>
      <c r="J422" s="188">
        <v>0</v>
      </c>
      <c r="K422" s="188">
        <v>0</v>
      </c>
      <c r="L422" s="188">
        <v>0</v>
      </c>
      <c r="M422" s="188">
        <v>0</v>
      </c>
      <c r="N422" s="188">
        <v>0</v>
      </c>
      <c r="O422" s="188">
        <v>0</v>
      </c>
      <c r="P422" s="188">
        <v>0</v>
      </c>
      <c r="Q422" s="188">
        <v>0</v>
      </c>
      <c r="R422" s="188">
        <v>0</v>
      </c>
      <c r="S422" s="188">
        <v>0</v>
      </c>
      <c r="T422" s="188">
        <v>0</v>
      </c>
      <c r="U422" s="188">
        <v>0</v>
      </c>
      <c r="V422" s="188">
        <v>0</v>
      </c>
      <c r="W422" s="188">
        <v>0</v>
      </c>
      <c r="X422" s="188">
        <v>0</v>
      </c>
      <c r="Y422" s="188">
        <v>0</v>
      </c>
      <c r="Z422" s="188">
        <v>0</v>
      </c>
      <c r="AA422" s="188">
        <v>0</v>
      </c>
      <c r="AB422" s="188">
        <v>0</v>
      </c>
      <c r="AC422" s="188">
        <v>0</v>
      </c>
      <c r="AD422" s="188">
        <v>0</v>
      </c>
      <c r="AE422" s="188">
        <v>0</v>
      </c>
      <c r="AF422" s="188">
        <v>0</v>
      </c>
      <c r="AG422" s="188">
        <v>0</v>
      </c>
      <c r="AH422" s="188">
        <v>0</v>
      </c>
      <c r="AI422" s="188">
        <v>0</v>
      </c>
      <c r="AJ422" s="188">
        <v>0</v>
      </c>
    </row>
    <row r="423" spans="1:36" x14ac:dyDescent="0.35">
      <c r="A423" t="s">
        <v>1988</v>
      </c>
      <c r="B423" s="188" t="s">
        <v>1342</v>
      </c>
      <c r="C423" t="s">
        <v>1343</v>
      </c>
      <c r="D423" t="s">
        <v>555</v>
      </c>
      <c r="E423" t="s">
        <v>1989</v>
      </c>
      <c r="F423" s="188" t="s">
        <v>1990</v>
      </c>
      <c r="G423" s="188" t="s">
        <v>1991</v>
      </c>
      <c r="H423" s="188">
        <v>0.57999999999999996</v>
      </c>
      <c r="I423" s="188">
        <v>0.57999999999999996</v>
      </c>
      <c r="J423" s="188">
        <v>0.57999999999999996</v>
      </c>
      <c r="K423" s="188">
        <v>0.57999999999999996</v>
      </c>
      <c r="L423" s="188">
        <v>0.57999999999999996</v>
      </c>
      <c r="M423" s="188">
        <v>0.57999999999999996</v>
      </c>
      <c r="N423" s="188">
        <v>0.57999999999999996</v>
      </c>
      <c r="O423" s="188">
        <v>0.57999999999999996</v>
      </c>
      <c r="P423" s="188">
        <v>0.57999999999999996</v>
      </c>
      <c r="Q423" s="188">
        <v>0.57999999999999996</v>
      </c>
      <c r="R423" s="188">
        <v>0.57999999999999996</v>
      </c>
      <c r="S423" s="188">
        <v>0.57999999999999996</v>
      </c>
      <c r="T423" s="188">
        <v>0.57999999999999996</v>
      </c>
      <c r="U423" s="188">
        <v>0.57999999999999996</v>
      </c>
      <c r="V423" s="188">
        <v>0.57999999999999996</v>
      </c>
      <c r="W423" s="188">
        <v>0.57999999999999996</v>
      </c>
      <c r="X423" s="188">
        <v>0.57999999999999996</v>
      </c>
      <c r="Y423" s="188">
        <v>0.57999999999999996</v>
      </c>
      <c r="Z423" s="188">
        <v>0.57999999999999996</v>
      </c>
      <c r="AA423" s="188">
        <v>0.57999999999999996</v>
      </c>
      <c r="AB423" s="188">
        <v>0.57999999999999996</v>
      </c>
      <c r="AC423" s="188">
        <v>0.57999999999999996</v>
      </c>
      <c r="AD423" s="188">
        <v>0.57999999999999996</v>
      </c>
      <c r="AE423" s="188">
        <v>0.57999999999999996</v>
      </c>
      <c r="AF423" s="188">
        <v>0.57999999999999996</v>
      </c>
      <c r="AG423" s="188">
        <v>0.57999999999999996</v>
      </c>
      <c r="AH423" s="188">
        <v>0.57999999999999996</v>
      </c>
      <c r="AI423" s="188">
        <v>0.57999999999999996</v>
      </c>
      <c r="AJ423" s="188">
        <v>0.57999999999999996</v>
      </c>
    </row>
    <row r="424" spans="1:36" x14ac:dyDescent="0.35">
      <c r="A424" t="s">
        <v>1992</v>
      </c>
      <c r="B424" s="188" t="s">
        <v>1342</v>
      </c>
      <c r="C424" t="s">
        <v>1348</v>
      </c>
      <c r="D424" t="s">
        <v>555</v>
      </c>
      <c r="E424" t="s">
        <v>1989</v>
      </c>
      <c r="F424" s="188" t="s">
        <v>1990</v>
      </c>
      <c r="G424" s="188" t="s">
        <v>1991</v>
      </c>
      <c r="H424" s="188">
        <v>0.57999999999999996</v>
      </c>
      <c r="I424" s="188">
        <v>0.57999999999999996</v>
      </c>
      <c r="J424" s="188">
        <v>0.57999999999999996</v>
      </c>
      <c r="K424" s="188">
        <v>0.57999999999999996</v>
      </c>
      <c r="L424" s="188">
        <v>0.57999999999999996</v>
      </c>
      <c r="M424" s="188">
        <v>0.57999999999999996</v>
      </c>
      <c r="N424" s="188">
        <v>0.57999999999999996</v>
      </c>
      <c r="O424" s="188">
        <v>0.57999999999999996</v>
      </c>
      <c r="P424" s="188">
        <v>0.57999999999999996</v>
      </c>
      <c r="Q424" s="188">
        <v>0.57999999999999996</v>
      </c>
      <c r="R424" s="188">
        <v>0.57999999999999996</v>
      </c>
      <c r="S424" s="188">
        <v>0.57999999999999996</v>
      </c>
      <c r="T424" s="188">
        <v>0.57999999999999996</v>
      </c>
      <c r="U424" s="188">
        <v>0.57999999999999996</v>
      </c>
      <c r="V424" s="188">
        <v>0.57999999999999996</v>
      </c>
      <c r="W424" s="188">
        <v>0.57999999999999996</v>
      </c>
      <c r="X424" s="188">
        <v>0.57999999999999996</v>
      </c>
      <c r="Y424" s="188">
        <v>0.57999999999999996</v>
      </c>
      <c r="Z424" s="188">
        <v>0.57999999999999996</v>
      </c>
      <c r="AA424" s="188">
        <v>0.57999999999999996</v>
      </c>
      <c r="AB424" s="188">
        <v>0.57999999999999996</v>
      </c>
      <c r="AC424" s="188">
        <v>0.57999999999999996</v>
      </c>
      <c r="AD424" s="188">
        <v>0.57999999999999996</v>
      </c>
      <c r="AE424" s="188">
        <v>0.57999999999999996</v>
      </c>
      <c r="AF424" s="188">
        <v>0.57999999999999996</v>
      </c>
      <c r="AG424" s="188">
        <v>0.57999999999999996</v>
      </c>
      <c r="AH424" s="188">
        <v>0.57999999999999996</v>
      </c>
      <c r="AI424" s="188">
        <v>0.57999999999999996</v>
      </c>
      <c r="AJ424" s="188">
        <v>0.57999999999999996</v>
      </c>
    </row>
    <row r="425" spans="1:36" x14ac:dyDescent="0.35">
      <c r="A425" t="s">
        <v>1993</v>
      </c>
      <c r="B425" s="188" t="s">
        <v>1342</v>
      </c>
      <c r="C425" t="s">
        <v>1350</v>
      </c>
      <c r="D425" t="s">
        <v>555</v>
      </c>
      <c r="E425" t="s">
        <v>1989</v>
      </c>
      <c r="F425" s="188" t="s">
        <v>1990</v>
      </c>
      <c r="G425" s="188" t="s">
        <v>1991</v>
      </c>
      <c r="H425" s="188">
        <v>0.57999999999999996</v>
      </c>
      <c r="I425" s="188">
        <v>0.57999999999999996</v>
      </c>
      <c r="J425" s="188">
        <v>0.57999999999999996</v>
      </c>
      <c r="K425" s="188">
        <v>0.57999999999999996</v>
      </c>
      <c r="L425" s="188">
        <v>0.57999999999999996</v>
      </c>
      <c r="M425" s="188">
        <v>0.57999999999999996</v>
      </c>
      <c r="N425" s="188">
        <v>0.57999999999999996</v>
      </c>
      <c r="O425" s="188">
        <v>0.57999999999999996</v>
      </c>
      <c r="P425" s="188">
        <v>0.57999999999999996</v>
      </c>
      <c r="Q425" s="188">
        <v>0.57999999999999996</v>
      </c>
      <c r="R425" s="188">
        <v>0.57999999999999996</v>
      </c>
      <c r="S425" s="188">
        <v>0.57999999999999996</v>
      </c>
      <c r="T425" s="188">
        <v>0.57999999999999996</v>
      </c>
      <c r="U425" s="188">
        <v>0.57999999999999996</v>
      </c>
      <c r="V425" s="188">
        <v>0.57999999999999996</v>
      </c>
      <c r="W425" s="188">
        <v>0.57999999999999996</v>
      </c>
      <c r="X425" s="188">
        <v>0.57999999999999996</v>
      </c>
      <c r="Y425" s="188">
        <v>0.57999999999999996</v>
      </c>
      <c r="Z425" s="188">
        <v>0.57999999999999996</v>
      </c>
      <c r="AA425" s="188">
        <v>0.57999999999999996</v>
      </c>
      <c r="AB425" s="188">
        <v>0.57999999999999996</v>
      </c>
      <c r="AC425" s="188">
        <v>0.57999999999999996</v>
      </c>
      <c r="AD425" s="188">
        <v>0.57999999999999996</v>
      </c>
      <c r="AE425" s="188">
        <v>0.57999999999999996</v>
      </c>
      <c r="AF425" s="188">
        <v>0.57999999999999996</v>
      </c>
      <c r="AG425" s="188">
        <v>0.57999999999999996</v>
      </c>
      <c r="AH425" s="188">
        <v>0.57999999999999996</v>
      </c>
      <c r="AI425" s="188">
        <v>0.57999999999999996</v>
      </c>
      <c r="AJ425" s="188">
        <v>0.57999999999999996</v>
      </c>
    </row>
    <row r="426" spans="1:36" x14ac:dyDescent="0.35">
      <c r="A426" t="s">
        <v>1994</v>
      </c>
      <c r="B426" s="188" t="s">
        <v>1342</v>
      </c>
      <c r="C426" t="s">
        <v>1343</v>
      </c>
      <c r="D426" t="s">
        <v>555</v>
      </c>
      <c r="E426" t="s">
        <v>1989</v>
      </c>
      <c r="F426" s="188" t="s">
        <v>1995</v>
      </c>
      <c r="G426" s="188" t="s">
        <v>1996</v>
      </c>
      <c r="H426" s="188">
        <v>0.57999999999999996</v>
      </c>
      <c r="I426" s="188">
        <v>0.57999999999999996</v>
      </c>
      <c r="J426" s="188">
        <v>0.57999999999999996</v>
      </c>
      <c r="K426" s="188">
        <v>0.57999999999999996</v>
      </c>
      <c r="L426" s="188">
        <v>0.57999999999999996</v>
      </c>
      <c r="M426" s="188">
        <v>0.57999999999999996</v>
      </c>
      <c r="N426" s="188">
        <v>0.57999999999999996</v>
      </c>
      <c r="O426" s="188">
        <v>0.57999999999999996</v>
      </c>
      <c r="P426" s="188">
        <v>0.57999999999999996</v>
      </c>
      <c r="Q426" s="188">
        <v>0.57999999999999996</v>
      </c>
      <c r="R426" s="188">
        <v>0.57999999999999996</v>
      </c>
      <c r="S426" s="188">
        <v>0.57999999999999996</v>
      </c>
      <c r="T426" s="188">
        <v>0.57999999999999996</v>
      </c>
      <c r="U426" s="188">
        <v>0.57999999999999996</v>
      </c>
      <c r="V426" s="188">
        <v>0.57999999999999996</v>
      </c>
      <c r="W426" s="188">
        <v>0.57999999999999996</v>
      </c>
      <c r="X426" s="188">
        <v>0.57999999999999996</v>
      </c>
      <c r="Y426" s="188">
        <v>0.57999999999999996</v>
      </c>
      <c r="Z426" s="188">
        <v>0.57999999999999996</v>
      </c>
      <c r="AA426" s="188">
        <v>0.57999999999999996</v>
      </c>
      <c r="AB426" s="188">
        <v>0.57999999999999996</v>
      </c>
      <c r="AC426" s="188">
        <v>0.57999999999999996</v>
      </c>
      <c r="AD426" s="188">
        <v>0.57999999999999996</v>
      </c>
      <c r="AE426" s="188">
        <v>0.57999999999999996</v>
      </c>
      <c r="AF426" s="188">
        <v>0.57999999999999996</v>
      </c>
      <c r="AG426" s="188">
        <v>0.57999999999999996</v>
      </c>
      <c r="AH426" s="188">
        <v>0.57999999999999996</v>
      </c>
      <c r="AI426" s="188">
        <v>0.57999999999999996</v>
      </c>
      <c r="AJ426" s="188">
        <v>0.57999999999999996</v>
      </c>
    </row>
    <row r="427" spans="1:36" x14ac:dyDescent="0.35">
      <c r="A427" t="s">
        <v>1997</v>
      </c>
      <c r="B427" s="188" t="s">
        <v>1342</v>
      </c>
      <c r="C427" t="s">
        <v>1348</v>
      </c>
      <c r="D427" t="s">
        <v>555</v>
      </c>
      <c r="E427" t="s">
        <v>1989</v>
      </c>
      <c r="F427" s="188" t="s">
        <v>1995</v>
      </c>
      <c r="G427" s="188" t="s">
        <v>1996</v>
      </c>
      <c r="H427" s="188">
        <v>0.57999999999999996</v>
      </c>
      <c r="I427" s="188">
        <v>0.57999999999999996</v>
      </c>
      <c r="J427" s="188">
        <v>0.57999999999999996</v>
      </c>
      <c r="K427" s="188">
        <v>0.57999999999999996</v>
      </c>
      <c r="L427" s="188">
        <v>0.57999999999999996</v>
      </c>
      <c r="M427" s="188">
        <v>0.57999999999999996</v>
      </c>
      <c r="N427" s="188">
        <v>0.57999999999999996</v>
      </c>
      <c r="O427" s="188">
        <v>0.57999999999999996</v>
      </c>
      <c r="P427" s="188">
        <v>0.57999999999999996</v>
      </c>
      <c r="Q427" s="188">
        <v>0.57999999999999996</v>
      </c>
      <c r="R427" s="188">
        <v>0.57999999999999996</v>
      </c>
      <c r="S427" s="188">
        <v>0.57999999999999996</v>
      </c>
      <c r="T427" s="188">
        <v>0.57999999999999996</v>
      </c>
      <c r="U427" s="188">
        <v>0.57999999999999996</v>
      </c>
      <c r="V427" s="188">
        <v>0.57999999999999996</v>
      </c>
      <c r="W427" s="188">
        <v>0.57999999999999996</v>
      </c>
      <c r="X427" s="188">
        <v>0.57999999999999996</v>
      </c>
      <c r="Y427" s="188">
        <v>0.57999999999999996</v>
      </c>
      <c r="Z427" s="188">
        <v>0.57999999999999996</v>
      </c>
      <c r="AA427" s="188">
        <v>0.57999999999999996</v>
      </c>
      <c r="AB427" s="188">
        <v>0.57999999999999996</v>
      </c>
      <c r="AC427" s="188">
        <v>0.57999999999999996</v>
      </c>
      <c r="AD427" s="188">
        <v>0.57999999999999996</v>
      </c>
      <c r="AE427" s="188">
        <v>0.57999999999999996</v>
      </c>
      <c r="AF427" s="188">
        <v>0.57999999999999996</v>
      </c>
      <c r="AG427" s="188">
        <v>0.57999999999999996</v>
      </c>
      <c r="AH427" s="188">
        <v>0.57999999999999996</v>
      </c>
      <c r="AI427" s="188">
        <v>0.57999999999999996</v>
      </c>
      <c r="AJ427" s="188">
        <v>0.57999999999999996</v>
      </c>
    </row>
    <row r="428" spans="1:36" x14ac:dyDescent="0.35">
      <c r="A428" t="s">
        <v>1998</v>
      </c>
      <c r="B428" s="188" t="s">
        <v>1342</v>
      </c>
      <c r="C428" t="s">
        <v>1350</v>
      </c>
      <c r="D428" t="s">
        <v>555</v>
      </c>
      <c r="E428" t="s">
        <v>1989</v>
      </c>
      <c r="F428" s="188" t="s">
        <v>1995</v>
      </c>
      <c r="G428" s="188" t="s">
        <v>1996</v>
      </c>
      <c r="H428" s="188">
        <v>0.57999999999999996</v>
      </c>
      <c r="I428" s="188">
        <v>0.57999999999999996</v>
      </c>
      <c r="J428" s="188">
        <v>0.57999999999999996</v>
      </c>
      <c r="K428" s="188">
        <v>0.57999999999999996</v>
      </c>
      <c r="L428" s="188">
        <v>0.57999999999999996</v>
      </c>
      <c r="M428" s="188">
        <v>0.57999999999999996</v>
      </c>
      <c r="N428" s="188">
        <v>0.57999999999999996</v>
      </c>
      <c r="O428" s="188">
        <v>0.57999999999999996</v>
      </c>
      <c r="P428" s="188">
        <v>0.57999999999999996</v>
      </c>
      <c r="Q428" s="188">
        <v>0.57999999999999996</v>
      </c>
      <c r="R428" s="188">
        <v>0.57999999999999996</v>
      </c>
      <c r="S428" s="188">
        <v>0.57999999999999996</v>
      </c>
      <c r="T428" s="188">
        <v>0.57999999999999996</v>
      </c>
      <c r="U428" s="188">
        <v>0.57999999999999996</v>
      </c>
      <c r="V428" s="188">
        <v>0.57999999999999996</v>
      </c>
      <c r="W428" s="188">
        <v>0.57999999999999996</v>
      </c>
      <c r="X428" s="188">
        <v>0.57999999999999996</v>
      </c>
      <c r="Y428" s="188">
        <v>0.57999999999999996</v>
      </c>
      <c r="Z428" s="188">
        <v>0.57999999999999996</v>
      </c>
      <c r="AA428" s="188">
        <v>0.57999999999999996</v>
      </c>
      <c r="AB428" s="188">
        <v>0.57999999999999996</v>
      </c>
      <c r="AC428" s="188">
        <v>0.57999999999999996</v>
      </c>
      <c r="AD428" s="188">
        <v>0.57999999999999996</v>
      </c>
      <c r="AE428" s="188">
        <v>0.57999999999999996</v>
      </c>
      <c r="AF428" s="188">
        <v>0.57999999999999996</v>
      </c>
      <c r="AG428" s="188">
        <v>0.57999999999999996</v>
      </c>
      <c r="AH428" s="188">
        <v>0.57999999999999996</v>
      </c>
      <c r="AI428" s="188">
        <v>0.57999999999999996</v>
      </c>
      <c r="AJ428" s="188">
        <v>0.57999999999999996</v>
      </c>
    </row>
    <row r="429" spans="1:36" x14ac:dyDescent="0.35">
      <c r="A429" t="s">
        <v>1999</v>
      </c>
      <c r="B429" s="188" t="s">
        <v>1342</v>
      </c>
      <c r="C429" t="s">
        <v>1343</v>
      </c>
      <c r="D429" t="s">
        <v>555</v>
      </c>
      <c r="E429" t="s">
        <v>1989</v>
      </c>
      <c r="F429" s="188" t="s">
        <v>2000</v>
      </c>
      <c r="G429" s="188" t="s">
        <v>2001</v>
      </c>
      <c r="H429" s="188">
        <v>0.57999999999999996</v>
      </c>
      <c r="I429" s="188">
        <v>0.57999999999999996</v>
      </c>
      <c r="J429" s="188">
        <v>0.57999999999999996</v>
      </c>
      <c r="K429" s="188">
        <v>0.57999999999999996</v>
      </c>
      <c r="L429" s="188">
        <v>0.57999999999999996</v>
      </c>
      <c r="M429" s="188">
        <v>0.57999999999999996</v>
      </c>
      <c r="N429" s="188">
        <v>0.57999999999999996</v>
      </c>
      <c r="O429" s="188">
        <v>0.57999999999999996</v>
      </c>
      <c r="P429" s="188">
        <v>0.57999999999999996</v>
      </c>
      <c r="Q429" s="188">
        <v>0.57999999999999996</v>
      </c>
      <c r="R429" s="188">
        <v>0.57999999999999996</v>
      </c>
      <c r="S429" s="188">
        <v>0.57999999999999996</v>
      </c>
      <c r="T429" s="188">
        <v>0.57999999999999996</v>
      </c>
      <c r="U429" s="188">
        <v>0.57999999999999996</v>
      </c>
      <c r="V429" s="188">
        <v>0.57999999999999996</v>
      </c>
      <c r="W429" s="188">
        <v>0.57999999999999996</v>
      </c>
      <c r="X429" s="188">
        <v>0.57999999999999996</v>
      </c>
      <c r="Y429" s="188">
        <v>0.57999999999999996</v>
      </c>
      <c r="Z429" s="188">
        <v>0.57999999999999996</v>
      </c>
      <c r="AA429" s="188">
        <v>0.57999999999999996</v>
      </c>
      <c r="AB429" s="188">
        <v>0.57999999999999996</v>
      </c>
      <c r="AC429" s="188">
        <v>0.57999999999999996</v>
      </c>
      <c r="AD429" s="188">
        <v>0.57999999999999996</v>
      </c>
      <c r="AE429" s="188">
        <v>0.57999999999999996</v>
      </c>
      <c r="AF429" s="188">
        <v>0.57999999999999996</v>
      </c>
      <c r="AG429" s="188">
        <v>0.57999999999999996</v>
      </c>
      <c r="AH429" s="188">
        <v>0.57999999999999996</v>
      </c>
      <c r="AI429" s="188">
        <v>0.57999999999999996</v>
      </c>
      <c r="AJ429" s="188">
        <v>0.57999999999999996</v>
      </c>
    </row>
    <row r="430" spans="1:36" x14ac:dyDescent="0.35">
      <c r="A430" t="s">
        <v>2002</v>
      </c>
      <c r="B430" s="188" t="s">
        <v>1342</v>
      </c>
      <c r="C430" t="s">
        <v>1348</v>
      </c>
      <c r="D430" t="s">
        <v>555</v>
      </c>
      <c r="E430" t="s">
        <v>1989</v>
      </c>
      <c r="F430" s="188" t="s">
        <v>2000</v>
      </c>
      <c r="G430" s="188" t="s">
        <v>2001</v>
      </c>
      <c r="H430" s="188">
        <v>0.57999999999999996</v>
      </c>
      <c r="I430" s="188">
        <v>0.57999999999999996</v>
      </c>
      <c r="J430" s="188">
        <v>0.57999999999999996</v>
      </c>
      <c r="K430" s="188">
        <v>0.57999999999999996</v>
      </c>
      <c r="L430" s="188">
        <v>0.57999999999999996</v>
      </c>
      <c r="M430" s="188">
        <v>0.57999999999999996</v>
      </c>
      <c r="N430" s="188">
        <v>0.57999999999999996</v>
      </c>
      <c r="O430" s="188">
        <v>0.57999999999999996</v>
      </c>
      <c r="P430" s="188">
        <v>0.57999999999999996</v>
      </c>
      <c r="Q430" s="188">
        <v>0.57999999999999996</v>
      </c>
      <c r="R430" s="188">
        <v>0.57999999999999996</v>
      </c>
      <c r="S430" s="188">
        <v>0.57999999999999996</v>
      </c>
      <c r="T430" s="188">
        <v>0.57999999999999996</v>
      </c>
      <c r="U430" s="188">
        <v>0.57999999999999996</v>
      </c>
      <c r="V430" s="188">
        <v>0.57999999999999996</v>
      </c>
      <c r="W430" s="188">
        <v>0.57999999999999996</v>
      </c>
      <c r="X430" s="188">
        <v>0.57999999999999996</v>
      </c>
      <c r="Y430" s="188">
        <v>0.57999999999999996</v>
      </c>
      <c r="Z430" s="188">
        <v>0.57999999999999996</v>
      </c>
      <c r="AA430" s="188">
        <v>0.57999999999999996</v>
      </c>
      <c r="AB430" s="188">
        <v>0.57999999999999996</v>
      </c>
      <c r="AC430" s="188">
        <v>0.57999999999999996</v>
      </c>
      <c r="AD430" s="188">
        <v>0.57999999999999996</v>
      </c>
      <c r="AE430" s="188">
        <v>0.57999999999999996</v>
      </c>
      <c r="AF430" s="188">
        <v>0.57999999999999996</v>
      </c>
      <c r="AG430" s="188">
        <v>0.57999999999999996</v>
      </c>
      <c r="AH430" s="188">
        <v>0.57999999999999996</v>
      </c>
      <c r="AI430" s="188">
        <v>0.57999999999999996</v>
      </c>
      <c r="AJ430" s="188">
        <v>0.57999999999999996</v>
      </c>
    </row>
    <row r="431" spans="1:36" x14ac:dyDescent="0.35">
      <c r="A431" t="s">
        <v>2003</v>
      </c>
      <c r="B431" s="188" t="s">
        <v>1342</v>
      </c>
      <c r="C431" t="s">
        <v>1350</v>
      </c>
      <c r="D431" t="s">
        <v>555</v>
      </c>
      <c r="E431" t="s">
        <v>1989</v>
      </c>
      <c r="F431" s="188" t="s">
        <v>2000</v>
      </c>
      <c r="G431" s="188" t="s">
        <v>2001</v>
      </c>
      <c r="H431" s="188">
        <v>0.57999999999999996</v>
      </c>
      <c r="I431" s="188">
        <v>0.57999999999999996</v>
      </c>
      <c r="J431" s="188">
        <v>0.57999999999999996</v>
      </c>
      <c r="K431" s="188">
        <v>0.57999999999999996</v>
      </c>
      <c r="L431" s="188">
        <v>0.57999999999999996</v>
      </c>
      <c r="M431" s="188">
        <v>0.57999999999999996</v>
      </c>
      <c r="N431" s="188">
        <v>0.57999999999999996</v>
      </c>
      <c r="O431" s="188">
        <v>0.57999999999999996</v>
      </c>
      <c r="P431" s="188">
        <v>0.57999999999999996</v>
      </c>
      <c r="Q431" s="188">
        <v>0.57999999999999996</v>
      </c>
      <c r="R431" s="188">
        <v>0.57999999999999996</v>
      </c>
      <c r="S431" s="188">
        <v>0.57999999999999996</v>
      </c>
      <c r="T431" s="188">
        <v>0.57999999999999996</v>
      </c>
      <c r="U431" s="188">
        <v>0.57999999999999996</v>
      </c>
      <c r="V431" s="188">
        <v>0.57999999999999996</v>
      </c>
      <c r="W431" s="188">
        <v>0.57999999999999996</v>
      </c>
      <c r="X431" s="188">
        <v>0.57999999999999996</v>
      </c>
      <c r="Y431" s="188">
        <v>0.57999999999999996</v>
      </c>
      <c r="Z431" s="188">
        <v>0.57999999999999996</v>
      </c>
      <c r="AA431" s="188">
        <v>0.57999999999999996</v>
      </c>
      <c r="AB431" s="188">
        <v>0.57999999999999996</v>
      </c>
      <c r="AC431" s="188">
        <v>0.57999999999999996</v>
      </c>
      <c r="AD431" s="188">
        <v>0.57999999999999996</v>
      </c>
      <c r="AE431" s="188">
        <v>0.57999999999999996</v>
      </c>
      <c r="AF431" s="188">
        <v>0.57999999999999996</v>
      </c>
      <c r="AG431" s="188">
        <v>0.57999999999999996</v>
      </c>
      <c r="AH431" s="188">
        <v>0.57999999999999996</v>
      </c>
      <c r="AI431" s="188">
        <v>0.57999999999999996</v>
      </c>
      <c r="AJ431" s="188">
        <v>0.57999999999999996</v>
      </c>
    </row>
    <row r="432" spans="1:36" x14ac:dyDescent="0.35">
      <c r="A432" t="s">
        <v>2004</v>
      </c>
      <c r="B432" s="188" t="s">
        <v>1342</v>
      </c>
      <c r="C432" t="s">
        <v>1343</v>
      </c>
      <c r="D432" t="s">
        <v>555</v>
      </c>
      <c r="E432" t="s">
        <v>1989</v>
      </c>
      <c r="F432" s="188" t="s">
        <v>2005</v>
      </c>
      <c r="G432" s="188" t="s">
        <v>2006</v>
      </c>
      <c r="H432" s="188">
        <v>0.57999999999999996</v>
      </c>
      <c r="I432" s="188">
        <v>0.57999999999999996</v>
      </c>
      <c r="J432" s="188">
        <v>0.57999999999999996</v>
      </c>
      <c r="K432" s="188">
        <v>0.57999999999999996</v>
      </c>
      <c r="L432" s="188">
        <v>0.57999999999999996</v>
      </c>
      <c r="M432" s="188">
        <v>0.57999999999999996</v>
      </c>
      <c r="N432" s="188">
        <v>0.57999999999999996</v>
      </c>
      <c r="O432" s="188">
        <v>0.57999999999999996</v>
      </c>
      <c r="P432" s="188">
        <v>0.57999999999999996</v>
      </c>
      <c r="Q432" s="188">
        <v>0.57999999999999996</v>
      </c>
      <c r="R432" s="188">
        <v>0.57999999999999996</v>
      </c>
      <c r="S432" s="188">
        <v>0.57999999999999996</v>
      </c>
      <c r="T432" s="188">
        <v>0.57999999999999996</v>
      </c>
      <c r="U432" s="188">
        <v>0.57999999999999996</v>
      </c>
      <c r="V432" s="188">
        <v>0.57999999999999996</v>
      </c>
      <c r="W432" s="188">
        <v>0.57999999999999996</v>
      </c>
      <c r="X432" s="188">
        <v>0.57999999999999996</v>
      </c>
      <c r="Y432" s="188">
        <v>0.57999999999999996</v>
      </c>
      <c r="Z432" s="188">
        <v>0.57999999999999996</v>
      </c>
      <c r="AA432" s="188">
        <v>0.57999999999999996</v>
      </c>
      <c r="AB432" s="188">
        <v>0.57999999999999996</v>
      </c>
      <c r="AC432" s="188">
        <v>0.57999999999999996</v>
      </c>
      <c r="AD432" s="188">
        <v>0.57999999999999996</v>
      </c>
      <c r="AE432" s="188">
        <v>0.57999999999999996</v>
      </c>
      <c r="AF432" s="188">
        <v>0.57999999999999996</v>
      </c>
      <c r="AG432" s="188">
        <v>0.57999999999999996</v>
      </c>
      <c r="AH432" s="188">
        <v>0.57999999999999996</v>
      </c>
      <c r="AI432" s="188">
        <v>0.57999999999999996</v>
      </c>
      <c r="AJ432" s="188">
        <v>0.57999999999999996</v>
      </c>
    </row>
    <row r="433" spans="1:36" x14ac:dyDescent="0.35">
      <c r="A433" t="s">
        <v>2007</v>
      </c>
      <c r="B433" s="188" t="s">
        <v>1342</v>
      </c>
      <c r="C433" t="s">
        <v>1348</v>
      </c>
      <c r="D433" t="s">
        <v>555</v>
      </c>
      <c r="E433" t="s">
        <v>1989</v>
      </c>
      <c r="F433" s="188" t="s">
        <v>2005</v>
      </c>
      <c r="G433" s="188" t="s">
        <v>2006</v>
      </c>
      <c r="H433" s="188">
        <v>0.57999999999999996</v>
      </c>
      <c r="I433" s="188">
        <v>0.57999999999999996</v>
      </c>
      <c r="J433" s="188">
        <v>0.57999999999999996</v>
      </c>
      <c r="K433" s="188">
        <v>0.57999999999999996</v>
      </c>
      <c r="L433" s="188">
        <v>0.57999999999999996</v>
      </c>
      <c r="M433" s="188">
        <v>0.57999999999999996</v>
      </c>
      <c r="N433" s="188">
        <v>0.57999999999999996</v>
      </c>
      <c r="O433" s="188">
        <v>0.57999999999999996</v>
      </c>
      <c r="P433" s="188">
        <v>0.57999999999999996</v>
      </c>
      <c r="Q433" s="188">
        <v>0.57999999999999996</v>
      </c>
      <c r="R433" s="188">
        <v>0.57999999999999996</v>
      </c>
      <c r="S433" s="188">
        <v>0.57999999999999996</v>
      </c>
      <c r="T433" s="188">
        <v>0.57999999999999996</v>
      </c>
      <c r="U433" s="188">
        <v>0.57999999999999996</v>
      </c>
      <c r="V433" s="188">
        <v>0.57999999999999996</v>
      </c>
      <c r="W433" s="188">
        <v>0.57999999999999996</v>
      </c>
      <c r="X433" s="188">
        <v>0.57999999999999996</v>
      </c>
      <c r="Y433" s="188">
        <v>0.57999999999999996</v>
      </c>
      <c r="Z433" s="188">
        <v>0.57999999999999996</v>
      </c>
      <c r="AA433" s="188">
        <v>0.57999999999999996</v>
      </c>
      <c r="AB433" s="188">
        <v>0.57999999999999996</v>
      </c>
      <c r="AC433" s="188">
        <v>0.57999999999999996</v>
      </c>
      <c r="AD433" s="188">
        <v>0.57999999999999996</v>
      </c>
      <c r="AE433" s="188">
        <v>0.57999999999999996</v>
      </c>
      <c r="AF433" s="188">
        <v>0.57999999999999996</v>
      </c>
      <c r="AG433" s="188">
        <v>0.57999999999999996</v>
      </c>
      <c r="AH433" s="188">
        <v>0.57999999999999996</v>
      </c>
      <c r="AI433" s="188">
        <v>0.57999999999999996</v>
      </c>
      <c r="AJ433" s="188">
        <v>0.57999999999999996</v>
      </c>
    </row>
    <row r="434" spans="1:36" x14ac:dyDescent="0.35">
      <c r="A434" t="s">
        <v>2008</v>
      </c>
      <c r="B434" s="188" t="s">
        <v>1342</v>
      </c>
      <c r="C434" t="s">
        <v>1350</v>
      </c>
      <c r="D434" t="s">
        <v>555</v>
      </c>
      <c r="E434" t="s">
        <v>1989</v>
      </c>
      <c r="F434" s="188" t="s">
        <v>2005</v>
      </c>
      <c r="G434" s="188" t="s">
        <v>2006</v>
      </c>
      <c r="H434" s="188">
        <v>0.57999999999999996</v>
      </c>
      <c r="I434" s="188">
        <v>0.57999999999999996</v>
      </c>
      <c r="J434" s="188">
        <v>0.57999999999999996</v>
      </c>
      <c r="K434" s="188">
        <v>0.57999999999999996</v>
      </c>
      <c r="L434" s="188">
        <v>0.57999999999999996</v>
      </c>
      <c r="M434" s="188">
        <v>0.57999999999999996</v>
      </c>
      <c r="N434" s="188">
        <v>0.57999999999999996</v>
      </c>
      <c r="O434" s="188">
        <v>0.57999999999999996</v>
      </c>
      <c r="P434" s="188">
        <v>0.57999999999999996</v>
      </c>
      <c r="Q434" s="188">
        <v>0.57999999999999996</v>
      </c>
      <c r="R434" s="188">
        <v>0.57999999999999996</v>
      </c>
      <c r="S434" s="188">
        <v>0.57999999999999996</v>
      </c>
      <c r="T434" s="188">
        <v>0.57999999999999996</v>
      </c>
      <c r="U434" s="188">
        <v>0.57999999999999996</v>
      </c>
      <c r="V434" s="188">
        <v>0.57999999999999996</v>
      </c>
      <c r="W434" s="188">
        <v>0.57999999999999996</v>
      </c>
      <c r="X434" s="188">
        <v>0.57999999999999996</v>
      </c>
      <c r="Y434" s="188">
        <v>0.57999999999999996</v>
      </c>
      <c r="Z434" s="188">
        <v>0.57999999999999996</v>
      </c>
      <c r="AA434" s="188">
        <v>0.57999999999999996</v>
      </c>
      <c r="AB434" s="188">
        <v>0.57999999999999996</v>
      </c>
      <c r="AC434" s="188">
        <v>0.57999999999999996</v>
      </c>
      <c r="AD434" s="188">
        <v>0.57999999999999996</v>
      </c>
      <c r="AE434" s="188">
        <v>0.57999999999999996</v>
      </c>
      <c r="AF434" s="188">
        <v>0.57999999999999996</v>
      </c>
      <c r="AG434" s="188">
        <v>0.57999999999999996</v>
      </c>
      <c r="AH434" s="188">
        <v>0.57999999999999996</v>
      </c>
      <c r="AI434" s="188">
        <v>0.57999999999999996</v>
      </c>
      <c r="AJ434" s="188">
        <v>0.57999999999999996</v>
      </c>
    </row>
    <row r="435" spans="1:36" x14ac:dyDescent="0.35">
      <c r="A435" t="s">
        <v>2009</v>
      </c>
      <c r="B435" s="188" t="s">
        <v>1342</v>
      </c>
      <c r="C435" t="s">
        <v>1343</v>
      </c>
      <c r="D435" t="s">
        <v>555</v>
      </c>
      <c r="E435" t="s">
        <v>1989</v>
      </c>
      <c r="F435" s="188" t="s">
        <v>2010</v>
      </c>
      <c r="G435" s="188" t="s">
        <v>2011</v>
      </c>
      <c r="H435" s="188">
        <v>0.57999999999999996</v>
      </c>
      <c r="I435" s="188">
        <v>0.57999999999999996</v>
      </c>
      <c r="J435" s="188">
        <v>0.57999999999999996</v>
      </c>
      <c r="K435" s="188">
        <v>0.57999999999999996</v>
      </c>
      <c r="L435" s="188">
        <v>0.57999999999999996</v>
      </c>
      <c r="M435" s="188">
        <v>0.57999999999999996</v>
      </c>
      <c r="N435" s="188">
        <v>0.57999999999999996</v>
      </c>
      <c r="O435" s="188">
        <v>0.57999999999999996</v>
      </c>
      <c r="P435" s="188">
        <v>0.57999999999999996</v>
      </c>
      <c r="Q435" s="188">
        <v>0.57999999999999996</v>
      </c>
      <c r="R435" s="188">
        <v>0.57999999999999996</v>
      </c>
      <c r="S435" s="188">
        <v>0.57999999999999996</v>
      </c>
      <c r="T435" s="188">
        <v>0.57999999999999996</v>
      </c>
      <c r="U435" s="188">
        <v>0.57999999999999996</v>
      </c>
      <c r="V435" s="188">
        <v>0.57999999999999996</v>
      </c>
      <c r="W435" s="188">
        <v>0.57999999999999996</v>
      </c>
      <c r="X435" s="188">
        <v>0.57999999999999996</v>
      </c>
      <c r="Y435" s="188">
        <v>0.57999999999999996</v>
      </c>
      <c r="Z435" s="188">
        <v>0.57999999999999996</v>
      </c>
      <c r="AA435" s="188">
        <v>0.57999999999999996</v>
      </c>
      <c r="AB435" s="188">
        <v>0.57999999999999996</v>
      </c>
      <c r="AC435" s="188">
        <v>0.57999999999999996</v>
      </c>
      <c r="AD435" s="188">
        <v>0.57999999999999996</v>
      </c>
      <c r="AE435" s="188">
        <v>0.57999999999999996</v>
      </c>
      <c r="AF435" s="188">
        <v>0.57999999999999996</v>
      </c>
      <c r="AG435" s="188">
        <v>0.57999999999999996</v>
      </c>
      <c r="AH435" s="188">
        <v>0.57999999999999996</v>
      </c>
      <c r="AI435" s="188">
        <v>0.57999999999999996</v>
      </c>
      <c r="AJ435" s="188">
        <v>0.57999999999999996</v>
      </c>
    </row>
    <row r="436" spans="1:36" x14ac:dyDescent="0.35">
      <c r="A436" t="s">
        <v>2012</v>
      </c>
      <c r="B436" s="188" t="s">
        <v>1342</v>
      </c>
      <c r="C436" t="s">
        <v>1348</v>
      </c>
      <c r="D436" t="s">
        <v>555</v>
      </c>
      <c r="E436" t="s">
        <v>1989</v>
      </c>
      <c r="F436" s="188" t="s">
        <v>2010</v>
      </c>
      <c r="G436" s="188" t="s">
        <v>2011</v>
      </c>
      <c r="H436" s="188">
        <v>0.57999999999999996</v>
      </c>
      <c r="I436" s="188">
        <v>0.57999999999999996</v>
      </c>
      <c r="J436" s="188">
        <v>0.57999999999999996</v>
      </c>
      <c r="K436" s="188">
        <v>0.57999999999999996</v>
      </c>
      <c r="L436" s="188">
        <v>0.57999999999999996</v>
      </c>
      <c r="M436" s="188">
        <v>0.57999999999999996</v>
      </c>
      <c r="N436" s="188">
        <v>0.57999999999999996</v>
      </c>
      <c r="O436" s="188">
        <v>0.57999999999999996</v>
      </c>
      <c r="P436" s="188">
        <v>0.57999999999999996</v>
      </c>
      <c r="Q436" s="188">
        <v>0.57999999999999996</v>
      </c>
      <c r="R436" s="188">
        <v>0.57999999999999996</v>
      </c>
      <c r="S436" s="188">
        <v>0.57999999999999996</v>
      </c>
      <c r="T436" s="188">
        <v>0.57999999999999996</v>
      </c>
      <c r="U436" s="188">
        <v>0.57999999999999996</v>
      </c>
      <c r="V436" s="188">
        <v>0.57999999999999996</v>
      </c>
      <c r="W436" s="188">
        <v>0.57999999999999996</v>
      </c>
      <c r="X436" s="188">
        <v>0.57999999999999996</v>
      </c>
      <c r="Y436" s="188">
        <v>0.57999999999999996</v>
      </c>
      <c r="Z436" s="188">
        <v>0.57999999999999996</v>
      </c>
      <c r="AA436" s="188">
        <v>0.57999999999999996</v>
      </c>
      <c r="AB436" s="188">
        <v>0.57999999999999996</v>
      </c>
      <c r="AC436" s="188">
        <v>0.57999999999999996</v>
      </c>
      <c r="AD436" s="188">
        <v>0.57999999999999996</v>
      </c>
      <c r="AE436" s="188">
        <v>0.57999999999999996</v>
      </c>
      <c r="AF436" s="188">
        <v>0.57999999999999996</v>
      </c>
      <c r="AG436" s="188">
        <v>0.57999999999999996</v>
      </c>
      <c r="AH436" s="188">
        <v>0.57999999999999996</v>
      </c>
      <c r="AI436" s="188">
        <v>0.57999999999999996</v>
      </c>
      <c r="AJ436" s="188">
        <v>0.57999999999999996</v>
      </c>
    </row>
    <row r="437" spans="1:36" x14ac:dyDescent="0.35">
      <c r="A437" t="s">
        <v>2013</v>
      </c>
      <c r="B437" s="188" t="s">
        <v>1342</v>
      </c>
      <c r="C437" t="s">
        <v>1350</v>
      </c>
      <c r="D437" t="s">
        <v>555</v>
      </c>
      <c r="E437" t="s">
        <v>1989</v>
      </c>
      <c r="F437" s="188" t="s">
        <v>2010</v>
      </c>
      <c r="G437" s="188" t="s">
        <v>2011</v>
      </c>
      <c r="H437" s="188">
        <v>0.57999999999999996</v>
      </c>
      <c r="I437" s="188">
        <v>0.57999999999999996</v>
      </c>
      <c r="J437" s="188">
        <v>0.57999999999999996</v>
      </c>
      <c r="K437" s="188">
        <v>0.57999999999999996</v>
      </c>
      <c r="L437" s="188">
        <v>0.57999999999999996</v>
      </c>
      <c r="M437" s="188">
        <v>0.57999999999999996</v>
      </c>
      <c r="N437" s="188">
        <v>0.57999999999999996</v>
      </c>
      <c r="O437" s="188">
        <v>0.57999999999999996</v>
      </c>
      <c r="P437" s="188">
        <v>0.57999999999999996</v>
      </c>
      <c r="Q437" s="188">
        <v>0.57999999999999996</v>
      </c>
      <c r="R437" s="188">
        <v>0.57999999999999996</v>
      </c>
      <c r="S437" s="188">
        <v>0.57999999999999996</v>
      </c>
      <c r="T437" s="188">
        <v>0.57999999999999996</v>
      </c>
      <c r="U437" s="188">
        <v>0.57999999999999996</v>
      </c>
      <c r="V437" s="188">
        <v>0.57999999999999996</v>
      </c>
      <c r="W437" s="188">
        <v>0.57999999999999996</v>
      </c>
      <c r="X437" s="188">
        <v>0.57999999999999996</v>
      </c>
      <c r="Y437" s="188">
        <v>0.57999999999999996</v>
      </c>
      <c r="Z437" s="188">
        <v>0.57999999999999996</v>
      </c>
      <c r="AA437" s="188">
        <v>0.57999999999999996</v>
      </c>
      <c r="AB437" s="188">
        <v>0.57999999999999996</v>
      </c>
      <c r="AC437" s="188">
        <v>0.57999999999999996</v>
      </c>
      <c r="AD437" s="188">
        <v>0.57999999999999996</v>
      </c>
      <c r="AE437" s="188">
        <v>0.57999999999999996</v>
      </c>
      <c r="AF437" s="188">
        <v>0.57999999999999996</v>
      </c>
      <c r="AG437" s="188">
        <v>0.57999999999999996</v>
      </c>
      <c r="AH437" s="188">
        <v>0.57999999999999996</v>
      </c>
      <c r="AI437" s="188">
        <v>0.57999999999999996</v>
      </c>
      <c r="AJ437" s="188">
        <v>0.57999999999999996</v>
      </c>
    </row>
    <row r="438" spans="1:36" x14ac:dyDescent="0.35">
      <c r="A438" t="s">
        <v>2014</v>
      </c>
      <c r="B438" s="188" t="s">
        <v>1342</v>
      </c>
      <c r="C438" t="s">
        <v>1343</v>
      </c>
      <c r="D438" t="s">
        <v>555</v>
      </c>
      <c r="E438" t="s">
        <v>1989</v>
      </c>
      <c r="F438" s="188" t="s">
        <v>2015</v>
      </c>
      <c r="G438" s="188" t="s">
        <v>2016</v>
      </c>
      <c r="H438" s="188">
        <v>0.57999999999999996</v>
      </c>
      <c r="I438" s="188">
        <v>0.57999999999999996</v>
      </c>
      <c r="J438" s="188">
        <v>0.57999999999999996</v>
      </c>
      <c r="K438" s="188">
        <v>0.57999999999999996</v>
      </c>
      <c r="L438" s="188">
        <v>0.57999999999999996</v>
      </c>
      <c r="M438" s="188">
        <v>0.57999999999999996</v>
      </c>
      <c r="N438" s="188">
        <v>0.57999999999999996</v>
      </c>
      <c r="O438" s="188">
        <v>0.57999999999999996</v>
      </c>
      <c r="P438" s="188">
        <v>0.57999999999999996</v>
      </c>
      <c r="Q438" s="188">
        <v>0.57999999999999996</v>
      </c>
      <c r="R438" s="188">
        <v>0.57999999999999996</v>
      </c>
      <c r="S438" s="188">
        <v>0.57999999999999996</v>
      </c>
      <c r="T438" s="188">
        <v>0.57999999999999996</v>
      </c>
      <c r="U438" s="188">
        <v>0.57999999999999996</v>
      </c>
      <c r="V438" s="188">
        <v>0.57999999999999996</v>
      </c>
      <c r="W438" s="188">
        <v>0.57999999999999996</v>
      </c>
      <c r="X438" s="188">
        <v>0.57999999999999996</v>
      </c>
      <c r="Y438" s="188">
        <v>0.57999999999999996</v>
      </c>
      <c r="Z438" s="188">
        <v>0.57999999999999996</v>
      </c>
      <c r="AA438" s="188">
        <v>0.57999999999999996</v>
      </c>
      <c r="AB438" s="188">
        <v>0.57999999999999996</v>
      </c>
      <c r="AC438" s="188">
        <v>0.57999999999999996</v>
      </c>
      <c r="AD438" s="188">
        <v>0.57999999999999996</v>
      </c>
      <c r="AE438" s="188">
        <v>0.57999999999999996</v>
      </c>
      <c r="AF438" s="188">
        <v>0.57999999999999996</v>
      </c>
      <c r="AG438" s="188">
        <v>0.57999999999999996</v>
      </c>
      <c r="AH438" s="188">
        <v>0.57999999999999996</v>
      </c>
      <c r="AI438" s="188">
        <v>0.57999999999999996</v>
      </c>
      <c r="AJ438" s="188">
        <v>0.57999999999999996</v>
      </c>
    </row>
    <row r="439" spans="1:36" x14ac:dyDescent="0.35">
      <c r="A439" t="s">
        <v>2017</v>
      </c>
      <c r="B439" s="188" t="s">
        <v>1342</v>
      </c>
      <c r="C439" t="s">
        <v>1348</v>
      </c>
      <c r="D439" t="s">
        <v>555</v>
      </c>
      <c r="E439" t="s">
        <v>1989</v>
      </c>
      <c r="F439" s="188" t="s">
        <v>2015</v>
      </c>
      <c r="G439" s="188" t="s">
        <v>2016</v>
      </c>
      <c r="H439" s="188">
        <v>0.57999999999999996</v>
      </c>
      <c r="I439" s="188">
        <v>0.57999999999999996</v>
      </c>
      <c r="J439" s="188">
        <v>0.57999999999999996</v>
      </c>
      <c r="K439" s="188">
        <v>0.57999999999999996</v>
      </c>
      <c r="L439" s="188">
        <v>0.57999999999999996</v>
      </c>
      <c r="M439" s="188">
        <v>0.57999999999999996</v>
      </c>
      <c r="N439" s="188">
        <v>0.57999999999999996</v>
      </c>
      <c r="O439" s="188">
        <v>0.57999999999999996</v>
      </c>
      <c r="P439" s="188">
        <v>0.57999999999999996</v>
      </c>
      <c r="Q439" s="188">
        <v>0.57999999999999996</v>
      </c>
      <c r="R439" s="188">
        <v>0.57999999999999996</v>
      </c>
      <c r="S439" s="188">
        <v>0.57999999999999996</v>
      </c>
      <c r="T439" s="188">
        <v>0.57999999999999996</v>
      </c>
      <c r="U439" s="188">
        <v>0.57999999999999996</v>
      </c>
      <c r="V439" s="188">
        <v>0.57999999999999996</v>
      </c>
      <c r="W439" s="188">
        <v>0.57999999999999996</v>
      </c>
      <c r="X439" s="188">
        <v>0.57999999999999996</v>
      </c>
      <c r="Y439" s="188">
        <v>0.57999999999999996</v>
      </c>
      <c r="Z439" s="188">
        <v>0.57999999999999996</v>
      </c>
      <c r="AA439" s="188">
        <v>0.57999999999999996</v>
      </c>
      <c r="AB439" s="188">
        <v>0.57999999999999996</v>
      </c>
      <c r="AC439" s="188">
        <v>0.57999999999999996</v>
      </c>
      <c r="AD439" s="188">
        <v>0.57999999999999996</v>
      </c>
      <c r="AE439" s="188">
        <v>0.57999999999999996</v>
      </c>
      <c r="AF439" s="188">
        <v>0.57999999999999996</v>
      </c>
      <c r="AG439" s="188">
        <v>0.57999999999999996</v>
      </c>
      <c r="AH439" s="188">
        <v>0.57999999999999996</v>
      </c>
      <c r="AI439" s="188">
        <v>0.57999999999999996</v>
      </c>
      <c r="AJ439" s="188">
        <v>0.57999999999999996</v>
      </c>
    </row>
    <row r="440" spans="1:36" x14ac:dyDescent="0.35">
      <c r="A440" t="s">
        <v>2018</v>
      </c>
      <c r="B440" s="188" t="s">
        <v>1342</v>
      </c>
      <c r="C440" t="s">
        <v>1350</v>
      </c>
      <c r="D440" t="s">
        <v>555</v>
      </c>
      <c r="E440" t="s">
        <v>1989</v>
      </c>
      <c r="F440" s="188" t="s">
        <v>2015</v>
      </c>
      <c r="G440" s="188" t="s">
        <v>2016</v>
      </c>
      <c r="H440" s="188">
        <v>0.57999999999999996</v>
      </c>
      <c r="I440" s="188">
        <v>0.57999999999999996</v>
      </c>
      <c r="J440" s="188">
        <v>0.57999999999999996</v>
      </c>
      <c r="K440" s="188">
        <v>0.57999999999999996</v>
      </c>
      <c r="L440" s="188">
        <v>0.57999999999999996</v>
      </c>
      <c r="M440" s="188">
        <v>0.57999999999999996</v>
      </c>
      <c r="N440" s="188">
        <v>0.57999999999999996</v>
      </c>
      <c r="O440" s="188">
        <v>0.57999999999999996</v>
      </c>
      <c r="P440" s="188">
        <v>0.57999999999999996</v>
      </c>
      <c r="Q440" s="188">
        <v>0.57999999999999996</v>
      </c>
      <c r="R440" s="188">
        <v>0.57999999999999996</v>
      </c>
      <c r="S440" s="188">
        <v>0.57999999999999996</v>
      </c>
      <c r="T440" s="188">
        <v>0.57999999999999996</v>
      </c>
      <c r="U440" s="188">
        <v>0.57999999999999996</v>
      </c>
      <c r="V440" s="188">
        <v>0.57999999999999996</v>
      </c>
      <c r="W440" s="188">
        <v>0.57999999999999996</v>
      </c>
      <c r="X440" s="188">
        <v>0.57999999999999996</v>
      </c>
      <c r="Y440" s="188">
        <v>0.57999999999999996</v>
      </c>
      <c r="Z440" s="188">
        <v>0.57999999999999996</v>
      </c>
      <c r="AA440" s="188">
        <v>0.57999999999999996</v>
      </c>
      <c r="AB440" s="188">
        <v>0.57999999999999996</v>
      </c>
      <c r="AC440" s="188">
        <v>0.57999999999999996</v>
      </c>
      <c r="AD440" s="188">
        <v>0.57999999999999996</v>
      </c>
      <c r="AE440" s="188">
        <v>0.57999999999999996</v>
      </c>
      <c r="AF440" s="188">
        <v>0.57999999999999996</v>
      </c>
      <c r="AG440" s="188">
        <v>0.57999999999999996</v>
      </c>
      <c r="AH440" s="188">
        <v>0.57999999999999996</v>
      </c>
      <c r="AI440" s="188">
        <v>0.57999999999999996</v>
      </c>
      <c r="AJ440" s="188">
        <v>0.57999999999999996</v>
      </c>
    </row>
    <row r="441" spans="1:36" x14ac:dyDescent="0.35">
      <c r="A441" t="s">
        <v>2019</v>
      </c>
      <c r="B441" s="188" t="s">
        <v>1342</v>
      </c>
      <c r="C441" t="s">
        <v>1343</v>
      </c>
      <c r="D441" t="s">
        <v>555</v>
      </c>
      <c r="E441" t="s">
        <v>1989</v>
      </c>
      <c r="F441" s="188" t="s">
        <v>2020</v>
      </c>
      <c r="G441" s="188" t="s">
        <v>2021</v>
      </c>
      <c r="H441" s="188">
        <v>0.57999999999999996</v>
      </c>
      <c r="I441" s="188">
        <v>0.57999999999999996</v>
      </c>
      <c r="J441" s="188">
        <v>0.57999999999999996</v>
      </c>
      <c r="K441" s="188">
        <v>0.57999999999999996</v>
      </c>
      <c r="L441" s="188">
        <v>0.57999999999999996</v>
      </c>
      <c r="M441" s="188">
        <v>0.57999999999999996</v>
      </c>
      <c r="N441" s="188">
        <v>0.57999999999999996</v>
      </c>
      <c r="O441" s="188">
        <v>0.57999999999999996</v>
      </c>
      <c r="P441" s="188">
        <v>0.57999999999999996</v>
      </c>
      <c r="Q441" s="188">
        <v>0.57999999999999996</v>
      </c>
      <c r="R441" s="188">
        <v>0.57999999999999996</v>
      </c>
      <c r="S441" s="188">
        <v>0.57999999999999996</v>
      </c>
      <c r="T441" s="188">
        <v>0.57999999999999996</v>
      </c>
      <c r="U441" s="188">
        <v>0.57999999999999996</v>
      </c>
      <c r="V441" s="188">
        <v>0.57999999999999996</v>
      </c>
      <c r="W441" s="188">
        <v>0.57999999999999996</v>
      </c>
      <c r="X441" s="188">
        <v>0.57999999999999996</v>
      </c>
      <c r="Y441" s="188">
        <v>0.57999999999999996</v>
      </c>
      <c r="Z441" s="188">
        <v>0.57999999999999996</v>
      </c>
      <c r="AA441" s="188">
        <v>0.57999999999999996</v>
      </c>
      <c r="AB441" s="188">
        <v>0.57999999999999996</v>
      </c>
      <c r="AC441" s="188">
        <v>0.57999999999999996</v>
      </c>
      <c r="AD441" s="188">
        <v>0.57999999999999996</v>
      </c>
      <c r="AE441" s="188">
        <v>0.57999999999999996</v>
      </c>
      <c r="AF441" s="188">
        <v>0.57999999999999996</v>
      </c>
      <c r="AG441" s="188">
        <v>0.57999999999999996</v>
      </c>
      <c r="AH441" s="188">
        <v>0.57999999999999996</v>
      </c>
      <c r="AI441" s="188">
        <v>0.57999999999999996</v>
      </c>
      <c r="AJ441" s="188">
        <v>0.57999999999999996</v>
      </c>
    </row>
    <row r="442" spans="1:36" x14ac:dyDescent="0.35">
      <c r="A442" t="s">
        <v>2022</v>
      </c>
      <c r="B442" s="188" t="s">
        <v>1342</v>
      </c>
      <c r="C442" t="s">
        <v>1348</v>
      </c>
      <c r="D442" t="s">
        <v>555</v>
      </c>
      <c r="E442" t="s">
        <v>1989</v>
      </c>
      <c r="F442" s="188" t="s">
        <v>2020</v>
      </c>
      <c r="G442" s="188" t="s">
        <v>2021</v>
      </c>
      <c r="H442" s="188">
        <v>0.57999999999999996</v>
      </c>
      <c r="I442" s="188">
        <v>0.57999999999999996</v>
      </c>
      <c r="J442" s="188">
        <v>0.57999999999999996</v>
      </c>
      <c r="K442" s="188">
        <v>0.57999999999999996</v>
      </c>
      <c r="L442" s="188">
        <v>0.57999999999999996</v>
      </c>
      <c r="M442" s="188">
        <v>0.57999999999999996</v>
      </c>
      <c r="N442" s="188">
        <v>0.57999999999999996</v>
      </c>
      <c r="O442" s="188">
        <v>0.57999999999999996</v>
      </c>
      <c r="P442" s="188">
        <v>0.57999999999999996</v>
      </c>
      <c r="Q442" s="188">
        <v>0.57999999999999996</v>
      </c>
      <c r="R442" s="188">
        <v>0.57999999999999996</v>
      </c>
      <c r="S442" s="188">
        <v>0.57999999999999996</v>
      </c>
      <c r="T442" s="188">
        <v>0.57999999999999996</v>
      </c>
      <c r="U442" s="188">
        <v>0.57999999999999996</v>
      </c>
      <c r="V442" s="188">
        <v>0.57999999999999996</v>
      </c>
      <c r="W442" s="188">
        <v>0.57999999999999996</v>
      </c>
      <c r="X442" s="188">
        <v>0.57999999999999996</v>
      </c>
      <c r="Y442" s="188">
        <v>0.57999999999999996</v>
      </c>
      <c r="Z442" s="188">
        <v>0.57999999999999996</v>
      </c>
      <c r="AA442" s="188">
        <v>0.57999999999999996</v>
      </c>
      <c r="AB442" s="188">
        <v>0.57999999999999996</v>
      </c>
      <c r="AC442" s="188">
        <v>0.57999999999999996</v>
      </c>
      <c r="AD442" s="188">
        <v>0.57999999999999996</v>
      </c>
      <c r="AE442" s="188">
        <v>0.57999999999999996</v>
      </c>
      <c r="AF442" s="188">
        <v>0.57999999999999996</v>
      </c>
      <c r="AG442" s="188">
        <v>0.57999999999999996</v>
      </c>
      <c r="AH442" s="188">
        <v>0.57999999999999996</v>
      </c>
      <c r="AI442" s="188">
        <v>0.57999999999999996</v>
      </c>
      <c r="AJ442" s="188">
        <v>0.57999999999999996</v>
      </c>
    </row>
    <row r="443" spans="1:36" x14ac:dyDescent="0.35">
      <c r="A443" t="s">
        <v>2023</v>
      </c>
      <c r="B443" s="188" t="s">
        <v>1342</v>
      </c>
      <c r="C443" t="s">
        <v>1350</v>
      </c>
      <c r="D443" t="s">
        <v>555</v>
      </c>
      <c r="E443" t="s">
        <v>1989</v>
      </c>
      <c r="F443" s="188" t="s">
        <v>2020</v>
      </c>
      <c r="G443" s="188" t="s">
        <v>2021</v>
      </c>
      <c r="H443" s="188">
        <v>0.57999999999999996</v>
      </c>
      <c r="I443" s="188">
        <v>0.57999999999999996</v>
      </c>
      <c r="J443" s="188">
        <v>0.57999999999999996</v>
      </c>
      <c r="K443" s="188">
        <v>0.57999999999999996</v>
      </c>
      <c r="L443" s="188">
        <v>0.57999999999999996</v>
      </c>
      <c r="M443" s="188">
        <v>0.57999999999999996</v>
      </c>
      <c r="N443" s="188">
        <v>0.57999999999999996</v>
      </c>
      <c r="O443" s="188">
        <v>0.57999999999999996</v>
      </c>
      <c r="P443" s="188">
        <v>0.57999999999999996</v>
      </c>
      <c r="Q443" s="188">
        <v>0.57999999999999996</v>
      </c>
      <c r="R443" s="188">
        <v>0.57999999999999996</v>
      </c>
      <c r="S443" s="188">
        <v>0.57999999999999996</v>
      </c>
      <c r="T443" s="188">
        <v>0.57999999999999996</v>
      </c>
      <c r="U443" s="188">
        <v>0.57999999999999996</v>
      </c>
      <c r="V443" s="188">
        <v>0.57999999999999996</v>
      </c>
      <c r="W443" s="188">
        <v>0.57999999999999996</v>
      </c>
      <c r="X443" s="188">
        <v>0.57999999999999996</v>
      </c>
      <c r="Y443" s="188">
        <v>0.57999999999999996</v>
      </c>
      <c r="Z443" s="188">
        <v>0.57999999999999996</v>
      </c>
      <c r="AA443" s="188">
        <v>0.57999999999999996</v>
      </c>
      <c r="AB443" s="188">
        <v>0.57999999999999996</v>
      </c>
      <c r="AC443" s="188">
        <v>0.57999999999999996</v>
      </c>
      <c r="AD443" s="188">
        <v>0.57999999999999996</v>
      </c>
      <c r="AE443" s="188">
        <v>0.57999999999999996</v>
      </c>
      <c r="AF443" s="188">
        <v>0.57999999999999996</v>
      </c>
      <c r="AG443" s="188">
        <v>0.57999999999999996</v>
      </c>
      <c r="AH443" s="188">
        <v>0.57999999999999996</v>
      </c>
      <c r="AI443" s="188">
        <v>0.57999999999999996</v>
      </c>
      <c r="AJ443" s="188">
        <v>0.57999999999999996</v>
      </c>
    </row>
    <row r="444" spans="1:36" x14ac:dyDescent="0.35">
      <c r="A444" t="s">
        <v>2024</v>
      </c>
      <c r="B444" s="188" t="s">
        <v>1342</v>
      </c>
      <c r="C444" t="s">
        <v>1343</v>
      </c>
      <c r="D444" t="s">
        <v>555</v>
      </c>
      <c r="E444" t="s">
        <v>1989</v>
      </c>
      <c r="F444" s="188" t="s">
        <v>2025</v>
      </c>
      <c r="G444" s="188" t="s">
        <v>2026</v>
      </c>
      <c r="H444" s="188">
        <v>0.57999999999999996</v>
      </c>
      <c r="I444" s="188">
        <v>0.57999999999999996</v>
      </c>
      <c r="J444" s="188">
        <v>0.57999999999999996</v>
      </c>
      <c r="K444" s="188">
        <v>0.57999999999999996</v>
      </c>
      <c r="L444" s="188">
        <v>0.57999999999999996</v>
      </c>
      <c r="M444" s="188">
        <v>0.57999999999999996</v>
      </c>
      <c r="N444" s="188">
        <v>0.57999999999999996</v>
      </c>
      <c r="O444" s="188">
        <v>0.57999999999999996</v>
      </c>
      <c r="P444" s="188">
        <v>0.57999999999999996</v>
      </c>
      <c r="Q444" s="188">
        <v>0.57999999999999996</v>
      </c>
      <c r="R444" s="188">
        <v>0.57999999999999996</v>
      </c>
      <c r="S444" s="188">
        <v>0.57999999999999996</v>
      </c>
      <c r="T444" s="188">
        <v>0.57999999999999996</v>
      </c>
      <c r="U444" s="188">
        <v>0.57999999999999996</v>
      </c>
      <c r="V444" s="188">
        <v>0.57999999999999996</v>
      </c>
      <c r="W444" s="188">
        <v>0.57999999999999996</v>
      </c>
      <c r="X444" s="188">
        <v>0.57999999999999996</v>
      </c>
      <c r="Y444" s="188">
        <v>0.57999999999999996</v>
      </c>
      <c r="Z444" s="188">
        <v>0.57999999999999996</v>
      </c>
      <c r="AA444" s="188">
        <v>0.57999999999999996</v>
      </c>
      <c r="AB444" s="188">
        <v>0.57999999999999996</v>
      </c>
      <c r="AC444" s="188">
        <v>0.57999999999999996</v>
      </c>
      <c r="AD444" s="188">
        <v>0.57999999999999996</v>
      </c>
      <c r="AE444" s="188">
        <v>0.57999999999999996</v>
      </c>
      <c r="AF444" s="188">
        <v>0.57999999999999996</v>
      </c>
      <c r="AG444" s="188">
        <v>0.57999999999999996</v>
      </c>
      <c r="AH444" s="188">
        <v>0.57999999999999996</v>
      </c>
      <c r="AI444" s="188">
        <v>0.57999999999999996</v>
      </c>
      <c r="AJ444" s="188">
        <v>0.57999999999999996</v>
      </c>
    </row>
    <row r="445" spans="1:36" x14ac:dyDescent="0.35">
      <c r="A445" t="s">
        <v>2027</v>
      </c>
      <c r="B445" s="188" t="s">
        <v>1342</v>
      </c>
      <c r="C445" t="s">
        <v>1348</v>
      </c>
      <c r="D445" t="s">
        <v>555</v>
      </c>
      <c r="E445" t="s">
        <v>1989</v>
      </c>
      <c r="F445" s="188" t="s">
        <v>2025</v>
      </c>
      <c r="G445" s="188" t="s">
        <v>2026</v>
      </c>
      <c r="H445" s="188">
        <v>0.57999999999999996</v>
      </c>
      <c r="I445" s="188">
        <v>0.57999999999999996</v>
      </c>
      <c r="J445" s="188">
        <v>0.57999999999999996</v>
      </c>
      <c r="K445" s="188">
        <v>0.57999999999999996</v>
      </c>
      <c r="L445" s="188">
        <v>0.57999999999999996</v>
      </c>
      <c r="M445" s="188">
        <v>0.57999999999999996</v>
      </c>
      <c r="N445" s="188">
        <v>0.57999999999999996</v>
      </c>
      <c r="O445" s="188">
        <v>0.57999999999999996</v>
      </c>
      <c r="P445" s="188">
        <v>0.57999999999999996</v>
      </c>
      <c r="Q445" s="188">
        <v>0.57999999999999996</v>
      </c>
      <c r="R445" s="188">
        <v>0.57999999999999996</v>
      </c>
      <c r="S445" s="188">
        <v>0.57999999999999996</v>
      </c>
      <c r="T445" s="188">
        <v>0.57999999999999996</v>
      </c>
      <c r="U445" s="188">
        <v>0.57999999999999996</v>
      </c>
      <c r="V445" s="188">
        <v>0.57999999999999996</v>
      </c>
      <c r="W445" s="188">
        <v>0.57999999999999996</v>
      </c>
      <c r="X445" s="188">
        <v>0.57999999999999996</v>
      </c>
      <c r="Y445" s="188">
        <v>0.57999999999999996</v>
      </c>
      <c r="Z445" s="188">
        <v>0.57999999999999996</v>
      </c>
      <c r="AA445" s="188">
        <v>0.57999999999999996</v>
      </c>
      <c r="AB445" s="188">
        <v>0.57999999999999996</v>
      </c>
      <c r="AC445" s="188">
        <v>0.57999999999999996</v>
      </c>
      <c r="AD445" s="188">
        <v>0.57999999999999996</v>
      </c>
      <c r="AE445" s="188">
        <v>0.57999999999999996</v>
      </c>
      <c r="AF445" s="188">
        <v>0.57999999999999996</v>
      </c>
      <c r="AG445" s="188">
        <v>0.57999999999999996</v>
      </c>
      <c r="AH445" s="188">
        <v>0.57999999999999996</v>
      </c>
      <c r="AI445" s="188">
        <v>0.57999999999999996</v>
      </c>
      <c r="AJ445" s="188">
        <v>0.57999999999999996</v>
      </c>
    </row>
    <row r="446" spans="1:36" x14ac:dyDescent="0.35">
      <c r="A446" t="s">
        <v>2028</v>
      </c>
      <c r="B446" s="188" t="s">
        <v>1342</v>
      </c>
      <c r="C446" t="s">
        <v>1350</v>
      </c>
      <c r="D446" t="s">
        <v>555</v>
      </c>
      <c r="E446" t="s">
        <v>1989</v>
      </c>
      <c r="F446" s="188" t="s">
        <v>2025</v>
      </c>
      <c r="G446" s="188" t="s">
        <v>2026</v>
      </c>
      <c r="H446" s="188">
        <v>0.57999999999999996</v>
      </c>
      <c r="I446" s="188">
        <v>0.57999999999999996</v>
      </c>
      <c r="J446" s="188">
        <v>0.57999999999999996</v>
      </c>
      <c r="K446" s="188">
        <v>0.57999999999999996</v>
      </c>
      <c r="L446" s="188">
        <v>0.57999999999999996</v>
      </c>
      <c r="M446" s="188">
        <v>0.57999999999999996</v>
      </c>
      <c r="N446" s="188">
        <v>0.57999999999999996</v>
      </c>
      <c r="O446" s="188">
        <v>0.57999999999999996</v>
      </c>
      <c r="P446" s="188">
        <v>0.57999999999999996</v>
      </c>
      <c r="Q446" s="188">
        <v>0.57999999999999996</v>
      </c>
      <c r="R446" s="188">
        <v>0.57999999999999996</v>
      </c>
      <c r="S446" s="188">
        <v>0.57999999999999996</v>
      </c>
      <c r="T446" s="188">
        <v>0.57999999999999996</v>
      </c>
      <c r="U446" s="188">
        <v>0.57999999999999996</v>
      </c>
      <c r="V446" s="188">
        <v>0.57999999999999996</v>
      </c>
      <c r="W446" s="188">
        <v>0.57999999999999996</v>
      </c>
      <c r="X446" s="188">
        <v>0.57999999999999996</v>
      </c>
      <c r="Y446" s="188">
        <v>0.57999999999999996</v>
      </c>
      <c r="Z446" s="188">
        <v>0.57999999999999996</v>
      </c>
      <c r="AA446" s="188">
        <v>0.57999999999999996</v>
      </c>
      <c r="AB446" s="188">
        <v>0.57999999999999996</v>
      </c>
      <c r="AC446" s="188">
        <v>0.57999999999999996</v>
      </c>
      <c r="AD446" s="188">
        <v>0.57999999999999996</v>
      </c>
      <c r="AE446" s="188">
        <v>0.57999999999999996</v>
      </c>
      <c r="AF446" s="188">
        <v>0.57999999999999996</v>
      </c>
      <c r="AG446" s="188">
        <v>0.57999999999999996</v>
      </c>
      <c r="AH446" s="188">
        <v>0.57999999999999996</v>
      </c>
      <c r="AI446" s="188">
        <v>0.57999999999999996</v>
      </c>
      <c r="AJ446" s="188">
        <v>0.57999999999999996</v>
      </c>
    </row>
    <row r="447" spans="1:36" x14ac:dyDescent="0.35">
      <c r="A447" t="s">
        <v>2029</v>
      </c>
      <c r="B447" s="188" t="s">
        <v>1342</v>
      </c>
      <c r="C447" t="s">
        <v>1343</v>
      </c>
      <c r="D447" t="s">
        <v>555</v>
      </c>
      <c r="E447" t="s">
        <v>1989</v>
      </c>
      <c r="F447" s="188" t="s">
        <v>2030</v>
      </c>
      <c r="G447" s="188" t="s">
        <v>2031</v>
      </c>
      <c r="H447" s="188">
        <v>0.57999999999999996</v>
      </c>
      <c r="I447" s="188">
        <v>0.57999999999999996</v>
      </c>
      <c r="J447" s="188">
        <v>0.57999999999999996</v>
      </c>
      <c r="K447" s="188">
        <v>0.57999999999999996</v>
      </c>
      <c r="L447" s="188">
        <v>0.57999999999999996</v>
      </c>
      <c r="M447" s="188">
        <v>0.57999999999999996</v>
      </c>
      <c r="N447" s="188">
        <v>0.57999999999999996</v>
      </c>
      <c r="O447" s="188">
        <v>0.57999999999999996</v>
      </c>
      <c r="P447" s="188">
        <v>0.57999999999999996</v>
      </c>
      <c r="Q447" s="188">
        <v>0.57999999999999996</v>
      </c>
      <c r="R447" s="188">
        <v>0.57999999999999996</v>
      </c>
      <c r="S447" s="188">
        <v>0.57999999999999996</v>
      </c>
      <c r="T447" s="188">
        <v>0.57999999999999996</v>
      </c>
      <c r="U447" s="188">
        <v>0.57999999999999996</v>
      </c>
      <c r="V447" s="188">
        <v>0.57999999999999996</v>
      </c>
      <c r="W447" s="188">
        <v>0.57999999999999996</v>
      </c>
      <c r="X447" s="188">
        <v>0.57999999999999996</v>
      </c>
      <c r="Y447" s="188">
        <v>0.57999999999999996</v>
      </c>
      <c r="Z447" s="188">
        <v>0.57999999999999996</v>
      </c>
      <c r="AA447" s="188">
        <v>0.57999999999999996</v>
      </c>
      <c r="AB447" s="188">
        <v>0.57999999999999996</v>
      </c>
      <c r="AC447" s="188">
        <v>0.57999999999999996</v>
      </c>
      <c r="AD447" s="188">
        <v>0.57999999999999996</v>
      </c>
      <c r="AE447" s="188">
        <v>0.57999999999999996</v>
      </c>
      <c r="AF447" s="188">
        <v>0.57999999999999996</v>
      </c>
      <c r="AG447" s="188">
        <v>0.57999999999999996</v>
      </c>
      <c r="AH447" s="188">
        <v>0.57999999999999996</v>
      </c>
      <c r="AI447" s="188">
        <v>0.57999999999999996</v>
      </c>
      <c r="AJ447" s="188">
        <v>0.57999999999999996</v>
      </c>
    </row>
    <row r="448" spans="1:36" x14ac:dyDescent="0.35">
      <c r="A448" t="s">
        <v>2032</v>
      </c>
      <c r="B448" s="188" t="s">
        <v>1342</v>
      </c>
      <c r="C448" t="s">
        <v>1348</v>
      </c>
      <c r="D448" t="s">
        <v>555</v>
      </c>
      <c r="E448" t="s">
        <v>1989</v>
      </c>
      <c r="F448" s="188" t="s">
        <v>2030</v>
      </c>
      <c r="G448" s="188" t="s">
        <v>2031</v>
      </c>
      <c r="H448" s="188">
        <v>0.57999999999999996</v>
      </c>
      <c r="I448" s="188">
        <v>0.57999999999999996</v>
      </c>
      <c r="J448" s="188">
        <v>0.57999999999999996</v>
      </c>
      <c r="K448" s="188">
        <v>0.57999999999999996</v>
      </c>
      <c r="L448" s="188">
        <v>0.57999999999999996</v>
      </c>
      <c r="M448" s="188">
        <v>0.57999999999999996</v>
      </c>
      <c r="N448" s="188">
        <v>0.57999999999999996</v>
      </c>
      <c r="O448" s="188">
        <v>0.57999999999999996</v>
      </c>
      <c r="P448" s="188">
        <v>0.57999999999999996</v>
      </c>
      <c r="Q448" s="188">
        <v>0.57999999999999996</v>
      </c>
      <c r="R448" s="188">
        <v>0.57999999999999996</v>
      </c>
      <c r="S448" s="188">
        <v>0.57999999999999996</v>
      </c>
      <c r="T448" s="188">
        <v>0.57999999999999996</v>
      </c>
      <c r="U448" s="188">
        <v>0.57999999999999996</v>
      </c>
      <c r="V448" s="188">
        <v>0.57999999999999996</v>
      </c>
      <c r="W448" s="188">
        <v>0.57999999999999996</v>
      </c>
      <c r="X448" s="188">
        <v>0.57999999999999996</v>
      </c>
      <c r="Y448" s="188">
        <v>0.57999999999999996</v>
      </c>
      <c r="Z448" s="188">
        <v>0.57999999999999996</v>
      </c>
      <c r="AA448" s="188">
        <v>0.57999999999999996</v>
      </c>
      <c r="AB448" s="188">
        <v>0.57999999999999996</v>
      </c>
      <c r="AC448" s="188">
        <v>0.57999999999999996</v>
      </c>
      <c r="AD448" s="188">
        <v>0.57999999999999996</v>
      </c>
      <c r="AE448" s="188">
        <v>0.57999999999999996</v>
      </c>
      <c r="AF448" s="188">
        <v>0.57999999999999996</v>
      </c>
      <c r="AG448" s="188">
        <v>0.57999999999999996</v>
      </c>
      <c r="AH448" s="188">
        <v>0.57999999999999996</v>
      </c>
      <c r="AI448" s="188">
        <v>0.57999999999999996</v>
      </c>
      <c r="AJ448" s="188">
        <v>0.57999999999999996</v>
      </c>
    </row>
    <row r="449" spans="1:36" x14ac:dyDescent="0.35">
      <c r="A449" t="s">
        <v>2033</v>
      </c>
      <c r="B449" s="188" t="s">
        <v>1342</v>
      </c>
      <c r="C449" t="s">
        <v>1350</v>
      </c>
      <c r="D449" t="s">
        <v>555</v>
      </c>
      <c r="E449" t="s">
        <v>1989</v>
      </c>
      <c r="F449" s="188" t="s">
        <v>2030</v>
      </c>
      <c r="G449" s="188" t="s">
        <v>2031</v>
      </c>
      <c r="H449" s="188">
        <v>0.57999999999999996</v>
      </c>
      <c r="I449" s="188">
        <v>0.57999999999999996</v>
      </c>
      <c r="J449" s="188">
        <v>0.57999999999999996</v>
      </c>
      <c r="K449" s="188">
        <v>0.57999999999999996</v>
      </c>
      <c r="L449" s="188">
        <v>0.57999999999999996</v>
      </c>
      <c r="M449" s="188">
        <v>0.57999999999999996</v>
      </c>
      <c r="N449" s="188">
        <v>0.57999999999999996</v>
      </c>
      <c r="O449" s="188">
        <v>0.57999999999999996</v>
      </c>
      <c r="P449" s="188">
        <v>0.57999999999999996</v>
      </c>
      <c r="Q449" s="188">
        <v>0.57999999999999996</v>
      </c>
      <c r="R449" s="188">
        <v>0.57999999999999996</v>
      </c>
      <c r="S449" s="188">
        <v>0.57999999999999996</v>
      </c>
      <c r="T449" s="188">
        <v>0.57999999999999996</v>
      </c>
      <c r="U449" s="188">
        <v>0.57999999999999996</v>
      </c>
      <c r="V449" s="188">
        <v>0.57999999999999996</v>
      </c>
      <c r="W449" s="188">
        <v>0.57999999999999996</v>
      </c>
      <c r="X449" s="188">
        <v>0.57999999999999996</v>
      </c>
      <c r="Y449" s="188">
        <v>0.57999999999999996</v>
      </c>
      <c r="Z449" s="188">
        <v>0.57999999999999996</v>
      </c>
      <c r="AA449" s="188">
        <v>0.57999999999999996</v>
      </c>
      <c r="AB449" s="188">
        <v>0.57999999999999996</v>
      </c>
      <c r="AC449" s="188">
        <v>0.57999999999999996</v>
      </c>
      <c r="AD449" s="188">
        <v>0.57999999999999996</v>
      </c>
      <c r="AE449" s="188">
        <v>0.57999999999999996</v>
      </c>
      <c r="AF449" s="188">
        <v>0.57999999999999996</v>
      </c>
      <c r="AG449" s="188">
        <v>0.57999999999999996</v>
      </c>
      <c r="AH449" s="188">
        <v>0.57999999999999996</v>
      </c>
      <c r="AI449" s="188">
        <v>0.57999999999999996</v>
      </c>
      <c r="AJ449" s="188">
        <v>0.57999999999999996</v>
      </c>
    </row>
    <row r="450" spans="1:36" x14ac:dyDescent="0.35">
      <c r="A450" t="s">
        <v>2034</v>
      </c>
      <c r="B450" s="188" t="s">
        <v>1342</v>
      </c>
      <c r="C450" t="s">
        <v>1343</v>
      </c>
      <c r="D450" t="s">
        <v>555</v>
      </c>
      <c r="E450" t="s">
        <v>1989</v>
      </c>
      <c r="F450" s="188" t="s">
        <v>2035</v>
      </c>
      <c r="G450" s="188" t="s">
        <v>2036</v>
      </c>
      <c r="H450" s="188">
        <v>0.57999999999999996</v>
      </c>
      <c r="I450" s="188">
        <v>0.57999999999999996</v>
      </c>
      <c r="J450" s="188">
        <v>0.57999999999999996</v>
      </c>
      <c r="K450" s="188">
        <v>0.57999999999999996</v>
      </c>
      <c r="L450" s="188">
        <v>0.57999999999999996</v>
      </c>
      <c r="M450" s="188">
        <v>0.57999999999999996</v>
      </c>
      <c r="N450" s="188">
        <v>0.57999999999999996</v>
      </c>
      <c r="O450" s="188">
        <v>0.57999999999999996</v>
      </c>
      <c r="P450" s="188">
        <v>0.57999999999999996</v>
      </c>
      <c r="Q450" s="188">
        <v>0.57999999999999996</v>
      </c>
      <c r="R450" s="188">
        <v>0.57999999999999996</v>
      </c>
      <c r="S450" s="188">
        <v>0.57999999999999996</v>
      </c>
      <c r="T450" s="188">
        <v>0.57999999999999996</v>
      </c>
      <c r="U450" s="188">
        <v>0.57999999999999996</v>
      </c>
      <c r="V450" s="188">
        <v>0.57999999999999996</v>
      </c>
      <c r="W450" s="188">
        <v>0.57999999999999996</v>
      </c>
      <c r="X450" s="188">
        <v>0.57999999999999996</v>
      </c>
      <c r="Y450" s="188">
        <v>0.57999999999999996</v>
      </c>
      <c r="Z450" s="188">
        <v>0.57999999999999996</v>
      </c>
      <c r="AA450" s="188">
        <v>0.57999999999999996</v>
      </c>
      <c r="AB450" s="188">
        <v>0.57999999999999996</v>
      </c>
      <c r="AC450" s="188">
        <v>0.57999999999999996</v>
      </c>
      <c r="AD450" s="188">
        <v>0.57999999999999996</v>
      </c>
      <c r="AE450" s="188">
        <v>0.57999999999999996</v>
      </c>
      <c r="AF450" s="188">
        <v>0.57999999999999996</v>
      </c>
      <c r="AG450" s="188">
        <v>0.57999999999999996</v>
      </c>
      <c r="AH450" s="188">
        <v>0.57999999999999996</v>
      </c>
      <c r="AI450" s="188">
        <v>0.57999999999999996</v>
      </c>
      <c r="AJ450" s="188">
        <v>0.57999999999999996</v>
      </c>
    </row>
    <row r="451" spans="1:36" x14ac:dyDescent="0.35">
      <c r="A451" t="s">
        <v>2037</v>
      </c>
      <c r="B451" s="188" t="s">
        <v>1342</v>
      </c>
      <c r="C451" t="s">
        <v>1348</v>
      </c>
      <c r="D451" t="s">
        <v>555</v>
      </c>
      <c r="E451" t="s">
        <v>1989</v>
      </c>
      <c r="F451" s="188" t="s">
        <v>2035</v>
      </c>
      <c r="G451" s="188" t="s">
        <v>2036</v>
      </c>
      <c r="H451" s="188">
        <v>0.57999999999999996</v>
      </c>
      <c r="I451" s="188">
        <v>0.57999999999999996</v>
      </c>
      <c r="J451" s="188">
        <v>0.57999999999999996</v>
      </c>
      <c r="K451" s="188">
        <v>0.57999999999999996</v>
      </c>
      <c r="L451" s="188">
        <v>0.57999999999999996</v>
      </c>
      <c r="M451" s="188">
        <v>0.57999999999999996</v>
      </c>
      <c r="N451" s="188">
        <v>0.57999999999999996</v>
      </c>
      <c r="O451" s="188">
        <v>0.57999999999999996</v>
      </c>
      <c r="P451" s="188">
        <v>0.57999999999999996</v>
      </c>
      <c r="Q451" s="188">
        <v>0.57999999999999996</v>
      </c>
      <c r="R451" s="188">
        <v>0.57999999999999996</v>
      </c>
      <c r="S451" s="188">
        <v>0.57999999999999996</v>
      </c>
      <c r="T451" s="188">
        <v>0.57999999999999996</v>
      </c>
      <c r="U451" s="188">
        <v>0.57999999999999996</v>
      </c>
      <c r="V451" s="188">
        <v>0.57999999999999996</v>
      </c>
      <c r="W451" s="188">
        <v>0.57999999999999996</v>
      </c>
      <c r="X451" s="188">
        <v>0.57999999999999996</v>
      </c>
      <c r="Y451" s="188">
        <v>0.57999999999999996</v>
      </c>
      <c r="Z451" s="188">
        <v>0.57999999999999996</v>
      </c>
      <c r="AA451" s="188">
        <v>0.57999999999999996</v>
      </c>
      <c r="AB451" s="188">
        <v>0.57999999999999996</v>
      </c>
      <c r="AC451" s="188">
        <v>0.57999999999999996</v>
      </c>
      <c r="AD451" s="188">
        <v>0.57999999999999996</v>
      </c>
      <c r="AE451" s="188">
        <v>0.57999999999999996</v>
      </c>
      <c r="AF451" s="188">
        <v>0.57999999999999996</v>
      </c>
      <c r="AG451" s="188">
        <v>0.57999999999999996</v>
      </c>
      <c r="AH451" s="188">
        <v>0.57999999999999996</v>
      </c>
      <c r="AI451" s="188">
        <v>0.57999999999999996</v>
      </c>
      <c r="AJ451" s="188">
        <v>0.57999999999999996</v>
      </c>
    </row>
    <row r="452" spans="1:36" x14ac:dyDescent="0.35">
      <c r="A452" t="s">
        <v>2038</v>
      </c>
      <c r="B452" s="188" t="s">
        <v>1342</v>
      </c>
      <c r="C452" t="s">
        <v>1350</v>
      </c>
      <c r="D452" t="s">
        <v>555</v>
      </c>
      <c r="E452" t="s">
        <v>1989</v>
      </c>
      <c r="F452" s="188" t="s">
        <v>2035</v>
      </c>
      <c r="G452" s="188" t="s">
        <v>2036</v>
      </c>
      <c r="H452" s="188">
        <v>0.57999999999999996</v>
      </c>
      <c r="I452" s="188">
        <v>0.57999999999999996</v>
      </c>
      <c r="J452" s="188">
        <v>0.57999999999999996</v>
      </c>
      <c r="K452" s="188">
        <v>0.57999999999999996</v>
      </c>
      <c r="L452" s="188">
        <v>0.57999999999999996</v>
      </c>
      <c r="M452" s="188">
        <v>0.57999999999999996</v>
      </c>
      <c r="N452" s="188">
        <v>0.57999999999999996</v>
      </c>
      <c r="O452" s="188">
        <v>0.57999999999999996</v>
      </c>
      <c r="P452" s="188">
        <v>0.57999999999999996</v>
      </c>
      <c r="Q452" s="188">
        <v>0.57999999999999996</v>
      </c>
      <c r="R452" s="188">
        <v>0.57999999999999996</v>
      </c>
      <c r="S452" s="188">
        <v>0.57999999999999996</v>
      </c>
      <c r="T452" s="188">
        <v>0.57999999999999996</v>
      </c>
      <c r="U452" s="188">
        <v>0.57999999999999996</v>
      </c>
      <c r="V452" s="188">
        <v>0.57999999999999996</v>
      </c>
      <c r="W452" s="188">
        <v>0.57999999999999996</v>
      </c>
      <c r="X452" s="188">
        <v>0.57999999999999996</v>
      </c>
      <c r="Y452" s="188">
        <v>0.57999999999999996</v>
      </c>
      <c r="Z452" s="188">
        <v>0.57999999999999996</v>
      </c>
      <c r="AA452" s="188">
        <v>0.57999999999999996</v>
      </c>
      <c r="AB452" s="188">
        <v>0.57999999999999996</v>
      </c>
      <c r="AC452" s="188">
        <v>0.57999999999999996</v>
      </c>
      <c r="AD452" s="188">
        <v>0.57999999999999996</v>
      </c>
      <c r="AE452" s="188">
        <v>0.57999999999999996</v>
      </c>
      <c r="AF452" s="188">
        <v>0.57999999999999996</v>
      </c>
      <c r="AG452" s="188">
        <v>0.57999999999999996</v>
      </c>
      <c r="AH452" s="188">
        <v>0.57999999999999996</v>
      </c>
      <c r="AI452" s="188">
        <v>0.57999999999999996</v>
      </c>
      <c r="AJ452" s="188">
        <v>0.57999999999999996</v>
      </c>
    </row>
    <row r="453" spans="1:36" x14ac:dyDescent="0.35">
      <c r="A453" t="s">
        <v>1988</v>
      </c>
      <c r="B453" s="188" t="s">
        <v>1342</v>
      </c>
      <c r="C453" t="s">
        <v>1343</v>
      </c>
      <c r="D453" t="s">
        <v>555</v>
      </c>
      <c r="E453" t="s">
        <v>1989</v>
      </c>
      <c r="F453" s="188" t="s">
        <v>2039</v>
      </c>
      <c r="G453" s="188" t="s">
        <v>2040</v>
      </c>
      <c r="H453" s="188">
        <v>0.57999999999999996</v>
      </c>
      <c r="I453" s="188">
        <v>0.57999999999999996</v>
      </c>
      <c r="J453" s="188">
        <v>0.57999999999999996</v>
      </c>
      <c r="K453" s="188">
        <v>0.57999999999999996</v>
      </c>
      <c r="L453" s="188">
        <v>0.57999999999999996</v>
      </c>
      <c r="M453" s="188">
        <v>0.57999999999999996</v>
      </c>
      <c r="N453" s="188">
        <v>0.57999999999999996</v>
      </c>
      <c r="O453" s="188">
        <v>0.57999999999999996</v>
      </c>
      <c r="P453" s="188">
        <v>0.57999999999999996</v>
      </c>
      <c r="Q453" s="188">
        <v>0.57999999999999996</v>
      </c>
      <c r="R453" s="188">
        <v>0.57999999999999996</v>
      </c>
      <c r="S453" s="188">
        <v>0.57999999999999996</v>
      </c>
      <c r="T453" s="188">
        <v>0.57999999999999996</v>
      </c>
      <c r="U453" s="188">
        <v>0.57999999999999996</v>
      </c>
      <c r="V453" s="188">
        <v>0.57999999999999996</v>
      </c>
      <c r="W453" s="188">
        <v>0.57999999999999996</v>
      </c>
      <c r="X453" s="188">
        <v>0.57999999999999996</v>
      </c>
      <c r="Y453" s="188">
        <v>0.57999999999999996</v>
      </c>
      <c r="Z453" s="188">
        <v>0.57999999999999996</v>
      </c>
      <c r="AA453" s="188">
        <v>0.57999999999999996</v>
      </c>
      <c r="AB453" s="188">
        <v>0.57999999999999996</v>
      </c>
      <c r="AC453" s="188">
        <v>0.57999999999999996</v>
      </c>
      <c r="AD453" s="188">
        <v>0.57999999999999996</v>
      </c>
      <c r="AE453" s="188">
        <v>0.57999999999999996</v>
      </c>
      <c r="AF453" s="188">
        <v>0.57999999999999996</v>
      </c>
      <c r="AG453" s="188">
        <v>0.57999999999999996</v>
      </c>
      <c r="AH453" s="188">
        <v>0.57999999999999996</v>
      </c>
      <c r="AI453" s="188">
        <v>0.57999999999999996</v>
      </c>
      <c r="AJ453" s="188">
        <v>0.57999999999999996</v>
      </c>
    </row>
    <row r="454" spans="1:36" x14ac:dyDescent="0.35">
      <c r="A454" t="s">
        <v>1992</v>
      </c>
      <c r="B454" s="188" t="s">
        <v>1342</v>
      </c>
      <c r="C454" t="s">
        <v>1348</v>
      </c>
      <c r="D454" t="s">
        <v>555</v>
      </c>
      <c r="E454" t="s">
        <v>1989</v>
      </c>
      <c r="F454" s="188" t="s">
        <v>2039</v>
      </c>
      <c r="G454" s="188" t="s">
        <v>2040</v>
      </c>
      <c r="H454" s="188">
        <v>0.57999999999999996</v>
      </c>
      <c r="I454" s="188">
        <v>0.57999999999999996</v>
      </c>
      <c r="J454" s="188">
        <v>0.57999999999999996</v>
      </c>
      <c r="K454" s="188">
        <v>0.57999999999999996</v>
      </c>
      <c r="L454" s="188">
        <v>0.57999999999999996</v>
      </c>
      <c r="M454" s="188">
        <v>0.57999999999999996</v>
      </c>
      <c r="N454" s="188">
        <v>0.57999999999999996</v>
      </c>
      <c r="O454" s="188">
        <v>0.57999999999999996</v>
      </c>
      <c r="P454" s="188">
        <v>0.57999999999999996</v>
      </c>
      <c r="Q454" s="188">
        <v>0.57999999999999996</v>
      </c>
      <c r="R454" s="188">
        <v>0.57999999999999996</v>
      </c>
      <c r="S454" s="188">
        <v>0.57999999999999996</v>
      </c>
      <c r="T454" s="188">
        <v>0.57999999999999996</v>
      </c>
      <c r="U454" s="188">
        <v>0.57999999999999996</v>
      </c>
      <c r="V454" s="188">
        <v>0.57999999999999996</v>
      </c>
      <c r="W454" s="188">
        <v>0.57999999999999996</v>
      </c>
      <c r="X454" s="188">
        <v>0.57999999999999996</v>
      </c>
      <c r="Y454" s="188">
        <v>0.57999999999999996</v>
      </c>
      <c r="Z454" s="188">
        <v>0.57999999999999996</v>
      </c>
      <c r="AA454" s="188">
        <v>0.57999999999999996</v>
      </c>
      <c r="AB454" s="188">
        <v>0.57999999999999996</v>
      </c>
      <c r="AC454" s="188">
        <v>0.57999999999999996</v>
      </c>
      <c r="AD454" s="188">
        <v>0.57999999999999996</v>
      </c>
      <c r="AE454" s="188">
        <v>0.57999999999999996</v>
      </c>
      <c r="AF454" s="188">
        <v>0.57999999999999996</v>
      </c>
      <c r="AG454" s="188">
        <v>0.57999999999999996</v>
      </c>
      <c r="AH454" s="188">
        <v>0.57999999999999996</v>
      </c>
      <c r="AI454" s="188">
        <v>0.57999999999999996</v>
      </c>
      <c r="AJ454" s="188">
        <v>0.57999999999999996</v>
      </c>
    </row>
    <row r="455" spans="1:36" x14ac:dyDescent="0.35">
      <c r="A455" t="s">
        <v>1993</v>
      </c>
      <c r="B455" s="188" t="s">
        <v>1342</v>
      </c>
      <c r="C455" t="s">
        <v>1350</v>
      </c>
      <c r="D455" t="s">
        <v>555</v>
      </c>
      <c r="E455" t="s">
        <v>1989</v>
      </c>
      <c r="F455" s="188" t="s">
        <v>2039</v>
      </c>
      <c r="G455" s="188" t="s">
        <v>2040</v>
      </c>
      <c r="H455" s="188">
        <v>0.57999999999999996</v>
      </c>
      <c r="I455" s="188">
        <v>0.57999999999999996</v>
      </c>
      <c r="J455" s="188">
        <v>0.57999999999999996</v>
      </c>
      <c r="K455" s="188">
        <v>0.57999999999999996</v>
      </c>
      <c r="L455" s="188">
        <v>0.57999999999999996</v>
      </c>
      <c r="M455" s="188">
        <v>0.57999999999999996</v>
      </c>
      <c r="N455" s="188">
        <v>0.57999999999999996</v>
      </c>
      <c r="O455" s="188">
        <v>0.57999999999999996</v>
      </c>
      <c r="P455" s="188">
        <v>0.57999999999999996</v>
      </c>
      <c r="Q455" s="188">
        <v>0.57999999999999996</v>
      </c>
      <c r="R455" s="188">
        <v>0.57999999999999996</v>
      </c>
      <c r="S455" s="188">
        <v>0.57999999999999996</v>
      </c>
      <c r="T455" s="188">
        <v>0.57999999999999996</v>
      </c>
      <c r="U455" s="188">
        <v>0.57999999999999996</v>
      </c>
      <c r="V455" s="188">
        <v>0.57999999999999996</v>
      </c>
      <c r="W455" s="188">
        <v>0.57999999999999996</v>
      </c>
      <c r="X455" s="188">
        <v>0.57999999999999996</v>
      </c>
      <c r="Y455" s="188">
        <v>0.57999999999999996</v>
      </c>
      <c r="Z455" s="188">
        <v>0.57999999999999996</v>
      </c>
      <c r="AA455" s="188">
        <v>0.57999999999999996</v>
      </c>
      <c r="AB455" s="188">
        <v>0.57999999999999996</v>
      </c>
      <c r="AC455" s="188">
        <v>0.57999999999999996</v>
      </c>
      <c r="AD455" s="188">
        <v>0.57999999999999996</v>
      </c>
      <c r="AE455" s="188">
        <v>0.57999999999999996</v>
      </c>
      <c r="AF455" s="188">
        <v>0.57999999999999996</v>
      </c>
      <c r="AG455" s="188">
        <v>0.57999999999999996</v>
      </c>
      <c r="AH455" s="188">
        <v>0.57999999999999996</v>
      </c>
      <c r="AI455" s="188">
        <v>0.57999999999999996</v>
      </c>
      <c r="AJ455" s="188">
        <v>0.57999999999999996</v>
      </c>
    </row>
    <row r="456" spans="1:36" x14ac:dyDescent="0.35">
      <c r="A456" t="s">
        <v>1994</v>
      </c>
      <c r="B456" s="188" t="s">
        <v>1342</v>
      </c>
      <c r="C456" t="s">
        <v>1343</v>
      </c>
      <c r="D456" t="s">
        <v>555</v>
      </c>
      <c r="E456" t="s">
        <v>1989</v>
      </c>
      <c r="F456" s="188" t="s">
        <v>2041</v>
      </c>
      <c r="G456" s="188" t="s">
        <v>2042</v>
      </c>
      <c r="H456" s="188">
        <v>0.57999999999999996</v>
      </c>
      <c r="I456" s="188">
        <v>0.57999999999999996</v>
      </c>
      <c r="J456" s="188">
        <v>0.57999999999999996</v>
      </c>
      <c r="K456" s="188">
        <v>0.57999999999999996</v>
      </c>
      <c r="L456" s="188">
        <v>0.57999999999999996</v>
      </c>
      <c r="M456" s="188">
        <v>0.57999999999999996</v>
      </c>
      <c r="N456" s="188">
        <v>0.57999999999999996</v>
      </c>
      <c r="O456" s="188">
        <v>0.57999999999999996</v>
      </c>
      <c r="P456" s="188">
        <v>0.57999999999999996</v>
      </c>
      <c r="Q456" s="188">
        <v>0.57999999999999996</v>
      </c>
      <c r="R456" s="188">
        <v>0.57999999999999996</v>
      </c>
      <c r="S456" s="188">
        <v>0.57999999999999996</v>
      </c>
      <c r="T456" s="188">
        <v>0.57999999999999996</v>
      </c>
      <c r="U456" s="188">
        <v>0.57999999999999996</v>
      </c>
      <c r="V456" s="188">
        <v>0.57999999999999996</v>
      </c>
      <c r="W456" s="188">
        <v>0.57999999999999996</v>
      </c>
      <c r="X456" s="188">
        <v>0.57999999999999996</v>
      </c>
      <c r="Y456" s="188">
        <v>0.57999999999999996</v>
      </c>
      <c r="Z456" s="188">
        <v>0.57999999999999996</v>
      </c>
      <c r="AA456" s="188">
        <v>0.57999999999999996</v>
      </c>
      <c r="AB456" s="188">
        <v>0.57999999999999996</v>
      </c>
      <c r="AC456" s="188">
        <v>0.57999999999999996</v>
      </c>
      <c r="AD456" s="188">
        <v>0.57999999999999996</v>
      </c>
      <c r="AE456" s="188">
        <v>0.57999999999999996</v>
      </c>
      <c r="AF456" s="188">
        <v>0.57999999999999996</v>
      </c>
      <c r="AG456" s="188">
        <v>0.57999999999999996</v>
      </c>
      <c r="AH456" s="188">
        <v>0.57999999999999996</v>
      </c>
      <c r="AI456" s="188">
        <v>0.57999999999999996</v>
      </c>
      <c r="AJ456" s="188">
        <v>0.57999999999999996</v>
      </c>
    </row>
    <row r="457" spans="1:36" x14ac:dyDescent="0.35">
      <c r="A457" t="s">
        <v>1997</v>
      </c>
      <c r="B457" s="188" t="s">
        <v>1342</v>
      </c>
      <c r="C457" t="s">
        <v>1348</v>
      </c>
      <c r="D457" t="s">
        <v>555</v>
      </c>
      <c r="E457" t="s">
        <v>1989</v>
      </c>
      <c r="F457" s="188" t="s">
        <v>2041</v>
      </c>
      <c r="G457" s="188" t="s">
        <v>2042</v>
      </c>
      <c r="H457" s="188">
        <v>0.57999999999999996</v>
      </c>
      <c r="I457" s="188">
        <v>0.57999999999999996</v>
      </c>
      <c r="J457" s="188">
        <v>0.57999999999999996</v>
      </c>
      <c r="K457" s="188">
        <v>0.57999999999999996</v>
      </c>
      <c r="L457" s="188">
        <v>0.57999999999999996</v>
      </c>
      <c r="M457" s="188">
        <v>0.57999999999999996</v>
      </c>
      <c r="N457" s="188">
        <v>0.57999999999999996</v>
      </c>
      <c r="O457" s="188">
        <v>0.57999999999999996</v>
      </c>
      <c r="P457" s="188">
        <v>0.57999999999999996</v>
      </c>
      <c r="Q457" s="188">
        <v>0.57999999999999996</v>
      </c>
      <c r="R457" s="188">
        <v>0.57999999999999996</v>
      </c>
      <c r="S457" s="188">
        <v>0.57999999999999996</v>
      </c>
      <c r="T457" s="188">
        <v>0.57999999999999996</v>
      </c>
      <c r="U457" s="188">
        <v>0.57999999999999996</v>
      </c>
      <c r="V457" s="188">
        <v>0.57999999999999996</v>
      </c>
      <c r="W457" s="188">
        <v>0.57999999999999996</v>
      </c>
      <c r="X457" s="188">
        <v>0.57999999999999996</v>
      </c>
      <c r="Y457" s="188">
        <v>0.57999999999999996</v>
      </c>
      <c r="Z457" s="188">
        <v>0.57999999999999996</v>
      </c>
      <c r="AA457" s="188">
        <v>0.57999999999999996</v>
      </c>
      <c r="AB457" s="188">
        <v>0.57999999999999996</v>
      </c>
      <c r="AC457" s="188">
        <v>0.57999999999999996</v>
      </c>
      <c r="AD457" s="188">
        <v>0.57999999999999996</v>
      </c>
      <c r="AE457" s="188">
        <v>0.57999999999999996</v>
      </c>
      <c r="AF457" s="188">
        <v>0.57999999999999996</v>
      </c>
      <c r="AG457" s="188">
        <v>0.57999999999999996</v>
      </c>
      <c r="AH457" s="188">
        <v>0.57999999999999996</v>
      </c>
      <c r="AI457" s="188">
        <v>0.57999999999999996</v>
      </c>
      <c r="AJ457" s="188">
        <v>0.57999999999999996</v>
      </c>
    </row>
    <row r="458" spans="1:36" x14ac:dyDescent="0.35">
      <c r="A458" t="s">
        <v>1998</v>
      </c>
      <c r="B458" s="188" t="s">
        <v>1342</v>
      </c>
      <c r="C458" t="s">
        <v>1350</v>
      </c>
      <c r="D458" t="s">
        <v>555</v>
      </c>
      <c r="E458" t="s">
        <v>1989</v>
      </c>
      <c r="F458" s="188" t="s">
        <v>2041</v>
      </c>
      <c r="G458" s="188" t="s">
        <v>2042</v>
      </c>
      <c r="H458" s="188">
        <v>0.57999999999999996</v>
      </c>
      <c r="I458" s="188">
        <v>0.57999999999999996</v>
      </c>
      <c r="J458" s="188">
        <v>0.57999999999999996</v>
      </c>
      <c r="K458" s="188">
        <v>0.57999999999999996</v>
      </c>
      <c r="L458" s="188">
        <v>0.57999999999999996</v>
      </c>
      <c r="M458" s="188">
        <v>0.57999999999999996</v>
      </c>
      <c r="N458" s="188">
        <v>0.57999999999999996</v>
      </c>
      <c r="O458" s="188">
        <v>0.57999999999999996</v>
      </c>
      <c r="P458" s="188">
        <v>0.57999999999999996</v>
      </c>
      <c r="Q458" s="188">
        <v>0.57999999999999996</v>
      </c>
      <c r="R458" s="188">
        <v>0.57999999999999996</v>
      </c>
      <c r="S458" s="188">
        <v>0.57999999999999996</v>
      </c>
      <c r="T458" s="188">
        <v>0.57999999999999996</v>
      </c>
      <c r="U458" s="188">
        <v>0.57999999999999996</v>
      </c>
      <c r="V458" s="188">
        <v>0.57999999999999996</v>
      </c>
      <c r="W458" s="188">
        <v>0.57999999999999996</v>
      </c>
      <c r="X458" s="188">
        <v>0.57999999999999996</v>
      </c>
      <c r="Y458" s="188">
        <v>0.57999999999999996</v>
      </c>
      <c r="Z458" s="188">
        <v>0.57999999999999996</v>
      </c>
      <c r="AA458" s="188">
        <v>0.57999999999999996</v>
      </c>
      <c r="AB458" s="188">
        <v>0.57999999999999996</v>
      </c>
      <c r="AC458" s="188">
        <v>0.57999999999999996</v>
      </c>
      <c r="AD458" s="188">
        <v>0.57999999999999996</v>
      </c>
      <c r="AE458" s="188">
        <v>0.57999999999999996</v>
      </c>
      <c r="AF458" s="188">
        <v>0.57999999999999996</v>
      </c>
      <c r="AG458" s="188">
        <v>0.57999999999999996</v>
      </c>
      <c r="AH458" s="188">
        <v>0.57999999999999996</v>
      </c>
      <c r="AI458" s="188">
        <v>0.57999999999999996</v>
      </c>
      <c r="AJ458" s="188">
        <v>0.57999999999999996</v>
      </c>
    </row>
    <row r="459" spans="1:36" x14ac:dyDescent="0.35">
      <c r="A459" t="s">
        <v>1999</v>
      </c>
      <c r="B459" s="188" t="s">
        <v>1342</v>
      </c>
      <c r="C459" t="s">
        <v>1343</v>
      </c>
      <c r="D459" t="s">
        <v>555</v>
      </c>
      <c r="E459" t="s">
        <v>1989</v>
      </c>
      <c r="F459" s="188" t="s">
        <v>2043</v>
      </c>
      <c r="G459" s="188" t="s">
        <v>2044</v>
      </c>
      <c r="H459" s="188">
        <v>0.57999999999999996</v>
      </c>
      <c r="I459" s="188">
        <v>0.57999999999999996</v>
      </c>
      <c r="J459" s="188">
        <v>0.57999999999999996</v>
      </c>
      <c r="K459" s="188">
        <v>0.57999999999999996</v>
      </c>
      <c r="L459" s="188">
        <v>0.57999999999999996</v>
      </c>
      <c r="M459" s="188">
        <v>0.57999999999999996</v>
      </c>
      <c r="N459" s="188">
        <v>0.57999999999999996</v>
      </c>
      <c r="O459" s="188">
        <v>0.57999999999999996</v>
      </c>
      <c r="P459" s="188">
        <v>0.57999999999999996</v>
      </c>
      <c r="Q459" s="188">
        <v>0.57999999999999996</v>
      </c>
      <c r="R459" s="188">
        <v>0.57999999999999996</v>
      </c>
      <c r="S459" s="188">
        <v>0.57999999999999996</v>
      </c>
      <c r="T459" s="188">
        <v>0.57999999999999996</v>
      </c>
      <c r="U459" s="188">
        <v>0.57999999999999996</v>
      </c>
      <c r="V459" s="188">
        <v>0.57999999999999996</v>
      </c>
      <c r="W459" s="188">
        <v>0.57999999999999996</v>
      </c>
      <c r="X459" s="188">
        <v>0.57999999999999996</v>
      </c>
      <c r="Y459" s="188">
        <v>0.57999999999999996</v>
      </c>
      <c r="Z459" s="188">
        <v>0.57999999999999996</v>
      </c>
      <c r="AA459" s="188">
        <v>0.57999999999999996</v>
      </c>
      <c r="AB459" s="188">
        <v>0.57999999999999996</v>
      </c>
      <c r="AC459" s="188">
        <v>0.57999999999999996</v>
      </c>
      <c r="AD459" s="188">
        <v>0.57999999999999996</v>
      </c>
      <c r="AE459" s="188">
        <v>0.57999999999999996</v>
      </c>
      <c r="AF459" s="188">
        <v>0.57999999999999996</v>
      </c>
      <c r="AG459" s="188">
        <v>0.57999999999999996</v>
      </c>
      <c r="AH459" s="188">
        <v>0.57999999999999996</v>
      </c>
      <c r="AI459" s="188">
        <v>0.57999999999999996</v>
      </c>
      <c r="AJ459" s="188">
        <v>0.57999999999999996</v>
      </c>
    </row>
    <row r="460" spans="1:36" x14ac:dyDescent="0.35">
      <c r="A460" t="s">
        <v>2002</v>
      </c>
      <c r="B460" s="188" t="s">
        <v>1342</v>
      </c>
      <c r="C460" t="s">
        <v>1348</v>
      </c>
      <c r="D460" t="s">
        <v>555</v>
      </c>
      <c r="E460" t="s">
        <v>1989</v>
      </c>
      <c r="F460" s="188" t="s">
        <v>2043</v>
      </c>
      <c r="G460" s="188" t="s">
        <v>2044</v>
      </c>
      <c r="H460" s="188">
        <v>0.57999999999999996</v>
      </c>
      <c r="I460" s="188">
        <v>0.57999999999999996</v>
      </c>
      <c r="J460" s="188">
        <v>0.57999999999999996</v>
      </c>
      <c r="K460" s="188">
        <v>0.57999999999999996</v>
      </c>
      <c r="L460" s="188">
        <v>0.57999999999999996</v>
      </c>
      <c r="M460" s="188">
        <v>0.57999999999999996</v>
      </c>
      <c r="N460" s="188">
        <v>0.57999999999999996</v>
      </c>
      <c r="O460" s="188">
        <v>0.57999999999999996</v>
      </c>
      <c r="P460" s="188">
        <v>0.57999999999999996</v>
      </c>
      <c r="Q460" s="188">
        <v>0.57999999999999996</v>
      </c>
      <c r="R460" s="188">
        <v>0.57999999999999996</v>
      </c>
      <c r="S460" s="188">
        <v>0.57999999999999996</v>
      </c>
      <c r="T460" s="188">
        <v>0.57999999999999996</v>
      </c>
      <c r="U460" s="188">
        <v>0.57999999999999996</v>
      </c>
      <c r="V460" s="188">
        <v>0.57999999999999996</v>
      </c>
      <c r="W460" s="188">
        <v>0.57999999999999996</v>
      </c>
      <c r="X460" s="188">
        <v>0.57999999999999996</v>
      </c>
      <c r="Y460" s="188">
        <v>0.57999999999999996</v>
      </c>
      <c r="Z460" s="188">
        <v>0.57999999999999996</v>
      </c>
      <c r="AA460" s="188">
        <v>0.57999999999999996</v>
      </c>
      <c r="AB460" s="188">
        <v>0.57999999999999996</v>
      </c>
      <c r="AC460" s="188">
        <v>0.57999999999999996</v>
      </c>
      <c r="AD460" s="188">
        <v>0.57999999999999996</v>
      </c>
      <c r="AE460" s="188">
        <v>0.57999999999999996</v>
      </c>
      <c r="AF460" s="188">
        <v>0.57999999999999996</v>
      </c>
      <c r="AG460" s="188">
        <v>0.57999999999999996</v>
      </c>
      <c r="AH460" s="188">
        <v>0.57999999999999996</v>
      </c>
      <c r="AI460" s="188">
        <v>0.57999999999999996</v>
      </c>
      <c r="AJ460" s="188">
        <v>0.57999999999999996</v>
      </c>
    </row>
    <row r="461" spans="1:36" x14ac:dyDescent="0.35">
      <c r="A461" t="s">
        <v>2003</v>
      </c>
      <c r="B461" s="188" t="s">
        <v>1342</v>
      </c>
      <c r="C461" t="s">
        <v>1350</v>
      </c>
      <c r="D461" t="s">
        <v>555</v>
      </c>
      <c r="E461" t="s">
        <v>1989</v>
      </c>
      <c r="F461" s="188" t="s">
        <v>2043</v>
      </c>
      <c r="G461" s="188" t="s">
        <v>2044</v>
      </c>
      <c r="H461" s="188">
        <v>0.57999999999999996</v>
      </c>
      <c r="I461" s="188">
        <v>0.57999999999999996</v>
      </c>
      <c r="J461" s="188">
        <v>0.57999999999999996</v>
      </c>
      <c r="K461" s="188">
        <v>0.57999999999999996</v>
      </c>
      <c r="L461" s="188">
        <v>0.57999999999999996</v>
      </c>
      <c r="M461" s="188">
        <v>0.57999999999999996</v>
      </c>
      <c r="N461" s="188">
        <v>0.57999999999999996</v>
      </c>
      <c r="O461" s="188">
        <v>0.57999999999999996</v>
      </c>
      <c r="P461" s="188">
        <v>0.57999999999999996</v>
      </c>
      <c r="Q461" s="188">
        <v>0.57999999999999996</v>
      </c>
      <c r="R461" s="188">
        <v>0.57999999999999996</v>
      </c>
      <c r="S461" s="188">
        <v>0.57999999999999996</v>
      </c>
      <c r="T461" s="188">
        <v>0.57999999999999996</v>
      </c>
      <c r="U461" s="188">
        <v>0.57999999999999996</v>
      </c>
      <c r="V461" s="188">
        <v>0.57999999999999996</v>
      </c>
      <c r="W461" s="188">
        <v>0.57999999999999996</v>
      </c>
      <c r="X461" s="188">
        <v>0.57999999999999996</v>
      </c>
      <c r="Y461" s="188">
        <v>0.57999999999999996</v>
      </c>
      <c r="Z461" s="188">
        <v>0.57999999999999996</v>
      </c>
      <c r="AA461" s="188">
        <v>0.57999999999999996</v>
      </c>
      <c r="AB461" s="188">
        <v>0.57999999999999996</v>
      </c>
      <c r="AC461" s="188">
        <v>0.57999999999999996</v>
      </c>
      <c r="AD461" s="188">
        <v>0.57999999999999996</v>
      </c>
      <c r="AE461" s="188">
        <v>0.57999999999999996</v>
      </c>
      <c r="AF461" s="188">
        <v>0.57999999999999996</v>
      </c>
      <c r="AG461" s="188">
        <v>0.57999999999999996</v>
      </c>
      <c r="AH461" s="188">
        <v>0.57999999999999996</v>
      </c>
      <c r="AI461" s="188">
        <v>0.57999999999999996</v>
      </c>
      <c r="AJ461" s="188">
        <v>0.57999999999999996</v>
      </c>
    </row>
    <row r="462" spans="1:36" x14ac:dyDescent="0.35">
      <c r="A462" t="s">
        <v>2004</v>
      </c>
      <c r="B462" s="188" t="s">
        <v>1342</v>
      </c>
      <c r="C462" t="s">
        <v>1343</v>
      </c>
      <c r="D462" t="s">
        <v>555</v>
      </c>
      <c r="E462" t="s">
        <v>1989</v>
      </c>
      <c r="F462" s="188" t="s">
        <v>2045</v>
      </c>
      <c r="G462" s="188" t="s">
        <v>2046</v>
      </c>
      <c r="H462" s="188">
        <v>0.57999999999999996</v>
      </c>
      <c r="I462" s="188">
        <v>0.57999999999999996</v>
      </c>
      <c r="J462" s="188">
        <v>0.57999999999999996</v>
      </c>
      <c r="K462" s="188">
        <v>0.57999999999999996</v>
      </c>
      <c r="L462" s="188">
        <v>0.57999999999999996</v>
      </c>
      <c r="M462" s="188">
        <v>0.57999999999999996</v>
      </c>
      <c r="N462" s="188">
        <v>0.57999999999999996</v>
      </c>
      <c r="O462" s="188">
        <v>0.57999999999999996</v>
      </c>
      <c r="P462" s="188">
        <v>0.57999999999999996</v>
      </c>
      <c r="Q462" s="188">
        <v>0.57999999999999996</v>
      </c>
      <c r="R462" s="188">
        <v>0.57999999999999996</v>
      </c>
      <c r="S462" s="188">
        <v>0.57999999999999996</v>
      </c>
      <c r="T462" s="188">
        <v>0.57999999999999996</v>
      </c>
      <c r="U462" s="188">
        <v>0.57999999999999996</v>
      </c>
      <c r="V462" s="188">
        <v>0.57999999999999996</v>
      </c>
      <c r="W462" s="188">
        <v>0.57999999999999996</v>
      </c>
      <c r="X462" s="188">
        <v>0.57999999999999996</v>
      </c>
      <c r="Y462" s="188">
        <v>0.57999999999999996</v>
      </c>
      <c r="Z462" s="188">
        <v>0.57999999999999996</v>
      </c>
      <c r="AA462" s="188">
        <v>0.57999999999999996</v>
      </c>
      <c r="AB462" s="188">
        <v>0.57999999999999996</v>
      </c>
      <c r="AC462" s="188">
        <v>0.57999999999999996</v>
      </c>
      <c r="AD462" s="188">
        <v>0.57999999999999996</v>
      </c>
      <c r="AE462" s="188">
        <v>0.57999999999999996</v>
      </c>
      <c r="AF462" s="188">
        <v>0.57999999999999996</v>
      </c>
      <c r="AG462" s="188">
        <v>0.57999999999999996</v>
      </c>
      <c r="AH462" s="188">
        <v>0.57999999999999996</v>
      </c>
      <c r="AI462" s="188">
        <v>0.57999999999999996</v>
      </c>
      <c r="AJ462" s="188">
        <v>0.57999999999999996</v>
      </c>
    </row>
    <row r="463" spans="1:36" x14ac:dyDescent="0.35">
      <c r="A463" t="s">
        <v>2007</v>
      </c>
      <c r="B463" s="188" t="s">
        <v>1342</v>
      </c>
      <c r="C463" t="s">
        <v>1348</v>
      </c>
      <c r="D463" t="s">
        <v>555</v>
      </c>
      <c r="E463" t="s">
        <v>1989</v>
      </c>
      <c r="F463" s="188" t="s">
        <v>2045</v>
      </c>
      <c r="G463" s="188" t="s">
        <v>2046</v>
      </c>
      <c r="H463" s="188">
        <v>0.57999999999999996</v>
      </c>
      <c r="I463" s="188">
        <v>0.57999999999999996</v>
      </c>
      <c r="J463" s="188">
        <v>0.57999999999999996</v>
      </c>
      <c r="K463" s="188">
        <v>0.57999999999999996</v>
      </c>
      <c r="L463" s="188">
        <v>0.57999999999999996</v>
      </c>
      <c r="M463" s="188">
        <v>0.57999999999999996</v>
      </c>
      <c r="N463" s="188">
        <v>0.57999999999999996</v>
      </c>
      <c r="O463" s="188">
        <v>0.57999999999999996</v>
      </c>
      <c r="P463" s="188">
        <v>0.57999999999999996</v>
      </c>
      <c r="Q463" s="188">
        <v>0.57999999999999996</v>
      </c>
      <c r="R463" s="188">
        <v>0.57999999999999996</v>
      </c>
      <c r="S463" s="188">
        <v>0.57999999999999996</v>
      </c>
      <c r="T463" s="188">
        <v>0.57999999999999996</v>
      </c>
      <c r="U463" s="188">
        <v>0.57999999999999996</v>
      </c>
      <c r="V463" s="188">
        <v>0.57999999999999996</v>
      </c>
      <c r="W463" s="188">
        <v>0.57999999999999996</v>
      </c>
      <c r="X463" s="188">
        <v>0.57999999999999996</v>
      </c>
      <c r="Y463" s="188">
        <v>0.57999999999999996</v>
      </c>
      <c r="Z463" s="188">
        <v>0.57999999999999996</v>
      </c>
      <c r="AA463" s="188">
        <v>0.57999999999999996</v>
      </c>
      <c r="AB463" s="188">
        <v>0.57999999999999996</v>
      </c>
      <c r="AC463" s="188">
        <v>0.57999999999999996</v>
      </c>
      <c r="AD463" s="188">
        <v>0.57999999999999996</v>
      </c>
      <c r="AE463" s="188">
        <v>0.57999999999999996</v>
      </c>
      <c r="AF463" s="188">
        <v>0.57999999999999996</v>
      </c>
      <c r="AG463" s="188">
        <v>0.57999999999999996</v>
      </c>
      <c r="AH463" s="188">
        <v>0.57999999999999996</v>
      </c>
      <c r="AI463" s="188">
        <v>0.57999999999999996</v>
      </c>
      <c r="AJ463" s="188">
        <v>0.57999999999999996</v>
      </c>
    </row>
    <row r="464" spans="1:36" x14ac:dyDescent="0.35">
      <c r="A464" t="s">
        <v>2008</v>
      </c>
      <c r="B464" s="188" t="s">
        <v>1342</v>
      </c>
      <c r="C464" t="s">
        <v>1350</v>
      </c>
      <c r="D464" t="s">
        <v>555</v>
      </c>
      <c r="E464" t="s">
        <v>1989</v>
      </c>
      <c r="F464" s="188" t="s">
        <v>2045</v>
      </c>
      <c r="G464" s="188" t="s">
        <v>2046</v>
      </c>
      <c r="H464" s="188">
        <v>0.57999999999999996</v>
      </c>
      <c r="I464" s="188">
        <v>0.57999999999999996</v>
      </c>
      <c r="J464" s="188">
        <v>0.57999999999999996</v>
      </c>
      <c r="K464" s="188">
        <v>0.57999999999999996</v>
      </c>
      <c r="L464" s="188">
        <v>0.57999999999999996</v>
      </c>
      <c r="M464" s="188">
        <v>0.57999999999999996</v>
      </c>
      <c r="N464" s="188">
        <v>0.57999999999999996</v>
      </c>
      <c r="O464" s="188">
        <v>0.57999999999999996</v>
      </c>
      <c r="P464" s="188">
        <v>0.57999999999999996</v>
      </c>
      <c r="Q464" s="188">
        <v>0.57999999999999996</v>
      </c>
      <c r="R464" s="188">
        <v>0.57999999999999996</v>
      </c>
      <c r="S464" s="188">
        <v>0.57999999999999996</v>
      </c>
      <c r="T464" s="188">
        <v>0.57999999999999996</v>
      </c>
      <c r="U464" s="188">
        <v>0.57999999999999996</v>
      </c>
      <c r="V464" s="188">
        <v>0.57999999999999996</v>
      </c>
      <c r="W464" s="188">
        <v>0.57999999999999996</v>
      </c>
      <c r="X464" s="188">
        <v>0.57999999999999996</v>
      </c>
      <c r="Y464" s="188">
        <v>0.57999999999999996</v>
      </c>
      <c r="Z464" s="188">
        <v>0.57999999999999996</v>
      </c>
      <c r="AA464" s="188">
        <v>0.57999999999999996</v>
      </c>
      <c r="AB464" s="188">
        <v>0.57999999999999996</v>
      </c>
      <c r="AC464" s="188">
        <v>0.57999999999999996</v>
      </c>
      <c r="AD464" s="188">
        <v>0.57999999999999996</v>
      </c>
      <c r="AE464" s="188">
        <v>0.57999999999999996</v>
      </c>
      <c r="AF464" s="188">
        <v>0.57999999999999996</v>
      </c>
      <c r="AG464" s="188">
        <v>0.57999999999999996</v>
      </c>
      <c r="AH464" s="188">
        <v>0.57999999999999996</v>
      </c>
      <c r="AI464" s="188">
        <v>0.57999999999999996</v>
      </c>
      <c r="AJ464" s="188">
        <v>0.57999999999999996</v>
      </c>
    </row>
    <row r="465" spans="1:36" x14ac:dyDescent="0.35">
      <c r="A465" t="s">
        <v>2009</v>
      </c>
      <c r="B465" s="188" t="s">
        <v>1342</v>
      </c>
      <c r="C465" t="s">
        <v>1343</v>
      </c>
      <c r="D465" t="s">
        <v>555</v>
      </c>
      <c r="E465" t="s">
        <v>1989</v>
      </c>
      <c r="F465" s="188" t="s">
        <v>2047</v>
      </c>
      <c r="G465" s="188" t="s">
        <v>2048</v>
      </c>
      <c r="H465" s="188">
        <v>0.57999999999999996</v>
      </c>
      <c r="I465" s="188">
        <v>0.57999999999999996</v>
      </c>
      <c r="J465" s="188">
        <v>0.57999999999999996</v>
      </c>
      <c r="K465" s="188">
        <v>0.57999999999999996</v>
      </c>
      <c r="L465" s="188">
        <v>0.57999999999999996</v>
      </c>
      <c r="M465" s="188">
        <v>0.57999999999999996</v>
      </c>
      <c r="N465" s="188">
        <v>0.57999999999999996</v>
      </c>
      <c r="O465" s="188">
        <v>0.57999999999999996</v>
      </c>
      <c r="P465" s="188">
        <v>0.57999999999999996</v>
      </c>
      <c r="Q465" s="188">
        <v>0.57999999999999996</v>
      </c>
      <c r="R465" s="188">
        <v>0.57999999999999996</v>
      </c>
      <c r="S465" s="188">
        <v>0.57999999999999996</v>
      </c>
      <c r="T465" s="188">
        <v>0.57999999999999996</v>
      </c>
      <c r="U465" s="188">
        <v>0.57999999999999996</v>
      </c>
      <c r="V465" s="188">
        <v>0.57999999999999996</v>
      </c>
      <c r="W465" s="188">
        <v>0.57999999999999996</v>
      </c>
      <c r="X465" s="188">
        <v>0.57999999999999996</v>
      </c>
      <c r="Y465" s="188">
        <v>0.57999999999999996</v>
      </c>
      <c r="Z465" s="188">
        <v>0.57999999999999996</v>
      </c>
      <c r="AA465" s="188">
        <v>0.57999999999999996</v>
      </c>
      <c r="AB465" s="188">
        <v>0.57999999999999996</v>
      </c>
      <c r="AC465" s="188">
        <v>0.57999999999999996</v>
      </c>
      <c r="AD465" s="188">
        <v>0.57999999999999996</v>
      </c>
      <c r="AE465" s="188">
        <v>0.57999999999999996</v>
      </c>
      <c r="AF465" s="188">
        <v>0.57999999999999996</v>
      </c>
      <c r="AG465" s="188">
        <v>0.57999999999999996</v>
      </c>
      <c r="AH465" s="188">
        <v>0.57999999999999996</v>
      </c>
      <c r="AI465" s="188">
        <v>0.57999999999999996</v>
      </c>
      <c r="AJ465" s="188">
        <v>0.57999999999999996</v>
      </c>
    </row>
    <row r="466" spans="1:36" x14ac:dyDescent="0.35">
      <c r="A466" t="s">
        <v>2012</v>
      </c>
      <c r="B466" s="188" t="s">
        <v>1342</v>
      </c>
      <c r="C466" t="s">
        <v>1348</v>
      </c>
      <c r="D466" t="s">
        <v>555</v>
      </c>
      <c r="E466" t="s">
        <v>1989</v>
      </c>
      <c r="F466" s="188" t="s">
        <v>2047</v>
      </c>
      <c r="G466" s="188" t="s">
        <v>2048</v>
      </c>
      <c r="H466" s="188">
        <v>0.57999999999999996</v>
      </c>
      <c r="I466" s="188">
        <v>0.57999999999999996</v>
      </c>
      <c r="J466" s="188">
        <v>0.57999999999999996</v>
      </c>
      <c r="K466" s="188">
        <v>0.57999999999999996</v>
      </c>
      <c r="L466" s="188">
        <v>0.57999999999999996</v>
      </c>
      <c r="M466" s="188">
        <v>0.57999999999999996</v>
      </c>
      <c r="N466" s="188">
        <v>0.57999999999999996</v>
      </c>
      <c r="O466" s="188">
        <v>0.57999999999999996</v>
      </c>
      <c r="P466" s="188">
        <v>0.57999999999999996</v>
      </c>
      <c r="Q466" s="188">
        <v>0.57999999999999996</v>
      </c>
      <c r="R466" s="188">
        <v>0.57999999999999996</v>
      </c>
      <c r="S466" s="188">
        <v>0.57999999999999996</v>
      </c>
      <c r="T466" s="188">
        <v>0.57999999999999996</v>
      </c>
      <c r="U466" s="188">
        <v>0.57999999999999996</v>
      </c>
      <c r="V466" s="188">
        <v>0.57999999999999996</v>
      </c>
      <c r="W466" s="188">
        <v>0.57999999999999996</v>
      </c>
      <c r="X466" s="188">
        <v>0.57999999999999996</v>
      </c>
      <c r="Y466" s="188">
        <v>0.57999999999999996</v>
      </c>
      <c r="Z466" s="188">
        <v>0.57999999999999996</v>
      </c>
      <c r="AA466" s="188">
        <v>0.57999999999999996</v>
      </c>
      <c r="AB466" s="188">
        <v>0.57999999999999996</v>
      </c>
      <c r="AC466" s="188">
        <v>0.57999999999999996</v>
      </c>
      <c r="AD466" s="188">
        <v>0.57999999999999996</v>
      </c>
      <c r="AE466" s="188">
        <v>0.57999999999999996</v>
      </c>
      <c r="AF466" s="188">
        <v>0.57999999999999996</v>
      </c>
      <c r="AG466" s="188">
        <v>0.57999999999999996</v>
      </c>
      <c r="AH466" s="188">
        <v>0.57999999999999996</v>
      </c>
      <c r="AI466" s="188">
        <v>0.57999999999999996</v>
      </c>
      <c r="AJ466" s="188">
        <v>0.57999999999999996</v>
      </c>
    </row>
    <row r="467" spans="1:36" x14ac:dyDescent="0.35">
      <c r="A467" t="s">
        <v>2013</v>
      </c>
      <c r="B467" s="188" t="s">
        <v>1342</v>
      </c>
      <c r="C467" t="s">
        <v>1350</v>
      </c>
      <c r="D467" t="s">
        <v>555</v>
      </c>
      <c r="E467" t="s">
        <v>1989</v>
      </c>
      <c r="F467" s="188" t="s">
        <v>2047</v>
      </c>
      <c r="G467" s="188" t="s">
        <v>2048</v>
      </c>
      <c r="H467" s="188">
        <v>0.57999999999999996</v>
      </c>
      <c r="I467" s="188">
        <v>0.57999999999999996</v>
      </c>
      <c r="J467" s="188">
        <v>0.57999999999999996</v>
      </c>
      <c r="K467" s="188">
        <v>0.57999999999999996</v>
      </c>
      <c r="L467" s="188">
        <v>0.57999999999999996</v>
      </c>
      <c r="M467" s="188">
        <v>0.57999999999999996</v>
      </c>
      <c r="N467" s="188">
        <v>0.57999999999999996</v>
      </c>
      <c r="O467" s="188">
        <v>0.57999999999999996</v>
      </c>
      <c r="P467" s="188">
        <v>0.57999999999999996</v>
      </c>
      <c r="Q467" s="188">
        <v>0.57999999999999996</v>
      </c>
      <c r="R467" s="188">
        <v>0.57999999999999996</v>
      </c>
      <c r="S467" s="188">
        <v>0.57999999999999996</v>
      </c>
      <c r="T467" s="188">
        <v>0.57999999999999996</v>
      </c>
      <c r="U467" s="188">
        <v>0.57999999999999996</v>
      </c>
      <c r="V467" s="188">
        <v>0.57999999999999996</v>
      </c>
      <c r="W467" s="188">
        <v>0.57999999999999996</v>
      </c>
      <c r="X467" s="188">
        <v>0.57999999999999996</v>
      </c>
      <c r="Y467" s="188">
        <v>0.57999999999999996</v>
      </c>
      <c r="Z467" s="188">
        <v>0.57999999999999996</v>
      </c>
      <c r="AA467" s="188">
        <v>0.57999999999999996</v>
      </c>
      <c r="AB467" s="188">
        <v>0.57999999999999996</v>
      </c>
      <c r="AC467" s="188">
        <v>0.57999999999999996</v>
      </c>
      <c r="AD467" s="188">
        <v>0.57999999999999996</v>
      </c>
      <c r="AE467" s="188">
        <v>0.57999999999999996</v>
      </c>
      <c r="AF467" s="188">
        <v>0.57999999999999996</v>
      </c>
      <c r="AG467" s="188">
        <v>0.57999999999999996</v>
      </c>
      <c r="AH467" s="188">
        <v>0.57999999999999996</v>
      </c>
      <c r="AI467" s="188">
        <v>0.57999999999999996</v>
      </c>
      <c r="AJ467" s="188">
        <v>0.57999999999999996</v>
      </c>
    </row>
    <row r="468" spans="1:36" x14ac:dyDescent="0.35">
      <c r="A468" t="s">
        <v>2049</v>
      </c>
      <c r="B468" s="188" t="s">
        <v>1342</v>
      </c>
      <c r="C468" t="s">
        <v>1343</v>
      </c>
      <c r="D468" t="s">
        <v>555</v>
      </c>
      <c r="E468" t="s">
        <v>2050</v>
      </c>
      <c r="F468" s="188" t="s">
        <v>1990</v>
      </c>
      <c r="G468" t="s">
        <v>2051</v>
      </c>
      <c r="H468" s="188">
        <v>0.57999999999999996</v>
      </c>
      <c r="I468" s="188">
        <v>0.57999999999999996</v>
      </c>
      <c r="J468" s="188">
        <v>0.57999999999999996</v>
      </c>
      <c r="K468" s="188">
        <v>0.57999999999999996</v>
      </c>
      <c r="L468" s="188">
        <v>0.57999999999999996</v>
      </c>
      <c r="M468" s="188">
        <v>0.57999999999999996</v>
      </c>
      <c r="N468" s="188">
        <v>0.57999999999999996</v>
      </c>
      <c r="O468" s="188">
        <v>0.57999999999999996</v>
      </c>
      <c r="P468" s="188">
        <v>0.57999999999999996</v>
      </c>
      <c r="Q468" s="188">
        <v>0.57999999999999996</v>
      </c>
      <c r="R468" s="188">
        <v>0.57999999999999996</v>
      </c>
      <c r="S468" s="188">
        <v>0.57999999999999996</v>
      </c>
      <c r="T468" s="188">
        <v>0.57999999999999996</v>
      </c>
      <c r="U468" s="188">
        <v>0.57999999999999996</v>
      </c>
      <c r="V468" s="188">
        <v>0.57999999999999996</v>
      </c>
      <c r="W468" s="188">
        <v>0.57999999999999996</v>
      </c>
      <c r="X468" s="188">
        <v>0.57999999999999996</v>
      </c>
      <c r="Y468" s="188">
        <v>0.57999999999999996</v>
      </c>
      <c r="Z468" s="188">
        <v>0.57999999999999996</v>
      </c>
      <c r="AA468" s="188">
        <v>0.57999999999999996</v>
      </c>
      <c r="AB468" s="188">
        <v>0.57999999999999996</v>
      </c>
      <c r="AC468" s="188">
        <v>0.57999999999999996</v>
      </c>
      <c r="AD468" s="188">
        <v>0.57999999999999996</v>
      </c>
      <c r="AE468" s="188">
        <v>0.57999999999999996</v>
      </c>
      <c r="AF468" s="188">
        <v>0.57999999999999996</v>
      </c>
      <c r="AG468" s="188">
        <v>0.57999999999999996</v>
      </c>
      <c r="AH468" s="188">
        <v>0.57999999999999996</v>
      </c>
      <c r="AI468" s="188">
        <v>0.57999999999999996</v>
      </c>
      <c r="AJ468" s="188">
        <v>0.57999999999999996</v>
      </c>
    </row>
    <row r="469" spans="1:36" x14ac:dyDescent="0.35">
      <c r="A469" t="s">
        <v>2052</v>
      </c>
      <c r="B469" s="188" t="s">
        <v>1342</v>
      </c>
      <c r="C469" t="s">
        <v>1348</v>
      </c>
      <c r="D469" t="s">
        <v>555</v>
      </c>
      <c r="E469" t="s">
        <v>2050</v>
      </c>
      <c r="F469" s="188" t="s">
        <v>1990</v>
      </c>
      <c r="G469" t="s">
        <v>2051</v>
      </c>
      <c r="H469" s="188">
        <v>0.57999999999999996</v>
      </c>
      <c r="I469" s="188">
        <v>0.57999999999999996</v>
      </c>
      <c r="J469" s="188">
        <v>0.57999999999999996</v>
      </c>
      <c r="K469" s="188">
        <v>0.57999999999999996</v>
      </c>
      <c r="L469" s="188">
        <v>0.57999999999999996</v>
      </c>
      <c r="M469" s="188">
        <v>0.57999999999999996</v>
      </c>
      <c r="N469" s="188">
        <v>0.57999999999999996</v>
      </c>
      <c r="O469" s="188">
        <v>0.57999999999999996</v>
      </c>
      <c r="P469" s="188">
        <v>0.57999999999999996</v>
      </c>
      <c r="Q469" s="188">
        <v>0.57999999999999996</v>
      </c>
      <c r="R469" s="188">
        <v>0.57999999999999996</v>
      </c>
      <c r="S469" s="188">
        <v>0.57999999999999996</v>
      </c>
      <c r="T469" s="188">
        <v>0.57999999999999996</v>
      </c>
      <c r="U469" s="188">
        <v>0.57999999999999996</v>
      </c>
      <c r="V469" s="188">
        <v>0.57999999999999996</v>
      </c>
      <c r="W469" s="188">
        <v>0.57999999999999996</v>
      </c>
      <c r="X469" s="188">
        <v>0.57999999999999996</v>
      </c>
      <c r="Y469" s="188">
        <v>0.57999999999999996</v>
      </c>
      <c r="Z469" s="188">
        <v>0.57999999999999996</v>
      </c>
      <c r="AA469" s="188">
        <v>0.57999999999999996</v>
      </c>
      <c r="AB469" s="188">
        <v>0.57999999999999996</v>
      </c>
      <c r="AC469" s="188">
        <v>0.57999999999999996</v>
      </c>
      <c r="AD469" s="188">
        <v>0.57999999999999996</v>
      </c>
      <c r="AE469" s="188">
        <v>0.57999999999999996</v>
      </c>
      <c r="AF469" s="188">
        <v>0.57999999999999996</v>
      </c>
      <c r="AG469" s="188">
        <v>0.57999999999999996</v>
      </c>
      <c r="AH469" s="188">
        <v>0.57999999999999996</v>
      </c>
      <c r="AI469" s="188">
        <v>0.57999999999999996</v>
      </c>
      <c r="AJ469" s="188">
        <v>0.57999999999999996</v>
      </c>
    </row>
    <row r="470" spans="1:36" x14ac:dyDescent="0.35">
      <c r="A470" t="s">
        <v>2053</v>
      </c>
      <c r="B470" s="188" t="s">
        <v>1342</v>
      </c>
      <c r="C470" t="s">
        <v>1350</v>
      </c>
      <c r="D470" t="s">
        <v>555</v>
      </c>
      <c r="E470" t="s">
        <v>2050</v>
      </c>
      <c r="F470" s="188" t="s">
        <v>1990</v>
      </c>
      <c r="G470" t="s">
        <v>2051</v>
      </c>
      <c r="H470" s="188">
        <v>0.57999999999999996</v>
      </c>
      <c r="I470" s="188">
        <v>0.57999999999999996</v>
      </c>
      <c r="J470" s="188">
        <v>0.57999999999999996</v>
      </c>
      <c r="K470" s="188">
        <v>0.57999999999999996</v>
      </c>
      <c r="L470" s="188">
        <v>0.57999999999999996</v>
      </c>
      <c r="M470" s="188">
        <v>0.57999999999999996</v>
      </c>
      <c r="N470" s="188">
        <v>0.57999999999999996</v>
      </c>
      <c r="O470" s="188">
        <v>0.57999999999999996</v>
      </c>
      <c r="P470" s="188">
        <v>0.57999999999999996</v>
      </c>
      <c r="Q470" s="188">
        <v>0.57999999999999996</v>
      </c>
      <c r="R470" s="188">
        <v>0.57999999999999996</v>
      </c>
      <c r="S470" s="188">
        <v>0.57999999999999996</v>
      </c>
      <c r="T470" s="188">
        <v>0.57999999999999996</v>
      </c>
      <c r="U470" s="188">
        <v>0.57999999999999996</v>
      </c>
      <c r="V470" s="188">
        <v>0.57999999999999996</v>
      </c>
      <c r="W470" s="188">
        <v>0.57999999999999996</v>
      </c>
      <c r="X470" s="188">
        <v>0.57999999999999996</v>
      </c>
      <c r="Y470" s="188">
        <v>0.57999999999999996</v>
      </c>
      <c r="Z470" s="188">
        <v>0.57999999999999996</v>
      </c>
      <c r="AA470" s="188">
        <v>0.57999999999999996</v>
      </c>
      <c r="AB470" s="188">
        <v>0.57999999999999996</v>
      </c>
      <c r="AC470" s="188">
        <v>0.57999999999999996</v>
      </c>
      <c r="AD470" s="188">
        <v>0.57999999999999996</v>
      </c>
      <c r="AE470" s="188">
        <v>0.57999999999999996</v>
      </c>
      <c r="AF470" s="188">
        <v>0.57999999999999996</v>
      </c>
      <c r="AG470" s="188">
        <v>0.57999999999999996</v>
      </c>
      <c r="AH470" s="188">
        <v>0.57999999999999996</v>
      </c>
      <c r="AI470" s="188">
        <v>0.57999999999999996</v>
      </c>
      <c r="AJ470" s="188">
        <v>0.57999999999999996</v>
      </c>
    </row>
    <row r="471" spans="1:36" x14ac:dyDescent="0.35">
      <c r="A471" t="s">
        <v>2054</v>
      </c>
      <c r="B471" s="188" t="s">
        <v>1342</v>
      </c>
      <c r="C471" t="s">
        <v>1343</v>
      </c>
      <c r="D471" t="s">
        <v>555</v>
      </c>
      <c r="E471" t="s">
        <v>2050</v>
      </c>
      <c r="F471" s="188" t="s">
        <v>1995</v>
      </c>
      <c r="G471" t="s">
        <v>2055</v>
      </c>
      <c r="H471" s="188">
        <v>0.57999999999999996</v>
      </c>
      <c r="I471" s="188">
        <v>0.57999999999999996</v>
      </c>
      <c r="J471" s="188">
        <v>0.57999999999999996</v>
      </c>
      <c r="K471" s="188">
        <v>0.57999999999999996</v>
      </c>
      <c r="L471" s="188">
        <v>0.57999999999999996</v>
      </c>
      <c r="M471" s="188">
        <v>0.57999999999999996</v>
      </c>
      <c r="N471" s="188">
        <v>0.57999999999999996</v>
      </c>
      <c r="O471" s="188">
        <v>0.57999999999999996</v>
      </c>
      <c r="P471" s="188">
        <v>0.57999999999999996</v>
      </c>
      <c r="Q471" s="188">
        <v>0.57999999999999996</v>
      </c>
      <c r="R471" s="188">
        <v>0.57999999999999996</v>
      </c>
      <c r="S471" s="188">
        <v>0.57999999999999996</v>
      </c>
      <c r="T471" s="188">
        <v>0.57999999999999996</v>
      </c>
      <c r="U471" s="188">
        <v>0.57999999999999996</v>
      </c>
      <c r="V471" s="188">
        <v>0.57999999999999996</v>
      </c>
      <c r="W471" s="188">
        <v>0.57999999999999996</v>
      </c>
      <c r="X471" s="188">
        <v>0.57999999999999996</v>
      </c>
      <c r="Y471" s="188">
        <v>0.57999999999999996</v>
      </c>
      <c r="Z471" s="188">
        <v>0.57999999999999996</v>
      </c>
      <c r="AA471" s="188">
        <v>0.57999999999999996</v>
      </c>
      <c r="AB471" s="188">
        <v>0.57999999999999996</v>
      </c>
      <c r="AC471" s="188">
        <v>0.57999999999999996</v>
      </c>
      <c r="AD471" s="188">
        <v>0.57999999999999996</v>
      </c>
      <c r="AE471" s="188">
        <v>0.57999999999999996</v>
      </c>
      <c r="AF471" s="188">
        <v>0.57999999999999996</v>
      </c>
      <c r="AG471" s="188">
        <v>0.57999999999999996</v>
      </c>
      <c r="AH471" s="188">
        <v>0.57999999999999996</v>
      </c>
      <c r="AI471" s="188">
        <v>0.57999999999999996</v>
      </c>
      <c r="AJ471" s="188">
        <v>0.57999999999999996</v>
      </c>
    </row>
    <row r="472" spans="1:36" x14ac:dyDescent="0.35">
      <c r="A472" t="s">
        <v>2056</v>
      </c>
      <c r="B472" s="188" t="s">
        <v>1342</v>
      </c>
      <c r="C472" t="s">
        <v>1348</v>
      </c>
      <c r="D472" t="s">
        <v>555</v>
      </c>
      <c r="E472" t="s">
        <v>2050</v>
      </c>
      <c r="F472" s="188" t="s">
        <v>1995</v>
      </c>
      <c r="G472" t="s">
        <v>2055</v>
      </c>
      <c r="H472" s="188">
        <v>0.57999999999999996</v>
      </c>
      <c r="I472" s="188">
        <v>0.57999999999999996</v>
      </c>
      <c r="J472" s="188">
        <v>0.57999999999999996</v>
      </c>
      <c r="K472" s="188">
        <v>0.57999999999999996</v>
      </c>
      <c r="L472" s="188">
        <v>0.57999999999999996</v>
      </c>
      <c r="M472" s="188">
        <v>0.57999999999999996</v>
      </c>
      <c r="N472" s="188">
        <v>0.57999999999999996</v>
      </c>
      <c r="O472" s="188">
        <v>0.57999999999999996</v>
      </c>
      <c r="P472" s="188">
        <v>0.57999999999999996</v>
      </c>
      <c r="Q472" s="188">
        <v>0.57999999999999996</v>
      </c>
      <c r="R472" s="188">
        <v>0.57999999999999996</v>
      </c>
      <c r="S472" s="188">
        <v>0.57999999999999996</v>
      </c>
      <c r="T472" s="188">
        <v>0.57999999999999996</v>
      </c>
      <c r="U472" s="188">
        <v>0.57999999999999996</v>
      </c>
      <c r="V472" s="188">
        <v>0.57999999999999996</v>
      </c>
      <c r="W472" s="188">
        <v>0.57999999999999996</v>
      </c>
      <c r="X472" s="188">
        <v>0.57999999999999996</v>
      </c>
      <c r="Y472" s="188">
        <v>0.57999999999999996</v>
      </c>
      <c r="Z472" s="188">
        <v>0.57999999999999996</v>
      </c>
      <c r="AA472" s="188">
        <v>0.57999999999999996</v>
      </c>
      <c r="AB472" s="188">
        <v>0.57999999999999996</v>
      </c>
      <c r="AC472" s="188">
        <v>0.57999999999999996</v>
      </c>
      <c r="AD472" s="188">
        <v>0.57999999999999996</v>
      </c>
      <c r="AE472" s="188">
        <v>0.57999999999999996</v>
      </c>
      <c r="AF472" s="188">
        <v>0.57999999999999996</v>
      </c>
      <c r="AG472" s="188">
        <v>0.57999999999999996</v>
      </c>
      <c r="AH472" s="188">
        <v>0.57999999999999996</v>
      </c>
      <c r="AI472" s="188">
        <v>0.57999999999999996</v>
      </c>
      <c r="AJ472" s="188">
        <v>0.57999999999999996</v>
      </c>
    </row>
    <row r="473" spans="1:36" x14ac:dyDescent="0.35">
      <c r="A473" t="s">
        <v>2057</v>
      </c>
      <c r="B473" s="188" t="s">
        <v>1342</v>
      </c>
      <c r="C473" t="s">
        <v>1350</v>
      </c>
      <c r="D473" t="s">
        <v>555</v>
      </c>
      <c r="E473" t="s">
        <v>2050</v>
      </c>
      <c r="F473" s="188" t="s">
        <v>1995</v>
      </c>
      <c r="G473" t="s">
        <v>2055</v>
      </c>
      <c r="H473" s="188">
        <v>0.57999999999999996</v>
      </c>
      <c r="I473" s="188">
        <v>0.57999999999999996</v>
      </c>
      <c r="J473" s="188">
        <v>0.57999999999999996</v>
      </c>
      <c r="K473" s="188">
        <v>0.57999999999999996</v>
      </c>
      <c r="L473" s="188">
        <v>0.57999999999999996</v>
      </c>
      <c r="M473" s="188">
        <v>0.57999999999999996</v>
      </c>
      <c r="N473" s="188">
        <v>0.57999999999999996</v>
      </c>
      <c r="O473" s="188">
        <v>0.57999999999999996</v>
      </c>
      <c r="P473" s="188">
        <v>0.57999999999999996</v>
      </c>
      <c r="Q473" s="188">
        <v>0.57999999999999996</v>
      </c>
      <c r="R473" s="188">
        <v>0.57999999999999996</v>
      </c>
      <c r="S473" s="188">
        <v>0.57999999999999996</v>
      </c>
      <c r="T473" s="188">
        <v>0.57999999999999996</v>
      </c>
      <c r="U473" s="188">
        <v>0.57999999999999996</v>
      </c>
      <c r="V473" s="188">
        <v>0.57999999999999996</v>
      </c>
      <c r="W473" s="188">
        <v>0.57999999999999996</v>
      </c>
      <c r="X473" s="188">
        <v>0.57999999999999996</v>
      </c>
      <c r="Y473" s="188">
        <v>0.57999999999999996</v>
      </c>
      <c r="Z473" s="188">
        <v>0.57999999999999996</v>
      </c>
      <c r="AA473" s="188">
        <v>0.57999999999999996</v>
      </c>
      <c r="AB473" s="188">
        <v>0.57999999999999996</v>
      </c>
      <c r="AC473" s="188">
        <v>0.57999999999999996</v>
      </c>
      <c r="AD473" s="188">
        <v>0.57999999999999996</v>
      </c>
      <c r="AE473" s="188">
        <v>0.57999999999999996</v>
      </c>
      <c r="AF473" s="188">
        <v>0.57999999999999996</v>
      </c>
      <c r="AG473" s="188">
        <v>0.57999999999999996</v>
      </c>
      <c r="AH473" s="188">
        <v>0.57999999999999996</v>
      </c>
      <c r="AI473" s="188">
        <v>0.57999999999999996</v>
      </c>
      <c r="AJ473" s="188">
        <v>0.57999999999999996</v>
      </c>
    </row>
    <row r="474" spans="1:36" x14ac:dyDescent="0.35">
      <c r="A474" t="s">
        <v>2058</v>
      </c>
      <c r="B474" s="188" t="s">
        <v>1342</v>
      </c>
      <c r="C474" t="s">
        <v>1343</v>
      </c>
      <c r="D474" t="s">
        <v>555</v>
      </c>
      <c r="E474" t="s">
        <v>2050</v>
      </c>
      <c r="F474" s="188" t="s">
        <v>2000</v>
      </c>
      <c r="G474" t="s">
        <v>2059</v>
      </c>
      <c r="H474" s="188">
        <v>0.57999999999999996</v>
      </c>
      <c r="I474" s="188">
        <v>0.57999999999999996</v>
      </c>
      <c r="J474" s="188">
        <v>0.57999999999999996</v>
      </c>
      <c r="K474" s="188">
        <v>0.57999999999999996</v>
      </c>
      <c r="L474" s="188">
        <v>0.57999999999999996</v>
      </c>
      <c r="M474" s="188">
        <v>0.57999999999999996</v>
      </c>
      <c r="N474" s="188">
        <v>0.57999999999999996</v>
      </c>
      <c r="O474" s="188">
        <v>0.57999999999999996</v>
      </c>
      <c r="P474" s="188">
        <v>0.57999999999999996</v>
      </c>
      <c r="Q474" s="188">
        <v>0.57999999999999996</v>
      </c>
      <c r="R474" s="188">
        <v>0.57999999999999996</v>
      </c>
      <c r="S474" s="188">
        <v>0.57999999999999996</v>
      </c>
      <c r="T474" s="188">
        <v>0.57999999999999996</v>
      </c>
      <c r="U474" s="188">
        <v>0.57999999999999996</v>
      </c>
      <c r="V474" s="188">
        <v>0.57999999999999996</v>
      </c>
      <c r="W474" s="188">
        <v>0.57999999999999996</v>
      </c>
      <c r="X474" s="188">
        <v>0.57999999999999996</v>
      </c>
      <c r="Y474" s="188">
        <v>0.57999999999999996</v>
      </c>
      <c r="Z474" s="188">
        <v>0.57999999999999996</v>
      </c>
      <c r="AA474" s="188">
        <v>0.57999999999999996</v>
      </c>
      <c r="AB474" s="188">
        <v>0.57999999999999996</v>
      </c>
      <c r="AC474" s="188">
        <v>0.57999999999999996</v>
      </c>
      <c r="AD474" s="188">
        <v>0.57999999999999996</v>
      </c>
      <c r="AE474" s="188">
        <v>0.57999999999999996</v>
      </c>
      <c r="AF474" s="188">
        <v>0.57999999999999996</v>
      </c>
      <c r="AG474" s="188">
        <v>0.57999999999999996</v>
      </c>
      <c r="AH474" s="188">
        <v>0.57999999999999996</v>
      </c>
      <c r="AI474" s="188">
        <v>0.57999999999999996</v>
      </c>
      <c r="AJ474" s="188">
        <v>0.57999999999999996</v>
      </c>
    </row>
    <row r="475" spans="1:36" x14ac:dyDescent="0.35">
      <c r="A475" t="s">
        <v>2060</v>
      </c>
      <c r="B475" s="188" t="s">
        <v>1342</v>
      </c>
      <c r="C475" t="s">
        <v>1348</v>
      </c>
      <c r="D475" t="s">
        <v>555</v>
      </c>
      <c r="E475" t="s">
        <v>2050</v>
      </c>
      <c r="F475" s="188" t="s">
        <v>2000</v>
      </c>
      <c r="G475" t="s">
        <v>2059</v>
      </c>
      <c r="H475" s="188">
        <v>0.57999999999999996</v>
      </c>
      <c r="I475" s="188">
        <v>0.57999999999999996</v>
      </c>
      <c r="J475" s="188">
        <v>0.57999999999999996</v>
      </c>
      <c r="K475" s="188">
        <v>0.57999999999999996</v>
      </c>
      <c r="L475" s="188">
        <v>0.57999999999999996</v>
      </c>
      <c r="M475" s="188">
        <v>0.57999999999999996</v>
      </c>
      <c r="N475" s="188">
        <v>0.57999999999999996</v>
      </c>
      <c r="O475" s="188">
        <v>0.57999999999999996</v>
      </c>
      <c r="P475" s="188">
        <v>0.57999999999999996</v>
      </c>
      <c r="Q475" s="188">
        <v>0.57999999999999996</v>
      </c>
      <c r="R475" s="188">
        <v>0.57999999999999996</v>
      </c>
      <c r="S475" s="188">
        <v>0.57999999999999996</v>
      </c>
      <c r="T475" s="188">
        <v>0.57999999999999996</v>
      </c>
      <c r="U475" s="188">
        <v>0.57999999999999996</v>
      </c>
      <c r="V475" s="188">
        <v>0.57999999999999996</v>
      </c>
      <c r="W475" s="188">
        <v>0.57999999999999996</v>
      </c>
      <c r="X475" s="188">
        <v>0.57999999999999996</v>
      </c>
      <c r="Y475" s="188">
        <v>0.57999999999999996</v>
      </c>
      <c r="Z475" s="188">
        <v>0.57999999999999996</v>
      </c>
      <c r="AA475" s="188">
        <v>0.57999999999999996</v>
      </c>
      <c r="AB475" s="188">
        <v>0.57999999999999996</v>
      </c>
      <c r="AC475" s="188">
        <v>0.57999999999999996</v>
      </c>
      <c r="AD475" s="188">
        <v>0.57999999999999996</v>
      </c>
      <c r="AE475" s="188">
        <v>0.57999999999999996</v>
      </c>
      <c r="AF475" s="188">
        <v>0.57999999999999996</v>
      </c>
      <c r="AG475" s="188">
        <v>0.57999999999999996</v>
      </c>
      <c r="AH475" s="188">
        <v>0.57999999999999996</v>
      </c>
      <c r="AI475" s="188">
        <v>0.57999999999999996</v>
      </c>
      <c r="AJ475" s="188">
        <v>0.57999999999999996</v>
      </c>
    </row>
    <row r="476" spans="1:36" x14ac:dyDescent="0.35">
      <c r="A476" t="s">
        <v>2061</v>
      </c>
      <c r="B476" s="188" t="s">
        <v>1342</v>
      </c>
      <c r="C476" t="s">
        <v>1350</v>
      </c>
      <c r="D476" t="s">
        <v>555</v>
      </c>
      <c r="E476" t="s">
        <v>2050</v>
      </c>
      <c r="F476" s="188" t="s">
        <v>2000</v>
      </c>
      <c r="G476" t="s">
        <v>2059</v>
      </c>
      <c r="H476" s="188">
        <v>0.57999999999999996</v>
      </c>
      <c r="I476" s="188">
        <v>0.57999999999999996</v>
      </c>
      <c r="J476" s="188">
        <v>0.57999999999999996</v>
      </c>
      <c r="K476" s="188">
        <v>0.57999999999999996</v>
      </c>
      <c r="L476" s="188">
        <v>0.57999999999999996</v>
      </c>
      <c r="M476" s="188">
        <v>0.57999999999999996</v>
      </c>
      <c r="N476" s="188">
        <v>0.57999999999999996</v>
      </c>
      <c r="O476" s="188">
        <v>0.57999999999999996</v>
      </c>
      <c r="P476" s="188">
        <v>0.57999999999999996</v>
      </c>
      <c r="Q476" s="188">
        <v>0.57999999999999996</v>
      </c>
      <c r="R476" s="188">
        <v>0.57999999999999996</v>
      </c>
      <c r="S476" s="188">
        <v>0.57999999999999996</v>
      </c>
      <c r="T476" s="188">
        <v>0.57999999999999996</v>
      </c>
      <c r="U476" s="188">
        <v>0.57999999999999996</v>
      </c>
      <c r="V476" s="188">
        <v>0.57999999999999996</v>
      </c>
      <c r="W476" s="188">
        <v>0.57999999999999996</v>
      </c>
      <c r="X476" s="188">
        <v>0.57999999999999996</v>
      </c>
      <c r="Y476" s="188">
        <v>0.57999999999999996</v>
      </c>
      <c r="Z476" s="188">
        <v>0.57999999999999996</v>
      </c>
      <c r="AA476" s="188">
        <v>0.57999999999999996</v>
      </c>
      <c r="AB476" s="188">
        <v>0.57999999999999996</v>
      </c>
      <c r="AC476" s="188">
        <v>0.57999999999999996</v>
      </c>
      <c r="AD476" s="188">
        <v>0.57999999999999996</v>
      </c>
      <c r="AE476" s="188">
        <v>0.57999999999999996</v>
      </c>
      <c r="AF476" s="188">
        <v>0.57999999999999996</v>
      </c>
      <c r="AG476" s="188">
        <v>0.57999999999999996</v>
      </c>
      <c r="AH476" s="188">
        <v>0.57999999999999996</v>
      </c>
      <c r="AI476" s="188">
        <v>0.57999999999999996</v>
      </c>
      <c r="AJ476" s="188">
        <v>0.57999999999999996</v>
      </c>
    </row>
    <row r="477" spans="1:36" x14ac:dyDescent="0.35">
      <c r="A477" t="s">
        <v>2062</v>
      </c>
      <c r="B477" s="188" t="s">
        <v>1342</v>
      </c>
      <c r="C477" t="s">
        <v>1343</v>
      </c>
      <c r="D477" t="s">
        <v>555</v>
      </c>
      <c r="E477" t="s">
        <v>2050</v>
      </c>
      <c r="F477" s="188" t="s">
        <v>2005</v>
      </c>
      <c r="G477" t="s">
        <v>2063</v>
      </c>
      <c r="H477" s="188">
        <v>0.57999999999999996</v>
      </c>
      <c r="I477" s="188">
        <v>0.57999999999999996</v>
      </c>
      <c r="J477" s="188">
        <v>0.57999999999999996</v>
      </c>
      <c r="K477" s="188">
        <v>0.57999999999999996</v>
      </c>
      <c r="L477" s="188">
        <v>0.57999999999999996</v>
      </c>
      <c r="M477" s="188">
        <v>0.57999999999999996</v>
      </c>
      <c r="N477" s="188">
        <v>0.57999999999999996</v>
      </c>
      <c r="O477" s="188">
        <v>0.57999999999999996</v>
      </c>
      <c r="P477" s="188">
        <v>0.57999999999999996</v>
      </c>
      <c r="Q477" s="188">
        <v>0.57999999999999996</v>
      </c>
      <c r="R477" s="188">
        <v>0.57999999999999996</v>
      </c>
      <c r="S477" s="188">
        <v>0.57999999999999996</v>
      </c>
      <c r="T477" s="188">
        <v>0.57999999999999996</v>
      </c>
      <c r="U477" s="188">
        <v>0.57999999999999996</v>
      </c>
      <c r="V477" s="188">
        <v>0.57999999999999996</v>
      </c>
      <c r="W477" s="188">
        <v>0.57999999999999996</v>
      </c>
      <c r="X477" s="188">
        <v>0.57999999999999996</v>
      </c>
      <c r="Y477" s="188">
        <v>0.57999999999999996</v>
      </c>
      <c r="Z477" s="188">
        <v>0.57999999999999996</v>
      </c>
      <c r="AA477" s="188">
        <v>0.57999999999999996</v>
      </c>
      <c r="AB477" s="188">
        <v>0.57999999999999996</v>
      </c>
      <c r="AC477" s="188">
        <v>0.57999999999999996</v>
      </c>
      <c r="AD477" s="188">
        <v>0.57999999999999996</v>
      </c>
      <c r="AE477" s="188">
        <v>0.57999999999999996</v>
      </c>
      <c r="AF477" s="188">
        <v>0.57999999999999996</v>
      </c>
      <c r="AG477" s="188">
        <v>0.57999999999999996</v>
      </c>
      <c r="AH477" s="188">
        <v>0.57999999999999996</v>
      </c>
      <c r="AI477" s="188">
        <v>0.57999999999999996</v>
      </c>
      <c r="AJ477" s="188">
        <v>0.57999999999999996</v>
      </c>
    </row>
    <row r="478" spans="1:36" x14ac:dyDescent="0.35">
      <c r="A478" t="s">
        <v>2064</v>
      </c>
      <c r="B478" s="188" t="s">
        <v>1342</v>
      </c>
      <c r="C478" t="s">
        <v>1348</v>
      </c>
      <c r="D478" t="s">
        <v>555</v>
      </c>
      <c r="E478" t="s">
        <v>2050</v>
      </c>
      <c r="F478" s="188" t="s">
        <v>2005</v>
      </c>
      <c r="G478" t="s">
        <v>2063</v>
      </c>
      <c r="H478" s="188">
        <v>0.57999999999999996</v>
      </c>
      <c r="I478" s="188">
        <v>0.57999999999999996</v>
      </c>
      <c r="J478" s="188">
        <v>0.57999999999999996</v>
      </c>
      <c r="K478" s="188">
        <v>0.57999999999999996</v>
      </c>
      <c r="L478" s="188">
        <v>0.57999999999999996</v>
      </c>
      <c r="M478" s="188">
        <v>0.57999999999999996</v>
      </c>
      <c r="N478" s="188">
        <v>0.57999999999999996</v>
      </c>
      <c r="O478" s="188">
        <v>0.57999999999999996</v>
      </c>
      <c r="P478" s="188">
        <v>0.57999999999999996</v>
      </c>
      <c r="Q478" s="188">
        <v>0.57999999999999996</v>
      </c>
      <c r="R478" s="188">
        <v>0.57999999999999996</v>
      </c>
      <c r="S478" s="188">
        <v>0.57999999999999996</v>
      </c>
      <c r="T478" s="188">
        <v>0.57999999999999996</v>
      </c>
      <c r="U478" s="188">
        <v>0.57999999999999996</v>
      </c>
      <c r="V478" s="188">
        <v>0.57999999999999996</v>
      </c>
      <c r="W478" s="188">
        <v>0.57999999999999996</v>
      </c>
      <c r="X478" s="188">
        <v>0.57999999999999996</v>
      </c>
      <c r="Y478" s="188">
        <v>0.57999999999999996</v>
      </c>
      <c r="Z478" s="188">
        <v>0.57999999999999996</v>
      </c>
      <c r="AA478" s="188">
        <v>0.57999999999999996</v>
      </c>
      <c r="AB478" s="188">
        <v>0.57999999999999996</v>
      </c>
      <c r="AC478" s="188">
        <v>0.57999999999999996</v>
      </c>
      <c r="AD478" s="188">
        <v>0.57999999999999996</v>
      </c>
      <c r="AE478" s="188">
        <v>0.57999999999999996</v>
      </c>
      <c r="AF478" s="188">
        <v>0.57999999999999996</v>
      </c>
      <c r="AG478" s="188">
        <v>0.57999999999999996</v>
      </c>
      <c r="AH478" s="188">
        <v>0.57999999999999996</v>
      </c>
      <c r="AI478" s="188">
        <v>0.57999999999999996</v>
      </c>
      <c r="AJ478" s="188">
        <v>0.57999999999999996</v>
      </c>
    </row>
    <row r="479" spans="1:36" x14ac:dyDescent="0.35">
      <c r="A479" t="s">
        <v>2065</v>
      </c>
      <c r="B479" s="188" t="s">
        <v>1342</v>
      </c>
      <c r="C479" t="s">
        <v>1350</v>
      </c>
      <c r="D479" t="s">
        <v>555</v>
      </c>
      <c r="E479" t="s">
        <v>2050</v>
      </c>
      <c r="F479" s="188" t="s">
        <v>2005</v>
      </c>
      <c r="G479" t="s">
        <v>2063</v>
      </c>
      <c r="H479" s="188">
        <v>0.57999999999999996</v>
      </c>
      <c r="I479" s="188">
        <v>0.57999999999999996</v>
      </c>
      <c r="J479" s="188">
        <v>0.57999999999999996</v>
      </c>
      <c r="K479" s="188">
        <v>0.57999999999999996</v>
      </c>
      <c r="L479" s="188">
        <v>0.57999999999999996</v>
      </c>
      <c r="M479" s="188">
        <v>0.57999999999999996</v>
      </c>
      <c r="N479" s="188">
        <v>0.57999999999999996</v>
      </c>
      <c r="O479" s="188">
        <v>0.57999999999999996</v>
      </c>
      <c r="P479" s="188">
        <v>0.57999999999999996</v>
      </c>
      <c r="Q479" s="188">
        <v>0.57999999999999996</v>
      </c>
      <c r="R479" s="188">
        <v>0.57999999999999996</v>
      </c>
      <c r="S479" s="188">
        <v>0.57999999999999996</v>
      </c>
      <c r="T479" s="188">
        <v>0.57999999999999996</v>
      </c>
      <c r="U479" s="188">
        <v>0.57999999999999996</v>
      </c>
      <c r="V479" s="188">
        <v>0.57999999999999996</v>
      </c>
      <c r="W479" s="188">
        <v>0.57999999999999996</v>
      </c>
      <c r="X479" s="188">
        <v>0.57999999999999996</v>
      </c>
      <c r="Y479" s="188">
        <v>0.57999999999999996</v>
      </c>
      <c r="Z479" s="188">
        <v>0.57999999999999996</v>
      </c>
      <c r="AA479" s="188">
        <v>0.57999999999999996</v>
      </c>
      <c r="AB479" s="188">
        <v>0.57999999999999996</v>
      </c>
      <c r="AC479" s="188">
        <v>0.57999999999999996</v>
      </c>
      <c r="AD479" s="188">
        <v>0.57999999999999996</v>
      </c>
      <c r="AE479" s="188">
        <v>0.57999999999999996</v>
      </c>
      <c r="AF479" s="188">
        <v>0.57999999999999996</v>
      </c>
      <c r="AG479" s="188">
        <v>0.57999999999999996</v>
      </c>
      <c r="AH479" s="188">
        <v>0.57999999999999996</v>
      </c>
      <c r="AI479" s="188">
        <v>0.57999999999999996</v>
      </c>
      <c r="AJ479" s="188">
        <v>0.57999999999999996</v>
      </c>
    </row>
    <row r="480" spans="1:36" x14ac:dyDescent="0.35">
      <c r="A480" t="s">
        <v>2066</v>
      </c>
      <c r="B480" s="188" t="s">
        <v>1342</v>
      </c>
      <c r="C480" t="s">
        <v>1343</v>
      </c>
      <c r="D480" t="s">
        <v>555</v>
      </c>
      <c r="E480" t="s">
        <v>2050</v>
      </c>
      <c r="F480" s="188" t="s">
        <v>2010</v>
      </c>
      <c r="G480" t="s">
        <v>2067</v>
      </c>
      <c r="H480" s="188">
        <v>0.57999999999999996</v>
      </c>
      <c r="I480" s="188">
        <v>0.57999999999999996</v>
      </c>
      <c r="J480" s="188">
        <v>0.57999999999999996</v>
      </c>
      <c r="K480" s="188">
        <v>0.57999999999999996</v>
      </c>
      <c r="L480" s="188">
        <v>0.57999999999999996</v>
      </c>
      <c r="M480" s="188">
        <v>0.57999999999999996</v>
      </c>
      <c r="N480" s="188">
        <v>0.57999999999999996</v>
      </c>
      <c r="O480" s="188">
        <v>0.57999999999999996</v>
      </c>
      <c r="P480" s="188">
        <v>0.57999999999999996</v>
      </c>
      <c r="Q480" s="188">
        <v>0.57999999999999996</v>
      </c>
      <c r="R480" s="188">
        <v>0.57999999999999996</v>
      </c>
      <c r="S480" s="188">
        <v>0.57999999999999996</v>
      </c>
      <c r="T480" s="188">
        <v>0.57999999999999996</v>
      </c>
      <c r="U480" s="188">
        <v>0.57999999999999996</v>
      </c>
      <c r="V480" s="188">
        <v>0.57999999999999996</v>
      </c>
      <c r="W480" s="188">
        <v>0.57999999999999996</v>
      </c>
      <c r="X480" s="188">
        <v>0.57999999999999996</v>
      </c>
      <c r="Y480" s="188">
        <v>0.57999999999999996</v>
      </c>
      <c r="Z480" s="188">
        <v>0.57999999999999996</v>
      </c>
      <c r="AA480" s="188">
        <v>0.57999999999999996</v>
      </c>
      <c r="AB480" s="188">
        <v>0.57999999999999996</v>
      </c>
      <c r="AC480" s="188">
        <v>0.57999999999999996</v>
      </c>
      <c r="AD480" s="188">
        <v>0.57999999999999996</v>
      </c>
      <c r="AE480" s="188">
        <v>0.57999999999999996</v>
      </c>
      <c r="AF480" s="188">
        <v>0.57999999999999996</v>
      </c>
      <c r="AG480" s="188">
        <v>0.57999999999999996</v>
      </c>
      <c r="AH480" s="188">
        <v>0.57999999999999996</v>
      </c>
      <c r="AI480" s="188">
        <v>0.57999999999999996</v>
      </c>
      <c r="AJ480" s="188">
        <v>0.57999999999999996</v>
      </c>
    </row>
    <row r="481" spans="1:36" x14ac:dyDescent="0.35">
      <c r="A481" t="s">
        <v>2068</v>
      </c>
      <c r="B481" s="188" t="s">
        <v>1342</v>
      </c>
      <c r="C481" t="s">
        <v>1348</v>
      </c>
      <c r="D481" t="s">
        <v>555</v>
      </c>
      <c r="E481" t="s">
        <v>2050</v>
      </c>
      <c r="F481" s="188" t="s">
        <v>2010</v>
      </c>
      <c r="G481" t="s">
        <v>2067</v>
      </c>
      <c r="H481" s="188">
        <v>0.57999999999999996</v>
      </c>
      <c r="I481" s="188">
        <v>0.57999999999999996</v>
      </c>
      <c r="J481" s="188">
        <v>0.57999999999999996</v>
      </c>
      <c r="K481" s="188">
        <v>0.57999999999999996</v>
      </c>
      <c r="L481" s="188">
        <v>0.57999999999999996</v>
      </c>
      <c r="M481" s="188">
        <v>0.57999999999999996</v>
      </c>
      <c r="N481" s="188">
        <v>0.57999999999999996</v>
      </c>
      <c r="O481" s="188">
        <v>0.57999999999999996</v>
      </c>
      <c r="P481" s="188">
        <v>0.57999999999999996</v>
      </c>
      <c r="Q481" s="188">
        <v>0.57999999999999996</v>
      </c>
      <c r="R481" s="188">
        <v>0.57999999999999996</v>
      </c>
      <c r="S481" s="188">
        <v>0.57999999999999996</v>
      </c>
      <c r="T481" s="188">
        <v>0.57999999999999996</v>
      </c>
      <c r="U481" s="188">
        <v>0.57999999999999996</v>
      </c>
      <c r="V481" s="188">
        <v>0.57999999999999996</v>
      </c>
      <c r="W481" s="188">
        <v>0.57999999999999996</v>
      </c>
      <c r="X481" s="188">
        <v>0.57999999999999996</v>
      </c>
      <c r="Y481" s="188">
        <v>0.57999999999999996</v>
      </c>
      <c r="Z481" s="188">
        <v>0.57999999999999996</v>
      </c>
      <c r="AA481" s="188">
        <v>0.57999999999999996</v>
      </c>
      <c r="AB481" s="188">
        <v>0.57999999999999996</v>
      </c>
      <c r="AC481" s="188">
        <v>0.57999999999999996</v>
      </c>
      <c r="AD481" s="188">
        <v>0.57999999999999996</v>
      </c>
      <c r="AE481" s="188">
        <v>0.57999999999999996</v>
      </c>
      <c r="AF481" s="188">
        <v>0.57999999999999996</v>
      </c>
      <c r="AG481" s="188">
        <v>0.57999999999999996</v>
      </c>
      <c r="AH481" s="188">
        <v>0.57999999999999996</v>
      </c>
      <c r="AI481" s="188">
        <v>0.57999999999999996</v>
      </c>
      <c r="AJ481" s="188">
        <v>0.57999999999999996</v>
      </c>
    </row>
    <row r="482" spans="1:36" x14ac:dyDescent="0.35">
      <c r="A482" t="s">
        <v>2069</v>
      </c>
      <c r="B482" s="188" t="s">
        <v>1342</v>
      </c>
      <c r="C482" t="s">
        <v>1350</v>
      </c>
      <c r="D482" t="s">
        <v>555</v>
      </c>
      <c r="E482" t="s">
        <v>2050</v>
      </c>
      <c r="F482" s="188" t="s">
        <v>2010</v>
      </c>
      <c r="G482" t="s">
        <v>2067</v>
      </c>
      <c r="H482" s="188">
        <v>0.57999999999999996</v>
      </c>
      <c r="I482" s="188">
        <v>0.57999999999999996</v>
      </c>
      <c r="J482" s="188">
        <v>0.57999999999999996</v>
      </c>
      <c r="K482" s="188">
        <v>0.57999999999999996</v>
      </c>
      <c r="L482" s="188">
        <v>0.57999999999999996</v>
      </c>
      <c r="M482" s="188">
        <v>0.57999999999999996</v>
      </c>
      <c r="N482" s="188">
        <v>0.57999999999999996</v>
      </c>
      <c r="O482" s="188">
        <v>0.57999999999999996</v>
      </c>
      <c r="P482" s="188">
        <v>0.57999999999999996</v>
      </c>
      <c r="Q482" s="188">
        <v>0.57999999999999996</v>
      </c>
      <c r="R482" s="188">
        <v>0.57999999999999996</v>
      </c>
      <c r="S482" s="188">
        <v>0.57999999999999996</v>
      </c>
      <c r="T482" s="188">
        <v>0.57999999999999996</v>
      </c>
      <c r="U482" s="188">
        <v>0.57999999999999996</v>
      </c>
      <c r="V482" s="188">
        <v>0.57999999999999996</v>
      </c>
      <c r="W482" s="188">
        <v>0.57999999999999996</v>
      </c>
      <c r="X482" s="188">
        <v>0.57999999999999996</v>
      </c>
      <c r="Y482" s="188">
        <v>0.57999999999999996</v>
      </c>
      <c r="Z482" s="188">
        <v>0.57999999999999996</v>
      </c>
      <c r="AA482" s="188">
        <v>0.57999999999999996</v>
      </c>
      <c r="AB482" s="188">
        <v>0.57999999999999996</v>
      </c>
      <c r="AC482" s="188">
        <v>0.57999999999999996</v>
      </c>
      <c r="AD482" s="188">
        <v>0.57999999999999996</v>
      </c>
      <c r="AE482" s="188">
        <v>0.57999999999999996</v>
      </c>
      <c r="AF482" s="188">
        <v>0.57999999999999996</v>
      </c>
      <c r="AG482" s="188">
        <v>0.57999999999999996</v>
      </c>
      <c r="AH482" s="188">
        <v>0.57999999999999996</v>
      </c>
      <c r="AI482" s="188">
        <v>0.57999999999999996</v>
      </c>
      <c r="AJ482" s="188">
        <v>0.57999999999999996</v>
      </c>
    </row>
    <row r="483" spans="1:36" x14ac:dyDescent="0.35">
      <c r="A483" t="s">
        <v>2070</v>
      </c>
      <c r="B483" s="188" t="s">
        <v>1342</v>
      </c>
      <c r="C483" t="s">
        <v>1343</v>
      </c>
      <c r="D483">
        <v>30</v>
      </c>
      <c r="E483" t="s">
        <v>2072</v>
      </c>
      <c r="F483" t="s">
        <v>2073</v>
      </c>
      <c r="G483" t="s">
        <v>2074</v>
      </c>
      <c r="H483">
        <v>6.94</v>
      </c>
      <c r="I483">
        <v>6.94</v>
      </c>
      <c r="J483">
        <v>6.94</v>
      </c>
      <c r="K483">
        <v>6.94</v>
      </c>
      <c r="L483">
        <v>6.94</v>
      </c>
      <c r="M483">
        <v>6.94</v>
      </c>
      <c r="N483">
        <v>6.94</v>
      </c>
      <c r="O483">
        <v>6.94</v>
      </c>
      <c r="P483">
        <v>6.94</v>
      </c>
      <c r="Q483">
        <v>6.94</v>
      </c>
      <c r="R483">
        <v>6.94</v>
      </c>
      <c r="S483">
        <v>6.94</v>
      </c>
      <c r="T483">
        <v>6.94</v>
      </c>
      <c r="U483">
        <v>6.94</v>
      </c>
      <c r="V483">
        <v>6.94</v>
      </c>
      <c r="W483">
        <v>6.94</v>
      </c>
      <c r="X483">
        <v>6.94</v>
      </c>
      <c r="Y483">
        <v>6.94</v>
      </c>
      <c r="Z483">
        <v>6.94</v>
      </c>
      <c r="AA483">
        <v>6.94</v>
      </c>
      <c r="AB483">
        <v>6.94</v>
      </c>
      <c r="AC483">
        <v>6.94</v>
      </c>
      <c r="AD483">
        <v>6.94</v>
      </c>
      <c r="AE483">
        <v>6.94</v>
      </c>
      <c r="AF483">
        <v>6.94</v>
      </c>
      <c r="AG483">
        <v>6.94</v>
      </c>
      <c r="AH483">
        <v>6.94</v>
      </c>
      <c r="AI483">
        <v>6.94</v>
      </c>
      <c r="AJ483">
        <v>6.94</v>
      </c>
    </row>
    <row r="484" spans="1:36" x14ac:dyDescent="0.35">
      <c r="A484" t="s">
        <v>2075</v>
      </c>
      <c r="B484" s="188" t="s">
        <v>1342</v>
      </c>
      <c r="C484" t="s">
        <v>1348</v>
      </c>
      <c r="D484">
        <v>30</v>
      </c>
      <c r="E484" t="s">
        <v>2072</v>
      </c>
      <c r="F484" t="s">
        <v>2073</v>
      </c>
      <c r="G484" t="s">
        <v>2074</v>
      </c>
      <c r="H484">
        <v>6.94</v>
      </c>
      <c r="I484">
        <v>6.94</v>
      </c>
      <c r="J484">
        <v>6.94</v>
      </c>
      <c r="K484">
        <v>6.94</v>
      </c>
      <c r="L484">
        <v>6.94</v>
      </c>
      <c r="M484">
        <v>6.94</v>
      </c>
      <c r="N484">
        <v>6.94</v>
      </c>
      <c r="O484">
        <v>6.94</v>
      </c>
      <c r="P484">
        <v>6.94</v>
      </c>
      <c r="Q484">
        <v>6.94</v>
      </c>
      <c r="R484">
        <v>6.94</v>
      </c>
      <c r="S484">
        <v>6.94</v>
      </c>
      <c r="T484">
        <v>6.94</v>
      </c>
      <c r="U484">
        <v>6.94</v>
      </c>
      <c r="V484">
        <v>6.94</v>
      </c>
      <c r="W484">
        <v>6.94</v>
      </c>
      <c r="X484">
        <v>6.94</v>
      </c>
      <c r="Y484">
        <v>6.94</v>
      </c>
      <c r="Z484">
        <v>6.94</v>
      </c>
      <c r="AA484">
        <v>6.94</v>
      </c>
      <c r="AB484">
        <v>6.94</v>
      </c>
      <c r="AC484">
        <v>6.94</v>
      </c>
      <c r="AD484">
        <v>6.94</v>
      </c>
      <c r="AE484">
        <v>6.94</v>
      </c>
      <c r="AF484">
        <v>6.94</v>
      </c>
      <c r="AG484">
        <v>6.94</v>
      </c>
      <c r="AH484">
        <v>6.94</v>
      </c>
      <c r="AI484">
        <v>6.94</v>
      </c>
      <c r="AJ484">
        <v>6.94</v>
      </c>
    </row>
    <row r="485" spans="1:36" x14ac:dyDescent="0.35">
      <c r="A485" t="s">
        <v>2076</v>
      </c>
      <c r="B485" s="188" t="s">
        <v>1342</v>
      </c>
      <c r="C485" t="s">
        <v>1350</v>
      </c>
      <c r="D485">
        <v>30</v>
      </c>
      <c r="E485" t="s">
        <v>2072</v>
      </c>
      <c r="F485" t="s">
        <v>2073</v>
      </c>
      <c r="G485" t="s">
        <v>2074</v>
      </c>
      <c r="H485">
        <v>6.94</v>
      </c>
      <c r="I485">
        <v>6.94</v>
      </c>
      <c r="J485">
        <v>6.94</v>
      </c>
      <c r="K485">
        <v>6.94</v>
      </c>
      <c r="L485">
        <v>6.94</v>
      </c>
      <c r="M485">
        <v>6.94</v>
      </c>
      <c r="N485">
        <v>6.94</v>
      </c>
      <c r="O485">
        <v>6.94</v>
      </c>
      <c r="P485">
        <v>6.94</v>
      </c>
      <c r="Q485">
        <v>6.94</v>
      </c>
      <c r="R485">
        <v>6.94</v>
      </c>
      <c r="S485">
        <v>6.94</v>
      </c>
      <c r="T485">
        <v>6.94</v>
      </c>
      <c r="U485">
        <v>6.94</v>
      </c>
      <c r="V485">
        <v>6.94</v>
      </c>
      <c r="W485">
        <v>6.94</v>
      </c>
      <c r="X485">
        <v>6.94</v>
      </c>
      <c r="Y485">
        <v>6.94</v>
      </c>
      <c r="Z485">
        <v>6.94</v>
      </c>
      <c r="AA485">
        <v>6.94</v>
      </c>
      <c r="AB485">
        <v>6.94</v>
      </c>
      <c r="AC485">
        <v>6.94</v>
      </c>
      <c r="AD485">
        <v>6.94</v>
      </c>
      <c r="AE485">
        <v>6.94</v>
      </c>
      <c r="AF485">
        <v>6.94</v>
      </c>
      <c r="AG485">
        <v>6.94</v>
      </c>
      <c r="AH485">
        <v>6.94</v>
      </c>
      <c r="AI485">
        <v>6.94</v>
      </c>
      <c r="AJ485">
        <v>6.94</v>
      </c>
    </row>
    <row r="486" spans="1:36" x14ac:dyDescent="0.35">
      <c r="A486" t="s">
        <v>2077</v>
      </c>
      <c r="B486" s="188" t="s">
        <v>1342</v>
      </c>
      <c r="C486" t="s">
        <v>1343</v>
      </c>
      <c r="D486">
        <v>30</v>
      </c>
      <c r="E486" t="s">
        <v>2072</v>
      </c>
      <c r="F486" t="s">
        <v>2078</v>
      </c>
      <c r="G486" t="s">
        <v>2079</v>
      </c>
      <c r="H486">
        <v>2.17</v>
      </c>
      <c r="I486">
        <v>2.15</v>
      </c>
      <c r="J486">
        <v>2.13</v>
      </c>
      <c r="K486">
        <v>2.1</v>
      </c>
      <c r="L486">
        <v>2.08</v>
      </c>
      <c r="M486">
        <v>2.06</v>
      </c>
      <c r="N486">
        <v>2.04</v>
      </c>
      <c r="O486">
        <v>2.02</v>
      </c>
      <c r="P486">
        <v>2</v>
      </c>
      <c r="Q486">
        <v>1.98</v>
      </c>
      <c r="R486">
        <v>1.95</v>
      </c>
      <c r="S486">
        <v>1.93</v>
      </c>
      <c r="T486">
        <v>1.91</v>
      </c>
      <c r="U486">
        <v>1.89</v>
      </c>
      <c r="V486">
        <v>1.88</v>
      </c>
      <c r="W486">
        <v>1.87</v>
      </c>
      <c r="X486">
        <v>1.85</v>
      </c>
      <c r="Y486">
        <v>1.84</v>
      </c>
      <c r="Z486">
        <v>1.83</v>
      </c>
      <c r="AA486">
        <v>1.82</v>
      </c>
      <c r="AB486">
        <v>1.8</v>
      </c>
      <c r="AC486">
        <v>1.79</v>
      </c>
      <c r="AD486">
        <v>1.78</v>
      </c>
      <c r="AE486">
        <v>1.76</v>
      </c>
      <c r="AF486">
        <v>1.75</v>
      </c>
      <c r="AG486">
        <v>1.74</v>
      </c>
      <c r="AH486">
        <v>1.73</v>
      </c>
      <c r="AI486">
        <v>1.71</v>
      </c>
      <c r="AJ486">
        <v>1.7</v>
      </c>
    </row>
    <row r="487" spans="1:36" x14ac:dyDescent="0.35">
      <c r="A487" t="s">
        <v>2080</v>
      </c>
      <c r="B487" s="188" t="s">
        <v>1342</v>
      </c>
      <c r="C487" t="s">
        <v>1348</v>
      </c>
      <c r="D487">
        <v>30</v>
      </c>
      <c r="E487" t="s">
        <v>2072</v>
      </c>
      <c r="F487" t="s">
        <v>2078</v>
      </c>
      <c r="G487" t="s">
        <v>2079</v>
      </c>
      <c r="H487">
        <v>2.17</v>
      </c>
      <c r="I487">
        <v>2.15</v>
      </c>
      <c r="J487">
        <v>2.14</v>
      </c>
      <c r="K487">
        <v>2.12</v>
      </c>
      <c r="L487">
        <v>2.1</v>
      </c>
      <c r="M487">
        <v>2.09</v>
      </c>
      <c r="N487">
        <v>2.0699999999999998</v>
      </c>
      <c r="O487">
        <v>2.06</v>
      </c>
      <c r="P487">
        <v>2.04</v>
      </c>
      <c r="Q487">
        <v>2.02</v>
      </c>
      <c r="R487">
        <v>2.0099999999999998</v>
      </c>
      <c r="S487">
        <v>1.99</v>
      </c>
      <c r="T487">
        <v>1.98</v>
      </c>
      <c r="U487">
        <v>1.96</v>
      </c>
      <c r="V487">
        <v>1.95</v>
      </c>
      <c r="W487">
        <v>1.94</v>
      </c>
      <c r="X487">
        <v>1.93</v>
      </c>
      <c r="Y487">
        <v>1.91</v>
      </c>
      <c r="Z487">
        <v>1.9</v>
      </c>
      <c r="AA487">
        <v>1.89</v>
      </c>
      <c r="AB487">
        <v>1.88</v>
      </c>
      <c r="AC487">
        <v>1.87</v>
      </c>
      <c r="AD487">
        <v>1.86</v>
      </c>
      <c r="AE487">
        <v>1.85</v>
      </c>
      <c r="AF487">
        <v>1.83</v>
      </c>
      <c r="AG487">
        <v>1.82</v>
      </c>
      <c r="AH487">
        <v>1.81</v>
      </c>
      <c r="AI487">
        <v>1.8</v>
      </c>
      <c r="AJ487">
        <v>1.79</v>
      </c>
    </row>
    <row r="488" spans="1:36" x14ac:dyDescent="0.35">
      <c r="A488" t="s">
        <v>2081</v>
      </c>
      <c r="B488" s="188" t="s">
        <v>1342</v>
      </c>
      <c r="C488" t="s">
        <v>1350</v>
      </c>
      <c r="D488">
        <v>30</v>
      </c>
      <c r="E488" t="s">
        <v>2072</v>
      </c>
      <c r="F488" t="s">
        <v>2078</v>
      </c>
      <c r="G488" t="s">
        <v>2079</v>
      </c>
      <c r="H488">
        <v>2.17</v>
      </c>
      <c r="I488">
        <v>2.16</v>
      </c>
      <c r="J488">
        <v>2.15</v>
      </c>
      <c r="K488">
        <v>2.14</v>
      </c>
      <c r="L488">
        <v>2.13</v>
      </c>
      <c r="M488">
        <v>2.12</v>
      </c>
      <c r="N488">
        <v>2.11</v>
      </c>
      <c r="O488">
        <v>2.09</v>
      </c>
      <c r="P488">
        <v>2.08</v>
      </c>
      <c r="Q488">
        <v>2.0699999999999998</v>
      </c>
      <c r="R488">
        <v>2.06</v>
      </c>
      <c r="S488">
        <v>2.0499999999999998</v>
      </c>
      <c r="T488">
        <v>2.04</v>
      </c>
      <c r="U488">
        <v>2.0299999999999998</v>
      </c>
      <c r="V488">
        <v>2.02</v>
      </c>
      <c r="W488">
        <v>2.0099999999999998</v>
      </c>
      <c r="X488">
        <v>2</v>
      </c>
      <c r="Y488">
        <v>1.99</v>
      </c>
      <c r="Z488">
        <v>1.98</v>
      </c>
      <c r="AA488">
        <v>1.97</v>
      </c>
      <c r="AB488">
        <v>1.96</v>
      </c>
      <c r="AC488">
        <v>1.95</v>
      </c>
      <c r="AD488">
        <v>1.94</v>
      </c>
      <c r="AE488">
        <v>1.93</v>
      </c>
      <c r="AF488">
        <v>1.92</v>
      </c>
      <c r="AG488">
        <v>1.91</v>
      </c>
      <c r="AH488">
        <v>1.9</v>
      </c>
      <c r="AI488">
        <v>1.88</v>
      </c>
      <c r="AJ488">
        <v>1.87</v>
      </c>
    </row>
    <row r="489" spans="1:36" x14ac:dyDescent="0.35">
      <c r="A489" t="s">
        <v>2082</v>
      </c>
      <c r="B489" s="188" t="s">
        <v>1342</v>
      </c>
      <c r="C489" t="s">
        <v>1343</v>
      </c>
      <c r="D489">
        <v>30</v>
      </c>
      <c r="E489" t="s">
        <v>2072</v>
      </c>
      <c r="F489" t="s">
        <v>2083</v>
      </c>
      <c r="G489" t="s">
        <v>2084</v>
      </c>
      <c r="H489">
        <v>2.16</v>
      </c>
      <c r="I489">
        <v>2.14</v>
      </c>
      <c r="J489">
        <v>2.12</v>
      </c>
      <c r="K489">
        <v>2.1</v>
      </c>
      <c r="L489">
        <v>2.08</v>
      </c>
      <c r="M489">
        <v>2.06</v>
      </c>
      <c r="N489">
        <v>2.04</v>
      </c>
      <c r="O489">
        <v>2.02</v>
      </c>
      <c r="P489">
        <v>2</v>
      </c>
      <c r="Q489">
        <v>1.97</v>
      </c>
      <c r="R489">
        <v>1.95</v>
      </c>
      <c r="S489">
        <v>1.93</v>
      </c>
      <c r="T489">
        <v>1.91</v>
      </c>
      <c r="U489">
        <v>1.89</v>
      </c>
      <c r="V489">
        <v>1.88</v>
      </c>
      <c r="W489">
        <v>1.87</v>
      </c>
      <c r="X489">
        <v>1.85</v>
      </c>
      <c r="Y489">
        <v>1.84</v>
      </c>
      <c r="Z489">
        <v>1.83</v>
      </c>
      <c r="AA489">
        <v>1.82</v>
      </c>
      <c r="AB489">
        <v>1.8</v>
      </c>
      <c r="AC489">
        <v>1.79</v>
      </c>
      <c r="AD489">
        <v>1.78</v>
      </c>
      <c r="AE489">
        <v>1.76</v>
      </c>
      <c r="AF489">
        <v>1.75</v>
      </c>
      <c r="AG489">
        <v>1.74</v>
      </c>
      <c r="AH489">
        <v>1.73</v>
      </c>
      <c r="AI489">
        <v>1.71</v>
      </c>
      <c r="AJ489">
        <v>1.7</v>
      </c>
    </row>
    <row r="490" spans="1:36" x14ac:dyDescent="0.35">
      <c r="A490" t="s">
        <v>2085</v>
      </c>
      <c r="B490" s="188" t="s">
        <v>1342</v>
      </c>
      <c r="C490" t="s">
        <v>1348</v>
      </c>
      <c r="D490">
        <v>30</v>
      </c>
      <c r="E490" t="s">
        <v>2072</v>
      </c>
      <c r="F490" t="s">
        <v>2083</v>
      </c>
      <c r="G490" t="s">
        <v>2084</v>
      </c>
      <c r="H490">
        <v>2.16</v>
      </c>
      <c r="I490">
        <v>2.15</v>
      </c>
      <c r="J490">
        <v>2.13</v>
      </c>
      <c r="K490">
        <v>2.12</v>
      </c>
      <c r="L490">
        <v>2.1</v>
      </c>
      <c r="M490">
        <v>2.08</v>
      </c>
      <c r="N490">
        <v>2.0699999999999998</v>
      </c>
      <c r="O490">
        <v>2.0499999999999998</v>
      </c>
      <c r="P490">
        <v>2.04</v>
      </c>
      <c r="Q490">
        <v>2.02</v>
      </c>
      <c r="R490">
        <v>2.0099999999999998</v>
      </c>
      <c r="S490">
        <v>1.99</v>
      </c>
      <c r="T490">
        <v>1.97</v>
      </c>
      <c r="U490">
        <v>1.96</v>
      </c>
      <c r="V490">
        <v>1.95</v>
      </c>
      <c r="W490">
        <v>1.93</v>
      </c>
      <c r="X490">
        <v>1.92</v>
      </c>
      <c r="Y490">
        <v>1.91</v>
      </c>
      <c r="Z490">
        <v>1.9</v>
      </c>
      <c r="AA490">
        <v>1.89</v>
      </c>
      <c r="AB490">
        <v>1.88</v>
      </c>
      <c r="AC490">
        <v>1.86</v>
      </c>
      <c r="AD490">
        <v>1.85</v>
      </c>
      <c r="AE490">
        <v>1.84</v>
      </c>
      <c r="AF490">
        <v>1.83</v>
      </c>
      <c r="AG490">
        <v>1.82</v>
      </c>
      <c r="AH490">
        <v>1.81</v>
      </c>
      <c r="AI490">
        <v>1.79</v>
      </c>
      <c r="AJ490">
        <v>1.78</v>
      </c>
    </row>
    <row r="491" spans="1:36" x14ac:dyDescent="0.35">
      <c r="A491" t="s">
        <v>2086</v>
      </c>
      <c r="B491" s="188" t="s">
        <v>1342</v>
      </c>
      <c r="C491" t="s">
        <v>1350</v>
      </c>
      <c r="D491">
        <v>30</v>
      </c>
      <c r="E491" t="s">
        <v>2072</v>
      </c>
      <c r="F491" t="s">
        <v>2083</v>
      </c>
      <c r="G491" t="s">
        <v>2084</v>
      </c>
      <c r="H491">
        <v>2.16</v>
      </c>
      <c r="I491">
        <v>2.15</v>
      </c>
      <c r="J491">
        <v>2.14</v>
      </c>
      <c r="K491">
        <v>2.13</v>
      </c>
      <c r="L491">
        <v>2.12</v>
      </c>
      <c r="M491">
        <v>2.11</v>
      </c>
      <c r="N491">
        <v>2.1</v>
      </c>
      <c r="O491">
        <v>2.09</v>
      </c>
      <c r="P491">
        <v>2.08</v>
      </c>
      <c r="Q491">
        <v>2.0699999999999998</v>
      </c>
      <c r="R491">
        <v>2.06</v>
      </c>
      <c r="S491">
        <v>2.0499999999999998</v>
      </c>
      <c r="T491">
        <v>2.04</v>
      </c>
      <c r="U491">
        <v>2.02</v>
      </c>
      <c r="V491">
        <v>2.0099999999999998</v>
      </c>
      <c r="W491">
        <v>2</v>
      </c>
      <c r="X491">
        <v>1.99</v>
      </c>
      <c r="Y491">
        <v>1.98</v>
      </c>
      <c r="Z491">
        <v>1.97</v>
      </c>
      <c r="AA491">
        <v>1.96</v>
      </c>
      <c r="AB491">
        <v>1.95</v>
      </c>
      <c r="AC491">
        <v>1.94</v>
      </c>
      <c r="AD491">
        <v>1.93</v>
      </c>
      <c r="AE491">
        <v>1.92</v>
      </c>
      <c r="AF491">
        <v>1.91</v>
      </c>
      <c r="AG491">
        <v>1.89</v>
      </c>
      <c r="AH491">
        <v>1.88</v>
      </c>
      <c r="AI491">
        <v>1.87</v>
      </c>
      <c r="AJ491">
        <v>1.86</v>
      </c>
    </row>
    <row r="492" spans="1:36" x14ac:dyDescent="0.35">
      <c r="A492" t="s">
        <v>2087</v>
      </c>
      <c r="B492" s="188" t="s">
        <v>1342</v>
      </c>
      <c r="C492" t="s">
        <v>1343</v>
      </c>
      <c r="D492">
        <v>30</v>
      </c>
      <c r="E492" t="s">
        <v>2072</v>
      </c>
      <c r="F492" t="s">
        <v>2088</v>
      </c>
      <c r="G492" t="s">
        <v>2089</v>
      </c>
      <c r="H492">
        <v>2.5299999999999998</v>
      </c>
      <c r="I492">
        <v>2.52</v>
      </c>
      <c r="J492">
        <v>2.5</v>
      </c>
      <c r="K492">
        <v>2.48</v>
      </c>
      <c r="L492">
        <v>2.4700000000000002</v>
      </c>
      <c r="M492">
        <v>2.4500000000000002</v>
      </c>
      <c r="N492">
        <v>2.44</v>
      </c>
      <c r="O492">
        <v>2.42</v>
      </c>
      <c r="P492">
        <v>2.4</v>
      </c>
      <c r="Q492">
        <v>2.39</v>
      </c>
      <c r="R492">
        <v>2.37</v>
      </c>
      <c r="S492">
        <v>2.35</v>
      </c>
      <c r="T492">
        <v>2.34</v>
      </c>
      <c r="U492">
        <v>2.3199999999999998</v>
      </c>
      <c r="V492">
        <v>2.2999999999999998</v>
      </c>
      <c r="W492">
        <v>2.29</v>
      </c>
      <c r="X492">
        <v>2.27</v>
      </c>
      <c r="Y492">
        <v>2.2599999999999998</v>
      </c>
      <c r="Z492">
        <v>2.2400000000000002</v>
      </c>
      <c r="AA492">
        <v>2.23</v>
      </c>
      <c r="AB492">
        <v>2.21</v>
      </c>
      <c r="AC492">
        <v>2.2000000000000002</v>
      </c>
      <c r="AD492">
        <v>2.1800000000000002</v>
      </c>
      <c r="AE492">
        <v>2.16</v>
      </c>
      <c r="AF492">
        <v>2.15</v>
      </c>
      <c r="AG492">
        <v>2.13</v>
      </c>
      <c r="AH492">
        <v>2.12</v>
      </c>
      <c r="AI492">
        <v>2.1</v>
      </c>
      <c r="AJ492">
        <v>2.09</v>
      </c>
    </row>
    <row r="493" spans="1:36" x14ac:dyDescent="0.35">
      <c r="A493" t="s">
        <v>2090</v>
      </c>
      <c r="B493" s="188" t="s">
        <v>1342</v>
      </c>
      <c r="C493" t="s">
        <v>1348</v>
      </c>
      <c r="D493">
        <v>30</v>
      </c>
      <c r="E493" t="s">
        <v>2072</v>
      </c>
      <c r="F493" t="s">
        <v>2088</v>
      </c>
      <c r="G493" t="s">
        <v>2089</v>
      </c>
      <c r="H493">
        <v>2.5299999999999998</v>
      </c>
      <c r="I493">
        <v>2.52</v>
      </c>
      <c r="J493">
        <v>2.5</v>
      </c>
      <c r="K493">
        <v>2.4900000000000002</v>
      </c>
      <c r="L493">
        <v>2.48</v>
      </c>
      <c r="M493">
        <v>2.46</v>
      </c>
      <c r="N493">
        <v>2.4500000000000002</v>
      </c>
      <c r="O493">
        <v>2.4300000000000002</v>
      </c>
      <c r="P493">
        <v>2.42</v>
      </c>
      <c r="Q493">
        <v>2.4</v>
      </c>
      <c r="R493">
        <v>2.39</v>
      </c>
      <c r="S493">
        <v>2.37</v>
      </c>
      <c r="T493">
        <v>2.36</v>
      </c>
      <c r="U493">
        <v>2.35</v>
      </c>
      <c r="V493">
        <v>2.33</v>
      </c>
      <c r="W493">
        <v>2.3199999999999998</v>
      </c>
      <c r="X493">
        <v>2.2999999999999998</v>
      </c>
      <c r="Y493">
        <v>2.29</v>
      </c>
      <c r="Z493">
        <v>2.27</v>
      </c>
      <c r="AA493">
        <v>2.2599999999999998</v>
      </c>
      <c r="AB493">
        <v>2.25</v>
      </c>
      <c r="AC493">
        <v>2.23</v>
      </c>
      <c r="AD493">
        <v>2.2200000000000002</v>
      </c>
      <c r="AE493">
        <v>2.2000000000000002</v>
      </c>
      <c r="AF493">
        <v>2.19</v>
      </c>
      <c r="AG493">
        <v>2.1800000000000002</v>
      </c>
      <c r="AH493">
        <v>2.16</v>
      </c>
      <c r="AI493">
        <v>2.15</v>
      </c>
      <c r="AJ493">
        <v>2.13</v>
      </c>
    </row>
    <row r="494" spans="1:36" x14ac:dyDescent="0.35">
      <c r="A494" t="s">
        <v>2091</v>
      </c>
      <c r="B494" s="188" t="s">
        <v>1342</v>
      </c>
      <c r="C494" t="s">
        <v>1350</v>
      </c>
      <c r="D494">
        <v>30</v>
      </c>
      <c r="E494" t="s">
        <v>2072</v>
      </c>
      <c r="F494" t="s">
        <v>2088</v>
      </c>
      <c r="G494" t="s">
        <v>2089</v>
      </c>
      <c r="H494">
        <v>2.5299999999999998</v>
      </c>
      <c r="I494">
        <v>2.52</v>
      </c>
      <c r="J494">
        <v>2.5099999999999998</v>
      </c>
      <c r="K494">
        <v>2.5</v>
      </c>
      <c r="L494">
        <v>2.48</v>
      </c>
      <c r="M494">
        <v>2.4700000000000002</v>
      </c>
      <c r="N494">
        <v>2.46</v>
      </c>
      <c r="O494">
        <v>2.4500000000000002</v>
      </c>
      <c r="P494">
        <v>2.4300000000000002</v>
      </c>
      <c r="Q494">
        <v>2.42</v>
      </c>
      <c r="R494">
        <v>2.41</v>
      </c>
      <c r="S494">
        <v>2.4</v>
      </c>
      <c r="T494">
        <v>2.38</v>
      </c>
      <c r="U494">
        <v>2.37</v>
      </c>
      <c r="V494">
        <v>2.36</v>
      </c>
      <c r="W494">
        <v>2.34</v>
      </c>
      <c r="X494">
        <v>2.33</v>
      </c>
      <c r="Y494">
        <v>2.3199999999999998</v>
      </c>
      <c r="Z494">
        <v>2.31</v>
      </c>
      <c r="AA494">
        <v>2.29</v>
      </c>
      <c r="AB494">
        <v>2.2799999999999998</v>
      </c>
      <c r="AC494">
        <v>2.27</v>
      </c>
      <c r="AD494">
        <v>2.2599999999999998</v>
      </c>
      <c r="AE494">
        <v>2.2400000000000002</v>
      </c>
      <c r="AF494">
        <v>2.23</v>
      </c>
      <c r="AG494">
        <v>2.2200000000000002</v>
      </c>
      <c r="AH494">
        <v>2.21</v>
      </c>
      <c r="AI494">
        <v>2.19</v>
      </c>
      <c r="AJ494">
        <v>2.1800000000000002</v>
      </c>
    </row>
    <row r="495" spans="1:36" x14ac:dyDescent="0.35">
      <c r="A495" t="s">
        <v>2092</v>
      </c>
      <c r="B495" s="188" t="s">
        <v>1342</v>
      </c>
      <c r="C495" t="s">
        <v>1343</v>
      </c>
      <c r="D495">
        <v>30</v>
      </c>
      <c r="E495" t="s">
        <v>2072</v>
      </c>
      <c r="F495" t="s">
        <v>2093</v>
      </c>
      <c r="G495" t="s">
        <v>2094</v>
      </c>
      <c r="U495">
        <v>7.79</v>
      </c>
      <c r="V495">
        <v>7.7</v>
      </c>
      <c r="W495">
        <v>7.61</v>
      </c>
      <c r="X495">
        <v>7.52</v>
      </c>
      <c r="Y495">
        <v>7.44</v>
      </c>
      <c r="Z495">
        <v>7.35</v>
      </c>
      <c r="AA495">
        <v>7.26</v>
      </c>
      <c r="AB495">
        <v>7.17</v>
      </c>
      <c r="AC495">
        <v>7.08</v>
      </c>
      <c r="AD495">
        <v>6.99</v>
      </c>
      <c r="AE495">
        <v>6.9</v>
      </c>
      <c r="AF495">
        <v>6.82</v>
      </c>
      <c r="AG495">
        <v>6.73</v>
      </c>
      <c r="AH495">
        <v>6.64</v>
      </c>
      <c r="AI495">
        <v>6.55</v>
      </c>
      <c r="AJ495">
        <v>6.46</v>
      </c>
    </row>
    <row r="496" spans="1:36" x14ac:dyDescent="0.35">
      <c r="A496" t="s">
        <v>2095</v>
      </c>
      <c r="B496" s="188" t="s">
        <v>1342</v>
      </c>
      <c r="C496" t="s">
        <v>1348</v>
      </c>
      <c r="D496">
        <v>30</v>
      </c>
      <c r="E496" t="s">
        <v>2072</v>
      </c>
      <c r="F496" t="s">
        <v>2093</v>
      </c>
      <c r="G496" t="s">
        <v>2094</v>
      </c>
      <c r="U496">
        <v>7.79</v>
      </c>
      <c r="V496">
        <v>7.76</v>
      </c>
      <c r="W496">
        <v>7.73</v>
      </c>
      <c r="X496">
        <v>7.7</v>
      </c>
      <c r="Y496">
        <v>7.67</v>
      </c>
      <c r="Z496">
        <v>7.64</v>
      </c>
      <c r="AA496">
        <v>7.61</v>
      </c>
      <c r="AB496">
        <v>7.58</v>
      </c>
      <c r="AC496">
        <v>7.56</v>
      </c>
      <c r="AD496">
        <v>7.53</v>
      </c>
      <c r="AE496">
        <v>7.5</v>
      </c>
      <c r="AF496">
        <v>7.47</v>
      </c>
      <c r="AG496">
        <v>7.44</v>
      </c>
      <c r="AH496">
        <v>7.41</v>
      </c>
      <c r="AI496">
        <v>7.38</v>
      </c>
      <c r="AJ496">
        <v>7.35</v>
      </c>
    </row>
    <row r="497" spans="1:36" x14ac:dyDescent="0.35">
      <c r="A497" t="s">
        <v>2096</v>
      </c>
      <c r="B497" s="188" t="s">
        <v>1342</v>
      </c>
      <c r="C497" t="s">
        <v>1343</v>
      </c>
      <c r="D497">
        <v>30</v>
      </c>
      <c r="E497" t="s">
        <v>2072</v>
      </c>
      <c r="F497" t="s">
        <v>2097</v>
      </c>
      <c r="G497" t="s">
        <v>2103</v>
      </c>
      <c r="H497">
        <v>4.8600000000000003</v>
      </c>
      <c r="I497">
        <v>4.76</v>
      </c>
      <c r="J497">
        <v>4.6500000000000004</v>
      </c>
      <c r="K497">
        <v>4.55</v>
      </c>
      <c r="L497">
        <v>4.4400000000000004</v>
      </c>
      <c r="M497">
        <v>4.34</v>
      </c>
      <c r="N497">
        <v>4.2300000000000004</v>
      </c>
      <c r="O497">
        <v>4.13</v>
      </c>
      <c r="P497">
        <v>4.0199999999999996</v>
      </c>
      <c r="Q497">
        <v>3.92</v>
      </c>
      <c r="R497">
        <v>3.81</v>
      </c>
      <c r="S497">
        <v>3.71</v>
      </c>
      <c r="T497">
        <v>3.6</v>
      </c>
      <c r="U497">
        <v>3.5</v>
      </c>
      <c r="V497">
        <v>3.47</v>
      </c>
      <c r="W497">
        <v>3.45</v>
      </c>
      <c r="X497">
        <v>3.42</v>
      </c>
      <c r="Y497">
        <v>3.39</v>
      </c>
      <c r="Z497">
        <v>3.37</v>
      </c>
      <c r="AA497">
        <v>3.34</v>
      </c>
      <c r="AB497">
        <v>3.32</v>
      </c>
      <c r="AC497">
        <v>3.29</v>
      </c>
      <c r="AD497">
        <v>3.27</v>
      </c>
      <c r="AE497">
        <v>3.24</v>
      </c>
      <c r="AF497">
        <v>3.22</v>
      </c>
      <c r="AG497">
        <v>3.19</v>
      </c>
      <c r="AH497">
        <v>3.16</v>
      </c>
      <c r="AI497">
        <v>3.14</v>
      </c>
      <c r="AJ497">
        <v>3.11</v>
      </c>
    </row>
    <row r="498" spans="1:36" x14ac:dyDescent="0.35">
      <c r="A498" t="s">
        <v>2099</v>
      </c>
      <c r="B498" s="188" t="s">
        <v>1342</v>
      </c>
      <c r="C498" t="s">
        <v>1348</v>
      </c>
      <c r="D498">
        <v>30</v>
      </c>
      <c r="E498" t="s">
        <v>2072</v>
      </c>
      <c r="F498" t="s">
        <v>2097</v>
      </c>
      <c r="G498" t="s">
        <v>2103</v>
      </c>
      <c r="H498">
        <v>4.8600000000000003</v>
      </c>
      <c r="I498">
        <v>4.79</v>
      </c>
      <c r="J498">
        <v>4.7300000000000004</v>
      </c>
      <c r="K498">
        <v>4.66</v>
      </c>
      <c r="L498">
        <v>4.59</v>
      </c>
      <c r="M498">
        <v>4.5199999999999996</v>
      </c>
      <c r="N498">
        <v>4.45</v>
      </c>
      <c r="O498">
        <v>4.3899999999999997</v>
      </c>
      <c r="P498">
        <v>4.32</v>
      </c>
      <c r="Q498">
        <v>4.25</v>
      </c>
      <c r="R498">
        <v>4.18</v>
      </c>
      <c r="S498">
        <v>4.12</v>
      </c>
      <c r="T498">
        <v>4.05</v>
      </c>
      <c r="U498">
        <v>3.98</v>
      </c>
      <c r="V498">
        <v>3.95</v>
      </c>
      <c r="W498">
        <v>3.92</v>
      </c>
      <c r="X498">
        <v>3.9</v>
      </c>
      <c r="Y498">
        <v>3.87</v>
      </c>
      <c r="Z498">
        <v>3.84</v>
      </c>
      <c r="AA498">
        <v>3.81</v>
      </c>
      <c r="AB498">
        <v>3.78</v>
      </c>
      <c r="AC498">
        <v>3.75</v>
      </c>
      <c r="AD498">
        <v>3.73</v>
      </c>
      <c r="AE498">
        <v>3.7</v>
      </c>
      <c r="AF498">
        <v>3.67</v>
      </c>
      <c r="AG498">
        <v>3.64</v>
      </c>
      <c r="AH498">
        <v>3.61</v>
      </c>
      <c r="AI498">
        <v>3.59</v>
      </c>
      <c r="AJ498">
        <v>3.56</v>
      </c>
    </row>
    <row r="499" spans="1:36" x14ac:dyDescent="0.35">
      <c r="A499" t="s">
        <v>2100</v>
      </c>
      <c r="B499" s="188" t="s">
        <v>1342</v>
      </c>
      <c r="C499" t="s">
        <v>1350</v>
      </c>
      <c r="D499">
        <v>30</v>
      </c>
      <c r="E499" t="s">
        <v>2072</v>
      </c>
      <c r="F499" t="s">
        <v>2097</v>
      </c>
      <c r="G499" t="s">
        <v>2103</v>
      </c>
      <c r="H499">
        <v>4.8600000000000003</v>
      </c>
      <c r="I499">
        <v>4.83</v>
      </c>
      <c r="J499">
        <v>4.8</v>
      </c>
      <c r="K499">
        <v>4.7699999999999996</v>
      </c>
      <c r="L499">
        <v>4.74</v>
      </c>
      <c r="M499">
        <v>4.71</v>
      </c>
      <c r="N499">
        <v>4.68</v>
      </c>
      <c r="O499">
        <v>4.6500000000000004</v>
      </c>
      <c r="P499">
        <v>4.62</v>
      </c>
      <c r="Q499">
        <v>4.59</v>
      </c>
      <c r="R499">
        <v>4.55</v>
      </c>
      <c r="S499">
        <v>4.5199999999999996</v>
      </c>
      <c r="T499">
        <v>4.49</v>
      </c>
      <c r="U499">
        <v>4.46</v>
      </c>
      <c r="V499">
        <v>4.43</v>
      </c>
      <c r="W499">
        <v>4.4000000000000004</v>
      </c>
      <c r="X499">
        <v>4.37</v>
      </c>
      <c r="Y499">
        <v>4.34</v>
      </c>
      <c r="Z499">
        <v>4.3099999999999996</v>
      </c>
      <c r="AA499">
        <v>4.28</v>
      </c>
      <c r="AB499">
        <v>4.25</v>
      </c>
      <c r="AC499">
        <v>4.22</v>
      </c>
      <c r="AD499">
        <v>4.1900000000000004</v>
      </c>
      <c r="AE499">
        <v>4.16</v>
      </c>
      <c r="AF499">
        <v>4.13</v>
      </c>
      <c r="AG499">
        <v>4.09</v>
      </c>
      <c r="AH499">
        <v>4.0599999999999996</v>
      </c>
      <c r="AI499">
        <v>4.03</v>
      </c>
      <c r="AJ499">
        <v>4</v>
      </c>
    </row>
    <row r="500" spans="1:36" x14ac:dyDescent="0.35">
      <c r="A500" t="s">
        <v>2101</v>
      </c>
      <c r="B500" s="188" t="s">
        <v>1342</v>
      </c>
      <c r="C500" t="s">
        <v>1343</v>
      </c>
      <c r="D500">
        <v>30</v>
      </c>
      <c r="E500" t="s">
        <v>2072</v>
      </c>
      <c r="F500" t="s">
        <v>2102</v>
      </c>
      <c r="G500" t="s">
        <v>2103</v>
      </c>
      <c r="H500">
        <v>4.8600000000000003</v>
      </c>
      <c r="I500">
        <v>4.76</v>
      </c>
      <c r="J500">
        <v>4.6500000000000004</v>
      </c>
      <c r="K500">
        <v>4.55</v>
      </c>
      <c r="L500">
        <v>4.4400000000000004</v>
      </c>
      <c r="M500">
        <v>4.34</v>
      </c>
      <c r="N500">
        <v>4.2300000000000004</v>
      </c>
      <c r="O500">
        <v>4.13</v>
      </c>
      <c r="P500">
        <v>4.0199999999999996</v>
      </c>
      <c r="Q500">
        <v>3.92</v>
      </c>
      <c r="R500">
        <v>3.81</v>
      </c>
      <c r="S500">
        <v>3.71</v>
      </c>
      <c r="T500">
        <v>3.6</v>
      </c>
      <c r="U500">
        <v>3.5</v>
      </c>
      <c r="V500">
        <v>3.47</v>
      </c>
      <c r="W500">
        <v>3.45</v>
      </c>
      <c r="X500">
        <v>3.42</v>
      </c>
      <c r="Y500">
        <v>3.39</v>
      </c>
      <c r="Z500">
        <v>3.37</v>
      </c>
      <c r="AA500">
        <v>3.34</v>
      </c>
      <c r="AB500">
        <v>3.32</v>
      </c>
      <c r="AC500">
        <v>3.29</v>
      </c>
      <c r="AD500">
        <v>3.27</v>
      </c>
      <c r="AE500">
        <v>3.24</v>
      </c>
      <c r="AF500">
        <v>3.22</v>
      </c>
      <c r="AG500">
        <v>3.19</v>
      </c>
      <c r="AH500">
        <v>3.16</v>
      </c>
      <c r="AI500">
        <v>3.14</v>
      </c>
      <c r="AJ500">
        <v>3.11</v>
      </c>
    </row>
    <row r="501" spans="1:36" x14ac:dyDescent="0.35">
      <c r="A501" t="s">
        <v>2104</v>
      </c>
      <c r="B501" s="188" t="s">
        <v>1342</v>
      </c>
      <c r="C501" t="s">
        <v>1348</v>
      </c>
      <c r="D501">
        <v>30</v>
      </c>
      <c r="E501" t="s">
        <v>2072</v>
      </c>
      <c r="F501" t="s">
        <v>2102</v>
      </c>
      <c r="G501" t="s">
        <v>2103</v>
      </c>
      <c r="H501">
        <v>4.8600000000000003</v>
      </c>
      <c r="I501">
        <v>4.79</v>
      </c>
      <c r="J501">
        <v>4.7300000000000004</v>
      </c>
      <c r="K501">
        <v>4.66</v>
      </c>
      <c r="L501">
        <v>4.59</v>
      </c>
      <c r="M501">
        <v>4.5199999999999996</v>
      </c>
      <c r="N501">
        <v>4.45</v>
      </c>
      <c r="O501">
        <v>4.3899999999999997</v>
      </c>
      <c r="P501">
        <v>4.32</v>
      </c>
      <c r="Q501">
        <v>4.25</v>
      </c>
      <c r="R501">
        <v>4.18</v>
      </c>
      <c r="S501">
        <v>4.12</v>
      </c>
      <c r="T501">
        <v>4.05</v>
      </c>
      <c r="U501">
        <v>3.98</v>
      </c>
      <c r="V501">
        <v>3.95</v>
      </c>
      <c r="W501">
        <v>3.92</v>
      </c>
      <c r="X501">
        <v>3.9</v>
      </c>
      <c r="Y501">
        <v>3.87</v>
      </c>
      <c r="Z501">
        <v>3.84</v>
      </c>
      <c r="AA501">
        <v>3.81</v>
      </c>
      <c r="AB501">
        <v>3.78</v>
      </c>
      <c r="AC501">
        <v>3.75</v>
      </c>
      <c r="AD501">
        <v>3.73</v>
      </c>
      <c r="AE501">
        <v>3.7</v>
      </c>
      <c r="AF501">
        <v>3.67</v>
      </c>
      <c r="AG501">
        <v>3.64</v>
      </c>
      <c r="AH501">
        <v>3.61</v>
      </c>
      <c r="AI501">
        <v>3.59</v>
      </c>
      <c r="AJ501">
        <v>3.56</v>
      </c>
    </row>
    <row r="502" spans="1:36" x14ac:dyDescent="0.35">
      <c r="A502" t="s">
        <v>2105</v>
      </c>
      <c r="B502" s="188" t="s">
        <v>1342</v>
      </c>
      <c r="C502" t="s">
        <v>1350</v>
      </c>
      <c r="D502">
        <v>30</v>
      </c>
      <c r="E502" t="s">
        <v>2072</v>
      </c>
      <c r="F502" t="s">
        <v>2102</v>
      </c>
      <c r="G502" t="s">
        <v>2103</v>
      </c>
      <c r="H502">
        <v>4.8600000000000003</v>
      </c>
      <c r="I502">
        <v>4.83</v>
      </c>
      <c r="J502">
        <v>4.8</v>
      </c>
      <c r="K502">
        <v>4.7699999999999996</v>
      </c>
      <c r="L502">
        <v>4.74</v>
      </c>
      <c r="M502">
        <v>4.71</v>
      </c>
      <c r="N502">
        <v>4.68</v>
      </c>
      <c r="O502">
        <v>4.6500000000000004</v>
      </c>
      <c r="P502">
        <v>4.62</v>
      </c>
      <c r="Q502">
        <v>4.59</v>
      </c>
      <c r="R502">
        <v>4.55</v>
      </c>
      <c r="S502">
        <v>4.5199999999999996</v>
      </c>
      <c r="T502">
        <v>4.49</v>
      </c>
      <c r="U502">
        <v>4.46</v>
      </c>
      <c r="V502">
        <v>4.43</v>
      </c>
      <c r="W502">
        <v>4.4000000000000004</v>
      </c>
      <c r="X502">
        <v>4.37</v>
      </c>
      <c r="Y502">
        <v>4.34</v>
      </c>
      <c r="Z502">
        <v>4.3099999999999996</v>
      </c>
      <c r="AA502">
        <v>4.28</v>
      </c>
      <c r="AB502">
        <v>4.25</v>
      </c>
      <c r="AC502">
        <v>4.22</v>
      </c>
      <c r="AD502">
        <v>4.1900000000000004</v>
      </c>
      <c r="AE502">
        <v>4.16</v>
      </c>
      <c r="AF502">
        <v>4.13</v>
      </c>
      <c r="AG502">
        <v>4.09</v>
      </c>
      <c r="AH502">
        <v>4.0599999999999996</v>
      </c>
      <c r="AI502">
        <v>4.03</v>
      </c>
      <c r="AJ502">
        <v>4</v>
      </c>
    </row>
    <row r="503" spans="1:36" x14ac:dyDescent="0.35">
      <c r="A503" t="s">
        <v>2106</v>
      </c>
      <c r="B503" s="188" t="s">
        <v>1342</v>
      </c>
      <c r="C503" t="s">
        <v>1343</v>
      </c>
      <c r="D503">
        <v>30</v>
      </c>
      <c r="E503" t="s">
        <v>2072</v>
      </c>
      <c r="F503" t="s">
        <v>2107</v>
      </c>
      <c r="G503" t="s">
        <v>2108</v>
      </c>
      <c r="H503">
        <v>5.3</v>
      </c>
      <c r="I503">
        <v>5.2</v>
      </c>
      <c r="J503">
        <v>5.0999999999999996</v>
      </c>
      <c r="K503">
        <v>5</v>
      </c>
      <c r="L503">
        <v>4.9000000000000004</v>
      </c>
      <c r="M503">
        <v>4.8</v>
      </c>
      <c r="N503">
        <v>4.7</v>
      </c>
      <c r="O503">
        <v>4.5999999999999996</v>
      </c>
      <c r="P503">
        <v>4.5</v>
      </c>
      <c r="Q503">
        <v>4.4000000000000004</v>
      </c>
      <c r="R503">
        <v>4.3</v>
      </c>
      <c r="S503">
        <v>4.2</v>
      </c>
      <c r="T503">
        <v>4.0999999999999996</v>
      </c>
      <c r="U503">
        <v>4</v>
      </c>
      <c r="V503">
        <v>3.96</v>
      </c>
      <c r="W503">
        <v>3.93</v>
      </c>
      <c r="X503">
        <v>3.9</v>
      </c>
      <c r="Y503">
        <v>3.86</v>
      </c>
      <c r="Z503">
        <v>3.83</v>
      </c>
      <c r="AA503">
        <v>3.8</v>
      </c>
      <c r="AB503">
        <v>3.76</v>
      </c>
      <c r="AC503">
        <v>3.73</v>
      </c>
      <c r="AD503">
        <v>3.7</v>
      </c>
      <c r="AE503">
        <v>3.67</v>
      </c>
      <c r="AF503">
        <v>3.63</v>
      </c>
      <c r="AG503">
        <v>3.6</v>
      </c>
      <c r="AH503">
        <v>3.57</v>
      </c>
      <c r="AI503">
        <v>3.53</v>
      </c>
      <c r="AJ503">
        <v>3.5</v>
      </c>
    </row>
    <row r="504" spans="1:36" x14ac:dyDescent="0.35">
      <c r="A504" t="s">
        <v>2109</v>
      </c>
      <c r="B504" s="188" t="s">
        <v>1342</v>
      </c>
      <c r="C504" t="s">
        <v>1348</v>
      </c>
      <c r="D504">
        <v>30</v>
      </c>
      <c r="E504" t="s">
        <v>2072</v>
      </c>
      <c r="F504" t="s">
        <v>2107</v>
      </c>
      <c r="G504" t="s">
        <v>2108</v>
      </c>
      <c r="H504">
        <v>5.3</v>
      </c>
      <c r="I504">
        <v>5.23</v>
      </c>
      <c r="J504">
        <v>5.17</v>
      </c>
      <c r="K504">
        <v>5.0999999999999996</v>
      </c>
      <c r="L504">
        <v>5.03</v>
      </c>
      <c r="M504">
        <v>4.96</v>
      </c>
      <c r="N504">
        <v>4.8899999999999997</v>
      </c>
      <c r="O504">
        <v>4.82</v>
      </c>
      <c r="P504">
        <v>4.76</v>
      </c>
      <c r="Q504">
        <v>4.6900000000000004</v>
      </c>
      <c r="R504">
        <v>4.62</v>
      </c>
      <c r="S504">
        <v>4.55</v>
      </c>
      <c r="T504">
        <v>4.4800000000000004</v>
      </c>
      <c r="U504">
        <v>4.41</v>
      </c>
      <c r="V504">
        <v>4.38</v>
      </c>
      <c r="W504">
        <v>4.34</v>
      </c>
      <c r="X504">
        <v>4.3099999999999996</v>
      </c>
      <c r="Y504">
        <v>4.28</v>
      </c>
      <c r="Z504">
        <v>4.24</v>
      </c>
      <c r="AA504">
        <v>4.21</v>
      </c>
      <c r="AB504">
        <v>4.17</v>
      </c>
      <c r="AC504">
        <v>4.1399999999999997</v>
      </c>
      <c r="AD504">
        <v>4.0999999999999996</v>
      </c>
      <c r="AE504">
        <v>4.07</v>
      </c>
      <c r="AF504">
        <v>4.03</v>
      </c>
      <c r="AG504">
        <v>4</v>
      </c>
      <c r="AH504">
        <v>3.96</v>
      </c>
      <c r="AI504">
        <v>3.93</v>
      </c>
      <c r="AJ504">
        <v>3.89</v>
      </c>
    </row>
    <row r="505" spans="1:36" x14ac:dyDescent="0.35">
      <c r="A505" t="s">
        <v>2110</v>
      </c>
      <c r="B505" s="188" t="s">
        <v>1342</v>
      </c>
      <c r="C505" t="s">
        <v>1350</v>
      </c>
      <c r="D505">
        <v>30</v>
      </c>
      <c r="E505" t="s">
        <v>2072</v>
      </c>
      <c r="F505" t="s">
        <v>2107</v>
      </c>
      <c r="G505" t="s">
        <v>2108</v>
      </c>
      <c r="H505">
        <v>5.3</v>
      </c>
      <c r="I505">
        <v>5.27</v>
      </c>
      <c r="J505">
        <v>5.23</v>
      </c>
      <c r="K505">
        <v>5.19</v>
      </c>
      <c r="L505">
        <v>5.16</v>
      </c>
      <c r="M505">
        <v>5.12</v>
      </c>
      <c r="N505">
        <v>5.09</v>
      </c>
      <c r="O505">
        <v>5.05</v>
      </c>
      <c r="P505">
        <v>5.01</v>
      </c>
      <c r="Q505">
        <v>4.9800000000000004</v>
      </c>
      <c r="R505">
        <v>4.9400000000000004</v>
      </c>
      <c r="S505">
        <v>4.9000000000000004</v>
      </c>
      <c r="T505">
        <v>4.87</v>
      </c>
      <c r="U505">
        <v>4.83</v>
      </c>
      <c r="V505">
        <v>4.8</v>
      </c>
      <c r="W505">
        <v>4.76</v>
      </c>
      <c r="X505">
        <v>4.72</v>
      </c>
      <c r="Y505">
        <v>4.6900000000000004</v>
      </c>
      <c r="Z505">
        <v>4.6500000000000004</v>
      </c>
      <c r="AA505">
        <v>4.6100000000000003</v>
      </c>
      <c r="AB505">
        <v>4.58</v>
      </c>
      <c r="AC505">
        <v>4.54</v>
      </c>
      <c r="AD505">
        <v>4.51</v>
      </c>
      <c r="AE505">
        <v>4.47</v>
      </c>
      <c r="AF505">
        <v>4.43</v>
      </c>
      <c r="AG505">
        <v>4.4000000000000004</v>
      </c>
      <c r="AH505">
        <v>4.3600000000000003</v>
      </c>
      <c r="AI505">
        <v>4.32</v>
      </c>
      <c r="AJ505">
        <v>4.29</v>
      </c>
    </row>
    <row r="506" spans="1:36" x14ac:dyDescent="0.35">
      <c r="A506" t="s">
        <v>2111</v>
      </c>
      <c r="B506" s="188" t="s">
        <v>1342</v>
      </c>
      <c r="C506" t="s">
        <v>1343</v>
      </c>
      <c r="D506">
        <v>30</v>
      </c>
      <c r="E506" t="s">
        <v>2072</v>
      </c>
      <c r="F506" t="s">
        <v>2112</v>
      </c>
      <c r="G506" t="s">
        <v>2113</v>
      </c>
      <c r="H506">
        <v>5.21</v>
      </c>
      <c r="I506">
        <v>5.08</v>
      </c>
      <c r="J506">
        <v>4.95</v>
      </c>
      <c r="K506">
        <v>4.82</v>
      </c>
      <c r="L506">
        <v>4.7</v>
      </c>
      <c r="M506">
        <v>4.57</v>
      </c>
      <c r="N506">
        <v>4.4400000000000004</v>
      </c>
      <c r="O506">
        <v>4.3099999999999996</v>
      </c>
      <c r="P506">
        <v>4.18</v>
      </c>
      <c r="Q506">
        <v>4.05</v>
      </c>
      <c r="R506">
        <v>3.93</v>
      </c>
      <c r="S506">
        <v>3.8</v>
      </c>
      <c r="T506">
        <v>3.67</v>
      </c>
      <c r="U506">
        <v>3.54</v>
      </c>
      <c r="V506">
        <v>3.52</v>
      </c>
      <c r="W506">
        <v>3.49</v>
      </c>
      <c r="X506">
        <v>3.46</v>
      </c>
      <c r="Y506">
        <v>3.44</v>
      </c>
      <c r="Z506">
        <v>3.41</v>
      </c>
      <c r="AA506">
        <v>3.39</v>
      </c>
      <c r="AB506">
        <v>3.36</v>
      </c>
      <c r="AC506">
        <v>3.34</v>
      </c>
      <c r="AD506">
        <v>3.31</v>
      </c>
      <c r="AE506">
        <v>3.28</v>
      </c>
      <c r="AF506">
        <v>3.26</v>
      </c>
      <c r="AG506">
        <v>3.23</v>
      </c>
      <c r="AH506">
        <v>3.21</v>
      </c>
      <c r="AI506">
        <v>3.18</v>
      </c>
      <c r="AJ506">
        <v>3.16</v>
      </c>
    </row>
    <row r="507" spans="1:36" x14ac:dyDescent="0.35">
      <c r="A507" t="s">
        <v>2114</v>
      </c>
      <c r="B507" s="188" t="s">
        <v>1342</v>
      </c>
      <c r="C507" t="s">
        <v>1348</v>
      </c>
      <c r="D507">
        <v>30</v>
      </c>
      <c r="E507" t="s">
        <v>2072</v>
      </c>
      <c r="F507" t="s">
        <v>2112</v>
      </c>
      <c r="G507" t="s">
        <v>2113</v>
      </c>
      <c r="H507">
        <v>5.21</v>
      </c>
      <c r="I507">
        <v>5.13</v>
      </c>
      <c r="J507">
        <v>5.05</v>
      </c>
      <c r="K507">
        <v>4.97</v>
      </c>
      <c r="L507">
        <v>4.8899999999999997</v>
      </c>
      <c r="M507">
        <v>4.8099999999999996</v>
      </c>
      <c r="N507">
        <v>4.72</v>
      </c>
      <c r="O507">
        <v>4.6399999999999997</v>
      </c>
      <c r="P507">
        <v>4.5599999999999996</v>
      </c>
      <c r="Q507">
        <v>4.4800000000000004</v>
      </c>
      <c r="R507">
        <v>4.4000000000000004</v>
      </c>
      <c r="S507">
        <v>4.32</v>
      </c>
      <c r="T507">
        <v>4.24</v>
      </c>
      <c r="U507">
        <v>4.16</v>
      </c>
      <c r="V507">
        <v>4.13</v>
      </c>
      <c r="W507">
        <v>4.0999999999999996</v>
      </c>
      <c r="X507">
        <v>4.07</v>
      </c>
      <c r="Y507">
        <v>4.04</v>
      </c>
      <c r="Z507">
        <v>4.0199999999999996</v>
      </c>
      <c r="AA507">
        <v>3.99</v>
      </c>
      <c r="AB507">
        <v>3.96</v>
      </c>
      <c r="AC507">
        <v>3.93</v>
      </c>
      <c r="AD507">
        <v>3.9</v>
      </c>
      <c r="AE507">
        <v>3.87</v>
      </c>
      <c r="AF507">
        <v>3.84</v>
      </c>
      <c r="AG507">
        <v>3.81</v>
      </c>
      <c r="AH507">
        <v>3.78</v>
      </c>
      <c r="AI507">
        <v>3.75</v>
      </c>
      <c r="AJ507">
        <v>3.72</v>
      </c>
    </row>
    <row r="508" spans="1:36" x14ac:dyDescent="0.35">
      <c r="A508" t="s">
        <v>2115</v>
      </c>
      <c r="B508" s="188" t="s">
        <v>1342</v>
      </c>
      <c r="C508" t="s">
        <v>1350</v>
      </c>
      <c r="D508">
        <v>30</v>
      </c>
      <c r="E508" t="s">
        <v>2072</v>
      </c>
      <c r="F508" t="s">
        <v>2112</v>
      </c>
      <c r="G508" t="s">
        <v>2113</v>
      </c>
      <c r="H508">
        <v>5.21</v>
      </c>
      <c r="I508">
        <v>5.17</v>
      </c>
      <c r="J508">
        <v>5.14</v>
      </c>
      <c r="K508">
        <v>5.1100000000000003</v>
      </c>
      <c r="L508">
        <v>5.08</v>
      </c>
      <c r="M508">
        <v>5.04</v>
      </c>
      <c r="N508">
        <v>5.01</v>
      </c>
      <c r="O508">
        <v>4.9800000000000004</v>
      </c>
      <c r="P508">
        <v>4.95</v>
      </c>
      <c r="Q508">
        <v>4.91</v>
      </c>
      <c r="R508">
        <v>4.88</v>
      </c>
      <c r="S508">
        <v>4.8499999999999996</v>
      </c>
      <c r="T508">
        <v>4.8099999999999996</v>
      </c>
      <c r="U508">
        <v>4.78</v>
      </c>
      <c r="V508">
        <v>4.75</v>
      </c>
      <c r="W508">
        <v>4.72</v>
      </c>
      <c r="X508">
        <v>4.68</v>
      </c>
      <c r="Y508">
        <v>4.6500000000000004</v>
      </c>
      <c r="Z508">
        <v>4.62</v>
      </c>
      <c r="AA508">
        <v>4.58</v>
      </c>
      <c r="AB508">
        <v>4.55</v>
      </c>
      <c r="AC508">
        <v>4.5199999999999996</v>
      </c>
      <c r="AD508">
        <v>4.49</v>
      </c>
      <c r="AE508">
        <v>4.45</v>
      </c>
      <c r="AF508">
        <v>4.42</v>
      </c>
      <c r="AG508">
        <v>4.3899999999999997</v>
      </c>
      <c r="AH508">
        <v>4.3600000000000003</v>
      </c>
      <c r="AI508">
        <v>4.32</v>
      </c>
      <c r="AJ508">
        <v>4.29</v>
      </c>
    </row>
    <row r="509" spans="1:36" x14ac:dyDescent="0.35">
      <c r="A509" t="s">
        <v>2116</v>
      </c>
      <c r="B509" s="188" t="s">
        <v>1342</v>
      </c>
      <c r="C509" t="s">
        <v>1343</v>
      </c>
      <c r="D509">
        <v>30</v>
      </c>
      <c r="E509" t="s">
        <v>2072</v>
      </c>
      <c r="F509" t="s">
        <v>2117</v>
      </c>
      <c r="G509" t="s">
        <v>2118</v>
      </c>
      <c r="H509">
        <v>4.95</v>
      </c>
      <c r="I509">
        <v>4.84</v>
      </c>
      <c r="J509">
        <v>4.7300000000000004</v>
      </c>
      <c r="K509">
        <v>4.62</v>
      </c>
      <c r="L509">
        <v>4.51</v>
      </c>
      <c r="M509">
        <v>4.41</v>
      </c>
      <c r="N509">
        <v>4.3</v>
      </c>
      <c r="O509">
        <v>4.1900000000000004</v>
      </c>
      <c r="P509">
        <v>4.08</v>
      </c>
      <c r="Q509">
        <v>3.97</v>
      </c>
      <c r="R509">
        <v>3.87</v>
      </c>
      <c r="S509">
        <v>3.76</v>
      </c>
      <c r="T509">
        <v>3.65</v>
      </c>
      <c r="U509">
        <v>3.54</v>
      </c>
      <c r="V509">
        <v>3.52</v>
      </c>
      <c r="W509">
        <v>3.49</v>
      </c>
      <c r="X509">
        <v>3.46</v>
      </c>
      <c r="Y509">
        <v>3.44</v>
      </c>
      <c r="Z509">
        <v>3.41</v>
      </c>
      <c r="AA509">
        <v>3.39</v>
      </c>
      <c r="AB509">
        <v>3.36</v>
      </c>
      <c r="AC509">
        <v>3.34</v>
      </c>
      <c r="AD509">
        <v>3.31</v>
      </c>
      <c r="AE509">
        <v>3.28</v>
      </c>
      <c r="AF509">
        <v>3.26</v>
      </c>
      <c r="AG509">
        <v>3.23</v>
      </c>
      <c r="AH509">
        <v>3.21</v>
      </c>
      <c r="AI509">
        <v>3.18</v>
      </c>
      <c r="AJ509">
        <v>3.16</v>
      </c>
    </row>
    <row r="510" spans="1:36" x14ac:dyDescent="0.35">
      <c r="A510" t="s">
        <v>2119</v>
      </c>
      <c r="B510" s="188" t="s">
        <v>1342</v>
      </c>
      <c r="C510" t="s">
        <v>1348</v>
      </c>
      <c r="D510">
        <v>30</v>
      </c>
      <c r="E510" t="s">
        <v>2072</v>
      </c>
      <c r="F510" t="s">
        <v>2117</v>
      </c>
      <c r="G510" t="s">
        <v>2118</v>
      </c>
      <c r="H510">
        <v>4.95</v>
      </c>
      <c r="I510">
        <v>4.88</v>
      </c>
      <c r="J510">
        <v>4.8099999999999996</v>
      </c>
      <c r="K510">
        <v>4.74</v>
      </c>
      <c r="L510">
        <v>4.67</v>
      </c>
      <c r="M510">
        <v>4.5999999999999996</v>
      </c>
      <c r="N510">
        <v>4.53</v>
      </c>
      <c r="O510">
        <v>4.46</v>
      </c>
      <c r="P510">
        <v>4.3899999999999997</v>
      </c>
      <c r="Q510">
        <v>4.32</v>
      </c>
      <c r="R510">
        <v>4.25</v>
      </c>
      <c r="S510">
        <v>4.18</v>
      </c>
      <c r="T510">
        <v>4.1100000000000003</v>
      </c>
      <c r="U510">
        <v>4.04</v>
      </c>
      <c r="V510">
        <v>4.01</v>
      </c>
      <c r="W510">
        <v>3.99</v>
      </c>
      <c r="X510">
        <v>3.96</v>
      </c>
      <c r="Y510">
        <v>3.93</v>
      </c>
      <c r="Z510">
        <v>3.9</v>
      </c>
      <c r="AA510">
        <v>3.87</v>
      </c>
      <c r="AB510">
        <v>3.84</v>
      </c>
      <c r="AC510">
        <v>3.81</v>
      </c>
      <c r="AD510">
        <v>3.79</v>
      </c>
      <c r="AE510">
        <v>3.76</v>
      </c>
      <c r="AF510">
        <v>3.73</v>
      </c>
      <c r="AG510">
        <v>3.7</v>
      </c>
      <c r="AH510">
        <v>3.67</v>
      </c>
      <c r="AI510">
        <v>3.64</v>
      </c>
      <c r="AJ510">
        <v>3.62</v>
      </c>
    </row>
    <row r="511" spans="1:36" x14ac:dyDescent="0.35">
      <c r="A511" t="s">
        <v>2120</v>
      </c>
      <c r="B511" s="188" t="s">
        <v>1342</v>
      </c>
      <c r="C511" t="s">
        <v>1350</v>
      </c>
      <c r="D511">
        <v>30</v>
      </c>
      <c r="E511" t="s">
        <v>2072</v>
      </c>
      <c r="F511" t="s">
        <v>2117</v>
      </c>
      <c r="G511" t="s">
        <v>2118</v>
      </c>
      <c r="H511">
        <v>4.95</v>
      </c>
      <c r="I511">
        <v>4.92</v>
      </c>
      <c r="J511">
        <v>4.8899999999999997</v>
      </c>
      <c r="K511">
        <v>4.8499999999999996</v>
      </c>
      <c r="L511">
        <v>4.82</v>
      </c>
      <c r="M511">
        <v>4.79</v>
      </c>
      <c r="N511">
        <v>4.76</v>
      </c>
      <c r="O511">
        <v>4.7300000000000004</v>
      </c>
      <c r="P511">
        <v>4.7</v>
      </c>
      <c r="Q511">
        <v>4.67</v>
      </c>
      <c r="R511">
        <v>4.6399999999999997</v>
      </c>
      <c r="S511">
        <v>4.5999999999999996</v>
      </c>
      <c r="T511">
        <v>4.57</v>
      </c>
      <c r="U511">
        <v>4.54</v>
      </c>
      <c r="V511">
        <v>4.51</v>
      </c>
      <c r="W511">
        <v>4.4800000000000004</v>
      </c>
      <c r="X511">
        <v>4.45</v>
      </c>
      <c r="Y511">
        <v>4.42</v>
      </c>
      <c r="Z511">
        <v>4.3899999999999997</v>
      </c>
      <c r="AA511">
        <v>4.3600000000000003</v>
      </c>
      <c r="AB511">
        <v>4.32</v>
      </c>
      <c r="AC511">
        <v>4.29</v>
      </c>
      <c r="AD511">
        <v>4.26</v>
      </c>
      <c r="AE511">
        <v>4.2300000000000004</v>
      </c>
      <c r="AF511">
        <v>4.2</v>
      </c>
      <c r="AG511">
        <v>4.17</v>
      </c>
      <c r="AH511">
        <v>4.1399999999999997</v>
      </c>
      <c r="AI511">
        <v>4.1100000000000003</v>
      </c>
      <c r="AJ511">
        <v>4.08</v>
      </c>
    </row>
    <row r="512" spans="1:36" x14ac:dyDescent="0.35">
      <c r="A512" t="s">
        <v>2121</v>
      </c>
      <c r="B512" s="188" t="s">
        <v>1342</v>
      </c>
      <c r="C512" t="s">
        <v>1343</v>
      </c>
      <c r="D512">
        <v>30</v>
      </c>
      <c r="E512" t="s">
        <v>2072</v>
      </c>
      <c r="F512" t="s">
        <v>2122</v>
      </c>
      <c r="G512" t="s">
        <v>2123</v>
      </c>
      <c r="H512">
        <v>5.39</v>
      </c>
      <c r="I512">
        <v>5.29</v>
      </c>
      <c r="J512">
        <v>5.18</v>
      </c>
      <c r="K512">
        <v>5.08</v>
      </c>
      <c r="L512">
        <v>4.9800000000000004</v>
      </c>
      <c r="M512">
        <v>4.87</v>
      </c>
      <c r="N512">
        <v>4.7699999999999996</v>
      </c>
      <c r="O512">
        <v>4.67</v>
      </c>
      <c r="P512">
        <v>4.5599999999999996</v>
      </c>
      <c r="Q512">
        <v>4.46</v>
      </c>
      <c r="R512">
        <v>4.3499999999999996</v>
      </c>
      <c r="S512">
        <v>4.25</v>
      </c>
      <c r="T512">
        <v>4.1500000000000004</v>
      </c>
      <c r="U512">
        <v>4.04</v>
      </c>
      <c r="V512">
        <v>4.01</v>
      </c>
      <c r="W512">
        <v>3.98</v>
      </c>
      <c r="X512">
        <v>3.94</v>
      </c>
      <c r="Y512">
        <v>3.91</v>
      </c>
      <c r="Z512">
        <v>3.88</v>
      </c>
      <c r="AA512">
        <v>3.84</v>
      </c>
      <c r="AB512">
        <v>3.81</v>
      </c>
      <c r="AC512">
        <v>3.78</v>
      </c>
      <c r="AD512">
        <v>3.74</v>
      </c>
      <c r="AE512">
        <v>3.71</v>
      </c>
      <c r="AF512">
        <v>3.68</v>
      </c>
      <c r="AG512">
        <v>3.64</v>
      </c>
      <c r="AH512">
        <v>3.61</v>
      </c>
      <c r="AI512">
        <v>3.58</v>
      </c>
      <c r="AJ512">
        <v>3.54</v>
      </c>
    </row>
    <row r="513" spans="1:36" x14ac:dyDescent="0.35">
      <c r="A513" t="s">
        <v>2124</v>
      </c>
      <c r="B513" s="188" t="s">
        <v>1342</v>
      </c>
      <c r="C513" t="s">
        <v>1348</v>
      </c>
      <c r="D513">
        <v>30</v>
      </c>
      <c r="E513" t="s">
        <v>2072</v>
      </c>
      <c r="F513" t="s">
        <v>2122</v>
      </c>
      <c r="G513" t="s">
        <v>2123</v>
      </c>
      <c r="H513">
        <v>5.39</v>
      </c>
      <c r="I513">
        <v>5.32</v>
      </c>
      <c r="J513">
        <v>5.25</v>
      </c>
      <c r="K513">
        <v>5.18</v>
      </c>
      <c r="L513">
        <v>5.1100000000000003</v>
      </c>
      <c r="M513">
        <v>5.04</v>
      </c>
      <c r="N513">
        <v>4.97</v>
      </c>
      <c r="O513">
        <v>4.9000000000000004</v>
      </c>
      <c r="P513">
        <v>4.83</v>
      </c>
      <c r="Q513">
        <v>4.76</v>
      </c>
      <c r="R513">
        <v>4.6900000000000004</v>
      </c>
      <c r="S513">
        <v>4.62</v>
      </c>
      <c r="T513">
        <v>4.55</v>
      </c>
      <c r="U513">
        <v>4.4800000000000004</v>
      </c>
      <c r="V513">
        <v>4.4400000000000004</v>
      </c>
      <c r="W513">
        <v>4.41</v>
      </c>
      <c r="X513">
        <v>4.37</v>
      </c>
      <c r="Y513">
        <v>4.34</v>
      </c>
      <c r="Z513">
        <v>4.3</v>
      </c>
      <c r="AA513">
        <v>4.2699999999999996</v>
      </c>
      <c r="AB513">
        <v>4.2300000000000004</v>
      </c>
      <c r="AC513">
        <v>4.2</v>
      </c>
      <c r="AD513">
        <v>4.16</v>
      </c>
      <c r="AE513">
        <v>4.13</v>
      </c>
      <c r="AF513">
        <v>4.09</v>
      </c>
      <c r="AG513">
        <v>4.0599999999999996</v>
      </c>
      <c r="AH513">
        <v>4.0199999999999996</v>
      </c>
      <c r="AI513">
        <v>3.99</v>
      </c>
      <c r="AJ513">
        <v>3.95</v>
      </c>
    </row>
    <row r="514" spans="1:36" x14ac:dyDescent="0.35">
      <c r="A514" t="s">
        <v>2125</v>
      </c>
      <c r="B514" s="188" t="s">
        <v>1342</v>
      </c>
      <c r="C514" t="s">
        <v>1350</v>
      </c>
      <c r="D514">
        <v>30</v>
      </c>
      <c r="E514" t="s">
        <v>2072</v>
      </c>
      <c r="F514" t="s">
        <v>2122</v>
      </c>
      <c r="G514" t="s">
        <v>2123</v>
      </c>
      <c r="H514">
        <v>5.39</v>
      </c>
      <c r="I514">
        <v>5.35</v>
      </c>
      <c r="J514">
        <v>5.32</v>
      </c>
      <c r="K514">
        <v>5.28</v>
      </c>
      <c r="L514">
        <v>5.24</v>
      </c>
      <c r="M514">
        <v>5.21</v>
      </c>
      <c r="N514">
        <v>5.17</v>
      </c>
      <c r="O514">
        <v>5.13</v>
      </c>
      <c r="P514">
        <v>5.0999999999999996</v>
      </c>
      <c r="Q514">
        <v>5.0599999999999996</v>
      </c>
      <c r="R514">
        <v>5.0199999999999996</v>
      </c>
      <c r="S514">
        <v>4.99</v>
      </c>
      <c r="T514">
        <v>4.95</v>
      </c>
      <c r="U514">
        <v>4.91</v>
      </c>
      <c r="V514">
        <v>4.88</v>
      </c>
      <c r="W514">
        <v>4.84</v>
      </c>
      <c r="X514">
        <v>4.8</v>
      </c>
      <c r="Y514">
        <v>4.7699999999999996</v>
      </c>
      <c r="Z514">
        <v>4.7300000000000004</v>
      </c>
      <c r="AA514">
        <v>4.6900000000000004</v>
      </c>
      <c r="AB514">
        <v>4.66</v>
      </c>
      <c r="AC514">
        <v>4.62</v>
      </c>
      <c r="AD514">
        <v>4.58</v>
      </c>
      <c r="AE514">
        <v>4.55</v>
      </c>
      <c r="AF514">
        <v>4.51</v>
      </c>
      <c r="AG514">
        <v>4.47</v>
      </c>
      <c r="AH514">
        <v>4.43</v>
      </c>
      <c r="AI514">
        <v>4.4000000000000004</v>
      </c>
      <c r="AJ514">
        <v>4.3600000000000003</v>
      </c>
    </row>
    <row r="515" spans="1:36" x14ac:dyDescent="0.35">
      <c r="A515" t="s">
        <v>2126</v>
      </c>
      <c r="B515" s="188" t="s">
        <v>1342</v>
      </c>
      <c r="C515" t="s">
        <v>1343</v>
      </c>
      <c r="D515">
        <v>30</v>
      </c>
      <c r="E515" t="s">
        <v>2072</v>
      </c>
      <c r="F515" t="s">
        <v>2127</v>
      </c>
      <c r="G515" t="s">
        <v>2128</v>
      </c>
      <c r="U515">
        <v>8.59</v>
      </c>
      <c r="V515">
        <v>8.49</v>
      </c>
      <c r="W515">
        <v>8.39</v>
      </c>
      <c r="X515">
        <v>8.2899999999999991</v>
      </c>
      <c r="Y515">
        <v>8.19</v>
      </c>
      <c r="Z515">
        <v>8.1</v>
      </c>
      <c r="AA515">
        <v>8</v>
      </c>
      <c r="AB515">
        <v>7.9</v>
      </c>
      <c r="AC515">
        <v>7.8</v>
      </c>
      <c r="AD515">
        <v>7.7</v>
      </c>
      <c r="AE515">
        <v>7.61</v>
      </c>
      <c r="AF515">
        <v>7.51</v>
      </c>
      <c r="AG515">
        <v>7.41</v>
      </c>
      <c r="AH515">
        <v>7.31</v>
      </c>
      <c r="AI515">
        <v>7.21</v>
      </c>
      <c r="AJ515">
        <v>7.12</v>
      </c>
    </row>
    <row r="516" spans="1:36" x14ac:dyDescent="0.35">
      <c r="A516" t="s">
        <v>2129</v>
      </c>
      <c r="B516" s="188" t="s">
        <v>1342</v>
      </c>
      <c r="C516" t="s">
        <v>1348</v>
      </c>
      <c r="D516">
        <v>30</v>
      </c>
      <c r="E516" t="s">
        <v>2072</v>
      </c>
      <c r="F516" t="s">
        <v>2127</v>
      </c>
      <c r="G516" t="s">
        <v>2128</v>
      </c>
      <c r="U516">
        <v>8.59</v>
      </c>
      <c r="V516">
        <v>8.5500000000000007</v>
      </c>
      <c r="W516">
        <v>8.51</v>
      </c>
      <c r="X516">
        <v>8.48</v>
      </c>
      <c r="Y516">
        <v>8.44</v>
      </c>
      <c r="Z516">
        <v>8.41</v>
      </c>
      <c r="AA516">
        <v>8.3699999999999992</v>
      </c>
      <c r="AB516">
        <v>8.33</v>
      </c>
      <c r="AC516">
        <v>8.3000000000000007</v>
      </c>
      <c r="AD516">
        <v>8.26</v>
      </c>
      <c r="AE516">
        <v>8.23</v>
      </c>
      <c r="AF516">
        <v>8.19</v>
      </c>
      <c r="AG516">
        <v>8.15</v>
      </c>
      <c r="AH516">
        <v>8.1199999999999992</v>
      </c>
      <c r="AI516">
        <v>8.08</v>
      </c>
      <c r="AJ516">
        <v>8.0500000000000007</v>
      </c>
    </row>
    <row r="517" spans="1:36" x14ac:dyDescent="0.35">
      <c r="A517" t="s">
        <v>2130</v>
      </c>
      <c r="B517" s="188" t="s">
        <v>1342</v>
      </c>
      <c r="C517" t="s">
        <v>1343</v>
      </c>
      <c r="D517">
        <v>30</v>
      </c>
      <c r="E517" t="s">
        <v>2131</v>
      </c>
      <c r="F517" t="s">
        <v>2132</v>
      </c>
      <c r="G517" t="s">
        <v>2133</v>
      </c>
      <c r="H517">
        <v>9.3000000000000007</v>
      </c>
      <c r="I517">
        <v>9.25</v>
      </c>
      <c r="J517">
        <v>9.1999999999999993</v>
      </c>
      <c r="K517">
        <v>9.15</v>
      </c>
      <c r="L517">
        <v>9.1</v>
      </c>
      <c r="M517">
        <v>9.0500000000000007</v>
      </c>
      <c r="N517">
        <v>9</v>
      </c>
      <c r="O517">
        <v>8.9499999999999993</v>
      </c>
      <c r="P517">
        <v>8.9</v>
      </c>
      <c r="Q517">
        <v>8.85</v>
      </c>
      <c r="R517">
        <v>8.8000000000000007</v>
      </c>
      <c r="S517">
        <v>8.6999999999999993</v>
      </c>
      <c r="T517">
        <v>8.65</v>
      </c>
      <c r="U517">
        <v>8.65</v>
      </c>
      <c r="V517">
        <v>8.6199999999999992</v>
      </c>
      <c r="W517">
        <v>8.58</v>
      </c>
      <c r="X517">
        <v>8.5500000000000007</v>
      </c>
      <c r="Y517">
        <v>8.52</v>
      </c>
      <c r="Z517">
        <v>8.48</v>
      </c>
      <c r="AA517">
        <v>8.4499999999999993</v>
      </c>
      <c r="AB517">
        <v>8.42</v>
      </c>
      <c r="AC517">
        <v>8.3800000000000008</v>
      </c>
      <c r="AD517">
        <v>8.35</v>
      </c>
      <c r="AE517">
        <v>8.32</v>
      </c>
      <c r="AF517">
        <v>8.2799999999999994</v>
      </c>
      <c r="AG517">
        <v>8.25</v>
      </c>
      <c r="AH517">
        <v>8.2200000000000006</v>
      </c>
      <c r="AI517">
        <v>8.18</v>
      </c>
      <c r="AJ517">
        <v>8.15</v>
      </c>
    </row>
    <row r="518" spans="1:36" x14ac:dyDescent="0.35">
      <c r="A518" t="s">
        <v>2134</v>
      </c>
      <c r="B518" s="188" t="s">
        <v>1342</v>
      </c>
      <c r="C518" t="s">
        <v>1348</v>
      </c>
      <c r="D518">
        <v>30</v>
      </c>
      <c r="E518" t="s">
        <v>2131</v>
      </c>
      <c r="F518" t="s">
        <v>2132</v>
      </c>
      <c r="G518" t="s">
        <v>2133</v>
      </c>
      <c r="H518">
        <v>9.3000000000000007</v>
      </c>
      <c r="I518">
        <v>9.26</v>
      </c>
      <c r="J518">
        <v>9.2200000000000006</v>
      </c>
      <c r="K518">
        <v>9.18</v>
      </c>
      <c r="L518">
        <v>9.14</v>
      </c>
      <c r="M518">
        <v>9.1</v>
      </c>
      <c r="N518">
        <v>9.06</v>
      </c>
      <c r="O518">
        <v>9.0299999999999994</v>
      </c>
      <c r="P518">
        <v>8.99</v>
      </c>
      <c r="Q518">
        <v>8.9499999999999993</v>
      </c>
      <c r="R518">
        <v>8.91</v>
      </c>
      <c r="S518">
        <v>8.83</v>
      </c>
      <c r="T518">
        <v>8.7899999999999991</v>
      </c>
      <c r="U518">
        <v>8.7899999999999991</v>
      </c>
      <c r="V518">
        <v>8.76</v>
      </c>
      <c r="W518">
        <v>8.73</v>
      </c>
      <c r="X518">
        <v>8.6999999999999993</v>
      </c>
      <c r="Y518">
        <v>8.67</v>
      </c>
      <c r="Z518">
        <v>8.64</v>
      </c>
      <c r="AA518">
        <v>8.61</v>
      </c>
      <c r="AB518">
        <v>8.58</v>
      </c>
      <c r="AC518">
        <v>8.5500000000000007</v>
      </c>
      <c r="AD518">
        <v>8.52</v>
      </c>
      <c r="AE518">
        <v>8.49</v>
      </c>
      <c r="AF518">
        <v>8.4600000000000009</v>
      </c>
      <c r="AG518">
        <v>8.43</v>
      </c>
      <c r="AH518">
        <v>8.4</v>
      </c>
      <c r="AI518">
        <v>8.3699999999999992</v>
      </c>
      <c r="AJ518">
        <v>8.34</v>
      </c>
    </row>
    <row r="519" spans="1:36" x14ac:dyDescent="0.35">
      <c r="A519" t="s">
        <v>2135</v>
      </c>
      <c r="B519" s="188" t="s">
        <v>1342</v>
      </c>
      <c r="C519" t="s">
        <v>1350</v>
      </c>
      <c r="D519">
        <v>30</v>
      </c>
      <c r="E519" t="s">
        <v>2131</v>
      </c>
      <c r="F519" t="s">
        <v>2132</v>
      </c>
      <c r="G519" t="s">
        <v>2133</v>
      </c>
      <c r="H519">
        <v>9.3000000000000007</v>
      </c>
      <c r="I519">
        <v>9.27</v>
      </c>
      <c r="J519">
        <v>9.24</v>
      </c>
      <c r="K519">
        <v>9.2100000000000009</v>
      </c>
      <c r="L519">
        <v>9.19</v>
      </c>
      <c r="M519">
        <v>9.16</v>
      </c>
      <c r="N519">
        <v>9.1300000000000008</v>
      </c>
      <c r="O519">
        <v>9.1</v>
      </c>
      <c r="P519">
        <v>9.07</v>
      </c>
      <c r="Q519">
        <v>9.0500000000000007</v>
      </c>
      <c r="R519">
        <v>9.02</v>
      </c>
      <c r="S519">
        <v>8.9600000000000009</v>
      </c>
      <c r="T519">
        <v>8.94</v>
      </c>
      <c r="U519">
        <v>8.94</v>
      </c>
      <c r="V519">
        <v>8.91</v>
      </c>
      <c r="W519">
        <v>8.8800000000000008</v>
      </c>
      <c r="X519">
        <v>8.85</v>
      </c>
      <c r="Y519">
        <v>8.83</v>
      </c>
      <c r="Z519">
        <v>8.8000000000000007</v>
      </c>
      <c r="AA519">
        <v>8.77</v>
      </c>
      <c r="AB519">
        <v>8.74</v>
      </c>
      <c r="AC519">
        <v>8.7200000000000006</v>
      </c>
      <c r="AD519">
        <v>8.69</v>
      </c>
      <c r="AE519">
        <v>8.66</v>
      </c>
      <c r="AF519">
        <v>8.6300000000000008</v>
      </c>
      <c r="AG519">
        <v>8.61</v>
      </c>
      <c r="AH519">
        <v>8.58</v>
      </c>
      <c r="AI519">
        <v>8.5500000000000007</v>
      </c>
      <c r="AJ519">
        <v>8.52</v>
      </c>
    </row>
    <row r="520" spans="1:36" x14ac:dyDescent="0.35">
      <c r="A520" t="s">
        <v>2136</v>
      </c>
      <c r="B520" s="188" t="s">
        <v>1342</v>
      </c>
      <c r="C520" t="s">
        <v>1343</v>
      </c>
      <c r="D520">
        <v>30</v>
      </c>
      <c r="E520" t="s">
        <v>2131</v>
      </c>
      <c r="F520" t="s">
        <v>2137</v>
      </c>
      <c r="G520" t="s">
        <v>2138</v>
      </c>
      <c r="H520">
        <v>16.12</v>
      </c>
      <c r="I520">
        <v>15.88</v>
      </c>
      <c r="J520">
        <v>15.64</v>
      </c>
      <c r="K520">
        <v>15.4</v>
      </c>
      <c r="L520">
        <v>15.16</v>
      </c>
      <c r="M520">
        <v>14.92</v>
      </c>
      <c r="N520">
        <v>14.68</v>
      </c>
      <c r="O520">
        <v>14.44</v>
      </c>
      <c r="P520">
        <v>14.2</v>
      </c>
      <c r="Q520">
        <v>13.95</v>
      </c>
      <c r="R520">
        <v>13.71</v>
      </c>
      <c r="S520">
        <v>13.23</v>
      </c>
      <c r="T520">
        <v>12.99</v>
      </c>
      <c r="U520">
        <v>12.99</v>
      </c>
      <c r="V520">
        <v>12.94</v>
      </c>
      <c r="W520">
        <v>12.89</v>
      </c>
      <c r="X520">
        <v>12.83</v>
      </c>
      <c r="Y520">
        <v>12.78</v>
      </c>
      <c r="Z520">
        <v>12.73</v>
      </c>
      <c r="AA520">
        <v>12.68</v>
      </c>
      <c r="AB520">
        <v>12.62</v>
      </c>
      <c r="AC520">
        <v>12.57</v>
      </c>
      <c r="AD520">
        <v>12.52</v>
      </c>
      <c r="AE520">
        <v>12.47</v>
      </c>
      <c r="AF520">
        <v>12.41</v>
      </c>
      <c r="AG520">
        <v>12.36</v>
      </c>
      <c r="AH520">
        <v>12.31</v>
      </c>
      <c r="AI520">
        <v>12.26</v>
      </c>
      <c r="AJ520">
        <v>12.2</v>
      </c>
    </row>
    <row r="521" spans="1:36" x14ac:dyDescent="0.35">
      <c r="A521" t="s">
        <v>2139</v>
      </c>
      <c r="B521" s="188" t="s">
        <v>1342</v>
      </c>
      <c r="C521" t="s">
        <v>1348</v>
      </c>
      <c r="D521">
        <v>30</v>
      </c>
      <c r="E521" t="s">
        <v>2131</v>
      </c>
      <c r="F521" t="s">
        <v>2137</v>
      </c>
      <c r="G521" t="s">
        <v>2138</v>
      </c>
      <c r="H521">
        <v>16.12</v>
      </c>
      <c r="I521">
        <v>15.97</v>
      </c>
      <c r="J521">
        <v>15.83</v>
      </c>
      <c r="K521">
        <v>15.68</v>
      </c>
      <c r="L521">
        <v>15.53</v>
      </c>
      <c r="M521">
        <v>15.39</v>
      </c>
      <c r="N521">
        <v>15.24</v>
      </c>
      <c r="O521">
        <v>15.09</v>
      </c>
      <c r="P521">
        <v>14.95</v>
      </c>
      <c r="Q521">
        <v>14.8</v>
      </c>
      <c r="R521">
        <v>14.65</v>
      </c>
      <c r="S521">
        <v>14.36</v>
      </c>
      <c r="T521">
        <v>14.22</v>
      </c>
      <c r="U521">
        <v>14.22</v>
      </c>
      <c r="V521">
        <v>14.16</v>
      </c>
      <c r="W521">
        <v>14.11</v>
      </c>
      <c r="X521">
        <v>14.06</v>
      </c>
      <c r="Y521">
        <v>14.01</v>
      </c>
      <c r="Z521">
        <v>13.95</v>
      </c>
      <c r="AA521">
        <v>13.9</v>
      </c>
      <c r="AB521">
        <v>13.85</v>
      </c>
      <c r="AC521">
        <v>13.8</v>
      </c>
      <c r="AD521">
        <v>13.74</v>
      </c>
      <c r="AE521">
        <v>13.69</v>
      </c>
      <c r="AF521">
        <v>13.64</v>
      </c>
      <c r="AG521">
        <v>13.59</v>
      </c>
      <c r="AH521">
        <v>13.53</v>
      </c>
      <c r="AI521">
        <v>13.48</v>
      </c>
      <c r="AJ521">
        <v>13.43</v>
      </c>
    </row>
    <row r="522" spans="1:36" x14ac:dyDescent="0.35">
      <c r="A522" t="s">
        <v>2140</v>
      </c>
      <c r="B522" s="188" t="s">
        <v>1342</v>
      </c>
      <c r="C522" t="s">
        <v>1350</v>
      </c>
      <c r="D522">
        <v>30</v>
      </c>
      <c r="E522" t="s">
        <v>2131</v>
      </c>
      <c r="F522" t="s">
        <v>2137</v>
      </c>
      <c r="G522" t="s">
        <v>2138</v>
      </c>
      <c r="H522">
        <v>16.12</v>
      </c>
      <c r="I522">
        <v>16.07</v>
      </c>
      <c r="J522">
        <v>16.010000000000002</v>
      </c>
      <c r="K522">
        <v>15.96</v>
      </c>
      <c r="L522">
        <v>15.91</v>
      </c>
      <c r="M522">
        <v>15.86</v>
      </c>
      <c r="N522">
        <v>15.81</v>
      </c>
      <c r="O522">
        <v>15.75</v>
      </c>
      <c r="P522">
        <v>15.7</v>
      </c>
      <c r="Q522">
        <v>15.65</v>
      </c>
      <c r="R522">
        <v>15.6</v>
      </c>
      <c r="S522">
        <v>15.49</v>
      </c>
      <c r="T522">
        <v>15.44</v>
      </c>
      <c r="U522">
        <v>15.44</v>
      </c>
      <c r="V522">
        <v>15.39</v>
      </c>
      <c r="W522">
        <v>15.33</v>
      </c>
      <c r="X522">
        <v>15.28</v>
      </c>
      <c r="Y522">
        <v>15.23</v>
      </c>
      <c r="Z522">
        <v>15.18</v>
      </c>
      <c r="AA522">
        <v>15.12</v>
      </c>
      <c r="AB522">
        <v>15.07</v>
      </c>
      <c r="AC522">
        <v>15.02</v>
      </c>
      <c r="AD522">
        <v>14.97</v>
      </c>
      <c r="AE522">
        <v>14.91</v>
      </c>
      <c r="AF522">
        <v>14.86</v>
      </c>
      <c r="AG522">
        <v>14.81</v>
      </c>
      <c r="AH522">
        <v>14.76</v>
      </c>
      <c r="AI522">
        <v>14.7</v>
      </c>
      <c r="AJ522">
        <v>14.65</v>
      </c>
    </row>
    <row r="523" spans="1:36" x14ac:dyDescent="0.35">
      <c r="A523" t="s">
        <v>2141</v>
      </c>
      <c r="B523" s="188" t="s">
        <v>1342</v>
      </c>
      <c r="C523" t="s">
        <v>1343</v>
      </c>
      <c r="D523">
        <v>30</v>
      </c>
      <c r="E523" t="s">
        <v>2131</v>
      </c>
      <c r="F523" t="s">
        <v>2142</v>
      </c>
      <c r="G523" t="s">
        <v>2143</v>
      </c>
      <c r="H523">
        <v>16.52</v>
      </c>
      <c r="I523">
        <v>16.260000000000002</v>
      </c>
      <c r="J523">
        <v>16.010000000000002</v>
      </c>
      <c r="K523">
        <v>15.76</v>
      </c>
      <c r="L523">
        <v>15.5</v>
      </c>
      <c r="M523">
        <v>15.25</v>
      </c>
      <c r="N523">
        <v>14.99</v>
      </c>
      <c r="O523">
        <v>14.74</v>
      </c>
      <c r="P523">
        <v>14.49</v>
      </c>
      <c r="Q523">
        <v>14.23</v>
      </c>
      <c r="R523">
        <v>13.98</v>
      </c>
      <c r="S523">
        <v>13.47</v>
      </c>
      <c r="T523">
        <v>13.22</v>
      </c>
      <c r="U523">
        <v>13.22</v>
      </c>
      <c r="V523">
        <v>13.17</v>
      </c>
      <c r="W523">
        <v>13.11</v>
      </c>
      <c r="X523">
        <v>13.06</v>
      </c>
      <c r="Y523">
        <v>13.01</v>
      </c>
      <c r="Z523">
        <v>12.95</v>
      </c>
      <c r="AA523">
        <v>12.9</v>
      </c>
      <c r="AB523">
        <v>12.85</v>
      </c>
      <c r="AC523">
        <v>12.79</v>
      </c>
      <c r="AD523">
        <v>12.74</v>
      </c>
      <c r="AE523">
        <v>12.69</v>
      </c>
      <c r="AF523">
        <v>12.63</v>
      </c>
      <c r="AG523">
        <v>12.58</v>
      </c>
      <c r="AH523">
        <v>12.53</v>
      </c>
      <c r="AI523">
        <v>12.47</v>
      </c>
      <c r="AJ523">
        <v>12.42</v>
      </c>
    </row>
    <row r="524" spans="1:36" x14ac:dyDescent="0.35">
      <c r="A524" t="s">
        <v>2144</v>
      </c>
      <c r="B524" s="188" t="s">
        <v>1342</v>
      </c>
      <c r="C524" t="s">
        <v>1348</v>
      </c>
      <c r="D524">
        <v>30</v>
      </c>
      <c r="E524" t="s">
        <v>2131</v>
      </c>
      <c r="F524" t="s">
        <v>2142</v>
      </c>
      <c r="G524" t="s">
        <v>2143</v>
      </c>
      <c r="H524">
        <v>16.52</v>
      </c>
      <c r="I524">
        <v>16.36</v>
      </c>
      <c r="J524">
        <v>16.21</v>
      </c>
      <c r="K524">
        <v>16.059999999999999</v>
      </c>
      <c r="L524">
        <v>15.9</v>
      </c>
      <c r="M524">
        <v>15.75</v>
      </c>
      <c r="N524">
        <v>15.59</v>
      </c>
      <c r="O524">
        <v>15.44</v>
      </c>
      <c r="P524">
        <v>15.29</v>
      </c>
      <c r="Q524">
        <v>15.13</v>
      </c>
      <c r="R524">
        <v>14.98</v>
      </c>
      <c r="S524">
        <v>14.67</v>
      </c>
      <c r="T524">
        <v>14.52</v>
      </c>
      <c r="U524">
        <v>14.52</v>
      </c>
      <c r="V524">
        <v>14.47</v>
      </c>
      <c r="W524">
        <v>14.41</v>
      </c>
      <c r="X524">
        <v>14.36</v>
      </c>
      <c r="Y524">
        <v>14.31</v>
      </c>
      <c r="Z524">
        <v>14.25</v>
      </c>
      <c r="AA524">
        <v>14.2</v>
      </c>
      <c r="AB524">
        <v>14.14</v>
      </c>
      <c r="AC524">
        <v>14.09</v>
      </c>
      <c r="AD524">
        <v>14.04</v>
      </c>
      <c r="AE524">
        <v>13.98</v>
      </c>
      <c r="AF524">
        <v>13.93</v>
      </c>
      <c r="AG524">
        <v>13.88</v>
      </c>
      <c r="AH524">
        <v>13.82</v>
      </c>
      <c r="AI524">
        <v>13.77</v>
      </c>
      <c r="AJ524">
        <v>13.72</v>
      </c>
    </row>
    <row r="525" spans="1:36" x14ac:dyDescent="0.35">
      <c r="A525" t="s">
        <v>2145</v>
      </c>
      <c r="B525" s="188" t="s">
        <v>1342</v>
      </c>
      <c r="C525" t="s">
        <v>1350</v>
      </c>
      <c r="D525">
        <v>30</v>
      </c>
      <c r="E525" t="s">
        <v>2131</v>
      </c>
      <c r="F525" t="s">
        <v>2142</v>
      </c>
      <c r="G525" t="s">
        <v>2143</v>
      </c>
      <c r="H525">
        <v>16.52</v>
      </c>
      <c r="I525">
        <v>16.46</v>
      </c>
      <c r="J525">
        <v>16.41</v>
      </c>
      <c r="K525">
        <v>16.36</v>
      </c>
      <c r="L525">
        <v>16.3</v>
      </c>
      <c r="M525">
        <v>16.25</v>
      </c>
      <c r="N525">
        <v>16.190000000000001</v>
      </c>
      <c r="O525">
        <v>16.14</v>
      </c>
      <c r="P525">
        <v>16.09</v>
      </c>
      <c r="Q525">
        <v>16.03</v>
      </c>
      <c r="R525">
        <v>15.98</v>
      </c>
      <c r="S525">
        <v>15.87</v>
      </c>
      <c r="T525">
        <v>15.82</v>
      </c>
      <c r="U525">
        <v>15.82</v>
      </c>
      <c r="V525">
        <v>15.77</v>
      </c>
      <c r="W525">
        <v>15.71</v>
      </c>
      <c r="X525">
        <v>15.66</v>
      </c>
      <c r="Y525">
        <v>15.61</v>
      </c>
      <c r="Z525">
        <v>15.55</v>
      </c>
      <c r="AA525">
        <v>15.5</v>
      </c>
      <c r="AB525">
        <v>15.44</v>
      </c>
      <c r="AC525">
        <v>15.39</v>
      </c>
      <c r="AD525">
        <v>15.34</v>
      </c>
      <c r="AE525">
        <v>15.28</v>
      </c>
      <c r="AF525">
        <v>15.23</v>
      </c>
      <c r="AG525">
        <v>15.18</v>
      </c>
      <c r="AH525">
        <v>15.12</v>
      </c>
      <c r="AI525">
        <v>15.07</v>
      </c>
      <c r="AJ525">
        <v>15.02</v>
      </c>
    </row>
    <row r="526" spans="1:36" x14ac:dyDescent="0.35">
      <c r="A526" t="s">
        <v>2146</v>
      </c>
      <c r="B526" s="188" t="s">
        <v>1342</v>
      </c>
      <c r="C526" t="s">
        <v>1343</v>
      </c>
      <c r="D526">
        <v>30</v>
      </c>
      <c r="E526" t="s">
        <v>2131</v>
      </c>
      <c r="F526" t="s">
        <v>2147</v>
      </c>
      <c r="G526" t="s">
        <v>2148</v>
      </c>
      <c r="H526">
        <v>16.440000000000001</v>
      </c>
      <c r="I526">
        <v>16.36</v>
      </c>
      <c r="J526">
        <v>16.27</v>
      </c>
      <c r="K526">
        <v>16.190000000000001</v>
      </c>
      <c r="L526">
        <v>16.11</v>
      </c>
      <c r="M526">
        <v>16.03</v>
      </c>
      <c r="N526">
        <v>15.95</v>
      </c>
      <c r="O526">
        <v>15.86</v>
      </c>
      <c r="P526">
        <v>15.78</v>
      </c>
      <c r="Q526">
        <v>15.7</v>
      </c>
      <c r="R526">
        <v>15.62</v>
      </c>
      <c r="S526">
        <v>15.45</v>
      </c>
      <c r="T526">
        <v>15.37</v>
      </c>
      <c r="U526">
        <v>15.37</v>
      </c>
      <c r="V526">
        <v>15.29</v>
      </c>
      <c r="W526">
        <v>15.21</v>
      </c>
      <c r="X526">
        <v>15.12</v>
      </c>
      <c r="Y526">
        <v>15.04</v>
      </c>
      <c r="Z526">
        <v>14.96</v>
      </c>
      <c r="AA526">
        <v>14.88</v>
      </c>
      <c r="AB526">
        <v>14.8</v>
      </c>
      <c r="AC526">
        <v>14.71</v>
      </c>
      <c r="AD526">
        <v>14.63</v>
      </c>
      <c r="AE526">
        <v>14.55</v>
      </c>
      <c r="AF526">
        <v>14.47</v>
      </c>
      <c r="AG526">
        <v>14.38</v>
      </c>
      <c r="AH526">
        <v>14.3</v>
      </c>
      <c r="AI526">
        <v>14.22</v>
      </c>
      <c r="AJ526">
        <v>14.14</v>
      </c>
    </row>
    <row r="527" spans="1:36" x14ac:dyDescent="0.35">
      <c r="A527" t="s">
        <v>2149</v>
      </c>
      <c r="B527" s="188" t="s">
        <v>1342</v>
      </c>
      <c r="C527" t="s">
        <v>1348</v>
      </c>
      <c r="D527">
        <v>30</v>
      </c>
      <c r="E527" t="s">
        <v>2131</v>
      </c>
      <c r="F527" t="s">
        <v>2147</v>
      </c>
      <c r="G527" t="s">
        <v>2148</v>
      </c>
      <c r="H527">
        <v>16.440000000000001</v>
      </c>
      <c r="I527">
        <v>16.39</v>
      </c>
      <c r="J527">
        <v>16.329999999999998</v>
      </c>
      <c r="K527">
        <v>16.28</v>
      </c>
      <c r="L527">
        <v>16.22</v>
      </c>
      <c r="M527">
        <v>16.170000000000002</v>
      </c>
      <c r="N527">
        <v>16.12</v>
      </c>
      <c r="O527">
        <v>16.059999999999999</v>
      </c>
      <c r="P527">
        <v>16.010000000000002</v>
      </c>
      <c r="Q527">
        <v>15.96</v>
      </c>
      <c r="R527">
        <v>15.9</v>
      </c>
      <c r="S527">
        <v>15.79</v>
      </c>
      <c r="T527">
        <v>15.74</v>
      </c>
      <c r="U527">
        <v>15.74</v>
      </c>
      <c r="V527">
        <v>15.69</v>
      </c>
      <c r="W527">
        <v>15.63</v>
      </c>
      <c r="X527">
        <v>15.58</v>
      </c>
      <c r="Y527">
        <v>15.53</v>
      </c>
      <c r="Z527">
        <v>15.47</v>
      </c>
      <c r="AA527">
        <v>15.42</v>
      </c>
      <c r="AB527">
        <v>15.36</v>
      </c>
      <c r="AC527">
        <v>15.31</v>
      </c>
      <c r="AD527">
        <v>15.26</v>
      </c>
      <c r="AE527">
        <v>15.2</v>
      </c>
      <c r="AF527">
        <v>15.15</v>
      </c>
      <c r="AG527">
        <v>15.1</v>
      </c>
      <c r="AH527">
        <v>15.04</v>
      </c>
      <c r="AI527">
        <v>14.99</v>
      </c>
      <c r="AJ527">
        <v>14.93</v>
      </c>
    </row>
    <row r="528" spans="1:36" x14ac:dyDescent="0.35">
      <c r="A528" t="s">
        <v>2150</v>
      </c>
      <c r="B528" s="188" t="s">
        <v>1342</v>
      </c>
      <c r="C528" t="s">
        <v>1350</v>
      </c>
      <c r="D528">
        <v>30</v>
      </c>
      <c r="E528" t="s">
        <v>2131</v>
      </c>
      <c r="F528" t="s">
        <v>2147</v>
      </c>
      <c r="G528" t="s">
        <v>2148</v>
      </c>
      <c r="H528">
        <v>16.440000000000001</v>
      </c>
      <c r="I528">
        <v>16.41</v>
      </c>
      <c r="J528">
        <v>16.39</v>
      </c>
      <c r="K528">
        <v>16.36</v>
      </c>
      <c r="L528">
        <v>16.34</v>
      </c>
      <c r="M528">
        <v>16.309999999999999</v>
      </c>
      <c r="N528">
        <v>16.29</v>
      </c>
      <c r="O528">
        <v>16.260000000000002</v>
      </c>
      <c r="P528">
        <v>16.239999999999998</v>
      </c>
      <c r="Q528">
        <v>16.21</v>
      </c>
      <c r="R528">
        <v>16.190000000000001</v>
      </c>
      <c r="S528">
        <v>16.14</v>
      </c>
      <c r="T528">
        <v>16.11</v>
      </c>
      <c r="U528">
        <v>16.11</v>
      </c>
      <c r="V528">
        <v>16.079999999999998</v>
      </c>
      <c r="W528">
        <v>16.059999999999999</v>
      </c>
      <c r="X528">
        <v>16.03</v>
      </c>
      <c r="Y528">
        <v>16.010000000000002</v>
      </c>
      <c r="Z528">
        <v>15.98</v>
      </c>
      <c r="AA528">
        <v>15.96</v>
      </c>
      <c r="AB528">
        <v>15.93</v>
      </c>
      <c r="AC528">
        <v>15.91</v>
      </c>
      <c r="AD528">
        <v>15.88</v>
      </c>
      <c r="AE528">
        <v>15.86</v>
      </c>
      <c r="AF528">
        <v>15.83</v>
      </c>
      <c r="AG528">
        <v>15.81</v>
      </c>
      <c r="AH528">
        <v>15.78</v>
      </c>
      <c r="AI528">
        <v>15.76</v>
      </c>
      <c r="AJ528">
        <v>15.73</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1CA7-B931-4595-BB62-BED1539BD3FF}">
  <dimension ref="A1:F18"/>
  <sheetViews>
    <sheetView workbookViewId="0"/>
  </sheetViews>
  <sheetFormatPr defaultRowHeight="14.5" x14ac:dyDescent="0.35"/>
  <cols>
    <col min="2" max="2" width="22.1796875" customWidth="1"/>
    <col min="5" max="5" width="15" customWidth="1"/>
    <col min="6" max="6" width="26.1796875" customWidth="1"/>
    <col min="7" max="7" width="18.26953125" customWidth="1"/>
  </cols>
  <sheetData>
    <row r="1" spans="1:6" x14ac:dyDescent="0.35">
      <c r="B1" t="s">
        <v>2154</v>
      </c>
    </row>
    <row r="2" spans="1:6" x14ac:dyDescent="0.35">
      <c r="B2" s="191" t="s">
        <v>2155</v>
      </c>
      <c r="C2" s="191" t="s">
        <v>2156</v>
      </c>
      <c r="D2" s="191" t="s">
        <v>2157</v>
      </c>
      <c r="E2" s="191" t="s">
        <v>2158</v>
      </c>
      <c r="F2" s="191" t="s">
        <v>2159</v>
      </c>
    </row>
    <row r="3" spans="1:6" x14ac:dyDescent="0.35">
      <c r="A3" s="191">
        <v>0</v>
      </c>
      <c r="B3" t="s">
        <v>2160</v>
      </c>
      <c r="C3">
        <v>1</v>
      </c>
      <c r="D3">
        <v>354199.489</v>
      </c>
      <c r="E3">
        <v>959251040257.36047</v>
      </c>
      <c r="F3">
        <v>2708222.541386446</v>
      </c>
    </row>
    <row r="4" spans="1:6" x14ac:dyDescent="0.35">
      <c r="A4" s="191">
        <v>1</v>
      </c>
      <c r="B4" t="s">
        <v>2160</v>
      </c>
      <c r="C4">
        <v>2</v>
      </c>
      <c r="D4">
        <v>5298.6850000000004</v>
      </c>
      <c r="E4">
        <v>29107722403.580078</v>
      </c>
      <c r="F4">
        <v>5493386.0766548831</v>
      </c>
    </row>
    <row r="5" spans="1:6" x14ac:dyDescent="0.35">
      <c r="A5" s="191">
        <v>2</v>
      </c>
      <c r="B5" t="s">
        <v>2160</v>
      </c>
      <c r="C5" t="s">
        <v>741</v>
      </c>
      <c r="D5">
        <v>359498.174</v>
      </c>
      <c r="E5">
        <v>988358762660.94055</v>
      </c>
      <c r="F5">
        <v>2749273.387577598</v>
      </c>
    </row>
    <row r="6" spans="1:6" x14ac:dyDescent="0.35">
      <c r="A6" s="191">
        <v>3</v>
      </c>
      <c r="B6" t="s">
        <v>2161</v>
      </c>
      <c r="C6">
        <v>4</v>
      </c>
      <c r="D6">
        <v>23057.005000000001</v>
      </c>
      <c r="E6">
        <v>52091124260.169983</v>
      </c>
      <c r="F6">
        <v>2259232.0320948008</v>
      </c>
    </row>
    <row r="7" spans="1:6" x14ac:dyDescent="0.35">
      <c r="A7" s="191">
        <v>4</v>
      </c>
      <c r="B7" t="s">
        <v>2161</v>
      </c>
      <c r="C7">
        <v>5</v>
      </c>
      <c r="D7">
        <v>3860.136</v>
      </c>
      <c r="E7">
        <v>8751786289.9934139</v>
      </c>
      <c r="F7">
        <v>2267222.2662604148</v>
      </c>
    </row>
    <row r="8" spans="1:6" x14ac:dyDescent="0.35">
      <c r="A8" s="191">
        <v>5</v>
      </c>
      <c r="B8" t="s">
        <v>2161</v>
      </c>
      <c r="C8">
        <v>9</v>
      </c>
      <c r="D8">
        <v>11008.710999999999</v>
      </c>
      <c r="E8">
        <v>23779716405.51738</v>
      </c>
      <c r="F8">
        <v>2160081.8120774892</v>
      </c>
    </row>
    <row r="9" spans="1:6" x14ac:dyDescent="0.35">
      <c r="A9" s="191">
        <v>6</v>
      </c>
      <c r="B9" t="s">
        <v>2161</v>
      </c>
      <c r="C9">
        <v>10</v>
      </c>
      <c r="D9">
        <v>9420.9789999999994</v>
      </c>
      <c r="E9">
        <v>34156262258.398891</v>
      </c>
      <c r="F9">
        <v>3625553.380216524</v>
      </c>
    </row>
    <row r="10" spans="1:6" x14ac:dyDescent="0.35">
      <c r="A10" s="191">
        <v>7</v>
      </c>
      <c r="B10" t="s">
        <v>2161</v>
      </c>
      <c r="C10" t="s">
        <v>741</v>
      </c>
      <c r="D10">
        <v>47346.830999999998</v>
      </c>
      <c r="E10">
        <v>118778889214.0797</v>
      </c>
      <c r="F10">
        <v>2508697.7672081091</v>
      </c>
    </row>
    <row r="11" spans="1:6" x14ac:dyDescent="0.35">
      <c r="A11" s="191">
        <v>8</v>
      </c>
      <c r="B11" t="s">
        <v>2162</v>
      </c>
      <c r="C11">
        <v>4</v>
      </c>
      <c r="D11">
        <v>312</v>
      </c>
      <c r="E11">
        <v>869590269.76200008</v>
      </c>
      <c r="F11">
        <v>2787148.3005192308</v>
      </c>
    </row>
    <row r="12" spans="1:6" x14ac:dyDescent="0.35">
      <c r="A12" s="191">
        <v>9</v>
      </c>
      <c r="B12" t="s">
        <v>2162</v>
      </c>
      <c r="C12">
        <v>5</v>
      </c>
      <c r="D12">
        <v>1374</v>
      </c>
      <c r="E12">
        <v>3215405789.3460002</v>
      </c>
      <c r="F12">
        <v>2340178.885986899</v>
      </c>
    </row>
    <row r="13" spans="1:6" x14ac:dyDescent="0.35">
      <c r="A13" s="191">
        <v>10</v>
      </c>
      <c r="B13" t="s">
        <v>2162</v>
      </c>
      <c r="C13">
        <v>6</v>
      </c>
      <c r="D13">
        <v>7680</v>
      </c>
      <c r="E13">
        <v>23290727855.604</v>
      </c>
      <c r="F13">
        <v>3032646.856198438</v>
      </c>
    </row>
    <row r="14" spans="1:6" x14ac:dyDescent="0.35">
      <c r="A14" s="191">
        <v>11</v>
      </c>
      <c r="B14" t="s">
        <v>2162</v>
      </c>
      <c r="C14">
        <v>7</v>
      </c>
      <c r="D14">
        <v>3546</v>
      </c>
      <c r="E14">
        <v>12303978615.426001</v>
      </c>
      <c r="F14">
        <v>3469819.124485618</v>
      </c>
    </row>
    <row r="15" spans="1:6" x14ac:dyDescent="0.35">
      <c r="A15" s="191">
        <v>12</v>
      </c>
      <c r="B15" t="s">
        <v>2162</v>
      </c>
      <c r="C15">
        <v>8</v>
      </c>
      <c r="D15">
        <v>2412</v>
      </c>
      <c r="E15">
        <v>8035659078.9720001</v>
      </c>
      <c r="F15">
        <v>3331533.614830846</v>
      </c>
    </row>
    <row r="16" spans="1:6" x14ac:dyDescent="0.35">
      <c r="A16" s="191">
        <v>13</v>
      </c>
      <c r="B16" t="s">
        <v>2162</v>
      </c>
      <c r="C16">
        <v>9</v>
      </c>
      <c r="D16">
        <v>1080</v>
      </c>
      <c r="E16">
        <v>2904996989.5380001</v>
      </c>
      <c r="F16">
        <v>2689812.0273500001</v>
      </c>
    </row>
    <row r="17" spans="1:6" x14ac:dyDescent="0.35">
      <c r="A17" s="191">
        <v>14</v>
      </c>
      <c r="B17" t="s">
        <v>2162</v>
      </c>
      <c r="C17">
        <v>10</v>
      </c>
      <c r="D17">
        <v>36</v>
      </c>
      <c r="E17">
        <v>117186560.928</v>
      </c>
      <c r="F17">
        <v>3255182.2480000001</v>
      </c>
    </row>
    <row r="18" spans="1:6" x14ac:dyDescent="0.35">
      <c r="A18" s="191">
        <v>15</v>
      </c>
      <c r="B18" t="s">
        <v>2162</v>
      </c>
      <c r="C18" t="s">
        <v>741</v>
      </c>
      <c r="D18">
        <v>16440</v>
      </c>
      <c r="E18">
        <v>50737545159.575996</v>
      </c>
      <c r="F18">
        <v>3086225.3746700729</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A44D5-8F06-4E9C-A1EA-18D853C45F2E}">
  <dimension ref="A3:AC28"/>
  <sheetViews>
    <sheetView workbookViewId="0"/>
  </sheetViews>
  <sheetFormatPr defaultRowHeight="14.5" x14ac:dyDescent="0.35"/>
  <cols>
    <col min="1" max="1" width="40.7265625" customWidth="1"/>
    <col min="2" max="2" width="27.7265625" customWidth="1"/>
    <col min="3" max="3" width="14.54296875" customWidth="1"/>
    <col min="4" max="4" width="23.453125" customWidth="1"/>
    <col min="5" max="5" width="16.81640625" customWidth="1"/>
    <col min="6" max="6" width="16.7265625" customWidth="1"/>
    <col min="7" max="9" width="10.54296875" customWidth="1"/>
    <col min="10" max="14" width="9.26953125" customWidth="1"/>
    <col min="15" max="16" width="9.453125" customWidth="1"/>
    <col min="17" max="18" width="9" bestFit="1" customWidth="1"/>
    <col min="19" max="29" width="11.54296875" bestFit="1" customWidth="1"/>
  </cols>
  <sheetData>
    <row r="3" spans="1:29" s="167" customFormat="1" ht="12.5" x14ac:dyDescent="0.25">
      <c r="A3" s="167" t="s">
        <v>2163</v>
      </c>
    </row>
    <row r="4" spans="1:29" s="167" customFormat="1" ht="12.5" x14ac:dyDescent="0.25">
      <c r="A4" s="167" t="s">
        <v>2164</v>
      </c>
    </row>
    <row r="5" spans="1:29" s="167" customFormat="1" ht="12.5" x14ac:dyDescent="0.25">
      <c r="B5" s="280" t="s">
        <v>2165</v>
      </c>
      <c r="C5" s="280"/>
      <c r="D5" s="280"/>
      <c r="E5" s="280"/>
      <c r="F5" s="280"/>
      <c r="G5" s="280"/>
      <c r="H5" s="280"/>
      <c r="I5" s="280"/>
      <c r="J5" s="280"/>
    </row>
    <row r="6" spans="1:29" s="167" customFormat="1" ht="16.149999999999999" customHeight="1" x14ac:dyDescent="0.25">
      <c r="A6" s="168" t="s">
        <v>2166</v>
      </c>
      <c r="B6" s="169">
        <v>1</v>
      </c>
      <c r="C6" s="169">
        <v>2</v>
      </c>
      <c r="D6" s="169">
        <v>3</v>
      </c>
      <c r="E6" s="169">
        <v>4</v>
      </c>
      <c r="F6" s="169">
        <v>5</v>
      </c>
      <c r="G6" s="169">
        <v>6</v>
      </c>
      <c r="H6" s="169">
        <v>7</v>
      </c>
      <c r="I6" s="169">
        <v>8</v>
      </c>
      <c r="J6" s="169">
        <v>9</v>
      </c>
      <c r="K6" s="260" t="s">
        <v>2167</v>
      </c>
      <c r="L6" s="280" t="s">
        <v>2168</v>
      </c>
      <c r="M6" s="280"/>
      <c r="O6" s="280" t="s">
        <v>2169</v>
      </c>
      <c r="P6" s="280"/>
      <c r="Q6" s="280"/>
      <c r="R6" s="280"/>
      <c r="S6" s="280"/>
      <c r="T6" s="280"/>
      <c r="X6" s="280" t="s">
        <v>2170</v>
      </c>
      <c r="Y6" s="280"/>
      <c r="Z6" s="280"/>
      <c r="AA6" s="280"/>
      <c r="AB6" s="280"/>
      <c r="AC6" s="280"/>
    </row>
    <row r="7" spans="1:29" s="167" customFormat="1" ht="15.65" customHeight="1" x14ac:dyDescent="0.3">
      <c r="A7" s="169">
        <v>1</v>
      </c>
      <c r="B7" s="169">
        <v>0.185</v>
      </c>
      <c r="C7" s="169">
        <v>4.5999999999999999E-2</v>
      </c>
      <c r="D7" s="169">
        <v>2.1999999999999999E-2</v>
      </c>
      <c r="E7" s="169">
        <v>0.20699999999999999</v>
      </c>
      <c r="F7" s="169">
        <v>0.11600000000000001</v>
      </c>
      <c r="G7" s="169">
        <v>7.0000000000000007E-2</v>
      </c>
      <c r="H7" s="169">
        <v>0.218</v>
      </c>
      <c r="I7" s="169">
        <v>8.8999999999999996E-2</v>
      </c>
      <c r="J7" s="169">
        <v>4.7E-2</v>
      </c>
      <c r="K7" s="260" t="s">
        <v>1191</v>
      </c>
      <c r="L7" s="260">
        <v>0.33</v>
      </c>
      <c r="M7" s="260">
        <f>L13</f>
        <v>0.5</v>
      </c>
      <c r="N7" s="260" t="s">
        <v>61</v>
      </c>
      <c r="O7" s="260" t="s">
        <v>2171</v>
      </c>
      <c r="P7" s="260" t="s">
        <v>2172</v>
      </c>
      <c r="Q7" s="260" t="s">
        <v>2173</v>
      </c>
      <c r="R7" s="260" t="s">
        <v>2174</v>
      </c>
      <c r="S7" s="260" t="s">
        <v>2175</v>
      </c>
      <c r="T7" s="260" t="s">
        <v>2176</v>
      </c>
      <c r="U7" s="187" t="s">
        <v>2177</v>
      </c>
      <c r="V7" s="187"/>
      <c r="W7" s="192" t="s">
        <v>61</v>
      </c>
      <c r="X7" s="193" t="s">
        <v>2171</v>
      </c>
      <c r="Y7" s="193" t="s">
        <v>2172</v>
      </c>
      <c r="Z7" s="193" t="s">
        <v>2173</v>
      </c>
      <c r="AA7" s="193" t="s">
        <v>2174</v>
      </c>
      <c r="AB7" s="193" t="s">
        <v>2175</v>
      </c>
      <c r="AC7" s="194" t="s">
        <v>2176</v>
      </c>
    </row>
    <row r="8" spans="1:29" s="167" customFormat="1" ht="12.5" x14ac:dyDescent="0.25">
      <c r="A8" s="169">
        <v>2</v>
      </c>
      <c r="B8" s="169">
        <v>0.14699999999999999</v>
      </c>
      <c r="C8" s="169">
        <v>0.10100000000000001</v>
      </c>
      <c r="D8" s="169">
        <v>0.05</v>
      </c>
      <c r="E8" s="169">
        <v>0.17699999999999999</v>
      </c>
      <c r="F8" s="169">
        <v>0.1</v>
      </c>
      <c r="G8" s="169">
        <v>0.06</v>
      </c>
      <c r="H8" s="169">
        <v>0.192</v>
      </c>
      <c r="I8" s="169">
        <v>0.109</v>
      </c>
      <c r="J8" s="169">
        <v>6.4000000000000001E-2</v>
      </c>
      <c r="K8" s="260" t="s">
        <v>1181</v>
      </c>
      <c r="L8" s="260">
        <v>0.33</v>
      </c>
      <c r="M8" s="260">
        <f>L9</f>
        <v>0.5</v>
      </c>
      <c r="N8" s="260" t="s">
        <v>633</v>
      </c>
      <c r="O8" s="170">
        <f>H9+$O$19*I9</f>
        <v>0.19875000000000001</v>
      </c>
      <c r="P8" s="170">
        <f>$P$19*I9+J9</f>
        <v>0.15925</v>
      </c>
      <c r="Q8" s="170">
        <f>B9+$Q$19*C9</f>
        <v>0.12975</v>
      </c>
      <c r="R8" s="170">
        <f>$R$19*C9+D9</f>
        <v>8.0250000000000002E-2</v>
      </c>
      <c r="S8" s="170">
        <f>E9+$S$19*F9</f>
        <v>0.21199999999999999</v>
      </c>
      <c r="T8" s="170">
        <f>$T$19*F9+G9</f>
        <v>0.222</v>
      </c>
      <c r="U8" s="170">
        <f t="shared" ref="U8" si="0">SUM(O8:T8)</f>
        <v>1.002</v>
      </c>
      <c r="V8" s="170">
        <f>SUM(B9:J9)</f>
        <v>1.002</v>
      </c>
      <c r="W8" s="195" t="s">
        <v>633</v>
      </c>
      <c r="X8" s="196">
        <f>O8/O$17</f>
        <v>1.1925000000000001</v>
      </c>
      <c r="Y8" s="196">
        <f t="shared" ref="Y8:AC8" si="1">P8/P$17</f>
        <v>0.95550000000000024</v>
      </c>
      <c r="Z8" s="196">
        <f t="shared" si="1"/>
        <v>0.71861538461538477</v>
      </c>
      <c r="AA8" s="196">
        <f t="shared" si="1"/>
        <v>0.52527272727272734</v>
      </c>
      <c r="AB8" s="196">
        <f t="shared" si="1"/>
        <v>1.3876363636363638</v>
      </c>
      <c r="AC8" s="197">
        <f t="shared" si="1"/>
        <v>1.2295384615384617</v>
      </c>
    </row>
    <row r="9" spans="1:29" s="167" customFormat="1" ht="12.5" x14ac:dyDescent="0.25">
      <c r="A9" s="169">
        <v>3</v>
      </c>
      <c r="B9" s="169">
        <v>0.11600000000000001</v>
      </c>
      <c r="C9" s="169">
        <v>5.5E-2</v>
      </c>
      <c r="D9" s="169">
        <v>3.9E-2</v>
      </c>
      <c r="E9" s="169">
        <v>0.21199999999999999</v>
      </c>
      <c r="F9" s="169">
        <v>0.13500000000000001</v>
      </c>
      <c r="G9" s="169">
        <v>8.6999999999999994E-2</v>
      </c>
      <c r="H9" s="169">
        <v>0.186</v>
      </c>
      <c r="I9" s="169">
        <v>0.10199999999999999</v>
      </c>
      <c r="J9" s="169">
        <v>7.0000000000000007E-2</v>
      </c>
      <c r="K9" s="260" t="s">
        <v>633</v>
      </c>
      <c r="L9" s="260">
        <v>0.5</v>
      </c>
      <c r="M9" s="260">
        <f>L10</f>
        <v>0.4</v>
      </c>
      <c r="N9" s="260"/>
      <c r="O9" s="170"/>
      <c r="P9" s="170"/>
      <c r="Q9" s="170"/>
      <c r="R9" s="170"/>
      <c r="S9" s="170"/>
      <c r="T9" s="170"/>
      <c r="U9" s="170"/>
      <c r="V9" s="170"/>
      <c r="W9" s="260"/>
      <c r="X9" s="170"/>
      <c r="Y9" s="170"/>
      <c r="Z9" s="170"/>
      <c r="AA9" s="170"/>
      <c r="AB9" s="170"/>
      <c r="AC9" s="170"/>
    </row>
    <row r="10" spans="1:29" s="167" customFormat="1" ht="12.5" x14ac:dyDescent="0.25">
      <c r="A10" s="169">
        <v>4</v>
      </c>
      <c r="B10" s="169">
        <v>0.158</v>
      </c>
      <c r="C10" s="169">
        <v>0.06</v>
      </c>
      <c r="D10" s="169">
        <v>2.4E-2</v>
      </c>
      <c r="E10" s="169">
        <v>0.20699999999999999</v>
      </c>
      <c r="F10" s="169">
        <v>0.112</v>
      </c>
      <c r="G10" s="169">
        <v>6.6000000000000003E-2</v>
      </c>
      <c r="H10" s="169">
        <v>0.222</v>
      </c>
      <c r="I10" s="169">
        <v>9.9000000000000005E-2</v>
      </c>
      <c r="J10" s="169">
        <v>5.0999999999999997E-2</v>
      </c>
      <c r="K10" s="260" t="s">
        <v>1191</v>
      </c>
      <c r="L10" s="260">
        <v>0.4</v>
      </c>
      <c r="M10" s="260">
        <f>L11</f>
        <v>0.25</v>
      </c>
      <c r="N10" s="260"/>
      <c r="O10" s="170"/>
      <c r="P10" s="170"/>
      <c r="Q10" s="170"/>
      <c r="R10" s="170"/>
      <c r="S10" s="170"/>
      <c r="T10" s="170"/>
      <c r="U10" s="170"/>
      <c r="V10" s="170"/>
      <c r="W10" s="260"/>
      <c r="X10" s="170"/>
      <c r="Y10" s="170"/>
      <c r="Z10" s="170"/>
      <c r="AA10" s="170"/>
      <c r="AB10" s="170"/>
      <c r="AC10" s="170"/>
    </row>
    <row r="11" spans="1:29" s="167" customFormat="1" ht="12.5" x14ac:dyDescent="0.25">
      <c r="A11" s="169">
        <v>5</v>
      </c>
      <c r="B11" s="169">
        <v>0.16300000000000001</v>
      </c>
      <c r="C11" s="169">
        <v>5.7000000000000002E-2</v>
      </c>
      <c r="D11" s="169">
        <v>3.5999999999999997E-2</v>
      </c>
      <c r="E11" s="169">
        <v>0.18</v>
      </c>
      <c r="F11" s="169">
        <v>0.106</v>
      </c>
      <c r="G11" s="169">
        <v>6.6000000000000003E-2</v>
      </c>
      <c r="H11" s="169">
        <v>0.222</v>
      </c>
      <c r="I11" s="169">
        <v>0.108</v>
      </c>
      <c r="J11" s="169">
        <v>6.3E-2</v>
      </c>
      <c r="K11" s="260" t="s">
        <v>1196</v>
      </c>
      <c r="L11" s="260">
        <v>0.25</v>
      </c>
      <c r="M11" s="260">
        <f>L14</f>
        <v>0.25</v>
      </c>
      <c r="N11" s="260"/>
      <c r="O11" s="170"/>
      <c r="P11" s="170"/>
      <c r="Q11" s="170"/>
      <c r="R11" s="170"/>
      <c r="S11" s="170"/>
      <c r="T11" s="170"/>
      <c r="U11" s="170"/>
      <c r="V11" s="170"/>
      <c r="W11" s="260"/>
      <c r="X11" s="170"/>
      <c r="Y11" s="170"/>
      <c r="Z11" s="170"/>
      <c r="AA11" s="170"/>
      <c r="AB11" s="170"/>
      <c r="AC11" s="170"/>
    </row>
    <row r="12" spans="1:29" s="167" customFormat="1" ht="12.5" x14ac:dyDescent="0.25">
      <c r="A12" s="169">
        <v>6</v>
      </c>
      <c r="B12" s="169">
        <v>0.14699999999999999</v>
      </c>
      <c r="C12" s="169">
        <v>4.1000000000000002E-2</v>
      </c>
      <c r="D12" s="169">
        <v>1.7999999999999999E-2</v>
      </c>
      <c r="E12" s="169">
        <v>0.249</v>
      </c>
      <c r="F12" s="169">
        <v>0.14099999999999999</v>
      </c>
      <c r="G12" s="169">
        <v>8.5999999999999993E-2</v>
      </c>
      <c r="H12" s="169">
        <v>0.191</v>
      </c>
      <c r="I12" s="169">
        <v>8.5999999999999993E-2</v>
      </c>
      <c r="J12" s="169">
        <v>0.04</v>
      </c>
      <c r="K12" s="260" t="s">
        <v>633</v>
      </c>
      <c r="L12" s="260">
        <v>0.5</v>
      </c>
      <c r="M12" s="260">
        <f>L15</f>
        <v>0.25</v>
      </c>
      <c r="N12" s="260"/>
      <c r="O12" s="170"/>
      <c r="P12" s="170"/>
      <c r="Q12" s="170"/>
      <c r="R12" s="170"/>
      <c r="S12" s="170"/>
      <c r="T12" s="170"/>
      <c r="U12" s="170"/>
      <c r="V12" s="170"/>
      <c r="W12" s="260"/>
      <c r="X12" s="170"/>
      <c r="Y12" s="170"/>
      <c r="Z12" s="170"/>
      <c r="AA12" s="170"/>
      <c r="AB12" s="170"/>
      <c r="AC12" s="170"/>
    </row>
    <row r="13" spans="1:29" s="167" customFormat="1" ht="12.5" x14ac:dyDescent="0.25">
      <c r="A13" s="169">
        <v>7</v>
      </c>
      <c r="B13" s="169">
        <v>0.159</v>
      </c>
      <c r="C13" s="169">
        <v>5.7000000000000002E-2</v>
      </c>
      <c r="D13" s="169">
        <v>0.03</v>
      </c>
      <c r="E13" s="169">
        <v>0.20200000000000001</v>
      </c>
      <c r="F13" s="169">
        <v>0.115</v>
      </c>
      <c r="G13" s="169">
        <v>7.0999999999999994E-2</v>
      </c>
      <c r="H13" s="169">
        <v>0.21099999999999999</v>
      </c>
      <c r="I13" s="169">
        <v>9.7000000000000003E-2</v>
      </c>
      <c r="J13" s="169">
        <v>5.7000000000000002E-2</v>
      </c>
      <c r="K13" s="260" t="s">
        <v>76</v>
      </c>
      <c r="L13" s="260">
        <v>0.5</v>
      </c>
      <c r="M13" s="260">
        <f>L16</f>
        <v>0.3</v>
      </c>
      <c r="N13" s="260"/>
      <c r="O13" s="170"/>
      <c r="P13" s="170"/>
      <c r="Q13" s="170"/>
      <c r="R13" s="170"/>
      <c r="S13" s="170"/>
      <c r="T13" s="170"/>
      <c r="U13" s="170"/>
      <c r="V13" s="170"/>
      <c r="W13" s="260"/>
      <c r="X13" s="170"/>
      <c r="Y13" s="170"/>
      <c r="Z13" s="170"/>
      <c r="AA13" s="170"/>
      <c r="AB13" s="170"/>
      <c r="AC13" s="170"/>
    </row>
    <row r="14" spans="1:29" s="167" customFormat="1" ht="12.5" x14ac:dyDescent="0.25">
      <c r="A14" s="169">
        <v>8</v>
      </c>
      <c r="B14" s="169">
        <v>0.111</v>
      </c>
      <c r="C14" s="169">
        <v>7.2999999999999995E-2</v>
      </c>
      <c r="D14" s="169">
        <v>4.1000000000000002E-2</v>
      </c>
      <c r="E14" s="169">
        <v>0.20100000000000001</v>
      </c>
      <c r="F14" s="169">
        <v>0.122</v>
      </c>
      <c r="G14" s="169">
        <v>7.6999999999999999E-2</v>
      </c>
      <c r="H14" s="169">
        <v>0.186</v>
      </c>
      <c r="I14" s="169">
        <v>0.11899999999999999</v>
      </c>
      <c r="J14" s="169">
        <v>7.0000000000000007E-2</v>
      </c>
      <c r="K14" s="260" t="s">
        <v>1214</v>
      </c>
      <c r="L14" s="260">
        <v>0.25</v>
      </c>
      <c r="M14" s="260">
        <f>L18</f>
        <v>0.3</v>
      </c>
      <c r="N14" s="260"/>
      <c r="O14" s="170"/>
      <c r="P14" s="170"/>
      <c r="Q14" s="170"/>
      <c r="R14" s="170"/>
      <c r="S14" s="170"/>
      <c r="T14" s="170"/>
      <c r="U14" s="170"/>
      <c r="V14" s="170"/>
      <c r="W14" s="260"/>
      <c r="X14" s="170"/>
      <c r="Y14" s="170"/>
      <c r="Z14" s="170"/>
      <c r="AA14" s="170"/>
      <c r="AB14" s="170"/>
      <c r="AC14" s="170"/>
    </row>
    <row r="15" spans="1:29" s="167" customFormat="1" ht="12.5" x14ac:dyDescent="0.25">
      <c r="A15" s="169">
        <v>9</v>
      </c>
      <c r="B15" s="169">
        <v>0.191</v>
      </c>
      <c r="C15" s="169">
        <v>6.2E-2</v>
      </c>
      <c r="D15" s="169">
        <v>0.03</v>
      </c>
      <c r="E15" s="169">
        <v>0.23100000000000001</v>
      </c>
      <c r="F15" s="169">
        <v>9.5000000000000001E-2</v>
      </c>
      <c r="G15" s="169">
        <v>0.06</v>
      </c>
      <c r="H15" s="169">
        <v>0.215</v>
      </c>
      <c r="I15" s="169">
        <v>7.4999999999999997E-2</v>
      </c>
      <c r="J15" s="169">
        <v>4.1000000000000002E-2</v>
      </c>
      <c r="K15" s="260" t="s">
        <v>2178</v>
      </c>
      <c r="L15" s="260">
        <v>0.25</v>
      </c>
      <c r="M15" s="260">
        <f>L19</f>
        <v>0.35</v>
      </c>
      <c r="N15" s="260"/>
      <c r="O15" s="170"/>
      <c r="P15" s="170"/>
      <c r="Q15" s="170"/>
      <c r="R15" s="170"/>
      <c r="S15" s="170"/>
      <c r="T15" s="170"/>
      <c r="U15" s="170"/>
      <c r="V15" s="170"/>
      <c r="W15" s="260"/>
      <c r="X15" s="170"/>
      <c r="Y15" s="170"/>
      <c r="Z15" s="170"/>
      <c r="AA15" s="170"/>
      <c r="AB15" s="170"/>
      <c r="AC15" s="170"/>
    </row>
    <row r="16" spans="1:29" s="167" customFormat="1" ht="12.5" x14ac:dyDescent="0.25">
      <c r="A16" s="169">
        <v>10</v>
      </c>
      <c r="B16" s="169">
        <v>0.14699999999999999</v>
      </c>
      <c r="C16" s="169">
        <v>0.10100000000000001</v>
      </c>
      <c r="D16" s="169">
        <v>0.05</v>
      </c>
      <c r="E16" s="169">
        <v>0.17699999999999999</v>
      </c>
      <c r="F16" s="169">
        <v>0.1</v>
      </c>
      <c r="G16" s="169">
        <v>0.06</v>
      </c>
      <c r="H16" s="169">
        <v>0.192</v>
      </c>
      <c r="I16" s="169">
        <v>0.109</v>
      </c>
      <c r="J16" s="169">
        <v>6.4000000000000001E-2</v>
      </c>
      <c r="K16" s="260" t="s">
        <v>1181</v>
      </c>
      <c r="L16" s="260">
        <v>0.3</v>
      </c>
      <c r="M16" s="260"/>
      <c r="N16" s="260"/>
      <c r="W16" s="260"/>
    </row>
    <row r="17" spans="1:29" s="167" customFormat="1" ht="12.5" x14ac:dyDescent="0.25">
      <c r="A17" s="169">
        <v>11</v>
      </c>
      <c r="B17" s="169">
        <v>0.14499999999999999</v>
      </c>
      <c r="C17" s="169">
        <v>6.5000000000000002E-2</v>
      </c>
      <c r="D17" s="169">
        <v>3.1E-2</v>
      </c>
      <c r="E17" s="169">
        <v>0.20499999999999999</v>
      </c>
      <c r="F17" s="169">
        <v>0.126</v>
      </c>
      <c r="G17" s="169">
        <v>7.9000000000000001E-2</v>
      </c>
      <c r="H17" s="169">
        <v>0.19600000000000001</v>
      </c>
      <c r="I17" s="169">
        <v>9.7000000000000003E-2</v>
      </c>
      <c r="J17" s="169">
        <v>5.5E-2</v>
      </c>
      <c r="K17" s="260" t="s">
        <v>2179</v>
      </c>
      <c r="L17" s="260">
        <v>0.2</v>
      </c>
      <c r="M17" s="260"/>
      <c r="N17" s="260" t="s">
        <v>2180</v>
      </c>
      <c r="O17" s="170">
        <f>H27+O19*I27</f>
        <v>0.16666666666666666</v>
      </c>
      <c r="P17" s="170">
        <f>P19*I27+J27</f>
        <v>0.16666666666666663</v>
      </c>
      <c r="Q17" s="170">
        <f>B27+Q19*C27</f>
        <v>0.18055555555555552</v>
      </c>
      <c r="R17" s="170">
        <f>R19*C27+D27</f>
        <v>0.15277777777777776</v>
      </c>
      <c r="S17" s="170">
        <f>E27+S19*F27</f>
        <v>0.15277777777777776</v>
      </c>
      <c r="T17" s="170">
        <f>T19*F27+G27</f>
        <v>0.18055555555555552</v>
      </c>
      <c r="U17" s="171">
        <f>SUM(O17:T17)</f>
        <v>1</v>
      </c>
      <c r="W17" s="260"/>
      <c r="X17" s="170"/>
      <c r="Y17" s="170"/>
      <c r="Z17" s="170"/>
      <c r="AA17" s="170"/>
      <c r="AB17" s="170"/>
      <c r="AC17" s="170"/>
    </row>
    <row r="18" spans="1:29" s="167" customFormat="1" ht="12.5" x14ac:dyDescent="0.25">
      <c r="A18" s="169">
        <v>12</v>
      </c>
      <c r="B18" s="169">
        <v>0.159</v>
      </c>
      <c r="C18" s="169">
        <v>7.0000000000000007E-2</v>
      </c>
      <c r="D18" s="169">
        <v>3.9E-2</v>
      </c>
      <c r="E18" s="169">
        <v>0.20399999999999999</v>
      </c>
      <c r="F18" s="169">
        <v>0.10199999999999999</v>
      </c>
      <c r="G18" s="169">
        <v>6.8000000000000005E-2</v>
      </c>
      <c r="H18" s="169">
        <v>0.20300000000000001</v>
      </c>
      <c r="I18" s="169">
        <v>9.4E-2</v>
      </c>
      <c r="J18" s="169">
        <v>6.0999999999999999E-2</v>
      </c>
      <c r="K18" s="260" t="s">
        <v>1157</v>
      </c>
      <c r="L18" s="260">
        <v>0.3</v>
      </c>
      <c r="M18" s="260"/>
      <c r="N18" s="260" t="s">
        <v>2181</v>
      </c>
      <c r="O18" s="170">
        <f>(4/12)*(12/24)</f>
        <v>0.16666666666666666</v>
      </c>
      <c r="P18" s="170">
        <f>(4/12)*(12/24)</f>
        <v>0.16666666666666666</v>
      </c>
      <c r="Q18" s="170">
        <f>(4/12)*(13/24)</f>
        <v>0.18055555555555552</v>
      </c>
      <c r="R18" s="170">
        <f>(4/12)*(11/24)</f>
        <v>0.15277777777777776</v>
      </c>
      <c r="S18" s="170">
        <f>(4/12)*(11/24)</f>
        <v>0.15277777777777776</v>
      </c>
      <c r="T18" s="170">
        <f>(4/12)*(13/24)</f>
        <v>0.18055555555555552</v>
      </c>
      <c r="U18" s="171">
        <f>SUM(O18:T18)</f>
        <v>1</v>
      </c>
      <c r="W18" s="260"/>
      <c r="X18" s="170"/>
      <c r="Y18" s="170"/>
      <c r="Z18" s="170"/>
      <c r="AA18" s="170"/>
      <c r="AB18" s="170"/>
      <c r="AC18" s="170"/>
    </row>
    <row r="19" spans="1:29" s="167" customFormat="1" ht="12.5" x14ac:dyDescent="0.25">
      <c r="A19" s="169">
        <v>13</v>
      </c>
      <c r="B19" s="169">
        <v>0.17299999999999999</v>
      </c>
      <c r="C19" s="169">
        <v>0.20300000000000001</v>
      </c>
      <c r="D19" s="169">
        <v>0.109</v>
      </c>
      <c r="E19" s="169">
        <v>9.7000000000000003E-2</v>
      </c>
      <c r="F19" s="169">
        <v>7.8E-2</v>
      </c>
      <c r="G19" s="169">
        <v>4.2000000000000003E-2</v>
      </c>
      <c r="H19" s="169">
        <v>0.114</v>
      </c>
      <c r="I19" s="169">
        <v>0.11799999999999999</v>
      </c>
      <c r="J19" s="169">
        <v>6.6000000000000003E-2</v>
      </c>
      <c r="K19" s="260" t="s">
        <v>2182</v>
      </c>
      <c r="L19" s="260">
        <v>0.35</v>
      </c>
      <c r="M19" s="260"/>
      <c r="N19" s="172" t="s">
        <v>2183</v>
      </c>
      <c r="O19" s="260">
        <v>0.125</v>
      </c>
      <c r="P19" s="260">
        <f>1-O19</f>
        <v>0.875</v>
      </c>
      <c r="Q19" s="260">
        <v>0.25</v>
      </c>
      <c r="R19" s="260">
        <f>1-Q19</f>
        <v>0.75</v>
      </c>
      <c r="S19" s="260">
        <v>0</v>
      </c>
      <c r="T19" s="260">
        <f>1-S19</f>
        <v>1</v>
      </c>
      <c r="U19" s="171"/>
      <c r="W19" s="172"/>
      <c r="X19" s="260"/>
      <c r="Y19" s="260"/>
      <c r="Z19" s="260"/>
      <c r="AA19" s="260"/>
      <c r="AB19" s="260"/>
      <c r="AC19" s="260"/>
    </row>
    <row r="20" spans="1:29" s="167" customFormat="1" ht="12.5" x14ac:dyDescent="0.25">
      <c r="A20" s="169">
        <v>14</v>
      </c>
      <c r="B20" s="169">
        <v>0.12</v>
      </c>
      <c r="C20" s="169">
        <v>6.3E-2</v>
      </c>
      <c r="D20" s="169">
        <v>8.2000000000000003E-2</v>
      </c>
      <c r="E20" s="169">
        <v>0.16700000000000001</v>
      </c>
      <c r="F20" s="169">
        <v>0.115</v>
      </c>
      <c r="G20" s="169">
        <v>0.113</v>
      </c>
      <c r="H20" s="169">
        <v>0.15</v>
      </c>
      <c r="I20" s="169">
        <v>9.0999999999999998E-2</v>
      </c>
      <c r="J20" s="169">
        <v>9.8000000000000004E-2</v>
      </c>
      <c r="K20" s="260" t="s">
        <v>2182</v>
      </c>
      <c r="L20" s="260">
        <v>0.25</v>
      </c>
      <c r="M20" s="260"/>
      <c r="N20" s="260"/>
      <c r="O20" s="260"/>
      <c r="P20" s="260"/>
      <c r="Q20" s="260"/>
      <c r="R20" s="260"/>
      <c r="S20" s="260"/>
      <c r="T20" s="260"/>
      <c r="U20" s="260"/>
      <c r="V20" s="260"/>
      <c r="W20" s="172"/>
    </row>
    <row r="21" spans="1:29" s="167" customFormat="1" ht="12.5" x14ac:dyDescent="0.25">
      <c r="A21" s="169">
        <v>15</v>
      </c>
      <c r="B21" s="169">
        <v>0.251</v>
      </c>
      <c r="C21" s="169">
        <v>0.11799999999999999</v>
      </c>
      <c r="D21" s="169">
        <v>4.2000000000000003E-2</v>
      </c>
      <c r="E21" s="169">
        <v>0.14799999999999999</v>
      </c>
      <c r="F21" s="169">
        <v>7.0999999999999994E-2</v>
      </c>
      <c r="G21" s="169">
        <v>3.5000000000000003E-2</v>
      </c>
      <c r="H21" s="169">
        <v>0.19900000000000001</v>
      </c>
      <c r="I21" s="169">
        <v>9.5000000000000001E-2</v>
      </c>
      <c r="J21" s="169">
        <v>4.2000000000000003E-2</v>
      </c>
      <c r="K21" s="260" t="s">
        <v>2182</v>
      </c>
      <c r="L21" s="260">
        <v>0.25</v>
      </c>
      <c r="M21" s="260"/>
      <c r="N21" s="260"/>
      <c r="O21" s="260"/>
      <c r="P21" s="260"/>
      <c r="Q21" s="260"/>
      <c r="R21" s="260"/>
      <c r="S21" s="260"/>
      <c r="T21" s="260"/>
      <c r="U21" s="260"/>
      <c r="V21" s="260"/>
    </row>
    <row r="22" spans="1:29" s="167" customFormat="1" ht="12.5" x14ac:dyDescent="0.25"/>
    <row r="23" spans="1:29" s="167" customFormat="1" ht="12.5" x14ac:dyDescent="0.25">
      <c r="A23" s="167" t="s">
        <v>2184</v>
      </c>
    </row>
    <row r="24" spans="1:29" s="167" customFormat="1" ht="12.5" x14ac:dyDescent="0.25">
      <c r="B24" s="167">
        <v>0.153</v>
      </c>
      <c r="C24" s="167">
        <v>0.112</v>
      </c>
      <c r="D24" s="167">
        <v>7.0000000000000007E-2</v>
      </c>
      <c r="E24" s="167">
        <v>0.152</v>
      </c>
      <c r="F24" s="167">
        <v>0.111</v>
      </c>
      <c r="G24" s="167">
        <v>6.9000000000000006E-2</v>
      </c>
      <c r="H24" s="167">
        <v>0.154</v>
      </c>
      <c r="I24" s="167">
        <v>0.112</v>
      </c>
      <c r="J24" s="167">
        <v>7.0000000000000007E-2</v>
      </c>
    </row>
    <row r="25" spans="1:29" s="167" customFormat="1" ht="12.5" x14ac:dyDescent="0.25">
      <c r="B25" s="280" t="s">
        <v>2185</v>
      </c>
      <c r="C25" s="280"/>
      <c r="D25" s="280"/>
      <c r="E25" s="280" t="s">
        <v>2186</v>
      </c>
      <c r="F25" s="280"/>
      <c r="G25" s="280"/>
      <c r="H25" s="280" t="s">
        <v>2187</v>
      </c>
      <c r="I25" s="280"/>
      <c r="J25" s="280"/>
      <c r="M25" s="170"/>
      <c r="N25" s="170"/>
      <c r="O25" s="170"/>
      <c r="P25" s="170"/>
      <c r="Q25" s="170"/>
      <c r="R25" s="170"/>
      <c r="S25" s="170"/>
      <c r="T25" s="170"/>
      <c r="U25" s="170"/>
      <c r="V25" s="170"/>
      <c r="W25" s="170"/>
      <c r="X25" s="170"/>
      <c r="Y25" s="170"/>
      <c r="Z25" s="170"/>
      <c r="AA25" s="170"/>
      <c r="AB25" s="170"/>
      <c r="AC25" s="170"/>
    </row>
    <row r="26" spans="1:29" s="167" customFormat="1" ht="12.5" x14ac:dyDescent="0.25">
      <c r="B26" s="173" t="s">
        <v>2188</v>
      </c>
      <c r="C26" s="260" t="s">
        <v>2189</v>
      </c>
      <c r="D26" s="260" t="s">
        <v>2190</v>
      </c>
      <c r="E26" s="173" t="s">
        <v>2188</v>
      </c>
      <c r="F26" s="260" t="s">
        <v>2189</v>
      </c>
      <c r="G26" s="260" t="s">
        <v>2190</v>
      </c>
      <c r="H26" s="173" t="s">
        <v>2188</v>
      </c>
      <c r="I26" s="260" t="s">
        <v>2189</v>
      </c>
      <c r="J26" s="260" t="s">
        <v>2190</v>
      </c>
      <c r="M26" s="170"/>
      <c r="N26" s="170"/>
      <c r="O26" s="170"/>
      <c r="P26" s="170"/>
      <c r="Q26" s="170"/>
      <c r="R26" s="170"/>
      <c r="S26" s="170"/>
      <c r="T26" s="170"/>
      <c r="U26" s="170"/>
      <c r="V26" s="170"/>
      <c r="W26" s="170"/>
      <c r="X26" s="170"/>
      <c r="Y26" s="170"/>
      <c r="Z26" s="170"/>
      <c r="AA26" s="170"/>
      <c r="AB26" s="170"/>
      <c r="AC26" s="170"/>
    </row>
    <row r="27" spans="1:29" s="167" customFormat="1" ht="12.5" x14ac:dyDescent="0.25">
      <c r="B27" s="170">
        <f>4/12*11/24</f>
        <v>0.15277777777777776</v>
      </c>
      <c r="C27" s="170">
        <f>4/12*8/24</f>
        <v>0.1111111111111111</v>
      </c>
      <c r="D27" s="170">
        <f>4/12*5/24</f>
        <v>6.9444444444444434E-2</v>
      </c>
      <c r="E27" s="170">
        <f>4/12*11/24</f>
        <v>0.15277777777777776</v>
      </c>
      <c r="F27" s="170">
        <f>4/12*8/24</f>
        <v>0.1111111111111111</v>
      </c>
      <c r="G27" s="170">
        <f>4/12*5/24</f>
        <v>6.9444444444444434E-2</v>
      </c>
      <c r="H27" s="170">
        <f>4/12*11/24</f>
        <v>0.15277777777777776</v>
      </c>
      <c r="I27" s="170">
        <f>4/12*8/24</f>
        <v>0.1111111111111111</v>
      </c>
      <c r="J27" s="170">
        <f>4/12*5/24</f>
        <v>6.9444444444444434E-2</v>
      </c>
      <c r="M27" s="170"/>
      <c r="N27" s="170"/>
      <c r="O27" s="170"/>
      <c r="P27" s="170"/>
      <c r="Q27" s="170"/>
      <c r="R27" s="170"/>
      <c r="S27" s="170"/>
      <c r="T27" s="170"/>
      <c r="U27" s="170"/>
      <c r="V27" s="170"/>
      <c r="W27" s="170"/>
      <c r="X27" s="170"/>
      <c r="Y27" s="170"/>
      <c r="Z27" s="170"/>
      <c r="AA27" s="170"/>
      <c r="AB27" s="170"/>
      <c r="AC27" s="170"/>
    </row>
    <row r="28" spans="1:29" s="167" customFormat="1" ht="12.5" x14ac:dyDescent="0.25">
      <c r="M28" s="170"/>
      <c r="N28" s="170"/>
      <c r="O28" s="170"/>
      <c r="P28" s="170"/>
      <c r="Q28" s="170"/>
      <c r="R28" s="170"/>
      <c r="S28" s="170"/>
      <c r="T28" s="170"/>
      <c r="U28" s="170"/>
      <c r="V28" s="170"/>
      <c r="W28" s="170"/>
      <c r="X28" s="170"/>
      <c r="Y28" s="170"/>
      <c r="Z28" s="170"/>
      <c r="AA28" s="170"/>
      <c r="AB28" s="170"/>
      <c r="AC28" s="170"/>
    </row>
  </sheetData>
  <mergeCells count="7">
    <mergeCell ref="B5:J5"/>
    <mergeCell ref="O6:T6"/>
    <mergeCell ref="X6:AC6"/>
    <mergeCell ref="L6:M6"/>
    <mergeCell ref="B25:D25"/>
    <mergeCell ref="E25:G25"/>
    <mergeCell ref="H25:J25"/>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9522-2E99-4D86-853A-C2A5332C5130}">
  <dimension ref="A1:U54"/>
  <sheetViews>
    <sheetView workbookViewId="0">
      <selection sqref="A1:C1"/>
    </sheetView>
  </sheetViews>
  <sheetFormatPr defaultColWidth="9.453125" defaultRowHeight="12.5" x14ac:dyDescent="0.25"/>
  <cols>
    <col min="1" max="1" width="17.7265625" style="64" customWidth="1"/>
    <col min="2" max="2" width="9.453125" style="64" customWidth="1"/>
    <col min="3" max="3" width="12.7265625" style="64" customWidth="1"/>
    <col min="4" max="4" width="5.7265625" style="64" customWidth="1"/>
    <col min="5" max="5" width="21.26953125" style="64" customWidth="1"/>
    <col min="6" max="7" width="11.7265625" style="64" customWidth="1"/>
    <col min="8" max="8" width="22.1796875" style="64" customWidth="1"/>
    <col min="9" max="9" width="5.7265625" style="64" customWidth="1"/>
    <col min="10" max="10" width="11" style="64" bestFit="1" customWidth="1"/>
    <col min="11" max="11" width="10" style="64" bestFit="1" customWidth="1"/>
    <col min="12" max="12" width="10" style="64" customWidth="1"/>
    <col min="13" max="13" width="11.54296875" style="64" bestFit="1" customWidth="1"/>
    <col min="14" max="16384" width="9.453125" style="64"/>
  </cols>
  <sheetData>
    <row r="1" spans="1:21" ht="13" x14ac:dyDescent="0.3">
      <c r="A1" s="281" t="s">
        <v>2191</v>
      </c>
      <c r="B1" s="281"/>
      <c r="C1" s="281"/>
      <c r="E1" s="282" t="s">
        <v>2192</v>
      </c>
      <c r="F1" s="282"/>
      <c r="G1" s="282"/>
      <c r="H1" s="283"/>
      <c r="I1" s="65"/>
      <c r="J1" s="284" t="s">
        <v>2193</v>
      </c>
      <c r="K1" s="284"/>
      <c r="L1" s="284"/>
      <c r="M1" s="284"/>
      <c r="N1" s="66"/>
      <c r="O1" s="66"/>
      <c r="P1" s="67"/>
      <c r="Q1" s="67"/>
      <c r="R1" s="67"/>
      <c r="S1" s="68"/>
    </row>
    <row r="2" spans="1:21" s="68" customFormat="1" ht="13" x14ac:dyDescent="0.3">
      <c r="A2" s="68" t="s">
        <v>2194</v>
      </c>
      <c r="B2" s="64" t="s">
        <v>2195</v>
      </c>
      <c r="C2" s="68">
        <v>6</v>
      </c>
      <c r="E2" s="69" t="s">
        <v>2196</v>
      </c>
      <c r="F2" s="69" t="s">
        <v>2197</v>
      </c>
      <c r="G2" s="69" t="s">
        <v>2198</v>
      </c>
      <c r="H2" s="69" t="s">
        <v>2199</v>
      </c>
      <c r="I2" s="66"/>
      <c r="J2" s="70" t="s">
        <v>2200</v>
      </c>
      <c r="K2" s="70" t="s">
        <v>2201</v>
      </c>
      <c r="L2" s="70"/>
      <c r="M2" s="70" t="s">
        <v>2202</v>
      </c>
      <c r="N2" s="66"/>
      <c r="O2" s="66"/>
      <c r="P2" s="67"/>
      <c r="Q2" s="67"/>
      <c r="R2" s="67"/>
      <c r="T2" s="64"/>
      <c r="U2" s="64"/>
    </row>
    <row r="3" spans="1:21" s="68" customFormat="1" x14ac:dyDescent="0.25">
      <c r="A3" s="68" t="s">
        <v>2203</v>
      </c>
      <c r="B3" s="64" t="s">
        <v>2204</v>
      </c>
      <c r="C3" s="68">
        <v>9</v>
      </c>
      <c r="E3" s="149">
        <v>1983</v>
      </c>
      <c r="F3" s="148">
        <v>47.552</v>
      </c>
      <c r="G3" s="68" t="str">
        <f>$G$2&amp;"_"&amp;E3</f>
        <v>deflate_1983</v>
      </c>
      <c r="H3" s="71">
        <f t="shared" ref="H3:H33" si="0">$F$25/F3</f>
        <v>1.7150908479138627</v>
      </c>
      <c r="I3" s="71"/>
      <c r="J3" s="65" t="s">
        <v>2205</v>
      </c>
      <c r="K3" s="65" t="s">
        <v>738</v>
      </c>
      <c r="L3" s="65" t="str">
        <f>J3&amp;"_to_"&amp;K3</f>
        <v>Btu_to_J</v>
      </c>
      <c r="M3" s="65">
        <v>1055</v>
      </c>
      <c r="N3" s="66"/>
      <c r="O3" s="66"/>
      <c r="P3" s="67"/>
      <c r="Q3" s="67"/>
      <c r="R3" s="67"/>
      <c r="T3" s="64"/>
      <c r="U3" s="64"/>
    </row>
    <row r="4" spans="1:21" s="68" customFormat="1" x14ac:dyDescent="0.25">
      <c r="A4" s="68" t="s">
        <v>2206</v>
      </c>
      <c r="B4" s="64" t="s">
        <v>2207</v>
      </c>
      <c r="C4" s="68">
        <v>8</v>
      </c>
      <c r="E4" s="149">
        <v>1984</v>
      </c>
      <c r="F4" s="148">
        <v>49.267000000000003</v>
      </c>
      <c r="G4" s="68" t="str">
        <f t="shared" ref="G4:G33" si="1">$G$2&amp;"_"&amp;E4</f>
        <v>deflate_1984</v>
      </c>
      <c r="H4" s="71">
        <f t="shared" si="0"/>
        <v>1.6553879879026527</v>
      </c>
      <c r="I4" s="71"/>
      <c r="J4" s="65" t="s">
        <v>2208</v>
      </c>
      <c r="K4" s="65" t="s">
        <v>2209</v>
      </c>
      <c r="L4" s="65" t="str">
        <f t="shared" ref="L4:L10" si="2">J4&amp;"_to_"&amp;K4</f>
        <v>kWh_to_MJ</v>
      </c>
      <c r="M4" s="65">
        <v>3.6</v>
      </c>
      <c r="N4" s="66"/>
      <c r="O4" s="66"/>
      <c r="P4" s="67"/>
      <c r="Q4" s="67"/>
      <c r="R4" s="67"/>
      <c r="T4" s="64"/>
      <c r="U4" s="64"/>
    </row>
    <row r="5" spans="1:21" s="68" customFormat="1" x14ac:dyDescent="0.25">
      <c r="A5" s="68" t="s">
        <v>2210</v>
      </c>
      <c r="B5" s="64" t="s">
        <v>2211</v>
      </c>
      <c r="C5" s="68">
        <v>7</v>
      </c>
      <c r="E5" s="149">
        <v>1985</v>
      </c>
      <c r="F5" s="148">
        <v>50.826000000000001</v>
      </c>
      <c r="G5" s="68" t="str">
        <f t="shared" si="1"/>
        <v>deflate_1985</v>
      </c>
      <c r="H5" s="71">
        <f t="shared" si="0"/>
        <v>1.60461181285169</v>
      </c>
      <c r="I5" s="71"/>
      <c r="J5" s="65" t="s">
        <v>2212</v>
      </c>
      <c r="K5" s="65" t="s">
        <v>74</v>
      </c>
      <c r="L5" s="65" t="str">
        <f t="shared" si="2"/>
        <v>MWh_to_PJ</v>
      </c>
      <c r="M5" s="65">
        <v>3.599999E-6</v>
      </c>
      <c r="N5" s="66"/>
      <c r="O5" s="66"/>
      <c r="P5" s="67"/>
      <c r="Q5" s="67"/>
      <c r="R5" s="67"/>
      <c r="T5" s="64"/>
      <c r="U5" s="64"/>
    </row>
    <row r="6" spans="1:21" s="68" customFormat="1" x14ac:dyDescent="0.25">
      <c r="A6" s="68" t="s">
        <v>2213</v>
      </c>
      <c r="B6" s="64" t="s">
        <v>2214</v>
      </c>
      <c r="C6" s="68">
        <v>9</v>
      </c>
      <c r="E6" s="149">
        <v>1986</v>
      </c>
      <c r="F6" s="148">
        <v>51.848999999999997</v>
      </c>
      <c r="G6" s="68" t="str">
        <f t="shared" si="1"/>
        <v>deflate_1986</v>
      </c>
      <c r="H6" s="71">
        <f t="shared" si="0"/>
        <v>1.5729522266581806</v>
      </c>
      <c r="I6" s="71"/>
      <c r="J6" s="65" t="s">
        <v>74</v>
      </c>
      <c r="K6" s="65" t="s">
        <v>738</v>
      </c>
      <c r="L6" s="65" t="str">
        <f t="shared" si="2"/>
        <v>PJ_to_J</v>
      </c>
      <c r="M6" s="257">
        <v>1000000000000000</v>
      </c>
      <c r="N6" s="66"/>
      <c r="O6" s="66"/>
      <c r="P6" s="67"/>
      <c r="Q6" s="67"/>
      <c r="R6" s="67"/>
      <c r="T6" s="64"/>
      <c r="U6" s="64"/>
    </row>
    <row r="7" spans="1:21" s="68" customFormat="1" x14ac:dyDescent="0.25">
      <c r="A7" s="68" t="s">
        <v>2215</v>
      </c>
      <c r="B7" s="64" t="s">
        <v>424</v>
      </c>
      <c r="C7" s="68">
        <v>8</v>
      </c>
      <c r="E7" s="149">
        <v>1987</v>
      </c>
      <c r="F7" s="148">
        <v>53.134</v>
      </c>
      <c r="G7" s="68" t="str">
        <f t="shared" si="1"/>
        <v>deflate_1987</v>
      </c>
      <c r="H7" s="71">
        <f t="shared" si="0"/>
        <v>1.5349117326005948</v>
      </c>
      <c r="I7" s="71"/>
      <c r="J7" s="65" t="s">
        <v>2216</v>
      </c>
      <c r="K7" s="65" t="s">
        <v>738</v>
      </c>
      <c r="L7" s="65" t="str">
        <f t="shared" si="2"/>
        <v>MMBtu_to_J</v>
      </c>
      <c r="M7" s="257">
        <v>1055650000</v>
      </c>
      <c r="O7" s="71"/>
      <c r="P7" s="67"/>
      <c r="Q7" s="67"/>
      <c r="R7" s="67"/>
      <c r="T7" s="64"/>
      <c r="U7" s="64"/>
    </row>
    <row r="8" spans="1:21" s="68" customFormat="1" x14ac:dyDescent="0.25">
      <c r="A8" s="68" t="s">
        <v>2217</v>
      </c>
      <c r="B8" s="64" t="s">
        <v>2218</v>
      </c>
      <c r="C8" s="68">
        <v>1</v>
      </c>
      <c r="E8" s="149">
        <v>1988</v>
      </c>
      <c r="F8" s="148">
        <v>55.008000000000003</v>
      </c>
      <c r="G8" s="68" t="str">
        <f t="shared" si="1"/>
        <v>deflate_1988</v>
      </c>
      <c r="H8" s="71">
        <f t="shared" si="0"/>
        <v>1.4826207097149504</v>
      </c>
      <c r="I8" s="71"/>
      <c r="J8" s="65" t="s">
        <v>2219</v>
      </c>
      <c r="K8" s="65" t="s">
        <v>2220</v>
      </c>
      <c r="L8" s="65" t="str">
        <f t="shared" si="2"/>
        <v>yr_to_hr</v>
      </c>
      <c r="M8" s="65">
        <v>8766</v>
      </c>
      <c r="O8" s="71"/>
      <c r="P8" s="67"/>
      <c r="Q8" s="67"/>
      <c r="T8" s="64"/>
      <c r="U8" s="64"/>
    </row>
    <row r="9" spans="1:21" s="68" customFormat="1" x14ac:dyDescent="0.25">
      <c r="A9" s="68" t="s">
        <v>2221</v>
      </c>
      <c r="B9" s="64" t="s">
        <v>2222</v>
      </c>
      <c r="C9" s="68">
        <v>5</v>
      </c>
      <c r="E9" s="149">
        <v>1989</v>
      </c>
      <c r="F9" s="148">
        <v>57.164999999999999</v>
      </c>
      <c r="G9" s="68" t="str">
        <f t="shared" si="1"/>
        <v>deflate_1989</v>
      </c>
      <c r="H9" s="71">
        <f t="shared" si="0"/>
        <v>1.4266771625994927</v>
      </c>
      <c r="I9" s="71"/>
      <c r="J9" s="65" t="s">
        <v>447</v>
      </c>
      <c r="K9" s="65" t="s">
        <v>2223</v>
      </c>
      <c r="L9" s="65" t="str">
        <f t="shared" si="2"/>
        <v>GW_to_Pja</v>
      </c>
      <c r="M9" s="65">
        <v>31.536000000000001</v>
      </c>
      <c r="O9" s="71"/>
      <c r="P9" s="67"/>
      <c r="Q9" s="67"/>
      <c r="T9" s="64"/>
      <c r="U9" s="64"/>
    </row>
    <row r="10" spans="1:21" s="68" customFormat="1" x14ac:dyDescent="0.25">
      <c r="A10" s="64" t="s">
        <v>2224</v>
      </c>
      <c r="B10" s="64" t="s">
        <v>2225</v>
      </c>
      <c r="C10" s="64">
        <v>5</v>
      </c>
      <c r="E10" s="149">
        <v>1990</v>
      </c>
      <c r="F10" s="148">
        <v>59.305</v>
      </c>
      <c r="G10" s="68" t="str">
        <f t="shared" si="1"/>
        <v>deflate_1990</v>
      </c>
      <c r="H10" s="71">
        <f t="shared" si="0"/>
        <v>1.3751960205716212</v>
      </c>
      <c r="I10" s="71"/>
      <c r="J10" s="65" t="s">
        <v>2226</v>
      </c>
      <c r="K10" s="65" t="s">
        <v>2227</v>
      </c>
      <c r="L10" s="65" t="str">
        <f t="shared" si="2"/>
        <v>$mills/kWh_to_$Million/PJ</v>
      </c>
      <c r="M10" s="72">
        <f>1/M4</f>
        <v>0.27777777777777779</v>
      </c>
      <c r="O10" s="71"/>
      <c r="P10" s="67"/>
      <c r="Q10" s="67"/>
      <c r="T10" s="64"/>
      <c r="U10" s="64"/>
    </row>
    <row r="11" spans="1:21" s="68" customFormat="1" x14ac:dyDescent="0.25">
      <c r="A11" s="68" t="s">
        <v>2228</v>
      </c>
      <c r="B11" s="64" t="s">
        <v>2229</v>
      </c>
      <c r="C11" s="68">
        <v>5</v>
      </c>
      <c r="E11" s="149">
        <v>1991</v>
      </c>
      <c r="F11" s="148">
        <v>61.31</v>
      </c>
      <c r="G11" s="68" t="str">
        <f t="shared" si="1"/>
        <v>deflate_1991</v>
      </c>
      <c r="H11" s="71">
        <f t="shared" si="0"/>
        <v>1.3302234545751099</v>
      </c>
      <c r="I11" s="71"/>
      <c r="J11" s="68" t="s">
        <v>2208</v>
      </c>
      <c r="K11" s="68" t="s">
        <v>2230</v>
      </c>
      <c r="L11" s="68" t="str">
        <f>J11&amp;"_to_"&amp;K11</f>
        <v>kWh_to_btu/hr</v>
      </c>
      <c r="M11" s="68">
        <v>3412</v>
      </c>
      <c r="O11" s="71"/>
      <c r="P11" s="67"/>
      <c r="Q11" s="67"/>
      <c r="T11" s="64"/>
      <c r="U11" s="64"/>
    </row>
    <row r="12" spans="1:21" s="68" customFormat="1" x14ac:dyDescent="0.25">
      <c r="A12" s="68" t="s">
        <v>2231</v>
      </c>
      <c r="B12" s="64" t="s">
        <v>2232</v>
      </c>
      <c r="C12" s="68">
        <v>5</v>
      </c>
      <c r="E12" s="149">
        <v>1992</v>
      </c>
      <c r="F12" s="148">
        <v>62.707000000000001</v>
      </c>
      <c r="G12" s="68" t="str">
        <f t="shared" si="1"/>
        <v>deflate_1992</v>
      </c>
      <c r="H12" s="71">
        <f t="shared" si="0"/>
        <v>1.300588451050122</v>
      </c>
      <c r="I12" s="71"/>
      <c r="O12" s="71"/>
      <c r="P12" s="67"/>
      <c r="Q12" s="67"/>
      <c r="T12" s="64"/>
      <c r="U12" s="64"/>
    </row>
    <row r="13" spans="1:21" s="68" customFormat="1" x14ac:dyDescent="0.25">
      <c r="A13" s="68" t="s">
        <v>2233</v>
      </c>
      <c r="B13" s="64" t="s">
        <v>2234</v>
      </c>
      <c r="C13" s="68">
        <v>9</v>
      </c>
      <c r="E13" s="149">
        <v>1993</v>
      </c>
      <c r="F13" s="148">
        <v>64.194000000000003</v>
      </c>
      <c r="G13" s="68" t="str">
        <f t="shared" si="1"/>
        <v>deflate_1993</v>
      </c>
      <c r="H13" s="71">
        <f t="shared" si="0"/>
        <v>1.2704614138392996</v>
      </c>
      <c r="I13" s="71"/>
      <c r="O13" s="71"/>
      <c r="P13" s="67"/>
      <c r="Q13" s="67"/>
      <c r="T13" s="64"/>
      <c r="U13" s="64"/>
    </row>
    <row r="14" spans="1:21" s="68" customFormat="1" x14ac:dyDescent="0.25">
      <c r="A14" s="68" t="s">
        <v>2235</v>
      </c>
      <c r="B14" s="64" t="s">
        <v>2236</v>
      </c>
      <c r="C14" s="68">
        <v>8</v>
      </c>
      <c r="E14" s="149">
        <v>1994</v>
      </c>
      <c r="F14" s="148">
        <v>65.563999999999993</v>
      </c>
      <c r="G14" s="68" t="str">
        <f t="shared" si="1"/>
        <v>deflate_1994</v>
      </c>
      <c r="H14" s="71">
        <f t="shared" si="0"/>
        <v>1.2439143432371425</v>
      </c>
      <c r="I14" s="71"/>
      <c r="O14" s="71"/>
      <c r="P14" s="73"/>
      <c r="Q14" s="73"/>
      <c r="R14" s="67"/>
      <c r="T14" s="64"/>
      <c r="U14" s="64"/>
    </row>
    <row r="15" spans="1:21" s="68" customFormat="1" x14ac:dyDescent="0.25">
      <c r="A15" s="68" t="s">
        <v>2237</v>
      </c>
      <c r="B15" s="64" t="s">
        <v>2238</v>
      </c>
      <c r="C15" s="68">
        <v>3</v>
      </c>
      <c r="E15" s="149">
        <v>1995</v>
      </c>
      <c r="F15" s="148">
        <v>66.938999999999993</v>
      </c>
      <c r="G15" s="68" t="str">
        <f t="shared" si="1"/>
        <v>deflate_1995</v>
      </c>
      <c r="H15" s="71">
        <f t="shared" si="0"/>
        <v>1.2183629871972992</v>
      </c>
      <c r="I15" s="71"/>
      <c r="O15" s="71"/>
      <c r="P15" s="73"/>
      <c r="Q15" s="73"/>
      <c r="R15" s="67"/>
      <c r="T15" s="64"/>
      <c r="U15" s="64"/>
    </row>
    <row r="16" spans="1:21" s="68" customFormat="1" x14ac:dyDescent="0.25">
      <c r="A16" s="68" t="s">
        <v>2239</v>
      </c>
      <c r="B16" s="64" t="s">
        <v>2240</v>
      </c>
      <c r="C16" s="68">
        <v>3</v>
      </c>
      <c r="E16" s="149">
        <v>1996</v>
      </c>
      <c r="F16" s="148">
        <v>68.164000000000001</v>
      </c>
      <c r="G16" s="68" t="str">
        <f t="shared" si="1"/>
        <v>deflate_1996</v>
      </c>
      <c r="H16" s="71">
        <f t="shared" si="0"/>
        <v>1.1964673434657589</v>
      </c>
      <c r="I16" s="71"/>
      <c r="O16" s="71"/>
      <c r="P16" s="73"/>
      <c r="Q16" s="73"/>
      <c r="R16" s="67"/>
      <c r="T16" s="64"/>
      <c r="U16" s="64"/>
    </row>
    <row r="17" spans="1:21" s="68" customFormat="1" x14ac:dyDescent="0.25">
      <c r="A17" s="68" t="s">
        <v>2241</v>
      </c>
      <c r="B17" s="64" t="s">
        <v>2242</v>
      </c>
      <c r="C17" s="68">
        <v>4</v>
      </c>
      <c r="E17" s="149">
        <v>1997</v>
      </c>
      <c r="F17" s="148">
        <v>69.34</v>
      </c>
      <c r="G17" s="68" t="str">
        <f t="shared" si="1"/>
        <v>deflate_1997</v>
      </c>
      <c r="H17" s="71">
        <f t="shared" si="0"/>
        <v>1.1761753677531006</v>
      </c>
      <c r="I17" s="71"/>
      <c r="O17" s="71"/>
      <c r="P17" s="73"/>
      <c r="Q17" s="73"/>
      <c r="R17" s="67"/>
      <c r="T17" s="64"/>
      <c r="U17" s="64"/>
    </row>
    <row r="18" spans="1:21" s="68" customFormat="1" x14ac:dyDescent="0.25">
      <c r="A18" s="68" t="s">
        <v>2243</v>
      </c>
      <c r="B18" s="64" t="s">
        <v>2244</v>
      </c>
      <c r="C18" s="68">
        <v>4</v>
      </c>
      <c r="E18" s="149">
        <v>1998</v>
      </c>
      <c r="F18" s="148">
        <v>70.119</v>
      </c>
      <c r="G18" s="68" t="str">
        <f t="shared" si="1"/>
        <v>deflate_1998</v>
      </c>
      <c r="H18" s="71">
        <f t="shared" si="0"/>
        <v>1.1631084299547911</v>
      </c>
      <c r="I18" s="71"/>
      <c r="O18" s="71"/>
      <c r="P18" s="73"/>
      <c r="Q18" s="73"/>
      <c r="R18" s="67"/>
      <c r="T18" s="64"/>
      <c r="U18" s="64"/>
    </row>
    <row r="19" spans="1:21" s="68" customFormat="1" x14ac:dyDescent="0.25">
      <c r="A19" s="68" t="s">
        <v>2245</v>
      </c>
      <c r="B19" s="64" t="s">
        <v>2246</v>
      </c>
      <c r="C19" s="68">
        <v>6</v>
      </c>
      <c r="E19" s="149">
        <v>1999</v>
      </c>
      <c r="F19" s="148">
        <v>71.111000000000004</v>
      </c>
      <c r="G19" s="68" t="str">
        <f t="shared" si="1"/>
        <v>deflate_1999</v>
      </c>
      <c r="H19" s="71">
        <f t="shared" si="0"/>
        <v>1.1468830420047531</v>
      </c>
      <c r="I19" s="71"/>
      <c r="O19" s="71"/>
      <c r="P19" s="73"/>
      <c r="Q19" s="73"/>
      <c r="R19" s="67"/>
      <c r="T19" s="64"/>
      <c r="U19" s="64"/>
    </row>
    <row r="20" spans="1:21" s="68" customFormat="1" x14ac:dyDescent="0.25">
      <c r="A20" s="68" t="s">
        <v>2247</v>
      </c>
      <c r="B20" s="64" t="s">
        <v>2248</v>
      </c>
      <c r="C20" s="68">
        <v>7</v>
      </c>
      <c r="E20" s="149">
        <v>2000</v>
      </c>
      <c r="F20" s="148">
        <v>72.721999999999994</v>
      </c>
      <c r="G20" s="68" t="str">
        <f t="shared" si="1"/>
        <v>deflate_2000</v>
      </c>
      <c r="H20" s="71">
        <f t="shared" si="0"/>
        <v>1.12147630703226</v>
      </c>
      <c r="I20" s="71"/>
      <c r="O20" s="71"/>
      <c r="P20" s="73"/>
      <c r="Q20" s="73"/>
      <c r="R20" s="67"/>
      <c r="T20" s="64"/>
      <c r="U20" s="64"/>
    </row>
    <row r="21" spans="1:21" s="68" customFormat="1" x14ac:dyDescent="0.25">
      <c r="A21" s="68" t="s">
        <v>2249</v>
      </c>
      <c r="B21" s="64" t="s">
        <v>2250</v>
      </c>
      <c r="C21" s="68">
        <v>1</v>
      </c>
      <c r="E21" s="149">
        <v>2001</v>
      </c>
      <c r="F21" s="148">
        <v>74.36</v>
      </c>
      <c r="G21" s="68" t="str">
        <f t="shared" si="1"/>
        <v>deflate_2001</v>
      </c>
      <c r="H21" s="71">
        <f t="shared" si="0"/>
        <v>1.0967724583109197</v>
      </c>
      <c r="I21" s="71"/>
      <c r="O21" s="71"/>
      <c r="P21" s="73"/>
      <c r="Q21" s="73"/>
      <c r="R21" s="67"/>
      <c r="T21" s="64"/>
      <c r="U21" s="64"/>
    </row>
    <row r="22" spans="1:21" s="68" customFormat="1" x14ac:dyDescent="0.25">
      <c r="A22" s="68" t="s">
        <v>2251</v>
      </c>
      <c r="B22" s="64" t="s">
        <v>2252</v>
      </c>
      <c r="C22" s="68">
        <v>5</v>
      </c>
      <c r="E22" s="149">
        <v>2002</v>
      </c>
      <c r="F22" s="148">
        <v>75.515000000000001</v>
      </c>
      <c r="G22" s="68" t="str">
        <f t="shared" si="1"/>
        <v>deflate_2002</v>
      </c>
      <c r="H22" s="71">
        <f t="shared" si="0"/>
        <v>1.0799973515195656</v>
      </c>
      <c r="I22" s="71"/>
      <c r="O22" s="71"/>
      <c r="P22" s="73"/>
      <c r="Q22" s="73"/>
      <c r="R22" s="67"/>
      <c r="T22" s="64"/>
      <c r="U22" s="64"/>
    </row>
    <row r="23" spans="1:21" s="68" customFormat="1" x14ac:dyDescent="0.25">
      <c r="A23" s="68" t="s">
        <v>2253</v>
      </c>
      <c r="B23" s="64" t="s">
        <v>2254</v>
      </c>
      <c r="C23" s="68">
        <v>1</v>
      </c>
      <c r="E23" s="149">
        <v>2003</v>
      </c>
      <c r="F23" s="148">
        <v>77.006</v>
      </c>
      <c r="G23" s="68" t="str">
        <f t="shared" si="1"/>
        <v>deflate_2003</v>
      </c>
      <c r="H23" s="71">
        <f t="shared" si="0"/>
        <v>1.0590863049632495</v>
      </c>
      <c r="I23" s="71"/>
      <c r="O23" s="71"/>
      <c r="P23" s="73"/>
      <c r="Q23" s="73"/>
      <c r="R23" s="67"/>
      <c r="T23" s="64"/>
      <c r="U23" s="64"/>
    </row>
    <row r="24" spans="1:21" s="68" customFormat="1" x14ac:dyDescent="0.25">
      <c r="A24" s="68" t="s">
        <v>2255</v>
      </c>
      <c r="B24" s="64" t="s">
        <v>2256</v>
      </c>
      <c r="C24" s="68">
        <v>3</v>
      </c>
      <c r="E24" s="149">
        <v>2004</v>
      </c>
      <c r="F24" s="148">
        <v>79.076999999999998</v>
      </c>
      <c r="G24" s="68" t="str">
        <f t="shared" si="1"/>
        <v>deflate_2004</v>
      </c>
      <c r="H24" s="71">
        <f t="shared" si="0"/>
        <v>1.0313491912945609</v>
      </c>
      <c r="I24" s="71"/>
      <c r="O24" s="71"/>
      <c r="P24" s="73"/>
      <c r="Q24" s="73"/>
      <c r="R24" s="67"/>
      <c r="T24" s="64"/>
      <c r="U24" s="64"/>
    </row>
    <row r="25" spans="1:21" s="68" customFormat="1" x14ac:dyDescent="0.25">
      <c r="A25" s="68" t="s">
        <v>2257</v>
      </c>
      <c r="B25" s="64" t="s">
        <v>2258</v>
      </c>
      <c r="C25" s="68">
        <v>4</v>
      </c>
      <c r="E25" s="149">
        <v>2005</v>
      </c>
      <c r="F25" s="148">
        <v>81.555999999999997</v>
      </c>
      <c r="G25" s="68" t="str">
        <f t="shared" si="1"/>
        <v>deflate_2005</v>
      </c>
      <c r="H25" s="71">
        <f t="shared" si="0"/>
        <v>1</v>
      </c>
      <c r="I25" s="71"/>
      <c r="O25" s="71"/>
      <c r="P25" s="73"/>
      <c r="Q25" s="73"/>
      <c r="R25" s="67"/>
      <c r="T25" s="64"/>
      <c r="U25" s="64"/>
    </row>
    <row r="26" spans="1:21" s="68" customFormat="1" x14ac:dyDescent="0.25">
      <c r="A26" s="68" t="s">
        <v>2259</v>
      </c>
      <c r="B26" s="64" t="s">
        <v>2260</v>
      </c>
      <c r="C26" s="68">
        <v>6</v>
      </c>
      <c r="E26" s="149">
        <v>2006</v>
      </c>
      <c r="F26" s="148">
        <v>84.070999999999998</v>
      </c>
      <c r="G26" s="68" t="str">
        <f t="shared" si="1"/>
        <v>deflate_2006</v>
      </c>
      <c r="H26" s="71">
        <f t="shared" si="0"/>
        <v>0.9700848092683565</v>
      </c>
      <c r="I26" s="71"/>
      <c r="O26" s="71"/>
      <c r="P26" s="73"/>
      <c r="Q26" s="73"/>
      <c r="R26" s="67"/>
      <c r="T26" s="64"/>
      <c r="U26" s="64"/>
    </row>
    <row r="27" spans="1:21" s="68" customFormat="1" x14ac:dyDescent="0.25">
      <c r="A27" s="68" t="s">
        <v>2261</v>
      </c>
      <c r="B27" s="64" t="s">
        <v>2262</v>
      </c>
      <c r="C27" s="68">
        <v>4</v>
      </c>
      <c r="E27" s="149">
        <v>2007</v>
      </c>
      <c r="F27" s="148">
        <v>86.349000000000004</v>
      </c>
      <c r="G27" s="68" t="str">
        <f t="shared" si="1"/>
        <v>deflate_2007</v>
      </c>
      <c r="H27" s="71">
        <f t="shared" si="0"/>
        <v>0.94449269823622728</v>
      </c>
      <c r="I27" s="71"/>
      <c r="O27" s="71"/>
      <c r="P27" s="73"/>
      <c r="Q27" s="73"/>
      <c r="R27" s="67"/>
      <c r="T27" s="64"/>
      <c r="U27" s="64"/>
    </row>
    <row r="28" spans="1:21" s="68" customFormat="1" x14ac:dyDescent="0.25">
      <c r="A28" s="68" t="s">
        <v>2263</v>
      </c>
      <c r="B28" s="64" t="s">
        <v>2264</v>
      </c>
      <c r="C28" s="68">
        <v>8</v>
      </c>
      <c r="E28" s="149">
        <v>2008</v>
      </c>
      <c r="F28" s="148">
        <v>88.013000000000005</v>
      </c>
      <c r="G28" s="68" t="str">
        <f t="shared" si="1"/>
        <v>deflate_2008</v>
      </c>
      <c r="H28" s="71">
        <f t="shared" si="0"/>
        <v>0.92663583788758475</v>
      </c>
      <c r="I28" s="71"/>
      <c r="O28" s="71"/>
      <c r="P28" s="73"/>
      <c r="Q28" s="73"/>
      <c r="R28" s="67"/>
    </row>
    <row r="29" spans="1:21" s="68" customFormat="1" x14ac:dyDescent="0.25">
      <c r="A29" s="68" t="s">
        <v>2265</v>
      </c>
      <c r="B29" s="64" t="s">
        <v>2266</v>
      </c>
      <c r="C29" s="68">
        <v>4</v>
      </c>
      <c r="E29" s="149">
        <v>2009</v>
      </c>
      <c r="F29" s="148">
        <v>88.555999999999997</v>
      </c>
      <c r="G29" s="68" t="str">
        <f t="shared" si="1"/>
        <v>deflate_2009</v>
      </c>
      <c r="H29" s="71">
        <f t="shared" si="0"/>
        <v>0.9209539726274899</v>
      </c>
      <c r="I29" s="71"/>
      <c r="O29" s="71"/>
      <c r="P29" s="73"/>
      <c r="Q29" s="73"/>
      <c r="R29" s="67"/>
    </row>
    <row r="30" spans="1:21" s="68" customFormat="1" x14ac:dyDescent="0.25">
      <c r="A30" s="68" t="s">
        <v>2267</v>
      </c>
      <c r="B30" s="64" t="s">
        <v>2268</v>
      </c>
      <c r="C30" s="68">
        <v>8</v>
      </c>
      <c r="E30" s="149">
        <v>2010</v>
      </c>
      <c r="F30" s="148">
        <v>89.632000000000005</v>
      </c>
      <c r="G30" s="68" t="str">
        <f t="shared" si="1"/>
        <v>deflate_2010</v>
      </c>
      <c r="H30" s="71">
        <f t="shared" si="0"/>
        <v>0.90989825062477681</v>
      </c>
      <c r="I30" s="66"/>
      <c r="O30" s="71"/>
      <c r="P30" s="73"/>
      <c r="Q30" s="73"/>
      <c r="R30" s="67"/>
    </row>
    <row r="31" spans="1:21" s="68" customFormat="1" x14ac:dyDescent="0.25">
      <c r="A31" s="68" t="s">
        <v>2269</v>
      </c>
      <c r="B31" s="64" t="s">
        <v>2270</v>
      </c>
      <c r="C31" s="68">
        <v>1</v>
      </c>
      <c r="E31" s="149">
        <v>2011</v>
      </c>
      <c r="F31" s="148">
        <v>91.480999999999995</v>
      </c>
      <c r="G31" s="68" t="str">
        <f t="shared" si="1"/>
        <v>deflate_2011</v>
      </c>
      <c r="H31" s="71">
        <f t="shared" si="0"/>
        <v>0.89150752615297169</v>
      </c>
      <c r="I31" s="66"/>
      <c r="O31" s="71"/>
      <c r="P31" s="73"/>
      <c r="Q31" s="73"/>
      <c r="R31" s="67"/>
    </row>
    <row r="32" spans="1:21" s="68" customFormat="1" x14ac:dyDescent="0.25">
      <c r="A32" s="68" t="s">
        <v>2271</v>
      </c>
      <c r="B32" s="64" t="s">
        <v>2272</v>
      </c>
      <c r="C32" s="68">
        <v>2</v>
      </c>
      <c r="E32" s="149">
        <v>2012</v>
      </c>
      <c r="F32" s="148">
        <v>93.185000000000002</v>
      </c>
      <c r="G32" s="68" t="str">
        <f t="shared" si="1"/>
        <v>deflate_2012</v>
      </c>
      <c r="H32" s="71">
        <f t="shared" si="0"/>
        <v>0.87520523689434992</v>
      </c>
      <c r="I32" s="64"/>
      <c r="J32" s="64"/>
      <c r="O32" s="71"/>
      <c r="P32" s="73"/>
      <c r="Q32" s="73"/>
      <c r="R32" s="67"/>
    </row>
    <row r="33" spans="1:18" s="68" customFormat="1" x14ac:dyDescent="0.25">
      <c r="A33" s="68" t="s">
        <v>2273</v>
      </c>
      <c r="B33" s="64" t="s">
        <v>2274</v>
      </c>
      <c r="C33" s="68">
        <v>8</v>
      </c>
      <c r="E33" s="149">
        <v>2013</v>
      </c>
      <c r="F33" s="148">
        <v>94.771000000000001</v>
      </c>
      <c r="G33" s="68" t="str">
        <f t="shared" si="1"/>
        <v>deflate_2013</v>
      </c>
      <c r="H33" s="71">
        <f t="shared" si="0"/>
        <v>0.86055860970127984</v>
      </c>
      <c r="I33" s="64"/>
      <c r="J33" s="64"/>
      <c r="O33" s="71"/>
      <c r="P33" s="73"/>
      <c r="Q33" s="73"/>
      <c r="R33" s="67"/>
    </row>
    <row r="34" spans="1:18" s="68" customFormat="1" x14ac:dyDescent="0.25">
      <c r="A34" s="68" t="s">
        <v>2275</v>
      </c>
      <c r="B34" s="64" t="s">
        <v>2276</v>
      </c>
      <c r="C34" s="68">
        <v>2</v>
      </c>
      <c r="E34" s="150">
        <v>2014</v>
      </c>
      <c r="F34" s="64">
        <v>96.421000000000006</v>
      </c>
      <c r="G34" s="68" t="str">
        <f t="shared" ref="G34:G43" si="3">$G$2&amp;"_"&amp;E34</f>
        <v>deflate_2014</v>
      </c>
      <c r="H34" s="71">
        <f t="shared" ref="H34:H43" si="4">$F$25/F34</f>
        <v>0.84583233942813274</v>
      </c>
      <c r="I34" s="64"/>
      <c r="J34" s="64"/>
      <c r="O34" s="71"/>
    </row>
    <row r="35" spans="1:18" s="68" customFormat="1" x14ac:dyDescent="0.25">
      <c r="A35" s="68" t="s">
        <v>2277</v>
      </c>
      <c r="B35" s="64" t="s">
        <v>2278</v>
      </c>
      <c r="C35" s="68">
        <v>5</v>
      </c>
      <c r="E35" s="150">
        <v>2015</v>
      </c>
      <c r="F35" s="64">
        <v>97.316000000000003</v>
      </c>
      <c r="G35" s="68" t="str">
        <f t="shared" si="3"/>
        <v>deflate_2015</v>
      </c>
      <c r="H35" s="71">
        <f t="shared" si="4"/>
        <v>0.83805335196678854</v>
      </c>
      <c r="I35" s="66"/>
    </row>
    <row r="36" spans="1:18" x14ac:dyDescent="0.25">
      <c r="A36" s="68" t="s">
        <v>2279</v>
      </c>
      <c r="B36" s="64" t="s">
        <v>2280</v>
      </c>
      <c r="C36" s="68">
        <v>4</v>
      </c>
      <c r="E36" s="150">
        <v>2016</v>
      </c>
      <c r="F36" s="64">
        <v>98.241</v>
      </c>
      <c r="G36" s="68" t="str">
        <f t="shared" si="3"/>
        <v>deflate_2016</v>
      </c>
      <c r="H36" s="71">
        <f t="shared" si="4"/>
        <v>0.83016255942020134</v>
      </c>
      <c r="I36" s="66"/>
      <c r="J36" s="68"/>
    </row>
    <row r="37" spans="1:18" x14ac:dyDescent="0.25">
      <c r="A37" s="68" t="s">
        <v>2281</v>
      </c>
      <c r="B37" s="64" t="s">
        <v>2282</v>
      </c>
      <c r="C37" s="68">
        <v>3</v>
      </c>
      <c r="E37" s="150">
        <v>2017</v>
      </c>
      <c r="F37" s="64">
        <v>100</v>
      </c>
      <c r="G37" s="68" t="str">
        <f t="shared" si="3"/>
        <v>deflate_2017</v>
      </c>
      <c r="H37" s="71">
        <f t="shared" si="4"/>
        <v>0.81555999999999995</v>
      </c>
      <c r="I37" s="68"/>
      <c r="J37" s="68"/>
    </row>
    <row r="38" spans="1:18" x14ac:dyDescent="0.25">
      <c r="A38" s="68" t="s">
        <v>2283</v>
      </c>
      <c r="B38" s="64" t="s">
        <v>2284</v>
      </c>
      <c r="C38" s="68">
        <v>7</v>
      </c>
      <c r="E38" s="150">
        <v>2018</v>
      </c>
      <c r="F38" s="64">
        <v>102.291</v>
      </c>
      <c r="G38" s="68" t="str">
        <f t="shared" si="3"/>
        <v>deflate_2018</v>
      </c>
      <c r="H38" s="71">
        <f t="shared" si="4"/>
        <v>0.79729399458407879</v>
      </c>
      <c r="I38" s="68"/>
      <c r="J38" s="68"/>
    </row>
    <row r="39" spans="1:18" x14ac:dyDescent="0.25">
      <c r="A39" s="68" t="s">
        <v>2285</v>
      </c>
      <c r="B39" s="64" t="s">
        <v>2286</v>
      </c>
      <c r="C39" s="68">
        <v>9</v>
      </c>
      <c r="E39" s="150">
        <v>2019</v>
      </c>
      <c r="F39" s="64">
        <v>103.979</v>
      </c>
      <c r="G39" s="68" t="str">
        <f t="shared" si="3"/>
        <v>deflate_2019</v>
      </c>
      <c r="H39" s="71">
        <f t="shared" si="4"/>
        <v>0.78435068619625115</v>
      </c>
    </row>
    <row r="40" spans="1:18" x14ac:dyDescent="0.25">
      <c r="A40" s="68" t="s">
        <v>2287</v>
      </c>
      <c r="B40" s="64" t="s">
        <v>2288</v>
      </c>
      <c r="C40" s="68">
        <v>2</v>
      </c>
      <c r="E40" s="150">
        <v>2020</v>
      </c>
      <c r="F40" s="64">
        <v>105.361</v>
      </c>
      <c r="G40" s="68" t="str">
        <f t="shared" si="3"/>
        <v>deflate_2020</v>
      </c>
      <c r="H40" s="71">
        <f t="shared" si="4"/>
        <v>0.77406250889797923</v>
      </c>
    </row>
    <row r="41" spans="1:18" x14ac:dyDescent="0.25">
      <c r="A41" s="68" t="s">
        <v>2289</v>
      </c>
      <c r="B41" s="64" t="s">
        <v>2290</v>
      </c>
      <c r="C41" s="68">
        <v>1</v>
      </c>
      <c r="E41" s="150">
        <v>2021</v>
      </c>
      <c r="F41" s="64">
        <v>110.172</v>
      </c>
      <c r="G41" s="68" t="str">
        <f t="shared" si="3"/>
        <v>deflate_2021</v>
      </c>
      <c r="H41" s="71">
        <f t="shared" si="4"/>
        <v>0.74026068329521111</v>
      </c>
    </row>
    <row r="42" spans="1:18" x14ac:dyDescent="0.25">
      <c r="A42" s="68" t="s">
        <v>2291</v>
      </c>
      <c r="B42" s="64" t="s">
        <v>2292</v>
      </c>
      <c r="C42" s="68">
        <v>5</v>
      </c>
      <c r="E42" s="150">
        <v>2022</v>
      </c>
      <c r="F42" s="64">
        <v>118.026</v>
      </c>
      <c r="G42" s="68" t="str">
        <f t="shared" si="3"/>
        <v>deflate_2022</v>
      </c>
      <c r="H42" s="71">
        <f t="shared" si="4"/>
        <v>0.69100028807211966</v>
      </c>
    </row>
    <row r="43" spans="1:18" x14ac:dyDescent="0.25">
      <c r="A43" s="68" t="s">
        <v>2293</v>
      </c>
      <c r="B43" s="64" t="s">
        <v>2294</v>
      </c>
      <c r="C43" s="68">
        <v>4</v>
      </c>
      <c r="E43" s="150">
        <v>2023</v>
      </c>
      <c r="F43" s="64">
        <v>122.273</v>
      </c>
      <c r="G43" s="68" t="str">
        <f t="shared" si="3"/>
        <v>deflate_2023</v>
      </c>
      <c r="H43" s="71">
        <f t="shared" si="4"/>
        <v>0.66699925576374175</v>
      </c>
    </row>
    <row r="44" spans="1:18" x14ac:dyDescent="0.25">
      <c r="A44" s="68" t="s">
        <v>2295</v>
      </c>
      <c r="B44" s="64" t="s">
        <v>2296</v>
      </c>
      <c r="C44" s="68">
        <v>6</v>
      </c>
      <c r="G44" s="68"/>
      <c r="H44" s="71"/>
    </row>
    <row r="45" spans="1:18" x14ac:dyDescent="0.25">
      <c r="A45" s="68" t="s">
        <v>2297</v>
      </c>
      <c r="B45" s="64" t="s">
        <v>2298</v>
      </c>
      <c r="C45" s="68">
        <v>7</v>
      </c>
      <c r="G45" s="68"/>
      <c r="H45" s="71"/>
    </row>
    <row r="46" spans="1:18" ht="14.5" x14ac:dyDescent="0.35">
      <c r="A46" s="68" t="s">
        <v>2299</v>
      </c>
      <c r="B46" s="64" t="s">
        <v>2300</v>
      </c>
      <c r="C46" s="68">
        <v>8</v>
      </c>
      <c r="E46" t="s">
        <v>2301</v>
      </c>
      <c r="F46"/>
      <c r="G46" s="68"/>
      <c r="H46" s="71"/>
    </row>
    <row r="47" spans="1:18" ht="14.5" x14ac:dyDescent="0.35">
      <c r="A47" s="68" t="s">
        <v>2302</v>
      </c>
      <c r="B47" s="64" t="s">
        <v>2303</v>
      </c>
      <c r="C47" s="68">
        <v>1</v>
      </c>
      <c r="E47" t="s">
        <v>2304</v>
      </c>
      <c r="F47"/>
      <c r="G47" s="68"/>
      <c r="H47" s="71"/>
    </row>
    <row r="48" spans="1:18" ht="14.5" x14ac:dyDescent="0.35">
      <c r="A48" s="68" t="s">
        <v>2305</v>
      </c>
      <c r="B48" s="64" t="s">
        <v>2306</v>
      </c>
      <c r="C48" s="68">
        <v>5</v>
      </c>
      <c r="E48" t="s">
        <v>2307</v>
      </c>
      <c r="F48"/>
      <c r="G48" s="68"/>
      <c r="H48" s="71"/>
    </row>
    <row r="49" spans="1:8" ht="14.5" x14ac:dyDescent="0.35">
      <c r="A49" s="68" t="s">
        <v>2308</v>
      </c>
      <c r="B49" s="64" t="s">
        <v>2309</v>
      </c>
      <c r="C49" s="68">
        <v>9</v>
      </c>
      <c r="E49" t="s">
        <v>2310</v>
      </c>
      <c r="F49"/>
    </row>
    <row r="50" spans="1:8" ht="14.5" x14ac:dyDescent="0.35">
      <c r="A50" s="68" t="s">
        <v>2311</v>
      </c>
      <c r="B50" s="64" t="s">
        <v>2312</v>
      </c>
      <c r="C50" s="68">
        <v>5</v>
      </c>
      <c r="E50" t="s">
        <v>2313</v>
      </c>
      <c r="F50"/>
      <c r="G50" s="66"/>
      <c r="H50" s="66"/>
    </row>
    <row r="51" spans="1:8" ht="14.5" x14ac:dyDescent="0.35">
      <c r="A51" s="68" t="s">
        <v>2314</v>
      </c>
      <c r="B51" s="64" t="s">
        <v>2315</v>
      </c>
      <c r="C51" s="68">
        <v>3</v>
      </c>
      <c r="E51" t="s">
        <v>2316</v>
      </c>
      <c r="F51"/>
      <c r="G51" s="66"/>
      <c r="H51" s="66"/>
    </row>
    <row r="52" spans="1:8" ht="14.5" x14ac:dyDescent="0.35">
      <c r="A52" s="68" t="s">
        <v>2317</v>
      </c>
      <c r="B52" s="64" t="s">
        <v>2318</v>
      </c>
      <c r="C52" s="68">
        <v>8</v>
      </c>
      <c r="E52"/>
      <c r="F52"/>
      <c r="G52" s="66"/>
      <c r="H52" s="66"/>
    </row>
    <row r="53" spans="1:8" ht="14.5" x14ac:dyDescent="0.35">
      <c r="E53" t="s">
        <v>2319</v>
      </c>
      <c r="F53" t="s">
        <v>2320</v>
      </c>
      <c r="G53" s="66"/>
      <c r="H53" s="66"/>
    </row>
    <row r="54" spans="1:8" x14ac:dyDescent="0.25">
      <c r="E54" s="68"/>
      <c r="F54" s="68"/>
      <c r="G54" s="68"/>
      <c r="H54" s="68"/>
    </row>
  </sheetData>
  <mergeCells count="3">
    <mergeCell ref="A1:C1"/>
    <mergeCell ref="E1:H1"/>
    <mergeCell ref="J1:M1"/>
  </mergeCells>
  <pageMargins left="0.75" right="0.75" top="1" bottom="1" header="0.5" footer="0.5"/>
  <pageSetup orientation="portrait" horizontalDpi="4294967294" verticalDpi="300"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ffa91fb-a0ff-4ac5-b2db-65c790d184a4" xsi:nil="true"/>
    <lcf76f155ced4ddcb4097134ff3c332f xmlns="3a45b8d2-5363-42cf-81ee-b666af54687e">
      <Terms xmlns="http://schemas.microsoft.com/office/infopath/2007/PartnerControls"/>
    </lcf76f155ced4ddcb4097134ff3c332f>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2025-03-25T17:14:22+00:00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SharedContentType xmlns="Microsoft.SharePoint.Taxonomy.ContentTypeSync" SourceId="29f62856-1543-49d4-a736-4569d363f533"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6AED59-3F87-4C06-BFF5-3341ACABF65E}">
  <ds:schemaRefs>
    <ds:schemaRef ds:uri="http://schemas.microsoft.com/sharepoint/v3/contenttype/forms"/>
  </ds:schemaRefs>
</ds:datastoreItem>
</file>

<file path=customXml/itemProps2.xml><?xml version="1.0" encoding="utf-8"?>
<ds:datastoreItem xmlns:ds="http://schemas.openxmlformats.org/officeDocument/2006/customXml" ds:itemID="{E376EC69-7268-46A8-9753-A45E9617D322}">
  <ds:schemaRefs>
    <ds:schemaRef ds:uri="http://schemas.microsoft.com/office/2006/metadata/properties"/>
    <ds:schemaRef ds:uri="http://schemas.microsoft.com/office/infopath/2007/PartnerControls"/>
    <ds:schemaRef ds:uri="4ffa91fb-a0ff-4ac5-b2db-65c790d184a4"/>
    <ds:schemaRef ds:uri="3a45b8d2-5363-42cf-81ee-b666af54687e"/>
    <ds:schemaRef ds:uri="http://schemas.microsoft.com/sharepoint/v3/fields"/>
    <ds:schemaRef ds:uri="http://schemas.microsoft.com/sharepoint/v3"/>
    <ds:schemaRef ds:uri="http://schemas.microsoft.com/sharepoint.v3"/>
  </ds:schemaRefs>
</ds:datastoreItem>
</file>

<file path=customXml/itemProps3.xml><?xml version="1.0" encoding="utf-8"?>
<ds:datastoreItem xmlns:ds="http://schemas.openxmlformats.org/officeDocument/2006/customXml" ds:itemID="{D2E4BC41-4C21-4252-8FC6-D53412944ADC}">
  <ds:schemaRefs>
    <ds:schemaRef ds:uri="Microsoft.SharePoint.Taxonomy.ContentTypeSync"/>
  </ds:schemaRefs>
</ds:datastoreItem>
</file>

<file path=customXml/itemProps4.xml><?xml version="1.0" encoding="utf-8"?>
<ds:datastoreItem xmlns:ds="http://schemas.openxmlformats.org/officeDocument/2006/customXml" ds:itemID="{02C1D283-15B8-4229-8229-83257F8FFA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50</vt:i4>
      </vt:variant>
    </vt:vector>
  </HeadingPairs>
  <TitlesOfParts>
    <vt:vector size="69" baseType="lpstr">
      <vt:lpstr>Documentation</vt:lpstr>
      <vt:lpstr>Commodities</vt:lpstr>
      <vt:lpstr>Technologies</vt:lpstr>
      <vt:lpstr>TechData_NewCap</vt:lpstr>
      <vt:lpstr>TechData_SolarWind</vt:lpstr>
      <vt:lpstr>TechData_Hydro</vt:lpstr>
      <vt:lpstr>LifetimeAssumptions</vt:lpstr>
      <vt:lpstr>SupplyCurveProcessed</vt:lpstr>
      <vt:lpstr>SupplyCurveRaw</vt:lpstr>
      <vt:lpstr>2023 Cap Raw Data</vt:lpstr>
      <vt:lpstr>2013 Cap Raw Data</vt:lpstr>
      <vt:lpstr>2023_Regional_Cost_Factor</vt:lpstr>
      <vt:lpstr>ATB_CAPEX</vt:lpstr>
      <vt:lpstr>ATB_CF</vt:lpstr>
      <vt:lpstr>ATB_FOM</vt:lpstr>
      <vt:lpstr>ATB_VOM</vt:lpstr>
      <vt:lpstr>ReEDS_SupplyCurves</vt:lpstr>
      <vt:lpstr>WindTimeSlices</vt:lpstr>
      <vt:lpstr>Conversions</vt:lpstr>
      <vt:lpstr>Btu_to_J</vt:lpstr>
      <vt:lpstr>deflate_1983</vt:lpstr>
      <vt:lpstr>deflate_1984</vt:lpstr>
      <vt:lpstr>deflate_1985</vt:lpstr>
      <vt:lpstr>deflate_1986</vt:lpstr>
      <vt:lpstr>deflate_1987</vt:lpstr>
      <vt:lpstr>deflate_1988</vt:lpstr>
      <vt:lpstr>deflate_1989</vt:lpstr>
      <vt:lpstr>deflate_1990</vt:lpstr>
      <vt:lpstr>deflate_1991</vt:lpstr>
      <vt:lpstr>deflate_1992</vt:lpstr>
      <vt:lpstr>deflate_1993</vt:lpstr>
      <vt:lpstr>deflate_1994</vt:lpstr>
      <vt:lpstr>deflate_1995</vt:lpstr>
      <vt:lpstr>deflate_1996</vt:lpstr>
      <vt:lpstr>deflate_1997</vt:lpstr>
      <vt:lpstr>deflate_1998</vt:lpstr>
      <vt:lpstr>deflate_1999</vt:lpstr>
      <vt:lpstr>deflate_2000</vt:lpstr>
      <vt:lpstr>deflate_2001</vt:lpstr>
      <vt:lpstr>deflate_2002</vt:lpstr>
      <vt:lpstr>deflate_2003</vt:lpstr>
      <vt:lpstr>deflate_2004</vt:lpstr>
      <vt:lpstr>deflate_2005</vt:lpstr>
      <vt:lpstr>deflate_2006</vt:lpstr>
      <vt:lpstr>deflate_2007</vt:lpstr>
      <vt:lpstr>deflate_2008</vt:lpstr>
      <vt:lpstr>deflate_2009</vt:lpstr>
      <vt:lpstr>deflate_2010</vt:lpstr>
      <vt:lpstr>deflate_2011</vt:lpstr>
      <vt:lpstr>'2013 Cap Raw Data'!deflate_2012</vt:lpstr>
      <vt:lpstr>deflate_2012</vt:lpstr>
      <vt:lpstr>deflate_2013</vt:lpstr>
      <vt:lpstr>'2013 Cap Raw Data'!GW_to_Pja</vt:lpstr>
      <vt:lpstr>GW_to_Pja</vt:lpstr>
      <vt:lpstr>I_D</vt:lpstr>
      <vt:lpstr>I_N</vt:lpstr>
      <vt:lpstr>kWh_to_btu_hr</vt:lpstr>
      <vt:lpstr>kWh_to_MJ</vt:lpstr>
      <vt:lpstr>lookup_deflator_2013</vt:lpstr>
      <vt:lpstr>lookup_deflator_2023</vt:lpstr>
      <vt:lpstr>mills_kWh_to__Million_PJ</vt:lpstr>
      <vt:lpstr>MMBtu_to_J</vt:lpstr>
      <vt:lpstr>MWh_to_PJ</vt:lpstr>
      <vt:lpstr>PJ_to_J</vt:lpstr>
      <vt:lpstr>S_D</vt:lpstr>
      <vt:lpstr>S_N</vt:lpstr>
      <vt:lpstr>W_D</vt:lpstr>
      <vt:lpstr>W_N</vt:lpstr>
      <vt:lpstr>yr_to_hr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Vilgalys, Max</dc:creator>
  <cp:keywords/>
  <dc:description/>
  <cp:lastModifiedBy>Kaplan, Ozge</cp:lastModifiedBy>
  <cp:revision/>
  <dcterms:created xsi:type="dcterms:W3CDTF">2024-11-29T18:58:36Z</dcterms:created>
  <dcterms:modified xsi:type="dcterms:W3CDTF">2025-04-18T12:40:49Z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57cbc1-fa76-4f4e-a9ae-7ff80d234248_Enabled">
    <vt:lpwstr>true</vt:lpwstr>
  </property>
  <property fmtid="{D5CDD505-2E9C-101B-9397-08002B2CF9AE}" pid="3" name="MSIP_Label_df57cbc1-fa76-4f4e-a9ae-7ff80d234248_SetDate">
    <vt:lpwstr>2024-11-29T18:59:49Z</vt:lpwstr>
  </property>
  <property fmtid="{D5CDD505-2E9C-101B-9397-08002B2CF9AE}" pid="4" name="MSIP_Label_df57cbc1-fa76-4f4e-a9ae-7ff80d234248_Method">
    <vt:lpwstr>Standard</vt:lpwstr>
  </property>
  <property fmtid="{D5CDD505-2E9C-101B-9397-08002B2CF9AE}" pid="5" name="MSIP_Label_df57cbc1-fa76-4f4e-a9ae-7ff80d234248_Name">
    <vt:lpwstr>Sensitive-All</vt:lpwstr>
  </property>
  <property fmtid="{D5CDD505-2E9C-101B-9397-08002B2CF9AE}" pid="6" name="MSIP_Label_df57cbc1-fa76-4f4e-a9ae-7ff80d234248_SiteId">
    <vt:lpwstr>69fa79ee-e93a-4ddf-b8d1-fbf15f49f820</vt:lpwstr>
  </property>
  <property fmtid="{D5CDD505-2E9C-101B-9397-08002B2CF9AE}" pid="7" name="MSIP_Label_df57cbc1-fa76-4f4e-a9ae-7ff80d234248_ActionId">
    <vt:lpwstr>5143d98e-8253-42d3-bdd1-b8c6d35cce82</vt:lpwstr>
  </property>
  <property fmtid="{D5CDD505-2E9C-101B-9397-08002B2CF9AE}" pid="8" name="MSIP_Label_df57cbc1-fa76-4f4e-a9ae-7ff80d234248_ContentBits">
    <vt:lpwstr>0</vt:lpwstr>
  </property>
  <property fmtid="{D5CDD505-2E9C-101B-9397-08002B2CF9AE}" pid="9" name="ContentTypeId">
    <vt:lpwstr>0x010100D961017AFA5F1746B691F13D8A7002D3</vt:lpwstr>
  </property>
  <property fmtid="{D5CDD505-2E9C-101B-9397-08002B2CF9AE}" pid="10" name="MediaServiceImageTags">
    <vt:lpwstr/>
  </property>
  <property fmtid="{D5CDD505-2E9C-101B-9397-08002B2CF9AE}" pid="11" name="TaxKeyword">
    <vt:lpwstr/>
  </property>
  <property fmtid="{D5CDD505-2E9C-101B-9397-08002B2CF9AE}" pid="12" name="Document_x0020_Type">
    <vt:lpwstr/>
  </property>
  <property fmtid="{D5CDD505-2E9C-101B-9397-08002B2CF9AE}" pid="13" name="e3f09c3df709400db2417a7161762d62">
    <vt:lpwstr/>
  </property>
  <property fmtid="{D5CDD505-2E9C-101B-9397-08002B2CF9AE}" pid="14" name="EPA_x0020_Subject">
    <vt:lpwstr/>
  </property>
  <property fmtid="{D5CDD505-2E9C-101B-9397-08002B2CF9AE}" pid="15" name="Document Type">
    <vt:lpwstr/>
  </property>
  <property fmtid="{D5CDD505-2E9C-101B-9397-08002B2CF9AE}" pid="16" name="EPA Subject">
    <vt:lpwstr/>
  </property>
</Properties>
</file>